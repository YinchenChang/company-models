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In!$E$47</definedName>
    <definedName function="false" hidden="false" name="ai_25_hi" vbProcedure="false">In!$F$47</definedName>
    <definedName function="false" hidden="false" name="ai_25_lo" vbProcedure="false">In!$D$47</definedName>
    <definedName function="false" hidden="false" name="CAPHI_27" vbProcedure="false">In!$F$43</definedName>
    <definedName function="false" hidden="false" name="CAPHI_28" vbProcedure="false">In!$F$44</definedName>
    <definedName function="false" hidden="false" name="CAPHI_29" vbProcedure="false">In!$F$45</definedName>
    <definedName function="false" hidden="false" name="CAPLO_27" vbProcedure="false">In!$D$43</definedName>
    <definedName function="false" hidden="false" name="CAPLO_28" vbProcedure="false">In!$D$44</definedName>
    <definedName function="false" hidden="false" name="CAPLO_29" vbProcedure="false">In!$D$45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In!$E$104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In!$E$105</definedName>
    <definedName function="false" hidden="false" name="cx_27" vbProcedure="false">In!$E$43</definedName>
    <definedName function="false" hidden="false" name="cx_27_hi" vbProcedure="false">In!$F$43</definedName>
    <definedName function="false" hidden="false" name="cx_27_lo" vbProcedure="false">In!$D$43</definedName>
    <definedName function="false" hidden="false" name="cx_28" vbProcedure="false">In!$E$44</definedName>
    <definedName function="false" hidden="false" name="cx_28_hi" vbProcedure="false">In!$F$44</definedName>
    <definedName function="false" hidden="false" name="cx_28_lo" vbProcedure="false">In!$D$44</definedName>
    <definedName function="false" hidden="false" name="cx_29" vbProcedure="false">In!$E$45</definedName>
    <definedName function="false" hidden="false" name="cx_29_hi" vbProcedure="false">In!$F$45</definedName>
    <definedName function="false" hidden="false" name="cx_29_lo" vbProcedure="false">In!$D$45</definedName>
    <definedName function="false" hidden="false" name="d_ai" vbProcedure="false">In!$E$53</definedName>
    <definedName function="false" hidden="false" name="d_ai_hi" vbProcedure="false">In!$F$53</definedName>
    <definedName function="false" hidden="false" name="d_ai_lo" vbProcedure="false">In!$D$53</definedName>
    <definedName function="false" hidden="false" name="emc_ccl26" vbProcedure="false">In!$E$85</definedName>
    <definedName function="false" hidden="false" name="emc_ccl27" vbProcedure="false">In!$E$87</definedName>
    <definedName function="false" hidden="false" name="emc_ccl28" vbProcedure="false">In!$E$89</definedName>
    <definedName function="false" hidden="false" name="emc_ccl29" vbProcedure="false">In!$E$91</definedName>
    <definedName function="false" hidden="false" name="emc_pg26" vbProcedure="false">In!$E$93</definedName>
    <definedName function="false" hidden="false" name="emc_pg27" vbProcedure="false">In!$E$95</definedName>
    <definedName function="false" hidden="false" name="emc_pg28" vbProcedure="false">In!$E$97</definedName>
    <definedName function="false" hidden="false" name="fade_gA" vbProcedure="false">In!$E$115</definedName>
    <definedName function="false" hidden="false" name="fade_gB" vbProcedure="false">In!$E$116</definedName>
    <definedName function="false" hidden="false" name="fade_gC" vbProcedure="false">In!$E$117</definedName>
    <definedName function="false" hidden="false" name="fade_mA" vbProcedure="false">In!$E$118</definedName>
    <definedName function="false" hidden="false" name="fade_mB" vbProcedure="false">In!$E$119</definedName>
    <definedName function="false" hidden="false" name="fade_mC" vbProcedure="false">In!$E$120</definedName>
    <definedName function="false" hidden="false" name="fb_eps27" vbProcedure="false">In!$E$84</definedName>
    <definedName function="false" hidden="false" name="fpe" vbProcedure="false">In!$E$103</definedName>
    <definedName function="false" hidden="false" name="fs_eps26" vbProcedure="false">In!$E$81</definedName>
    <definedName function="false" hidden="false" name="fs_eps27" vbProcedure="false">In!$E$82</definedName>
    <definedName function="false" hidden="false" name="fs_eps28" vbProcedure="false">In!$E$83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In!$E$54</definedName>
    <definedName function="false" hidden="false" name="gmu_27_hi" vbProcedure="false">In!$F$54</definedName>
    <definedName function="false" hidden="false" name="gmu_27_lo" vbProcedure="false">In!$D$54</definedName>
    <definedName function="false" hidden="false" name="gmu_28" vbProcedure="false">In!$E$55</definedName>
    <definedName function="false" hidden="false" name="gmu_28_hi" vbProcedure="false">In!$F$55</definedName>
    <definedName function="false" hidden="false" name="gmu_28_lo" vbProcedure="false">In!$D$55</definedName>
    <definedName function="false" hidden="false" name="gmu_29" vbProcedure="false">In!$E$56</definedName>
    <definedName function="false" hidden="false" name="gmu_29_hi" vbProcedure="false">In!$F$56</definedName>
    <definedName function="false" hidden="false" name="gmu_29_lo" vbProcedure="false">In!$D$56</definedName>
    <definedName function="false" hidden="false" name="GNHI27" vbProcedure="false">In!$F$49</definedName>
    <definedName function="false" hidden="false" name="GNHI28" vbProcedure="false">In!$F$50</definedName>
    <definedName function="false" hidden="false" name="GNHI29" vbProcedure="false">In!$F$51</definedName>
    <definedName function="false" hidden="false" name="GNLO27" vbProcedure="false">In!$D$49</definedName>
    <definedName function="false" hidden="false" name="GNLO28" vbProcedure="false">In!$D$50</definedName>
    <definedName function="false" hidden="false" name="GNLO29" vbProcedure="false">In!$D$51</definedName>
    <definedName function="false" hidden="false" name="GUHI_27" vbProcedure="false">In!$F$54</definedName>
    <definedName function="false" hidden="false" name="GUHI_28" vbProcedure="false">In!$F$55</definedName>
    <definedName function="false" hidden="false" name="GUHI_29" vbProcedure="false">In!$F$56</definedName>
    <definedName function="false" hidden="false" name="GULO_27" vbProcedure="false">In!$D$54</definedName>
    <definedName function="false" hidden="false" name="GULO_28" vbProcedure="false">In!$D$55</definedName>
    <definedName function="false" hidden="false" name="GULO_29" vbProcedure="false">In!$D$56</definedName>
    <definedName function="false" hidden="false" name="g_nai26" vbProcedure="false">In!$E$48</definedName>
    <definedName function="false" hidden="false" name="g_nai26_hi" vbProcedure="false">In!$F$48</definedName>
    <definedName function="false" hidden="false" name="g_nai26_lo" vbProcedure="false">In!$D$48</definedName>
    <definedName function="false" hidden="false" name="g_nai27" vbProcedure="false">In!$E$49</definedName>
    <definedName function="false" hidden="false" name="g_nai27_hi" vbProcedure="false">In!$F$49</definedName>
    <definedName function="false" hidden="false" name="g_nai27_lo" vbProcedure="false">In!$D$49</definedName>
    <definedName function="false" hidden="false" name="g_nai28" vbProcedure="false">In!$E$50</definedName>
    <definedName function="false" hidden="false" name="g_nai28_hi" vbProcedure="false">In!$F$50</definedName>
    <definedName function="false" hidden="false" name="g_nai28_lo" vbProcedure="false">In!$D$50</definedName>
    <definedName function="false" hidden="false" name="g_nai29" vbProcedure="false">In!$E$51</definedName>
    <definedName function="false" hidden="false" name="g_nai29_hi" vbProcedure="false">In!$F$51</definedName>
    <definedName function="false" hidden="false" name="g_nai29_lo" vbProcedure="false">In!$D$51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In!$E$106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In!$E$102</definedName>
    <definedName function="false" hidden="false" name="pgwf" vbProcedure="false">In!$E$35</definedName>
    <definedName function="false" hidden="false" name="pgwf_hi" vbProcedure="false">In!$F$35</definedName>
    <definedName function="false" hidden="false" name="pgwf_lo" vbProcedure="false">In!$D$35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PHI_27" vbProcedure="false">In!$F$39</definedName>
    <definedName function="false" hidden="false" name="PPHI_28" vbProcedure="false">In!$F$40</definedName>
    <definedName function="false" hidden="false" name="PPHI_29" vbProcedure="false">In!$F$41</definedName>
    <definedName function="false" hidden="false" name="PPLO_27" vbProcedure="false">In!$D$39</definedName>
    <definedName function="false" hidden="false" name="PPLO_28" vbProcedure="false">In!$D$40</definedName>
    <definedName function="false" hidden="false" name="PPLO_29" vbProcedure="false">In!$D$41</definedName>
    <definedName function="false" hidden="false" name="pp_27" vbProcedure="false">In!$E$39</definedName>
    <definedName function="false" hidden="false" name="pp_27_hi" vbProcedure="false">In!$F$39</definedName>
    <definedName function="false" hidden="false" name="pp_27_lo" vbProcedure="false">In!$D$39</definedName>
    <definedName function="false" hidden="false" name="pp_28" vbProcedure="false">In!$E$40</definedName>
    <definedName function="false" hidden="false" name="pp_28_hi" vbProcedure="false">In!$F$40</definedName>
    <definedName function="false" hidden="false" name="pp_28_lo" vbProcedure="false">In!$D$40</definedName>
    <definedName function="false" hidden="false" name="pp_29" vbProcedure="false">In!$E$41</definedName>
    <definedName function="false" hidden="false" name="pp_29_hi" vbProcedure="false">In!$F$41</definedName>
    <definedName function="false" hidden="false" name="pp_29_lo" vbProcedure="false">In!$D$41</definedName>
    <definedName function="false" hidden="false" name="px" vbProcedure="false">In!$E$101</definedName>
    <definedName function="false" hidden="false" name="q1_rev" vbProcedure="false">In!$E$58</definedName>
    <definedName function="false" hidden="false" name="q3_rev" vbProcedure="false">In!$E$59</definedName>
    <definedName function="false" hidden="false" name="q4g" vbProcedure="false">In!$E$60</definedName>
    <definedName function="false" hidden="false" name="q4g_hi" vbProcedure="false">In!$F$60</definedName>
    <definedName function="false" hidden="false" name="q4g_lo" vbProcedure="false">In!$D$60</definedName>
    <definedName function="false" hidden="false" name="q_gm" vbProcedure="false">In!$E$61</definedName>
    <definedName function="false" hidden="false" name="q_gm_hi" vbProcedure="false">In!$F$61</definedName>
    <definedName function="false" hidden="false" name="q_gm_lo" vbProcedure="false">In!$D$61</definedName>
    <definedName function="false" hidden="false" name="q_nir" vbProcedure="false">In!$E$64</definedName>
    <definedName function="false" hidden="false" name="q_nir_hi" vbProcedure="false">In!$F$64</definedName>
    <definedName function="false" hidden="false" name="q_nir_lo" vbProcedure="false">In!$D$64</definedName>
    <definedName function="false" hidden="false" name="q_nop" vbProcedure="false">In!$E$63</definedName>
    <definedName function="false" hidden="false" name="q_nop_hi" vbProcedure="false">In!$F$63</definedName>
    <definedName function="false" hidden="false" name="q_nop_lo" vbProcedure="false">In!$D$63</definedName>
    <definedName function="false" hidden="false" name="q_opx" vbProcedure="false">In!$E$62</definedName>
    <definedName function="false" hidden="false" name="q_opx_hi" vbProcedure="false">In!$F$62</definedName>
    <definedName function="false" hidden="false" name="q_opx_lo" vbProcedure="false">In!$D$62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1h" vbProcedure="false">In!$E$65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sh_h2" vbProcedure="false">In!$E$66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g_cmp26" vbProcedure="false">In!$E$22</definedName>
    <definedName function="false" hidden="false" name="vg_cmp27" vbProcedure="false">In!$E$23</definedName>
    <definedName function="false" hidden="false" name="vg_cmp28" vbProcedure="false">In!$E$24</definedName>
    <definedName function="false" hidden="false" name="vg_cmp29" vbProcedure="false">In!$E$25</definedName>
    <definedName function="false" hidden="false" name="vg_mid26" vbProcedure="false">In!$E$30</definedName>
    <definedName function="false" hidden="false" name="vg_mid27" vbProcedure="false">In!$E$31</definedName>
    <definedName function="false" hidden="false" name="vg_mid28" vbProcedure="false">In!$E$32</definedName>
    <definedName function="false" hidden="false" name="vg_mid29" vbProcedure="false">In!$E$33</definedName>
    <definedName function="false" hidden="false" name="vg_pge26" vbProcedure="false">In!$E$94</definedName>
    <definedName function="false" hidden="false" name="vg_pge27" vbProcedure="false">In!$E$96</definedName>
    <definedName function="false" hidden="false" name="vg_pge28" vbProcedure="false">In!$E$98</definedName>
    <definedName function="false" hidden="false" name="vg_pgw26" vbProcedure="false">In!$E$86</definedName>
    <definedName function="false" hidden="false" name="vg_pgw27" vbProcedure="false">In!$E$88</definedName>
    <definedName function="false" hidden="false" name="vg_pgw28" vbProcedure="false">In!$E$90</definedName>
    <definedName function="false" hidden="false" name="vg_pgw29" vbProcedure="false">In!$E$92</definedName>
    <definedName function="false" hidden="false" name="vg_sh26" vbProcedure="false">In!$E$99</definedName>
    <definedName function="false" hidden="false" name="vg_sw26" vbProcedure="false">In!$E$26</definedName>
    <definedName function="false" hidden="false" name="vg_sw27" vbProcedure="false">In!$E$27</definedName>
    <definedName function="false" hidden="false" name="vg_sw28" vbProcedure="false">In!$E$28</definedName>
    <definedName function="false" hidden="false" name="vg_sw29" vbProcedure="false">In!$E$29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w_mid" vbProcedure="false">In!$E$34</definedName>
    <definedName function="false" hidden="false" name="w_mid_hi" vbProcedure="false">In!$F$34</definedName>
    <definedName function="false" hidden="false" name="w_mid_lo" vbProcedure="false">In!$D$34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<sst xmlns="http://schemas.openxmlformats.org/spreadsheetml/2006/main" count="3720" uniqueCount="883">
  <si>
    <r>
      <rPr>
        <b val="true"/>
        <sz val="11"/>
        <rFont val="Noto Sans CJK SC"/>
        <family val="2"/>
      </rPr>
      <t xml:space="preserve">金像電（</t>
    </r>
    <r>
      <rPr>
        <b val="true"/>
        <sz val="11"/>
        <rFont val="Cambria"/>
        <family val="0"/>
        <charset val="1"/>
      </rPr>
      <t xml:space="preserve">2368.TW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次產業；伺服器與交換器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、高層數板）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</si>
  <si>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victory_giant/dist Units </t>
    </r>
    <r>
      <rPr>
        <sz val="11"/>
        <rFont val="Noto Sans CJK SC"/>
        <family val="2"/>
      </rPr>
      <t xml:space="preserve">頁，本專案權威，口徑一致），本模型只加金像電對中板／背板的參與係數；金像電份額與產值產能在本模型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頁對照勝宏模型與台光電每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金額。</t>
    </r>
  </si>
  <si>
    <r>
      <rPr>
        <sz val="11"/>
        <rFont val="Noto Sans CJK SC"/>
        <family val="2"/>
      </rPr>
      <t xml:space="preserve">模型命題：金像電的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可參與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金額（勝宏模型三項，中板／背板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參與係數）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金像電份額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（一般伺服器、網通、筆電）另設成長率。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</si>
  <si>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億元資本支出（台灣、蘇州、泰國二廠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下半年開出）能讓產能在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主板改 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HLC </t>
    </r>
    <r>
      <rPr>
        <sz val="11"/>
        <rFont val="Noto Sans CJK SC"/>
        <family val="2"/>
      </rPr>
      <t xml:space="preserve">混壓後份額守不守得住；現價約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</si>
  <si>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</si>
  <si>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</si>
  <si>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金額（勝宏模型，</t>
    </r>
    <r>
      <rPr>
        <sz val="11"/>
        <rFont val="Cambria"/>
        <family val="0"/>
        <charset val="1"/>
      </rPr>
      <t xml:space="preserve">US$450M → 682M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</si>
  <si>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營收（產能吃緊、滿載）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2027 1.45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2028 1.90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億元資本支出與各廠時程）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</si>
  <si>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10pt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0.685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</si>
  <si>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297.19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</si>
  <si>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目標價（臺美同業健鼎、華通、臻鼎</t>
    </r>
    <r>
      <rPr>
        <sz val="11"/>
        <rFont val="Cambria"/>
        <family val="0"/>
        <charset val="1"/>
      </rPr>
      <t xml:space="preserve">-KY</t>
    </r>
    <r>
      <rPr>
        <sz val="11"/>
        <rFont val="Noto Sans CJK SC"/>
        <family val="2"/>
      </rPr>
      <t xml:space="preserve">、博智、</t>
    </r>
    <r>
      <rPr>
        <sz val="11"/>
        <rFont val="Cambria"/>
        <family val="0"/>
        <charset val="1"/>
      </rPr>
      <t xml:space="preserve">TTM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</si>
  <si>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頁灰底）。十年平均淨利率未找到（</t>
    </r>
    <r>
      <rPr>
        <sz val="11"/>
        <rFont val="Cambria"/>
        <family val="0"/>
        <charset val="1"/>
      </rPr>
      <t xml:space="preserve">2016–2020 </t>
    </r>
    <r>
      <rPr>
        <sz val="11"/>
        <rFont val="Noto Sans CJK SC"/>
        <family val="2"/>
      </rPr>
      <t xml:space="preserve">營收與淨利缺），依工作單以情境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</si>
  <si>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、份額相對值／價格指數／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、取低值）；產能、非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成長、每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金額各情境相同。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</si>
  <si>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</si>
  <si>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金額沿用勝宏模型（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水準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、世代指數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），其升級主要來自 </t>
    </r>
    <r>
      <rPr>
        <sz val="11"/>
        <rFont val="Cambria"/>
        <family val="0"/>
        <charset val="1"/>
      </rPr>
      <t xml:space="preserve">NVIDIA VR200 </t>
    </r>
    <r>
      <rPr>
        <sz val="11"/>
        <rFont val="Noto Sans CJK SC"/>
        <family val="2"/>
      </rPr>
      <t xml:space="preserve">中板與 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背板；金像電以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與交換器為主，參與係數 </t>
    </r>
    <r>
      <rPr>
        <sz val="11"/>
        <rFont val="Cambria"/>
        <family val="0"/>
        <charset val="1"/>
      </rPr>
      <t xml:space="preserve">w_mid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，公司未揭露產能（萬㎡）；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取媒體轉述（約兩成到三成），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成長假設反推；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億、折舊約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稅前約 </t>
    </r>
    <r>
      <rPr>
        <sz val="11"/>
        <rFont val="Cambria"/>
        <family val="0"/>
        <charset val="1"/>
      </rPr>
      <t xml:space="preserve">0.68</t>
    </r>
    <r>
      <rPr>
        <sz val="11"/>
        <rFont val="Noto Sans CJK SC"/>
        <family val="2"/>
      </rPr>
      <t xml:space="preserve">（稅負偏高，含中國子公司），未拆分；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年低獲利使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臺股同業前瞻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8–9 </t>
    </r>
    <r>
      <rPr>
        <sz val="11"/>
        <rFont val="Noto Sans CJK SC"/>
        <family val="2"/>
      </rPr>
      <t xml:space="preserve">月快取值；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</si>
  <si>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</si>
  <si>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未使用。公司原文＝金像電財報（公開資訊觀測站）、月營收公告與法說會（經媒體轉述）；公司的訂單、產品組合與產能說法為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</si>
  <si>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</si>
  <si>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</si>
  <si>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</si>
  <si>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</si>
  <si>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</si>
  <si>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</si>
  <si>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</si>
  <si>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</si>
  <si>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</si>
  <si>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</si>
  <si>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</si>
  <si>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</si>
  <si>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</si>
  <si>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</si>
  <si>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</si>
  <si>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（與勝宏、台光電模型相同）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</si>
  <si>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</si>
  <si>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</si>
  <si>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</si>
  <si>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</si>
  <si>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</si>
  <si>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</si>
  <si>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</si>
  <si>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</si>
  <si>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</si>
  <si>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</si>
  <si>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</si>
  <si>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</si>
  <si>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</si>
  <si>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</si>
  <si>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</si>
  <si>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</si>
  <si>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</si>
  <si>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</si>
  <si>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；與勝宏、台光電模型相同）</t>
    </r>
  </si>
  <si>
    <t xml:space="preserve">—</t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</si>
  <si>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</si>
  <si>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</si>
  <si>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</si>
  <si>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</si>
  <si>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</si>
  <si>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</si>
  <si>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</si>
  <si>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頁每架等值金額用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</si>
  <si>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</si>
  <si>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</si>
  <si>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</si>
  <si>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</si>
  <si>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</si>
  <si>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＝不如預期；與台積電、勝宏模型相同（＝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</si>
  <si>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</si>
  <si>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</si>
  <si>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</si>
  <si>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</si>
  <si>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</si>
  <si>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</si>
  <si>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</si>
  <si>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</si>
  <si>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</si>
  <si>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</si>
  <si>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</si>
  <si>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</si>
  <si>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</si>
  <si>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</si>
  <si>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</si>
  <si>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</si>
  <si>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</si>
  <si>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</si>
  <si>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與台光電、台達電、廣達模型相同（</t>
    </r>
    <r>
      <rPr>
        <sz val="11"/>
        <color theme="1"/>
        <rFont val="Calibri"/>
        <family val="2"/>
        <charset val="1"/>
      </rPr>
      <t xml:space="preserve">emc/dist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</si>
  <si>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</si>
  <si>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金額（口徑與勝宏一致：唯讀 </t>
    </r>
    <r>
      <rPr>
        <b val="true"/>
        <sz val="11"/>
        <rFont val="Cambria"/>
        <family val="0"/>
        <charset val="1"/>
      </rPr>
      <t xml:space="preserve">victory_giant/dist Units </t>
    </r>
    <r>
      <rPr>
        <b val="true"/>
        <sz val="11"/>
        <rFont val="Noto Sans CJK SC"/>
        <family val="2"/>
      </rPr>
      <t xml:space="preserve">頁）與金像電份額</t>
    </r>
  </si>
  <si>
    <t xml:space="preserve">vg_cmp26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</si>
  <si>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</si>
  <si>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t xml:space="preserve">US$M/GW</t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</si>
  <si>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Units!C5:F5</t>
    </r>
  </si>
  <si>
    <r>
      <rPr>
        <sz val="11"/>
        <color theme="1"/>
        <rFont val="Noto Sans CJK SC"/>
        <family val="2"/>
      </rPr>
      <t xml:space="preserve">唯讀勝宏模型成品（本專案每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金額權威；</t>
    </r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世代指數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</si>
  <si>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vg_cmp27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</si>
  <si>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</si>
  <si>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vg_cmp28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</si>
  <si>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</si>
  <si>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vg_cmp29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</si>
  <si>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模組、運算匣主板）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</si>
  <si>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vg_sw26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</si>
  <si>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</si>
  <si>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</si>
  <si>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t xml:space="preserve">vg_sw27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</si>
  <si>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</si>
  <si>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vg_sw28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</si>
  <si>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</si>
  <si>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vg_sw29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</si>
  <si>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</si>
  <si>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vg_mid26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</si>
  <si>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（勝宏模型）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</si>
  <si>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</si>
  <si>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vg_mid27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</si>
  <si>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（勝宏模型）</t>
    </r>
  </si>
  <si>
    <t xml:space="preserve">vg_mid28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</si>
  <si>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（勝宏模型）</t>
    </r>
  </si>
  <si>
    <t xml:space="preserve">vg_mid29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</si>
  <si>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（勝宏模型）</t>
    </r>
  </si>
  <si>
    <t xml:space="preserve">w_mid</t>
  </si>
  <si>
    <r>
      <rPr>
        <sz val="11"/>
        <color theme="1"/>
        <rFont val="Noto Sans CJK SC"/>
        <family val="2"/>
      </rPr>
      <t xml:space="preserve">金像電對中板／背板／其他的參與係數（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＝與加速器卡、交換器板相同）</t>
    </r>
  </si>
  <si>
    <r>
      <rPr>
        <sz val="11"/>
        <color theme="1"/>
        <rFont val="Noto Sans CJK SC"/>
        <family val="2"/>
      </rPr>
      <t xml:space="preserve">金像電以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伺服器主板（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交換器板為主（優分析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正交背板的參與度：未找到</t>
    </r>
  </si>
  <si>
    <t xml:space="preserve">低＝不參與、高＝與其他兩項相同</t>
  </si>
  <si>
    <t xml:space="preserve">pgwf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</si>
  <si>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金額成長倍率（套在勝宏模型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的增量上；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</si>
  <si>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勝宏模型的世代升級主要來自 </t>
    </r>
    <r>
      <rPr>
        <sz val="11"/>
        <color theme="1"/>
        <rFont val="Calibri"/>
        <family val="2"/>
        <charset val="1"/>
      </rPr>
      <t xml:space="preserve">NVIDIA 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背板；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主板改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混壓也提高每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</si>
  <si>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基準＝與勝宏模型相同</t>
  </si>
  <si>
    <t xml:space="preserve">rel_27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</si>
  <si>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</si>
  <si>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風險：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主板設計由高層數（</t>
    </r>
    <r>
      <rPr>
        <sz val="11"/>
        <color theme="1"/>
        <rFont val="Calibri"/>
        <family val="2"/>
        <charset val="1"/>
      </rPr>
      <t xml:space="preserve">HLC</t>
    </r>
    <r>
      <rPr>
        <sz val="11"/>
        <color theme="1"/>
        <rFont val="Noto Sans CJK SC"/>
        <family val="2"/>
      </rPr>
      <t xml:space="preserve">）轉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HLC </t>
    </r>
    <r>
      <rPr>
        <sz val="11"/>
        <color theme="1"/>
        <rFont val="Noto Sans CJK SC"/>
        <family val="2"/>
      </rPr>
      <t xml:space="preserve">混壓（</t>
    </r>
    <r>
      <rPr>
        <sz val="11"/>
        <color theme="1"/>
        <rFont val="Calibri"/>
        <family val="2"/>
        <charset val="1"/>
      </rPr>
      <t xml:space="preserve">Trainium4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新世代），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股價修正逾五成；公司以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混壓因應（優分析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</si>
  <si>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利多：另一家美國雲端業者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主板訂單、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私募入股（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）；對手健鼎、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、勝宏、沪电擴產</t>
    </r>
  </si>
  <si>
    <t xml:space="preserve">rel_28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</si>
  <si>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</si>
  <si>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</si>
  <si>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金像電份額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</si>
  <si>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</si>
  <si>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</si>
  <si>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成長動能含價格改善、產能吃緊（優分析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</si>
  <si>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新產能（中壢、蘇州二廠、泰國二廠）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年下半年起開出後價格回落（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</si>
  <si>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</si>
  <si>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</si>
  <si>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</si>
  <si>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</si>
  <si>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價格指數；各情境相同）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</si>
  <si>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</si>
  <si>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</si>
  <si>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億）；台灣、蘇州、常熟、泰國同步擴產；台灣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下半年產能較去年增約五成、泰國產能年增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倍（理財周刊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</si>
  <si>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蘇州二廠、泰國二廠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年下半年量產；中壢新廠投資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董事會）；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每年一座新廠（優分析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再通過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億元土地與資本支出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</si>
  <si>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</si>
  <si>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</si>
  <si>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指數下限據此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</si>
  <si>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</si>
  <si>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</si>
  <si>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t xml:space="preserve">同上；每年一座新廠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</si>
  <si>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</si>
  <si>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</si>
  <si>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</si>
  <si>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https://uanalyze.com.tw/articles/6187254928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占比由約兩成升至約五成（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</si>
  <si>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公司法說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伺服器（一般＋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未單獨揭露（富果整理）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</si>
  <si>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</si>
  <si>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營收年增（一般伺服器、網通、筆電、其他）</t>
    </r>
  </si>
  <si>
    <r>
      <rPr>
        <sz val="11"/>
        <color theme="1"/>
        <rFont val="Noto Sans CJK SC"/>
        <family val="2"/>
      </rPr>
      <t xml:space="preserve">一般伺服器平台換代與價格改善（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</si>
  <si>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：分析師稱 </t>
    </r>
    <r>
      <rPr>
        <sz val="11"/>
        <color theme="1"/>
        <rFont val="Calibri"/>
        <family val="2"/>
        <charset val="1"/>
      </rPr>
      <t xml:space="preserve">2Q26 AI </t>
    </r>
    <r>
      <rPr>
        <sz val="11"/>
        <color theme="1"/>
        <rFont val="Noto Sans CJK SC"/>
        <family val="2"/>
      </rPr>
      <t xml:space="preserve">相關約占 </t>
    </r>
    <r>
      <rPr>
        <sz val="11"/>
        <color theme="1"/>
        <rFont val="Calibri"/>
        <family val="2"/>
        <charset val="1"/>
      </rPr>
      <t xml:space="preserve">40–50%</t>
    </r>
    <r>
      <rPr>
        <sz val="11"/>
        <color theme="1"/>
        <rFont val="Noto Sans CJK SC"/>
        <family val="2"/>
      </rPr>
      <t xml:space="preserve">、伺服器約 </t>
    </r>
    <r>
      <rPr>
        <sz val="11"/>
        <color theme="1"/>
        <rFont val="Calibri"/>
        <family val="2"/>
        <charset val="1"/>
      </rPr>
      <t xml:space="preserve">78%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</si>
  <si>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</si>
  <si>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</si>
  <si>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與高階板（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</si>
  <si>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</si>
  <si>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</si>
  <si>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</si>
  <si>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</si>
  <si>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</si>
  <si>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</si>
  <si>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相關（高層數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交換器板）毛利率高於其他營收的幅度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</si>
  <si>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</si>
  <si>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FY2024 29.3% → FY2025 32.8% → 1H26 34.7%</t>
    </r>
    <r>
      <rPr>
        <sz val="11"/>
        <color theme="1"/>
        <rFont val="Noto Sans CJK SC"/>
        <family val="2"/>
      </rPr>
      <t xml:space="preserve">，同期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占比由約兩成升至約五成</t>
    </r>
  </si>
  <si>
    <r>
      <rPr>
        <sz val="11"/>
        <color theme="1"/>
        <rFont val="Noto Sans CJK SC"/>
        <family val="2"/>
      </rPr>
      <t xml:space="preserve">泰國廠由一般伺服器板轉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高單價板（優分析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</si>
  <si>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</si>
  <si>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</si>
  <si>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起毛利率逐季上升（優分析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）；新廠（楊梅租賃廠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、中壢、泰國二廠）爬坡期折舊與良率壓力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</si>
  <si>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</si>
  <si>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</si>
  <si>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</si>
  <si>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（新廠爬坡完成、組合；不含價格；情境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</si>
  <si>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上旬，截至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</si>
  <si>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</si>
  <si>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</si>
  <si>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</si>
  <si>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</si>
  <si>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https://stockanalysis.com/quote/tpe/2368/financials/?p=quarterly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19,313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5,185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3,484 </t>
    </r>
    <r>
      <rPr>
        <sz val="11"/>
        <color theme="1"/>
        <rFont val="Noto Sans CJK SC"/>
        <family val="2"/>
      </rPr>
      <t xml:space="preserve">百萬元、稅前淨利率 </t>
    </r>
    <r>
      <rPr>
        <sz val="11"/>
        <color theme="1"/>
        <rFont val="Calibri"/>
        <family val="2"/>
        <charset val="1"/>
      </rPr>
      <t xml:space="preserve">26.34%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</si>
  <si>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2Q26 242.79 </t>
    </r>
    <r>
      <rPr>
        <sz val="11"/>
        <color theme="1"/>
        <rFont val="Noto Sans CJK SC"/>
        <family val="2"/>
      </rPr>
      <t xml:space="preserve">億（相減得 </t>
    </r>
    <r>
      <rPr>
        <sz val="11"/>
        <color theme="1"/>
        <rFont val="Calibri"/>
        <family val="2"/>
        <charset val="1"/>
      </rPr>
      <t xml:space="preserve">1Q26 193.13 </t>
    </r>
    <r>
      <rPr>
        <sz val="11"/>
        <color theme="1"/>
        <rFont val="Noto Sans CJK SC"/>
        <family val="2"/>
      </rPr>
      <t xml:space="preserve">億）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</si>
  <si>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</si>
  <si>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</si>
  <si>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https://finance.technews.tw/2026/10/08/gce-2368-202609-financial-report/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103.84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</si>
  <si>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297.18 </t>
    </r>
    <r>
      <rPr>
        <sz val="11"/>
        <color theme="1"/>
        <rFont val="Noto Sans CJK SC"/>
        <family val="2"/>
      </rPr>
      <t xml:space="preserve">億（同值）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</si>
  <si>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</si>
  <si>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</si>
  <si>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開始出貨、楊梅租賃廠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開出（優分析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</si>
  <si>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月營收月減 </t>
    </r>
    <r>
      <rPr>
        <sz val="11"/>
        <color theme="1"/>
        <rFont val="Calibri"/>
        <family val="2"/>
        <charset val="1"/>
      </rPr>
      <t xml:space="preserve">10.2%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</si>
  <si>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</si>
  <si>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</si>
  <si>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34.81%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</si>
  <si>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分析師：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起逐季上升（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</si>
  <si>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</si>
  <si>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</si>
  <si>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：毛利 </t>
    </r>
    <r>
      <rPr>
        <sz val="11"/>
        <color theme="1"/>
        <rFont val="Calibri"/>
        <family val="2"/>
        <charset val="1"/>
      </rPr>
      <t xml:space="preserve">151.35 −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116.02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35.33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</si>
  <si>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</si>
  <si>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</si>
  <si>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</si>
  <si>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− 營業利益＝−</t>
    </r>
    <r>
      <rPr>
        <sz val="11"/>
        <color theme="1"/>
        <rFont val="Calibri"/>
        <family val="2"/>
        <charset val="1"/>
      </rPr>
      <t xml:space="preserve">0.10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由淨利 </t>
    </r>
    <r>
      <rPr>
        <sz val="11"/>
        <color theme="1"/>
        <rFont val="Calibri"/>
        <family val="2"/>
        <charset val="1"/>
      </rPr>
      <t xml:space="preserve">÷ q_nir </t>
    </r>
    <r>
      <rPr>
        <sz val="11"/>
        <color theme="1"/>
        <rFont val="Noto Sans CJK SC"/>
        <family val="2"/>
      </rPr>
      <t xml:space="preserve">推算約 </t>
    </r>
    <r>
      <rPr>
        <sz val="11"/>
        <color theme="1"/>
        <rFont val="Calibri"/>
        <family val="2"/>
        <charset val="1"/>
      </rPr>
      <t xml:space="preserve">+0.57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</si>
  <si>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可轉債利息、匯兌損益不外推</t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</si>
  <si>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</si>
  <si>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</si>
  <si>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34.84 ÷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193.13 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26.34%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0.685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</si>
  <si>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96.07 ÷ 141.73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）；含中國子公司盈餘匯回與未分配盈餘稅（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</si>
  <si>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</si>
  <si>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</si>
  <si>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</si>
  <si>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16.14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</si>
  <si>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理財周刊引 </t>
    </r>
    <r>
      <rPr>
        <sz val="11"/>
        <color theme="1"/>
        <rFont val="Calibri"/>
        <family val="2"/>
        <charset val="1"/>
      </rPr>
      <t xml:space="preserve">1H26 EPS 16.17</t>
    </r>
    <r>
      <rPr>
        <sz val="11"/>
        <color theme="1"/>
        <rFont val="Noto Sans CJK SC"/>
        <family val="2"/>
      </rPr>
      <t xml:space="preserve">（差異未說明）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</si>
  <si>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</si>
  <si>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下半年股數（十億股；含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185.6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</si>
  <si>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511.90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</si>
  <si>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1,856,308 </t>
    </r>
    <r>
      <rPr>
        <sz val="11"/>
        <color theme="1"/>
        <rFont val="Noto Sans CJK SC"/>
        <family val="2"/>
      </rPr>
      <t xml:space="preserve">股、每股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Noto Sans CJK SC"/>
        <family val="2"/>
      </rPr>
      <t xml:space="preserve">元（理財周刊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</si>
  <si>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</si>
  <si>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</si>
  <si>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</si>
  <si>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9.4% → 1H26 8.1%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+68%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</si>
  <si>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外資：成長三支柱含嚴格費用控制（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</si>
  <si>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</si>
  <si>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</si>
  <si>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</si>
  <si>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</si>
  <si>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</si>
  <si>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</si>
  <si>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+1.30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</si>
  <si>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年發行逾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億元無擔保可轉債（鉅亨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</si>
  <si>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</si>
  <si>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</si>
  <si>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0.685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0.678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</si>
  <si>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</si>
  <si>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股數年變動（可轉債轉換、員工酬勞）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</si>
  <si>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億元可轉債（鉅亨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</si>
  <si>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提示可轉債稀釋風險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</si>
  <si>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</si>
  <si>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</si>
  <si>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</si>
  <si>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</si>
  <si>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共識、券商與上游（只作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</si>
  <si>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</si>
  <si>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</si>
  <si>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https://www.marketscreener.com/quote/stock/GOLD-CIRCUIT-ELECTRONICS--6496480/valuation/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擷取，參考價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</si>
  <si>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1,063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</si>
  <si>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</si>
  <si>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</si>
  <si>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</si>
  <si>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https://www.marketscreener.com/quote/stock/GOLD-CIRCUIT-ELECTRONICS--6496480/valuation/</t>
  </si>
  <si>
    <r>
      <rPr>
        <sz val="11"/>
        <color theme="1"/>
        <rFont val="Calibri"/>
        <family val="2"/>
        <charset val="1"/>
      </rPr>
      <t xml:space="preserve">stockanalysis FY2026 41.45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37.24–46.54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</si>
  <si>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</si>
  <si>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</si>
  <si>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</si>
  <si>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</si>
  <si>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</si>
  <si>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</si>
  <si>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</si>
  <si>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</si>
  <si>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</si>
  <si>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</si>
  <si>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https://www.moneyweekly.com.tw/_Article?AID=255441</t>
    </r>
    <r>
      <rPr>
        <sz val="11"/>
        <color theme="1"/>
        <rFont val="Noto Sans CJK SC"/>
        <family val="2"/>
      </rPr>
      <t xml:space="preserve">（理財周刊轉引）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</si>
  <si>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</si>
  <si>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</si>
  <si>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67.32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</si>
  <si>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</si>
  <si>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</si>
  <si>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</si>
  <si>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，目標價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</si>
  <si>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https://finance.technews.tw/2026/05/13/three-pillars/</t>
  </si>
  <si>
    <t xml:space="preserve">券商名未載明</t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</si>
  <si>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</si>
  <si>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</si>
  <si>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</si>
  <si>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</si>
  <si>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vg_pgw26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</si>
  <si>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</si>
  <si>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</si>
  <si>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唯讀勝宏成品（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</si>
  <si>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</si>
  <si>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</si>
  <si>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vg_pgw27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</si>
  <si>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</si>
  <si>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</si>
  <si>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</si>
  <si>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vg_pgw28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</si>
  <si>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</si>
  <si>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</si>
  <si>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</si>
  <si>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vg_pgw29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</si>
  <si>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</si>
  <si>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</si>
  <si>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</si>
  <si>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</si>
  <si>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</si>
  <si>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vg_pge26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</si>
  <si>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</si>
  <si>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Units!C16:F16</t>
    </r>
  </si>
  <si>
    <t xml:space="preserve">唯讀勝宏成品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</si>
  <si>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</si>
  <si>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</si>
  <si>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vg_pge27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</si>
  <si>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</si>
  <si>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</si>
  <si>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</si>
  <si>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vg_pge28</t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</si>
  <si>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</si>
  <si>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t xml:space="preserve">vg_sh26</t>
  </si>
  <si>
    <r>
      <rPr>
        <sz val="11"/>
        <color theme="1"/>
        <rFont val="Noto Sans CJK SC"/>
        <family val="2"/>
      </rPr>
      <t xml:space="preserve">勝宏模型：勝宏有效份額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</si>
  <si>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victory_giant/dist/20261025_</t>
    </r>
    <r>
      <rPr>
        <sz val="11"/>
        <color theme="1"/>
        <rFont val="Noto Sans CJK SC"/>
        <family val="2"/>
      </rPr>
      <t xml:space="preserve">勝宏科技模型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Units!C13:F13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</si>
  <si>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</si>
  <si>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</si>
  <si>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</si>
  <si>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6.69%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1,195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</si>
  <si>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、聚財網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1,115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</si>
  <si>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</si>
  <si>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</si>
  <si>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https://stockanalysis.com/quote/tpe/2368/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</si>
  <si>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28.02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</si>
  <si>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</si>
  <si>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</si>
  <si>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</si>
  <si>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</si>
  <si>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</si>
  <si>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</si>
  <si>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</si>
  <si>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</si>
  <si>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</si>
  <si>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https://stockanalysis.com/quote/tpe/2368/forecast/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850–1,955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</si>
  <si>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</si>
  <si>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</si>
  <si>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</si>
  <si>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</si>
  <si>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</si>
  <si>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</si>
  <si>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</si>
  <si>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</si>
  <si>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</si>
  <si>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</si>
  <si>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</si>
  <si>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</si>
  <si>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</si>
  <si>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</si>
  <si>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</si>
  <si>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</si>
  <si>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</si>
  <si>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</si>
  <si>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</si>
  <si>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</si>
  <si>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</si>
  <si>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</si>
  <si>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</si>
  <si>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</si>
  <si>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</si>
  <si>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22.65%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35.07%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</si>
  <si>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ROE 45.95%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</si>
  <si>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</si>
  <si>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</si>
  <si>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</si>
  <si>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</si>
  <si>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</si>
  <si>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</si>
  <si>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</si>
  <si>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</si>
  <si>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</si>
  <si>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</si>
  <si>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</si>
  <si>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</si>
  <si>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</si>
  <si>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</si>
  <si>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</si>
  <si>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</si>
  <si>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</si>
  <si>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</si>
  <si>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</si>
  <si>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</si>
  <si>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為新台幣；股數為十億股）。藍字＝輸入；黑字＝公式。實績取自金像電財報與月營收公告（經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</si>
  <si>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月）＋假設（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毛利與營業利益＝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11-11</t>
    </r>
    <r>
      <rPr>
        <sz val="11"/>
        <color theme="1"/>
        <rFont val="Noto Sans CJK SC"/>
        <family val="2"/>
      </rPr>
      <t xml:space="preserve">；截至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</si>
  <si>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</si>
  <si>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</si>
  <si>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</si>
  <si>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</si>
  <si>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</si>
  <si>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</si>
  <si>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</si>
  <si>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年度損益（營收 </t>
    </r>
    <r>
      <rPr>
        <sz val="11"/>
        <color theme="1"/>
        <rFont val="Calibri"/>
        <family val="2"/>
        <charset val="1"/>
      </rPr>
      <t xml:space="preserve">600.04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196.83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140.43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96.07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435.92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34.72%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82.67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</si>
  <si>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、優分析）；月營收與財報營收口徑可能略有差異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</si>
  <si>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</si>
  <si>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</si>
  <si>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67.22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</si>
  <si>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</si>
  <si>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34.72%</t>
    </r>
    <r>
      <rPr>
        <sz val="11"/>
        <color theme="1"/>
        <rFont val="Noto Sans CJK SC"/>
        <family val="2"/>
      </rPr>
      <t xml:space="preserve">（優分析）；</t>
    </r>
    <r>
      <rPr>
        <sz val="11"/>
        <color theme="1"/>
        <rFont val="Calibri"/>
        <family val="2"/>
        <charset val="1"/>
      </rPr>
      <t xml:space="preserve">FY2025 32.8%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</si>
  <si>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</si>
  <si>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</si>
  <si>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</si>
  <si>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</si>
  <si>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</si>
  <si>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51.85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</si>
  <si>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</si>
  <si>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</si>
  <si>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</si>
  <si>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</si>
  <si>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23.62%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26.34%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q_nir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</si>
  <si>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稅前：未找到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</si>
  <si>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</si>
  <si>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</si>
  <si>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96.07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82.67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2Q26 47.83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</si>
  <si>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</si>
  <si>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</si>
  <si>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</si>
  <si>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</si>
  <si>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</si>
  <si>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</si>
  <si>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19.47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19.00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1H26 16.14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</si>
  <si>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</si>
  <si>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</si>
  <si>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</si>
  <si>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</si>
  <si>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</si>
  <si>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t xml:space="preserve">一般伺服器、網通、筆電、其他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</si>
  <si>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</si>
  <si>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</si>
  <si>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</si>
  <si>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</si>
  <si>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</si>
  <si>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</si>
  <si>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</si>
  <si>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金額（口徑與勝宏模型一致，唯讀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；本專案權威在勝宏模型）、金像電參與係數、份額與產能。部署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</si>
  <si>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</si>
  <si>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</si>
  <si>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</si>
  <si>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</si>
  <si>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</si>
  <si>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</si>
  <si>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</si>
  <si>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</si>
  <si>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勝宏模型：每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</si>
  <si>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victory_giant/dist</t>
    </r>
    <r>
      <rPr>
        <sz val="11"/>
        <color theme="1"/>
        <rFont val="Noto Sans CJK SC"/>
        <family val="2"/>
      </rPr>
      <t xml:space="preserve">（口徑來源）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</si>
  <si>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</si>
  <si>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勝宏模型值；成長倍率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時相同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</si>
  <si>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</si>
  <si>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參與係數</t>
    </r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</si>
  <si>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</si>
  <si>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金額（不含價格指數）</t>
    </r>
  </si>
  <si>
    <r>
      <rPr>
        <sz val="11"/>
        <color theme="1"/>
        <rFont val="Noto Sans CJK SC"/>
        <family val="2"/>
      </rPr>
      <t xml:space="preserve">每架等值可參與金額（以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</si>
  <si>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</si>
  <si>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</si>
  <si>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Recon B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</si>
  <si>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</si>
  <si>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</si>
  <si>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金像電有效份額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</si>
  <si>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</si>
  <si>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</si>
  <si>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</si>
  <si>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</si>
  <si>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對照勝宏、台光電（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</si>
  <si>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</si>
  <si>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</si>
  <si>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</si>
  <si>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</si>
  <si>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</si>
  <si>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</si>
  <si>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其他廠商（健鼎、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、勝宏、沪电、華通等）＝ 可參與市場 − 金像電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</si>
  <si>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</si>
  <si>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份額低），不影響營收；影響營收的是金額成長（勝宏模型世代指數 </t>
    </r>
    <r>
      <rPr>
        <b val="true"/>
        <sz val="11"/>
        <rFont val="Cambria"/>
        <family val="0"/>
        <charset val="1"/>
      </rPr>
      <t xml:space="preserve">× pgwf</t>
    </r>
    <r>
      <rPr>
        <b val="true"/>
        <sz val="11"/>
        <rFont val="Noto Sans CJK SC"/>
        <family val="2"/>
      </rPr>
      <t xml:space="preserve">）、參與係數與份額相對值。產能受限的年度，營收由產值產能指數決定；擴產趕上需求後，份額與每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</si>
  <si>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金像電損益（十億新台幣；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</si>
  <si>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</si>
  <si>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</si>
  <si>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</si>
  <si>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</si>
  <si>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</si>
  <si>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</si>
  <si>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</si>
  <si>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</si>
  <si>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</si>
  <si>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</si>
  <si>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</si>
  <si>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伺服器主板、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</si>
  <si>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</si>
  <si>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</si>
  <si>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</si>
  <si>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</si>
  <si>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</si>
  <si>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</si>
  <si>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</si>
  <si>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</si>
  <si>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</si>
  <si>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</si>
  <si>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</si>
  <si>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</si>
  <si>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金額取自勝宏模型）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</si>
  <si>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</si>
  <si>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</si>
  <si>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</si>
  <si>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金像電參與係數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</si>
  <si>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</si>
  <si>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</si>
  <si>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</si>
  <si>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</si>
  <si>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金像電有效份額（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可參與市場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</si>
  <si>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；分母為本模型的可參與市場（含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</si>
  <si>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</si>
  <si>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</si>
  <si>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</si>
  <si>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</si>
  <si>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校準：公司稱產能吃緊、產線滿載，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</si>
  <si>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</si>
  <si>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</si>
  <si>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</si>
  <si>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</si>
  <si>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</si>
  <si>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</si>
  <si>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</si>
  <si>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</si>
  <si>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</si>
  <si>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</si>
  <si>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</si>
  <si>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</si>
  <si>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</si>
  <si>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</si>
  <si>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</si>
  <si>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</si>
  <si>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</si>
  <si>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</si>
  <si>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</si>
  <si>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起＝期末股數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</si>
  <si>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</si>
  <si>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</si>
  <si>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</si>
  <si>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）；份額、價格、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</si>
  <si>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</si>
  <si>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循環位置：金像電不是設備股，不套設備市場見頂年；以本模型營收最高的會計年度為見頂年（比照勝宏、台光電；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</si>
  <si>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</si>
  <si>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</si>
  <si>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</si>
  <si>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</si>
  <si>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</si>
  <si>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</si>
  <si>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</si>
  <si>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</si>
  <si>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</si>
  <si>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</si>
  <si>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</si>
  <si>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</si>
  <si>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</si>
  <si>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</si>
  <si>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</si>
  <si>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</si>
  <si>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</si>
  <si>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</si>
  <si>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</si>
  <si>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</si>
  <si>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</si>
  <si>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</si>
  <si>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</si>
  <si>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</si>
  <si>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</si>
  <si>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</si>
  <si>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</si>
  <si>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健鼎（</t>
    </r>
    <r>
      <rPr>
        <sz val="11"/>
        <color theme="1"/>
        <rFont val="Calibri"/>
        <family val="2"/>
        <charset val="1"/>
      </rPr>
      <t xml:space="preserve">Tripod Technology</t>
    </r>
    <r>
      <rPr>
        <sz val="11"/>
        <color theme="1"/>
        <rFont val="Noto Sans CJK SC"/>
        <family val="2"/>
      </rPr>
      <t xml:space="preserve">）</t>
    </r>
  </si>
  <si>
    <t xml:space="preserve">3044.TW</t>
  </si>
  <si>
    <t xml:space="preserve">2026-09-10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</si>
  <si>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</si>
  <si>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華通（</t>
    </r>
    <r>
      <rPr>
        <sz val="11"/>
        <color theme="1"/>
        <rFont val="Calibri"/>
        <family val="2"/>
        <charset val="1"/>
      </rPr>
      <t xml:space="preserve">Compeq</t>
    </r>
    <r>
      <rPr>
        <sz val="11"/>
        <color theme="1"/>
        <rFont val="Noto Sans CJK SC"/>
        <family val="2"/>
      </rPr>
      <t xml:space="preserve">）</t>
    </r>
  </si>
  <si>
    <t xml:space="preserve">2313.TW</t>
  </si>
  <si>
    <t xml:space="preserve">2026-08-20</t>
  </si>
  <si>
    <r>
      <rPr>
        <sz val="11"/>
        <color theme="1"/>
        <rFont val="Noto Sans CJK SC"/>
        <family val="2"/>
      </rPr>
      <t xml:space="preserve">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Zhen Ding</t>
    </r>
    <r>
      <rPr>
        <sz val="11"/>
        <color theme="1"/>
        <rFont val="Noto Sans CJK SC"/>
        <family val="2"/>
      </rPr>
      <t xml:space="preserve">）</t>
    </r>
  </si>
  <si>
    <t xml:space="preserve">4958.TW</t>
  </si>
  <si>
    <t xml:space="preserve">2026-08-31</t>
  </si>
  <si>
    <r>
      <rPr>
        <sz val="11"/>
        <color theme="1"/>
        <rFont val="Noto Sans CJK SC"/>
        <family val="2"/>
      </rPr>
      <t xml:space="preserve">博智（</t>
    </r>
    <r>
      <rPr>
        <sz val="11"/>
        <color theme="1"/>
        <rFont val="Calibri"/>
        <family val="2"/>
        <charset val="1"/>
      </rPr>
      <t xml:space="preserve">Allied Circuit</t>
    </r>
    <r>
      <rPr>
        <sz val="11"/>
        <color theme="1"/>
        <rFont val="Noto Sans CJK SC"/>
        <family val="2"/>
      </rPr>
      <t xml:space="preserve">）</t>
    </r>
  </si>
  <si>
    <t xml:space="preserve">8155.TWO</t>
  </si>
  <si>
    <t xml:space="preserve">2026-08-14</t>
  </si>
  <si>
    <t xml:space="preserve">TTM Technologies</t>
  </si>
  <si>
    <t xml:space="preserve">TTMI</t>
  </si>
  <si>
    <t xml:space="preserve">2026-10-23</t>
  </si>
  <si>
    <r>
      <rPr>
        <sz val="11"/>
        <color theme="1"/>
        <rFont val="Noto Sans CJK SC"/>
        <family val="2"/>
      </rPr>
      <t xml:space="preserve">並列參考（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股，不進目標價）：勝宏科技 </t>
    </r>
    <r>
      <rPr>
        <sz val="11"/>
        <color theme="1"/>
        <rFont val="Calibri"/>
        <family val="2"/>
        <charset val="1"/>
      </rPr>
      <t xml:space="preserve">300476.SZ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）、沪电股份 </t>
    </r>
    <r>
      <rPr>
        <sz val="11"/>
        <color theme="1"/>
        <rFont val="Calibri"/>
        <family val="2"/>
        <charset val="1"/>
      </rPr>
      <t xml:space="preserve">002463.SZ 20.7x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</si>
  <si>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</si>
  <si>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臺美伺服器、網通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（臺股媒體與券商常用比較組）；定穎投控、瀚宇博前瞻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</si>
  <si>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</si>
  <si>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</si>
  <si>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</si>
  <si>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</si>
  <si>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</si>
  <si>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</si>
  <si>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</si>
  <si>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</si>
  <si>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</si>
  <si>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</si>
  <si>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1,554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1,610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</si>
  <si>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</si>
  <si>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</si>
  <si>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</si>
  <si>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</si>
  <si>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</si>
  <si>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</si>
  <si>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</si>
  <si>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</si>
  <si>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</si>
  <si>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</si>
  <si>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</si>
  <si>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明確期＋永續；金像電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，折舊約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億），本模型未建資本支出與折舊，未改用淨利＋折舊－資本支出，擴產期現金流偏高估。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：健鼎、華通、臻鼎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、博智、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股；臺股同業價格多為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月快取，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倍數低），方向不確定。情境對應：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＝順利（顆數基準、份額價格高值）、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</si>
  <si>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</si>
  <si>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</si>
  <si>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</si>
  <si>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</si>
  <si>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</si>
  <si>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</si>
  <si>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</si>
  <si>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</si>
  <si>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</si>
  <si>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</si>
  <si>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</si>
  <si>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</si>
  <si>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</si>
  <si>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</si>
  <si>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</si>
  <si>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</si>
  <si>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</si>
  <si>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</si>
  <si>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</si>
  <si>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</si>
  <si>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</si>
  <si>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</si>
  <si>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</si>
  <si>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</si>
  <si>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</si>
  <si>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</si>
  <si>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</si>
  <si>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</si>
  <si>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</si>
  <si>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</si>
  <si>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</si>
  <si>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</si>
  <si>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</si>
  <si>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</si>
  <si>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</si>
  <si>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年虧損留空）；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43.2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被低獲利放大（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69x</t>
    </r>
    <r>
      <rPr>
        <sz val="11"/>
        <color theme="1"/>
        <rFont val="Noto Sans CJK SC"/>
        <family val="2"/>
      </rPr>
      <t xml:space="preserve">），十年分布偏高。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</si>
  <si>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</si>
  <si>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</si>
  <si>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</si>
  <si>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MarketScreener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</si>
  <si>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</si>
  <si>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</si>
  <si>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聚財網、</t>
    </r>
    <r>
      <rPr>
        <sz val="11"/>
        <color theme="1"/>
        <rFont val="Calibri"/>
        <family val="2"/>
        <charset val="1"/>
      </rPr>
      <t xml:space="preserve">2021–2025 stockanalysis</t>
    </r>
    <r>
      <rPr>
        <sz val="11"/>
        <color theme="1"/>
        <rFont val="Noto Sans CJK SC"/>
        <family val="2"/>
      </rPr>
      <t xml:space="preserve">／公司；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−0.50 </t>
    </r>
    <r>
      <rPr>
        <sz val="11"/>
        <color theme="1"/>
        <rFont val="Noto Sans CJK SC"/>
        <family val="2"/>
      </rPr>
      <t xml:space="preserve">為虧損，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無意義，留空；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</si>
  <si>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</si>
  <si>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</si>
  <si>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</si>
  <si>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</si>
  <si>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</si>
  <si>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</si>
  <si>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</si>
  <si>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</si>
  <si>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</si>
  <si>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</si>
  <si>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</si>
  <si>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</si>
  <si>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</si>
  <si>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</si>
  <si>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</si>
  <si>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</si>
  <si>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</si>
  <si>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</si>
  <si>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</si>
  <si>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</si>
  <si>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</si>
  <si>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</si>
  <si>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</si>
  <si>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</si>
  <si>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</si>
  <si>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</si>
  <si>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</si>
  <si>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</si>
  <si>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</si>
  <si>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</si>
  <si>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</si>
  <si>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</si>
  <si>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</si>
  <si>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</si>
  <si>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</si>
  <si>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</si>
  <si>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</si>
  <si>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</si>
  <si>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</si>
  <si>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</si>
  <si>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</si>
  <si>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</si>
  <si>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</si>
  <si>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</si>
  <si>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</si>
  <si>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8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1,063 </t>
    </r>
    <r>
      <rPr>
        <sz val="11"/>
        <color theme="1"/>
        <rFont val="Noto Sans CJK SC"/>
        <family val="2"/>
      </rPr>
      <t xml:space="preserve">億；共識隱含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</si>
  <si>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</si>
  <si>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</si>
  <si>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月上旬）前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</si>
  <si>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</si>
  <si>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</si>
  <si>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</si>
  <si>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</si>
  <si>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</si>
  <si>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（理財周刊轉引）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</si>
  <si>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</si>
  <si>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（外資，名稱未載明）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</si>
  <si>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1,310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</si>
  <si>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</si>
  <si>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</si>
  <si>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</si>
  <si>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勝宏模型、台光電每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</si>
  <si>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</si>
  <si>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victory_giant/dist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</si>
  <si>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差距只來自中板／背板參與係數 </t>
    </r>
    <r>
      <rPr>
        <sz val="11"/>
        <color theme="1"/>
        <rFont val="Calibri"/>
        <family val="2"/>
        <charset val="1"/>
      </rPr>
      <t xml:space="preserve">w_mid</t>
    </r>
    <r>
      <rPr>
        <sz val="11"/>
        <color theme="1"/>
        <rFont val="Noto Sans CJK SC"/>
        <family val="2"/>
      </rPr>
      <t xml:space="preserve">（與成長倍率 </t>
    </r>
    <r>
      <rPr>
        <sz val="11"/>
        <color theme="1"/>
        <rFont val="Calibri"/>
        <family val="2"/>
        <charset val="1"/>
      </rPr>
      <t xml:space="preserve">pgwf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</si>
  <si>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</si>
  <si>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</si>
  <si>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</si>
  <si>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</si>
  <si>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；勝宏模型已註明 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倍，低於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每架口徑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倍（範圍不同）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</si>
  <si>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可參與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台光電模型每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</si>
  <si>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CCL</t>
    </r>
  </si>
  <si>
    <t xml:space="preserve">emc/dist</t>
  </si>
  <si>
    <t xml:space="preserve">世代升級幅度的對照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</si>
  <si>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</si>
  <si>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t xml:space="preserve">victory_giant/dist</t>
  </si>
  <si>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廠；勝宏較偏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HDI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</si>
  <si>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</si>
  <si>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</si>
  <si>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</si>
  <si>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</si>
  <si>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金像電有效份額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勝宏有效份額（勝宏模型）</t>
    </r>
  </si>
  <si>
    <r>
      <rPr>
        <sz val="11"/>
        <color theme="1"/>
        <rFont val="Noto Sans CJK SC"/>
        <family val="2"/>
      </rPr>
      <t xml:space="preserve">分母不同：本模型為可參與市場（中板 </t>
    </r>
    <r>
      <rPr>
        <sz val="11"/>
        <color theme="1"/>
        <rFont val="Calibri"/>
        <family val="2"/>
        <charset val="1"/>
      </rPr>
      <t xml:space="preserve">× w_mid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</si>
  <si>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</si>
  <si>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</si>
  <si>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</si>
  <si>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</si>
  <si>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</si>
  <si>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</si>
  <si>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</si>
  <si>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</si>
  <si>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26.43%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</si>
  <si>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2026-10-14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</si>
  <si>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</si>
  <si>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</si>
  <si>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</si>
  <si>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</si>
  <si>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</si>
  <si>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</si>
  <si>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</si>
  <si>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</si>
  <si>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</si>
  <si>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</si>
  <si>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</si>
  <si>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</si>
  <si>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</si>
  <si>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</si>
  <si>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</si>
  <si>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</si>
  <si>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</si>
  <si>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</si>
  <si>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</si>
  <si>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</si>
  <si>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勝宏模型每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金額增量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</si>
  <si>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</si>
  <si>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×1.3</t>
    </r>
  </si>
  <si>
    <t xml:space="preserve">中板／背板不參與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</si>
  <si>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0</t>
    </r>
  </si>
  <si>
    <t xml:space="preserve">中板／背板全參與</t>
  </si>
  <si>
    <r>
      <rPr>
        <sz val="11"/>
        <color theme="1"/>
        <rFont val="Noto Sans CJK SC"/>
        <family val="2"/>
      </rPr>
      <t xml:space="preserve">參與係數 </t>
    </r>
    <r>
      <rPr>
        <sz val="11"/>
        <color theme="1"/>
        <rFont val="Calibri"/>
        <family val="2"/>
        <charset val="1"/>
      </rPr>
      <t xml:space="preserve">1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</si>
  <si>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</si>
  <si>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混壓情境）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</si>
  <si>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</si>
  <si>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</si>
  <si>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</si>
  <si>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</si>
  <si>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</si>
  <si>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</si>
  <si>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</si>
  <si>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2029 1.90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</si>
  <si>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</si>
  <si>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</si>
  <si>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</si>
  <si>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</si>
  <si>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</si>
  <si>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</si>
  <si>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</si>
  <si>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</si>
  <si>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</si>
  <si>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</si>
  <si>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</si>
  <si>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</si>
  <si>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14pt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</si>
  <si>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</si>
  <si>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</si>
  <si>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</si>
  <si>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</si>
  <si>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+8%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</si>
  <si>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</si>
  <si>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</si>
  <si>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</si>
  <si>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0.685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</si>
  <si>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</si>
  <si>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</si>
  <si>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</si>
  <si>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</si>
  <si>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＋份額、價格、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</si>
  <si>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</si>
  <si>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</si>
  <si>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</si>
  <si>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</si>
  <si>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</si>
  <si>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</si>
  <si>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</si>
  <si>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</si>
  <si>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</si>
  <si>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</si>
  <si>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</si>
  <si>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</si>
  <si>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</si>
  <si>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</si>
  <si>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</si>
  <si>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</si>
  <si>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</si>
  <si>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</si>
  <si>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</si>
  <si>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案例區塊：中板／背板不參與（情境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</si>
  <si>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案例區塊：中板／背板全參與（情境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</si>
  <si>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</si>
  <si>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</si>
  <si>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</si>
  <si>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</si>
  <si>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</si>
  <si>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</si>
  <si>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</si>
  <si>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</si>
  <si>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</si>
  <si>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</si>
  <si>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</si>
  <si>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</si>
  <si>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</si>
  <si>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</si>
  <si>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</si>
  <si>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</si>
  <si>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</si>
  <si>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來源（公司原文＝金像電財報、月營收公告與法說會，經資料商與媒體轉述；券商與媒體估計皆為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</si>
  <si>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月營收）</t>
    </r>
  </si>
  <si>
    <t xml:space="preserve">https://uanalyze.com.tw/articles/7465753217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</si>
  <si>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1Q25–1Q26 </t>
    </r>
    <r>
      <rPr>
        <sz val="11"/>
        <color theme="1"/>
        <rFont val="Noto Sans CJK SC"/>
        <family val="2"/>
      </rPr>
      <t xml:space="preserve">營收、毛利、營業利益、稅前淨利率、淨利）</t>
    </r>
  </si>
  <si>
    <t xml:space="preserve">https://stockanalysis.com/quote/tpe/2368/financials/?p=quarterly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</si>
  <si>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93.20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733.79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</si>
  <si>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https://finance.technews.tw/2026/10/08/gce-2368-202609-financial-report/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</si>
  <si>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占比約五成、泰國廠產值、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資本支出、中壢新廠、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設計風險）</t>
    </r>
  </si>
  <si>
    <t xml:space="preserve">https://uanalyze.com.tw/articles/6187254928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</si>
  <si>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私募、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Noto Sans CJK SC"/>
        <family val="2"/>
      </rPr>
      <t xml:space="preserve">億元資本支出）</t>
    </r>
  </si>
  <si>
    <t xml:space="preserve">https://uanalyze.com.tw/articles/9313556134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</si>
  <si>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營業利益率與淨利率、</t>
    </r>
    <r>
      <rPr>
        <sz val="11"/>
        <color theme="1"/>
        <rFont val="Calibri"/>
        <family val="2"/>
        <charset val="1"/>
      </rPr>
      <t xml:space="preserve">FactSet EPS </t>
    </r>
    <r>
      <rPr>
        <sz val="11"/>
        <color theme="1"/>
        <rFont val="Noto Sans CJK SC"/>
        <family val="2"/>
      </rPr>
      <t xml:space="preserve">中位數、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私募股數）</t>
    </r>
  </si>
  <si>
    <t xml:space="preserve">https://www.moneyweekly.com.tw/_Article?AID=255441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</si>
  <si>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Noto Sans CJK SC"/>
        <family val="2"/>
      </rPr>
      <t xml:space="preserve">億、各廠擴產時程、產能年增）</t>
    </r>
  </si>
  <si>
    <t xml:space="preserve">https://www.moneyweekly.com.tw/_Article?AID=250910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</si>
  <si>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2026-03-10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 19.47</t>
    </r>
    <r>
      <rPr>
        <sz val="11"/>
        <color theme="1"/>
        <rFont val="Noto Sans CJK SC"/>
        <family val="2"/>
      </rPr>
      <t xml:space="preserve">、股利、擴產）</t>
    </r>
  </si>
  <si>
    <t xml:space="preserve">https://uanalyze.com.tw/articles/8548248766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</si>
  <si>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</si>
  <si>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https://money.udn.com/money/amp/story/5607/9371693</t>
  </si>
  <si>
    <r>
      <rPr>
        <sz val="11"/>
        <color theme="1"/>
        <rFont val="Noto Sans CJK SC"/>
        <family val="2"/>
      </rPr>
      <t xml:space="preserve">公司法說（富果整理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產品組合、資本支出、生產基地）</t>
    </r>
  </si>
  <si>
    <t xml:space="preserve">https://blog.fugle.tw/post/earnings-call-2368-2025-11-28</t>
  </si>
  <si>
    <r>
      <rPr>
        <sz val="11"/>
        <color theme="1"/>
        <rFont val="Noto Sans CJK SC"/>
        <family val="2"/>
      </rPr>
      <t xml:space="preserve">二手：鉅亨 </t>
    </r>
    <r>
      <rPr>
        <sz val="11"/>
        <color theme="1"/>
        <rFont val="Calibri"/>
        <family val="2"/>
        <charset val="1"/>
      </rPr>
      <t xml:space="preserve">2025-09-26</t>
    </r>
    <r>
      <rPr>
        <sz val="11"/>
        <color theme="1"/>
        <rFont val="Noto Sans CJK SC"/>
        <family val="2"/>
      </rPr>
      <t xml:space="preserve">（可轉債逾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億元、泰國一二期）</t>
    </r>
  </si>
  <si>
    <t xml:space="preserve">https://m.cnyes.com/news/id/6169890</t>
  </si>
  <si>
    <r>
      <rPr>
        <sz val="11"/>
        <color theme="1"/>
        <rFont val="Noto Sans CJK SC"/>
        <family val="2"/>
      </rPr>
      <t xml:space="preserve">券商：外資（</t>
    </r>
    <r>
      <rPr>
        <sz val="11"/>
        <color theme="1"/>
        <rFont val="Calibri"/>
        <family val="2"/>
        <charset val="1"/>
      </rPr>
      <t xml:space="preserve">technews 2026-05-13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EPS 65.39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</si>
  <si>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</si>
  <si>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8 </t>
    </r>
    <r>
      <rPr>
        <sz val="11"/>
        <color theme="1"/>
        <rFont val="Noto Sans CJK SC"/>
        <family val="2"/>
      </rPr>
      <t xml:space="preserve">家）</t>
    </r>
  </si>
  <si>
    <t xml:space="preserve">https://stockanalysis.com/quote/tpe/2368/forecast/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</si>
  <si>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FY2021–25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</si>
  <si>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2014–2020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</si>
  <si>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https://stock.wearn.com/financial.asp?kind=2368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</si>
  <si>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2015–2025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月收盤）</t>
    </r>
  </si>
  <si>
    <t xml:space="preserve">https://www.digrin.com/stocks/detail/2368.TW/price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</si>
  <si>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；年度 </t>
    </r>
    <r>
      <rPr>
        <sz val="11"/>
        <color theme="1"/>
        <rFont val="Calibri"/>
        <family val="2"/>
        <charset val="1"/>
      </rPr>
      <t xml:space="preserve">EPS 2018–2025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</si>
  <si>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https://histock.tw/stock/2368/%E6%9C%AC%E7%9B%8A%E6%AF%94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</si>
  <si>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victory_giant </t>
    </r>
    <r>
      <rPr>
        <sz val="11"/>
        <color theme="1"/>
        <rFont val="Noto Sans CJK SC"/>
        <family val="2"/>
      </rPr>
      <t xml:space="preserve">成品（每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金額）、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</si>
  <si>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金像電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</si>
  <si>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</si>
  <si>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前後）；分產品（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伺服器、交換器）營收與毛利率；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營收與淨利；產能（萬㎡）與產值的公司原文；可轉債轉換價；資本支出與折舊路徑；前瞻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</si>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</sst>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3" t="s">
        <v>16</v>
      </c>
    </row>
    <row r="3" customFormat="false" ht="17.1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customFormat="false" ht="17.15" hidden="false" customHeight="false" outlineLevel="0" collapsed="false">
      <c r="A4" s="5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6" t="n">
        <v>781.872916666667</v>
      </c>
      <c r="G5" s="7" t="s">
        <v>30</v>
      </c>
      <c r="H5" s="7" t="s">
        <v>31</v>
      </c>
      <c r="I5" s="3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6" t="n">
        <v>1565.35</v>
      </c>
      <c r="G6" s="7" t="s">
        <v>30</v>
      </c>
      <c r="H6" s="7" t="s">
        <v>31</v>
      </c>
      <c r="I6" s="3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6" t="n">
        <v>1984.26388888889</v>
      </c>
      <c r="G7" s="7" t="s">
        <v>30</v>
      </c>
      <c r="H7" s="7" t="s">
        <v>31</v>
      </c>
      <c r="I7" s="3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6" t="n">
        <v>2260.39027777778</v>
      </c>
      <c r="G8" s="7" t="s">
        <v>30</v>
      </c>
      <c r="H8" s="7" t="s">
        <v>31</v>
      </c>
      <c r="I8" s="3" t="s">
        <v>35</v>
      </c>
    </row>
    <row r="9" customFormat="false" ht="17.15" hidden="false" customHeight="false" outlineLevel="0" collapsed="false">
      <c r="A9" s="0" t="s">
        <v>40</v>
      </c>
      <c r="B9" s="3" t="s">
        <v>41</v>
      </c>
      <c r="C9" s="0" t="s">
        <v>29</v>
      </c>
      <c r="E9" s="6" t="n">
        <v>32.237224</v>
      </c>
      <c r="G9" s="7" t="s">
        <v>30</v>
      </c>
      <c r="H9" s="7" t="s">
        <v>42</v>
      </c>
      <c r="I9" s="7" t="s">
        <v>43</v>
      </c>
    </row>
    <row r="10" customFormat="false" ht="17.15" hidden="false" customHeight="false" outlineLevel="0" collapsed="false">
      <c r="A10" s="0" t="s">
        <v>44</v>
      </c>
      <c r="B10" s="3" t="s">
        <v>45</v>
      </c>
      <c r="C10" s="0" t="s">
        <v>29</v>
      </c>
      <c r="E10" s="6" t="n">
        <v>37.586352</v>
      </c>
      <c r="G10" s="7" t="s">
        <v>30</v>
      </c>
      <c r="H10" s="7" t="s">
        <v>42</v>
      </c>
      <c r="I10" s="3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6" t="n">
        <v>0.15</v>
      </c>
      <c r="E11" s="6" t="n">
        <v>0.22</v>
      </c>
      <c r="F11" s="6" t="n">
        <v>0.3</v>
      </c>
      <c r="G11" s="7" t="s">
        <v>50</v>
      </c>
      <c r="H11" s="7" t="s">
        <v>51</v>
      </c>
      <c r="I11" s="7" t="s">
        <v>52</v>
      </c>
    </row>
    <row r="12" customFormat="false" ht="17.15" hidden="false" customHeight="false" outlineLevel="0" collapsed="false">
      <c r="A12" s="0" t="s">
        <v>53</v>
      </c>
      <c r="B12" s="3" t="s">
        <v>54</v>
      </c>
      <c r="C12" s="3" t="s">
        <v>55</v>
      </c>
      <c r="E12" s="6" t="n">
        <v>6764</v>
      </c>
      <c r="G12" s="7" t="s">
        <v>30</v>
      </c>
      <c r="H12" s="7" t="s">
        <v>56</v>
      </c>
      <c r="I12" s="7" t="s">
        <v>57</v>
      </c>
    </row>
    <row r="13" customFormat="false" ht="17.15" hidden="false" customHeight="false" outlineLevel="0" collapsed="false">
      <c r="A13" s="0" t="s">
        <v>58</v>
      </c>
      <c r="B13" s="3" t="s">
        <v>59</v>
      </c>
      <c r="C13" s="3" t="s">
        <v>55</v>
      </c>
      <c r="E13" s="6" t="n">
        <v>4052</v>
      </c>
      <c r="G13" s="7" t="s">
        <v>30</v>
      </c>
      <c r="H13" s="7" t="s">
        <v>56</v>
      </c>
      <c r="I13" s="7" t="s">
        <v>60</v>
      </c>
    </row>
    <row r="14" customFormat="false" ht="17.15" hidden="false" customHeight="false" outlineLevel="0" collapsed="false">
      <c r="A14" s="0" t="s">
        <v>61</v>
      </c>
      <c r="B14" s="3" t="s">
        <v>62</v>
      </c>
      <c r="C14" s="0" t="s">
        <v>63</v>
      </c>
      <c r="E14" s="6" t="n">
        <v>1</v>
      </c>
      <c r="G14" s="7" t="s">
        <v>64</v>
      </c>
      <c r="H14" s="7" t="s">
        <v>65</v>
      </c>
      <c r="I14" s="7" t="s">
        <v>66</v>
      </c>
    </row>
    <row r="15" customFormat="false" ht="17.15" hidden="false" customHeight="false" outlineLevel="0" collapsed="false">
      <c r="A15" s="0" t="s">
        <v>67</v>
      </c>
      <c r="B15" s="3" t="s">
        <v>68</v>
      </c>
      <c r="C15" s="0" t="s">
        <v>63</v>
      </c>
      <c r="E15" s="6" t="n">
        <v>1</v>
      </c>
      <c r="G15" s="7" t="s">
        <v>64</v>
      </c>
      <c r="H15" s="7" t="s">
        <v>69</v>
      </c>
      <c r="I15" s="3" t="s">
        <v>35</v>
      </c>
    </row>
    <row r="16" customFormat="false" ht="17.15" hidden="false" customHeight="false" outlineLevel="0" collapsed="false">
      <c r="A16" s="0" t="s">
        <v>70</v>
      </c>
      <c r="B16" s="3" t="s">
        <v>71</v>
      </c>
      <c r="C16" s="0" t="s">
        <v>63</v>
      </c>
      <c r="E16" s="6" t="n">
        <v>0.8</v>
      </c>
      <c r="G16" s="7" t="s">
        <v>64</v>
      </c>
      <c r="H16" s="7" t="s">
        <v>72</v>
      </c>
      <c r="I16" s="7" t="s">
        <v>66</v>
      </c>
    </row>
    <row r="17" customFormat="false" ht="17.15" hidden="false" customHeight="false" outlineLevel="0" collapsed="false">
      <c r="A17" s="0" t="s">
        <v>73</v>
      </c>
      <c r="B17" s="3" t="s">
        <v>74</v>
      </c>
      <c r="C17" s="0" t="s">
        <v>63</v>
      </c>
      <c r="E17" s="6" t="n">
        <v>0.85</v>
      </c>
      <c r="G17" s="7" t="s">
        <v>64</v>
      </c>
      <c r="H17" s="7" t="s">
        <v>75</v>
      </c>
      <c r="I17" s="3" t="s">
        <v>35</v>
      </c>
    </row>
    <row r="18" customFormat="false" ht="17.15" hidden="false" customHeight="false" outlineLevel="0" collapsed="false">
      <c r="A18" s="0" t="s">
        <v>76</v>
      </c>
      <c r="B18" s="3" t="s">
        <v>77</v>
      </c>
      <c r="C18" s="0" t="s">
        <v>63</v>
      </c>
      <c r="E18" s="6" t="n">
        <v>0.6</v>
      </c>
      <c r="G18" s="7" t="s">
        <v>64</v>
      </c>
      <c r="H18" s="7" t="s">
        <v>78</v>
      </c>
      <c r="I18" s="7" t="s">
        <v>66</v>
      </c>
    </row>
    <row r="19" customFormat="false" ht="17.15" hidden="false" customHeight="false" outlineLevel="0" collapsed="false">
      <c r="A19" s="0" t="s">
        <v>79</v>
      </c>
      <c r="B19" s="3" t="s">
        <v>80</v>
      </c>
      <c r="C19" s="0" t="s">
        <v>63</v>
      </c>
      <c r="E19" s="6" t="n">
        <v>0.6</v>
      </c>
      <c r="G19" s="7" t="s">
        <v>64</v>
      </c>
      <c r="H19" s="7" t="s">
        <v>81</v>
      </c>
      <c r="I19" s="3" t="s">
        <v>35</v>
      </c>
    </row>
    <row r="20" customFormat="false" ht="17.15" hidden="false" customHeight="false" outlineLevel="0" collapsed="false">
      <c r="A20" s="0" t="s">
        <v>82</v>
      </c>
      <c r="B20" s="3" t="s">
        <v>83</v>
      </c>
      <c r="C20" s="0" t="s">
        <v>84</v>
      </c>
      <c r="D20" s="6" t="n">
        <v>30.5</v>
      </c>
      <c r="E20" s="6" t="n">
        <v>32</v>
      </c>
      <c r="F20" s="6" t="n">
        <v>33</v>
      </c>
      <c r="G20" s="7" t="s">
        <v>30</v>
      </c>
      <c r="H20" s="3" t="s">
        <v>85</v>
      </c>
      <c r="I20" s="7" t="s">
        <v>86</v>
      </c>
    </row>
    <row r="21" customFormat="false" ht="17.15" hidden="false" customHeight="false" outlineLevel="0" collapsed="false">
      <c r="A21" s="5" t="s">
        <v>87</v>
      </c>
    </row>
    <row r="22" customFormat="false" ht="17.15" hidden="false" customHeight="false" outlineLevel="0" collapsed="false">
      <c r="A22" s="0" t="s">
        <v>88</v>
      </c>
      <c r="B22" s="3" t="s">
        <v>89</v>
      </c>
      <c r="C22" s="0" t="s">
        <v>90</v>
      </c>
      <c r="E22" s="6" t="n">
        <v>280</v>
      </c>
      <c r="G22" s="7" t="s">
        <v>30</v>
      </c>
      <c r="H22" s="7" t="s">
        <v>91</v>
      </c>
      <c r="I22" s="3" t="s">
        <v>92</v>
      </c>
    </row>
    <row r="23" customFormat="false" ht="17.15" hidden="false" customHeight="false" outlineLevel="0" collapsed="false">
      <c r="A23" s="0" t="s">
        <v>93</v>
      </c>
      <c r="B23" s="3" t="s">
        <v>94</v>
      </c>
      <c r="C23" s="0" t="s">
        <v>90</v>
      </c>
      <c r="E23" s="6" t="n">
        <v>420</v>
      </c>
      <c r="G23" s="7" t="s">
        <v>30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95</v>
      </c>
      <c r="B24" s="3" t="s">
        <v>96</v>
      </c>
      <c r="C24" s="0" t="s">
        <v>90</v>
      </c>
      <c r="E24" s="6" t="n">
        <v>462</v>
      </c>
      <c r="G24" s="7" t="s">
        <v>30</v>
      </c>
      <c r="H24" s="7" t="s">
        <v>91</v>
      </c>
      <c r="I24" s="3" t="s">
        <v>35</v>
      </c>
    </row>
    <row r="25" customFormat="false" ht="17.15" hidden="false" customHeight="false" outlineLevel="0" collapsed="false">
      <c r="A25" s="0" t="s">
        <v>97</v>
      </c>
      <c r="B25" s="3" t="s">
        <v>98</v>
      </c>
      <c r="C25" s="0" t="s">
        <v>90</v>
      </c>
      <c r="E25" s="6" t="n">
        <v>504</v>
      </c>
      <c r="G25" s="7" t="s">
        <v>30</v>
      </c>
      <c r="H25" s="7" t="s">
        <v>91</v>
      </c>
      <c r="I25" s="3" t="s">
        <v>35</v>
      </c>
    </row>
    <row r="26" customFormat="false" ht="17.15" hidden="false" customHeight="false" outlineLevel="0" collapsed="false">
      <c r="A26" s="0" t="s">
        <v>99</v>
      </c>
      <c r="B26" s="3" t="s">
        <v>100</v>
      </c>
      <c r="C26" s="0" t="s">
        <v>90</v>
      </c>
      <c r="E26" s="6" t="n">
        <v>120</v>
      </c>
      <c r="G26" s="7" t="s">
        <v>30</v>
      </c>
      <c r="H26" s="7" t="s">
        <v>101</v>
      </c>
      <c r="I26" s="3" t="s">
        <v>92</v>
      </c>
    </row>
    <row r="27" customFormat="false" ht="17.15" hidden="false" customHeight="false" outlineLevel="0" collapsed="false">
      <c r="A27" s="0" t="s">
        <v>102</v>
      </c>
      <c r="B27" s="3" t="s">
        <v>103</v>
      </c>
      <c r="C27" s="0" t="s">
        <v>90</v>
      </c>
      <c r="E27" s="6" t="n">
        <v>162</v>
      </c>
      <c r="G27" s="7" t="s">
        <v>30</v>
      </c>
      <c r="H27" s="7" t="s">
        <v>101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3" t="s">
        <v>105</v>
      </c>
      <c r="C28" s="0" t="s">
        <v>90</v>
      </c>
      <c r="E28" s="6" t="n">
        <v>180</v>
      </c>
      <c r="G28" s="7" t="s">
        <v>30</v>
      </c>
      <c r="H28" s="7" t="s">
        <v>101</v>
      </c>
      <c r="I28" s="3" t="s">
        <v>35</v>
      </c>
    </row>
    <row r="29" customFormat="false" ht="17.15" hidden="false" customHeight="false" outlineLevel="0" collapsed="false">
      <c r="A29" s="0" t="s">
        <v>106</v>
      </c>
      <c r="B29" s="3" t="s">
        <v>107</v>
      </c>
      <c r="C29" s="0" t="s">
        <v>90</v>
      </c>
      <c r="E29" s="6" t="n">
        <v>198</v>
      </c>
      <c r="G29" s="7" t="s">
        <v>30</v>
      </c>
      <c r="H29" s="7" t="s">
        <v>101</v>
      </c>
      <c r="I29" s="3" t="s">
        <v>35</v>
      </c>
    </row>
    <row r="30" customFormat="false" ht="17.15" hidden="false" customHeight="false" outlineLevel="0" collapsed="false">
      <c r="A30" s="0" t="s">
        <v>108</v>
      </c>
      <c r="B30" s="3" t="s">
        <v>109</v>
      </c>
      <c r="C30" s="0" t="s">
        <v>90</v>
      </c>
      <c r="E30" s="6" t="n">
        <v>50</v>
      </c>
      <c r="G30" s="7" t="s">
        <v>30</v>
      </c>
      <c r="H30" s="7" t="s">
        <v>110</v>
      </c>
      <c r="I30" s="3" t="s">
        <v>92</v>
      </c>
    </row>
    <row r="31" customFormat="false" ht="17.15" hidden="false" customHeight="false" outlineLevel="0" collapsed="false">
      <c r="A31" s="0" t="s">
        <v>111</v>
      </c>
      <c r="B31" s="3" t="s">
        <v>112</v>
      </c>
      <c r="C31" s="0" t="s">
        <v>90</v>
      </c>
      <c r="E31" s="6" t="n">
        <v>100</v>
      </c>
      <c r="G31" s="7" t="s">
        <v>30</v>
      </c>
      <c r="H31" s="7" t="s">
        <v>110</v>
      </c>
      <c r="I31" s="3" t="s">
        <v>35</v>
      </c>
    </row>
    <row r="32" customFormat="false" ht="17.15" hidden="false" customHeight="false" outlineLevel="0" collapsed="false">
      <c r="A32" s="0" t="s">
        <v>113</v>
      </c>
      <c r="B32" s="3" t="s">
        <v>114</v>
      </c>
      <c r="C32" s="0" t="s">
        <v>90</v>
      </c>
      <c r="E32" s="6" t="n">
        <v>150</v>
      </c>
      <c r="G32" s="7" t="s">
        <v>30</v>
      </c>
      <c r="H32" s="7" t="s">
        <v>110</v>
      </c>
      <c r="I32" s="3" t="s">
        <v>35</v>
      </c>
    </row>
    <row r="33" customFormat="false" ht="17.15" hidden="false" customHeight="false" outlineLevel="0" collapsed="false">
      <c r="A33" s="0" t="s">
        <v>115</v>
      </c>
      <c r="B33" s="3" t="s">
        <v>116</v>
      </c>
      <c r="C33" s="0" t="s">
        <v>90</v>
      </c>
      <c r="E33" s="6" t="n">
        <v>175</v>
      </c>
      <c r="G33" s="7" t="s">
        <v>30</v>
      </c>
      <c r="H33" s="7" t="s">
        <v>110</v>
      </c>
      <c r="I33" s="3" t="s">
        <v>35</v>
      </c>
    </row>
    <row r="34" customFormat="false" ht="17.15" hidden="false" customHeight="false" outlineLevel="0" collapsed="false">
      <c r="A34" s="0" t="s">
        <v>117</v>
      </c>
      <c r="B34" s="3" t="s">
        <v>118</v>
      </c>
      <c r="C34" s="0" t="s">
        <v>63</v>
      </c>
      <c r="D34" s="6" t="n">
        <v>0</v>
      </c>
      <c r="E34" s="6" t="n">
        <v>0.5</v>
      </c>
      <c r="F34" s="6" t="n">
        <v>1</v>
      </c>
      <c r="G34" s="7" t="s">
        <v>64</v>
      </c>
      <c r="H34" s="3" t="s">
        <v>119</v>
      </c>
      <c r="I34" s="3" t="s">
        <v>120</v>
      </c>
    </row>
    <row r="35" customFormat="false" ht="17.15" hidden="false" customHeight="false" outlineLevel="0" collapsed="false">
      <c r="A35" s="0" t="s">
        <v>121</v>
      </c>
      <c r="B35" s="3" t="s">
        <v>122</v>
      </c>
      <c r="C35" s="0" t="s">
        <v>63</v>
      </c>
      <c r="D35" s="6" t="n">
        <v>0.7</v>
      </c>
      <c r="E35" s="6" t="n">
        <v>1</v>
      </c>
      <c r="F35" s="6" t="n">
        <v>1.3</v>
      </c>
      <c r="G35" s="7" t="s">
        <v>64</v>
      </c>
      <c r="H35" s="3" t="s">
        <v>123</v>
      </c>
      <c r="I35" s="3" t="s">
        <v>124</v>
      </c>
    </row>
    <row r="36" customFormat="false" ht="17.15" hidden="false" customHeight="false" outlineLevel="0" collapsed="false">
      <c r="A36" s="0" t="s">
        <v>125</v>
      </c>
      <c r="B36" s="3" t="s">
        <v>126</v>
      </c>
      <c r="C36" s="0" t="s">
        <v>63</v>
      </c>
      <c r="D36" s="6" t="n">
        <v>0.85</v>
      </c>
      <c r="E36" s="6" t="n">
        <v>1</v>
      </c>
      <c r="F36" s="6" t="n">
        <v>1.08</v>
      </c>
      <c r="G36" s="7" t="s">
        <v>64</v>
      </c>
      <c r="H36" s="3" t="s">
        <v>127</v>
      </c>
      <c r="I36" s="3" t="s">
        <v>128</v>
      </c>
    </row>
    <row r="37" customFormat="false" ht="17.15" hidden="false" customHeight="false" outlineLevel="0" collapsed="false">
      <c r="A37" s="0" t="s">
        <v>129</v>
      </c>
      <c r="B37" s="3" t="s">
        <v>130</v>
      </c>
      <c r="C37" s="0" t="s">
        <v>63</v>
      </c>
      <c r="D37" s="6" t="n">
        <v>0.75</v>
      </c>
      <c r="E37" s="6" t="n">
        <v>0.95</v>
      </c>
      <c r="F37" s="6" t="n">
        <v>1.08</v>
      </c>
      <c r="G37" s="7" t="s">
        <v>64</v>
      </c>
      <c r="H37" s="3" t="s">
        <v>35</v>
      </c>
      <c r="I37" s="7" t="s">
        <v>52</v>
      </c>
    </row>
    <row r="38" customFormat="false" ht="17.15" hidden="false" customHeight="false" outlineLevel="0" collapsed="false">
      <c r="A38" s="0" t="s">
        <v>131</v>
      </c>
      <c r="B38" s="3" t="s">
        <v>132</v>
      </c>
      <c r="C38" s="0" t="s">
        <v>63</v>
      </c>
      <c r="D38" s="6" t="n">
        <v>0.7</v>
      </c>
      <c r="E38" s="6" t="n">
        <v>0.9</v>
      </c>
      <c r="F38" s="6" t="n">
        <v>1.05</v>
      </c>
      <c r="G38" s="7" t="s">
        <v>64</v>
      </c>
      <c r="H38" s="3" t="s">
        <v>35</v>
      </c>
      <c r="I38" s="7" t="s">
        <v>52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63</v>
      </c>
      <c r="D39" s="6" t="n">
        <v>0.96</v>
      </c>
      <c r="E39" s="6" t="n">
        <v>1</v>
      </c>
      <c r="F39" s="6" t="n">
        <v>1.03</v>
      </c>
      <c r="G39" s="7" t="s">
        <v>64</v>
      </c>
      <c r="H39" s="3" t="s">
        <v>135</v>
      </c>
      <c r="I39" s="3" t="s">
        <v>136</v>
      </c>
    </row>
    <row r="40" customFormat="false" ht="17.15" hidden="false" customHeight="false" outlineLevel="0" collapsed="false">
      <c r="A40" s="0" t="s">
        <v>137</v>
      </c>
      <c r="B40" s="0" t="s">
        <v>138</v>
      </c>
      <c r="C40" s="0" t="s">
        <v>63</v>
      </c>
      <c r="D40" s="6" t="n">
        <v>0.92</v>
      </c>
      <c r="E40" s="6" t="n">
        <v>0.97</v>
      </c>
      <c r="F40" s="6" t="n">
        <v>1.02</v>
      </c>
      <c r="G40" s="7" t="s">
        <v>64</v>
      </c>
      <c r="H40" s="3" t="s">
        <v>35</v>
      </c>
      <c r="I40" s="7" t="s">
        <v>52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63</v>
      </c>
      <c r="D41" s="6" t="n">
        <v>0.88</v>
      </c>
      <c r="E41" s="6" t="n">
        <v>0.94</v>
      </c>
      <c r="F41" s="6" t="n">
        <v>1</v>
      </c>
      <c r="G41" s="7" t="s">
        <v>64</v>
      </c>
      <c r="H41" s="3" t="s">
        <v>35</v>
      </c>
      <c r="I41" s="7" t="s">
        <v>52</v>
      </c>
    </row>
    <row r="42" customFormat="false" ht="17.15" hidden="false" customHeight="false" outlineLevel="0" collapsed="false">
      <c r="A42" s="5" t="s">
        <v>141</v>
      </c>
    </row>
    <row r="43" customFormat="false" ht="17.15" hidden="false" customHeight="false" outlineLevel="0" collapsed="false">
      <c r="A43" s="0" t="s">
        <v>142</v>
      </c>
      <c r="B43" s="3" t="s">
        <v>143</v>
      </c>
      <c r="C43" s="0" t="s">
        <v>63</v>
      </c>
      <c r="D43" s="6" t="n">
        <v>1.3</v>
      </c>
      <c r="E43" s="6" t="n">
        <v>1.45</v>
      </c>
      <c r="F43" s="6" t="n">
        <v>1.6</v>
      </c>
      <c r="G43" s="7" t="s">
        <v>64</v>
      </c>
      <c r="H43" s="3" t="s">
        <v>144</v>
      </c>
      <c r="I43" s="3" t="s">
        <v>145</v>
      </c>
    </row>
    <row r="44" customFormat="false" ht="17.15" hidden="false" customHeight="false" outlineLevel="0" collapsed="false">
      <c r="A44" s="0" t="s">
        <v>146</v>
      </c>
      <c r="B44" s="3" t="s">
        <v>147</v>
      </c>
      <c r="C44" s="0" t="s">
        <v>63</v>
      </c>
      <c r="D44" s="6" t="n">
        <v>1.6</v>
      </c>
      <c r="E44" s="6" t="n">
        <v>1.9</v>
      </c>
      <c r="F44" s="6" t="n">
        <v>2.15</v>
      </c>
      <c r="G44" s="7" t="s">
        <v>64</v>
      </c>
      <c r="H44" s="3" t="s">
        <v>35</v>
      </c>
      <c r="I44" s="7" t="s">
        <v>148</v>
      </c>
    </row>
    <row r="45" customFormat="false" ht="17.15" hidden="false" customHeight="false" outlineLevel="0" collapsed="false">
      <c r="A45" s="0" t="s">
        <v>149</v>
      </c>
      <c r="B45" s="3" t="s">
        <v>150</v>
      </c>
      <c r="C45" s="0" t="s">
        <v>63</v>
      </c>
      <c r="D45" s="6" t="n">
        <v>1.9</v>
      </c>
      <c r="E45" s="6" t="n">
        <v>2.3</v>
      </c>
      <c r="F45" s="6" t="n">
        <v>2.6</v>
      </c>
      <c r="G45" s="7" t="s">
        <v>64</v>
      </c>
      <c r="H45" s="3" t="s">
        <v>151</v>
      </c>
      <c r="I45" s="7" t="s">
        <v>52</v>
      </c>
    </row>
    <row r="46" customFormat="false" ht="17.15" hidden="false" customHeight="false" outlineLevel="0" collapsed="false">
      <c r="A46" s="5" t="s">
        <v>152</v>
      </c>
    </row>
    <row r="47" customFormat="false" ht="17.15" hidden="false" customHeight="false" outlineLevel="0" collapsed="false">
      <c r="A47" s="0" t="s">
        <v>153</v>
      </c>
      <c r="B47" s="0" t="s">
        <v>154</v>
      </c>
      <c r="C47" s="0" t="s">
        <v>49</v>
      </c>
      <c r="D47" s="6" t="n">
        <v>0.2</v>
      </c>
      <c r="E47" s="6" t="n">
        <v>0.3</v>
      </c>
      <c r="F47" s="6" t="n">
        <v>0.4</v>
      </c>
      <c r="G47" s="7" t="s">
        <v>50</v>
      </c>
      <c r="H47" s="7" t="s">
        <v>155</v>
      </c>
      <c r="I47" s="3" t="s">
        <v>156</v>
      </c>
    </row>
    <row r="48" customFormat="false" ht="17.15" hidden="false" customHeight="false" outlineLevel="0" collapsed="false">
      <c r="A48" s="0" t="s">
        <v>157</v>
      </c>
      <c r="B48" s="0" t="s">
        <v>158</v>
      </c>
      <c r="C48" s="0" t="s">
        <v>49</v>
      </c>
      <c r="D48" s="6" t="n">
        <v>0.1</v>
      </c>
      <c r="E48" s="6" t="n">
        <v>0.2</v>
      </c>
      <c r="F48" s="6" t="n">
        <v>0.3</v>
      </c>
      <c r="G48" s="7" t="s">
        <v>64</v>
      </c>
      <c r="H48" s="3" t="s">
        <v>159</v>
      </c>
      <c r="I48" s="3" t="s">
        <v>160</v>
      </c>
    </row>
    <row r="49" customFormat="false" ht="17.15" hidden="false" customHeight="false" outlineLevel="0" collapsed="false">
      <c r="A49" s="0" t="s">
        <v>161</v>
      </c>
      <c r="B49" s="3" t="s">
        <v>162</v>
      </c>
      <c r="C49" s="0" t="s">
        <v>49</v>
      </c>
      <c r="D49" s="6" t="n">
        <v>-0.05</v>
      </c>
      <c r="E49" s="6" t="n">
        <v>0.05</v>
      </c>
      <c r="F49" s="6" t="n">
        <v>0.1</v>
      </c>
      <c r="G49" s="7" t="s">
        <v>64</v>
      </c>
      <c r="H49" s="3" t="s">
        <v>163</v>
      </c>
      <c r="I49" s="7" t="s">
        <v>52</v>
      </c>
    </row>
    <row r="50" customFormat="false" ht="17.15" hidden="false" customHeight="false" outlineLevel="0" collapsed="false">
      <c r="A50" s="0" t="s">
        <v>164</v>
      </c>
      <c r="B50" s="3" t="s">
        <v>165</v>
      </c>
      <c r="C50" s="0" t="s">
        <v>49</v>
      </c>
      <c r="D50" s="6" t="n">
        <v>-0.05</v>
      </c>
      <c r="E50" s="6" t="n">
        <v>0.03</v>
      </c>
      <c r="F50" s="6" t="n">
        <v>0.08</v>
      </c>
      <c r="G50" s="7" t="s">
        <v>64</v>
      </c>
      <c r="H50" s="3" t="s">
        <v>35</v>
      </c>
      <c r="I50" s="7" t="s">
        <v>52</v>
      </c>
    </row>
    <row r="51" customFormat="false" ht="17.15" hidden="false" customHeight="false" outlineLevel="0" collapsed="false">
      <c r="A51" s="0" t="s">
        <v>166</v>
      </c>
      <c r="B51" s="3" t="s">
        <v>167</v>
      </c>
      <c r="C51" s="0" t="s">
        <v>49</v>
      </c>
      <c r="D51" s="6" t="n">
        <v>-0.05</v>
      </c>
      <c r="E51" s="6" t="n">
        <v>0.03</v>
      </c>
      <c r="F51" s="6" t="n">
        <v>0.08</v>
      </c>
      <c r="G51" s="7" t="s">
        <v>64</v>
      </c>
      <c r="H51" s="3" t="s">
        <v>35</v>
      </c>
      <c r="I51" s="7" t="s">
        <v>52</v>
      </c>
    </row>
    <row r="52" customFormat="false" ht="17.15" hidden="false" customHeight="false" outlineLevel="0" collapsed="false">
      <c r="A52" s="5" t="s">
        <v>168</v>
      </c>
    </row>
    <row r="53" customFormat="false" ht="17.15" hidden="false" customHeight="false" outlineLevel="0" collapsed="false">
      <c r="A53" s="0" t="s">
        <v>169</v>
      </c>
      <c r="B53" s="0" t="s">
        <v>170</v>
      </c>
      <c r="C53" s="0" t="s">
        <v>171</v>
      </c>
      <c r="D53" s="6" t="n">
        <v>0.06</v>
      </c>
      <c r="E53" s="6" t="n">
        <v>0.1</v>
      </c>
      <c r="F53" s="6" t="n">
        <v>0.14</v>
      </c>
      <c r="G53" s="7" t="s">
        <v>64</v>
      </c>
      <c r="H53" s="3" t="s">
        <v>172</v>
      </c>
      <c r="I53" s="3" t="s">
        <v>173</v>
      </c>
    </row>
    <row r="54" customFormat="false" ht="17.15" hidden="false" customHeight="false" outlineLevel="0" collapsed="false">
      <c r="A54" s="0" t="s">
        <v>174</v>
      </c>
      <c r="B54" s="0" t="s">
        <v>175</v>
      </c>
      <c r="C54" s="0" t="s">
        <v>171</v>
      </c>
      <c r="D54" s="6" t="n">
        <v>-0.01</v>
      </c>
      <c r="E54" s="6" t="n">
        <v>0.01</v>
      </c>
      <c r="F54" s="6" t="n">
        <v>0.02</v>
      </c>
      <c r="G54" s="7" t="s">
        <v>64</v>
      </c>
      <c r="H54" s="3" t="s">
        <v>176</v>
      </c>
      <c r="I54" s="7" t="s">
        <v>52</v>
      </c>
    </row>
    <row r="55" customFormat="false" ht="17.15" hidden="false" customHeight="false" outlineLevel="0" collapsed="false">
      <c r="A55" s="0" t="s">
        <v>177</v>
      </c>
      <c r="B55" s="0" t="s">
        <v>178</v>
      </c>
      <c r="C55" s="0" t="s">
        <v>171</v>
      </c>
      <c r="D55" s="6" t="n">
        <v>-0.01</v>
      </c>
      <c r="E55" s="6" t="n">
        <v>0.015</v>
      </c>
      <c r="F55" s="6" t="n">
        <v>0.03</v>
      </c>
      <c r="G55" s="7" t="s">
        <v>64</v>
      </c>
      <c r="H55" s="3" t="s">
        <v>35</v>
      </c>
      <c r="I55" s="7" t="s">
        <v>52</v>
      </c>
    </row>
    <row r="56" customFormat="false" ht="17.15" hidden="false" customHeight="false" outlineLevel="0" collapsed="false">
      <c r="A56" s="0" t="s">
        <v>179</v>
      </c>
      <c r="B56" s="0" t="s">
        <v>180</v>
      </c>
      <c r="C56" s="0" t="s">
        <v>171</v>
      </c>
      <c r="D56" s="6" t="n">
        <v>-0.01</v>
      </c>
      <c r="E56" s="6" t="n">
        <v>0.02</v>
      </c>
      <c r="F56" s="6" t="n">
        <v>0.035</v>
      </c>
      <c r="G56" s="7" t="s">
        <v>64</v>
      </c>
      <c r="H56" s="3" t="s">
        <v>35</v>
      </c>
      <c r="I56" s="7" t="s">
        <v>52</v>
      </c>
    </row>
    <row r="57" customFormat="false" ht="17.15" hidden="false" customHeight="false" outlineLevel="0" collapsed="false">
      <c r="A57" s="5" t="s">
        <v>181</v>
      </c>
    </row>
    <row r="58" customFormat="false" ht="17.15" hidden="false" customHeight="false" outlineLevel="0" collapsed="false">
      <c r="A58" s="0" t="s">
        <v>182</v>
      </c>
      <c r="B58" s="0" t="s">
        <v>183</v>
      </c>
      <c r="C58" s="0" t="s">
        <v>184</v>
      </c>
      <c r="E58" s="6" t="n">
        <v>19.313</v>
      </c>
      <c r="G58" s="7" t="s">
        <v>185</v>
      </c>
      <c r="H58" s="7" t="s">
        <v>186</v>
      </c>
      <c r="I58" s="3" t="s">
        <v>187</v>
      </c>
    </row>
    <row r="59" customFormat="false" ht="17.15" hidden="false" customHeight="false" outlineLevel="0" collapsed="false">
      <c r="A59" s="0" t="s">
        <v>188</v>
      </c>
      <c r="B59" s="0" t="s">
        <v>189</v>
      </c>
      <c r="C59" s="0" t="s">
        <v>184</v>
      </c>
      <c r="E59" s="0" t="n">
        <f aca="false">10.015+10.384+9.32</f>
        <v>29.719</v>
      </c>
      <c r="G59" s="0" t="s">
        <v>185</v>
      </c>
      <c r="H59" s="0" t="s">
        <v>190</v>
      </c>
      <c r="I59" s="3" t="s">
        <v>191</v>
      </c>
    </row>
    <row r="60" customFormat="false" ht="17.15" hidden="false" customHeight="false" outlineLevel="0" collapsed="false">
      <c r="A60" s="0" t="s">
        <v>192</v>
      </c>
      <c r="B60" s="0" t="s">
        <v>193</v>
      </c>
      <c r="C60" s="0" t="s">
        <v>49</v>
      </c>
      <c r="D60" s="6" t="n">
        <v>0</v>
      </c>
      <c r="E60" s="6" t="n">
        <v>0.08</v>
      </c>
      <c r="F60" s="6" t="n">
        <v>0.15</v>
      </c>
      <c r="G60" s="7" t="s">
        <v>64</v>
      </c>
      <c r="H60" s="3" t="s">
        <v>194</v>
      </c>
      <c r="I60" s="7" t="s">
        <v>195</v>
      </c>
    </row>
    <row r="61" customFormat="false" ht="17.15" hidden="false" customHeight="false" outlineLevel="0" collapsed="false">
      <c r="A61" s="0" t="s">
        <v>196</v>
      </c>
      <c r="B61" s="0" t="s">
        <v>197</v>
      </c>
      <c r="C61" s="0" t="s">
        <v>49</v>
      </c>
      <c r="D61" s="6" t="n">
        <v>0.34</v>
      </c>
      <c r="E61" s="6" t="n">
        <v>0.35</v>
      </c>
      <c r="F61" s="6" t="n">
        <v>0.365</v>
      </c>
      <c r="G61" s="7" t="s">
        <v>64</v>
      </c>
      <c r="H61" s="7" t="s">
        <v>198</v>
      </c>
      <c r="I61" s="3" t="s">
        <v>199</v>
      </c>
    </row>
    <row r="62" customFormat="false" ht="17.15" hidden="false" customHeight="false" outlineLevel="0" collapsed="false">
      <c r="A62" s="0" t="s">
        <v>200</v>
      </c>
      <c r="B62" s="0" t="s">
        <v>201</v>
      </c>
      <c r="C62" s="0" t="s">
        <v>49</v>
      </c>
      <c r="D62" s="6" t="n">
        <v>0.075</v>
      </c>
      <c r="E62" s="6" t="n">
        <v>0.08</v>
      </c>
      <c r="F62" s="6" t="n">
        <v>0.085</v>
      </c>
      <c r="G62" s="7" t="s">
        <v>64</v>
      </c>
      <c r="H62" s="7" t="s">
        <v>202</v>
      </c>
      <c r="I62" s="7" t="s">
        <v>203</v>
      </c>
    </row>
    <row r="63" customFormat="false" ht="17.15" hidden="false" customHeight="false" outlineLevel="0" collapsed="false">
      <c r="A63" s="0" t="s">
        <v>204</v>
      </c>
      <c r="B63" s="0" t="s">
        <v>205</v>
      </c>
      <c r="C63" s="0" t="s">
        <v>184</v>
      </c>
      <c r="D63" s="6" t="n">
        <v>-0.2</v>
      </c>
      <c r="E63" s="6" t="n">
        <v>0</v>
      </c>
      <c r="F63" s="6" t="n">
        <v>0.3</v>
      </c>
      <c r="G63" s="7" t="s">
        <v>64</v>
      </c>
      <c r="H63" s="7" t="s">
        <v>206</v>
      </c>
      <c r="I63" s="3" t="s">
        <v>207</v>
      </c>
    </row>
    <row r="64" customFormat="false" ht="17.15" hidden="false" customHeight="false" outlineLevel="0" collapsed="false">
      <c r="A64" s="0" t="s">
        <v>208</v>
      </c>
      <c r="B64" s="3" t="s">
        <v>209</v>
      </c>
      <c r="C64" s="0" t="s">
        <v>49</v>
      </c>
      <c r="D64" s="6" t="n">
        <v>0.65</v>
      </c>
      <c r="E64" s="7" t="n">
        <f aca="false">3.484/(19.313*0.2634)</f>
        <v>0.684877084417706</v>
      </c>
      <c r="F64" s="6" t="n">
        <v>0.75</v>
      </c>
      <c r="G64" s="7" t="s">
        <v>30</v>
      </c>
      <c r="H64" s="7" t="s">
        <v>210</v>
      </c>
      <c r="I64" s="7" t="s">
        <v>211</v>
      </c>
    </row>
    <row r="65" customFormat="false" ht="17.15" hidden="false" customHeight="false" outlineLevel="0" collapsed="false">
      <c r="A65" s="0" t="s">
        <v>212</v>
      </c>
      <c r="B65" s="0" t="s">
        <v>213</v>
      </c>
      <c r="C65" s="3" t="s">
        <v>214</v>
      </c>
      <c r="E65" s="0" t="n">
        <f aca="false">8.267/16.14</f>
        <v>0.512205700123916</v>
      </c>
      <c r="G65" s="0" t="s">
        <v>30</v>
      </c>
      <c r="H65" s="0" t="s">
        <v>215</v>
      </c>
      <c r="I65" s="3" t="s">
        <v>216</v>
      </c>
    </row>
    <row r="66" customFormat="false" ht="17.15" hidden="false" customHeight="false" outlineLevel="0" collapsed="false">
      <c r="A66" s="0" t="s">
        <v>217</v>
      </c>
      <c r="B66" s="3" t="s">
        <v>218</v>
      </c>
      <c r="C66" s="3" t="s">
        <v>214</v>
      </c>
      <c r="E66" s="0" t="n">
        <f aca="false">0.5119+0.001856</f>
        <v>0.513756</v>
      </c>
      <c r="G66" s="0" t="s">
        <v>30</v>
      </c>
      <c r="H66" s="0" t="s">
        <v>219</v>
      </c>
      <c r="I66" s="0" t="s">
        <v>220</v>
      </c>
    </row>
    <row r="67" customFormat="false" ht="17.15" hidden="false" customHeight="false" outlineLevel="0" collapsed="false">
      <c r="A67" s="5" t="s">
        <v>221</v>
      </c>
    </row>
    <row r="68" customFormat="false" ht="17.15" hidden="false" customHeight="false" outlineLevel="0" collapsed="false">
      <c r="A68" s="0" t="s">
        <v>222</v>
      </c>
      <c r="B68" s="3" t="s">
        <v>223</v>
      </c>
      <c r="C68" s="0" t="s">
        <v>63</v>
      </c>
      <c r="D68" s="6" t="n">
        <v>0.4</v>
      </c>
      <c r="E68" s="6" t="n">
        <v>0.6</v>
      </c>
      <c r="F68" s="6" t="n">
        <v>1</v>
      </c>
      <c r="G68" s="7" t="s">
        <v>64</v>
      </c>
      <c r="H68" s="3" t="s">
        <v>224</v>
      </c>
      <c r="I68" s="3" t="s">
        <v>225</v>
      </c>
    </row>
    <row r="69" customFormat="false" ht="17.15" hidden="false" customHeight="false" outlineLevel="0" collapsed="false">
      <c r="A69" s="0" t="s">
        <v>226</v>
      </c>
      <c r="B69" s="3" t="s">
        <v>227</v>
      </c>
      <c r="C69" s="0" t="s">
        <v>171</v>
      </c>
      <c r="D69" s="6" t="n">
        <v>-0.01</v>
      </c>
      <c r="E69" s="6" t="n">
        <v>0</v>
      </c>
      <c r="F69" s="6" t="n">
        <v>0.01</v>
      </c>
      <c r="G69" s="7" t="s">
        <v>64</v>
      </c>
      <c r="H69" s="3" t="s">
        <v>228</v>
      </c>
      <c r="I69" s="7" t="s">
        <v>229</v>
      </c>
    </row>
    <row r="70" customFormat="false" ht="17.15" hidden="false" customHeight="false" outlineLevel="0" collapsed="false">
      <c r="A70" s="0" t="s">
        <v>230</v>
      </c>
      <c r="B70" s="3" t="s">
        <v>231</v>
      </c>
      <c r="C70" s="0" t="s">
        <v>184</v>
      </c>
      <c r="D70" s="6" t="n">
        <v>-1</v>
      </c>
      <c r="E70" s="6" t="n">
        <v>0</v>
      </c>
      <c r="F70" s="6" t="n">
        <v>1</v>
      </c>
      <c r="G70" s="7" t="s">
        <v>64</v>
      </c>
      <c r="H70" s="7" t="s">
        <v>232</v>
      </c>
      <c r="I70" s="7" t="s">
        <v>233</v>
      </c>
    </row>
    <row r="71" customFormat="false" ht="17.15" hidden="false" customHeight="false" outlineLevel="0" collapsed="false">
      <c r="A71" s="0" t="s">
        <v>234</v>
      </c>
      <c r="B71" s="3" t="s">
        <v>235</v>
      </c>
      <c r="C71" s="0" t="s">
        <v>49</v>
      </c>
      <c r="D71" s="6" t="n">
        <v>0.65</v>
      </c>
      <c r="E71" s="6" t="n">
        <v>0.685</v>
      </c>
      <c r="F71" s="6" t="n">
        <v>0.75</v>
      </c>
      <c r="G71" s="7" t="s">
        <v>30</v>
      </c>
      <c r="H71" s="3" t="s">
        <v>236</v>
      </c>
      <c r="I71" s="7" t="s">
        <v>52</v>
      </c>
    </row>
    <row r="72" customFormat="false" ht="17.15" hidden="false" customHeight="false" outlineLevel="0" collapsed="false">
      <c r="A72" s="0" t="s">
        <v>237</v>
      </c>
      <c r="B72" s="3" t="s">
        <v>238</v>
      </c>
      <c r="C72" s="0" t="s">
        <v>49</v>
      </c>
      <c r="D72" s="6" t="n">
        <v>0</v>
      </c>
      <c r="E72" s="6" t="n">
        <v>0.01</v>
      </c>
      <c r="F72" s="6" t="n">
        <v>0.03</v>
      </c>
      <c r="G72" s="7" t="s">
        <v>64</v>
      </c>
      <c r="H72" s="7" t="s">
        <v>239</v>
      </c>
      <c r="I72" s="3" t="s">
        <v>240</v>
      </c>
    </row>
    <row r="73" customFormat="false" ht="17.15" hidden="false" customHeight="false" outlineLevel="0" collapsed="false">
      <c r="A73" s="0" t="s">
        <v>241</v>
      </c>
      <c r="B73" s="0" t="s">
        <v>242</v>
      </c>
      <c r="C73" s="0" t="s">
        <v>63</v>
      </c>
      <c r="D73" s="6" t="n">
        <v>0.8</v>
      </c>
      <c r="E73" s="6" t="n">
        <v>1</v>
      </c>
      <c r="F73" s="6" t="n">
        <v>1.2</v>
      </c>
      <c r="G73" s="7" t="s">
        <v>64</v>
      </c>
      <c r="H73" s="3" t="s">
        <v>243</v>
      </c>
      <c r="I73" s="7" t="s">
        <v>244</v>
      </c>
    </row>
    <row r="74" customFormat="false" ht="17.15" hidden="false" customHeight="false" outlineLevel="0" collapsed="false">
      <c r="A74" s="5" t="s">
        <v>245</v>
      </c>
    </row>
    <row r="75" customFormat="false" ht="17.15" hidden="false" customHeight="false" outlineLevel="0" collapsed="false">
      <c r="A75" s="0" t="s">
        <v>246</v>
      </c>
      <c r="B75" s="3" t="s">
        <v>247</v>
      </c>
      <c r="C75" s="0" t="s">
        <v>184</v>
      </c>
      <c r="E75" s="6" t="n">
        <v>106.371</v>
      </c>
      <c r="G75" s="7" t="s">
        <v>50</v>
      </c>
      <c r="H75" s="7" t="s">
        <v>248</v>
      </c>
      <c r="I75" s="7" t="s">
        <v>249</v>
      </c>
    </row>
    <row r="76" customFormat="false" ht="17.15" hidden="false" customHeight="false" outlineLevel="0" collapsed="false">
      <c r="A76" s="0" t="s">
        <v>250</v>
      </c>
      <c r="B76" s="3" t="s">
        <v>251</v>
      </c>
      <c r="C76" s="0" t="s">
        <v>252</v>
      </c>
      <c r="E76" s="6" t="n">
        <v>41.22</v>
      </c>
      <c r="G76" s="7" t="s">
        <v>50</v>
      </c>
      <c r="H76" s="7" t="s">
        <v>253</v>
      </c>
      <c r="I76" s="7" t="s">
        <v>254</v>
      </c>
    </row>
    <row r="77" customFormat="false" ht="17.15" hidden="false" customHeight="false" outlineLevel="0" collapsed="false">
      <c r="A77" s="0" t="s">
        <v>255</v>
      </c>
      <c r="B77" s="3" t="s">
        <v>256</v>
      </c>
      <c r="C77" s="0" t="s">
        <v>184</v>
      </c>
      <c r="E77" s="6" t="n">
        <v>159.967</v>
      </c>
      <c r="G77" s="7" t="s">
        <v>50</v>
      </c>
      <c r="H77" s="7" t="s">
        <v>248</v>
      </c>
      <c r="I77" s="7" t="s">
        <v>52</v>
      </c>
    </row>
    <row r="78" customFormat="false" ht="17.15" hidden="false" customHeight="false" outlineLevel="0" collapsed="false">
      <c r="A78" s="0" t="s">
        <v>257</v>
      </c>
      <c r="B78" s="3" t="s">
        <v>258</v>
      </c>
      <c r="C78" s="0" t="s">
        <v>252</v>
      </c>
      <c r="E78" s="6" t="n">
        <v>62.8</v>
      </c>
      <c r="G78" s="7" t="s">
        <v>50</v>
      </c>
      <c r="H78" s="7" t="s">
        <v>253</v>
      </c>
      <c r="I78" s="7" t="s">
        <v>52</v>
      </c>
    </row>
    <row r="79" customFormat="false" ht="17.15" hidden="false" customHeight="false" outlineLevel="0" collapsed="false">
      <c r="A79" s="0" t="s">
        <v>259</v>
      </c>
      <c r="B79" s="3" t="s">
        <v>260</v>
      </c>
      <c r="C79" s="0" t="s">
        <v>184</v>
      </c>
      <c r="E79" s="6" t="n">
        <v>214.339</v>
      </c>
      <c r="G79" s="7" t="s">
        <v>50</v>
      </c>
      <c r="H79" s="7" t="s">
        <v>248</v>
      </c>
      <c r="I79" s="7" t="s">
        <v>52</v>
      </c>
    </row>
    <row r="80" customFormat="false" ht="17.15" hidden="false" customHeight="false" outlineLevel="0" collapsed="false">
      <c r="A80" s="0" t="s">
        <v>261</v>
      </c>
      <c r="B80" s="3" t="s">
        <v>262</v>
      </c>
      <c r="C80" s="0" t="s">
        <v>252</v>
      </c>
      <c r="E80" s="6" t="n">
        <v>95.35</v>
      </c>
      <c r="G80" s="7" t="s">
        <v>50</v>
      </c>
      <c r="H80" s="7" t="s">
        <v>253</v>
      </c>
      <c r="I80" s="7" t="s">
        <v>52</v>
      </c>
    </row>
    <row r="81" customFormat="false" ht="17.15" hidden="false" customHeight="false" outlineLevel="0" collapsed="false">
      <c r="A81" s="0" t="s">
        <v>263</v>
      </c>
      <c r="B81" s="0" t="s">
        <v>264</v>
      </c>
      <c r="C81" s="0" t="s">
        <v>252</v>
      </c>
      <c r="E81" s="6" t="n">
        <v>41.57</v>
      </c>
      <c r="G81" s="7" t="s">
        <v>50</v>
      </c>
      <c r="H81" s="7" t="s">
        <v>265</v>
      </c>
      <c r="I81" s="7" t="s">
        <v>52</v>
      </c>
    </row>
    <row r="82" customFormat="false" ht="17.15" hidden="false" customHeight="false" outlineLevel="0" collapsed="false">
      <c r="A82" s="0" t="s">
        <v>266</v>
      </c>
      <c r="B82" s="0" t="s">
        <v>267</v>
      </c>
      <c r="C82" s="0" t="s">
        <v>252</v>
      </c>
      <c r="E82" s="6" t="n">
        <v>69.1</v>
      </c>
      <c r="G82" s="7" t="s">
        <v>50</v>
      </c>
      <c r="H82" s="7" t="s">
        <v>265</v>
      </c>
      <c r="I82" s="3" t="s">
        <v>268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0" t="s">
        <v>252</v>
      </c>
      <c r="E83" s="6" t="n">
        <v>95.07</v>
      </c>
      <c r="G83" s="7" t="s">
        <v>50</v>
      </c>
      <c r="H83" s="7" t="s">
        <v>265</v>
      </c>
      <c r="I83" s="7" t="s">
        <v>52</v>
      </c>
    </row>
    <row r="84" customFormat="false" ht="17.15" hidden="false" customHeight="false" outlineLevel="0" collapsed="false">
      <c r="A84" s="0" t="s">
        <v>271</v>
      </c>
      <c r="B84" s="3" t="s">
        <v>272</v>
      </c>
      <c r="C84" s="0" t="s">
        <v>252</v>
      </c>
      <c r="E84" s="6" t="n">
        <v>65.39</v>
      </c>
      <c r="G84" s="7" t="s">
        <v>50</v>
      </c>
      <c r="H84" s="7" t="s">
        <v>273</v>
      </c>
      <c r="I84" s="3" t="s">
        <v>274</v>
      </c>
    </row>
    <row r="85" customFormat="false" ht="17.15" hidden="false" customHeight="false" outlineLevel="0" collapsed="false">
      <c r="A85" s="0" t="s">
        <v>275</v>
      </c>
      <c r="B85" s="3" t="s">
        <v>276</v>
      </c>
      <c r="C85" s="0" t="s">
        <v>90</v>
      </c>
      <c r="E85" s="6" t="n">
        <v>350</v>
      </c>
      <c r="G85" s="7" t="s">
        <v>30</v>
      </c>
      <c r="H85" s="7" t="s">
        <v>277</v>
      </c>
      <c r="I85" s="3" t="s">
        <v>278</v>
      </c>
    </row>
    <row r="86" customFormat="false" ht="17.15" hidden="false" customHeight="false" outlineLevel="0" collapsed="false">
      <c r="A86" s="0" t="s">
        <v>279</v>
      </c>
      <c r="B86" s="3" t="s">
        <v>280</v>
      </c>
      <c r="C86" s="0" t="s">
        <v>90</v>
      </c>
      <c r="E86" s="6" t="n">
        <v>450</v>
      </c>
      <c r="G86" s="7" t="s">
        <v>30</v>
      </c>
      <c r="H86" s="7" t="s">
        <v>281</v>
      </c>
      <c r="I86" s="3" t="s">
        <v>282</v>
      </c>
    </row>
    <row r="87" customFormat="false" ht="17.15" hidden="false" customHeight="false" outlineLevel="0" collapsed="false">
      <c r="A87" s="0" t="s">
        <v>283</v>
      </c>
      <c r="B87" s="3" t="s">
        <v>284</v>
      </c>
      <c r="C87" s="0" t="s">
        <v>90</v>
      </c>
      <c r="E87" s="6" t="n">
        <v>527.5</v>
      </c>
      <c r="G87" s="7" t="s">
        <v>30</v>
      </c>
      <c r="H87" s="7" t="s">
        <v>277</v>
      </c>
      <c r="I87" s="3" t="s">
        <v>35</v>
      </c>
    </row>
    <row r="88" customFormat="false" ht="17.15" hidden="false" customHeight="false" outlineLevel="0" collapsed="false">
      <c r="A88" s="0" t="s">
        <v>285</v>
      </c>
      <c r="B88" s="3" t="s">
        <v>286</v>
      </c>
      <c r="C88" s="0" t="s">
        <v>90</v>
      </c>
      <c r="E88" s="6" t="n">
        <v>682</v>
      </c>
      <c r="G88" s="7" t="s">
        <v>30</v>
      </c>
      <c r="H88" s="7" t="s">
        <v>281</v>
      </c>
      <c r="I88" s="3" t="s">
        <v>35</v>
      </c>
    </row>
    <row r="89" customFormat="false" ht="17.15" hidden="false" customHeight="false" outlineLevel="0" collapsed="false">
      <c r="A89" s="0" t="s">
        <v>287</v>
      </c>
      <c r="B89" s="3" t="s">
        <v>288</v>
      </c>
      <c r="C89" s="0" t="s">
        <v>90</v>
      </c>
      <c r="E89" s="6" t="n">
        <v>609</v>
      </c>
      <c r="G89" s="7" t="s">
        <v>30</v>
      </c>
      <c r="H89" s="7" t="s">
        <v>277</v>
      </c>
      <c r="I89" s="3" t="s">
        <v>35</v>
      </c>
    </row>
    <row r="90" customFormat="false" ht="17.15" hidden="false" customHeight="false" outlineLevel="0" collapsed="false">
      <c r="A90" s="0" t="s">
        <v>289</v>
      </c>
      <c r="B90" s="3" t="s">
        <v>290</v>
      </c>
      <c r="C90" s="0" t="s">
        <v>90</v>
      </c>
      <c r="E90" s="6" t="n">
        <v>792</v>
      </c>
      <c r="G90" s="7" t="s">
        <v>30</v>
      </c>
      <c r="H90" s="7" t="s">
        <v>281</v>
      </c>
      <c r="I90" s="3" t="s">
        <v>35</v>
      </c>
    </row>
    <row r="91" customFormat="false" ht="17.15" hidden="false" customHeight="false" outlineLevel="0" collapsed="false">
      <c r="A91" s="0" t="s">
        <v>291</v>
      </c>
      <c r="B91" s="3" t="s">
        <v>292</v>
      </c>
      <c r="C91" s="0" t="s">
        <v>90</v>
      </c>
      <c r="E91" s="6" t="n">
        <v>662.5</v>
      </c>
      <c r="G91" s="7" t="s">
        <v>30</v>
      </c>
      <c r="H91" s="7" t="s">
        <v>277</v>
      </c>
      <c r="I91" s="3" t="s">
        <v>35</v>
      </c>
    </row>
    <row r="92" customFormat="false" ht="17.15" hidden="false" customHeight="false" outlineLevel="0" collapsed="false">
      <c r="A92" s="0" t="s">
        <v>293</v>
      </c>
      <c r="B92" s="3" t="s">
        <v>294</v>
      </c>
      <c r="C92" s="0" t="s">
        <v>90</v>
      </c>
      <c r="E92" s="6" t="n">
        <v>877</v>
      </c>
      <c r="G92" s="7" t="s">
        <v>30</v>
      </c>
      <c r="H92" s="7" t="s">
        <v>281</v>
      </c>
      <c r="I92" s="3" t="s">
        <v>35</v>
      </c>
    </row>
    <row r="93" customFormat="false" ht="17.15" hidden="false" customHeight="false" outlineLevel="0" collapsed="false">
      <c r="A93" s="0" t="s">
        <v>295</v>
      </c>
      <c r="B93" s="3" t="s">
        <v>296</v>
      </c>
      <c r="C93" s="0" t="s">
        <v>90</v>
      </c>
      <c r="E93" s="6" t="n">
        <v>160.757158009399</v>
      </c>
      <c r="G93" s="7" t="s">
        <v>30</v>
      </c>
      <c r="H93" s="7" t="s">
        <v>297</v>
      </c>
      <c r="I93" s="3" t="s">
        <v>298</v>
      </c>
    </row>
    <row r="94" customFormat="false" ht="17.15" hidden="false" customHeight="false" outlineLevel="0" collapsed="false">
      <c r="A94" s="0" t="s">
        <v>299</v>
      </c>
      <c r="B94" s="3" t="s">
        <v>300</v>
      </c>
      <c r="C94" s="0" t="s">
        <v>90</v>
      </c>
      <c r="E94" s="6" t="n">
        <v>111.389307286659</v>
      </c>
      <c r="G94" s="7" t="s">
        <v>30</v>
      </c>
      <c r="H94" s="7" t="s">
        <v>301</v>
      </c>
      <c r="I94" s="3" t="s">
        <v>302</v>
      </c>
    </row>
    <row r="95" customFormat="false" ht="17.15" hidden="false" customHeight="false" outlineLevel="0" collapsed="false">
      <c r="A95" s="0" t="s">
        <v>303</v>
      </c>
      <c r="B95" s="3" t="s">
        <v>304</v>
      </c>
      <c r="C95" s="0" t="s">
        <v>90</v>
      </c>
      <c r="E95" s="6" t="n">
        <v>180.408412082255</v>
      </c>
      <c r="G95" s="7" t="s">
        <v>30</v>
      </c>
      <c r="H95" s="7" t="s">
        <v>297</v>
      </c>
      <c r="I95" s="3" t="s">
        <v>298</v>
      </c>
    </row>
    <row r="96" customFormat="false" ht="17.15" hidden="false" customHeight="false" outlineLevel="0" collapsed="false">
      <c r="A96" s="0" t="s">
        <v>305</v>
      </c>
      <c r="B96" s="3" t="s">
        <v>306</v>
      </c>
      <c r="C96" s="0" t="s">
        <v>90</v>
      </c>
      <c r="E96" s="6" t="n">
        <v>132.933491717507</v>
      </c>
      <c r="G96" s="7" t="s">
        <v>30</v>
      </c>
      <c r="H96" s="7" t="s">
        <v>301</v>
      </c>
      <c r="I96" s="3" t="s">
        <v>302</v>
      </c>
    </row>
    <row r="97" customFormat="false" ht="17.15" hidden="false" customHeight="false" outlineLevel="0" collapsed="false">
      <c r="A97" s="0" t="s">
        <v>307</v>
      </c>
      <c r="B97" s="3" t="s">
        <v>308</v>
      </c>
      <c r="C97" s="0" t="s">
        <v>90</v>
      </c>
      <c r="E97" s="6" t="n">
        <v>226.080719682557</v>
      </c>
      <c r="G97" s="7" t="s">
        <v>30</v>
      </c>
      <c r="H97" s="7" t="s">
        <v>297</v>
      </c>
      <c r="I97" s="3" t="s">
        <v>298</v>
      </c>
    </row>
    <row r="98" customFormat="false" ht="17.15" hidden="false" customHeight="false" outlineLevel="0" collapsed="false">
      <c r="A98" s="0" t="s">
        <v>309</v>
      </c>
      <c r="B98" s="3" t="s">
        <v>310</v>
      </c>
      <c r="C98" s="0" t="s">
        <v>90</v>
      </c>
      <c r="E98" s="6" t="n">
        <v>152.131060319828</v>
      </c>
      <c r="G98" s="7" t="s">
        <v>30</v>
      </c>
      <c r="H98" s="7" t="s">
        <v>301</v>
      </c>
      <c r="I98" s="3" t="s">
        <v>302</v>
      </c>
    </row>
    <row r="99" customFormat="false" ht="17.15" hidden="false" customHeight="false" outlineLevel="0" collapsed="false">
      <c r="A99" s="0" t="s">
        <v>311</v>
      </c>
      <c r="B99" s="3" t="s">
        <v>312</v>
      </c>
      <c r="C99" s="0" t="s">
        <v>49</v>
      </c>
      <c r="E99" s="6" t="n">
        <v>0.247531793970354</v>
      </c>
      <c r="G99" s="7" t="s">
        <v>30</v>
      </c>
      <c r="H99" s="7" t="s">
        <v>313</v>
      </c>
      <c r="I99" s="3" t="s">
        <v>302</v>
      </c>
    </row>
    <row r="100" customFormat="false" ht="17.15" hidden="false" customHeight="false" outlineLevel="0" collapsed="false">
      <c r="A100" s="5" t="s">
        <v>314</v>
      </c>
    </row>
    <row r="101" customFormat="false" ht="17.15" hidden="false" customHeight="false" outlineLevel="0" collapsed="false">
      <c r="A101" s="0" t="s">
        <v>315</v>
      </c>
      <c r="B101" s="3" t="s">
        <v>316</v>
      </c>
      <c r="C101" s="0" t="s">
        <v>252</v>
      </c>
      <c r="E101" s="6" t="n">
        <v>1115</v>
      </c>
      <c r="G101" s="7" t="s">
        <v>50</v>
      </c>
      <c r="H101" s="7" t="s">
        <v>317</v>
      </c>
      <c r="I101" s="7" t="s">
        <v>318</v>
      </c>
    </row>
    <row r="102" customFormat="false" ht="17.15" hidden="false" customHeight="false" outlineLevel="0" collapsed="false">
      <c r="A102" s="0" t="s">
        <v>319</v>
      </c>
      <c r="B102" s="3" t="s">
        <v>320</v>
      </c>
      <c r="C102" s="0" t="s">
        <v>63</v>
      </c>
      <c r="E102" s="6" t="n">
        <v>39.79</v>
      </c>
      <c r="G102" s="7" t="s">
        <v>50</v>
      </c>
      <c r="H102" s="7" t="s">
        <v>321</v>
      </c>
      <c r="I102" s="3" t="s">
        <v>322</v>
      </c>
    </row>
    <row r="103" customFormat="false" ht="17.15" hidden="false" customHeight="false" outlineLevel="0" collapsed="false">
      <c r="A103" s="0" t="s">
        <v>323</v>
      </c>
      <c r="B103" s="3" t="s">
        <v>324</v>
      </c>
      <c r="C103" s="0" t="s">
        <v>63</v>
      </c>
      <c r="E103" s="6" t="n">
        <v>19.57</v>
      </c>
      <c r="G103" s="7" t="s">
        <v>50</v>
      </c>
      <c r="H103" s="7" t="s">
        <v>321</v>
      </c>
      <c r="I103" s="3" t="s">
        <v>325</v>
      </c>
    </row>
    <row r="104" customFormat="false" ht="17.15" hidden="false" customHeight="false" outlineLevel="0" collapsed="false">
      <c r="A104" s="0" t="s">
        <v>326</v>
      </c>
      <c r="B104" s="3" t="s">
        <v>327</v>
      </c>
      <c r="C104" s="0" t="s">
        <v>252</v>
      </c>
      <c r="E104" s="0" t="n">
        <f aca="false">px/fpe</f>
        <v>56.9749616760347</v>
      </c>
      <c r="G104" s="0" t="s">
        <v>30</v>
      </c>
      <c r="H104" s="0" t="s">
        <v>328</v>
      </c>
      <c r="I104" s="3" t="s">
        <v>329</v>
      </c>
    </row>
    <row r="105" customFormat="false" ht="17.15" hidden="false" customHeight="false" outlineLevel="0" collapsed="false">
      <c r="A105" s="0" t="s">
        <v>330</v>
      </c>
      <c r="B105" s="3" t="s">
        <v>331</v>
      </c>
      <c r="C105" s="0" t="s">
        <v>252</v>
      </c>
      <c r="E105" s="6" t="n">
        <v>1554</v>
      </c>
      <c r="G105" s="7" t="s">
        <v>50</v>
      </c>
      <c r="H105" s="7" t="s">
        <v>332</v>
      </c>
      <c r="I105" s="3" t="s">
        <v>333</v>
      </c>
    </row>
    <row r="106" customFormat="false" ht="17.15" hidden="false" customHeight="false" outlineLevel="0" collapsed="false">
      <c r="A106" s="0" t="s">
        <v>334</v>
      </c>
      <c r="B106" s="3" t="s">
        <v>335</v>
      </c>
      <c r="C106" s="0" t="s">
        <v>49</v>
      </c>
      <c r="E106" s="8" t="n">
        <f aca="false">PL!G39*0.8</f>
        <v>0.125878531868141</v>
      </c>
      <c r="G106" s="7" t="s">
        <v>64</v>
      </c>
      <c r="H106" s="3" t="s">
        <v>336</v>
      </c>
      <c r="I106" s="3" t="s">
        <v>337</v>
      </c>
    </row>
    <row r="107" customFormat="false" ht="17.15" hidden="false" customHeight="false" outlineLevel="0" collapsed="false">
      <c r="A107" s="5" t="s">
        <v>338</v>
      </c>
    </row>
    <row r="108" customFormat="false" ht="17.15" hidden="false" customHeight="false" outlineLevel="0" collapsed="false">
      <c r="A108" s="9" t="s">
        <v>339</v>
      </c>
      <c r="B108" s="10" t="s">
        <v>340</v>
      </c>
      <c r="C108" s="9" t="s">
        <v>49</v>
      </c>
      <c r="D108" s="9"/>
      <c r="E108" s="11" t="n">
        <v>0.3</v>
      </c>
      <c r="F108" s="9"/>
      <c r="G108" s="9" t="s">
        <v>341</v>
      </c>
      <c r="H108" s="9" t="s">
        <v>342</v>
      </c>
      <c r="I108" s="10" t="s">
        <v>343</v>
      </c>
    </row>
    <row r="109" customFormat="false" ht="17.15" hidden="false" customHeight="false" outlineLevel="0" collapsed="false">
      <c r="A109" s="9" t="s">
        <v>344</v>
      </c>
      <c r="B109" s="10" t="s">
        <v>345</v>
      </c>
      <c r="C109" s="9" t="s">
        <v>49</v>
      </c>
      <c r="D109" s="9"/>
      <c r="E109" s="11" t="n">
        <v>0.5</v>
      </c>
      <c r="F109" s="9"/>
      <c r="G109" s="9" t="s">
        <v>341</v>
      </c>
      <c r="H109" s="9" t="s">
        <v>342</v>
      </c>
      <c r="I109" s="10" t="s">
        <v>343</v>
      </c>
    </row>
    <row r="110" customFormat="false" ht="17.15" hidden="false" customHeight="false" outlineLevel="0" collapsed="false">
      <c r="A110" s="9" t="s">
        <v>346</v>
      </c>
      <c r="B110" s="10" t="s">
        <v>347</v>
      </c>
      <c r="C110" s="9" t="s">
        <v>49</v>
      </c>
      <c r="D110" s="9"/>
      <c r="E110" s="11" t="n">
        <v>0.2</v>
      </c>
      <c r="F110" s="9"/>
      <c r="G110" s="9" t="s">
        <v>341</v>
      </c>
      <c r="H110" s="9" t="s">
        <v>342</v>
      </c>
      <c r="I110" s="10" t="s">
        <v>343</v>
      </c>
    </row>
    <row r="111" customFormat="false" ht="17.15" hidden="false" customHeight="false" outlineLevel="0" collapsed="false">
      <c r="A111" s="9" t="s">
        <v>348</v>
      </c>
      <c r="B111" s="10" t="s">
        <v>349</v>
      </c>
      <c r="C111" s="9" t="s">
        <v>49</v>
      </c>
      <c r="D111" s="9"/>
      <c r="E111" s="11" t="n">
        <v>0.1</v>
      </c>
      <c r="F111" s="9"/>
      <c r="G111" s="9" t="s">
        <v>341</v>
      </c>
      <c r="H111" s="9" t="s">
        <v>350</v>
      </c>
      <c r="I111" s="9" t="s">
        <v>351</v>
      </c>
    </row>
    <row r="112" customFormat="false" ht="17.15" hidden="false" customHeight="false" outlineLevel="0" collapsed="false">
      <c r="A112" s="9" t="s">
        <v>352</v>
      </c>
      <c r="B112" s="10" t="s">
        <v>353</v>
      </c>
      <c r="C112" s="9" t="s">
        <v>49</v>
      </c>
      <c r="D112" s="9"/>
      <c r="E112" s="11" t="n">
        <v>0.04</v>
      </c>
      <c r="F112" s="9"/>
      <c r="G112" s="9" t="s">
        <v>341</v>
      </c>
      <c r="H112" s="9" t="s">
        <v>354</v>
      </c>
      <c r="I112" s="9" t="s">
        <v>355</v>
      </c>
    </row>
    <row r="113" customFormat="false" ht="17.15" hidden="false" customHeight="false" outlineLevel="0" collapsed="false">
      <c r="A113" s="9" t="s">
        <v>356</v>
      </c>
      <c r="B113" s="9" t="s">
        <v>357</v>
      </c>
      <c r="C113" s="9" t="s">
        <v>49</v>
      </c>
      <c r="D113" s="9"/>
      <c r="E113" s="9" t="n">
        <f aca="false">AVERAGE(0.2265,0.2945,0.3507)</f>
        <v>0.290566666666667</v>
      </c>
      <c r="F113" s="9"/>
      <c r="G113" s="9" t="s">
        <v>30</v>
      </c>
      <c r="H113" s="9" t="s">
        <v>358</v>
      </c>
      <c r="I113" s="9" t="s">
        <v>359</v>
      </c>
    </row>
    <row r="114" customFormat="false" ht="17.15" hidden="false" customHeight="false" outlineLevel="0" collapsed="false">
      <c r="A114" s="9" t="s">
        <v>360</v>
      </c>
      <c r="B114" s="10" t="s">
        <v>361</v>
      </c>
      <c r="C114" s="9" t="s">
        <v>49</v>
      </c>
      <c r="D114" s="9"/>
      <c r="E114" s="11" t="n">
        <v>0.5</v>
      </c>
      <c r="F114" s="9"/>
      <c r="G114" s="9" t="s">
        <v>341</v>
      </c>
      <c r="H114" s="9" t="s">
        <v>362</v>
      </c>
      <c r="I114" s="9" t="s">
        <v>52</v>
      </c>
    </row>
    <row r="115" customFormat="false" ht="17.15" hidden="false" customHeight="false" outlineLevel="0" collapsed="false">
      <c r="A115" s="9" t="s">
        <v>363</v>
      </c>
      <c r="B115" s="10" t="s">
        <v>364</v>
      </c>
      <c r="C115" s="9" t="s">
        <v>49</v>
      </c>
      <c r="D115" s="9"/>
      <c r="E115" s="9" t="n">
        <f aca="false">tp_g+0.02</f>
        <v>0.06</v>
      </c>
      <c r="F115" s="9"/>
      <c r="G115" s="9" t="s">
        <v>341</v>
      </c>
      <c r="H115" s="10" t="s">
        <v>365</v>
      </c>
      <c r="I115" s="9" t="s">
        <v>366</v>
      </c>
    </row>
    <row r="116" customFormat="false" ht="17.15" hidden="false" customHeight="false" outlineLevel="0" collapsed="false">
      <c r="A116" s="9" t="s">
        <v>367</v>
      </c>
      <c r="B116" s="10" t="s">
        <v>368</v>
      </c>
      <c r="C116" s="9" t="s">
        <v>49</v>
      </c>
      <c r="D116" s="9"/>
      <c r="E116" s="9" t="n">
        <f aca="false">tp_g</f>
        <v>0.04</v>
      </c>
      <c r="F116" s="9"/>
      <c r="G116" s="9" t="s">
        <v>341</v>
      </c>
      <c r="H116" s="10" t="s">
        <v>35</v>
      </c>
      <c r="I116" s="9" t="s">
        <v>52</v>
      </c>
    </row>
    <row r="117" customFormat="false" ht="17.15" hidden="false" customHeight="false" outlineLevel="0" collapsed="false">
      <c r="A117" s="9" t="s">
        <v>369</v>
      </c>
      <c r="B117" s="10" t="s">
        <v>370</v>
      </c>
      <c r="C117" s="9" t="s">
        <v>49</v>
      </c>
      <c r="D117" s="9"/>
      <c r="E117" s="9" t="n">
        <f aca="false">tp_g-0.02</f>
        <v>0.02</v>
      </c>
      <c r="F117" s="9"/>
      <c r="G117" s="9" t="s">
        <v>341</v>
      </c>
      <c r="H117" s="10" t="s">
        <v>35</v>
      </c>
      <c r="I117" s="9" t="s">
        <v>52</v>
      </c>
    </row>
    <row r="118" customFormat="false" ht="17.15" hidden="false" customHeight="false" outlineLevel="0" collapsed="false">
      <c r="A118" s="9" t="s">
        <v>371</v>
      </c>
      <c r="B118" s="10" t="s">
        <v>372</v>
      </c>
      <c r="C118" s="9" t="s">
        <v>49</v>
      </c>
      <c r="D118" s="9"/>
      <c r="E118" s="12" t="n">
        <f aca="false">PL!G13</f>
        <v>0.233575018056783</v>
      </c>
      <c r="F118" s="9"/>
      <c r="G118" s="9" t="s">
        <v>30</v>
      </c>
      <c r="H118" s="9" t="s">
        <v>373</v>
      </c>
      <c r="I118" s="9" t="s">
        <v>52</v>
      </c>
    </row>
    <row r="119" customFormat="false" ht="17.15" hidden="false" customHeight="false" outlineLevel="0" collapsed="false">
      <c r="A119" s="9" t="s">
        <v>374</v>
      </c>
      <c r="B119" s="10" t="s">
        <v>375</v>
      </c>
      <c r="C119" s="9" t="s">
        <v>49</v>
      </c>
      <c r="D119" s="9"/>
      <c r="E119" s="13" t="n">
        <f aca="false">(PL!G26+nim_avg)/2</f>
        <v>0.164810036470462</v>
      </c>
      <c r="F119" s="9"/>
      <c r="G119" s="9" t="s">
        <v>341</v>
      </c>
      <c r="H119" s="9" t="s">
        <v>376</v>
      </c>
      <c r="I119" s="9" t="s">
        <v>52</v>
      </c>
    </row>
    <row r="120" customFormat="false" ht="17.15" hidden="false" customHeight="false" outlineLevel="0" collapsed="false">
      <c r="A120" s="9" t="s">
        <v>377</v>
      </c>
      <c r="B120" s="10" t="s">
        <v>378</v>
      </c>
      <c r="C120" s="9" t="s">
        <v>49</v>
      </c>
      <c r="D120" s="9"/>
      <c r="E120" s="9" t="n">
        <f aca="false">nim_avg</f>
        <v>0.125878531868141</v>
      </c>
      <c r="F120" s="9"/>
      <c r="G120" s="9" t="s">
        <v>341</v>
      </c>
      <c r="H120" s="9" t="s">
        <v>379</v>
      </c>
      <c r="I120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380</v>
      </c>
    </row>
    <row r="2" customFormat="false" ht="17.15" hidden="false" customHeight="false" outlineLevel="0" collapsed="false">
      <c r="A2" s="0" t="s">
        <v>381</v>
      </c>
    </row>
    <row r="3" customFormat="false" ht="17.15" hidden="false" customHeight="false" outlineLevel="0" collapsed="false">
      <c r="A3" s="4" t="s">
        <v>18</v>
      </c>
      <c r="B3" s="14" t="s">
        <v>382</v>
      </c>
      <c r="C3" s="14" t="s">
        <v>383</v>
      </c>
      <c r="D3" s="14" t="s">
        <v>384</v>
      </c>
      <c r="E3" s="14" t="s">
        <v>385</v>
      </c>
      <c r="F3" s="14" t="s">
        <v>386</v>
      </c>
      <c r="G3" s="4" t="s">
        <v>23</v>
      </c>
      <c r="H3" s="4" t="s">
        <v>24</v>
      </c>
      <c r="I3" s="4" t="s">
        <v>25</v>
      </c>
    </row>
    <row r="4" customFormat="false" ht="17.15" hidden="false" customHeight="false" outlineLevel="0" collapsed="false">
      <c r="A4" s="3" t="s">
        <v>387</v>
      </c>
      <c r="B4" s="15" t="n">
        <v>60.004</v>
      </c>
      <c r="C4" s="15" t="n">
        <v>43.592</v>
      </c>
      <c r="D4" s="16" t="n">
        <f aca="false">q3_rev</f>
        <v>29.719</v>
      </c>
      <c r="E4" s="16" t="n">
        <f aca="false">D4*(1+q4g)</f>
        <v>32.09652</v>
      </c>
      <c r="F4" s="16" t="n">
        <f aca="false">SUM(C4:E4)</f>
        <v>105.40752</v>
      </c>
      <c r="G4" s="7" t="s">
        <v>388</v>
      </c>
      <c r="H4" s="7" t="s">
        <v>389</v>
      </c>
      <c r="I4" s="7" t="s">
        <v>390</v>
      </c>
    </row>
    <row r="5" customFormat="false" ht="17.15" hidden="false" customHeight="false" outlineLevel="0" collapsed="false">
      <c r="A5" s="3" t="s">
        <v>391</v>
      </c>
      <c r="B5" s="15" t="n">
        <v>19.683</v>
      </c>
      <c r="C5" s="16" t="n">
        <f aca="false">6.722+24.279*0.3465</f>
        <v>15.1346735</v>
      </c>
      <c r="D5" s="16" t="n">
        <f aca="false">D4*q_gm</f>
        <v>10.40165</v>
      </c>
      <c r="E5" s="16" t="n">
        <f aca="false">E4*q_gm</f>
        <v>11.233782</v>
      </c>
      <c r="F5" s="16" t="n">
        <f aca="false">SUM(C5:E5)</f>
        <v>36.7701055</v>
      </c>
      <c r="G5" s="7" t="s">
        <v>392</v>
      </c>
      <c r="H5" s="7" t="s">
        <v>389</v>
      </c>
      <c r="I5" s="7" t="s">
        <v>393</v>
      </c>
    </row>
    <row r="6" customFormat="false" ht="17.15" hidden="false" customHeight="false" outlineLevel="0" collapsed="false">
      <c r="A6" s="3" t="s">
        <v>394</v>
      </c>
      <c r="B6" s="17" t="n">
        <f aca="false">B5/B4</f>
        <v>0.328028131457903</v>
      </c>
      <c r="C6" s="17" t="n">
        <f aca="false">C5/C4</f>
        <v>0.347189243439163</v>
      </c>
      <c r="D6" s="17" t="n">
        <f aca="false">D5/D4</f>
        <v>0.35</v>
      </c>
      <c r="E6" s="17" t="n">
        <f aca="false">E5/E4</f>
        <v>0.35</v>
      </c>
      <c r="F6" s="17" t="n">
        <f aca="false">F5/F4</f>
        <v>0.348837592422248</v>
      </c>
      <c r="G6" s="7" t="s">
        <v>30</v>
      </c>
      <c r="H6" s="7" t="s">
        <v>52</v>
      </c>
      <c r="I6" s="7" t="s">
        <v>395</v>
      </c>
    </row>
    <row r="7" customFormat="false" ht="17.15" hidden="false" customHeight="false" outlineLevel="0" collapsed="false">
      <c r="A7" s="3" t="s">
        <v>396</v>
      </c>
      <c r="B7" s="16" t="n">
        <f aca="false">B5-B8</f>
        <v>5.64</v>
      </c>
      <c r="C7" s="16" t="n">
        <f aca="false">C5-C8</f>
        <v>3.5327338</v>
      </c>
      <c r="D7" s="16" t="n">
        <f aca="false">D4*q_opx</f>
        <v>2.37752</v>
      </c>
      <c r="E7" s="16" t="n">
        <f aca="false">E4*q_opx</f>
        <v>2.5677216</v>
      </c>
      <c r="F7" s="16" t="n">
        <f aca="false">SUM(C7:E7)</f>
        <v>8.4779754</v>
      </c>
      <c r="G7" s="7" t="s">
        <v>397</v>
      </c>
      <c r="H7" s="7" t="s">
        <v>389</v>
      </c>
      <c r="I7" s="3" t="s">
        <v>398</v>
      </c>
    </row>
    <row r="8" customFormat="false" ht="17.15" hidden="false" customHeight="false" outlineLevel="0" collapsed="false">
      <c r="A8" s="3" t="s">
        <v>399</v>
      </c>
      <c r="B8" s="15" t="n">
        <v>14.043</v>
      </c>
      <c r="C8" s="16" t="n">
        <f aca="false">5.185+24.279*0.2643</f>
        <v>11.6019397</v>
      </c>
      <c r="D8" s="16" t="n">
        <f aca="false">D5-D7</f>
        <v>8.02413</v>
      </c>
      <c r="E8" s="16" t="n">
        <f aca="false">E5-E7</f>
        <v>8.6660604</v>
      </c>
      <c r="F8" s="16" t="n">
        <f aca="false">SUM(C8:E8)</f>
        <v>28.2921301</v>
      </c>
      <c r="G8" s="7" t="s">
        <v>400</v>
      </c>
      <c r="H8" s="7" t="s">
        <v>389</v>
      </c>
      <c r="I8" s="7" t="s">
        <v>401</v>
      </c>
    </row>
    <row r="9" customFormat="false" ht="15" hidden="false" customHeight="false" outlineLevel="0" collapsed="false">
      <c r="A9" s="3" t="s">
        <v>402</v>
      </c>
      <c r="B9" s="17" t="n">
        <f aca="false">B8/B4</f>
        <v>0.23403439770682</v>
      </c>
      <c r="C9" s="17" t="n">
        <f aca="false">C8/C4</f>
        <v>0.266148368966783</v>
      </c>
      <c r="D9" s="17" t="n">
        <f aca="false">D8/D4</f>
        <v>0.27</v>
      </c>
      <c r="E9" s="17" t="n">
        <f aca="false">E8/E4</f>
        <v>0.27</v>
      </c>
      <c r="F9" s="17" t="n">
        <f aca="false">F8/F4</f>
        <v>0.268407131673338</v>
      </c>
      <c r="G9" s="7" t="s">
        <v>30</v>
      </c>
      <c r="H9" s="7" t="s">
        <v>52</v>
      </c>
      <c r="I9" s="7" t="s">
        <v>52</v>
      </c>
    </row>
    <row r="10" customFormat="false" ht="17.15" hidden="false" customHeight="false" outlineLevel="0" collapsed="false">
      <c r="A10" s="3" t="s">
        <v>403</v>
      </c>
      <c r="B10" s="16" t="n">
        <f aca="false">B11-B8</f>
        <v>0.129944800000001</v>
      </c>
      <c r="C10" s="16" t="n">
        <f aca="false">C11-C8</f>
        <v>0.46883940487945</v>
      </c>
      <c r="D10" s="16" t="n">
        <f aca="false">q_nop</f>
        <v>0</v>
      </c>
      <c r="E10" s="16" t="n">
        <f aca="false">q_nop</f>
        <v>0</v>
      </c>
      <c r="F10" s="16" t="n">
        <f aca="false">SUM(C10:E10)</f>
        <v>0.46883940487945</v>
      </c>
      <c r="G10" s="7" t="s">
        <v>397</v>
      </c>
      <c r="H10" s="3" t="s">
        <v>404</v>
      </c>
      <c r="I10" s="7" t="s">
        <v>52</v>
      </c>
    </row>
    <row r="11" customFormat="false" ht="17.15" hidden="false" customHeight="false" outlineLevel="0" collapsed="false">
      <c r="A11" s="3" t="s">
        <v>405</v>
      </c>
      <c r="B11" s="16" t="n">
        <f aca="false">60.004*0.2362</f>
        <v>14.1729448</v>
      </c>
      <c r="C11" s="16" t="n">
        <f aca="false">19.313*0.2634+4.783/q_nir</f>
        <v>12.0707791048794</v>
      </c>
      <c r="D11" s="16" t="n">
        <f aca="false">D8+D10</f>
        <v>8.02413</v>
      </c>
      <c r="E11" s="16" t="n">
        <f aca="false">E8+E10</f>
        <v>8.6660604</v>
      </c>
      <c r="F11" s="16" t="n">
        <f aca="false">SUM(C11:E11)</f>
        <v>28.7609695048794</v>
      </c>
      <c r="G11" s="7" t="s">
        <v>30</v>
      </c>
      <c r="H11" s="7" t="s">
        <v>406</v>
      </c>
      <c r="I11" s="7" t="s">
        <v>407</v>
      </c>
    </row>
    <row r="12" customFormat="false" ht="17.15" hidden="false" customHeight="false" outlineLevel="0" collapsed="false">
      <c r="A12" s="3" t="s">
        <v>408</v>
      </c>
      <c r="B12" s="15" t="n">
        <v>9.607</v>
      </c>
      <c r="C12" s="15" t="n">
        <v>8.267</v>
      </c>
      <c r="D12" s="16" t="n">
        <f aca="false">D11*q_nir</f>
        <v>5.49554275938864</v>
      </c>
      <c r="E12" s="16" t="n">
        <f aca="false">E11*q_nir</f>
        <v>5.93518618013974</v>
      </c>
      <c r="F12" s="16" t="n">
        <f aca="false">SUM(C12:E12)</f>
        <v>19.6977289395284</v>
      </c>
      <c r="G12" s="7" t="s">
        <v>409</v>
      </c>
      <c r="H12" s="7" t="s">
        <v>389</v>
      </c>
      <c r="I12" s="7" t="s">
        <v>410</v>
      </c>
    </row>
    <row r="13" customFormat="false" ht="17.15" hidden="false" customHeight="false" outlineLevel="0" collapsed="false">
      <c r="A13" s="3" t="s">
        <v>411</v>
      </c>
      <c r="B13" s="17" t="n">
        <f aca="false">B12/B8</f>
        <v>0.684113081250445</v>
      </c>
      <c r="C13" s="17" t="n">
        <f aca="false">C12/C8</f>
        <v>0.71255326383053</v>
      </c>
      <c r="D13" s="17" t="n">
        <f aca="false">D12/D8</f>
        <v>0.684877084417706</v>
      </c>
      <c r="E13" s="17" t="n">
        <f aca="false">E12/E8</f>
        <v>0.684877084417706</v>
      </c>
      <c r="F13" s="17" t="n">
        <f aca="false">F12/F8</f>
        <v>0.696226437171953</v>
      </c>
      <c r="G13" s="7" t="s">
        <v>30</v>
      </c>
      <c r="H13" s="7" t="s">
        <v>52</v>
      </c>
      <c r="I13" s="7" t="s">
        <v>52</v>
      </c>
    </row>
    <row r="14" customFormat="false" ht="17.15" hidden="false" customHeight="false" outlineLevel="0" collapsed="false">
      <c r="A14" s="3" t="s">
        <v>412</v>
      </c>
      <c r="B14" s="16" t="n">
        <f aca="false">9.607/19.47</f>
        <v>0.493425783256292</v>
      </c>
      <c r="C14" s="16" t="n">
        <f aca="false">sh_1h</f>
        <v>0.512205700123916</v>
      </c>
      <c r="D14" s="16" t="n">
        <f aca="false">sh_h2</f>
        <v>0.513756</v>
      </c>
      <c r="E14" s="16" t="n">
        <f aca="false">sh_h2</f>
        <v>0.513756</v>
      </c>
      <c r="F14" s="16" t="n">
        <f aca="false">(sh_1h+sh_h2)/2</f>
        <v>0.512980850061958</v>
      </c>
      <c r="G14" s="7" t="s">
        <v>30</v>
      </c>
      <c r="H14" s="7" t="s">
        <v>389</v>
      </c>
      <c r="I14" s="3" t="s">
        <v>413</v>
      </c>
    </row>
    <row r="15" customFormat="false" ht="17.15" hidden="false" customHeight="false" outlineLevel="0" collapsed="false">
      <c r="A15" s="0" t="s">
        <v>414</v>
      </c>
      <c r="B15" s="18" t="n">
        <f aca="false">B12/B14</f>
        <v>19.47</v>
      </c>
      <c r="C15" s="18" t="n">
        <f aca="false">C12/C14</f>
        <v>16.14</v>
      </c>
      <c r="D15" s="18" t="n">
        <f aca="false">D12/D14</f>
        <v>10.6967952868456</v>
      </c>
      <c r="E15" s="18" t="n">
        <f aca="false">E12/E14</f>
        <v>11.5525389097932</v>
      </c>
      <c r="F15" s="18" t="n">
        <f aca="false">F12/F14</f>
        <v>38.3985658278458</v>
      </c>
      <c r="G15" s="7" t="s">
        <v>30</v>
      </c>
      <c r="H15" s="3" t="s">
        <v>415</v>
      </c>
      <c r="I15" s="7" t="s">
        <v>52</v>
      </c>
    </row>
    <row r="16" customFormat="false" ht="17.15" hidden="false" customHeight="false" outlineLevel="0" collapsed="false">
      <c r="A16" s="3" t="s">
        <v>416</v>
      </c>
      <c r="B16" s="19" t="n">
        <v>19.47</v>
      </c>
      <c r="C16" s="19" t="n">
        <v>16.14</v>
      </c>
      <c r="G16" s="7" t="s">
        <v>185</v>
      </c>
      <c r="H16" s="7" t="s">
        <v>389</v>
      </c>
      <c r="I16" s="7" t="s">
        <v>417</v>
      </c>
    </row>
    <row r="17" customFormat="false" ht="17.15" hidden="false" customHeight="false" outlineLevel="0" collapsed="false">
      <c r="A17" s="0" t="s">
        <v>418</v>
      </c>
      <c r="B17" s="16" t="n">
        <f aca="false">B4*ai_25</f>
        <v>18.0012</v>
      </c>
      <c r="F17" s="16" t="n">
        <f aca="false">F4-F18</f>
        <v>55.00416</v>
      </c>
      <c r="G17" s="7" t="s">
        <v>419</v>
      </c>
      <c r="H17" s="7" t="s">
        <v>420</v>
      </c>
      <c r="I17" s="3" t="s">
        <v>421</v>
      </c>
    </row>
    <row r="18" customFormat="false" ht="17.15" hidden="false" customHeight="false" outlineLevel="0" collapsed="false">
      <c r="A18" s="3" t="s">
        <v>422</v>
      </c>
      <c r="B18" s="16" t="n">
        <f aca="false">B4-B17</f>
        <v>42.0028</v>
      </c>
      <c r="F18" s="16" t="n">
        <f aca="false">B18*(1+g_nai26)</f>
        <v>50.40336</v>
      </c>
      <c r="G18" s="7" t="s">
        <v>397</v>
      </c>
      <c r="H18" s="7" t="s">
        <v>52</v>
      </c>
      <c r="I18" s="3" t="s">
        <v>423</v>
      </c>
    </row>
    <row r="23" customFormat="false" ht="17.15" hidden="false" customHeight="false" outlineLevel="0" collapsed="false">
      <c r="A23" s="5" t="s">
        <v>424</v>
      </c>
    </row>
    <row r="24" customFormat="false" ht="17.15" hidden="false" customHeight="false" outlineLevel="0" collapsed="false">
      <c r="A24" s="0" t="s">
        <v>425</v>
      </c>
      <c r="B24" s="17" t="n">
        <f aca="false">F4/B4-1</f>
        <v>0.756674888340778</v>
      </c>
    </row>
    <row r="25" customFormat="false" ht="17.15" hidden="false" customHeight="false" outlineLevel="0" collapsed="false">
      <c r="A25" s="0" t="s">
        <v>426</v>
      </c>
      <c r="B25" s="17" t="n">
        <f aca="false">F17/F4</f>
        <v>0.521823869871903</v>
      </c>
    </row>
    <row r="26" customFormat="false" ht="17.15" hidden="false" customHeight="false" outlineLevel="0" collapsed="false">
      <c r="A26" s="0" t="s">
        <v>427</v>
      </c>
      <c r="B26" s="17" t="n">
        <f aca="false">F7/F4</f>
        <v>0.0804304607489105</v>
      </c>
    </row>
    <row r="27" customFormat="false" ht="17.15" hidden="false" customHeight="false" outlineLevel="0" collapsed="false">
      <c r="A27" s="0" t="s">
        <v>428</v>
      </c>
      <c r="B27" s="17" t="n">
        <f aca="false">F4/cons_rev26-1</f>
        <v>-0.00905773190061188</v>
      </c>
    </row>
    <row r="28" customFormat="false" ht="17.15" hidden="false" customHeight="false" outlineLevel="0" collapsed="false">
      <c r="A28" s="0" t="s">
        <v>429</v>
      </c>
      <c r="B28" s="17" t="n">
        <f aca="false">F15/cons_eps26-1</f>
        <v>-0.0684481846713779</v>
      </c>
    </row>
    <row r="29" customFormat="false" ht="17.15" hidden="false" customHeight="false" outlineLevel="0" collapsed="false">
      <c r="A29" s="0" t="s">
        <v>430</v>
      </c>
      <c r="B29" s="18" t="n">
        <f aca="false">E4*4/F4</f>
        <v>1.21799734971471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431</v>
      </c>
    </row>
    <row r="3" customFormat="false" ht="15" hidden="false" customHeight="false" outlineLevel="0" collapsed="false">
      <c r="A3" s="4" t="s">
        <v>18</v>
      </c>
      <c r="B3" s="4" t="s">
        <v>19</v>
      </c>
      <c r="C3" s="14" t="s">
        <v>432</v>
      </c>
      <c r="D3" s="14" t="s">
        <v>433</v>
      </c>
      <c r="E3" s="14" t="s">
        <v>434</v>
      </c>
      <c r="F3" s="14" t="s">
        <v>435</v>
      </c>
      <c r="G3" s="4" t="s">
        <v>436</v>
      </c>
    </row>
    <row r="4" customFormat="false" ht="17.15" hidden="false" customHeight="false" outlineLevel="0" collapsed="false">
      <c r="A4" s="3" t="s">
        <v>437</v>
      </c>
      <c r="B4" s="0" t="s">
        <v>438</v>
      </c>
      <c r="C4" s="20" t="n">
        <f aca="false">PL!D111</f>
        <v>23.3995380420639</v>
      </c>
      <c r="D4" s="20" t="n">
        <f aca="false">PL!E111</f>
        <v>41.6467658260637</v>
      </c>
      <c r="E4" s="20" t="n">
        <f aca="false">PL!F111</f>
        <v>42.2337105529984</v>
      </c>
      <c r="F4" s="20" t="n">
        <f aca="false">PL!G111</f>
        <v>51.1178029756948</v>
      </c>
      <c r="G4" s="7" t="s">
        <v>439</v>
      </c>
    </row>
    <row r="5" customFormat="false" ht="17.15" hidden="false" customHeight="false" outlineLevel="0" collapsed="false">
      <c r="A5" s="3" t="s">
        <v>440</v>
      </c>
      <c r="B5" s="0" t="s">
        <v>90</v>
      </c>
      <c r="C5" s="21" t="n">
        <f aca="false">vg_pgw26</f>
        <v>450</v>
      </c>
      <c r="D5" s="21" t="n">
        <f aca="false">vg_pgw27</f>
        <v>682</v>
      </c>
      <c r="E5" s="21" t="n">
        <f aca="false">vg_pgw28</f>
        <v>792</v>
      </c>
      <c r="F5" s="21" t="n">
        <f aca="false">vg_pgw29</f>
        <v>877</v>
      </c>
      <c r="G5" s="3" t="s">
        <v>441</v>
      </c>
    </row>
    <row r="6" customFormat="false" ht="17.15" hidden="false" customHeight="false" outlineLevel="0" collapsed="false">
      <c r="A6" s="3" t="s">
        <v>442</v>
      </c>
      <c r="B6" s="0" t="s">
        <v>90</v>
      </c>
      <c r="C6" s="21" t="n">
        <f aca="false">PL!D112</f>
        <v>280</v>
      </c>
      <c r="D6" s="21" t="n">
        <f aca="false">PL!E112</f>
        <v>420</v>
      </c>
      <c r="E6" s="21" t="n">
        <f aca="false">PL!F112</f>
        <v>462</v>
      </c>
      <c r="F6" s="21" t="n">
        <f aca="false">PL!G112</f>
        <v>504</v>
      </c>
      <c r="G6" s="3" t="s">
        <v>443</v>
      </c>
    </row>
    <row r="7" customFormat="false" ht="17.15" hidden="false" customHeight="false" outlineLevel="0" collapsed="false">
      <c r="A7" s="3" t="s">
        <v>444</v>
      </c>
      <c r="B7" s="0" t="s">
        <v>90</v>
      </c>
      <c r="C7" s="21" t="n">
        <f aca="false">PL!D113</f>
        <v>120</v>
      </c>
      <c r="D7" s="21" t="n">
        <f aca="false">PL!E113</f>
        <v>162</v>
      </c>
      <c r="E7" s="21" t="n">
        <f aca="false">PL!F113</f>
        <v>180</v>
      </c>
      <c r="F7" s="21" t="n">
        <f aca="false">PL!G113</f>
        <v>198</v>
      </c>
      <c r="G7" s="3" t="s">
        <v>35</v>
      </c>
    </row>
    <row r="8" customFormat="false" ht="17.15" hidden="false" customHeight="false" outlineLevel="0" collapsed="false">
      <c r="A8" s="3" t="s">
        <v>445</v>
      </c>
      <c r="B8" s="0" t="s">
        <v>90</v>
      </c>
      <c r="C8" s="21" t="n">
        <f aca="false">PL!D114</f>
        <v>25</v>
      </c>
      <c r="D8" s="21" t="n">
        <f aca="false">PL!E114</f>
        <v>50</v>
      </c>
      <c r="E8" s="21" t="n">
        <f aca="false">PL!F114</f>
        <v>75</v>
      </c>
      <c r="F8" s="21" t="n">
        <f aca="false">PL!G114</f>
        <v>87.5</v>
      </c>
      <c r="G8" s="3" t="s">
        <v>446</v>
      </c>
    </row>
    <row r="9" customFormat="false" ht="17.15" hidden="false" customHeight="false" outlineLevel="0" collapsed="false">
      <c r="A9" s="3" t="s">
        <v>447</v>
      </c>
      <c r="B9" s="0" t="s">
        <v>90</v>
      </c>
      <c r="C9" s="21" t="n">
        <f aca="false">PL!D115</f>
        <v>425</v>
      </c>
      <c r="D9" s="21" t="n">
        <f aca="false">PL!E115</f>
        <v>632</v>
      </c>
      <c r="E9" s="21" t="n">
        <f aca="false">PL!F115</f>
        <v>717</v>
      </c>
      <c r="F9" s="21" t="n">
        <f aca="false">PL!G115</f>
        <v>789.5</v>
      </c>
    </row>
    <row r="10" customFormat="false" ht="17.15" hidden="false" customHeight="false" outlineLevel="0" collapsed="false">
      <c r="A10" s="3" t="s">
        <v>448</v>
      </c>
      <c r="B10" s="0" t="s">
        <v>449</v>
      </c>
      <c r="C10" s="22" t="n">
        <f aca="false">PL!D115*1000/racks_vr</f>
        <v>104.886475814413</v>
      </c>
      <c r="D10" s="22" t="n">
        <f aca="false">PL!E115*1000/racks_vr</f>
        <v>155.972359328727</v>
      </c>
      <c r="E10" s="22" t="n">
        <f aca="false">PL!F115*1000/racks_vr</f>
        <v>176.949654491609</v>
      </c>
      <c r="F10" s="22" t="n">
        <f aca="false">PL!G115*1000/racks_vr</f>
        <v>194.842053307009</v>
      </c>
    </row>
    <row r="11" customFormat="false" ht="17.15" hidden="false" customHeight="false" outlineLevel="0" collapsed="false">
      <c r="A11" s="3" t="s">
        <v>450</v>
      </c>
      <c r="B11" s="0" t="s">
        <v>63</v>
      </c>
      <c r="C11" s="18" t="n">
        <f aca="false">PL!D115/emc_ccl26</f>
        <v>1.21428571428571</v>
      </c>
      <c r="D11" s="18" t="n">
        <f aca="false">PL!E115/emc_ccl27</f>
        <v>1.19810426540284</v>
      </c>
      <c r="E11" s="18" t="n">
        <f aca="false">PL!F115/emc_ccl28</f>
        <v>1.17733990147783</v>
      </c>
      <c r="F11" s="18" t="n">
        <f aca="false">PL!G115/emc_ccl29</f>
        <v>1.19169811320755</v>
      </c>
      <c r="G11" s="3" t="s">
        <v>451</v>
      </c>
    </row>
    <row r="12" customFormat="false" ht="17.15" hidden="false" customHeight="false" outlineLevel="0" collapsed="false">
      <c r="A12" s="3" t="s">
        <v>452</v>
      </c>
      <c r="B12" s="0" t="s">
        <v>29</v>
      </c>
      <c r="C12" s="22" t="n">
        <f aca="false">PL!D116*PL!D118</f>
        <v>9.94480366787716</v>
      </c>
      <c r="D12" s="22" t="n">
        <f aca="false">PL!E116*PL!E118</f>
        <v>26.3207560020722</v>
      </c>
      <c r="E12" s="22" t="n">
        <f aca="false">PL!F116*PL!F118</f>
        <v>29.3731233525049</v>
      </c>
      <c r="F12" s="22" t="n">
        <f aca="false">PL!G116*PL!G118</f>
        <v>37.9360551223524</v>
      </c>
      <c r="G12" s="3" t="s">
        <v>453</v>
      </c>
    </row>
    <row r="13" customFormat="false" ht="17.15" hidden="false" customHeight="false" outlineLevel="0" collapsed="false">
      <c r="A13" s="3" t="s">
        <v>454</v>
      </c>
      <c r="B13" s="0" t="s">
        <v>49</v>
      </c>
      <c r="C13" s="17" t="n">
        <f aca="false">PL!D121</f>
        <v>0.172842024579347</v>
      </c>
      <c r="D13" s="17" t="n">
        <f aca="false">PL!E121</f>
        <v>0.172842024579347</v>
      </c>
      <c r="E13" s="17" t="n">
        <f aca="false">PL!F121</f>
        <v>0.164199923350379</v>
      </c>
      <c r="F13" s="17" t="n">
        <f aca="false">PL!G121</f>
        <v>0.155557822121412</v>
      </c>
      <c r="G13" s="7" t="s">
        <v>455</v>
      </c>
    </row>
    <row r="14" customFormat="false" ht="17.15" hidden="false" customHeight="false" outlineLevel="0" collapsed="false">
      <c r="A14" s="3" t="s">
        <v>456</v>
      </c>
      <c r="B14" s="0" t="s">
        <v>29</v>
      </c>
      <c r="C14" s="23" t="n">
        <f aca="false">PL!D122/fx</f>
        <v>1.71888</v>
      </c>
      <c r="D14" s="23" t="n">
        <f aca="false">PL!E122/fx</f>
        <v>4.54933275585715</v>
      </c>
      <c r="E14" s="23" t="n">
        <f aca="false">PL!F122/fx</f>
        <v>4.82306460304253</v>
      </c>
      <c r="F14" s="23" t="n">
        <f aca="false">PL!G122/fx</f>
        <v>5.90125011471097</v>
      </c>
    </row>
    <row r="15" customFormat="false" ht="17.15" hidden="false" customHeight="false" outlineLevel="0" collapsed="false">
      <c r="A15" s="3" t="s">
        <v>457</v>
      </c>
      <c r="B15" s="0" t="s">
        <v>29</v>
      </c>
      <c r="C15" s="23" t="n">
        <f aca="false">PL!D127/fx</f>
        <v>1.71888</v>
      </c>
      <c r="D15" s="23" t="n">
        <f aca="false">PL!E127/fx</f>
        <v>3.122418</v>
      </c>
      <c r="E15" s="23" t="n">
        <f aca="false">PL!F127/fx</f>
        <v>4.3673382975</v>
      </c>
      <c r="F15" s="23" t="n">
        <f aca="false">PL!G127/fx</f>
        <v>5.367015230775</v>
      </c>
    </row>
    <row r="16" customFormat="false" ht="17.15" hidden="false" customHeight="false" outlineLevel="0" collapsed="false">
      <c r="A16" s="3" t="s">
        <v>458</v>
      </c>
      <c r="B16" s="0" t="s">
        <v>90</v>
      </c>
      <c r="C16" s="21" t="n">
        <f aca="false">PL!D133</f>
        <v>73.4578604462223</v>
      </c>
      <c r="D16" s="21" t="n">
        <f aca="false">PL!E133</f>
        <v>74.9738410190283</v>
      </c>
      <c r="E16" s="21" t="n">
        <f aca="false">PL!F133</f>
        <v>103.408822959553</v>
      </c>
      <c r="F16" s="21" t="n">
        <f aca="false">PL!G133</f>
        <v>104.993073222002</v>
      </c>
      <c r="G16" s="3" t="s">
        <v>459</v>
      </c>
    </row>
    <row r="17" customFormat="false" ht="17.15" hidden="false" customHeight="false" outlineLevel="0" collapsed="false">
      <c r="A17" s="3" t="s">
        <v>460</v>
      </c>
      <c r="B17" s="0" t="s">
        <v>63</v>
      </c>
      <c r="C17" s="18" t="n">
        <f aca="false">PL!D124</f>
        <v>1</v>
      </c>
      <c r="D17" s="18" t="n">
        <f aca="false">PL!E124</f>
        <v>1.45</v>
      </c>
      <c r="E17" s="18" t="n">
        <f aca="false">PL!F124</f>
        <v>1.9</v>
      </c>
      <c r="F17" s="18" t="n">
        <f aca="false">PL!G124</f>
        <v>2.3</v>
      </c>
      <c r="G17" s="3" t="s">
        <v>461</v>
      </c>
    </row>
    <row r="18" customFormat="false" ht="17.15" hidden="false" customHeight="false" outlineLevel="0" collapsed="false">
      <c r="A18" s="3" t="s">
        <v>462</v>
      </c>
      <c r="B18" s="0" t="s">
        <v>184</v>
      </c>
      <c r="C18" s="22" t="n">
        <f aca="false">PL!D125</f>
        <v>105.40752</v>
      </c>
      <c r="D18" s="22" t="n">
        <f aca="false">PL!E125</f>
        <v>152.840904</v>
      </c>
      <c r="E18" s="22" t="n">
        <f aca="false">PL!F125</f>
        <v>194.26605936</v>
      </c>
      <c r="F18" s="22" t="n">
        <f aca="false">PL!G125</f>
        <v>227.89105824</v>
      </c>
      <c r="G18" s="7" t="s">
        <v>463</v>
      </c>
    </row>
    <row r="19" customFormat="false" ht="17.15" hidden="false" customHeight="false" outlineLevel="0" collapsed="false">
      <c r="A19" s="3" t="s">
        <v>464</v>
      </c>
      <c r="B19" s="0" t="s">
        <v>49</v>
      </c>
      <c r="C19" s="17" t="n">
        <f aca="false">PL!D132</f>
        <v>1</v>
      </c>
      <c r="D19" s="17" t="n">
        <f aca="false">PL!E132</f>
        <v>1.29875034099137</v>
      </c>
      <c r="E19" s="17" t="n">
        <f aca="false">PL!F132</f>
        <v>1.07506839756468</v>
      </c>
      <c r="F19" s="17" t="n">
        <f aca="false">PL!G132</f>
        <v>1.07501617842306</v>
      </c>
      <c r="G19" s="3" t="s">
        <v>465</v>
      </c>
    </row>
    <row r="20" customFormat="false" ht="17.15" hidden="false" customHeight="false" outlineLevel="0" collapsed="false">
      <c r="A20" s="3" t="s">
        <v>466</v>
      </c>
      <c r="B20" s="0" t="s">
        <v>29</v>
      </c>
      <c r="C20" s="22" t="n">
        <f aca="false">PL!D116*PL!D118-PL!D127/fx</f>
        <v>8.22592366787716</v>
      </c>
      <c r="D20" s="22" t="n">
        <f aca="false">PL!E116*PL!E118-PL!E127/fx</f>
        <v>23.1983380020722</v>
      </c>
      <c r="E20" s="22" t="n">
        <f aca="false">PL!F116*PL!F118-PL!F127/fx</f>
        <v>25.0057850550049</v>
      </c>
      <c r="F20" s="22" t="n">
        <f aca="false">PL!G116*PL!G118-PL!G127/fx</f>
        <v>32.5690398915774</v>
      </c>
      <c r="G20" s="3" t="s">
        <v>467</v>
      </c>
    </row>
    <row r="22" customFormat="false" ht="17.15" hidden="false" customHeight="false" outlineLevel="0" collapsed="false">
      <c r="A22" s="1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469</v>
      </c>
    </row>
    <row r="2" customFormat="false" ht="17.15" hidden="false" customHeight="false" outlineLevel="0" collapsed="false">
      <c r="A2" s="3" t="s">
        <v>470</v>
      </c>
    </row>
    <row r="3" customFormat="false" ht="17.15" hidden="false" customHeight="false" outlineLevel="0" collapsed="false">
      <c r="A3" s="4" t="s">
        <v>471</v>
      </c>
      <c r="B3" s="4" t="s">
        <v>19</v>
      </c>
      <c r="C3" s="14" t="s">
        <v>382</v>
      </c>
      <c r="D3" s="14" t="s">
        <v>472</v>
      </c>
      <c r="E3" s="14" t="s">
        <v>473</v>
      </c>
      <c r="F3" s="14" t="s">
        <v>474</v>
      </c>
      <c r="G3" s="14" t="s">
        <v>475</v>
      </c>
      <c r="H3" s="14" t="s">
        <v>476</v>
      </c>
      <c r="I3" s="14" t="s">
        <v>477</v>
      </c>
      <c r="J3" s="14" t="s">
        <v>478</v>
      </c>
      <c r="K3" s="4" t="s">
        <v>436</v>
      </c>
    </row>
    <row r="4" customFormat="false" ht="17.15" hidden="false" customHeight="false" outlineLevel="0" collapsed="false">
      <c r="A4" s="1" t="s">
        <v>479</v>
      </c>
    </row>
    <row r="5" customFormat="false" ht="15" hidden="false" customHeight="false" outlineLevel="0" collapsed="false">
      <c r="A5" s="3" t="s">
        <v>387</v>
      </c>
      <c r="B5" s="0" t="s">
        <v>184</v>
      </c>
      <c r="C5" s="22" t="n">
        <f aca="false">C83</f>
        <v>60.004</v>
      </c>
      <c r="D5" s="22" t="n">
        <f aca="false">D83</f>
        <v>105.40752</v>
      </c>
      <c r="E5" s="22" t="n">
        <f aca="false">E83</f>
        <v>157.42613112</v>
      </c>
      <c r="F5" s="22" t="n">
        <f aca="false">F83</f>
        <v>204.27977376</v>
      </c>
      <c r="G5" s="22" t="n">
        <f aca="false">G83</f>
        <v>242.437296</v>
      </c>
      <c r="H5" s="24" t="n">
        <f aca="false">H83</f>
        <v>277.476031996367</v>
      </c>
      <c r="I5" s="24" t="n">
        <f aca="false">I83</f>
        <v>305.851702719408</v>
      </c>
      <c r="J5" s="24" t="n">
        <f aca="false">J83</f>
        <v>324.202804882573</v>
      </c>
    </row>
    <row r="6" customFormat="false" ht="15" hidden="false" customHeight="false" outlineLevel="0" collapsed="false">
      <c r="A6" s="3" t="s">
        <v>480</v>
      </c>
      <c r="B6" s="0" t="s">
        <v>49</v>
      </c>
      <c r="D6" s="17" t="n">
        <f aca="false">D84</f>
        <v>0.756674888340778</v>
      </c>
      <c r="E6" s="17" t="n">
        <f aca="false">E84</f>
        <v>0.4935</v>
      </c>
      <c r="F6" s="17" t="n">
        <f aca="false">F84</f>
        <v>0.297623033143623</v>
      </c>
      <c r="G6" s="17" t="n">
        <f aca="false">G84</f>
        <v>0.186790505675954</v>
      </c>
      <c r="H6" s="25" t="n">
        <f aca="false">H84</f>
        <v>0.14452700378397</v>
      </c>
      <c r="I6" s="25" t="n">
        <f aca="false">I84</f>
        <v>0.102263501891985</v>
      </c>
      <c r="J6" s="25" t="n">
        <f aca="false">J84</f>
        <v>0.06</v>
      </c>
    </row>
    <row r="7" customFormat="false" ht="17.15" hidden="false" customHeight="false" outlineLevel="0" collapsed="false">
      <c r="A7" s="0" t="s">
        <v>481</v>
      </c>
      <c r="B7" s="0" t="s">
        <v>184</v>
      </c>
      <c r="C7" s="22" t="n">
        <f aca="false">C81</f>
        <v>18.0012</v>
      </c>
      <c r="D7" s="22" t="n">
        <f aca="false">D81</f>
        <v>55.00416</v>
      </c>
      <c r="E7" s="22" t="n">
        <f aca="false">E81</f>
        <v>104.50260312</v>
      </c>
      <c r="F7" s="22" t="n">
        <f aca="false">F81</f>
        <v>149.76853992</v>
      </c>
      <c r="G7" s="22" t="n">
        <f aca="false">G81</f>
        <v>186.2907251448</v>
      </c>
    </row>
    <row r="8" customFormat="false" ht="17.15" hidden="false" customHeight="false" outlineLevel="0" collapsed="false">
      <c r="A8" s="3" t="s">
        <v>482</v>
      </c>
      <c r="B8" s="0" t="s">
        <v>184</v>
      </c>
      <c r="C8" s="22" t="n">
        <f aca="false">C80</f>
        <v>42.0028</v>
      </c>
      <c r="D8" s="22" t="n">
        <f aca="false">D80</f>
        <v>50.40336</v>
      </c>
      <c r="E8" s="22" t="n">
        <f aca="false">E80</f>
        <v>52.923528</v>
      </c>
      <c r="F8" s="22" t="n">
        <f aca="false">F80</f>
        <v>54.51123384</v>
      </c>
      <c r="G8" s="22" t="n">
        <f aca="false">G80</f>
        <v>56.1465708552</v>
      </c>
    </row>
    <row r="9" customFormat="false" ht="17.15" hidden="false" customHeight="false" outlineLevel="0" collapsed="false">
      <c r="A9" s="3" t="s">
        <v>483</v>
      </c>
      <c r="B9" s="0" t="s">
        <v>49</v>
      </c>
      <c r="D9" s="17" t="n">
        <f aca="false">D86</f>
        <v>1</v>
      </c>
      <c r="E9" s="17" t="n">
        <f aca="false">E86</f>
        <v>1.36486372824542</v>
      </c>
      <c r="F9" s="17" t="n">
        <f aca="false">F86</f>
        <v>1.39582607539974</v>
      </c>
      <c r="G9" s="17" t="n">
        <f aca="false">G86</f>
        <v>1.36894330525409</v>
      </c>
    </row>
    <row r="10" customFormat="false" ht="15" hidden="false" customHeight="false" outlineLevel="0" collapsed="false">
      <c r="A10" s="3" t="s">
        <v>394</v>
      </c>
      <c r="B10" s="0" t="s">
        <v>49</v>
      </c>
      <c r="C10" s="17" t="n">
        <f aca="false">C92</f>
        <v>0.328028131457903</v>
      </c>
      <c r="D10" s="17" t="n">
        <f aca="false">D92</f>
        <v>0.348837592422248</v>
      </c>
      <c r="E10" s="17" t="n">
        <f aca="false">E92</f>
        <v>0.387979003618137</v>
      </c>
      <c r="F10" s="17" t="n">
        <f aca="false">F92</f>
        <v>0.400638654565425</v>
      </c>
      <c r="G10" s="17" t="n">
        <f aca="false">G92</f>
        <v>0.400390267281929</v>
      </c>
    </row>
    <row r="11" customFormat="false" ht="15" hidden="false" customHeight="false" outlineLevel="0" collapsed="false">
      <c r="A11" s="3" t="s">
        <v>402</v>
      </c>
      <c r="B11" s="0" t="s">
        <v>49</v>
      </c>
      <c r="C11" s="17" t="n">
        <f aca="false">C96</f>
        <v>0.23403439770682</v>
      </c>
      <c r="D11" s="17" t="n">
        <f aca="false">D96</f>
        <v>0.268407131673338</v>
      </c>
      <c r="E11" s="17" t="n">
        <f aca="false">E96</f>
        <v>0.318179257935738</v>
      </c>
      <c r="F11" s="17" t="n">
        <f aca="false">F96</f>
        <v>0.337242621361009</v>
      </c>
      <c r="G11" s="17" t="n">
        <f aca="false">G96</f>
        <v>0.340985427820121</v>
      </c>
    </row>
    <row r="12" customFormat="false" ht="15" hidden="false" customHeight="false" outlineLevel="0" collapsed="false">
      <c r="A12" s="3" t="s">
        <v>408</v>
      </c>
      <c r="B12" s="0" t="s">
        <v>184</v>
      </c>
      <c r="C12" s="22" t="n">
        <f aca="false">C98</f>
        <v>9.607</v>
      </c>
      <c r="D12" s="22" t="n">
        <f aca="false">D98</f>
        <v>19.6977289395284</v>
      </c>
      <c r="E12" s="22" t="n">
        <f aca="false">E98</f>
        <v>34.3114647619272</v>
      </c>
      <c r="F12" s="22" t="n">
        <f aca="false">F98</f>
        <v>47.1909147797915</v>
      </c>
      <c r="G12" s="22" t="n">
        <f aca="false">G98</f>
        <v>56.6272957908376</v>
      </c>
      <c r="H12" s="24" t="n">
        <f aca="false">H98</f>
        <v>64.8114691838759</v>
      </c>
      <c r="I12" s="24" t="n">
        <f aca="false">I98</f>
        <v>71.4393169853835</v>
      </c>
      <c r="J12" s="24" t="n">
        <f aca="false">J98</f>
        <v>75.7256760045065</v>
      </c>
    </row>
    <row r="13" customFormat="false" ht="15" hidden="false" customHeight="false" outlineLevel="0" collapsed="false">
      <c r="A13" s="3" t="s">
        <v>484</v>
      </c>
      <c r="B13" s="0" t="s">
        <v>49</v>
      </c>
      <c r="C13" s="17" t="n">
        <f aca="false">C103</f>
        <v>0.160105992933804</v>
      </c>
      <c r="D13" s="17" t="n">
        <f aca="false">D103</f>
        <v>0.186872140996471</v>
      </c>
      <c r="E13" s="17" t="n">
        <f aca="false">E103</f>
        <v>0.21795279168598</v>
      </c>
      <c r="F13" s="17" t="n">
        <f aca="false">F103</f>
        <v>0.231011195632291</v>
      </c>
      <c r="G13" s="17" t="n">
        <f aca="false">G103</f>
        <v>0.233575018056783</v>
      </c>
      <c r="H13" s="25" t="n">
        <f aca="false">H103</f>
        <v>0.233575018056783</v>
      </c>
      <c r="I13" s="25" t="n">
        <f aca="false">I103</f>
        <v>0.233575018056783</v>
      </c>
      <c r="J13" s="25" t="n">
        <f aca="false">J103</f>
        <v>0.233575018056783</v>
      </c>
    </row>
    <row r="14" customFormat="false" ht="15" hidden="false" customHeight="false" outlineLevel="0" collapsed="false">
      <c r="A14" s="0" t="s">
        <v>414</v>
      </c>
      <c r="B14" s="0" t="s">
        <v>252</v>
      </c>
      <c r="C14" s="18" t="n">
        <f aca="false">C101</f>
        <v>19.47</v>
      </c>
      <c r="D14" s="18" t="n">
        <f aca="false">D101</f>
        <v>38.3985658278458</v>
      </c>
      <c r="E14" s="18" t="n">
        <f aca="false">E101</f>
        <v>66.1242832960332</v>
      </c>
      <c r="F14" s="18" t="n">
        <f aca="false">F101</f>
        <v>90.0448215233073</v>
      </c>
      <c r="G14" s="18" t="n">
        <f aca="false">G101</f>
        <v>106.980542121886</v>
      </c>
      <c r="H14" s="26" t="n">
        <f aca="false">H101</f>
        <v>121.22982112668</v>
      </c>
      <c r="I14" s="26" t="n">
        <f aca="false">I101</f>
        <v>132.304165513696</v>
      </c>
      <c r="J14" s="26" t="n">
        <f aca="false">J101</f>
        <v>138.85387667774</v>
      </c>
    </row>
    <row r="15" customFormat="false" ht="17.15" hidden="false" customHeight="false" outlineLevel="0" collapsed="false">
      <c r="A15" s="0" t="s">
        <v>485</v>
      </c>
      <c r="B15" s="0" t="s">
        <v>49</v>
      </c>
      <c r="D15" s="17" t="n">
        <f aca="false">D102</f>
        <v>0.9721913624985</v>
      </c>
      <c r="E15" s="17" t="n">
        <f aca="false">E102</f>
        <v>0.722050859724592</v>
      </c>
      <c r="F15" s="17" t="n">
        <f aca="false">F102</f>
        <v>0.361751190862572</v>
      </c>
      <c r="G15" s="17" t="n">
        <f aca="false">G102</f>
        <v>0.188081005793262</v>
      </c>
      <c r="H15" s="25" t="n">
        <f aca="false">H102</f>
        <v>0.133195053251455</v>
      </c>
      <c r="I15" s="25" t="n">
        <f aca="false">I102</f>
        <v>0.0913500018732523</v>
      </c>
      <c r="J15" s="25" t="n">
        <f aca="false">J102</f>
        <v>0.0495049504950496</v>
      </c>
    </row>
    <row r="17" customFormat="false" ht="17.15" hidden="false" customHeight="false" outlineLevel="0" collapsed="false">
      <c r="A17" s="1" t="s">
        <v>486</v>
      </c>
    </row>
    <row r="18" customFormat="false" ht="15" hidden="false" customHeight="false" outlineLevel="0" collapsed="false">
      <c r="A18" s="3" t="s">
        <v>387</v>
      </c>
      <c r="B18" s="0" t="s">
        <v>184</v>
      </c>
      <c r="C18" s="22" t="n">
        <f aca="false">C129</f>
        <v>60.004</v>
      </c>
      <c r="D18" s="22" t="n">
        <f aca="false">D129</f>
        <v>105.40752</v>
      </c>
      <c r="E18" s="22" t="n">
        <f aca="false">E129</f>
        <v>152.840904</v>
      </c>
      <c r="F18" s="22" t="n">
        <f aca="false">F129</f>
        <v>194.26605936</v>
      </c>
      <c r="G18" s="22" t="n">
        <f aca="false">G129</f>
        <v>227.89105824</v>
      </c>
      <c r="H18" s="24" t="n">
        <f aca="false">H129</f>
        <v>257.226313072804</v>
      </c>
      <c r="I18" s="24" t="n">
        <f aca="false">I129</f>
        <v>278.92655569709</v>
      </c>
      <c r="J18" s="24" t="n">
        <f aca="false">J129</f>
        <v>290.083617924974</v>
      </c>
    </row>
    <row r="19" customFormat="false" ht="15" hidden="false" customHeight="false" outlineLevel="0" collapsed="false">
      <c r="A19" s="3" t="s">
        <v>480</v>
      </c>
      <c r="B19" s="0" t="s">
        <v>49</v>
      </c>
      <c r="D19" s="17" t="n">
        <f aca="false">D130</f>
        <v>0.756674888340778</v>
      </c>
      <c r="E19" s="17" t="n">
        <f aca="false">E130</f>
        <v>0.45</v>
      </c>
      <c r="F19" s="17" t="n">
        <f aca="false">F130</f>
        <v>0.271034482758621</v>
      </c>
      <c r="G19" s="17" t="n">
        <f aca="false">G130</f>
        <v>0.173087357569181</v>
      </c>
      <c r="H19" s="25" t="n">
        <f aca="false">H130</f>
        <v>0.12872490504612</v>
      </c>
      <c r="I19" s="25" t="n">
        <f aca="false">I130</f>
        <v>0.0843624525230602</v>
      </c>
      <c r="J19" s="25" t="n">
        <f aca="false">J130</f>
        <v>0.04</v>
      </c>
    </row>
    <row r="20" customFormat="false" ht="17.15" hidden="false" customHeight="false" outlineLevel="0" collapsed="false">
      <c r="A20" s="0" t="s">
        <v>481</v>
      </c>
      <c r="B20" s="0" t="s">
        <v>184</v>
      </c>
      <c r="C20" s="22" t="n">
        <f aca="false">C127</f>
        <v>18.0012</v>
      </c>
      <c r="D20" s="22" t="n">
        <f aca="false">D127</f>
        <v>55.00416</v>
      </c>
      <c r="E20" s="22" t="n">
        <f aca="false">E127</f>
        <v>99.917376</v>
      </c>
      <c r="F20" s="22" t="n">
        <f aca="false">F127</f>
        <v>139.75482552</v>
      </c>
      <c r="G20" s="22" t="n">
        <f aca="false">G127</f>
        <v>171.7444873848</v>
      </c>
    </row>
    <row r="21" customFormat="false" ht="17.15" hidden="false" customHeight="false" outlineLevel="0" collapsed="false">
      <c r="A21" s="3" t="s">
        <v>482</v>
      </c>
      <c r="B21" s="0" t="s">
        <v>184</v>
      </c>
      <c r="C21" s="22" t="n">
        <f aca="false">C126</f>
        <v>42.0028</v>
      </c>
      <c r="D21" s="22" t="n">
        <f aca="false">D126</f>
        <v>50.40336</v>
      </c>
      <c r="E21" s="22" t="n">
        <f aca="false">E126</f>
        <v>52.923528</v>
      </c>
      <c r="F21" s="22" t="n">
        <f aca="false">F126</f>
        <v>54.51123384</v>
      </c>
      <c r="G21" s="22" t="n">
        <f aca="false">G126</f>
        <v>56.1465708552</v>
      </c>
    </row>
    <row r="22" customFormat="false" ht="17.15" hidden="false" customHeight="false" outlineLevel="0" collapsed="false">
      <c r="A22" s="3" t="s">
        <v>483</v>
      </c>
      <c r="B22" s="0" t="s">
        <v>49</v>
      </c>
      <c r="D22" s="17" t="n">
        <f aca="false">D132</f>
        <v>1</v>
      </c>
      <c r="E22" s="17" t="n">
        <f aca="false">E132</f>
        <v>1.29875034099137</v>
      </c>
      <c r="F22" s="17" t="n">
        <f aca="false">F132</f>
        <v>1.07506839756468</v>
      </c>
      <c r="G22" s="17" t="n">
        <f aca="false">G132</f>
        <v>1.07501617842306</v>
      </c>
    </row>
    <row r="23" customFormat="false" ht="15" hidden="false" customHeight="false" outlineLevel="0" collapsed="false">
      <c r="A23" s="3" t="s">
        <v>394</v>
      </c>
      <c r="B23" s="0" t="s">
        <v>49</v>
      </c>
      <c r="C23" s="17" t="n">
        <f aca="false">C138</f>
        <v>0.328028131457903</v>
      </c>
      <c r="D23" s="17" t="n">
        <f aca="false">D138</f>
        <v>0.348837592422248</v>
      </c>
      <c r="E23" s="17" t="n">
        <f aca="false">E138</f>
        <v>0.368566003345544</v>
      </c>
      <c r="F23" s="17" t="n">
        <f aca="false">F138</f>
        <v>0.365962006691732</v>
      </c>
      <c r="G23" s="17" t="n">
        <f aca="false">G138</f>
        <v>0.358067106007922</v>
      </c>
    </row>
    <row r="24" customFormat="false" ht="15" hidden="false" customHeight="false" outlineLevel="0" collapsed="false">
      <c r="A24" s="3" t="s">
        <v>402</v>
      </c>
      <c r="B24" s="0" t="s">
        <v>49</v>
      </c>
      <c r="C24" s="17" t="n">
        <f aca="false">C142</f>
        <v>0.23403439770682</v>
      </c>
      <c r="D24" s="17" t="n">
        <f aca="false">D142</f>
        <v>0.268407131673338</v>
      </c>
      <c r="E24" s="17" t="n">
        <f aca="false">E142</f>
        <v>0.298120013586154</v>
      </c>
      <c r="F24" s="17" t="n">
        <f aca="false">F142</f>
        <v>0.301524757892828</v>
      </c>
      <c r="G24" s="17" t="n">
        <f aca="false">G142</f>
        <v>0.297432906675595</v>
      </c>
    </row>
    <row r="25" customFormat="false" ht="15" hidden="false" customHeight="false" outlineLevel="0" collapsed="false">
      <c r="A25" s="3" t="s">
        <v>408</v>
      </c>
      <c r="B25" s="0" t="s">
        <v>184</v>
      </c>
      <c r="C25" s="22" t="n">
        <f aca="false">C144</f>
        <v>9.607</v>
      </c>
      <c r="D25" s="22" t="n">
        <f aca="false">D144</f>
        <v>19.6977289395284</v>
      </c>
      <c r="E25" s="22" t="n">
        <f aca="false">E144</f>
        <v>31.211978678245</v>
      </c>
      <c r="F25" s="22" t="n">
        <f aca="false">F144</f>
        <v>40.1245781629926</v>
      </c>
      <c r="G25" s="22" t="n">
        <f aca="false">G144</f>
        <v>46.4308754025249</v>
      </c>
      <c r="H25" s="24" t="n">
        <f aca="false">H144</f>
        <v>49.0696162995125</v>
      </c>
      <c r="I25" s="24" t="n">
        <f aca="false">I144</f>
        <v>49.5895726459613</v>
      </c>
      <c r="J25" s="24" t="n">
        <f aca="false">J144</f>
        <v>47.8086916496984</v>
      </c>
    </row>
    <row r="26" customFormat="false" ht="15" hidden="false" customHeight="false" outlineLevel="0" collapsed="false">
      <c r="A26" s="3" t="s">
        <v>484</v>
      </c>
      <c r="B26" s="0" t="s">
        <v>49</v>
      </c>
      <c r="C26" s="17" t="n">
        <f aca="false">C149</f>
        <v>0.160105992933804</v>
      </c>
      <c r="D26" s="17" t="n">
        <f aca="false">D149</f>
        <v>0.186872140996471</v>
      </c>
      <c r="E26" s="17" t="n">
        <f aca="false">E149</f>
        <v>0.204212209306515</v>
      </c>
      <c r="F26" s="17" t="n">
        <f aca="false">F149</f>
        <v>0.206544459156587</v>
      </c>
      <c r="G26" s="17" t="n">
        <f aca="false">G149</f>
        <v>0.203741541072783</v>
      </c>
      <c r="H26" s="25" t="n">
        <f aca="false">H149</f>
        <v>0.190764372872009</v>
      </c>
      <c r="I26" s="25" t="n">
        <f aca="false">I149</f>
        <v>0.177787204671235</v>
      </c>
      <c r="J26" s="25" t="n">
        <f aca="false">J149</f>
        <v>0.164810036470462</v>
      </c>
    </row>
    <row r="27" customFormat="false" ht="15" hidden="false" customHeight="false" outlineLevel="0" collapsed="false">
      <c r="A27" s="0" t="s">
        <v>414</v>
      </c>
      <c r="B27" s="0" t="s">
        <v>252</v>
      </c>
      <c r="C27" s="18" t="n">
        <f aca="false">C147</f>
        <v>19.47</v>
      </c>
      <c r="D27" s="18" t="n">
        <f aca="false">D147</f>
        <v>38.3985658278458</v>
      </c>
      <c r="E27" s="18" t="n">
        <f aca="false">E147</f>
        <v>60.1510234165269</v>
      </c>
      <c r="F27" s="18" t="n">
        <f aca="false">F147</f>
        <v>76.5615690275167</v>
      </c>
      <c r="G27" s="18" t="n">
        <f aca="false">G147</f>
        <v>87.7174188240072</v>
      </c>
      <c r="H27" s="26" t="n">
        <f aca="false">H147</f>
        <v>91.7846930744266</v>
      </c>
      <c r="I27" s="26" t="n">
        <f aca="false">I147</f>
        <v>91.8388823404776</v>
      </c>
      <c r="J27" s="26" t="n">
        <f aca="false">J147</f>
        <v>87.664086010355</v>
      </c>
    </row>
    <row r="28" customFormat="false" ht="17.15" hidden="false" customHeight="false" outlineLevel="0" collapsed="false">
      <c r="A28" s="0" t="s">
        <v>485</v>
      </c>
      <c r="B28" s="0" t="s">
        <v>49</v>
      </c>
      <c r="D28" s="17" t="n">
        <f aca="false">D148</f>
        <v>0.9721913624985</v>
      </c>
      <c r="E28" s="17" t="n">
        <f aca="false">E148</f>
        <v>0.566491407158407</v>
      </c>
      <c r="F28" s="17" t="n">
        <f aca="false">F148</f>
        <v>0.272822384040783</v>
      </c>
      <c r="G28" s="17" t="n">
        <f aca="false">G148</f>
        <v>0.145710830357735</v>
      </c>
      <c r="H28" s="25" t="n">
        <f aca="false">H148</f>
        <v>0.0463679199063061</v>
      </c>
      <c r="I28" s="25" t="n">
        <f aca="false">I148</f>
        <v>0.000590395459589166</v>
      </c>
      <c r="J28" s="25" t="n">
        <f aca="false">J148</f>
        <v>-0.0454578303190271</v>
      </c>
    </row>
    <row r="30" customFormat="false" ht="17.15" hidden="false" customHeight="false" outlineLevel="0" collapsed="false">
      <c r="A30" s="1" t="s">
        <v>487</v>
      </c>
    </row>
    <row r="31" customFormat="false" ht="15" hidden="false" customHeight="false" outlineLevel="0" collapsed="false">
      <c r="A31" s="3" t="s">
        <v>387</v>
      </c>
      <c r="B31" s="0" t="s">
        <v>184</v>
      </c>
      <c r="C31" s="22" t="n">
        <f aca="false">C175</f>
        <v>60.004</v>
      </c>
      <c r="D31" s="22" t="n">
        <f aca="false">D175</f>
        <v>105.40752</v>
      </c>
      <c r="E31" s="22" t="n">
        <f aca="false">E175</f>
        <v>146.72726784</v>
      </c>
      <c r="F31" s="22" t="n">
        <f aca="false">F175</f>
        <v>141.1850806402</v>
      </c>
      <c r="G31" s="22" t="n">
        <f aca="false">G175</f>
        <v>153.205763396863</v>
      </c>
      <c r="H31" s="24" t="n">
        <f aca="false">H175</f>
        <v>162.9232281108</v>
      </c>
      <c r="I31" s="24" t="n">
        <f aca="false">I175</f>
        <v>169.719370190681</v>
      </c>
      <c r="J31" s="24" t="n">
        <f aca="false">J175</f>
        <v>173.113757594494</v>
      </c>
    </row>
    <row r="32" customFormat="false" ht="15" hidden="false" customHeight="false" outlineLevel="0" collapsed="false">
      <c r="A32" s="3" t="s">
        <v>480</v>
      </c>
      <c r="B32" s="0" t="s">
        <v>49</v>
      </c>
      <c r="D32" s="17" t="n">
        <f aca="false">D176</f>
        <v>0.756674888340778</v>
      </c>
      <c r="E32" s="17" t="n">
        <f aca="false">E176</f>
        <v>0.392</v>
      </c>
      <c r="F32" s="17" t="n">
        <f aca="false">F176</f>
        <v>-0.0377720329791973</v>
      </c>
      <c r="G32" s="17" t="n">
        <f aca="false">G176</f>
        <v>0.0851413102726941</v>
      </c>
      <c r="H32" s="25" t="n">
        <f aca="false">H176</f>
        <v>0.0634275401817961</v>
      </c>
      <c r="I32" s="25" t="n">
        <f aca="false">I176</f>
        <v>0.041713770090898</v>
      </c>
      <c r="J32" s="25" t="n">
        <f aca="false">J176</f>
        <v>0.02</v>
      </c>
    </row>
    <row r="33" customFormat="false" ht="17.15" hidden="false" customHeight="false" outlineLevel="0" collapsed="false">
      <c r="A33" s="0" t="s">
        <v>481</v>
      </c>
      <c r="B33" s="0" t="s">
        <v>184</v>
      </c>
      <c r="C33" s="22" t="n">
        <f aca="false">C173</f>
        <v>18.0012</v>
      </c>
      <c r="D33" s="22" t="n">
        <f aca="false">D173</f>
        <v>55.00416</v>
      </c>
      <c r="E33" s="22" t="n">
        <f aca="false">E173</f>
        <v>93.80373984</v>
      </c>
      <c r="F33" s="22" t="n">
        <f aca="false">F173</f>
        <v>86.6738468002</v>
      </c>
      <c r="G33" s="22" t="n">
        <f aca="false">G173</f>
        <v>97.0591925416626</v>
      </c>
    </row>
    <row r="34" customFormat="false" ht="17.15" hidden="false" customHeight="false" outlineLevel="0" collapsed="false">
      <c r="A34" s="3" t="s">
        <v>482</v>
      </c>
      <c r="B34" s="0" t="s">
        <v>184</v>
      </c>
      <c r="C34" s="22" t="n">
        <f aca="false">C172</f>
        <v>42.0028</v>
      </c>
      <c r="D34" s="22" t="n">
        <f aca="false">D172</f>
        <v>50.40336</v>
      </c>
      <c r="E34" s="22" t="n">
        <f aca="false">E172</f>
        <v>52.923528</v>
      </c>
      <c r="F34" s="22" t="n">
        <f aca="false">F172</f>
        <v>54.51123384</v>
      </c>
      <c r="G34" s="22" t="n">
        <f aca="false">G172</f>
        <v>56.1465708552</v>
      </c>
    </row>
    <row r="35" customFormat="false" ht="17.15" hidden="false" customHeight="false" outlineLevel="0" collapsed="false">
      <c r="A35" s="3" t="s">
        <v>483</v>
      </c>
      <c r="B35" s="0" t="s">
        <v>49</v>
      </c>
      <c r="D35" s="17" t="n">
        <f aca="false">D178</f>
        <v>1</v>
      </c>
      <c r="E35" s="17" t="n">
        <f aca="false">E178</f>
        <v>1.17030533893803</v>
      </c>
      <c r="F35" s="17" t="n">
        <f aca="false">F178</f>
        <v>0.766259342158442</v>
      </c>
      <c r="G35" s="17" t="n">
        <f aca="false">G178</f>
        <v>0.718113348391436</v>
      </c>
    </row>
    <row r="36" customFormat="false" ht="15" hidden="false" customHeight="false" outlineLevel="0" collapsed="false">
      <c r="A36" s="3" t="s">
        <v>394</v>
      </c>
      <c r="B36" s="0" t="s">
        <v>49</v>
      </c>
      <c r="C36" s="17" t="n">
        <f aca="false">C184</f>
        <v>0.328028131457903</v>
      </c>
      <c r="D36" s="17" t="n">
        <f aca="false">D184</f>
        <v>0.348837592422248</v>
      </c>
      <c r="E36" s="17" t="n">
        <f aca="false">E184</f>
        <v>0.338121049418025</v>
      </c>
      <c r="F36" s="17" t="n">
        <f aca="false">F184</f>
        <v>0.319698172973615</v>
      </c>
      <c r="G36" s="17" t="n">
        <f aca="false">G184</f>
        <v>0.301549611112003</v>
      </c>
    </row>
    <row r="37" customFormat="false" ht="15" hidden="false" customHeight="false" outlineLevel="0" collapsed="false">
      <c r="A37" s="3" t="s">
        <v>402</v>
      </c>
      <c r="B37" s="0" t="s">
        <v>49</v>
      </c>
      <c r="C37" s="17" t="n">
        <f aca="false">C188</f>
        <v>0.23403439770682</v>
      </c>
      <c r="D37" s="17" t="n">
        <f aca="false">D188</f>
        <v>0.268407131673338</v>
      </c>
      <c r="E37" s="17" t="n">
        <f aca="false">E188</f>
        <v>0.26675057160405</v>
      </c>
      <c r="F37" s="17" t="n">
        <f aca="false">F188</f>
        <v>0.245526063806024</v>
      </c>
      <c r="G37" s="17" t="n">
        <f aca="false">G188</f>
        <v>0.229705350124344</v>
      </c>
    </row>
    <row r="38" customFormat="false" ht="15" hidden="false" customHeight="false" outlineLevel="0" collapsed="false">
      <c r="A38" s="3" t="s">
        <v>408</v>
      </c>
      <c r="B38" s="0" t="s">
        <v>184</v>
      </c>
      <c r="C38" s="22" t="n">
        <f aca="false">C190</f>
        <v>9.607</v>
      </c>
      <c r="D38" s="22" t="n">
        <f aca="false">D190</f>
        <v>19.6977289395284</v>
      </c>
      <c r="E38" s="22" t="n">
        <f aca="false">E190</f>
        <v>26.810614057861</v>
      </c>
      <c r="F38" s="22" t="n">
        <f aca="false">F190</f>
        <v>23.7452627256412</v>
      </c>
      <c r="G38" s="22" t="n">
        <f aca="false">G190</f>
        <v>24.1066457126685</v>
      </c>
      <c r="H38" s="24" t="n">
        <f aca="false">H190</f>
        <v>23.9266262221066</v>
      </c>
      <c r="I38" s="24" t="n">
        <f aca="false">I190</f>
        <v>23.1443605782874</v>
      </c>
      <c r="J38" s="24" t="n">
        <f aca="false">J190</f>
        <v>21.7913056521721</v>
      </c>
    </row>
    <row r="39" customFormat="false" ht="15" hidden="false" customHeight="false" outlineLevel="0" collapsed="false">
      <c r="A39" s="3" t="s">
        <v>484</v>
      </c>
      <c r="B39" s="0" t="s">
        <v>49</v>
      </c>
      <c r="C39" s="17" t="n">
        <f aca="false">C195</f>
        <v>0.160105992933804</v>
      </c>
      <c r="D39" s="17" t="n">
        <f aca="false">D195</f>
        <v>0.186872140996471</v>
      </c>
      <c r="E39" s="17" t="n">
        <f aca="false">E195</f>
        <v>0.182724141548774</v>
      </c>
      <c r="F39" s="17" t="n">
        <f aca="false">F195</f>
        <v>0.168185353707127</v>
      </c>
      <c r="G39" s="17" t="n">
        <f aca="false">G195</f>
        <v>0.157348164835176</v>
      </c>
      <c r="H39" s="25" t="n">
        <f aca="false">H195</f>
        <v>0.146858287179497</v>
      </c>
      <c r="I39" s="25" t="n">
        <f aca="false">I195</f>
        <v>0.136368409523819</v>
      </c>
      <c r="J39" s="25" t="n">
        <f aca="false">J195</f>
        <v>0.125878531868141</v>
      </c>
    </row>
    <row r="40" customFormat="false" ht="15" hidden="false" customHeight="false" outlineLevel="0" collapsed="false">
      <c r="A40" s="0" t="s">
        <v>414</v>
      </c>
      <c r="B40" s="0" t="s">
        <v>252</v>
      </c>
      <c r="C40" s="18" t="n">
        <f aca="false">C193</f>
        <v>19.47</v>
      </c>
      <c r="D40" s="18" t="n">
        <f aca="false">D193</f>
        <v>38.3985658278458</v>
      </c>
      <c r="E40" s="18" t="n">
        <f aca="false">E193</f>
        <v>51.6688124976171</v>
      </c>
      <c r="F40" s="18" t="n">
        <f aca="false">F193</f>
        <v>45.3082538054553</v>
      </c>
      <c r="G40" s="18" t="n">
        <f aca="false">G193</f>
        <v>45.5423835990202</v>
      </c>
      <c r="H40" s="26" t="n">
        <f aca="false">H193</f>
        <v>44.7547425416571</v>
      </c>
      <c r="I40" s="26" t="n">
        <f aca="false">I193</f>
        <v>42.8628861791176</v>
      </c>
      <c r="J40" s="26" t="n">
        <f aca="false">J193</f>
        <v>39.9574810991927</v>
      </c>
    </row>
    <row r="41" customFormat="false" ht="17.15" hidden="false" customHeight="false" outlineLevel="0" collapsed="false">
      <c r="A41" s="0" t="s">
        <v>485</v>
      </c>
      <c r="B41" s="0" t="s">
        <v>49</v>
      </c>
      <c r="D41" s="17" t="n">
        <f aca="false">D194</f>
        <v>0.9721913624985</v>
      </c>
      <c r="E41" s="17" t="n">
        <f aca="false">E194</f>
        <v>0.345592247618478</v>
      </c>
      <c r="F41" s="17" t="n">
        <f aca="false">F194</f>
        <v>-0.123102474872151</v>
      </c>
      <c r="G41" s="17" t="n">
        <f aca="false">G194</f>
        <v>0.00516748658136779</v>
      </c>
      <c r="H41" s="25" t="n">
        <f aca="false">H194</f>
        <v>-0.0172946823402544</v>
      </c>
      <c r="I41" s="25" t="n">
        <f aca="false">I194</f>
        <v>-0.0422716399447189</v>
      </c>
      <c r="J41" s="25" t="n">
        <f aca="false">J194</f>
        <v>-0.0677837014470677</v>
      </c>
    </row>
    <row r="43" customFormat="false" ht="17.15" hidden="false" customHeight="false" outlineLevel="0" collapsed="false">
      <c r="A43" s="1" t="s">
        <v>488</v>
      </c>
    </row>
    <row r="44" customFormat="false" ht="17.15" hidden="false" customHeight="false" outlineLevel="0" collapsed="false">
      <c r="A44" s="3" t="s">
        <v>489</v>
      </c>
      <c r="D44" s="27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490</v>
      </c>
      <c r="D45" s="27" t="n">
        <f aca="false">D127-a26_ai</f>
        <v>0</v>
      </c>
    </row>
    <row r="46" customFormat="false" ht="17.15" hidden="false" customHeight="false" outlineLevel="0" collapsed="false">
      <c r="A46" s="3" t="s">
        <v>491</v>
      </c>
      <c r="D46" s="27" t="n">
        <f aca="false">D136*D127+D135*D126-a26_gp</f>
        <v>0</v>
      </c>
    </row>
    <row r="47" customFormat="false" ht="17.15" hidden="false" customHeight="false" outlineLevel="0" collapsed="false">
      <c r="A47" s="3" t="s">
        <v>492</v>
      </c>
      <c r="D47" s="27" t="n">
        <f aca="false">D125-D129</f>
        <v>0</v>
      </c>
    </row>
    <row r="60" customFormat="false" ht="17.15" hidden="false" customHeight="false" outlineLevel="0" collapsed="false">
      <c r="A60" s="1" t="s">
        <v>493</v>
      </c>
    </row>
    <row r="61" customFormat="false" ht="17.15" hidden="false" customHeight="false" outlineLevel="0" collapsed="false">
      <c r="A61" s="4" t="s">
        <v>18</v>
      </c>
      <c r="B61" s="4" t="s">
        <v>19</v>
      </c>
      <c r="C61" s="14" t="s">
        <v>382</v>
      </c>
      <c r="D61" s="14" t="s">
        <v>472</v>
      </c>
      <c r="E61" s="14" t="s">
        <v>473</v>
      </c>
      <c r="F61" s="14" t="s">
        <v>474</v>
      </c>
      <c r="G61" s="14" t="s">
        <v>475</v>
      </c>
      <c r="H61" s="14" t="s">
        <v>476</v>
      </c>
      <c r="I61" s="14" t="s">
        <v>477</v>
      </c>
      <c r="J61" s="14" t="s">
        <v>478</v>
      </c>
      <c r="K61" s="4" t="s">
        <v>436</v>
      </c>
    </row>
    <row r="62" customFormat="false" ht="17.15" hidden="false" customHeight="false" outlineLevel="0" collapsed="false">
      <c r="A62" s="5" t="s">
        <v>494</v>
      </c>
    </row>
    <row r="63" customFormat="false" ht="17.15" hidden="false" customHeight="false" outlineLevel="0" collapsed="false">
      <c r="A63" s="0" t="s">
        <v>495</v>
      </c>
      <c r="B63" s="0" t="s">
        <v>29</v>
      </c>
      <c r="D63" s="23" t="n">
        <f aca="false">itc_26*1</f>
        <v>781.872916666667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496</v>
      </c>
      <c r="B64" s="0" t="s">
        <v>29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497</v>
      </c>
      <c r="B65" s="0" t="s">
        <v>438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442</v>
      </c>
      <c r="B66" s="0" t="s">
        <v>90</v>
      </c>
      <c r="D66" s="21" t="n">
        <f aca="false">vg_cmp26</f>
        <v>280</v>
      </c>
      <c r="E66" s="21" t="n">
        <f aca="false">(vg_cmp26+(vg_cmp27-vg_cmp26)*pgwf)</f>
        <v>420</v>
      </c>
      <c r="F66" s="21" t="n">
        <f aca="false">(vg_cmp26+(vg_cmp28-vg_cmp26)*pgwf)</f>
        <v>462</v>
      </c>
      <c r="G66" s="21" t="n">
        <f aca="false">(vg_cmp26+(vg_cmp29-vg_cmp26)*pgwf)</f>
        <v>504</v>
      </c>
    </row>
    <row r="67" customFormat="false" ht="17.15" hidden="false" customHeight="false" outlineLevel="0" collapsed="false">
      <c r="A67" s="3" t="s">
        <v>444</v>
      </c>
      <c r="B67" s="0" t="s">
        <v>90</v>
      </c>
      <c r="D67" s="21" t="n">
        <f aca="false">vg_sw26</f>
        <v>120</v>
      </c>
      <c r="E67" s="21" t="n">
        <f aca="false">(vg_sw26+(vg_sw27-vg_sw26)*pgwf)</f>
        <v>162</v>
      </c>
      <c r="F67" s="21" t="n">
        <f aca="false">(vg_sw26+(vg_sw28-vg_sw26)*pgwf)</f>
        <v>180</v>
      </c>
      <c r="G67" s="21" t="n">
        <f aca="false">(vg_sw26+(vg_sw29-vg_sw26)*pgwf)</f>
        <v>198</v>
      </c>
    </row>
    <row r="68" customFormat="false" ht="17.15" hidden="false" customHeight="false" outlineLevel="0" collapsed="false">
      <c r="A68" s="3" t="s">
        <v>498</v>
      </c>
      <c r="B68" s="0" t="s">
        <v>90</v>
      </c>
      <c r="D68" s="21" t="n">
        <f aca="false">vg_mid26*w_mid</f>
        <v>25</v>
      </c>
      <c r="E68" s="21" t="n">
        <f aca="false">(vg_mid26+(vg_mid27-vg_mid26)*pgwf)*w_mid</f>
        <v>50</v>
      </c>
      <c r="F68" s="21" t="n">
        <f aca="false">(vg_mid26+(vg_mid28-vg_mid26)*pgwf)*w_mid</f>
        <v>75</v>
      </c>
      <c r="G68" s="21" t="n">
        <f aca="false">(vg_mid26+(vg_mid29-vg_mid26)*pgwf)*w_mid</f>
        <v>87.5</v>
      </c>
    </row>
    <row r="69" customFormat="false" ht="17.15" hidden="false" customHeight="false" outlineLevel="0" collapsed="false">
      <c r="A69" s="3" t="s">
        <v>499</v>
      </c>
      <c r="B69" s="0" t="s">
        <v>90</v>
      </c>
      <c r="D69" s="21" t="n">
        <f aca="false">D66+D67+D68</f>
        <v>425</v>
      </c>
      <c r="E69" s="21" t="n">
        <f aca="false">E66+E67+E68</f>
        <v>632</v>
      </c>
      <c r="F69" s="21" t="n">
        <f aca="false">F66+F67+F68</f>
        <v>717</v>
      </c>
      <c r="G69" s="21" t="n">
        <f aca="false">G66+G67+G68</f>
        <v>789.5</v>
      </c>
    </row>
    <row r="70" customFormat="false" ht="17.15" hidden="false" customHeight="false" outlineLevel="0" collapsed="false">
      <c r="A70" s="3" t="s">
        <v>500</v>
      </c>
      <c r="B70" s="0" t="s">
        <v>29</v>
      </c>
      <c r="D70" s="23" t="n">
        <f aca="false">D65*D69/1000</f>
        <v>9.94480366787716</v>
      </c>
      <c r="E70" s="23" t="n">
        <f aca="false">E65*E69/1000</f>
        <v>26.3207560020722</v>
      </c>
      <c r="F70" s="23" t="n">
        <f aca="false">F65*F69/1000</f>
        <v>37.8519630831248</v>
      </c>
      <c r="G70" s="23" t="n">
        <f aca="false">G65*G69/1000</f>
        <v>47.4794181756601</v>
      </c>
    </row>
    <row r="71" customFormat="false" ht="17.15" hidden="false" customHeight="false" outlineLevel="0" collapsed="false">
      <c r="A71" s="3" t="s">
        <v>501</v>
      </c>
      <c r="B71" s="0" t="s">
        <v>184</v>
      </c>
      <c r="D71" s="22" t="n">
        <f aca="false">D70*fx</f>
        <v>318.233717372069</v>
      </c>
      <c r="E71" s="22" t="n">
        <f aca="false">E70*fx</f>
        <v>842.264192066312</v>
      </c>
      <c r="F71" s="22" t="n">
        <f aca="false">F70*fx</f>
        <v>1211.26281865999</v>
      </c>
      <c r="G71" s="22" t="n">
        <f aca="false">G70*fx</f>
        <v>1519.34138162112</v>
      </c>
    </row>
    <row r="72" customFormat="false" ht="17.15" hidden="false" customHeight="false" outlineLevel="0" collapsed="false">
      <c r="A72" s="0" t="s">
        <v>502</v>
      </c>
      <c r="B72" s="0" t="s">
        <v>63</v>
      </c>
      <c r="D72" s="18" t="n">
        <f aca="false">1</f>
        <v>1</v>
      </c>
      <c r="E72" s="18" t="n">
        <f aca="false">PPHI_27</f>
        <v>1.03</v>
      </c>
      <c r="F72" s="18" t="n">
        <f aca="false">PPHI_28</f>
        <v>1.02</v>
      </c>
      <c r="G72" s="18" t="n">
        <f aca="false">PPHI_29</f>
        <v>1</v>
      </c>
    </row>
    <row r="73" customFormat="false" ht="17.15" hidden="false" customHeight="false" outlineLevel="0" collapsed="false">
      <c r="A73" s="3" t="s">
        <v>503</v>
      </c>
      <c r="B73" s="0" t="s">
        <v>49</v>
      </c>
      <c r="D73" s="17" t="n">
        <f aca="false">a26_ai/D71</f>
        <v>0.172842024579347</v>
      </c>
      <c r="K73" s="7" t="s">
        <v>504</v>
      </c>
    </row>
    <row r="74" customFormat="false" ht="17.15" hidden="false" customHeight="false" outlineLevel="0" collapsed="false">
      <c r="A74" s="3" t="s">
        <v>505</v>
      </c>
      <c r="B74" s="0" t="s">
        <v>63</v>
      </c>
      <c r="D74" s="18" t="n">
        <f aca="false">1</f>
        <v>1</v>
      </c>
      <c r="E74" s="18" t="n">
        <f aca="false">RHI_27</f>
        <v>1.08</v>
      </c>
      <c r="F74" s="18" t="n">
        <f aca="false">RHI_28</f>
        <v>1.08</v>
      </c>
      <c r="G74" s="18" t="n">
        <f aca="false">RHI_29</f>
        <v>1.05</v>
      </c>
    </row>
    <row r="75" customFormat="false" ht="15" hidden="false" customHeight="false" outlineLevel="0" collapsed="false">
      <c r="A75" s="3" t="s">
        <v>454</v>
      </c>
      <c r="B75" s="0" t="s">
        <v>49</v>
      </c>
      <c r="D75" s="17" t="n">
        <f aca="false">$D$73*D74</f>
        <v>0.172842024579347</v>
      </c>
      <c r="E75" s="17" t="n">
        <f aca="false">$D$73*E74</f>
        <v>0.186669386545694</v>
      </c>
      <c r="F75" s="17" t="n">
        <f aca="false">$D$73*F74</f>
        <v>0.186669386545694</v>
      </c>
      <c r="G75" s="17" t="n">
        <f aca="false">$D$73*G74</f>
        <v>0.181484125808314</v>
      </c>
    </row>
    <row r="76" customFormat="false" ht="17.15" hidden="false" customHeight="false" outlineLevel="0" collapsed="false">
      <c r="A76" s="0" t="s">
        <v>506</v>
      </c>
      <c r="B76" s="0" t="s">
        <v>184</v>
      </c>
      <c r="D76" s="22" t="n">
        <f aca="false">D71*D75*D72</f>
        <v>55.00416</v>
      </c>
      <c r="E76" s="22" t="n">
        <f aca="false">E71*E75*E72</f>
        <v>161.941688243696</v>
      </c>
      <c r="F76" s="22" t="n">
        <f aca="false">F71*F75*F72</f>
        <v>230.627801050967</v>
      </c>
      <c r="G76" s="22" t="n">
        <f aca="false">G71*G75*G72</f>
        <v>275.736342447905</v>
      </c>
    </row>
    <row r="77" customFormat="false" ht="17.15" hidden="false" customHeight="false" outlineLevel="0" collapsed="false">
      <c r="A77" s="5" t="s">
        <v>507</v>
      </c>
    </row>
    <row r="78" customFormat="false" ht="17.15" hidden="false" customHeight="false" outlineLevel="0" collapsed="false">
      <c r="A78" s="3" t="s">
        <v>508</v>
      </c>
      <c r="B78" s="0" t="s">
        <v>63</v>
      </c>
      <c r="D78" s="18" t="n">
        <f aca="false">1</f>
        <v>1</v>
      </c>
      <c r="E78" s="18" t="n">
        <f aca="false">cx_27</f>
        <v>1.45</v>
      </c>
      <c r="F78" s="18" t="n">
        <f aca="false">cx_28</f>
        <v>1.9</v>
      </c>
      <c r="G78" s="18" t="n">
        <f aca="false">cx_29</f>
        <v>2.3</v>
      </c>
      <c r="K78" s="7" t="s">
        <v>509</v>
      </c>
    </row>
    <row r="79" customFormat="false" ht="17.15" hidden="false" customHeight="false" outlineLevel="0" collapsed="false">
      <c r="A79" s="3" t="s">
        <v>510</v>
      </c>
      <c r="B79" s="0" t="s">
        <v>184</v>
      </c>
      <c r="D79" s="22" t="n">
        <f aca="false">a26_rev*D78*D72</f>
        <v>105.40752</v>
      </c>
      <c r="E79" s="22" t="n">
        <f aca="false">a26_rev*E78*E72</f>
        <v>157.42613112</v>
      </c>
      <c r="F79" s="22" t="n">
        <f aca="false">a26_rev*F78*F72</f>
        <v>204.27977376</v>
      </c>
      <c r="G79" s="22" t="n">
        <f aca="false">a26_rev*G78*G72</f>
        <v>242.437296</v>
      </c>
    </row>
    <row r="80" customFormat="false" ht="17.15" hidden="false" customHeight="false" outlineLevel="0" collapsed="false">
      <c r="A80" s="3" t="s">
        <v>511</v>
      </c>
      <c r="B80" s="0" t="s">
        <v>184</v>
      </c>
      <c r="C80" s="22" t="n">
        <f aca="false">a25_nai</f>
        <v>42.0028</v>
      </c>
      <c r="D80" s="22" t="n">
        <f aca="false">a26_nai</f>
        <v>50.40336</v>
      </c>
      <c r="E80" s="22" t="n">
        <f aca="false">D80*(1+g_nai27)</f>
        <v>52.923528</v>
      </c>
      <c r="F80" s="22" t="n">
        <f aca="false">E80*(1+g_nai28)</f>
        <v>54.51123384</v>
      </c>
      <c r="G80" s="22" t="n">
        <f aca="false">F80*(1+g_nai29)</f>
        <v>56.1465708552</v>
      </c>
    </row>
    <row r="81" customFormat="false" ht="17.15" hidden="false" customHeight="false" outlineLevel="0" collapsed="false">
      <c r="A81" s="0" t="s">
        <v>512</v>
      </c>
      <c r="B81" s="0" t="s">
        <v>184</v>
      </c>
      <c r="C81" s="22" t="n">
        <f aca="false">a25_ai</f>
        <v>18.0012</v>
      </c>
      <c r="D81" s="22" t="n">
        <f aca="false">D76</f>
        <v>55.00416</v>
      </c>
      <c r="E81" s="22" t="n">
        <f aca="false">MIN(E76,E79-E80)</f>
        <v>104.50260312</v>
      </c>
      <c r="F81" s="22" t="n">
        <f aca="false">MIN(F76,F79-F80)</f>
        <v>149.76853992</v>
      </c>
      <c r="G81" s="22" t="n">
        <f aca="false">MIN(G76,G79-G80)</f>
        <v>186.2907251448</v>
      </c>
      <c r="K81" s="3" t="s">
        <v>513</v>
      </c>
    </row>
    <row r="82" customFormat="false" ht="15" hidden="false" customHeight="false" outlineLevel="0" collapsed="false">
      <c r="A82" s="3" t="s">
        <v>514</v>
      </c>
      <c r="E82" s="0" t="str">
        <f aca="false">IF(E76&gt;E79-E80+0.0001,"受限","未受限")</f>
        <v>受限</v>
      </c>
      <c r="F82" s="0" t="str">
        <f aca="false">IF(F76&gt;F79-F80+0.0001,"受限","未受限")</f>
        <v>受限</v>
      </c>
      <c r="G82" s="0" t="str">
        <f aca="false">IF(G76&gt;G79-G80+0.0001,"受限","未受限")</f>
        <v>受限</v>
      </c>
    </row>
    <row r="83" customFormat="false" ht="17.15" hidden="false" customHeight="false" outlineLevel="0" collapsed="false">
      <c r="A83" s="3" t="s">
        <v>387</v>
      </c>
      <c r="B83" s="0" t="s">
        <v>184</v>
      </c>
      <c r="C83" s="22" t="n">
        <f aca="false">C81+C80</f>
        <v>60.004</v>
      </c>
      <c r="D83" s="22" t="n">
        <f aca="false">D81+D80</f>
        <v>105.40752</v>
      </c>
      <c r="E83" s="22" t="n">
        <f aca="false">E81+E80</f>
        <v>157.42613112</v>
      </c>
      <c r="F83" s="22" t="n">
        <f aca="false">F81+F80</f>
        <v>204.27977376</v>
      </c>
      <c r="G83" s="22" t="n">
        <f aca="false">G81+G80</f>
        <v>242.437296</v>
      </c>
      <c r="H83" s="24" t="n">
        <f aca="false">G83*(1+H84)</f>
        <v>277.476031996367</v>
      </c>
      <c r="I83" s="24" t="n">
        <f aca="false">H83*(1+I84)</f>
        <v>305.851702719408</v>
      </c>
      <c r="J83" s="24" t="n">
        <f aca="false">I83*(1+J84)</f>
        <v>324.202804882573</v>
      </c>
      <c r="K83" s="7" t="s">
        <v>515</v>
      </c>
    </row>
    <row r="84" customFormat="false" ht="15" hidden="false" customHeight="false" outlineLevel="0" collapsed="false">
      <c r="A84" s="3" t="s">
        <v>516</v>
      </c>
      <c r="B84" s="0" t="s">
        <v>49</v>
      </c>
      <c r="D84" s="17" t="n">
        <f aca="false">D83/C83-1</f>
        <v>0.756674888340778</v>
      </c>
      <c r="E84" s="17" t="n">
        <f aca="false">E83/D83-1</f>
        <v>0.4935</v>
      </c>
      <c r="F84" s="17" t="n">
        <f aca="false">F83/E83-1</f>
        <v>0.297623033143623</v>
      </c>
      <c r="G84" s="17" t="n">
        <f aca="false">G83/F83-1</f>
        <v>0.186790505675954</v>
      </c>
      <c r="H84" s="25" t="n">
        <f aca="false">$G84+(fade_gA-$G84)*1/3</f>
        <v>0.14452700378397</v>
      </c>
      <c r="I84" s="25" t="n">
        <f aca="false">$G84+(fade_gA-$G84)*2/3</f>
        <v>0.102263501891985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0" t="s">
        <v>517</v>
      </c>
      <c r="B85" s="0" t="s">
        <v>49</v>
      </c>
      <c r="C85" s="17" t="n">
        <f aca="false">C81/C83</f>
        <v>0.3</v>
      </c>
      <c r="D85" s="17" t="n">
        <f aca="false">D81/D83</f>
        <v>0.521823869871903</v>
      </c>
      <c r="E85" s="17" t="n">
        <f aca="false">E81/E83</f>
        <v>0.663819928600936</v>
      </c>
      <c r="F85" s="17" t="n">
        <f aca="false">F81/F83</f>
        <v>0.733154032645234</v>
      </c>
      <c r="G85" s="17" t="n">
        <f aca="false">G81/G83</f>
        <v>0.768407865532373</v>
      </c>
    </row>
    <row r="86" customFormat="false" ht="17.15" hidden="false" customHeight="false" outlineLevel="0" collapsed="false">
      <c r="A86" s="3" t="s">
        <v>518</v>
      </c>
      <c r="B86" s="0" t="s">
        <v>49</v>
      </c>
      <c r="D86" s="17" t="n">
        <f aca="false">(D76+D80)/D79</f>
        <v>1</v>
      </c>
      <c r="E86" s="17" t="n">
        <f aca="false">(E76+E80)/E79</f>
        <v>1.36486372824542</v>
      </c>
      <c r="F86" s="17" t="n">
        <f aca="false">(F76+F80)/F79</f>
        <v>1.39582607539974</v>
      </c>
      <c r="G86" s="17" t="n">
        <f aca="false">(G76+G80)/G79</f>
        <v>1.36894330525409</v>
      </c>
      <c r="K86" s="3" t="s">
        <v>519</v>
      </c>
    </row>
    <row r="87" customFormat="false" ht="17.15" hidden="false" customHeight="false" outlineLevel="0" collapsed="false">
      <c r="A87" s="3" t="s">
        <v>458</v>
      </c>
      <c r="B87" s="0" t="s">
        <v>90</v>
      </c>
      <c r="D87" s="21" t="n">
        <f aca="false">D81/fx/D65*1000</f>
        <v>73.4578604462223</v>
      </c>
      <c r="E87" s="21" t="n">
        <f aca="false">E81/fx/E65*1000</f>
        <v>78.4144046416261</v>
      </c>
      <c r="F87" s="21" t="n">
        <f aca="false">F81/fx/F65*1000</f>
        <v>88.6546185256786</v>
      </c>
      <c r="G87" s="21" t="n">
        <f aca="false">G81/fx/G65*1000</f>
        <v>96.8028181690743</v>
      </c>
    </row>
    <row r="88" customFormat="false" ht="17.15" hidden="false" customHeight="false" outlineLevel="0" collapsed="false">
      <c r="A88" s="5" t="s">
        <v>520</v>
      </c>
    </row>
    <row r="89" customFormat="false" ht="17.15" hidden="false" customHeight="false" outlineLevel="0" collapsed="false">
      <c r="A89" s="3" t="s">
        <v>521</v>
      </c>
      <c r="B89" s="0" t="s">
        <v>49</v>
      </c>
      <c r="D89" s="17" t="n">
        <f aca="false">a26_gp/D83-d_ai*D85</f>
        <v>0.296655205435058</v>
      </c>
      <c r="K89" s="7" t="s">
        <v>522</v>
      </c>
    </row>
    <row r="90" customFormat="false" ht="17.15" hidden="false" customHeight="false" outlineLevel="0" collapsed="false">
      <c r="A90" s="0" t="s">
        <v>523</v>
      </c>
      <c r="B90" s="0" t="s">
        <v>49</v>
      </c>
      <c r="D90" s="17" t="n">
        <f aca="false">D89+d_ai</f>
        <v>0.396655205435058</v>
      </c>
      <c r="E90" s="17" t="n">
        <f aca="false">1-(1-$D$90)/E72+GUHI_27</f>
        <v>0.434228354791319</v>
      </c>
      <c r="F90" s="17" t="n">
        <f aca="false">1-(1-$D$90)/F72+GUHI_28</f>
        <v>0.438485495524567</v>
      </c>
      <c r="G90" s="17" t="n">
        <f aca="false">1-(1-$D$90)/G72+GUHI_29</f>
        <v>0.431655205435058</v>
      </c>
      <c r="K90" s="7" t="s">
        <v>524</v>
      </c>
    </row>
    <row r="91" customFormat="false" ht="15" hidden="false" customHeight="false" outlineLevel="0" collapsed="false">
      <c r="A91" s="3" t="s">
        <v>391</v>
      </c>
      <c r="B91" s="0" t="s">
        <v>184</v>
      </c>
      <c r="C91" s="22" t="n">
        <f aca="false">a25_gp</f>
        <v>19.683</v>
      </c>
      <c r="D91" s="22" t="n">
        <f aca="false">a26_gp</f>
        <v>36.7701055</v>
      </c>
      <c r="E91" s="22" t="n">
        <f aca="false">E81*E90+E80*$D$89</f>
        <v>61.0780334953958</v>
      </c>
      <c r="F91" s="22" t="n">
        <f aca="false">F81*F90+F80*$D$89</f>
        <v>81.8423737141358</v>
      </c>
      <c r="G91" s="22" t="n">
        <f aca="false">G81*G90+G80*$D$89</f>
        <v>97.069533744548</v>
      </c>
    </row>
    <row r="92" customFormat="false" ht="15" hidden="false" customHeight="false" outlineLevel="0" collapsed="false">
      <c r="A92" s="3" t="s">
        <v>394</v>
      </c>
      <c r="B92" s="0" t="s">
        <v>49</v>
      </c>
      <c r="C92" s="17" t="n">
        <f aca="false">C91/C83</f>
        <v>0.328028131457903</v>
      </c>
      <c r="D92" s="17" t="n">
        <f aca="false">D91/D83</f>
        <v>0.348837592422248</v>
      </c>
      <c r="E92" s="17" t="n">
        <f aca="false">E91/E83</f>
        <v>0.387979003618137</v>
      </c>
      <c r="F92" s="17" t="n">
        <f aca="false">F91/F83</f>
        <v>0.400638654565425</v>
      </c>
      <c r="G92" s="17" t="n">
        <f aca="false">G91/G83</f>
        <v>0.400390267281929</v>
      </c>
    </row>
    <row r="93" customFormat="false" ht="15" hidden="false" customHeight="false" outlineLevel="0" collapsed="false">
      <c r="A93" s="3" t="s">
        <v>525</v>
      </c>
      <c r="B93" s="0" t="s">
        <v>184</v>
      </c>
      <c r="C93" s="22" t="n">
        <f aca="false">a25_opx</f>
        <v>5.64</v>
      </c>
      <c r="D93" s="22" t="n">
        <f aca="false">a26_opx</f>
        <v>8.4779754</v>
      </c>
      <c r="E93" s="22" t="n">
        <f aca="false">D93*(1+MAX(0,phi*E84))</f>
        <v>10.98830391594</v>
      </c>
      <c r="F93" s="22" t="n">
        <f aca="false">E93*(1+MAX(0,phi*F84))</f>
        <v>12.9505273202796</v>
      </c>
      <c r="G93" s="22" t="n">
        <f aca="false">F93*(1+MAX(0,phi*G84))</f>
        <v>14.4019486484348</v>
      </c>
    </row>
    <row r="94" customFormat="false" ht="15" hidden="false" customHeight="false" outlineLevel="0" collapsed="false">
      <c r="A94" s="3" t="s">
        <v>396</v>
      </c>
      <c r="B94" s="0" t="s">
        <v>184</v>
      </c>
      <c r="C94" s="22" t="n">
        <f aca="false">C93</f>
        <v>5.64</v>
      </c>
      <c r="D94" s="22" t="n">
        <f aca="false">D93</f>
        <v>8.4779754</v>
      </c>
      <c r="E94" s="22" t="n">
        <f aca="false">E93+0*E83</f>
        <v>10.98830391594</v>
      </c>
      <c r="F94" s="22" t="n">
        <f aca="false">F93+0*F83</f>
        <v>12.9505273202796</v>
      </c>
      <c r="G94" s="22" t="n">
        <f aca="false">G93+0*G83</f>
        <v>14.4019486484348</v>
      </c>
    </row>
    <row r="95" customFormat="false" ht="15" hidden="false" customHeight="false" outlineLevel="0" collapsed="false">
      <c r="A95" s="3" t="s">
        <v>526</v>
      </c>
      <c r="B95" s="0" t="s">
        <v>184</v>
      </c>
      <c r="C95" s="22" t="n">
        <f aca="false">C91-C94</f>
        <v>14.043</v>
      </c>
      <c r="D95" s="22" t="n">
        <f aca="false">D91-D94</f>
        <v>28.2921301</v>
      </c>
      <c r="E95" s="22" t="n">
        <f aca="false">E91-E94</f>
        <v>50.0897295794558</v>
      </c>
      <c r="F95" s="22" t="n">
        <f aca="false">F91-F94</f>
        <v>68.8918463938562</v>
      </c>
      <c r="G95" s="22" t="n">
        <f aca="false">G91-G94</f>
        <v>82.6675850961132</v>
      </c>
    </row>
    <row r="96" customFormat="false" ht="15" hidden="false" customHeight="false" outlineLevel="0" collapsed="false">
      <c r="A96" s="3" t="s">
        <v>402</v>
      </c>
      <c r="B96" s="0" t="s">
        <v>49</v>
      </c>
      <c r="C96" s="17" t="n">
        <f aca="false">C95/C83</f>
        <v>0.23403439770682</v>
      </c>
      <c r="D96" s="17" t="n">
        <f aca="false">D95/D83</f>
        <v>0.268407131673338</v>
      </c>
      <c r="E96" s="17" t="n">
        <f aca="false">E95/E83</f>
        <v>0.318179257935738</v>
      </c>
      <c r="F96" s="17" t="n">
        <f aca="false">F95/F83</f>
        <v>0.337242621361009</v>
      </c>
      <c r="G96" s="17" t="n">
        <f aca="false">G95/G83</f>
        <v>0.340985427820121</v>
      </c>
    </row>
    <row r="97" customFormat="false" ht="17.15" hidden="false" customHeight="false" outlineLevel="0" collapsed="false">
      <c r="A97" s="3" t="s">
        <v>403</v>
      </c>
      <c r="B97" s="0" t="s">
        <v>184</v>
      </c>
      <c r="E97" s="22" t="n">
        <f aca="false">nop_f</f>
        <v>0</v>
      </c>
      <c r="F97" s="22" t="n">
        <f aca="false">nop_f</f>
        <v>0</v>
      </c>
      <c r="G97" s="22" t="n">
        <f aca="false">nop_f</f>
        <v>0</v>
      </c>
      <c r="K97" s="7" t="s">
        <v>527</v>
      </c>
    </row>
    <row r="98" customFormat="false" ht="15" hidden="false" customHeight="false" outlineLevel="0" collapsed="false">
      <c r="A98" s="3" t="s">
        <v>408</v>
      </c>
      <c r="B98" s="0" t="s">
        <v>184</v>
      </c>
      <c r="C98" s="22" t="n">
        <f aca="false">a25_ni</f>
        <v>9.607</v>
      </c>
      <c r="D98" s="22" t="n">
        <f aca="false">a26_ni</f>
        <v>19.6977289395284</v>
      </c>
      <c r="E98" s="22" t="n">
        <f aca="false">(E95+E97)*nir_f</f>
        <v>34.3114647619272</v>
      </c>
      <c r="F98" s="22" t="n">
        <f aca="false">(F95+F97)*nir_f</f>
        <v>47.1909147797915</v>
      </c>
      <c r="G98" s="22" t="n">
        <f aca="false">(G95+G97)*nir_f</f>
        <v>56.6272957908376</v>
      </c>
      <c r="H98" s="24" t="n">
        <f aca="false">H83*H103</f>
        <v>64.8114691838759</v>
      </c>
      <c r="I98" s="24" t="n">
        <f aca="false">I83*I103</f>
        <v>71.4393169853835</v>
      </c>
      <c r="J98" s="24" t="n">
        <f aca="false">J83*J103</f>
        <v>75.7256760045065</v>
      </c>
    </row>
    <row r="99" customFormat="false" ht="17.15" hidden="false" customHeight="false" outlineLevel="0" collapsed="false">
      <c r="A99" s="3" t="s">
        <v>411</v>
      </c>
      <c r="B99" s="0" t="s">
        <v>49</v>
      </c>
      <c r="C99" s="17" t="n">
        <f aca="false">C98/C95</f>
        <v>0.684113081250445</v>
      </c>
      <c r="D99" s="17" t="n">
        <f aca="false">D98/D95</f>
        <v>0.696226437171953</v>
      </c>
      <c r="E99" s="17" t="n">
        <f aca="false">E98/E95</f>
        <v>0.685</v>
      </c>
      <c r="F99" s="17" t="n">
        <f aca="false">F98/F95</f>
        <v>0.685</v>
      </c>
      <c r="G99" s="17" t="n">
        <f aca="false">G98/G95</f>
        <v>0.685</v>
      </c>
    </row>
    <row r="100" customFormat="false" ht="17.15" hidden="false" customHeight="false" outlineLevel="0" collapsed="false">
      <c r="A100" s="3" t="s">
        <v>528</v>
      </c>
      <c r="B100" s="3" t="s">
        <v>214</v>
      </c>
      <c r="C100" s="27" t="n">
        <f aca="false">a25_sh</f>
        <v>0.493425783256292</v>
      </c>
      <c r="D100" s="27" t="n">
        <f aca="false">a26_sh</f>
        <v>0.512980850061958</v>
      </c>
      <c r="E100" s="27" t="n">
        <f aca="false">sh_h2*(1+sh_g)</f>
        <v>0.51889356</v>
      </c>
      <c r="F100" s="27" t="n">
        <f aca="false">E100*(1+sh_g)</f>
        <v>0.5240824956</v>
      </c>
      <c r="G100" s="27" t="n">
        <f aca="false">F100*(1+sh_g)</f>
        <v>0.529323320556</v>
      </c>
      <c r="H100" s="28" t="n">
        <f aca="false">G100*(1+sh_g)</f>
        <v>0.53461655376156</v>
      </c>
      <c r="I100" s="28" t="n">
        <f aca="false">H100*(1+sh_g)</f>
        <v>0.539962719299176</v>
      </c>
      <c r="J100" s="28" t="n">
        <f aca="false">I100*(1+sh_g)</f>
        <v>0.545362346492167</v>
      </c>
      <c r="K100" s="7" t="s">
        <v>529</v>
      </c>
    </row>
    <row r="101" customFormat="false" ht="15" hidden="false" customHeight="false" outlineLevel="0" collapsed="false">
      <c r="A101" s="0" t="s">
        <v>414</v>
      </c>
      <c r="B101" s="0" t="s">
        <v>252</v>
      </c>
      <c r="C101" s="23" t="n">
        <f aca="false">C98/C100</f>
        <v>19.47</v>
      </c>
      <c r="D101" s="23" t="n">
        <f aca="false">D98/D100</f>
        <v>38.3985658278458</v>
      </c>
      <c r="E101" s="23" t="n">
        <f aca="false">E98/E100</f>
        <v>66.1242832960332</v>
      </c>
      <c r="F101" s="23" t="n">
        <f aca="false">F98/F100</f>
        <v>90.0448215233073</v>
      </c>
      <c r="G101" s="23" t="n">
        <f aca="false">G98/G100</f>
        <v>106.980542121886</v>
      </c>
      <c r="H101" s="29" t="n">
        <f aca="false">H98/H100</f>
        <v>121.22982112668</v>
      </c>
      <c r="I101" s="29" t="n">
        <f aca="false">I98/I100</f>
        <v>132.304165513696</v>
      </c>
      <c r="J101" s="29" t="n">
        <f aca="false">J98/J100</f>
        <v>138.85387667774</v>
      </c>
    </row>
    <row r="102" customFormat="false" ht="17.15" hidden="false" customHeight="false" outlineLevel="0" collapsed="false">
      <c r="A102" s="0" t="s">
        <v>530</v>
      </c>
      <c r="B102" s="0" t="s">
        <v>49</v>
      </c>
      <c r="D102" s="17" t="n">
        <f aca="false">D101/C101-1</f>
        <v>0.9721913624985</v>
      </c>
      <c r="E102" s="17" t="n">
        <f aca="false">E101/D101-1</f>
        <v>0.722050859724592</v>
      </c>
      <c r="F102" s="17" t="n">
        <f aca="false">F101/E101-1</f>
        <v>0.361751190862572</v>
      </c>
      <c r="G102" s="17" t="n">
        <f aca="false">G101/F101-1</f>
        <v>0.188081005793262</v>
      </c>
      <c r="H102" s="25" t="n">
        <f aca="false">H101/G101-1</f>
        <v>0.133195053251455</v>
      </c>
      <c r="I102" s="25" t="n">
        <f aca="false">I101/H101-1</f>
        <v>0.0913500018732523</v>
      </c>
      <c r="J102" s="25" t="n">
        <f aca="false">J101/I101-1</f>
        <v>0.0495049504950496</v>
      </c>
    </row>
    <row r="103" customFormat="false" ht="17.15" hidden="false" customHeight="false" outlineLevel="0" collapsed="false">
      <c r="A103" s="3" t="s">
        <v>531</v>
      </c>
      <c r="B103" s="0" t="s">
        <v>49</v>
      </c>
      <c r="C103" s="17" t="n">
        <f aca="false">C98/C83</f>
        <v>0.160105992933804</v>
      </c>
      <c r="D103" s="17" t="n">
        <f aca="false">D98/D83</f>
        <v>0.186872140996471</v>
      </c>
      <c r="E103" s="17" t="n">
        <f aca="false">E98/E83</f>
        <v>0.21795279168598</v>
      </c>
      <c r="F103" s="17" t="n">
        <f aca="false">F98/F83</f>
        <v>0.231011195632291</v>
      </c>
      <c r="G103" s="17" t="n">
        <f aca="false">G98/G83</f>
        <v>0.233575018056783</v>
      </c>
      <c r="H103" s="25" t="n">
        <f aca="false">$G103+(fade_mA-$G103)*1/3</f>
        <v>0.233575018056783</v>
      </c>
      <c r="I103" s="25" t="n">
        <f aca="false">$G103+(fade_mA-$G103)*2/3</f>
        <v>0.233575018056783</v>
      </c>
      <c r="J103" s="25" t="n">
        <f aca="false">$G103+(fade_mA-$G103)*3/3</f>
        <v>0.233575018056783</v>
      </c>
    </row>
    <row r="106" customFormat="false" ht="17.15" hidden="false" customHeight="false" outlineLevel="0" collapsed="false">
      <c r="A106" s="1" t="s">
        <v>532</v>
      </c>
    </row>
    <row r="107" customFormat="false" ht="17.15" hidden="false" customHeight="false" outlineLevel="0" collapsed="false">
      <c r="A107" s="4" t="s">
        <v>18</v>
      </c>
      <c r="B107" s="4" t="s">
        <v>19</v>
      </c>
      <c r="C107" s="14" t="s">
        <v>382</v>
      </c>
      <c r="D107" s="14" t="s">
        <v>472</v>
      </c>
      <c r="E107" s="14" t="s">
        <v>473</v>
      </c>
      <c r="F107" s="14" t="s">
        <v>474</v>
      </c>
      <c r="G107" s="14" t="s">
        <v>475</v>
      </c>
      <c r="H107" s="14" t="s">
        <v>476</v>
      </c>
      <c r="I107" s="14" t="s">
        <v>477</v>
      </c>
      <c r="J107" s="14" t="s">
        <v>478</v>
      </c>
      <c r="K107" s="4" t="s">
        <v>436</v>
      </c>
    </row>
    <row r="108" customFormat="false" ht="17.15" hidden="false" customHeight="false" outlineLevel="0" collapsed="false">
      <c r="A108" s="5" t="s">
        <v>494</v>
      </c>
    </row>
    <row r="109" customFormat="false" ht="17.15" hidden="false" customHeight="false" outlineLevel="0" collapsed="false">
      <c r="A109" s="0" t="s">
        <v>495</v>
      </c>
      <c r="B109" s="0" t="s">
        <v>29</v>
      </c>
      <c r="D109" s="23" t="n">
        <f aca="false">itc_26*1</f>
        <v>781.872916666667</v>
      </c>
      <c r="E109" s="23" t="n">
        <f aca="false">itc_27*1*1</f>
        <v>1565.35</v>
      </c>
      <c r="F109" s="23" t="n">
        <f aca="false">itc_28*um28_B*1</f>
        <v>1587.41111111111</v>
      </c>
      <c r="G109" s="23" t="n">
        <f aca="false">itc_29*um29_B*1</f>
        <v>1921.33173611111</v>
      </c>
    </row>
    <row r="110" customFormat="false" ht="17.15" hidden="false" customHeight="false" outlineLevel="0" collapsed="false">
      <c r="A110" s="3" t="s">
        <v>496</v>
      </c>
      <c r="B110" s="0" t="s">
        <v>29</v>
      </c>
      <c r="D110" s="23" t="n">
        <f aca="false">itpg_gb*(1-vr26)+itpg_vr*vr26</f>
        <v>33.41403216</v>
      </c>
      <c r="E110" s="23" t="n">
        <f aca="false">itpg_vr</f>
        <v>37.586352</v>
      </c>
      <c r="F110" s="23" t="n">
        <f aca="false">itpg_vr</f>
        <v>37.586352</v>
      </c>
      <c r="G110" s="23" t="n">
        <f aca="false">itpg_vr</f>
        <v>37.586352</v>
      </c>
    </row>
    <row r="111" customFormat="false" ht="17.15" hidden="false" customHeight="false" outlineLevel="0" collapsed="false">
      <c r="A111" s="3" t="s">
        <v>497</v>
      </c>
      <c r="B111" s="0" t="s">
        <v>438</v>
      </c>
      <c r="D111" s="20" t="n">
        <f aca="false">D109/D110</f>
        <v>23.3995380420639</v>
      </c>
      <c r="E111" s="20" t="n">
        <f aca="false">E109/E110</f>
        <v>41.6467658260637</v>
      </c>
      <c r="F111" s="20" t="n">
        <f aca="false">F109/F110</f>
        <v>42.2337105529984</v>
      </c>
      <c r="G111" s="20" t="n">
        <f aca="false">G109/G110</f>
        <v>51.1178029756948</v>
      </c>
    </row>
    <row r="112" customFormat="false" ht="17.15" hidden="false" customHeight="false" outlineLevel="0" collapsed="false">
      <c r="A112" s="3" t="s">
        <v>442</v>
      </c>
      <c r="B112" s="0" t="s">
        <v>90</v>
      </c>
      <c r="D112" s="21" t="n">
        <f aca="false">vg_cmp26</f>
        <v>280</v>
      </c>
      <c r="E112" s="21" t="n">
        <f aca="false">(vg_cmp26+(vg_cmp27-vg_cmp26)*pgwf)</f>
        <v>420</v>
      </c>
      <c r="F112" s="21" t="n">
        <f aca="false">(vg_cmp26+(vg_cmp28-vg_cmp26)*pgwf)</f>
        <v>462</v>
      </c>
      <c r="G112" s="21" t="n">
        <f aca="false">(vg_cmp26+(vg_cmp29-vg_cmp26)*pgwf)</f>
        <v>504</v>
      </c>
    </row>
    <row r="113" customFormat="false" ht="17.15" hidden="false" customHeight="false" outlineLevel="0" collapsed="false">
      <c r="A113" s="3" t="s">
        <v>444</v>
      </c>
      <c r="B113" s="0" t="s">
        <v>90</v>
      </c>
      <c r="D113" s="21" t="n">
        <f aca="false">vg_sw26</f>
        <v>120</v>
      </c>
      <c r="E113" s="21" t="n">
        <f aca="false">(vg_sw26+(vg_sw27-vg_sw26)*pgwf)</f>
        <v>162</v>
      </c>
      <c r="F113" s="21" t="n">
        <f aca="false">(vg_sw26+(vg_sw28-vg_sw26)*pgwf)</f>
        <v>180</v>
      </c>
      <c r="G113" s="21" t="n">
        <f aca="false">(vg_sw26+(vg_sw29-vg_sw26)*pgwf)</f>
        <v>198</v>
      </c>
    </row>
    <row r="114" customFormat="false" ht="17.15" hidden="false" customHeight="false" outlineLevel="0" collapsed="false">
      <c r="A114" s="3" t="s">
        <v>498</v>
      </c>
      <c r="B114" s="0" t="s">
        <v>90</v>
      </c>
      <c r="D114" s="21" t="n">
        <f aca="false">vg_mid26*w_mid</f>
        <v>25</v>
      </c>
      <c r="E114" s="21" t="n">
        <f aca="false">(vg_mid26+(vg_mid27-vg_mid26)*pgwf)*w_mid</f>
        <v>50</v>
      </c>
      <c r="F114" s="21" t="n">
        <f aca="false">(vg_mid26+(vg_mid28-vg_mid26)*pgwf)*w_mid</f>
        <v>75</v>
      </c>
      <c r="G114" s="21" t="n">
        <f aca="false">(vg_mid26+(vg_mid29-vg_mid26)*pgwf)*w_mid</f>
        <v>87.5</v>
      </c>
    </row>
    <row r="115" customFormat="false" ht="17.15" hidden="false" customHeight="false" outlineLevel="0" collapsed="false">
      <c r="A115" s="3" t="s">
        <v>499</v>
      </c>
      <c r="B115" s="0" t="s">
        <v>90</v>
      </c>
      <c r="D115" s="21" t="n">
        <f aca="false">D112+D113+D114</f>
        <v>425</v>
      </c>
      <c r="E115" s="21" t="n">
        <f aca="false">E112+E113+E114</f>
        <v>632</v>
      </c>
      <c r="F115" s="21" t="n">
        <f aca="false">F112+F113+F114</f>
        <v>717</v>
      </c>
      <c r="G115" s="21" t="n">
        <f aca="false">G112+G113+G114</f>
        <v>789.5</v>
      </c>
    </row>
    <row r="116" customFormat="false" ht="17.15" hidden="false" customHeight="false" outlineLevel="0" collapsed="false">
      <c r="A116" s="3" t="s">
        <v>500</v>
      </c>
      <c r="B116" s="0" t="s">
        <v>29</v>
      </c>
      <c r="D116" s="23" t="n">
        <f aca="false">D111*D115/1000</f>
        <v>9.94480366787716</v>
      </c>
      <c r="E116" s="23" t="n">
        <f aca="false">E111*E115/1000</f>
        <v>26.3207560020722</v>
      </c>
      <c r="F116" s="23" t="n">
        <f aca="false">F111*F115/1000</f>
        <v>30.2815704664998</v>
      </c>
      <c r="G116" s="23" t="n">
        <f aca="false">G111*G115/1000</f>
        <v>40.3575054493111</v>
      </c>
    </row>
    <row r="117" customFormat="false" ht="17.15" hidden="false" customHeight="false" outlineLevel="0" collapsed="false">
      <c r="A117" s="3" t="s">
        <v>501</v>
      </c>
      <c r="B117" s="0" t="s">
        <v>184</v>
      </c>
      <c r="D117" s="22" t="n">
        <f aca="false">D116*fx</f>
        <v>318.233717372069</v>
      </c>
      <c r="E117" s="22" t="n">
        <f aca="false">E116*fx</f>
        <v>842.264192066312</v>
      </c>
      <c r="F117" s="22" t="n">
        <f aca="false">F116*fx</f>
        <v>969.010254927995</v>
      </c>
      <c r="G117" s="22" t="n">
        <f aca="false">G116*fx</f>
        <v>1291.44017437795</v>
      </c>
    </row>
    <row r="118" customFormat="false" ht="17.15" hidden="false" customHeight="false" outlineLevel="0" collapsed="false">
      <c r="A118" s="0" t="s">
        <v>502</v>
      </c>
      <c r="B118" s="0" t="s">
        <v>63</v>
      </c>
      <c r="D118" s="18" t="n">
        <f aca="false">1</f>
        <v>1</v>
      </c>
      <c r="E118" s="18" t="n">
        <f aca="false">pp_27</f>
        <v>1</v>
      </c>
      <c r="F118" s="18" t="n">
        <f aca="false">pp_28</f>
        <v>0.97</v>
      </c>
      <c r="G118" s="18" t="n">
        <f aca="false">pp_29</f>
        <v>0.94</v>
      </c>
    </row>
    <row r="119" customFormat="false" ht="17.15" hidden="false" customHeight="false" outlineLevel="0" collapsed="false">
      <c r="A119" s="3" t="s">
        <v>503</v>
      </c>
      <c r="B119" s="0" t="s">
        <v>49</v>
      </c>
      <c r="D119" s="17" t="n">
        <f aca="false">a26_ai/D117</f>
        <v>0.172842024579347</v>
      </c>
      <c r="K119" s="7" t="s">
        <v>504</v>
      </c>
    </row>
    <row r="120" customFormat="false" ht="17.15" hidden="false" customHeight="false" outlineLevel="0" collapsed="false">
      <c r="A120" s="3" t="s">
        <v>505</v>
      </c>
      <c r="B120" s="0" t="s">
        <v>63</v>
      </c>
      <c r="D120" s="18" t="n">
        <f aca="false">1</f>
        <v>1</v>
      </c>
      <c r="E120" s="18" t="n">
        <f aca="false">rel_27</f>
        <v>1</v>
      </c>
      <c r="F120" s="18" t="n">
        <f aca="false">rel_28</f>
        <v>0.95</v>
      </c>
      <c r="G120" s="18" t="n">
        <f aca="false">rel_29</f>
        <v>0.9</v>
      </c>
    </row>
    <row r="121" customFormat="false" ht="15" hidden="false" customHeight="false" outlineLevel="0" collapsed="false">
      <c r="A121" s="3" t="s">
        <v>454</v>
      </c>
      <c r="B121" s="0" t="s">
        <v>49</v>
      </c>
      <c r="D121" s="17" t="n">
        <f aca="false">$D$119*D120</f>
        <v>0.172842024579347</v>
      </c>
      <c r="E121" s="17" t="n">
        <f aca="false">$D$119*E120</f>
        <v>0.172842024579347</v>
      </c>
      <c r="F121" s="17" t="n">
        <f aca="false">$D$119*F120</f>
        <v>0.164199923350379</v>
      </c>
      <c r="G121" s="17" t="n">
        <f aca="false">$D$119*G120</f>
        <v>0.155557822121412</v>
      </c>
    </row>
    <row r="122" customFormat="false" ht="17.15" hidden="false" customHeight="false" outlineLevel="0" collapsed="false">
      <c r="A122" s="0" t="s">
        <v>506</v>
      </c>
      <c r="B122" s="0" t="s">
        <v>184</v>
      </c>
      <c r="D122" s="22" t="n">
        <f aca="false">D117*D121*D118</f>
        <v>55.00416</v>
      </c>
      <c r="E122" s="22" t="n">
        <f aca="false">E117*E121*E118</f>
        <v>145.578648187429</v>
      </c>
      <c r="F122" s="22" t="n">
        <f aca="false">F117*F121*F118</f>
        <v>154.338067297361</v>
      </c>
      <c r="G122" s="22" t="n">
        <f aca="false">G117*G121*G118</f>
        <v>188.840003670751</v>
      </c>
    </row>
    <row r="123" customFormat="false" ht="17.15" hidden="false" customHeight="false" outlineLevel="0" collapsed="false">
      <c r="A123" s="5" t="s">
        <v>507</v>
      </c>
    </row>
    <row r="124" customFormat="false" ht="17.15" hidden="false" customHeight="false" outlineLevel="0" collapsed="false">
      <c r="A124" s="3" t="s">
        <v>508</v>
      </c>
      <c r="B124" s="0" t="s">
        <v>63</v>
      </c>
      <c r="D124" s="18" t="n">
        <f aca="false">1</f>
        <v>1</v>
      </c>
      <c r="E124" s="18" t="n">
        <f aca="false">cx_27</f>
        <v>1.45</v>
      </c>
      <c r="F124" s="18" t="n">
        <f aca="false">cx_28</f>
        <v>1.9</v>
      </c>
      <c r="G124" s="18" t="n">
        <f aca="false">cx_29</f>
        <v>2.3</v>
      </c>
      <c r="K124" s="7" t="s">
        <v>509</v>
      </c>
    </row>
    <row r="125" customFormat="false" ht="17.15" hidden="false" customHeight="false" outlineLevel="0" collapsed="false">
      <c r="A125" s="3" t="s">
        <v>510</v>
      </c>
      <c r="B125" s="0" t="s">
        <v>184</v>
      </c>
      <c r="D125" s="22" t="n">
        <f aca="false">a26_rev*D124*D118</f>
        <v>105.40752</v>
      </c>
      <c r="E125" s="22" t="n">
        <f aca="false">a26_rev*E124*E118</f>
        <v>152.840904</v>
      </c>
      <c r="F125" s="22" t="n">
        <f aca="false">a26_rev*F124*F118</f>
        <v>194.26605936</v>
      </c>
      <c r="G125" s="22" t="n">
        <f aca="false">a26_rev*G124*G118</f>
        <v>227.89105824</v>
      </c>
    </row>
    <row r="126" customFormat="false" ht="17.15" hidden="false" customHeight="false" outlineLevel="0" collapsed="false">
      <c r="A126" s="3" t="s">
        <v>511</v>
      </c>
      <c r="B126" s="0" t="s">
        <v>184</v>
      </c>
      <c r="C126" s="22" t="n">
        <f aca="false">a25_nai</f>
        <v>42.0028</v>
      </c>
      <c r="D126" s="22" t="n">
        <f aca="false">a26_nai</f>
        <v>50.40336</v>
      </c>
      <c r="E126" s="22" t="n">
        <f aca="false">D126*(1+g_nai27)</f>
        <v>52.923528</v>
      </c>
      <c r="F126" s="22" t="n">
        <f aca="false">E126*(1+g_nai28)</f>
        <v>54.51123384</v>
      </c>
      <c r="G126" s="22" t="n">
        <f aca="false">F126*(1+g_nai29)</f>
        <v>56.1465708552</v>
      </c>
    </row>
    <row r="127" customFormat="false" ht="17.15" hidden="false" customHeight="false" outlineLevel="0" collapsed="false">
      <c r="A127" s="0" t="s">
        <v>512</v>
      </c>
      <c r="B127" s="0" t="s">
        <v>184</v>
      </c>
      <c r="C127" s="22" t="n">
        <f aca="false">a25_ai</f>
        <v>18.0012</v>
      </c>
      <c r="D127" s="22" t="n">
        <f aca="false">D122</f>
        <v>55.00416</v>
      </c>
      <c r="E127" s="22" t="n">
        <f aca="false">MIN(E122,E125-E126)</f>
        <v>99.917376</v>
      </c>
      <c r="F127" s="22" t="n">
        <f aca="false">MIN(F122,F125-F126)</f>
        <v>139.75482552</v>
      </c>
      <c r="G127" s="22" t="n">
        <f aca="false">MIN(G122,G125-G126)</f>
        <v>171.7444873848</v>
      </c>
      <c r="K127" s="3" t="s">
        <v>513</v>
      </c>
    </row>
    <row r="128" customFormat="false" ht="15" hidden="false" customHeight="false" outlineLevel="0" collapsed="false">
      <c r="A128" s="3" t="s">
        <v>514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受限</v>
      </c>
      <c r="G128" s="0" t="str">
        <f aca="false">IF(G122&gt;G125-G126+0.0001,"受限","未受限")</f>
        <v>受限</v>
      </c>
    </row>
    <row r="129" customFormat="false" ht="17.15" hidden="false" customHeight="false" outlineLevel="0" collapsed="false">
      <c r="A129" s="3" t="s">
        <v>387</v>
      </c>
      <c r="B129" s="0" t="s">
        <v>184</v>
      </c>
      <c r="C129" s="22" t="n">
        <f aca="false">C127+C126</f>
        <v>60.004</v>
      </c>
      <c r="D129" s="22" t="n">
        <f aca="false">D127+D126</f>
        <v>105.40752</v>
      </c>
      <c r="E129" s="22" t="n">
        <f aca="false">E127+E126</f>
        <v>152.840904</v>
      </c>
      <c r="F129" s="22" t="n">
        <f aca="false">F127+F126</f>
        <v>194.26605936</v>
      </c>
      <c r="G129" s="22" t="n">
        <f aca="false">G127+G126</f>
        <v>227.89105824</v>
      </c>
      <c r="H129" s="24" t="n">
        <f aca="false">G129*(1+H130)</f>
        <v>257.226313072804</v>
      </c>
      <c r="I129" s="24" t="n">
        <f aca="false">H129*(1+I130)</f>
        <v>278.92655569709</v>
      </c>
      <c r="J129" s="24" t="n">
        <f aca="false">I129*(1+J130)</f>
        <v>290.083617924974</v>
      </c>
      <c r="K129" s="7" t="s">
        <v>515</v>
      </c>
    </row>
    <row r="130" customFormat="false" ht="15" hidden="false" customHeight="false" outlineLevel="0" collapsed="false">
      <c r="A130" s="3" t="s">
        <v>516</v>
      </c>
      <c r="B130" s="0" t="s">
        <v>49</v>
      </c>
      <c r="D130" s="17" t="n">
        <f aca="false">D129/C129-1</f>
        <v>0.756674888340778</v>
      </c>
      <c r="E130" s="17" t="n">
        <f aca="false">E129/D129-1</f>
        <v>0.45</v>
      </c>
      <c r="F130" s="17" t="n">
        <f aca="false">F129/E129-1</f>
        <v>0.271034482758621</v>
      </c>
      <c r="G130" s="17" t="n">
        <f aca="false">G129/F129-1</f>
        <v>0.173087357569181</v>
      </c>
      <c r="H130" s="25" t="n">
        <f aca="false">$G130+(fade_gB-$G130)*1/3</f>
        <v>0.12872490504612</v>
      </c>
      <c r="I130" s="25" t="n">
        <f aca="false">$G130+(fade_gB-$G130)*2/3</f>
        <v>0.0843624525230602</v>
      </c>
      <c r="J130" s="25" t="n">
        <f aca="false">$G130+(fade_gB-$G130)*3/3</f>
        <v>0.04</v>
      </c>
    </row>
    <row r="131" customFormat="false" ht="17.15" hidden="false" customHeight="false" outlineLevel="0" collapsed="false">
      <c r="A131" s="0" t="s">
        <v>517</v>
      </c>
      <c r="B131" s="0" t="s">
        <v>49</v>
      </c>
      <c r="C131" s="17" t="n">
        <f aca="false">C127/C129</f>
        <v>0.3</v>
      </c>
      <c r="D131" s="17" t="n">
        <f aca="false">D127/D129</f>
        <v>0.521823869871903</v>
      </c>
      <c r="E131" s="17" t="n">
        <f aca="false">E127/E129</f>
        <v>0.653734526458964</v>
      </c>
      <c r="F131" s="17" t="n">
        <f aca="false">F127/F129</f>
        <v>0.71939908587437</v>
      </c>
      <c r="G131" s="17" t="n">
        <f aca="false">G127/G129</f>
        <v>0.753625388864226</v>
      </c>
    </row>
    <row r="132" customFormat="false" ht="17.15" hidden="false" customHeight="false" outlineLevel="0" collapsed="false">
      <c r="A132" s="3" t="s">
        <v>518</v>
      </c>
      <c r="B132" s="0" t="s">
        <v>49</v>
      </c>
      <c r="D132" s="17" t="n">
        <f aca="false">(D122+D126)/D125</f>
        <v>1</v>
      </c>
      <c r="E132" s="17" t="n">
        <f aca="false">(E122+E126)/E125</f>
        <v>1.29875034099137</v>
      </c>
      <c r="F132" s="17" t="n">
        <f aca="false">(F122+F126)/F125</f>
        <v>1.07506839756468</v>
      </c>
      <c r="G132" s="17" t="n">
        <f aca="false">(G122+G126)/G125</f>
        <v>1.07501617842306</v>
      </c>
      <c r="K132" s="3" t="s">
        <v>519</v>
      </c>
    </row>
    <row r="133" customFormat="false" ht="17.15" hidden="false" customHeight="false" outlineLevel="0" collapsed="false">
      <c r="A133" s="3" t="s">
        <v>458</v>
      </c>
      <c r="B133" s="0" t="s">
        <v>90</v>
      </c>
      <c r="D133" s="21" t="n">
        <f aca="false">D127/fx/D111*1000</f>
        <v>73.4578604462223</v>
      </c>
      <c r="E133" s="21" t="n">
        <f aca="false">E127/fx/E111*1000</f>
        <v>74.9738410190283</v>
      </c>
      <c r="F133" s="21" t="n">
        <f aca="false">F127/fx/F111*1000</f>
        <v>103.408822959553</v>
      </c>
      <c r="G133" s="21" t="n">
        <f aca="false">G127/fx/G111*1000</f>
        <v>104.993073222002</v>
      </c>
    </row>
    <row r="134" customFormat="false" ht="17.15" hidden="false" customHeight="false" outlineLevel="0" collapsed="false">
      <c r="A134" s="5" t="s">
        <v>520</v>
      </c>
    </row>
    <row r="135" customFormat="false" ht="17.15" hidden="false" customHeight="false" outlineLevel="0" collapsed="false">
      <c r="A135" s="3" t="s">
        <v>521</v>
      </c>
      <c r="B135" s="0" t="s">
        <v>49</v>
      </c>
      <c r="D135" s="17" t="n">
        <f aca="false">a26_gp/D129-d_ai*D131</f>
        <v>0.296655205435058</v>
      </c>
      <c r="K135" s="7" t="s">
        <v>522</v>
      </c>
    </row>
    <row r="136" customFormat="false" ht="17.15" hidden="false" customHeight="false" outlineLevel="0" collapsed="false">
      <c r="A136" s="0" t="s">
        <v>523</v>
      </c>
      <c r="B136" s="0" t="s">
        <v>49</v>
      </c>
      <c r="D136" s="17" t="n">
        <f aca="false">D135+d_ai</f>
        <v>0.396655205435058</v>
      </c>
      <c r="E136" s="17" t="n">
        <f aca="false">1-(1-$D$136)/E118+gmu_27</f>
        <v>0.406655205435058</v>
      </c>
      <c r="F136" s="17" t="n">
        <f aca="false">1-(1-$D$136)/F118+gmu_28</f>
        <v>0.392995057149545</v>
      </c>
      <c r="G136" s="17" t="n">
        <f aca="false">1-(1-$D$136)/G118+gmu_29</f>
        <v>0.378143835569211</v>
      </c>
      <c r="K136" s="7" t="s">
        <v>524</v>
      </c>
    </row>
    <row r="137" customFormat="false" ht="15" hidden="false" customHeight="false" outlineLevel="0" collapsed="false">
      <c r="A137" s="3" t="s">
        <v>391</v>
      </c>
      <c r="B137" s="0" t="s">
        <v>184</v>
      </c>
      <c r="C137" s="22" t="n">
        <f aca="false">a25_gp</f>
        <v>19.683</v>
      </c>
      <c r="D137" s="22" t="n">
        <f aca="false">a26_gp</f>
        <v>36.7701055</v>
      </c>
      <c r="E137" s="22" t="n">
        <f aca="false">E127*E136+E126*$D$135</f>
        <v>56.331961135</v>
      </c>
      <c r="F137" s="22" t="n">
        <f aca="false">F127*F136+F126*$D$135</f>
        <v>71.0939969154807</v>
      </c>
      <c r="G137" s="22" t="n">
        <f aca="false">G127*G136+G126*$D$135</f>
        <v>81.6002917090796</v>
      </c>
    </row>
    <row r="138" customFormat="false" ht="15" hidden="false" customHeight="false" outlineLevel="0" collapsed="false">
      <c r="A138" s="3" t="s">
        <v>394</v>
      </c>
      <c r="B138" s="0" t="s">
        <v>49</v>
      </c>
      <c r="C138" s="17" t="n">
        <f aca="false">C137/C129</f>
        <v>0.328028131457903</v>
      </c>
      <c r="D138" s="17" t="n">
        <f aca="false">D137/D129</f>
        <v>0.348837592422248</v>
      </c>
      <c r="E138" s="17" t="n">
        <f aca="false">E137/E129</f>
        <v>0.368566003345544</v>
      </c>
      <c r="F138" s="17" t="n">
        <f aca="false">F137/F129</f>
        <v>0.365962006691732</v>
      </c>
      <c r="G138" s="17" t="n">
        <f aca="false">G137/G129</f>
        <v>0.358067106007922</v>
      </c>
    </row>
    <row r="139" customFormat="false" ht="15" hidden="false" customHeight="false" outlineLevel="0" collapsed="false">
      <c r="A139" s="3" t="s">
        <v>525</v>
      </c>
      <c r="B139" s="0" t="s">
        <v>184</v>
      </c>
      <c r="C139" s="22" t="n">
        <f aca="false">a25_opx</f>
        <v>5.64</v>
      </c>
      <c r="D139" s="22" t="n">
        <f aca="false">a26_opx</f>
        <v>8.4779754</v>
      </c>
      <c r="E139" s="22" t="n">
        <f aca="false">D139*(1+MAX(0,phi*E130))</f>
        <v>10.767028758</v>
      </c>
      <c r="F139" s="22" t="n">
        <f aca="false">E139*(1+MAX(0,phi*F130))</f>
        <v>12.517970400163</v>
      </c>
      <c r="G139" s="22" t="n">
        <f aca="false">F139*(1+MAX(0,phi*G130))</f>
        <v>13.8179918513791</v>
      </c>
    </row>
    <row r="140" customFormat="false" ht="15" hidden="false" customHeight="false" outlineLevel="0" collapsed="false">
      <c r="A140" s="3" t="s">
        <v>396</v>
      </c>
      <c r="B140" s="0" t="s">
        <v>184</v>
      </c>
      <c r="C140" s="22" t="n">
        <f aca="false">C139</f>
        <v>5.64</v>
      </c>
      <c r="D140" s="22" t="n">
        <f aca="false">D139</f>
        <v>8.4779754</v>
      </c>
      <c r="E140" s="22" t="n">
        <f aca="false">E139+0*E129</f>
        <v>10.767028758</v>
      </c>
      <c r="F140" s="22" t="n">
        <f aca="false">F139+0*F129</f>
        <v>12.517970400163</v>
      </c>
      <c r="G140" s="22" t="n">
        <f aca="false">G139+0*G129</f>
        <v>13.8179918513791</v>
      </c>
    </row>
    <row r="141" customFormat="false" ht="15" hidden="false" customHeight="false" outlineLevel="0" collapsed="false">
      <c r="A141" s="3" t="s">
        <v>526</v>
      </c>
      <c r="B141" s="0" t="s">
        <v>184</v>
      </c>
      <c r="C141" s="22" t="n">
        <f aca="false">C137-C140</f>
        <v>14.043</v>
      </c>
      <c r="D141" s="22" t="n">
        <f aca="false">D137-D140</f>
        <v>28.2921301</v>
      </c>
      <c r="E141" s="22" t="n">
        <f aca="false">E137-E140</f>
        <v>45.564932377</v>
      </c>
      <c r="F141" s="22" t="n">
        <f aca="false">F137-F140</f>
        <v>58.5760265153177</v>
      </c>
      <c r="G141" s="22" t="n">
        <f aca="false">G137-G140</f>
        <v>67.7822998577005</v>
      </c>
    </row>
    <row r="142" customFormat="false" ht="15" hidden="false" customHeight="false" outlineLevel="0" collapsed="false">
      <c r="A142" s="3" t="s">
        <v>402</v>
      </c>
      <c r="B142" s="0" t="s">
        <v>49</v>
      </c>
      <c r="C142" s="17" t="n">
        <f aca="false">C141/C129</f>
        <v>0.23403439770682</v>
      </c>
      <c r="D142" s="17" t="n">
        <f aca="false">D141/D129</f>
        <v>0.268407131673338</v>
      </c>
      <c r="E142" s="17" t="n">
        <f aca="false">E141/E129</f>
        <v>0.298120013586154</v>
      </c>
      <c r="F142" s="17" t="n">
        <f aca="false">F141/F129</f>
        <v>0.301524757892828</v>
      </c>
      <c r="G142" s="17" t="n">
        <f aca="false">G141/G129</f>
        <v>0.297432906675595</v>
      </c>
    </row>
    <row r="143" customFormat="false" ht="17.15" hidden="false" customHeight="false" outlineLevel="0" collapsed="false">
      <c r="A143" s="3" t="s">
        <v>403</v>
      </c>
      <c r="B143" s="0" t="s">
        <v>184</v>
      </c>
      <c r="E143" s="22" t="n">
        <f aca="false">nop_f</f>
        <v>0</v>
      </c>
      <c r="F143" s="22" t="n">
        <f aca="false">nop_f</f>
        <v>0</v>
      </c>
      <c r="G143" s="22" t="n">
        <f aca="false">nop_f</f>
        <v>0</v>
      </c>
      <c r="K143" s="7" t="s">
        <v>527</v>
      </c>
    </row>
    <row r="144" customFormat="false" ht="15" hidden="false" customHeight="false" outlineLevel="0" collapsed="false">
      <c r="A144" s="3" t="s">
        <v>408</v>
      </c>
      <c r="B144" s="0" t="s">
        <v>184</v>
      </c>
      <c r="C144" s="22" t="n">
        <f aca="false">a25_ni</f>
        <v>9.607</v>
      </c>
      <c r="D144" s="22" t="n">
        <f aca="false">a26_ni</f>
        <v>19.6977289395284</v>
      </c>
      <c r="E144" s="22" t="n">
        <f aca="false">(E141+E143)*nir_f</f>
        <v>31.211978678245</v>
      </c>
      <c r="F144" s="22" t="n">
        <f aca="false">(F141+F143)*nir_f</f>
        <v>40.1245781629926</v>
      </c>
      <c r="G144" s="22" t="n">
        <f aca="false">(G141+G143)*nir_f</f>
        <v>46.4308754025249</v>
      </c>
      <c r="H144" s="24" t="n">
        <f aca="false">H129*H149</f>
        <v>49.0696162995125</v>
      </c>
      <c r="I144" s="24" t="n">
        <f aca="false">I129*I149</f>
        <v>49.5895726459613</v>
      </c>
      <c r="J144" s="24" t="n">
        <f aca="false">J129*J149</f>
        <v>47.8086916496984</v>
      </c>
    </row>
    <row r="145" customFormat="false" ht="17.15" hidden="false" customHeight="false" outlineLevel="0" collapsed="false">
      <c r="A145" s="3" t="s">
        <v>411</v>
      </c>
      <c r="B145" s="0" t="s">
        <v>49</v>
      </c>
      <c r="C145" s="17" t="n">
        <f aca="false">C144/C141</f>
        <v>0.684113081250445</v>
      </c>
      <c r="D145" s="17" t="n">
        <f aca="false">D144/D141</f>
        <v>0.696226437171953</v>
      </c>
      <c r="E145" s="17" t="n">
        <f aca="false">E144/E141</f>
        <v>0.685</v>
      </c>
      <c r="F145" s="17" t="n">
        <f aca="false">F144/F141</f>
        <v>0.685</v>
      </c>
      <c r="G145" s="17" t="n">
        <f aca="false">G144/G141</f>
        <v>0.685</v>
      </c>
    </row>
    <row r="146" customFormat="false" ht="17.15" hidden="false" customHeight="false" outlineLevel="0" collapsed="false">
      <c r="A146" s="3" t="s">
        <v>528</v>
      </c>
      <c r="B146" s="3" t="s">
        <v>214</v>
      </c>
      <c r="C146" s="27" t="n">
        <f aca="false">a25_sh</f>
        <v>0.493425783256292</v>
      </c>
      <c r="D146" s="27" t="n">
        <f aca="false">a26_sh</f>
        <v>0.512980850061958</v>
      </c>
      <c r="E146" s="27" t="n">
        <f aca="false">sh_h2*(1+sh_g)</f>
        <v>0.51889356</v>
      </c>
      <c r="F146" s="27" t="n">
        <f aca="false">E146*(1+sh_g)</f>
        <v>0.5240824956</v>
      </c>
      <c r="G146" s="27" t="n">
        <f aca="false">F146*(1+sh_g)</f>
        <v>0.529323320556</v>
      </c>
      <c r="H146" s="28" t="n">
        <f aca="false">G146*(1+sh_g)</f>
        <v>0.53461655376156</v>
      </c>
      <c r="I146" s="28" t="n">
        <f aca="false">H146*(1+sh_g)</f>
        <v>0.539962719299176</v>
      </c>
      <c r="J146" s="28" t="n">
        <f aca="false">I146*(1+sh_g)</f>
        <v>0.545362346492167</v>
      </c>
      <c r="K146" s="7" t="s">
        <v>529</v>
      </c>
    </row>
    <row r="147" customFormat="false" ht="15" hidden="false" customHeight="false" outlineLevel="0" collapsed="false">
      <c r="A147" s="0" t="s">
        <v>414</v>
      </c>
      <c r="B147" s="0" t="s">
        <v>252</v>
      </c>
      <c r="C147" s="23" t="n">
        <f aca="false">C144/C146</f>
        <v>19.47</v>
      </c>
      <c r="D147" s="23" t="n">
        <f aca="false">D144/D146</f>
        <v>38.3985658278458</v>
      </c>
      <c r="E147" s="23" t="n">
        <f aca="false">E144/E146</f>
        <v>60.1510234165269</v>
      </c>
      <c r="F147" s="23" t="n">
        <f aca="false">F144/F146</f>
        <v>76.5615690275167</v>
      </c>
      <c r="G147" s="23" t="n">
        <f aca="false">G144/G146</f>
        <v>87.7174188240072</v>
      </c>
      <c r="H147" s="29" t="n">
        <f aca="false">H144/H146</f>
        <v>91.7846930744266</v>
      </c>
      <c r="I147" s="29" t="n">
        <f aca="false">I144/I146</f>
        <v>91.8388823404776</v>
      </c>
      <c r="J147" s="29" t="n">
        <f aca="false">J144/J146</f>
        <v>87.664086010355</v>
      </c>
    </row>
    <row r="148" customFormat="false" ht="17.15" hidden="false" customHeight="false" outlineLevel="0" collapsed="false">
      <c r="A148" s="0" t="s">
        <v>530</v>
      </c>
      <c r="B148" s="0" t="s">
        <v>49</v>
      </c>
      <c r="D148" s="17" t="n">
        <f aca="false">D147/C147-1</f>
        <v>0.9721913624985</v>
      </c>
      <c r="E148" s="17" t="n">
        <f aca="false">E147/D147-1</f>
        <v>0.566491407158407</v>
      </c>
      <c r="F148" s="17" t="n">
        <f aca="false">F147/E147-1</f>
        <v>0.272822384040783</v>
      </c>
      <c r="G148" s="17" t="n">
        <f aca="false">G147/F147-1</f>
        <v>0.145710830357735</v>
      </c>
      <c r="H148" s="25" t="n">
        <f aca="false">H147/G147-1</f>
        <v>0.0463679199063061</v>
      </c>
      <c r="I148" s="25" t="n">
        <f aca="false">I147/H147-1</f>
        <v>0.000590395459589166</v>
      </c>
      <c r="J148" s="25" t="n">
        <f aca="false">J147/I147-1</f>
        <v>-0.0454578303190271</v>
      </c>
    </row>
    <row r="149" customFormat="false" ht="17.15" hidden="false" customHeight="false" outlineLevel="0" collapsed="false">
      <c r="A149" s="3" t="s">
        <v>531</v>
      </c>
      <c r="B149" s="0" t="s">
        <v>49</v>
      </c>
      <c r="C149" s="17" t="n">
        <f aca="false">C144/C129</f>
        <v>0.160105992933804</v>
      </c>
      <c r="D149" s="17" t="n">
        <f aca="false">D144/D129</f>
        <v>0.186872140996471</v>
      </c>
      <c r="E149" s="17" t="n">
        <f aca="false">E144/E129</f>
        <v>0.204212209306515</v>
      </c>
      <c r="F149" s="17" t="n">
        <f aca="false">F144/F129</f>
        <v>0.206544459156587</v>
      </c>
      <c r="G149" s="17" t="n">
        <f aca="false">G144/G129</f>
        <v>0.203741541072783</v>
      </c>
      <c r="H149" s="25" t="n">
        <f aca="false">$G149+(fade_mB-$G149)*1/3</f>
        <v>0.190764372872009</v>
      </c>
      <c r="I149" s="25" t="n">
        <f aca="false">$G149+(fade_mB-$G149)*2/3</f>
        <v>0.177787204671235</v>
      </c>
      <c r="J149" s="25" t="n">
        <f aca="false">$G149+(fade_mB-$G149)*3/3</f>
        <v>0.164810036470462</v>
      </c>
    </row>
    <row r="152" customFormat="false" ht="17.15" hidden="false" customHeight="false" outlineLevel="0" collapsed="false">
      <c r="A152" s="1" t="s">
        <v>533</v>
      </c>
    </row>
    <row r="153" customFormat="false" ht="17.15" hidden="false" customHeight="false" outlineLevel="0" collapsed="false">
      <c r="A153" s="4" t="s">
        <v>18</v>
      </c>
      <c r="B153" s="4" t="s">
        <v>19</v>
      </c>
      <c r="C153" s="14" t="s">
        <v>382</v>
      </c>
      <c r="D153" s="14" t="s">
        <v>472</v>
      </c>
      <c r="E153" s="14" t="s">
        <v>473</v>
      </c>
      <c r="F153" s="14" t="s">
        <v>474</v>
      </c>
      <c r="G153" s="14" t="s">
        <v>475</v>
      </c>
      <c r="H153" s="14" t="s">
        <v>476</v>
      </c>
      <c r="I153" s="14" t="s">
        <v>477</v>
      </c>
      <c r="J153" s="14" t="s">
        <v>478</v>
      </c>
      <c r="K153" s="4" t="s">
        <v>436</v>
      </c>
    </row>
    <row r="154" customFormat="false" ht="17.15" hidden="false" customHeight="false" outlineLevel="0" collapsed="false">
      <c r="A154" s="5" t="s">
        <v>494</v>
      </c>
    </row>
    <row r="155" customFormat="false" ht="17.15" hidden="false" customHeight="false" outlineLevel="0" collapsed="false">
      <c r="A155" s="0" t="s">
        <v>495</v>
      </c>
      <c r="B155" s="0" t="s">
        <v>29</v>
      </c>
      <c r="D155" s="23" t="n">
        <f aca="false">itc_26*1</f>
        <v>781.872916666667</v>
      </c>
      <c r="E155" s="23" t="n">
        <f aca="false">itc_27*1*1</f>
        <v>1565.35</v>
      </c>
      <c r="F155" s="23" t="n">
        <f aca="false">itc_28*um28_C*1</f>
        <v>1190.55833333333</v>
      </c>
      <c r="G155" s="23" t="n">
        <f aca="false">itc_29*um29_C*1</f>
        <v>1356.23416666667</v>
      </c>
    </row>
    <row r="156" customFormat="false" ht="17.15" hidden="false" customHeight="false" outlineLevel="0" collapsed="false">
      <c r="A156" s="3" t="s">
        <v>496</v>
      </c>
      <c r="B156" s="0" t="s">
        <v>29</v>
      </c>
      <c r="D156" s="23" t="n">
        <f aca="false">itpg_gb*(1-vr26)+itpg_vr*vr26</f>
        <v>33.41403216</v>
      </c>
      <c r="E156" s="23" t="n">
        <f aca="false">itpg_vr</f>
        <v>37.586352</v>
      </c>
      <c r="F156" s="23" t="n">
        <f aca="false">itpg_vr</f>
        <v>37.586352</v>
      </c>
      <c r="G156" s="23" t="n">
        <f aca="false">itpg_vr</f>
        <v>37.586352</v>
      </c>
    </row>
    <row r="157" customFormat="false" ht="17.15" hidden="false" customHeight="false" outlineLevel="0" collapsed="false">
      <c r="A157" s="3" t="s">
        <v>497</v>
      </c>
      <c r="B157" s="0" t="s">
        <v>438</v>
      </c>
      <c r="D157" s="20" t="n">
        <f aca="false">D155/D156</f>
        <v>23.3995380420639</v>
      </c>
      <c r="E157" s="20" t="n">
        <f aca="false">E155/E156</f>
        <v>41.6467658260637</v>
      </c>
      <c r="F157" s="20" t="n">
        <f aca="false">F155/F156</f>
        <v>31.6752829147488</v>
      </c>
      <c r="G157" s="20" t="n">
        <f aca="false">G155/G156</f>
        <v>36.0831550416669</v>
      </c>
    </row>
    <row r="158" customFormat="false" ht="17.15" hidden="false" customHeight="false" outlineLevel="0" collapsed="false">
      <c r="A158" s="3" t="s">
        <v>442</v>
      </c>
      <c r="B158" s="0" t="s">
        <v>90</v>
      </c>
      <c r="D158" s="21" t="n">
        <f aca="false">vg_cmp26</f>
        <v>280</v>
      </c>
      <c r="E158" s="21" t="n">
        <f aca="false">(vg_cmp26+(vg_cmp27-vg_cmp26)*pgwf)</f>
        <v>420</v>
      </c>
      <c r="F158" s="21" t="n">
        <f aca="false">(vg_cmp26+(vg_cmp28-vg_cmp26)*pgwf)</f>
        <v>462</v>
      </c>
      <c r="G158" s="21" t="n">
        <f aca="false">(vg_cmp26+(vg_cmp29-vg_cmp26)*pgwf)</f>
        <v>504</v>
      </c>
    </row>
    <row r="159" customFormat="false" ht="17.15" hidden="false" customHeight="false" outlineLevel="0" collapsed="false">
      <c r="A159" s="3" t="s">
        <v>444</v>
      </c>
      <c r="B159" s="0" t="s">
        <v>90</v>
      </c>
      <c r="D159" s="21" t="n">
        <f aca="false">vg_sw26</f>
        <v>120</v>
      </c>
      <c r="E159" s="21" t="n">
        <f aca="false">(vg_sw26+(vg_sw27-vg_sw26)*pgwf)</f>
        <v>162</v>
      </c>
      <c r="F159" s="21" t="n">
        <f aca="false">(vg_sw26+(vg_sw28-vg_sw26)*pgwf)</f>
        <v>180</v>
      </c>
      <c r="G159" s="21" t="n">
        <f aca="false">(vg_sw26+(vg_sw29-vg_sw26)*pgwf)</f>
        <v>198</v>
      </c>
    </row>
    <row r="160" customFormat="false" ht="17.15" hidden="false" customHeight="false" outlineLevel="0" collapsed="false">
      <c r="A160" s="3" t="s">
        <v>498</v>
      </c>
      <c r="B160" s="0" t="s">
        <v>90</v>
      </c>
      <c r="D160" s="21" t="n">
        <f aca="false">vg_mid26*w_mid</f>
        <v>25</v>
      </c>
      <c r="E160" s="21" t="n">
        <f aca="false">(vg_mid26+(vg_mid27-vg_mid26)*pgwf)*w_mid</f>
        <v>50</v>
      </c>
      <c r="F160" s="21" t="n">
        <f aca="false">(vg_mid26+(vg_mid28-vg_mid26)*pgwf)*w_mid</f>
        <v>75</v>
      </c>
      <c r="G160" s="21" t="n">
        <f aca="false">(vg_mid26+(vg_mid29-vg_mid26)*pgwf)*w_mid</f>
        <v>87.5</v>
      </c>
    </row>
    <row r="161" customFormat="false" ht="17.15" hidden="false" customHeight="false" outlineLevel="0" collapsed="false">
      <c r="A161" s="3" t="s">
        <v>499</v>
      </c>
      <c r="B161" s="0" t="s">
        <v>90</v>
      </c>
      <c r="D161" s="21" t="n">
        <f aca="false">D158+D159+D160</f>
        <v>425</v>
      </c>
      <c r="E161" s="21" t="n">
        <f aca="false">E158+E159+E160</f>
        <v>632</v>
      </c>
      <c r="F161" s="21" t="n">
        <f aca="false">F158+F159+F160</f>
        <v>717</v>
      </c>
      <c r="G161" s="21" t="n">
        <f aca="false">G158+G159+G160</f>
        <v>789.5</v>
      </c>
    </row>
    <row r="162" customFormat="false" ht="17.15" hidden="false" customHeight="false" outlineLevel="0" collapsed="false">
      <c r="A162" s="3" t="s">
        <v>500</v>
      </c>
      <c r="B162" s="0" t="s">
        <v>29</v>
      </c>
      <c r="D162" s="23" t="n">
        <f aca="false">D157*D161/1000</f>
        <v>9.94480366787716</v>
      </c>
      <c r="E162" s="23" t="n">
        <f aca="false">E157*E161/1000</f>
        <v>26.3207560020722</v>
      </c>
      <c r="F162" s="23" t="n">
        <f aca="false">F157*F161/1000</f>
        <v>22.7111778498749</v>
      </c>
      <c r="G162" s="23" t="n">
        <f aca="false">G157*G161/1000</f>
        <v>28.487650905396</v>
      </c>
    </row>
    <row r="163" customFormat="false" ht="17.15" hidden="false" customHeight="false" outlineLevel="0" collapsed="false">
      <c r="A163" s="3" t="s">
        <v>501</v>
      </c>
      <c r="B163" s="0" t="s">
        <v>184</v>
      </c>
      <c r="D163" s="22" t="n">
        <f aca="false">D162*fx</f>
        <v>318.233717372069</v>
      </c>
      <c r="E163" s="22" t="n">
        <f aca="false">E162*fx</f>
        <v>842.264192066312</v>
      </c>
      <c r="F163" s="22" t="n">
        <f aca="false">F162*fx</f>
        <v>726.757691195996</v>
      </c>
      <c r="G163" s="22" t="n">
        <f aca="false">G162*fx</f>
        <v>911.604828972673</v>
      </c>
    </row>
    <row r="164" customFormat="false" ht="17.15" hidden="false" customHeight="false" outlineLevel="0" collapsed="false">
      <c r="A164" s="0" t="s">
        <v>502</v>
      </c>
      <c r="B164" s="0" t="s">
        <v>63</v>
      </c>
      <c r="D164" s="18" t="n">
        <f aca="false">1</f>
        <v>1</v>
      </c>
      <c r="E164" s="18" t="n">
        <f aca="false">PPLO_27</f>
        <v>0.96</v>
      </c>
      <c r="F164" s="18" t="n">
        <f aca="false">PPLO_28</f>
        <v>0.92</v>
      </c>
      <c r="G164" s="18" t="n">
        <f aca="false">PPLO_29</f>
        <v>0.88</v>
      </c>
    </row>
    <row r="165" customFormat="false" ht="17.15" hidden="false" customHeight="false" outlineLevel="0" collapsed="false">
      <c r="A165" s="3" t="s">
        <v>503</v>
      </c>
      <c r="B165" s="0" t="s">
        <v>49</v>
      </c>
      <c r="D165" s="17" t="n">
        <f aca="false">a26_ai/D163</f>
        <v>0.172842024579347</v>
      </c>
      <c r="K165" s="7" t="s">
        <v>504</v>
      </c>
    </row>
    <row r="166" customFormat="false" ht="17.15" hidden="false" customHeight="false" outlineLevel="0" collapsed="false">
      <c r="A166" s="3" t="s">
        <v>505</v>
      </c>
      <c r="B166" s="0" t="s">
        <v>63</v>
      </c>
      <c r="D166" s="18" t="n">
        <f aca="false">1</f>
        <v>1</v>
      </c>
      <c r="E166" s="18" t="n">
        <f aca="false">RLO_27</f>
        <v>0.85</v>
      </c>
      <c r="F166" s="18" t="n">
        <f aca="false">RLO_28</f>
        <v>0.75</v>
      </c>
      <c r="G166" s="18" t="n">
        <f aca="false">RLO_29</f>
        <v>0.7</v>
      </c>
    </row>
    <row r="167" customFormat="false" ht="15" hidden="false" customHeight="false" outlineLevel="0" collapsed="false">
      <c r="A167" s="3" t="s">
        <v>454</v>
      </c>
      <c r="B167" s="0" t="s">
        <v>49</v>
      </c>
      <c r="D167" s="17" t="n">
        <f aca="false">$D$165*D166</f>
        <v>0.172842024579347</v>
      </c>
      <c r="E167" s="17" t="n">
        <f aca="false">$D$165*E166</f>
        <v>0.146915720892445</v>
      </c>
      <c r="F167" s="17" t="n">
        <f aca="false">$D$165*F166</f>
        <v>0.12963151843451</v>
      </c>
      <c r="G167" s="17" t="n">
        <f aca="false">$D$165*G166</f>
        <v>0.120989417205543</v>
      </c>
    </row>
    <row r="168" customFormat="false" ht="17.15" hidden="false" customHeight="false" outlineLevel="0" collapsed="false">
      <c r="A168" s="0" t="s">
        <v>506</v>
      </c>
      <c r="B168" s="0" t="s">
        <v>184</v>
      </c>
      <c r="D168" s="22" t="n">
        <f aca="false">D163*D167*D164</f>
        <v>55.00416</v>
      </c>
      <c r="E168" s="22" t="n">
        <f aca="false">E163*E167*E164</f>
        <v>118.792176920942</v>
      </c>
      <c r="F168" s="22" t="n">
        <f aca="false">F163*F167*F164</f>
        <v>86.6738468002</v>
      </c>
      <c r="G168" s="22" t="n">
        <f aca="false">G163*G167*G164</f>
        <v>97.0591925416626</v>
      </c>
    </row>
    <row r="169" customFormat="false" ht="17.15" hidden="false" customHeight="false" outlineLevel="0" collapsed="false">
      <c r="A169" s="5" t="s">
        <v>507</v>
      </c>
    </row>
    <row r="170" customFormat="false" ht="17.15" hidden="false" customHeight="false" outlineLevel="0" collapsed="false">
      <c r="A170" s="3" t="s">
        <v>508</v>
      </c>
      <c r="B170" s="0" t="s">
        <v>63</v>
      </c>
      <c r="D170" s="18" t="n">
        <f aca="false">1</f>
        <v>1</v>
      </c>
      <c r="E170" s="18" t="n">
        <f aca="false">cx_27</f>
        <v>1.45</v>
      </c>
      <c r="F170" s="18" t="n">
        <f aca="false">cx_28</f>
        <v>1.9</v>
      </c>
      <c r="G170" s="18" t="n">
        <f aca="false">cx_29</f>
        <v>2.3</v>
      </c>
      <c r="K170" s="7" t="s">
        <v>509</v>
      </c>
    </row>
    <row r="171" customFormat="false" ht="17.15" hidden="false" customHeight="false" outlineLevel="0" collapsed="false">
      <c r="A171" s="3" t="s">
        <v>510</v>
      </c>
      <c r="B171" s="0" t="s">
        <v>184</v>
      </c>
      <c r="D171" s="22" t="n">
        <f aca="false">a26_rev*D170*D164</f>
        <v>105.40752</v>
      </c>
      <c r="E171" s="22" t="n">
        <f aca="false">a26_rev*E170*E164</f>
        <v>146.72726784</v>
      </c>
      <c r="F171" s="22" t="n">
        <f aca="false">a26_rev*F170*F164</f>
        <v>184.25234496</v>
      </c>
      <c r="G171" s="22" t="n">
        <f aca="false">a26_rev*G170*G164</f>
        <v>213.34482048</v>
      </c>
    </row>
    <row r="172" customFormat="false" ht="17.15" hidden="false" customHeight="false" outlineLevel="0" collapsed="false">
      <c r="A172" s="3" t="s">
        <v>511</v>
      </c>
      <c r="B172" s="0" t="s">
        <v>184</v>
      </c>
      <c r="C172" s="22" t="n">
        <f aca="false">a25_nai</f>
        <v>42.0028</v>
      </c>
      <c r="D172" s="22" t="n">
        <f aca="false">a26_nai</f>
        <v>50.40336</v>
      </c>
      <c r="E172" s="22" t="n">
        <f aca="false">D172*(1+g_nai27)</f>
        <v>52.923528</v>
      </c>
      <c r="F172" s="22" t="n">
        <f aca="false">E172*(1+g_nai28)</f>
        <v>54.51123384</v>
      </c>
      <c r="G172" s="22" t="n">
        <f aca="false">F172*(1+g_nai29)</f>
        <v>56.1465708552</v>
      </c>
    </row>
    <row r="173" customFormat="false" ht="17.15" hidden="false" customHeight="false" outlineLevel="0" collapsed="false">
      <c r="A173" s="0" t="s">
        <v>512</v>
      </c>
      <c r="B173" s="0" t="s">
        <v>184</v>
      </c>
      <c r="C173" s="22" t="n">
        <f aca="false">a25_ai</f>
        <v>18.0012</v>
      </c>
      <c r="D173" s="22" t="n">
        <f aca="false">D168</f>
        <v>55.00416</v>
      </c>
      <c r="E173" s="22" t="n">
        <f aca="false">MIN(E168,E171-E172)</f>
        <v>93.80373984</v>
      </c>
      <c r="F173" s="22" t="n">
        <f aca="false">MIN(F168,F171-F172)</f>
        <v>86.6738468002</v>
      </c>
      <c r="G173" s="22" t="n">
        <f aca="false">MIN(G168,G171-G172)</f>
        <v>97.0591925416626</v>
      </c>
      <c r="K173" s="3" t="s">
        <v>513</v>
      </c>
    </row>
    <row r="174" customFormat="false" ht="15" hidden="false" customHeight="false" outlineLevel="0" collapsed="false">
      <c r="A174" s="3" t="s">
        <v>514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387</v>
      </c>
      <c r="B175" s="0" t="s">
        <v>184</v>
      </c>
      <c r="C175" s="22" t="n">
        <f aca="false">C173+C172</f>
        <v>60.004</v>
      </c>
      <c r="D175" s="22" t="n">
        <f aca="false">D173+D172</f>
        <v>105.40752</v>
      </c>
      <c r="E175" s="22" t="n">
        <f aca="false">E173+E172</f>
        <v>146.72726784</v>
      </c>
      <c r="F175" s="22" t="n">
        <f aca="false">F173+F172</f>
        <v>141.1850806402</v>
      </c>
      <c r="G175" s="22" t="n">
        <f aca="false">G173+G172</f>
        <v>153.205763396863</v>
      </c>
      <c r="H175" s="24" t="n">
        <f aca="false">G175*(1+H176)</f>
        <v>162.9232281108</v>
      </c>
      <c r="I175" s="24" t="n">
        <f aca="false">H175*(1+I176)</f>
        <v>169.719370190681</v>
      </c>
      <c r="J175" s="24" t="n">
        <f aca="false">I175*(1+J176)</f>
        <v>173.113757594494</v>
      </c>
      <c r="K175" s="7" t="s">
        <v>515</v>
      </c>
    </row>
    <row r="176" customFormat="false" ht="15" hidden="false" customHeight="false" outlineLevel="0" collapsed="false">
      <c r="A176" s="3" t="s">
        <v>516</v>
      </c>
      <c r="B176" s="0" t="s">
        <v>49</v>
      </c>
      <c r="D176" s="17" t="n">
        <f aca="false">D175/C175-1</f>
        <v>0.756674888340778</v>
      </c>
      <c r="E176" s="17" t="n">
        <f aca="false">E175/D175-1</f>
        <v>0.392</v>
      </c>
      <c r="F176" s="17" t="n">
        <f aca="false">F175/E175-1</f>
        <v>-0.0377720329791973</v>
      </c>
      <c r="G176" s="17" t="n">
        <f aca="false">G175/F175-1</f>
        <v>0.0851413102726941</v>
      </c>
      <c r="H176" s="25" t="n">
        <f aca="false">$G176+(fade_gC-$G176)*1/3</f>
        <v>0.0634275401817961</v>
      </c>
      <c r="I176" s="25" t="n">
        <f aca="false">$G176+(fade_gC-$G176)*2/3</f>
        <v>0.041713770090898</v>
      </c>
      <c r="J176" s="25" t="n">
        <f aca="false">$G176+(fade_gC-$G176)*3/3</f>
        <v>0.02</v>
      </c>
    </row>
    <row r="177" customFormat="false" ht="17.15" hidden="false" customHeight="false" outlineLevel="0" collapsed="false">
      <c r="A177" s="0" t="s">
        <v>517</v>
      </c>
      <c r="B177" s="0" t="s">
        <v>49</v>
      </c>
      <c r="C177" s="17" t="n">
        <f aca="false">C173/C175</f>
        <v>0.3</v>
      </c>
      <c r="D177" s="17" t="n">
        <f aca="false">D173/D175</f>
        <v>0.521823869871903</v>
      </c>
      <c r="E177" s="17" t="n">
        <f aca="false">E173/E175</f>
        <v>0.639306798394754</v>
      </c>
      <c r="F177" s="17" t="n">
        <f aca="false">F173/F175</f>
        <v>0.613902307575133</v>
      </c>
      <c r="G177" s="17" t="n">
        <f aca="false">G173/G175</f>
        <v>0.633521810078655</v>
      </c>
    </row>
    <row r="178" customFormat="false" ht="17.15" hidden="false" customHeight="false" outlineLevel="0" collapsed="false">
      <c r="A178" s="3" t="s">
        <v>518</v>
      </c>
      <c r="B178" s="0" t="s">
        <v>49</v>
      </c>
      <c r="D178" s="17" t="n">
        <f aca="false">(D168+D172)/D171</f>
        <v>1</v>
      </c>
      <c r="E178" s="17" t="n">
        <f aca="false">(E168+E172)/E171</f>
        <v>1.17030533893803</v>
      </c>
      <c r="F178" s="17" t="n">
        <f aca="false">(F168+F172)/F171</f>
        <v>0.766259342158442</v>
      </c>
      <c r="G178" s="17" t="n">
        <f aca="false">(G168+G172)/G171</f>
        <v>0.718113348391436</v>
      </c>
      <c r="K178" s="3" t="s">
        <v>519</v>
      </c>
    </row>
    <row r="179" customFormat="false" ht="17.15" hidden="false" customHeight="false" outlineLevel="0" collapsed="false">
      <c r="A179" s="3" t="s">
        <v>458</v>
      </c>
      <c r="B179" s="0" t="s">
        <v>90</v>
      </c>
      <c r="D179" s="21" t="n">
        <f aca="false">D173/fx/D157*1000</f>
        <v>73.4578604462223</v>
      </c>
      <c r="E179" s="21" t="n">
        <f aca="false">E173/fx/E157*1000</f>
        <v>70.3864228555647</v>
      </c>
      <c r="F179" s="21" t="n">
        <f aca="false">F173/fx/F157*1000</f>
        <v>85.5101348201401</v>
      </c>
      <c r="G179" s="21" t="n">
        <f aca="false">G173/fx/G157*1000</f>
        <v>84.0586074977228</v>
      </c>
    </row>
    <row r="180" customFormat="false" ht="17.15" hidden="false" customHeight="false" outlineLevel="0" collapsed="false">
      <c r="A180" s="5" t="s">
        <v>520</v>
      </c>
    </row>
    <row r="181" customFormat="false" ht="17.15" hidden="false" customHeight="false" outlineLevel="0" collapsed="false">
      <c r="A181" s="3" t="s">
        <v>521</v>
      </c>
      <c r="B181" s="0" t="s">
        <v>49</v>
      </c>
      <c r="D181" s="17" t="n">
        <f aca="false">a26_gp/D175-d_ai*D177</f>
        <v>0.296655205435058</v>
      </c>
      <c r="K181" s="7" t="s">
        <v>522</v>
      </c>
    </row>
    <row r="182" customFormat="false" ht="17.15" hidden="false" customHeight="false" outlineLevel="0" collapsed="false">
      <c r="A182" s="0" t="s">
        <v>523</v>
      </c>
      <c r="B182" s="0" t="s">
        <v>49</v>
      </c>
      <c r="D182" s="17" t="n">
        <f aca="false">D181+d_ai</f>
        <v>0.396655205435058</v>
      </c>
      <c r="E182" s="17" t="n">
        <f aca="false">1-(1-$D$182)/E164+GULO_27</f>
        <v>0.361515838994852</v>
      </c>
      <c r="F182" s="17" t="n">
        <f aca="false">1-(1-$D$182)/F164+GULO_28</f>
        <v>0.334190440690281</v>
      </c>
      <c r="G182" s="17" t="n">
        <f aca="false">1-(1-$D$182)/G164+GULO_29</f>
        <v>0.304380915267112</v>
      </c>
      <c r="K182" s="7" t="s">
        <v>524</v>
      </c>
    </row>
    <row r="183" customFormat="false" ht="15" hidden="false" customHeight="false" outlineLevel="0" collapsed="false">
      <c r="A183" s="3" t="s">
        <v>391</v>
      </c>
      <c r="B183" s="0" t="s">
        <v>184</v>
      </c>
      <c r="C183" s="22" t="n">
        <f aca="false">a25_gp</f>
        <v>19.683</v>
      </c>
      <c r="D183" s="22" t="n">
        <f aca="false">a26_gp</f>
        <v>36.7701055</v>
      </c>
      <c r="E183" s="22" t="n">
        <f aca="false">E173*E182+E172*$D$181</f>
        <v>49.6115777803005</v>
      </c>
      <c r="F183" s="22" t="n">
        <f aca="false">F173*F182+F172*$D$181</f>
        <v>45.1366123318044</v>
      </c>
      <c r="G183" s="22" t="n">
        <f aca="false">G173*G182+G172*$D$181</f>
        <v>46.1991383724415</v>
      </c>
    </row>
    <row r="184" customFormat="false" ht="15" hidden="false" customHeight="false" outlineLevel="0" collapsed="false">
      <c r="A184" s="3" t="s">
        <v>394</v>
      </c>
      <c r="B184" s="0" t="s">
        <v>49</v>
      </c>
      <c r="C184" s="17" t="n">
        <f aca="false">C183/C175</f>
        <v>0.328028131457903</v>
      </c>
      <c r="D184" s="17" t="n">
        <f aca="false">D183/D175</f>
        <v>0.348837592422248</v>
      </c>
      <c r="E184" s="17" t="n">
        <f aca="false">E183/E175</f>
        <v>0.338121049418025</v>
      </c>
      <c r="F184" s="17" t="n">
        <f aca="false">F183/F175</f>
        <v>0.319698172973615</v>
      </c>
      <c r="G184" s="17" t="n">
        <f aca="false">G183/G175</f>
        <v>0.301549611112003</v>
      </c>
    </row>
    <row r="185" customFormat="false" ht="15" hidden="false" customHeight="false" outlineLevel="0" collapsed="false">
      <c r="A185" s="3" t="s">
        <v>525</v>
      </c>
      <c r="B185" s="0" t="s">
        <v>184</v>
      </c>
      <c r="C185" s="22" t="n">
        <f aca="false">a25_opx</f>
        <v>5.64</v>
      </c>
      <c r="D185" s="22" t="n">
        <f aca="false">a26_opx</f>
        <v>8.4779754</v>
      </c>
      <c r="E185" s="22" t="n">
        <f aca="false">D185*(1+MAX(0,phi*E176))</f>
        <v>10.47199521408</v>
      </c>
      <c r="F185" s="22" t="n">
        <f aca="false">E185*(1+MAX(0,phi*F176))</f>
        <v>10.47199521408</v>
      </c>
      <c r="G185" s="22" t="n">
        <f aca="false">F185*(1+MAX(0,phi*G176))</f>
        <v>11.0069548502977</v>
      </c>
    </row>
    <row r="186" customFormat="false" ht="15" hidden="false" customHeight="false" outlineLevel="0" collapsed="false">
      <c r="A186" s="3" t="s">
        <v>396</v>
      </c>
      <c r="B186" s="0" t="s">
        <v>184</v>
      </c>
      <c r="C186" s="22" t="n">
        <f aca="false">C185</f>
        <v>5.64</v>
      </c>
      <c r="D186" s="22" t="n">
        <f aca="false">D185</f>
        <v>8.4779754</v>
      </c>
      <c r="E186" s="22" t="n">
        <f aca="false">E185+0*E175</f>
        <v>10.47199521408</v>
      </c>
      <c r="F186" s="22" t="n">
        <f aca="false">F185+0*F175</f>
        <v>10.47199521408</v>
      </c>
      <c r="G186" s="22" t="n">
        <f aca="false">G185+0*G175</f>
        <v>11.0069548502977</v>
      </c>
    </row>
    <row r="187" customFormat="false" ht="15" hidden="false" customHeight="false" outlineLevel="0" collapsed="false">
      <c r="A187" s="3" t="s">
        <v>526</v>
      </c>
      <c r="B187" s="0" t="s">
        <v>184</v>
      </c>
      <c r="C187" s="22" t="n">
        <f aca="false">C183-C186</f>
        <v>14.043</v>
      </c>
      <c r="D187" s="22" t="n">
        <f aca="false">D183-D186</f>
        <v>28.2921301</v>
      </c>
      <c r="E187" s="22" t="n">
        <f aca="false">E183-E186</f>
        <v>39.1395825662205</v>
      </c>
      <c r="F187" s="22" t="n">
        <f aca="false">F183-F186</f>
        <v>34.6646171177244</v>
      </c>
      <c r="G187" s="22" t="n">
        <f aca="false">G183-G186</f>
        <v>35.1921835221438</v>
      </c>
    </row>
    <row r="188" customFormat="false" ht="15" hidden="false" customHeight="false" outlineLevel="0" collapsed="false">
      <c r="A188" s="3" t="s">
        <v>402</v>
      </c>
      <c r="B188" s="0" t="s">
        <v>49</v>
      </c>
      <c r="C188" s="17" t="n">
        <f aca="false">C187/C175</f>
        <v>0.23403439770682</v>
      </c>
      <c r="D188" s="17" t="n">
        <f aca="false">D187/D175</f>
        <v>0.268407131673338</v>
      </c>
      <c r="E188" s="17" t="n">
        <f aca="false">E187/E175</f>
        <v>0.26675057160405</v>
      </c>
      <c r="F188" s="17" t="n">
        <f aca="false">F187/F175</f>
        <v>0.245526063806024</v>
      </c>
      <c r="G188" s="17" t="n">
        <f aca="false">G187/G175</f>
        <v>0.229705350124344</v>
      </c>
    </row>
    <row r="189" customFormat="false" ht="17.15" hidden="false" customHeight="false" outlineLevel="0" collapsed="false">
      <c r="A189" s="3" t="s">
        <v>403</v>
      </c>
      <c r="B189" s="0" t="s">
        <v>184</v>
      </c>
      <c r="E189" s="22" t="n">
        <f aca="false">nop_f</f>
        <v>0</v>
      </c>
      <c r="F189" s="22" t="n">
        <f aca="false">nop_f</f>
        <v>0</v>
      </c>
      <c r="G189" s="22" t="n">
        <f aca="false">nop_f</f>
        <v>0</v>
      </c>
      <c r="K189" s="7" t="s">
        <v>527</v>
      </c>
    </row>
    <row r="190" customFormat="false" ht="15" hidden="false" customHeight="false" outlineLevel="0" collapsed="false">
      <c r="A190" s="3" t="s">
        <v>408</v>
      </c>
      <c r="B190" s="0" t="s">
        <v>184</v>
      </c>
      <c r="C190" s="22" t="n">
        <f aca="false">a25_ni</f>
        <v>9.607</v>
      </c>
      <c r="D190" s="22" t="n">
        <f aca="false">a26_ni</f>
        <v>19.6977289395284</v>
      </c>
      <c r="E190" s="22" t="n">
        <f aca="false">(E187+E189)*nir_f</f>
        <v>26.810614057861</v>
      </c>
      <c r="F190" s="22" t="n">
        <f aca="false">(F187+F189)*nir_f</f>
        <v>23.7452627256412</v>
      </c>
      <c r="G190" s="22" t="n">
        <f aca="false">(G187+G189)*nir_f</f>
        <v>24.1066457126685</v>
      </c>
      <c r="H190" s="24" t="n">
        <f aca="false">H175*H195</f>
        <v>23.9266262221066</v>
      </c>
      <c r="I190" s="24" t="n">
        <f aca="false">I175*I195</f>
        <v>23.1443605782874</v>
      </c>
      <c r="J190" s="24" t="n">
        <f aca="false">J175*J195</f>
        <v>21.7913056521721</v>
      </c>
    </row>
    <row r="191" customFormat="false" ht="17.15" hidden="false" customHeight="false" outlineLevel="0" collapsed="false">
      <c r="A191" s="3" t="s">
        <v>411</v>
      </c>
      <c r="B191" s="0" t="s">
        <v>49</v>
      </c>
      <c r="C191" s="17" t="n">
        <f aca="false">C190/C187</f>
        <v>0.684113081250445</v>
      </c>
      <c r="D191" s="17" t="n">
        <f aca="false">D190/D187</f>
        <v>0.696226437171953</v>
      </c>
      <c r="E191" s="17" t="n">
        <f aca="false">E190/E187</f>
        <v>0.685</v>
      </c>
      <c r="F191" s="17" t="n">
        <f aca="false">F190/F187</f>
        <v>0.685</v>
      </c>
      <c r="G191" s="17" t="n">
        <f aca="false">G190/G187</f>
        <v>0.685</v>
      </c>
    </row>
    <row r="192" customFormat="false" ht="17.15" hidden="false" customHeight="false" outlineLevel="0" collapsed="false">
      <c r="A192" s="3" t="s">
        <v>528</v>
      </c>
      <c r="B192" s="3" t="s">
        <v>214</v>
      </c>
      <c r="C192" s="27" t="n">
        <f aca="false">a25_sh</f>
        <v>0.493425783256292</v>
      </c>
      <c r="D192" s="27" t="n">
        <f aca="false">a26_sh</f>
        <v>0.512980850061958</v>
      </c>
      <c r="E192" s="27" t="n">
        <f aca="false">sh_h2*(1+sh_g)</f>
        <v>0.51889356</v>
      </c>
      <c r="F192" s="27" t="n">
        <f aca="false">E192*(1+sh_g)</f>
        <v>0.5240824956</v>
      </c>
      <c r="G192" s="27" t="n">
        <f aca="false">F192*(1+sh_g)</f>
        <v>0.529323320556</v>
      </c>
      <c r="H192" s="28" t="n">
        <f aca="false">G192*(1+sh_g)</f>
        <v>0.53461655376156</v>
      </c>
      <c r="I192" s="28" t="n">
        <f aca="false">H192*(1+sh_g)</f>
        <v>0.539962719299176</v>
      </c>
      <c r="J192" s="28" t="n">
        <f aca="false">I192*(1+sh_g)</f>
        <v>0.545362346492167</v>
      </c>
      <c r="K192" s="7" t="s">
        <v>529</v>
      </c>
    </row>
    <row r="193" customFormat="false" ht="15" hidden="false" customHeight="false" outlineLevel="0" collapsed="false">
      <c r="A193" s="0" t="s">
        <v>414</v>
      </c>
      <c r="B193" s="0" t="s">
        <v>252</v>
      </c>
      <c r="C193" s="23" t="n">
        <f aca="false">C190/C192</f>
        <v>19.47</v>
      </c>
      <c r="D193" s="23" t="n">
        <f aca="false">D190/D192</f>
        <v>38.3985658278458</v>
      </c>
      <c r="E193" s="23" t="n">
        <f aca="false">E190/E192</f>
        <v>51.6688124976171</v>
      </c>
      <c r="F193" s="23" t="n">
        <f aca="false">F190/F192</f>
        <v>45.3082538054553</v>
      </c>
      <c r="G193" s="23" t="n">
        <f aca="false">G190/G192</f>
        <v>45.5423835990202</v>
      </c>
      <c r="H193" s="29" t="n">
        <f aca="false">H190/H192</f>
        <v>44.7547425416571</v>
      </c>
      <c r="I193" s="29" t="n">
        <f aca="false">I190/I192</f>
        <v>42.8628861791176</v>
      </c>
      <c r="J193" s="29" t="n">
        <f aca="false">J190/J192</f>
        <v>39.9574810991927</v>
      </c>
    </row>
    <row r="194" customFormat="false" ht="17.15" hidden="false" customHeight="false" outlineLevel="0" collapsed="false">
      <c r="A194" s="0" t="s">
        <v>530</v>
      </c>
      <c r="B194" s="0" t="s">
        <v>49</v>
      </c>
      <c r="D194" s="17" t="n">
        <f aca="false">D193/C193-1</f>
        <v>0.9721913624985</v>
      </c>
      <c r="E194" s="17" t="n">
        <f aca="false">E193/D193-1</f>
        <v>0.345592247618478</v>
      </c>
      <c r="F194" s="17" t="n">
        <f aca="false">F193/E193-1</f>
        <v>-0.123102474872151</v>
      </c>
      <c r="G194" s="17" t="n">
        <f aca="false">G193/F193-1</f>
        <v>0.00516748658136779</v>
      </c>
      <c r="H194" s="25" t="n">
        <f aca="false">H193/G193-1</f>
        <v>-0.0172946823402544</v>
      </c>
      <c r="I194" s="25" t="n">
        <f aca="false">I193/H193-1</f>
        <v>-0.0422716399447189</v>
      </c>
      <c r="J194" s="25" t="n">
        <f aca="false">J193/I193-1</f>
        <v>-0.0677837014470677</v>
      </c>
    </row>
    <row r="195" customFormat="false" ht="17.15" hidden="false" customHeight="false" outlineLevel="0" collapsed="false">
      <c r="A195" s="3" t="s">
        <v>531</v>
      </c>
      <c r="B195" s="0" t="s">
        <v>49</v>
      </c>
      <c r="C195" s="17" t="n">
        <f aca="false">C190/C175</f>
        <v>0.160105992933804</v>
      </c>
      <c r="D195" s="17" t="n">
        <f aca="false">D190/D175</f>
        <v>0.186872140996471</v>
      </c>
      <c r="E195" s="17" t="n">
        <f aca="false">E190/E175</f>
        <v>0.182724141548774</v>
      </c>
      <c r="F195" s="17" t="n">
        <f aca="false">F190/F175</f>
        <v>0.168185353707127</v>
      </c>
      <c r="G195" s="17" t="n">
        <f aca="false">G190/G175</f>
        <v>0.157348164835176</v>
      </c>
      <c r="H195" s="25" t="n">
        <f aca="false">$G195+(fade_mC-$G195)*1/3</f>
        <v>0.146858287179497</v>
      </c>
      <c r="I195" s="25" t="n">
        <f aca="false">$G195+(fade_mC-$G195)*2/3</f>
        <v>0.136368409523819</v>
      </c>
      <c r="J195" s="25" t="n">
        <f aca="false">$G195+(fade_mC-$G195)*3/3</f>
        <v>0.125878531868141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534</v>
      </c>
    </row>
    <row r="2" customFormat="false" ht="17.15" hidden="false" customHeight="false" outlineLevel="0" collapsed="false">
      <c r="A2" s="3" t="s">
        <v>535</v>
      </c>
    </row>
    <row r="4" customFormat="false" ht="17.15" hidden="false" customHeight="false" outlineLevel="0" collapsed="false">
      <c r="A4" s="5" t="s">
        <v>536</v>
      </c>
    </row>
    <row r="5" customFormat="false" ht="17.15" hidden="false" customHeight="false" outlineLevel="0" collapsed="false">
      <c r="A5" s="5" t="s">
        <v>537</v>
      </c>
    </row>
    <row r="6" customFormat="false" ht="17.15" hidden="false" customHeight="false" outlineLevel="0" collapsed="false">
      <c r="A6" s="4" t="s">
        <v>18</v>
      </c>
      <c r="B6" s="14" t="s">
        <v>538</v>
      </c>
      <c r="C6" s="14" t="s">
        <v>539</v>
      </c>
      <c r="D6" s="14" t="s">
        <v>540</v>
      </c>
      <c r="E6" s="4" t="s">
        <v>436</v>
      </c>
    </row>
    <row r="7" customFormat="false" ht="17.15" hidden="false" customHeight="false" outlineLevel="0" collapsed="false">
      <c r="A7" s="3" t="s">
        <v>541</v>
      </c>
      <c r="E7" s="0" t="s">
        <v>542</v>
      </c>
    </row>
    <row r="8" customFormat="false" ht="15" hidden="false" customHeight="false" outlineLevel="0" collapsed="false">
      <c r="A8" s="0" t="s">
        <v>543</v>
      </c>
      <c r="B8" s="18" t="n">
        <f aca="false">PL!E14</f>
        <v>66.1242832960332</v>
      </c>
      <c r="C8" s="18" t="n">
        <f aca="false">PL!E27</f>
        <v>60.1510234165269</v>
      </c>
      <c r="D8" s="18" t="n">
        <f aca="false">PL!E40</f>
        <v>51.6688124976171</v>
      </c>
    </row>
    <row r="9" customFormat="false" ht="15" hidden="false" customHeight="false" outlineLevel="0" collapsed="false">
      <c r="A9" s="0" t="s">
        <v>544</v>
      </c>
      <c r="B9" s="18" t="n">
        <f aca="false">PL!F14</f>
        <v>90.0448215233073</v>
      </c>
      <c r="C9" s="18" t="n">
        <f aca="false">PL!F27</f>
        <v>76.5615690275167</v>
      </c>
      <c r="D9" s="18" t="n">
        <f aca="false">PL!F40</f>
        <v>45.3082538054553</v>
      </c>
    </row>
    <row r="10" customFormat="false" ht="15" hidden="false" customHeight="false" outlineLevel="0" collapsed="false">
      <c r="A10" s="0" t="s">
        <v>545</v>
      </c>
      <c r="B10" s="18" t="n">
        <f aca="false">PL!G14</f>
        <v>106.980542121886</v>
      </c>
      <c r="C10" s="18" t="n">
        <f aca="false">PL!G27</f>
        <v>87.7174188240072</v>
      </c>
      <c r="D10" s="18" t="n">
        <f aca="false">PL!G40</f>
        <v>45.5423835990202</v>
      </c>
    </row>
    <row r="11" customFormat="false" ht="15" hidden="false" customHeight="false" outlineLevel="0" collapsed="false">
      <c r="A11" s="0" t="s">
        <v>546</v>
      </c>
      <c r="B11" s="18" t="n">
        <f aca="false">PL!H14</f>
        <v>121.22982112668</v>
      </c>
      <c r="C11" s="18" t="n">
        <f aca="false">PL!H27</f>
        <v>91.7846930744266</v>
      </c>
      <c r="D11" s="18" t="n">
        <f aca="false">PL!H40</f>
        <v>44.7547425416571</v>
      </c>
    </row>
    <row r="12" customFormat="false" ht="15" hidden="false" customHeight="false" outlineLevel="0" collapsed="false">
      <c r="A12" s="0" t="s">
        <v>547</v>
      </c>
      <c r="B12" s="18" t="n">
        <f aca="false">PL!I14</f>
        <v>132.304165513696</v>
      </c>
      <c r="C12" s="18" t="n">
        <f aca="false">PL!I27</f>
        <v>91.8388823404776</v>
      </c>
      <c r="D12" s="18" t="n">
        <f aca="false">PL!I40</f>
        <v>42.8628861791176</v>
      </c>
    </row>
    <row r="13" customFormat="false" ht="15" hidden="false" customHeight="false" outlineLevel="0" collapsed="false">
      <c r="A13" s="0" t="s">
        <v>548</v>
      </c>
      <c r="B13" s="18" t="n">
        <f aca="false">PL!J14</f>
        <v>138.85387667774</v>
      </c>
      <c r="C13" s="18" t="n">
        <f aca="false">PL!J27</f>
        <v>87.664086010355</v>
      </c>
      <c r="D13" s="18" t="n">
        <f aca="false">PL!J40</f>
        <v>39.9574810991927</v>
      </c>
    </row>
    <row r="14" customFormat="false" ht="17.15" hidden="false" customHeight="false" outlineLevel="0" collapsed="false">
      <c r="A14" s="3" t="s">
        <v>549</v>
      </c>
    </row>
    <row r="15" customFormat="false" ht="17.15" hidden="false" customHeight="false" outlineLevel="0" collapsed="false">
      <c r="A15" s="3" t="s">
        <v>550</v>
      </c>
      <c r="B15" s="17" t="n">
        <f aca="false">MIN(tp_g/tp_roe,0.8)</f>
        <v>0.137662039692555</v>
      </c>
      <c r="E15" s="7" t="s">
        <v>551</v>
      </c>
    </row>
    <row r="16" customFormat="false" ht="15" hidden="false" customHeight="false" outlineLevel="0" collapsed="false">
      <c r="A16" s="0" t="s">
        <v>543</v>
      </c>
      <c r="B16" s="18" t="n">
        <f aca="false">B8*(1-$B$15)</f>
        <v>57.021479584293</v>
      </c>
      <c r="C16" s="18" t="n">
        <f aca="false">C8*(1-$B$15)</f>
        <v>51.8705108434132</v>
      </c>
      <c r="D16" s="18" t="n">
        <f aca="false">D8*(1-$B$15)</f>
        <v>44.555978380703</v>
      </c>
    </row>
    <row r="17" customFormat="false" ht="15" hidden="false" customHeight="false" outlineLevel="0" collapsed="false">
      <c r="A17" s="0" t="s">
        <v>544</v>
      </c>
      <c r="B17" s="18" t="n">
        <f aca="false">B9*(1-$B$15)</f>
        <v>77.6490677286568</v>
      </c>
      <c r="C17" s="18" t="n">
        <f aca="false">C9*(1-$B$15)</f>
        <v>66.0219472731264</v>
      </c>
      <c r="D17" s="18" t="n">
        <f aca="false">D9*(1-$B$15)</f>
        <v>39.0710271716884</v>
      </c>
    </row>
    <row r="18" customFormat="false" ht="15" hidden="false" customHeight="false" outlineLevel="0" collapsed="false">
      <c r="A18" s="0" t="s">
        <v>545</v>
      </c>
      <c r="B18" s="18" t="n">
        <f aca="false">B10*(1-$B$15)</f>
        <v>92.2533824859717</v>
      </c>
      <c r="C18" s="18" t="n">
        <f aca="false">C10*(1-$B$15)</f>
        <v>75.6420600321282</v>
      </c>
      <c r="D18" s="18" t="n">
        <f aca="false">D10*(1-$B$15)</f>
        <v>39.2729261803183</v>
      </c>
    </row>
    <row r="19" customFormat="false" ht="15" hidden="false" customHeight="false" outlineLevel="0" collapsed="false">
      <c r="A19" s="0" t="s">
        <v>546</v>
      </c>
      <c r="B19" s="18" t="n">
        <f aca="false">B11*(1-$B$15)</f>
        <v>104.541076678818</v>
      </c>
      <c r="C19" s="18" t="n">
        <f aca="false">C11*(1-$B$15)</f>
        <v>79.149425013246</v>
      </c>
      <c r="D19" s="18" t="n">
        <f aca="false">D11*(1-$B$15)</f>
        <v>38.5937133974575</v>
      </c>
    </row>
    <row r="20" customFormat="false" ht="15" hidden="false" customHeight="false" outlineLevel="0" collapsed="false">
      <c r="A20" s="0" t="s">
        <v>547</v>
      </c>
      <c r="B20" s="18" t="n">
        <f aca="false">B12*(1-$B$15)</f>
        <v>114.090904229259</v>
      </c>
      <c r="C20" s="18" t="n">
        <f aca="false">C12*(1-$B$15)</f>
        <v>79.1961544744029</v>
      </c>
      <c r="D20" s="18" t="n">
        <f aca="false">D12*(1-$B$15)</f>
        <v>36.9622938405905</v>
      </c>
    </row>
    <row r="21" customFormat="false" ht="15" hidden="false" customHeight="false" outlineLevel="0" collapsed="false">
      <c r="A21" s="0" t="s">
        <v>548</v>
      </c>
      <c r="B21" s="18" t="n">
        <f aca="false">B13*(1-$B$15)</f>
        <v>119.738968795064</v>
      </c>
      <c r="C21" s="18" t="n">
        <f aca="false">C13*(1-$B$15)</f>
        <v>75.596069122386</v>
      </c>
      <c r="D21" s="18" t="n">
        <f aca="false">D13*(1-$B$15)</f>
        <v>34.4568527501011</v>
      </c>
    </row>
    <row r="22" customFormat="false" ht="17.15" hidden="false" customHeight="false" outlineLevel="0" collapsed="false">
      <c r="A22" s="0" t="s">
        <v>552</v>
      </c>
      <c r="B22" s="18" t="n">
        <f aca="false">MAX(0,SUMPRODUCT(B16:B21,1/(1+tp_r)^{1;2;3;4;5;6})+B21*(1+tp_g)/(tp_r-tp_g)/(1+tp_r)^6)</f>
        <v>1566.70757630063</v>
      </c>
      <c r="C22" s="18" t="n">
        <f aca="false">MAX(0,SUMPRODUCT(C16:C21,1/(1+tp_r)^{1;2;3;4;5;6})+C21*(1+tp_g)/(tp_r-tp_g)/(1+tp_r)^6)</f>
        <v>1044.1044928298</v>
      </c>
      <c r="D22" s="18" t="n">
        <f aca="false">MAX(0,SUMPRODUCT(D16:D21,1/(1+tp_r)^{1;2;3;4;5;6})+D21*(1+tp_g)/(tp_r-tp_g)/(1+tp_r)^6)</f>
        <v>508.19581594466</v>
      </c>
      <c r="E22" s="7" t="s">
        <v>553</v>
      </c>
    </row>
    <row r="23" customFormat="false" ht="17.15" hidden="false" customHeight="false" outlineLevel="0" collapsed="false">
      <c r="A23" s="0" t="s">
        <v>554</v>
      </c>
      <c r="B23" s="18" t="n">
        <f aca="false">B22*(1+tp_r)</f>
        <v>1723.37833393069</v>
      </c>
      <c r="C23" s="18" t="n">
        <f aca="false">C22*(1+tp_r)</f>
        <v>1148.51494211278</v>
      </c>
      <c r="D23" s="18" t="n">
        <f aca="false">D22*(1+tp_r)</f>
        <v>559.015397539126</v>
      </c>
    </row>
    <row r="24" customFormat="false" ht="17.15" hidden="false" customHeight="false" outlineLevel="0" collapsed="false">
      <c r="A24" s="0" t="s">
        <v>555</v>
      </c>
      <c r="B24" s="30" t="n">
        <f aca="false">tp_wA*B23+tp_wB*C23+tp_wC*D23</f>
        <v>1203.07405074342</v>
      </c>
      <c r="E24" s="7" t="s">
        <v>556</v>
      </c>
    </row>
    <row r="26" customFormat="false" ht="17.15" hidden="false" customHeight="false" outlineLevel="0" collapsed="false">
      <c r="A26" s="5" t="s">
        <v>557</v>
      </c>
    </row>
    <row r="27" customFormat="false" ht="17.15" hidden="false" customHeight="false" outlineLevel="0" collapsed="false">
      <c r="A27" s="4" t="s">
        <v>558</v>
      </c>
      <c r="B27" s="4" t="s">
        <v>559</v>
      </c>
      <c r="C27" s="4" t="s">
        <v>560</v>
      </c>
      <c r="D27" s="4" t="s">
        <v>561</v>
      </c>
      <c r="E27" s="4" t="s">
        <v>562</v>
      </c>
      <c r="F27" s="4" t="s">
        <v>23</v>
      </c>
    </row>
    <row r="28" customFormat="false" ht="17.15" hidden="false" customHeight="false" outlineLevel="0" collapsed="false">
      <c r="A28" s="3" t="s">
        <v>563</v>
      </c>
      <c r="B28" s="0" t="s">
        <v>564</v>
      </c>
      <c r="C28" s="31" t="n">
        <v>13.96</v>
      </c>
      <c r="D28" s="7" t="s">
        <v>565</v>
      </c>
      <c r="E28" s="7" t="s">
        <v>566</v>
      </c>
      <c r="F28" s="7" t="s">
        <v>50</v>
      </c>
    </row>
    <row r="29" customFormat="false" ht="17.15" hidden="false" customHeight="false" outlineLevel="0" collapsed="false">
      <c r="A29" s="3" t="s">
        <v>567</v>
      </c>
      <c r="B29" s="0" t="s">
        <v>568</v>
      </c>
      <c r="C29" s="31" t="n">
        <v>20.76</v>
      </c>
      <c r="D29" s="7" t="s">
        <v>569</v>
      </c>
      <c r="E29" s="7" t="s">
        <v>566</v>
      </c>
      <c r="F29" s="7" t="s">
        <v>50</v>
      </c>
    </row>
    <row r="30" customFormat="false" ht="17.15" hidden="false" customHeight="false" outlineLevel="0" collapsed="false">
      <c r="A30" s="3" t="s">
        <v>570</v>
      </c>
      <c r="B30" s="0" t="s">
        <v>571</v>
      </c>
      <c r="C30" s="31" t="n">
        <v>25.13</v>
      </c>
      <c r="D30" s="7" t="s">
        <v>572</v>
      </c>
      <c r="E30" s="7" t="s">
        <v>566</v>
      </c>
      <c r="F30" s="7" t="s">
        <v>50</v>
      </c>
    </row>
    <row r="31" customFormat="false" ht="17.15" hidden="false" customHeight="false" outlineLevel="0" collapsed="false">
      <c r="A31" s="3" t="s">
        <v>573</v>
      </c>
      <c r="B31" s="0" t="s">
        <v>574</v>
      </c>
      <c r="C31" s="31" t="n">
        <v>18.49</v>
      </c>
      <c r="D31" s="7" t="s">
        <v>575</v>
      </c>
      <c r="E31" s="7" t="s">
        <v>566</v>
      </c>
      <c r="F31" s="7" t="s">
        <v>50</v>
      </c>
    </row>
    <row r="32" customFormat="false" ht="17.15" hidden="false" customHeight="false" outlineLevel="0" collapsed="false">
      <c r="A32" s="0" t="s">
        <v>576</v>
      </c>
      <c r="B32" s="0" t="s">
        <v>577</v>
      </c>
      <c r="C32" s="31" t="n">
        <v>10.31</v>
      </c>
      <c r="D32" s="7" t="s">
        <v>578</v>
      </c>
      <c r="E32" s="7" t="s">
        <v>566</v>
      </c>
      <c r="F32" s="7" t="s">
        <v>50</v>
      </c>
    </row>
    <row r="33" customFormat="false" ht="17.15" hidden="false" customHeight="false" outlineLevel="0" collapsed="false">
      <c r="A33" s="3" t="s">
        <v>579</v>
      </c>
    </row>
    <row r="34" customFormat="false" ht="17.15" hidden="false" customHeight="false" outlineLevel="0" collapsed="false">
      <c r="A34" s="3" t="s">
        <v>580</v>
      </c>
      <c r="B34" s="20" t="n">
        <f aca="false">MEDIAN(C28:C32)</f>
        <v>18.49</v>
      </c>
      <c r="E34" s="3" t="s">
        <v>581</v>
      </c>
    </row>
    <row r="35" customFormat="false" ht="17.15" hidden="false" customHeight="false" outlineLevel="0" collapsed="false">
      <c r="A35" s="0" t="s">
        <v>582</v>
      </c>
      <c r="B35" s="18" t="n">
        <f aca="false">tp_wA*(2/12*B8+10/12*B9)+tp_wB*(2/12*C8+10/12*C9)+tp_wC*(2/12*D8+10/12*D9)</f>
        <v>72.0043279759675</v>
      </c>
      <c r="E35" s="3" t="s">
        <v>583</v>
      </c>
    </row>
    <row r="36" customFormat="false" ht="17.15" hidden="false" customHeight="false" outlineLevel="0" collapsed="false">
      <c r="A36" s="0" t="s">
        <v>584</v>
      </c>
      <c r="B36" s="30" t="n">
        <f aca="false">B34*B35</f>
        <v>1331.36002427564</v>
      </c>
      <c r="E36" s="3" t="s">
        <v>585</v>
      </c>
    </row>
    <row r="38" customFormat="false" ht="17.15" hidden="false" customHeight="false" outlineLevel="0" collapsed="false">
      <c r="A38" s="5" t="s">
        <v>586</v>
      </c>
    </row>
    <row r="39" customFormat="false" ht="15" hidden="false" customHeight="false" outlineLevel="0" collapsed="false">
      <c r="A39" s="4" t="s">
        <v>18</v>
      </c>
      <c r="B39" s="4" t="s">
        <v>587</v>
      </c>
      <c r="C39" s="4"/>
      <c r="D39" s="4"/>
      <c r="E39" s="4" t="s">
        <v>436</v>
      </c>
    </row>
    <row r="40" customFormat="false" ht="17.15" hidden="false" customHeight="false" outlineLevel="0" collapsed="false">
      <c r="A40" s="3" t="s">
        <v>588</v>
      </c>
      <c r="B40" s="30" t="n">
        <f aca="false">tp_w_dcf*B24+(1-tp_w_dcf)*B36</f>
        <v>1267.21703750953</v>
      </c>
      <c r="E40" s="7" t="s">
        <v>589</v>
      </c>
    </row>
    <row r="41" customFormat="false" ht="17.15" hidden="false" customHeight="false" outlineLevel="0" collapsed="false">
      <c r="A41" s="0" t="s">
        <v>590</v>
      </c>
      <c r="B41" s="18" t="n">
        <f aca="false">B36</f>
        <v>1331.36002427564</v>
      </c>
    </row>
    <row r="42" customFormat="false" ht="17.15" hidden="false" customHeight="false" outlineLevel="0" collapsed="false">
      <c r="A42" s="3" t="s">
        <v>591</v>
      </c>
      <c r="B42" s="18" t="n">
        <f aca="false">cons_tp</f>
        <v>1554</v>
      </c>
      <c r="E42" s="7" t="s">
        <v>592</v>
      </c>
    </row>
    <row r="43" customFormat="false" ht="17.15" hidden="false" customHeight="false" outlineLevel="0" collapsed="false">
      <c r="A43" s="3" t="s">
        <v>593</v>
      </c>
      <c r="B43" s="17" t="n">
        <f aca="false">B40/px-1</f>
        <v>0.136517522430072</v>
      </c>
      <c r="E43" s="3" t="s">
        <v>594</v>
      </c>
    </row>
    <row r="44" customFormat="false" ht="17.15" hidden="false" customHeight="false" outlineLevel="0" collapsed="false">
      <c r="A44" s="3" t="s">
        <v>595</v>
      </c>
      <c r="B44" s="17" t="n">
        <f aca="false">B41/px-1</f>
        <v>0.1940448648212</v>
      </c>
    </row>
    <row r="45" customFormat="false" ht="17.15" hidden="false" customHeight="false" outlineLevel="0" collapsed="false">
      <c r="A45" s="3" t="s">
        <v>596</v>
      </c>
      <c r="B45" s="17" t="n">
        <f aca="false">B35/cons_feps-1</f>
        <v>0.263788967255322</v>
      </c>
      <c r="E45" s="3" t="s">
        <v>597</v>
      </c>
    </row>
    <row r="46" customFormat="false" ht="17.15" hidden="false" customHeight="false" outlineLevel="0" collapsed="false">
      <c r="A46" s="3" t="s">
        <v>598</v>
      </c>
      <c r="B46" s="17" t="n">
        <f aca="false">(cons_tp/cons_feps)/B34-1</f>
        <v>0.475129205703241</v>
      </c>
      <c r="E46" s="0" t="str">
        <f aca="false">"共識目標價隱含 "&amp;TEXT(cons_tp/cons_feps,"0.0")&amp;"x，同業中位數 "&amp;TEXT(B34,"0.0")&amp;"x"</f>
        <v>共識目標價隱含 27.3x，同業中位數 18.5x</v>
      </c>
    </row>
    <row r="47" customFormat="false" ht="17.15" hidden="false" customHeight="false" outlineLevel="0" collapsed="false">
      <c r="A47" s="3" t="s">
        <v>599</v>
      </c>
      <c r="B47" s="32" t="str">
        <f aca="false">TEXT(D23,"0.00")&amp;"～"&amp;TEXT(B23,"0.00")</f>
        <v>559.02～1723.38</v>
      </c>
      <c r="E47" s="7" t="s">
        <v>600</v>
      </c>
    </row>
    <row r="48" customFormat="false" ht="17.15" hidden="false" customHeight="false" outlineLevel="0" collapsed="false">
      <c r="A48" s="3" t="s">
        <v>601</v>
      </c>
      <c r="B48" s="33" t="n">
        <f aca="false">IF(px/B9&lt;MIN($B$90:$B$99),0,IF(px/B9&gt;MAX($B$90:$B$99),1,PERCENTRANK($B$90:$B$99,px/B9)))</f>
        <v>0.111</v>
      </c>
      <c r="C48" s="33" t="n">
        <f aca="false">IF(px/C9&lt;MIN($B$90:$B$99),0,IF(px/C9&gt;MAX($B$90:$B$99),1,PERCENTRANK($B$90:$B$99,px/C9)))</f>
        <v>0.272</v>
      </c>
      <c r="D48" s="33" t="n">
        <f aca="false">IF(px/D9&lt;MIN($B$90:$B$99),0,IF(px/D9&gt;MAX($B$90:$B$99),1,PERCENTRANK($B$90:$B$99,px/D9)))</f>
        <v>0.425</v>
      </c>
      <c r="E48" s="3" t="s">
        <v>602</v>
      </c>
    </row>
    <row r="49" customFormat="false" ht="17.15" hidden="false" customHeight="false" outlineLevel="0" collapsed="false">
      <c r="A49" s="3" t="s">
        <v>603</v>
      </c>
      <c r="B49" s="0" t="s">
        <v>604</v>
      </c>
    </row>
    <row r="51" customFormat="false" ht="17.15" hidden="false" customHeight="false" outlineLevel="0" collapsed="false">
      <c r="A51" s="5" t="s">
        <v>605</v>
      </c>
    </row>
    <row r="52" customFormat="false" ht="15" hidden="false" customHeight="false" outlineLevel="0" collapsed="false">
      <c r="A52" s="4" t="s">
        <v>18</v>
      </c>
      <c r="B52" s="14" t="s">
        <v>606</v>
      </c>
      <c r="C52" s="14" t="s">
        <v>607</v>
      </c>
      <c r="D52" s="14" t="s">
        <v>608</v>
      </c>
      <c r="E52" s="4" t="s">
        <v>436</v>
      </c>
    </row>
    <row r="53" customFormat="false" ht="17.15" hidden="false" customHeight="false" outlineLevel="0" collapsed="false">
      <c r="A53" s="3" t="s">
        <v>609</v>
      </c>
      <c r="B53" s="18" t="n">
        <f aca="false">px</f>
        <v>1115</v>
      </c>
    </row>
    <row r="54" customFormat="false" ht="17.15" hidden="false" customHeight="false" outlineLevel="0" collapsed="false">
      <c r="A54" s="3" t="s">
        <v>610</v>
      </c>
      <c r="B54" s="20" t="n">
        <f aca="false">px/PL!D14</f>
        <v>29.0375428342541</v>
      </c>
      <c r="C54" s="20" t="n">
        <f aca="false">px/PL!D27</f>
        <v>29.0375428342541</v>
      </c>
      <c r="D54" s="20" t="n">
        <f aca="false">px/PL!D40</f>
        <v>29.0375428342541</v>
      </c>
      <c r="E54" s="7" t="s">
        <v>611</v>
      </c>
    </row>
    <row r="55" customFormat="false" ht="17.15" hidden="false" customHeight="false" outlineLevel="0" collapsed="false">
      <c r="A55" s="3" t="s">
        <v>612</v>
      </c>
      <c r="B55" s="20" t="n">
        <f aca="false">px/PL!E14</f>
        <v>16.8621865436066</v>
      </c>
      <c r="C55" s="20" t="n">
        <f aca="false">px/PL!E27</f>
        <v>18.5366754656687</v>
      </c>
      <c r="D55" s="20" t="n">
        <f aca="false">px/PL!E40</f>
        <v>21.579748906585</v>
      </c>
      <c r="E55" s="7" t="s">
        <v>613</v>
      </c>
    </row>
    <row r="56" customFormat="false" ht="17.15" hidden="false" customHeight="false" outlineLevel="0" collapsed="false">
      <c r="A56" s="3" t="s">
        <v>614</v>
      </c>
      <c r="B56" s="20" t="n">
        <f aca="false">px/PL!F14</f>
        <v>12.3827220837058</v>
      </c>
      <c r="C56" s="20" t="n">
        <f aca="false">px/PL!F27</f>
        <v>14.5634423923478</v>
      </c>
      <c r="D56" s="20" t="n">
        <f aca="false">px/PL!F40</f>
        <v>24.6092026584734</v>
      </c>
    </row>
    <row r="57" customFormat="false" ht="17.15" hidden="false" customHeight="false" outlineLevel="0" collapsed="false">
      <c r="A57" s="3" t="s">
        <v>615</v>
      </c>
      <c r="B57" s="20" t="n">
        <f aca="false">px/PL!G14</f>
        <v>10.4224560642967</v>
      </c>
      <c r="C57" s="20" t="n">
        <f aca="false">px/PL!G27</f>
        <v>12.7112723441748</v>
      </c>
      <c r="D57" s="20" t="n">
        <f aca="false">px/PL!G40</f>
        <v>24.4826886931756</v>
      </c>
    </row>
    <row r="58" customFormat="false" ht="17.15" hidden="false" customHeight="false" outlineLevel="0" collapsed="false">
      <c r="A58" s="3" t="s">
        <v>616</v>
      </c>
      <c r="B58" s="18" t="n">
        <f aca="false">0.2*PL!D27+0.8*PL!E27</f>
        <v>55.8005318987907</v>
      </c>
    </row>
    <row r="59" customFormat="false" ht="17.15" hidden="false" customHeight="false" outlineLevel="0" collapsed="false">
      <c r="A59" s="3" t="s">
        <v>617</v>
      </c>
      <c r="B59" s="20" t="n">
        <f aca="false">px/B58</f>
        <v>19.981888380963</v>
      </c>
    </row>
    <row r="60" customFormat="false" ht="17.15" hidden="false" customHeight="false" outlineLevel="0" collapsed="false">
      <c r="A60" s="3" t="s">
        <v>320</v>
      </c>
      <c r="B60" s="20" t="n">
        <f aca="false">pe_ttm</f>
        <v>39.79</v>
      </c>
    </row>
    <row r="61" customFormat="false" ht="17.15" hidden="false" customHeight="false" outlineLevel="0" collapsed="false">
      <c r="A61" s="3" t="s">
        <v>324</v>
      </c>
      <c r="B61" s="20" t="n">
        <f aca="false">fpe</f>
        <v>19.57</v>
      </c>
    </row>
    <row r="63" customFormat="false" ht="17.15" hidden="false" customHeight="false" outlineLevel="0" collapsed="false">
      <c r="A63" s="5" t="s">
        <v>618</v>
      </c>
    </row>
    <row r="64" customFormat="false" ht="17.15" hidden="false" customHeight="false" outlineLevel="0" collapsed="false">
      <c r="A64" s="4" t="s">
        <v>619</v>
      </c>
      <c r="B64" s="4" t="s">
        <v>620</v>
      </c>
      <c r="C64" s="14" t="s">
        <v>621</v>
      </c>
      <c r="D64" s="4" t="s">
        <v>622</v>
      </c>
      <c r="E64" s="4" t="s">
        <v>623</v>
      </c>
      <c r="F64" s="4" t="s">
        <v>436</v>
      </c>
    </row>
    <row r="65" customFormat="false" ht="17.15" hidden="false" customHeight="false" outlineLevel="0" collapsed="false">
      <c r="A65" s="0" t="s">
        <v>606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30.07</v>
      </c>
      <c r="E65" s="0" t="str">
        <f aca="false">IF(B65=2029,"是：營收到觀測期末仍在增加","否")</f>
        <v>是：營收到觀測期末仍在增加</v>
      </c>
      <c r="F65" s="7" t="s">
        <v>624</v>
      </c>
    </row>
    <row r="66" customFormat="false" ht="15" hidden="false" customHeight="false" outlineLevel="0" collapsed="false">
      <c r="A66" s="0" t="s">
        <v>607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30.07</v>
      </c>
      <c r="E66" s="0" t="str">
        <f aca="false">IF(B66=2029,"是：營收到觀測期末仍在增加","否")</f>
        <v>是：營收到觀測期末仍在增加</v>
      </c>
      <c r="F66" s="3" t="s">
        <v>35</v>
      </c>
    </row>
    <row r="67" customFormat="false" ht="15" hidden="false" customHeight="false" outlineLevel="0" collapsed="false">
      <c r="A67" s="0" t="s">
        <v>608</v>
      </c>
      <c r="B67" s="0" t="n">
        <f aca="false">INDEX({2026,2027,2028,2029},MATCH(MAX(PL!D175:G175),PL!D175:G175,0))</f>
        <v>2029</v>
      </c>
      <c r="C67" s="0" t="str">
        <f aca="false">IF(B67=2029,"中段",IF(2027&lt;B67,"中段",IF(2027=B67,"見頂","谷底")))</f>
        <v>中段</v>
      </c>
      <c r="D67" s="20" t="n">
        <f aca="false">IF(C67="見頂",pe_peak,IF(C67="谷底",pe_trough,pe_mid))</f>
        <v>30.07</v>
      </c>
      <c r="E67" s="0" t="str">
        <f aca="false">IF(B67=2029,"是：營收到觀測期末仍在增加","否")</f>
        <v>是：營收到觀測期末仍在增加</v>
      </c>
      <c r="F67" s="3" t="s">
        <v>35</v>
      </c>
    </row>
    <row r="69" customFormat="false" ht="17.15" hidden="false" customHeight="false" outlineLevel="0" collapsed="false">
      <c r="A69" s="5" t="s">
        <v>625</v>
      </c>
    </row>
    <row r="70" customFormat="false" ht="17.15" hidden="false" customHeight="false" outlineLevel="0" collapsed="false">
      <c r="A70" s="4" t="s">
        <v>619</v>
      </c>
      <c r="B70" s="14" t="s">
        <v>626</v>
      </c>
      <c r="C70" s="4" t="s">
        <v>627</v>
      </c>
      <c r="D70" s="4" t="s">
        <v>628</v>
      </c>
      <c r="E70" s="4" t="s">
        <v>629</v>
      </c>
      <c r="F70" s="4" t="s">
        <v>630</v>
      </c>
      <c r="G70" s="4" t="s">
        <v>631</v>
      </c>
    </row>
    <row r="71" customFormat="false" ht="15" hidden="false" customHeight="false" outlineLevel="0" collapsed="false">
      <c r="A71" s="9" t="s">
        <v>606</v>
      </c>
      <c r="B71" s="30" t="n">
        <f aca="false">PL!E14</f>
        <v>66.1242832960332</v>
      </c>
      <c r="C71" s="30" t="n">
        <f aca="false">B71</f>
        <v>66.1242832960332</v>
      </c>
      <c r="D71" s="34" t="n">
        <f aca="false">D65</f>
        <v>30.07</v>
      </c>
      <c r="E71" s="30" t="n">
        <f aca="false">C71*D71</f>
        <v>1988.35719871172</v>
      </c>
      <c r="F71" s="35" t="n">
        <f aca="false">E71/px-1</f>
        <v>0.783279998844591</v>
      </c>
      <c r="G71" s="34" t="n">
        <f aca="false">px/C71</f>
        <v>16.8621865436066</v>
      </c>
    </row>
    <row r="72" customFormat="false" ht="15" hidden="false" customHeight="false" outlineLevel="0" collapsed="false">
      <c r="A72" s="9" t="s">
        <v>607</v>
      </c>
      <c r="B72" s="30" t="n">
        <f aca="false">PL!E27</f>
        <v>60.1510234165269</v>
      </c>
      <c r="C72" s="30" t="n">
        <f aca="false">B72</f>
        <v>60.1510234165269</v>
      </c>
      <c r="D72" s="34" t="n">
        <f aca="false">D66</f>
        <v>30.07</v>
      </c>
      <c r="E72" s="30" t="n">
        <f aca="false">C72*D72</f>
        <v>1808.74127413496</v>
      </c>
      <c r="F72" s="35" t="n">
        <f aca="false">E72/px-1</f>
        <v>0.622189483529115</v>
      </c>
      <c r="G72" s="34" t="n">
        <f aca="false">px/C72</f>
        <v>18.5366754656687</v>
      </c>
    </row>
    <row r="73" customFormat="false" ht="15" hidden="false" customHeight="false" outlineLevel="0" collapsed="false">
      <c r="A73" s="9" t="s">
        <v>608</v>
      </c>
      <c r="B73" s="30" t="n">
        <f aca="false">PL!E40</f>
        <v>51.6688124976171</v>
      </c>
      <c r="C73" s="30" t="n">
        <f aca="false">B73</f>
        <v>51.6688124976171</v>
      </c>
      <c r="D73" s="34" t="n">
        <f aca="false">D67</f>
        <v>30.07</v>
      </c>
      <c r="E73" s="30" t="n">
        <f aca="false">C73*D73</f>
        <v>1553.68119180335</v>
      </c>
      <c r="F73" s="35" t="n">
        <f aca="false">E73/px-1</f>
        <v>0.393436046460401</v>
      </c>
      <c r="G73" s="34" t="n">
        <f aca="false">px/C73</f>
        <v>21.579748906585</v>
      </c>
    </row>
    <row r="75" customFormat="false" ht="17.15" hidden="false" customHeight="false" outlineLevel="0" collapsed="false">
      <c r="A75" s="5" t="s">
        <v>632</v>
      </c>
    </row>
    <row r="76" customFormat="false" ht="17.15" hidden="false" customHeight="false" outlineLevel="0" collapsed="false">
      <c r="A76" s="14" t="s">
        <v>633</v>
      </c>
      <c r="B76" s="4" t="s">
        <v>634</v>
      </c>
      <c r="C76" s="4" t="s">
        <v>635</v>
      </c>
      <c r="D76" s="4" t="s">
        <v>636</v>
      </c>
      <c r="E76" s="4" t="s">
        <v>637</v>
      </c>
    </row>
    <row r="77" customFormat="false" ht="15" hidden="false" customHeight="false" outlineLevel="0" collapsed="false">
      <c r="A77" s="19" t="n">
        <v>1</v>
      </c>
      <c r="B77" s="20" t="n">
        <f aca="false">px*A77/PL!F14</f>
        <v>12.3827220837058</v>
      </c>
      <c r="C77" s="20" t="n">
        <f aca="false">px*A77/PL!F27</f>
        <v>14.5634423923478</v>
      </c>
      <c r="D77" s="20" t="n">
        <f aca="false">px*A77/PL!F40</f>
        <v>24.6092026584734</v>
      </c>
      <c r="E77" s="20" t="n">
        <f aca="false">pe_mid</f>
        <v>30.07</v>
      </c>
    </row>
    <row r="78" customFormat="false" ht="15" hidden="false" customHeight="false" outlineLevel="0" collapsed="false">
      <c r="A78" s="19" t="n">
        <v>1.1</v>
      </c>
      <c r="B78" s="20" t="n">
        <f aca="false">px*A78/PL!F14</f>
        <v>13.6209942920763</v>
      </c>
      <c r="C78" s="20" t="n">
        <f aca="false">px*A78/PL!F27</f>
        <v>16.0197866315826</v>
      </c>
      <c r="D78" s="20" t="n">
        <f aca="false">px*A78/PL!F40</f>
        <v>27.0701229243208</v>
      </c>
      <c r="E78" s="20" t="n">
        <f aca="false">pe_mid</f>
        <v>30.07</v>
      </c>
    </row>
    <row r="79" customFormat="false" ht="15" hidden="false" customHeight="false" outlineLevel="0" collapsed="false">
      <c r="A79" s="19" t="n">
        <v>1.21</v>
      </c>
      <c r="B79" s="20" t="n">
        <f aca="false">px*A79/PL!F14</f>
        <v>14.983093721284</v>
      </c>
      <c r="C79" s="20" t="n">
        <f aca="false">px*A79/PL!F27</f>
        <v>17.6217652947409</v>
      </c>
      <c r="D79" s="20" t="n">
        <f aca="false">px*A79/PL!F40</f>
        <v>29.7771352167529</v>
      </c>
      <c r="E79" s="20" t="n">
        <f aca="false">pe_mid</f>
        <v>30.07</v>
      </c>
    </row>
    <row r="80" customFormat="false" ht="15" hidden="false" customHeight="false" outlineLevel="0" collapsed="false">
      <c r="A80" s="19" t="n">
        <v>1.5</v>
      </c>
      <c r="B80" s="20" t="n">
        <f aca="false">px*A80/PL!F14</f>
        <v>18.5740831255586</v>
      </c>
      <c r="C80" s="20" t="n">
        <f aca="false">px*A80/PL!F27</f>
        <v>21.8451635885217</v>
      </c>
      <c r="D80" s="20" t="n">
        <f aca="false">px*A80/PL!F40</f>
        <v>36.9138039877102</v>
      </c>
      <c r="E80" s="20" t="n">
        <f aca="false">pe_mid</f>
        <v>30.07</v>
      </c>
    </row>
    <row r="81" customFormat="false" ht="15" hidden="false" customHeight="false" outlineLevel="0" collapsed="false">
      <c r="A81" s="19" t="n">
        <v>2</v>
      </c>
      <c r="B81" s="20" t="n">
        <f aca="false">px*A81/PL!F14</f>
        <v>24.7654441674115</v>
      </c>
      <c r="C81" s="20" t="n">
        <f aca="false">px*A81/PL!F27</f>
        <v>29.1268847846956</v>
      </c>
      <c r="D81" s="20" t="n">
        <f aca="false">px*A81/PL!F40</f>
        <v>49.2184053169469</v>
      </c>
      <c r="E81" s="20" t="n">
        <f aca="false">pe_mid</f>
        <v>30.07</v>
      </c>
    </row>
    <row r="82" customFormat="false" ht="17.15" hidden="false" customHeight="false" outlineLevel="0" collapsed="false">
      <c r="A82" s="3" t="s">
        <v>638</v>
      </c>
    </row>
    <row r="85" customFormat="false" ht="17.15" hidden="false" customHeight="false" outlineLevel="0" collapsed="false">
      <c r="A85" s="5" t="s">
        <v>639</v>
      </c>
    </row>
    <row r="86" customFormat="false" ht="17.15" hidden="false" customHeight="false" outlineLevel="0" collapsed="false">
      <c r="A86" s="3" t="s">
        <v>640</v>
      </c>
    </row>
    <row r="88" customFormat="false" ht="17.15" hidden="false" customHeight="false" outlineLevel="0" collapsed="false">
      <c r="A88" s="5" t="s">
        <v>641</v>
      </c>
    </row>
    <row r="89" customFormat="false" ht="17.15" hidden="false" customHeight="false" outlineLevel="0" collapsed="false">
      <c r="A89" s="4" t="s">
        <v>642</v>
      </c>
      <c r="B89" s="4" t="s">
        <v>643</v>
      </c>
      <c r="C89" s="14" t="s">
        <v>644</v>
      </c>
      <c r="D89" s="4" t="s">
        <v>645</v>
      </c>
    </row>
    <row r="90" customFormat="false" ht="17.15" hidden="false" customHeight="false" outlineLevel="0" collapsed="false">
      <c r="A90" s="0" t="s">
        <v>646</v>
      </c>
      <c r="B90" s="18" t="n">
        <f aca="false">10.4/0.26</f>
        <v>40</v>
      </c>
      <c r="D90" s="3" t="s">
        <v>647</v>
      </c>
    </row>
    <row r="91" customFormat="false" ht="15" hidden="false" customHeight="false" outlineLevel="0" collapsed="false">
      <c r="A91" s="0" t="s">
        <v>648</v>
      </c>
    </row>
    <row r="92" customFormat="false" ht="15" hidden="false" customHeight="false" outlineLevel="0" collapsed="false">
      <c r="A92" s="0" t="s">
        <v>649</v>
      </c>
      <c r="B92" s="18" t="n">
        <f aca="false">13.1/0.42</f>
        <v>31.1904761904762</v>
      </c>
    </row>
    <row r="93" customFormat="false" ht="15" hidden="false" customHeight="false" outlineLevel="0" collapsed="false">
      <c r="A93" s="0" t="s">
        <v>650</v>
      </c>
      <c r="B93" s="18" t="n">
        <f aca="false">16.65/0.24</f>
        <v>69.375</v>
      </c>
    </row>
    <row r="94" customFormat="false" ht="15" hidden="false" customHeight="false" outlineLevel="0" collapsed="false">
      <c r="A94" s="0" t="s">
        <v>651</v>
      </c>
      <c r="B94" s="18" t="n">
        <f aca="false">50.5/3.82</f>
        <v>13.2198952879581</v>
      </c>
    </row>
    <row r="95" customFormat="false" ht="15" hidden="false" customHeight="false" outlineLevel="0" collapsed="false">
      <c r="A95" s="0" t="s">
        <v>652</v>
      </c>
      <c r="B95" s="18" t="n">
        <f aca="false">76/5.98</f>
        <v>12.7090301003344</v>
      </c>
      <c r="C95" s="19" t="n">
        <v>14.1</v>
      </c>
    </row>
    <row r="96" customFormat="false" ht="15" hidden="false" customHeight="false" outlineLevel="0" collapsed="false">
      <c r="A96" s="0" t="s">
        <v>653</v>
      </c>
      <c r="B96" s="18" t="n">
        <f aca="false">86.8/8.78</f>
        <v>9.88610478359909</v>
      </c>
      <c r="C96" s="19" t="n">
        <v>9.89</v>
      </c>
    </row>
    <row r="97" customFormat="false" ht="15" hidden="false" customHeight="false" outlineLevel="0" collapsed="false">
      <c r="A97" s="0" t="s">
        <v>654</v>
      </c>
      <c r="B97" s="18" t="n">
        <f aca="false">218/7.25</f>
        <v>30.0689655172414</v>
      </c>
      <c r="C97" s="19" t="n">
        <v>30.1</v>
      </c>
    </row>
    <row r="98" customFormat="false" ht="15" hidden="false" customHeight="false" outlineLevel="0" collapsed="false">
      <c r="A98" s="0" t="s">
        <v>655</v>
      </c>
      <c r="B98" s="18" t="n">
        <f aca="false">241.5/11.54</f>
        <v>20.9272097053726</v>
      </c>
      <c r="C98" s="19" t="n">
        <v>20.9</v>
      </c>
    </row>
    <row r="99" customFormat="false" ht="15" hidden="false" customHeight="false" outlineLevel="0" collapsed="false">
      <c r="A99" s="0" t="s">
        <v>656</v>
      </c>
      <c r="B99" s="18" t="n">
        <f aca="false">687/19.47</f>
        <v>35.2850539291217</v>
      </c>
      <c r="C99" s="19" t="n">
        <v>35.3</v>
      </c>
    </row>
    <row r="100" customFormat="false" ht="17.15" hidden="false" customHeight="false" outlineLevel="0" collapsed="false">
      <c r="A100" s="0" t="s">
        <v>657</v>
      </c>
      <c r="B100" s="18" t="n">
        <f aca="false">PERCENTILE(B90:B99,0.25)</f>
        <v>13.2198952879581</v>
      </c>
      <c r="C100" s="18" t="n">
        <f aca="false">PERCENTILE(C90:C99,0.25)</f>
        <v>14.1</v>
      </c>
    </row>
    <row r="101" customFormat="false" ht="15" hidden="false" customHeight="false" outlineLevel="0" collapsed="false">
      <c r="A101" s="3" t="s">
        <v>658</v>
      </c>
      <c r="B101" s="18" t="n">
        <f aca="false">MEDIAN(B90:B99)</f>
        <v>30.0689655172414</v>
      </c>
      <c r="C101" s="18" t="n">
        <f aca="false">MEDIAN(C90:C99)</f>
        <v>20.9</v>
      </c>
    </row>
    <row r="102" customFormat="false" ht="17.15" hidden="false" customHeight="false" outlineLevel="0" collapsed="false">
      <c r="A102" s="0" t="s">
        <v>659</v>
      </c>
      <c r="B102" s="18" t="n">
        <f aca="false">PERCENTILE(B90:B99,0.75)</f>
        <v>35.2850539291217</v>
      </c>
      <c r="C102" s="18" t="n">
        <f aca="false">PERCENTILE(C90:C99,0.75)</f>
        <v>30.1</v>
      </c>
    </row>
    <row r="103" customFormat="false" ht="15" hidden="false" customHeight="false" outlineLevel="0" collapsed="false">
      <c r="A103" s="3" t="s">
        <v>660</v>
      </c>
      <c r="B103" s="18" t="n">
        <f aca="false">MIN(B90:B99)</f>
        <v>9.88610478359909</v>
      </c>
      <c r="C103" s="18" t="n">
        <f aca="false">MIN(C90:C99)</f>
        <v>9.89</v>
      </c>
    </row>
    <row r="104" customFormat="false" ht="15" hidden="false" customHeight="false" outlineLevel="0" collapsed="false">
      <c r="A104" s="3" t="s">
        <v>661</v>
      </c>
      <c r="B104" s="18" t="n">
        <f aca="false">MAX(B90:B99)</f>
        <v>69.375</v>
      </c>
      <c r="C104" s="18" t="n">
        <f aca="false">MAX(C90:C99)</f>
        <v>35.3</v>
      </c>
    </row>
    <row r="105" customFormat="false" ht="17.15" hidden="false" customHeight="false" outlineLevel="0" collapsed="false">
      <c r="A105" s="1" t="s">
        <v>662</v>
      </c>
      <c r="B105" s="18" t="n">
        <f aca="false">ROUND(AVERAGE(B100),2)</f>
        <v>13.22</v>
      </c>
    </row>
    <row r="106" customFormat="false" ht="17.15" hidden="false" customHeight="false" outlineLevel="0" collapsed="false">
      <c r="A106" s="1" t="s">
        <v>663</v>
      </c>
      <c r="B106" s="18" t="n">
        <f aca="false">ROUND(AVERAGE(B101),2)</f>
        <v>30.07</v>
      </c>
    </row>
    <row r="107" customFormat="false" ht="17.15" hidden="false" customHeight="false" outlineLevel="0" collapsed="false">
      <c r="A107" s="1" t="s">
        <v>664</v>
      </c>
      <c r="B107" s="18" t="n">
        <f aca="false">ROUND(AVERAGE(B102),2)</f>
        <v>35.29</v>
      </c>
    </row>
    <row r="108" customFormat="false" ht="17.15" hidden="false" customHeight="false" outlineLevel="0" collapsed="false">
      <c r="A108" s="1" t="s">
        <v>665</v>
      </c>
      <c r="B108" s="18" t="n">
        <f aca="false">ROUND(MIN(B103),2)</f>
        <v>9.89</v>
      </c>
    </row>
    <row r="109" customFormat="false" ht="17.15" hidden="false" customHeight="false" outlineLevel="0" collapsed="false">
      <c r="A109" s="1" t="s">
        <v>666</v>
      </c>
      <c r="B109" s="18" t="n">
        <f aca="false">ROUND(MAX(B104),2)</f>
        <v>69.38</v>
      </c>
    </row>
    <row r="111" customFormat="false" ht="17.15" hidden="false" customHeight="false" outlineLevel="0" collapsed="false">
      <c r="A111" s="5" t="s">
        <v>667</v>
      </c>
    </row>
    <row r="112" customFormat="false" ht="17.15" hidden="false" customHeight="false" outlineLevel="0" collapsed="false">
      <c r="A112" s="4" t="s">
        <v>668</v>
      </c>
      <c r="B112" s="4" t="s">
        <v>669</v>
      </c>
      <c r="C112" s="4" t="s">
        <v>670</v>
      </c>
      <c r="D112" s="4" t="s">
        <v>21</v>
      </c>
      <c r="E112" s="4" t="s">
        <v>671</v>
      </c>
      <c r="F112" s="4" t="s">
        <v>629</v>
      </c>
      <c r="G112" s="4" t="s">
        <v>672</v>
      </c>
      <c r="H112" s="4" t="s">
        <v>673</v>
      </c>
    </row>
    <row r="113" customFormat="false" ht="17.15" hidden="false" customHeight="false" outlineLevel="0" collapsed="false">
      <c r="A113" s="3" t="s">
        <v>674</v>
      </c>
      <c r="B113" s="0" t="s">
        <v>675</v>
      </c>
      <c r="C113" s="18" t="n">
        <f aca="false">B105</f>
        <v>13.22</v>
      </c>
      <c r="D113" s="7" t="s">
        <v>676</v>
      </c>
      <c r="E113" s="18" t="n">
        <f aca="false">C72</f>
        <v>60.1510234165269</v>
      </c>
      <c r="F113" s="22" t="n">
        <f aca="false">C113*E113</f>
        <v>795.196529566486</v>
      </c>
      <c r="G113" s="17" t="n">
        <f aca="false">F113/px-1</f>
        <v>-0.286819255994183</v>
      </c>
      <c r="H113" s="18" t="n">
        <f aca="false">px/E113</f>
        <v>18.5366754656687</v>
      </c>
    </row>
    <row r="114" customFormat="false" ht="17.15" hidden="false" customHeight="false" outlineLevel="0" collapsed="false">
      <c r="A114" s="3" t="s">
        <v>677</v>
      </c>
      <c r="B114" s="3" t="s">
        <v>678</v>
      </c>
      <c r="C114" s="18" t="n">
        <f aca="false">B106</f>
        <v>30.07</v>
      </c>
      <c r="D114" s="7" t="s">
        <v>676</v>
      </c>
      <c r="E114" s="18" t="n">
        <f aca="false">C72</f>
        <v>60.1510234165269</v>
      </c>
      <c r="F114" s="22" t="n">
        <f aca="false">C114*E114</f>
        <v>1808.74127413496</v>
      </c>
      <c r="G114" s="17" t="n">
        <f aca="false">F114/px-1</f>
        <v>0.622189483529115</v>
      </c>
      <c r="H114" s="18" t="n">
        <f aca="false">px/E114</f>
        <v>18.5366754656687</v>
      </c>
    </row>
    <row r="115" customFormat="false" ht="17.15" hidden="false" customHeight="false" outlineLevel="0" collapsed="false">
      <c r="A115" s="3" t="s">
        <v>679</v>
      </c>
      <c r="B115" s="0" t="s">
        <v>680</v>
      </c>
      <c r="C115" s="18" t="n">
        <f aca="false">B107</f>
        <v>35.29</v>
      </c>
      <c r="D115" s="7" t="s">
        <v>676</v>
      </c>
      <c r="E115" s="18" t="n">
        <f aca="false">C72</f>
        <v>60.1510234165269</v>
      </c>
      <c r="F115" s="22" t="n">
        <f aca="false">C115*E115</f>
        <v>2122.72961636923</v>
      </c>
      <c r="G115" s="17" t="n">
        <f aca="false">F115/px-1</f>
        <v>0.903793377909627</v>
      </c>
      <c r="H115" s="18" t="n">
        <f aca="false">px/E115</f>
        <v>18.5366754656687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681</v>
      </c>
    </row>
    <row r="3" customFormat="false" ht="17.15" hidden="false" customHeight="false" outlineLevel="0" collapsed="false">
      <c r="A3" s="4" t="s">
        <v>18</v>
      </c>
      <c r="B3" s="4" t="s">
        <v>682</v>
      </c>
      <c r="C3" s="4" t="s">
        <v>683</v>
      </c>
      <c r="D3" s="4" t="s">
        <v>684</v>
      </c>
      <c r="E3" s="4" t="s">
        <v>685</v>
      </c>
      <c r="F3" s="4" t="s">
        <v>686</v>
      </c>
      <c r="G3" s="4" t="s">
        <v>687</v>
      </c>
      <c r="H3" s="4" t="s">
        <v>688</v>
      </c>
      <c r="I3" s="4" t="s">
        <v>689</v>
      </c>
      <c r="J3" s="4" t="s">
        <v>436</v>
      </c>
    </row>
    <row r="4" customFormat="false" ht="17.15" hidden="false" customHeight="false" outlineLevel="0" collapsed="false">
      <c r="A4" s="5" t="s">
        <v>690</v>
      </c>
    </row>
    <row r="5" customFormat="false" ht="17.15" hidden="false" customHeight="false" outlineLevel="0" collapsed="false">
      <c r="A5" s="0" t="s">
        <v>691</v>
      </c>
      <c r="B5" s="22" t="n">
        <f aca="false">cons_rev26</f>
        <v>106.371</v>
      </c>
      <c r="C5" s="22" t="n">
        <f aca="false">PL!D83</f>
        <v>105.40752</v>
      </c>
      <c r="D5" s="17" t="n">
        <f aca="false">C5/B5-1</f>
        <v>-0.00905773190061188</v>
      </c>
      <c r="E5" s="22" t="n">
        <f aca="false">PL!D129</f>
        <v>105.40752</v>
      </c>
      <c r="F5" s="17" t="n">
        <f aca="false">E5/B5-1</f>
        <v>-0.00905773190061188</v>
      </c>
      <c r="G5" s="22" t="n">
        <f aca="false">PL!D175</f>
        <v>105.40752</v>
      </c>
      <c r="H5" s="17" t="n">
        <f aca="false">G5/B5-1</f>
        <v>-0.00905773190061188</v>
      </c>
      <c r="I5" s="7" t="s">
        <v>692</v>
      </c>
      <c r="J5" s="7" t="s">
        <v>693</v>
      </c>
    </row>
    <row r="6" customFormat="false" ht="17.15" hidden="false" customHeight="false" outlineLevel="0" collapsed="false">
      <c r="A6" s="0" t="s">
        <v>694</v>
      </c>
      <c r="B6" s="23" t="n">
        <f aca="false">cons_eps26</f>
        <v>41.22</v>
      </c>
      <c r="C6" s="23" t="n">
        <f aca="false">PL!D101</f>
        <v>38.3985658278458</v>
      </c>
      <c r="D6" s="17" t="n">
        <f aca="false">C6/B6-1</f>
        <v>-0.0684481846713779</v>
      </c>
      <c r="E6" s="23" t="n">
        <f aca="false">PL!D147</f>
        <v>38.3985658278458</v>
      </c>
      <c r="F6" s="17" t="n">
        <f aca="false">E6/B6-1</f>
        <v>-0.0684481846713779</v>
      </c>
      <c r="G6" s="23" t="n">
        <f aca="false">PL!D193</f>
        <v>38.3985658278458</v>
      </c>
      <c r="H6" s="17" t="n">
        <f aca="false">G6/B6-1</f>
        <v>-0.0684481846713779</v>
      </c>
      <c r="I6" s="7" t="s">
        <v>695</v>
      </c>
      <c r="J6" s="7" t="s">
        <v>696</v>
      </c>
    </row>
    <row r="7" customFormat="false" ht="17.15" hidden="false" customHeight="false" outlineLevel="0" collapsed="false">
      <c r="A7" s="0" t="s">
        <v>697</v>
      </c>
      <c r="B7" s="23" t="n">
        <f aca="false">fs_eps26</f>
        <v>41.57</v>
      </c>
      <c r="C7" s="23" t="n">
        <f aca="false">PL!D101</f>
        <v>38.3985658278458</v>
      </c>
      <c r="D7" s="17" t="n">
        <f aca="false">C7/B7-1</f>
        <v>-0.0762914162173249</v>
      </c>
      <c r="E7" s="23" t="n">
        <f aca="false">PL!D147</f>
        <v>38.3985658278458</v>
      </c>
      <c r="F7" s="17" t="n">
        <f aca="false">E7/B7-1</f>
        <v>-0.0762914162173249</v>
      </c>
      <c r="G7" s="23" t="n">
        <f aca="false">PL!D193</f>
        <v>38.3985658278458</v>
      </c>
      <c r="H7" s="17" t="n">
        <f aca="false">G7/B7-1</f>
        <v>-0.0762914162173249</v>
      </c>
      <c r="I7" s="7" t="s">
        <v>698</v>
      </c>
    </row>
    <row r="8" customFormat="false" ht="17.15" hidden="false" customHeight="false" outlineLevel="0" collapsed="false">
      <c r="A8" s="0" t="s">
        <v>699</v>
      </c>
      <c r="B8" s="22" t="n">
        <f aca="false">cons_rev27</f>
        <v>159.967</v>
      </c>
      <c r="C8" s="22" t="n">
        <f aca="false">PL!E83</f>
        <v>157.42613112</v>
      </c>
      <c r="D8" s="17" t="n">
        <f aca="false">C8/B8-1</f>
        <v>-0.0158837065144687</v>
      </c>
      <c r="E8" s="22" t="n">
        <f aca="false">PL!E129</f>
        <v>152.840904</v>
      </c>
      <c r="F8" s="17" t="n">
        <f aca="false">E8/B8-1</f>
        <v>-0.044547287878125</v>
      </c>
      <c r="G8" s="22" t="n">
        <f aca="false">PL!E175</f>
        <v>146.72726784</v>
      </c>
      <c r="H8" s="17" t="n">
        <f aca="false">G8/B8-1</f>
        <v>-0.082765396363</v>
      </c>
      <c r="I8" s="7" t="s">
        <v>695</v>
      </c>
    </row>
    <row r="9" customFormat="false" ht="17.15" hidden="false" customHeight="false" outlineLevel="0" collapsed="false">
      <c r="A9" s="0" t="s">
        <v>700</v>
      </c>
      <c r="B9" s="23" t="n">
        <f aca="false">cons_eps27</f>
        <v>62.8</v>
      </c>
      <c r="C9" s="23" t="n">
        <f aca="false">PL!E101</f>
        <v>66.1242832960332</v>
      </c>
      <c r="D9" s="17" t="n">
        <f aca="false">C9/B9-1</f>
        <v>0.0529344473890638</v>
      </c>
      <c r="E9" s="23" t="n">
        <f aca="false">PL!E147</f>
        <v>60.1510234165269</v>
      </c>
      <c r="F9" s="17" t="n">
        <f aca="false">E9/B9-1</f>
        <v>-0.0421811557877884</v>
      </c>
      <c r="G9" s="23" t="n">
        <f aca="false">PL!E193</f>
        <v>51.6688124976171</v>
      </c>
      <c r="H9" s="17" t="n">
        <f aca="false">G9/B9-1</f>
        <v>-0.17724820863667</v>
      </c>
      <c r="I9" s="7" t="s">
        <v>695</v>
      </c>
    </row>
    <row r="10" customFormat="false" ht="17.15" hidden="false" customHeight="false" outlineLevel="0" collapsed="false">
      <c r="A10" s="0" t="s">
        <v>701</v>
      </c>
      <c r="B10" s="23" t="n">
        <f aca="false">fs_eps27</f>
        <v>69.1</v>
      </c>
      <c r="C10" s="23" t="n">
        <f aca="false">PL!E101</f>
        <v>66.1242832960332</v>
      </c>
      <c r="D10" s="17" t="n">
        <f aca="false">C10/B10-1</f>
        <v>-0.0430639175682602</v>
      </c>
      <c r="E10" s="23" t="n">
        <f aca="false">PL!E147</f>
        <v>60.1510234165269</v>
      </c>
      <c r="F10" s="17" t="n">
        <f aca="false">E10/B10-1</f>
        <v>-0.12950762060019</v>
      </c>
      <c r="G10" s="23" t="n">
        <f aca="false">PL!E193</f>
        <v>51.6688124976171</v>
      </c>
      <c r="H10" s="17" t="n">
        <f aca="false">G10/B10-1</f>
        <v>-0.252260311177755</v>
      </c>
      <c r="I10" s="7" t="s">
        <v>702</v>
      </c>
    </row>
    <row r="11" customFormat="false" ht="17.15" hidden="false" customHeight="false" outlineLevel="0" collapsed="false">
      <c r="A11" s="0" t="s">
        <v>703</v>
      </c>
      <c r="B11" s="23" t="n">
        <f aca="false">fb_eps27</f>
        <v>65.39</v>
      </c>
      <c r="C11" s="23" t="n">
        <f aca="false">PL!E101</f>
        <v>66.1242832960332</v>
      </c>
      <c r="D11" s="17" t="n">
        <f aca="false">C11/B11-1</f>
        <v>0.0112292903507143</v>
      </c>
      <c r="E11" s="23" t="n">
        <f aca="false">PL!E147</f>
        <v>60.1510234165269</v>
      </c>
      <c r="F11" s="17" t="n">
        <f aca="false">E11/B11-1</f>
        <v>-0.0801189261886085</v>
      </c>
      <c r="G11" s="23" t="n">
        <f aca="false">PL!E193</f>
        <v>51.6688124976171</v>
      </c>
      <c r="H11" s="17" t="n">
        <f aca="false">G11/B11-1</f>
        <v>-0.209836175292596</v>
      </c>
      <c r="I11" s="7" t="s">
        <v>704</v>
      </c>
      <c r="J11" s="3" t="s">
        <v>705</v>
      </c>
    </row>
    <row r="12" customFormat="false" ht="17.15" hidden="false" customHeight="false" outlineLevel="0" collapsed="false">
      <c r="A12" s="0" t="s">
        <v>706</v>
      </c>
      <c r="B12" s="22" t="n">
        <f aca="false">cons_rev28</f>
        <v>214.339</v>
      </c>
      <c r="C12" s="22" t="n">
        <f aca="false">PL!F83</f>
        <v>204.27977376</v>
      </c>
      <c r="D12" s="17" t="n">
        <f aca="false">C12/B12-1</f>
        <v>-0.0469313855154684</v>
      </c>
      <c r="E12" s="22" t="n">
        <f aca="false">PL!F129</f>
        <v>194.26605936</v>
      </c>
      <c r="F12" s="17" t="n">
        <f aca="false">E12/B12-1</f>
        <v>-0.0936504352451024</v>
      </c>
      <c r="G12" s="22" t="n">
        <f aca="false">PL!F175</f>
        <v>141.1850806402</v>
      </c>
      <c r="H12" s="17" t="n">
        <f aca="false">G12/B12-1</f>
        <v>-0.341300087057418</v>
      </c>
      <c r="I12" s="7" t="s">
        <v>695</v>
      </c>
    </row>
    <row r="13" customFormat="false" ht="17.15" hidden="false" customHeight="false" outlineLevel="0" collapsed="false">
      <c r="A13" s="0" t="s">
        <v>707</v>
      </c>
      <c r="B13" s="23" t="n">
        <f aca="false">cons_eps28</f>
        <v>95.35</v>
      </c>
      <c r="C13" s="23" t="n">
        <f aca="false">PL!F101</f>
        <v>90.0448215233073</v>
      </c>
      <c r="D13" s="17" t="n">
        <f aca="false">C13/B13-1</f>
        <v>-0.055638998182409</v>
      </c>
      <c r="E13" s="23" t="n">
        <f aca="false">PL!F147</f>
        <v>76.5615690275167</v>
      </c>
      <c r="F13" s="17" t="n">
        <f aca="false">E13/B13-1</f>
        <v>-0.197046994991959</v>
      </c>
      <c r="G13" s="23" t="n">
        <f aca="false">PL!F193</f>
        <v>45.3082538054553</v>
      </c>
      <c r="H13" s="17" t="n">
        <f aca="false">G13/B13-1</f>
        <v>-0.524821669580962</v>
      </c>
      <c r="I13" s="7" t="s">
        <v>695</v>
      </c>
    </row>
    <row r="14" customFormat="false" ht="17.15" hidden="false" customHeight="false" outlineLevel="0" collapsed="false">
      <c r="A14" s="0" t="s">
        <v>708</v>
      </c>
      <c r="B14" s="23" t="n">
        <f aca="false">fs_eps28</f>
        <v>95.07</v>
      </c>
      <c r="C14" s="23" t="n">
        <f aca="false">PL!F101</f>
        <v>90.0448215233073</v>
      </c>
      <c r="D14" s="17" t="n">
        <f aca="false">C14/B14-1</f>
        <v>-0.0528576677889209</v>
      </c>
      <c r="E14" s="23" t="n">
        <f aca="false">PL!F147</f>
        <v>76.5615690275167</v>
      </c>
      <c r="F14" s="17" t="n">
        <f aca="false">E14/B14-1</f>
        <v>-0.194682139186739</v>
      </c>
      <c r="G14" s="23" t="n">
        <f aca="false">PL!F193</f>
        <v>45.3082538054553</v>
      </c>
      <c r="H14" s="17" t="n">
        <f aca="false">G14/B14-1</f>
        <v>-0.523422175181915</v>
      </c>
      <c r="I14" s="7" t="s">
        <v>702</v>
      </c>
    </row>
    <row r="15" customFormat="false" ht="17.15" hidden="false" customHeight="false" outlineLevel="0" collapsed="false">
      <c r="A15" s="5" t="s">
        <v>709</v>
      </c>
    </row>
    <row r="16" customFormat="false" ht="17.15" hidden="false" customHeight="false" outlineLevel="0" collapsed="false">
      <c r="A16" s="0" t="s">
        <v>710</v>
      </c>
      <c r="B16" s="21" t="n">
        <f aca="false">vg_pgw26</f>
        <v>450</v>
      </c>
      <c r="C16" s="21" t="n">
        <f aca="false">PL!D69</f>
        <v>425</v>
      </c>
      <c r="D16" s="17" t="n">
        <f aca="false">C16/B16-1</f>
        <v>-0.0555555555555556</v>
      </c>
      <c r="E16" s="21" t="n">
        <f aca="false">PL!D115</f>
        <v>425</v>
      </c>
      <c r="F16" s="17" t="n">
        <f aca="false">E16/B16-1</f>
        <v>-0.0555555555555556</v>
      </c>
      <c r="G16" s="21" t="n">
        <f aca="false">PL!D161</f>
        <v>425</v>
      </c>
      <c r="H16" s="17" t="n">
        <f aca="false">G16/B16-1</f>
        <v>-0.0555555555555556</v>
      </c>
      <c r="I16" s="7" t="s">
        <v>711</v>
      </c>
      <c r="J16" s="3" t="s">
        <v>712</v>
      </c>
    </row>
    <row r="17" customFormat="false" ht="17.15" hidden="false" customHeight="false" outlineLevel="0" collapsed="false">
      <c r="A17" s="0" t="s">
        <v>713</v>
      </c>
      <c r="B17" s="21" t="n">
        <f aca="false">vg_pgw27</f>
        <v>682</v>
      </c>
      <c r="C17" s="21" t="n">
        <f aca="false">PL!E69</f>
        <v>632</v>
      </c>
      <c r="D17" s="17" t="n">
        <f aca="false">C17/B17-1</f>
        <v>-0.0733137829912024</v>
      </c>
      <c r="E17" s="21" t="n">
        <f aca="false">PL!E115</f>
        <v>632</v>
      </c>
      <c r="F17" s="17" t="n">
        <f aca="false">E17/B17-1</f>
        <v>-0.0733137829912024</v>
      </c>
      <c r="G17" s="21" t="n">
        <f aca="false">PL!E161</f>
        <v>632</v>
      </c>
      <c r="H17" s="17" t="n">
        <f aca="false">G17/B17-1</f>
        <v>-0.0733137829912024</v>
      </c>
      <c r="I17" s="7" t="s">
        <v>711</v>
      </c>
      <c r="J17" s="7" t="s">
        <v>52</v>
      </c>
    </row>
    <row r="18" customFormat="false" ht="17.15" hidden="false" customHeight="false" outlineLevel="0" collapsed="false">
      <c r="A18" s="0" t="s">
        <v>714</v>
      </c>
      <c r="B18" s="21" t="n">
        <f aca="false">vg_pgw28</f>
        <v>792</v>
      </c>
      <c r="C18" s="21" t="n">
        <f aca="false">PL!F69</f>
        <v>717</v>
      </c>
      <c r="D18" s="17" t="n">
        <f aca="false">C18/B18-1</f>
        <v>-0.0946969696969697</v>
      </c>
      <c r="E18" s="21" t="n">
        <f aca="false">PL!F115</f>
        <v>717</v>
      </c>
      <c r="F18" s="17" t="n">
        <f aca="false">E18/B18-1</f>
        <v>-0.0946969696969697</v>
      </c>
      <c r="G18" s="21" t="n">
        <f aca="false">PL!F161</f>
        <v>717</v>
      </c>
      <c r="H18" s="17" t="n">
        <f aca="false">G18/B18-1</f>
        <v>-0.0946969696969697</v>
      </c>
      <c r="I18" s="7" t="s">
        <v>711</v>
      </c>
      <c r="J18" s="7" t="s">
        <v>52</v>
      </c>
    </row>
    <row r="19" customFormat="false" ht="17.15" hidden="false" customHeight="false" outlineLevel="0" collapsed="false">
      <c r="A19" s="0" t="s">
        <v>715</v>
      </c>
      <c r="B19" s="21" t="n">
        <f aca="false">emc_ccl26</f>
        <v>350</v>
      </c>
      <c r="C19" s="21" t="n">
        <f aca="false">PL!D69</f>
        <v>425</v>
      </c>
      <c r="D19" s="17" t="n">
        <f aca="false">C19/B19-1</f>
        <v>0.214285714285714</v>
      </c>
      <c r="E19" s="21" t="n">
        <f aca="false">PL!D115</f>
        <v>425</v>
      </c>
      <c r="F19" s="17" t="n">
        <f aca="false">E19/B19-1</f>
        <v>0.214285714285714</v>
      </c>
      <c r="G19" s="21" t="n">
        <f aca="false">PL!D161</f>
        <v>425</v>
      </c>
      <c r="H19" s="17" t="n">
        <f aca="false">G19/B19-1</f>
        <v>0.214285714285714</v>
      </c>
      <c r="I19" s="7" t="s">
        <v>716</v>
      </c>
      <c r="J19" s="3" t="s">
        <v>717</v>
      </c>
    </row>
    <row r="20" customFormat="false" ht="17.15" hidden="false" customHeight="false" outlineLevel="0" collapsed="false">
      <c r="A20" s="0" t="s">
        <v>718</v>
      </c>
      <c r="B20" s="21" t="n">
        <f aca="false">emc_ccl27</f>
        <v>527.5</v>
      </c>
      <c r="C20" s="21" t="n">
        <f aca="false">PL!E69</f>
        <v>632</v>
      </c>
      <c r="D20" s="17" t="n">
        <f aca="false">C20/B20-1</f>
        <v>0.198104265402844</v>
      </c>
      <c r="E20" s="21" t="n">
        <f aca="false">PL!E115</f>
        <v>632</v>
      </c>
      <c r="F20" s="17" t="n">
        <f aca="false">E20/B20-1</f>
        <v>0.198104265402844</v>
      </c>
      <c r="G20" s="21" t="n">
        <f aca="false">PL!E161</f>
        <v>632</v>
      </c>
      <c r="H20" s="17" t="n">
        <f aca="false">G20/B20-1</f>
        <v>0.198104265402844</v>
      </c>
      <c r="I20" s="7" t="s">
        <v>716</v>
      </c>
      <c r="J20" s="7" t="s">
        <v>52</v>
      </c>
    </row>
    <row r="21" customFormat="false" ht="17.15" hidden="false" customHeight="false" outlineLevel="0" collapsed="false">
      <c r="A21" s="0" t="s">
        <v>719</v>
      </c>
      <c r="B21" s="18" t="n">
        <f aca="false">emc_ccl27/emc_ccl26</f>
        <v>1.50714285714286</v>
      </c>
      <c r="C21" s="18" t="n">
        <f aca="false">PL!E69/PL!D69</f>
        <v>1.48705882352941</v>
      </c>
      <c r="D21" s="17" t="n">
        <f aca="false">C21/B21-1</f>
        <v>-0.0133258990800111</v>
      </c>
      <c r="E21" s="18" t="n">
        <f aca="false">PL!E115/PL!D115</f>
        <v>1.48705882352941</v>
      </c>
      <c r="F21" s="17" t="n">
        <f aca="false">E21/B21-1</f>
        <v>-0.0133258990800111</v>
      </c>
      <c r="G21" s="18" t="n">
        <f aca="false">PL!E161/PL!D161</f>
        <v>1.48705882352941</v>
      </c>
      <c r="H21" s="17" t="n">
        <f aca="false">G21/B21-1</f>
        <v>-0.0133258990800111</v>
      </c>
      <c r="I21" s="7" t="s">
        <v>720</v>
      </c>
      <c r="J21" s="3" t="s">
        <v>721</v>
      </c>
    </row>
    <row r="22" customFormat="false" ht="17.15" hidden="false" customHeight="false" outlineLevel="0" collapsed="false">
      <c r="A22" s="0" t="s">
        <v>722</v>
      </c>
      <c r="B22" s="21" t="n">
        <f aca="false">vg_pge26</f>
        <v>111.389307286659</v>
      </c>
      <c r="C22" s="21" t="n">
        <f aca="false">PL!D87</f>
        <v>73.4578604462223</v>
      </c>
      <c r="D22" s="17" t="n">
        <f aca="false">C22/B22-1</f>
        <v>-0.34053041323635</v>
      </c>
      <c r="E22" s="21" t="n">
        <f aca="false">PL!D133</f>
        <v>73.4578604462223</v>
      </c>
      <c r="F22" s="17" t="n">
        <f aca="false">E22/B22-1</f>
        <v>-0.34053041323635</v>
      </c>
      <c r="G22" s="21" t="n">
        <f aca="false">PL!D179</f>
        <v>73.4578604462223</v>
      </c>
      <c r="H22" s="17" t="n">
        <f aca="false">G22/B22-1</f>
        <v>-0.34053041323635</v>
      </c>
      <c r="I22" s="7" t="s">
        <v>723</v>
      </c>
      <c r="J22" s="3" t="s">
        <v>724</v>
      </c>
    </row>
    <row r="23" customFormat="false" ht="17.15" hidden="false" customHeight="false" outlineLevel="0" collapsed="false">
      <c r="A23" s="0" t="s">
        <v>725</v>
      </c>
      <c r="B23" s="21" t="n">
        <f aca="false">emc_pg26</f>
        <v>160.757158009399</v>
      </c>
      <c r="C23" s="21" t="n">
        <f aca="false">PL!D87</f>
        <v>73.4578604462223</v>
      </c>
      <c r="D23" s="17" t="n">
        <f aca="false">C23/B23-1</f>
        <v>-0.543050764545568</v>
      </c>
      <c r="E23" s="21" t="n">
        <f aca="false">PL!D133</f>
        <v>73.4578604462223</v>
      </c>
      <c r="F23" s="17" t="n">
        <f aca="false">E23/B23-1</f>
        <v>-0.543050764545568</v>
      </c>
      <c r="G23" s="21" t="n">
        <f aca="false">PL!D179</f>
        <v>73.4578604462223</v>
      </c>
      <c r="H23" s="17" t="n">
        <f aca="false">G23/B23-1</f>
        <v>-0.543050764545568</v>
      </c>
      <c r="I23" s="7" t="s">
        <v>720</v>
      </c>
      <c r="J23" s="3" t="s">
        <v>726</v>
      </c>
    </row>
    <row r="24" customFormat="false" ht="17.15" hidden="false" customHeight="false" outlineLevel="0" collapsed="false">
      <c r="A24" s="0" t="s">
        <v>727</v>
      </c>
      <c r="B24" s="21" t="n">
        <f aca="false">vg_pge27</f>
        <v>132.933491717507</v>
      </c>
      <c r="C24" s="21" t="n">
        <f aca="false">PL!E87</f>
        <v>78.4144046416261</v>
      </c>
      <c r="D24" s="17" t="n">
        <f aca="false">C24/B24-1</f>
        <v>-0.410123034996612</v>
      </c>
      <c r="E24" s="21" t="n">
        <f aca="false">PL!E133</f>
        <v>74.9738410190283</v>
      </c>
      <c r="F24" s="17" t="n">
        <f aca="false">E24/B24-1</f>
        <v>-0.436004876947391</v>
      </c>
      <c r="G24" s="21" t="n">
        <f aca="false">PL!E179</f>
        <v>70.3864228555647</v>
      </c>
      <c r="H24" s="17" t="n">
        <f aca="false">G24/B24-1</f>
        <v>-0.47051399954843</v>
      </c>
      <c r="I24" s="7" t="s">
        <v>723</v>
      </c>
      <c r="J24" s="7" t="s">
        <v>52</v>
      </c>
    </row>
    <row r="25" customFormat="false" ht="17.15" hidden="false" customHeight="false" outlineLevel="0" collapsed="false">
      <c r="A25" s="0" t="s">
        <v>728</v>
      </c>
      <c r="B25" s="21" t="n">
        <f aca="false">emc_pg27</f>
        <v>180.408412082255</v>
      </c>
      <c r="C25" s="21" t="n">
        <f aca="false">PL!E87</f>
        <v>78.4144046416261</v>
      </c>
      <c r="D25" s="17" t="n">
        <f aca="false">C25/B25-1</f>
        <v>-0.565350618984031</v>
      </c>
      <c r="E25" s="21" t="n">
        <f aca="false">PL!E133</f>
        <v>74.9738410190283</v>
      </c>
      <c r="F25" s="17" t="n">
        <f aca="false">E25/B25-1</f>
        <v>-0.584421590137133</v>
      </c>
      <c r="G25" s="21" t="n">
        <f aca="false">PL!E179</f>
        <v>70.3864228555647</v>
      </c>
      <c r="H25" s="17" t="n">
        <f aca="false">G25/B25-1</f>
        <v>-0.609849551674603</v>
      </c>
      <c r="I25" s="7" t="s">
        <v>720</v>
      </c>
      <c r="J25" s="3" t="s">
        <v>726</v>
      </c>
    </row>
    <row r="26" customFormat="false" ht="17.15" hidden="false" customHeight="false" outlineLevel="0" collapsed="false">
      <c r="A26" s="0" t="s">
        <v>729</v>
      </c>
      <c r="B26" s="17" t="n">
        <f aca="false">vg_sh26</f>
        <v>0.247531793970354</v>
      </c>
      <c r="C26" s="17" t="n">
        <f aca="false">PL!D73</f>
        <v>0.172842024579347</v>
      </c>
      <c r="D26" s="17" t="n">
        <f aca="false">C26-B26</f>
        <v>-0.0746897693910075</v>
      </c>
      <c r="E26" s="17" t="n">
        <f aca="false">PL!D119</f>
        <v>0.172842024579347</v>
      </c>
      <c r="F26" s="17" t="n">
        <f aca="false">E26-B26</f>
        <v>-0.0746897693910075</v>
      </c>
      <c r="G26" s="17" t="n">
        <f aca="false">PL!D165</f>
        <v>0.172842024579347</v>
      </c>
      <c r="H26" s="17" t="n">
        <f aca="false">G26-B26</f>
        <v>-0.0746897693910075</v>
      </c>
      <c r="I26" s="7" t="s">
        <v>723</v>
      </c>
      <c r="J26" s="3" t="s">
        <v>730</v>
      </c>
    </row>
    <row r="27" customFormat="false" ht="17.15" hidden="false" customHeight="false" outlineLevel="0" collapsed="false">
      <c r="A27" s="5" t="s">
        <v>731</v>
      </c>
    </row>
    <row r="28" customFormat="false" ht="17.15" hidden="false" customHeight="false" outlineLevel="0" collapsed="false">
      <c r="A28" s="0" t="s">
        <v>732</v>
      </c>
      <c r="C28" s="17" t="n">
        <f aca="false">PL!E86</f>
        <v>1.36486372824542</v>
      </c>
      <c r="E28" s="17" t="n">
        <f aca="false">PL!E132</f>
        <v>1.29875034099137</v>
      </c>
      <c r="G28" s="17" t="n">
        <f aca="false">PL!E178</f>
        <v>1.17030533893803</v>
      </c>
      <c r="I28" s="7" t="s">
        <v>52</v>
      </c>
      <c r="J28" s="3" t="s">
        <v>465</v>
      </c>
    </row>
    <row r="29" customFormat="false" ht="17.15" hidden="false" customHeight="false" outlineLevel="0" collapsed="false">
      <c r="A29" s="0" t="s">
        <v>733</v>
      </c>
      <c r="C29" s="17" t="n">
        <f aca="false">PL!F86</f>
        <v>1.39582607539974</v>
      </c>
      <c r="E29" s="17" t="n">
        <f aca="false">PL!F132</f>
        <v>1.07506839756468</v>
      </c>
      <c r="G29" s="17" t="n">
        <f aca="false">PL!F178</f>
        <v>0.766259342158442</v>
      </c>
      <c r="I29" s="7" t="s">
        <v>52</v>
      </c>
    </row>
    <row r="30" customFormat="false" ht="17.15" hidden="false" customHeight="false" outlineLevel="0" collapsed="false">
      <c r="A30" s="3" t="s">
        <v>734</v>
      </c>
      <c r="C30" s="17" t="n">
        <f aca="false">PL!D89</f>
        <v>0.296655205435058</v>
      </c>
      <c r="E30" s="17" t="n">
        <f aca="false">PL!D135</f>
        <v>0.296655205435058</v>
      </c>
      <c r="G30" s="17" t="n">
        <f aca="false">PL!D181</f>
        <v>0.296655205435058</v>
      </c>
      <c r="I30" s="7" t="s">
        <v>735</v>
      </c>
      <c r="J30" s="7" t="s">
        <v>736</v>
      </c>
    </row>
    <row r="31" customFormat="false" ht="17.15" hidden="false" customHeight="false" outlineLevel="0" collapsed="false">
      <c r="A31" s="0" t="s">
        <v>737</v>
      </c>
      <c r="B31" s="17" t="n">
        <f aca="false">a26_gp/a26_rev</f>
        <v>0.348837592422248</v>
      </c>
      <c r="C31" s="17" t="n">
        <f aca="false">PL!E92</f>
        <v>0.387979003618137</v>
      </c>
      <c r="D31" s="17" t="n">
        <f aca="false">C31-B31</f>
        <v>0.0391414111958884</v>
      </c>
      <c r="E31" s="17" t="n">
        <f aca="false">PL!E138</f>
        <v>0.368566003345544</v>
      </c>
      <c r="F31" s="17" t="n">
        <f aca="false">E31-B31</f>
        <v>0.0197284109232958</v>
      </c>
      <c r="G31" s="17" t="n">
        <f aca="false">PL!E184</f>
        <v>0.338121049418025</v>
      </c>
      <c r="H31" s="17" t="n">
        <f aca="false">G31-B31</f>
        <v>-0.010716543004223</v>
      </c>
      <c r="I31" s="3" t="s">
        <v>738</v>
      </c>
    </row>
    <row r="32" customFormat="false" ht="17.15" hidden="false" customHeight="false" outlineLevel="0" collapsed="false">
      <c r="A32" s="0" t="s">
        <v>739</v>
      </c>
      <c r="B32" s="17" t="n">
        <f aca="false">0.2643</f>
        <v>0.2643</v>
      </c>
      <c r="C32" s="17" t="n">
        <f aca="false">PL!E96</f>
        <v>0.318179257935738</v>
      </c>
      <c r="D32" s="17" t="n">
        <f aca="false">C32-B32</f>
        <v>0.0538792579357379</v>
      </c>
      <c r="E32" s="17" t="n">
        <f aca="false">PL!E142</f>
        <v>0.298120013586154</v>
      </c>
      <c r="F32" s="17" t="n">
        <f aca="false">E32-B32</f>
        <v>0.0338200135861536</v>
      </c>
      <c r="G32" s="17" t="n">
        <f aca="false">PL!E188</f>
        <v>0.26675057160405</v>
      </c>
      <c r="H32" s="17" t="n">
        <f aca="false">G32-B32</f>
        <v>0.00245057160404971</v>
      </c>
      <c r="I32" s="3" t="s">
        <v>740</v>
      </c>
    </row>
    <row r="33" customFormat="false" ht="17.15" hidden="false" customHeight="false" outlineLevel="0" collapsed="false">
      <c r="A33" s="0" t="s">
        <v>741</v>
      </c>
      <c r="C33" s="18" t="n">
        <f aca="false">Q!E15</f>
        <v>11.5525389097932</v>
      </c>
      <c r="E33" s="18" t="n">
        <f aca="false">Q!E15</f>
        <v>11.5525389097932</v>
      </c>
      <c r="G33" s="18" t="n">
        <f aca="false">Q!E15</f>
        <v>11.5525389097932</v>
      </c>
      <c r="I33" s="7" t="s">
        <v>52</v>
      </c>
      <c r="J33" s="7" t="s">
        <v>742</v>
      </c>
    </row>
    <row r="34" customFormat="false" ht="17.15" hidden="false" customHeight="false" outlineLevel="0" collapsed="false">
      <c r="A34" s="5" t="s">
        <v>743</v>
      </c>
    </row>
    <row r="35" customFormat="false" ht="17.15" hidden="false" customHeight="false" outlineLevel="0" collapsed="false">
      <c r="A35" s="0" t="s">
        <v>744</v>
      </c>
      <c r="J35" s="3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746</v>
      </c>
    </row>
    <row r="3" customFormat="false" ht="17.15" hidden="false" customHeight="false" outlineLevel="0" collapsed="false">
      <c r="A3" s="4" t="s">
        <v>747</v>
      </c>
      <c r="B3" s="4" t="s">
        <v>748</v>
      </c>
      <c r="C3" s="14" t="s">
        <v>749</v>
      </c>
      <c r="D3" s="14" t="s">
        <v>750</v>
      </c>
      <c r="E3" s="14" t="s">
        <v>751</v>
      </c>
      <c r="F3" s="14" t="s">
        <v>626</v>
      </c>
      <c r="G3" s="14" t="s">
        <v>752</v>
      </c>
      <c r="H3" s="14" t="s">
        <v>753</v>
      </c>
      <c r="I3" s="14" t="s">
        <v>754</v>
      </c>
      <c r="J3" s="14" t="s">
        <v>755</v>
      </c>
      <c r="K3" s="14" t="s">
        <v>756</v>
      </c>
      <c r="L3" s="14" t="s">
        <v>757</v>
      </c>
    </row>
    <row r="4" customFormat="false" ht="17.15" hidden="false" customHeight="false" outlineLevel="0" collapsed="false">
      <c r="A4" s="3" t="s">
        <v>758</v>
      </c>
      <c r="B4" s="0" t="s">
        <v>759</v>
      </c>
      <c r="C4" s="22" t="n">
        <f aca="false">PL!E129</f>
        <v>152.840904</v>
      </c>
      <c r="D4" s="22" t="n">
        <f aca="false">PL!E127</f>
        <v>99.917376</v>
      </c>
      <c r="E4" s="17" t="n">
        <f aca="false">PL!E138</f>
        <v>0.368566003345544</v>
      </c>
      <c r="F4" s="18" t="n">
        <f aca="false">PL!E147</f>
        <v>60.1510234165269</v>
      </c>
      <c r="G4" s="17" t="n">
        <f aca="false">F4/F$4-1</f>
        <v>0</v>
      </c>
      <c r="H4" s="22" t="n">
        <f aca="false">PL!F129</f>
        <v>194.26605936</v>
      </c>
      <c r="I4" s="22" t="n">
        <f aca="false">PL!F127</f>
        <v>139.75482552</v>
      </c>
      <c r="J4" s="17" t="n">
        <f aca="false">PL!F138</f>
        <v>0.365962006691732</v>
      </c>
      <c r="K4" s="18" t="n">
        <f aca="false">PL!F147</f>
        <v>76.5615690275167</v>
      </c>
      <c r="L4" s="17" t="n">
        <f aca="false">K4/K$4-1</f>
        <v>0</v>
      </c>
    </row>
    <row r="5" customFormat="false" ht="17.15" hidden="false" customHeight="false" outlineLevel="0" collapsed="false">
      <c r="A5" s="3" t="s">
        <v>760</v>
      </c>
      <c r="B5" s="3" t="s">
        <v>761</v>
      </c>
      <c r="C5" s="22" t="n">
        <f aca="false">E73</f>
        <v>152.840904</v>
      </c>
      <c r="D5" s="22" t="n">
        <f aca="false">E71</f>
        <v>99.917376</v>
      </c>
      <c r="E5" s="17" t="n">
        <f aca="false">E82</f>
        <v>0.368566003345544</v>
      </c>
      <c r="F5" s="18" t="n">
        <f aca="false">E91</f>
        <v>60.1510234165269</v>
      </c>
      <c r="G5" s="17" t="n">
        <f aca="false">F5/F$4-1</f>
        <v>0</v>
      </c>
      <c r="H5" s="22" t="n">
        <f aca="false">F73</f>
        <v>189.992934756261</v>
      </c>
      <c r="I5" s="22" t="n">
        <f aca="false">F71</f>
        <v>135.481700916261</v>
      </c>
      <c r="J5" s="17" t="n">
        <f aca="false">F82</f>
        <v>0.365354007277577</v>
      </c>
      <c r="K5" s="18" t="n">
        <f aca="false">F91</f>
        <v>74.6026961722779</v>
      </c>
      <c r="L5" s="17" t="n">
        <f aca="false">K5/K$4-1</f>
        <v>-0.0255855892208107</v>
      </c>
    </row>
    <row r="6" customFormat="false" ht="17.15" hidden="false" customHeight="false" outlineLevel="0" collapsed="false">
      <c r="A6" s="3" t="s">
        <v>762</v>
      </c>
      <c r="B6" s="3" t="s">
        <v>763</v>
      </c>
      <c r="C6" s="22" t="n">
        <f aca="false">E119</f>
        <v>152.840904</v>
      </c>
      <c r="D6" s="22" t="n">
        <f aca="false">E117</f>
        <v>99.917376</v>
      </c>
      <c r="E6" s="17" t="n">
        <f aca="false">E128</f>
        <v>0.368566003345544</v>
      </c>
      <c r="F6" s="18" t="n">
        <f aca="false">E137</f>
        <v>60.1510234165269</v>
      </c>
      <c r="G6" s="17" t="n">
        <f aca="false">F6/F$4-1</f>
        <v>0</v>
      </c>
      <c r="H6" s="22" t="n">
        <f aca="false">F119</f>
        <v>194.26605936</v>
      </c>
      <c r="I6" s="22" t="n">
        <f aca="false">F117</f>
        <v>139.75482552</v>
      </c>
      <c r="J6" s="17" t="n">
        <f aca="false">F128</f>
        <v>0.365962006691732</v>
      </c>
      <c r="K6" s="18" t="n">
        <f aca="false">F137</f>
        <v>76.5615690275167</v>
      </c>
      <c r="L6" s="17" t="n">
        <f aca="false">K6/K$4-1</f>
        <v>0</v>
      </c>
    </row>
    <row r="7" customFormat="false" ht="17.15" hidden="false" customHeight="false" outlineLevel="0" collapsed="false">
      <c r="A7" s="3" t="s">
        <v>764</v>
      </c>
      <c r="B7" s="3" t="s">
        <v>765</v>
      </c>
      <c r="C7" s="22" t="n">
        <f aca="false">E165</f>
        <v>152.840904</v>
      </c>
      <c r="D7" s="22" t="n">
        <f aca="false">E163</f>
        <v>99.917376</v>
      </c>
      <c r="E7" s="17" t="n">
        <f aca="false">E174</f>
        <v>0.368566003345544</v>
      </c>
      <c r="F7" s="18" t="n">
        <f aca="false">E183</f>
        <v>60.1510234165269</v>
      </c>
      <c r="G7" s="17" t="n">
        <f aca="false">F7/F$4-1</f>
        <v>0</v>
      </c>
      <c r="H7" s="22" t="n">
        <f aca="false">F165</f>
        <v>194.26605936</v>
      </c>
      <c r="I7" s="22" t="n">
        <f aca="false">F163</f>
        <v>139.75482552</v>
      </c>
      <c r="J7" s="17" t="n">
        <f aca="false">F174</f>
        <v>0.365962006691732</v>
      </c>
      <c r="K7" s="18" t="n">
        <f aca="false">F183</f>
        <v>76.5615690275167</v>
      </c>
      <c r="L7" s="17" t="n">
        <f aca="false">K7/K$4-1</f>
        <v>0</v>
      </c>
    </row>
    <row r="8" customFormat="false" ht="17.15" hidden="false" customHeight="false" outlineLevel="0" collapsed="false">
      <c r="A8" s="3" t="s">
        <v>766</v>
      </c>
      <c r="B8" s="3" t="s">
        <v>767</v>
      </c>
      <c r="C8" s="22" t="n">
        <f aca="false">E211</f>
        <v>152.840904</v>
      </c>
      <c r="D8" s="22" t="n">
        <f aca="false">E209</f>
        <v>99.917376</v>
      </c>
      <c r="E8" s="17" t="n">
        <f aca="false">E220</f>
        <v>0.368566003345544</v>
      </c>
      <c r="F8" s="18" t="n">
        <f aca="false">E229</f>
        <v>60.1510234165269</v>
      </c>
      <c r="G8" s="17" t="n">
        <f aca="false">F8/F$4-1</f>
        <v>0</v>
      </c>
      <c r="H8" s="22" t="n">
        <f aca="false">F211</f>
        <v>194.26605936</v>
      </c>
      <c r="I8" s="22" t="n">
        <f aca="false">F209</f>
        <v>139.75482552</v>
      </c>
      <c r="J8" s="17" t="n">
        <f aca="false">F220</f>
        <v>0.365962006691732</v>
      </c>
      <c r="K8" s="18" t="n">
        <f aca="false">F229</f>
        <v>76.5615690275167</v>
      </c>
      <c r="L8" s="17" t="n">
        <f aca="false">K8/K$4-1</f>
        <v>0</v>
      </c>
    </row>
    <row r="9" customFormat="false" ht="17.15" hidden="false" customHeight="false" outlineLevel="0" collapsed="false">
      <c r="A9" s="3" t="s">
        <v>768</v>
      </c>
      <c r="B9" s="3" t="s">
        <v>769</v>
      </c>
      <c r="C9" s="22" t="n">
        <f aca="false">E257</f>
        <v>152.840904</v>
      </c>
      <c r="D9" s="22" t="n">
        <f aca="false">E255</f>
        <v>99.917376</v>
      </c>
      <c r="E9" s="17" t="n">
        <f aca="false">E266</f>
        <v>0.368566003345544</v>
      </c>
      <c r="F9" s="18" t="n">
        <f aca="false">E275</f>
        <v>60.1510234165269</v>
      </c>
      <c r="G9" s="17" t="n">
        <f aca="false">F9/F$4-1</f>
        <v>0</v>
      </c>
      <c r="H9" s="22" t="n">
        <f aca="false">F257</f>
        <v>176.35707644318</v>
      </c>
      <c r="I9" s="22" t="n">
        <f aca="false">F255</f>
        <v>121.84584260318</v>
      </c>
      <c r="J9" s="17" t="n">
        <f aca="false">F266</f>
        <v>0.363216812404082</v>
      </c>
      <c r="K9" s="18" t="n">
        <f aca="false">F275</f>
        <v>68.3517872509692</v>
      </c>
      <c r="L9" s="17" t="n">
        <f aca="false">K9/K$4-1</f>
        <v>-0.10723110668744</v>
      </c>
    </row>
    <row r="10" customFormat="false" ht="17.15" hidden="false" customHeight="false" outlineLevel="0" collapsed="false">
      <c r="A10" s="3" t="s">
        <v>770</v>
      </c>
      <c r="B10" s="3" t="s">
        <v>771</v>
      </c>
      <c r="C10" s="22" t="n">
        <f aca="false">E303</f>
        <v>152.840904</v>
      </c>
      <c r="D10" s="22" t="n">
        <f aca="false">E301</f>
        <v>99.917376</v>
      </c>
      <c r="E10" s="17" t="n">
        <f aca="false">E312</f>
        <v>0.368566003345544</v>
      </c>
      <c r="F10" s="18" t="n">
        <f aca="false">E321</f>
        <v>60.1510234165269</v>
      </c>
      <c r="G10" s="17" t="n">
        <f aca="false">F10/F$4-1</f>
        <v>0</v>
      </c>
      <c r="H10" s="22" t="n">
        <f aca="false">F303</f>
        <v>194.26605936</v>
      </c>
      <c r="I10" s="22" t="n">
        <f aca="false">F301</f>
        <v>139.75482552</v>
      </c>
      <c r="J10" s="17" t="n">
        <f aca="false">F312</f>
        <v>0.365962006691732</v>
      </c>
      <c r="K10" s="18" t="n">
        <f aca="false">F321</f>
        <v>76.5615690275167</v>
      </c>
      <c r="L10" s="17" t="n">
        <f aca="false">K10/K$4-1</f>
        <v>0</v>
      </c>
    </row>
    <row r="11" customFormat="false" ht="17.15" hidden="false" customHeight="false" outlineLevel="0" collapsed="false">
      <c r="A11" s="3" t="s">
        <v>772</v>
      </c>
      <c r="B11" s="3" t="s">
        <v>773</v>
      </c>
      <c r="C11" s="22" t="n">
        <f aca="false">E349</f>
        <v>146.72726784</v>
      </c>
      <c r="D11" s="22" t="n">
        <f aca="false">E347</f>
        <v>93.80373984</v>
      </c>
      <c r="E11" s="17" t="n">
        <f aca="false">E358</f>
        <v>0.350907185385921</v>
      </c>
      <c r="F11" s="18" t="n">
        <f aca="false">E367</f>
        <v>54.1454499717997</v>
      </c>
      <c r="G11" s="17" t="n">
        <f aca="false">F11/F$4-1</f>
        <v>-0.0998415837938532</v>
      </c>
      <c r="H11" s="22" t="n">
        <f aca="false">F349</f>
        <v>184.25234496</v>
      </c>
      <c r="I11" s="22" t="n">
        <f aca="false">F347</f>
        <v>129.74111112</v>
      </c>
      <c r="J11" s="17" t="n">
        <f aca="false">F358</f>
        <v>0.340689331068165</v>
      </c>
      <c r="K11" s="18" t="n">
        <f aca="false">F367</f>
        <v>66.2592703839163</v>
      </c>
      <c r="L11" s="17" t="n">
        <f aca="false">K11/K$4-1</f>
        <v>-0.134562271573845</v>
      </c>
    </row>
    <row r="12" customFormat="false" ht="17.15" hidden="false" customHeight="false" outlineLevel="0" collapsed="false">
      <c r="A12" s="3" t="s">
        <v>774</v>
      </c>
      <c r="B12" s="3" t="s">
        <v>775</v>
      </c>
      <c r="C12" s="22" t="n">
        <f aca="false">E395</f>
        <v>157.42613112</v>
      </c>
      <c r="D12" s="22" t="n">
        <f aca="false">E393</f>
        <v>104.50260312</v>
      </c>
      <c r="E12" s="17" t="n">
        <f aca="false">E404</f>
        <v>0.381340804332128</v>
      </c>
      <c r="F12" s="18" t="n">
        <f aca="false">E413</f>
        <v>64.7447270892227</v>
      </c>
      <c r="G12" s="17" t="n">
        <f aca="false">F12/F$4-1</f>
        <v>0.0763695014943617</v>
      </c>
      <c r="H12" s="22" t="n">
        <f aca="false">F395</f>
        <v>204.27977376</v>
      </c>
      <c r="I12" s="22" t="n">
        <f aca="false">F393</f>
        <v>149.76853992</v>
      </c>
      <c r="J12" s="17" t="n">
        <f aca="false">F404</f>
        <v>0.389641344075746</v>
      </c>
      <c r="K12" s="18" t="n">
        <f aca="false">F413</f>
        <v>87.108505655867</v>
      </c>
      <c r="L12" s="17" t="n">
        <f aca="false">K12/K$4-1</f>
        <v>0.137757582065222</v>
      </c>
    </row>
    <row r="13" customFormat="false" ht="17.15" hidden="false" customHeight="false" outlineLevel="0" collapsed="false">
      <c r="A13" s="3" t="s">
        <v>776</v>
      </c>
      <c r="B13" s="3" t="s">
        <v>777</v>
      </c>
      <c r="C13" s="22" t="n">
        <f aca="false">E441</f>
        <v>137.029776</v>
      </c>
      <c r="D13" s="22" t="n">
        <f aca="false">E439</f>
        <v>84.106248</v>
      </c>
      <c r="E13" s="17" t="n">
        <f aca="false">E450</f>
        <v>0.364171095412139</v>
      </c>
      <c r="F13" s="18" t="n">
        <f aca="false">E459</f>
        <v>52.67037187883</v>
      </c>
      <c r="G13" s="17" t="n">
        <f aca="false">F13/F$4-1</f>
        <v>-0.124364493117527</v>
      </c>
      <c r="H13" s="22" t="n">
        <f aca="false">F441</f>
        <v>163.59247104</v>
      </c>
      <c r="I13" s="22" t="n">
        <f aca="false">F439</f>
        <v>109.0812372</v>
      </c>
      <c r="J13" s="17" t="n">
        <f aca="false">F450</f>
        <v>0.360893309730892</v>
      </c>
      <c r="K13" s="18" t="n">
        <f aca="false">F459</f>
        <v>62.5707477536939</v>
      </c>
      <c r="L13" s="17" t="n">
        <f aca="false">K13/K$4-1</f>
        <v>-0.182739479500406</v>
      </c>
    </row>
    <row r="14" customFormat="false" ht="17.15" hidden="false" customHeight="false" outlineLevel="0" collapsed="false">
      <c r="A14" s="3" t="s">
        <v>778</v>
      </c>
      <c r="B14" s="3" t="s">
        <v>779</v>
      </c>
      <c r="C14" s="22" t="n">
        <f aca="false">E487</f>
        <v>168.652032</v>
      </c>
      <c r="D14" s="22" t="n">
        <f aca="false">E485</f>
        <v>115.728504</v>
      </c>
      <c r="E14" s="17" t="n">
        <f aca="false">E496</f>
        <v>0.372136866041436</v>
      </c>
      <c r="F14" s="18" t="n">
        <f aca="false">E505</f>
        <v>67.6316749542238</v>
      </c>
      <c r="G14" s="17" t="n">
        <f aca="false">F14/F$4-1</f>
        <v>0.124364493117527</v>
      </c>
      <c r="H14" s="22" t="n">
        <f aca="false">F487</f>
        <v>208.849301137361</v>
      </c>
      <c r="I14" s="22" t="n">
        <f aca="false">F485</f>
        <v>154.338067297361</v>
      </c>
      <c r="J14" s="17" t="n">
        <f aca="false">F496</f>
        <v>0.367849633361579</v>
      </c>
      <c r="K14" s="18" t="n">
        <f aca="false">F505</f>
        <v>83.1885445411441</v>
      </c>
      <c r="L14" s="17" t="n">
        <f aca="false">K14/K$4-1</f>
        <v>0.0865574673795628</v>
      </c>
    </row>
    <row r="15" customFormat="false" ht="17.15" hidden="false" customHeight="false" outlineLevel="0" collapsed="false">
      <c r="A15" s="0" t="s">
        <v>780</v>
      </c>
      <c r="B15" s="3" t="s">
        <v>781</v>
      </c>
      <c r="C15" s="22" t="n">
        <f aca="false">E533</f>
        <v>152.840904</v>
      </c>
      <c r="D15" s="22" t="n">
        <f aca="false">E531</f>
        <v>99.917376</v>
      </c>
      <c r="E15" s="17" t="n">
        <f aca="false">E542</f>
        <v>0.355491312816365</v>
      </c>
      <c r="F15" s="18" t="n">
        <f aca="false">E551</f>
        <v>57.5129716912367</v>
      </c>
      <c r="G15" s="17" t="n">
        <f aca="false">F15/F$4-1</f>
        <v>-0.0438571378415719</v>
      </c>
      <c r="H15" s="22" t="n">
        <f aca="false">F533</f>
        <v>194.26605936</v>
      </c>
      <c r="I15" s="22" t="n">
        <f aca="false">F531</f>
        <v>139.75482552</v>
      </c>
      <c r="J15" s="17" t="n">
        <f aca="false">F542</f>
        <v>0.347977029544873</v>
      </c>
      <c r="K15" s="18" t="n">
        <f aca="false">F551</f>
        <v>71.9949189158964</v>
      </c>
      <c r="L15" s="17" t="n">
        <f aca="false">K15/K$4-1</f>
        <v>-0.0596467675574811</v>
      </c>
    </row>
    <row r="16" customFormat="false" ht="17.15" hidden="false" customHeight="false" outlineLevel="0" collapsed="false">
      <c r="A16" s="0" t="s">
        <v>782</v>
      </c>
      <c r="B16" s="3" t="s">
        <v>783</v>
      </c>
      <c r="C16" s="22" t="n">
        <f aca="false">E579</f>
        <v>152.840904</v>
      </c>
      <c r="D16" s="22" t="n">
        <f aca="false">E577</f>
        <v>99.917376</v>
      </c>
      <c r="E16" s="17" t="n">
        <f aca="false">E588</f>
        <v>0.375103348610134</v>
      </c>
      <c r="F16" s="18" t="n">
        <f aca="false">E597</f>
        <v>61.470049279172</v>
      </c>
      <c r="G16" s="17" t="n">
        <f aca="false">F16/F$4-1</f>
        <v>0.0219285689207862</v>
      </c>
      <c r="H16" s="22" t="n">
        <f aca="false">F579</f>
        <v>194.26605936</v>
      </c>
      <c r="I16" s="22" t="n">
        <f aca="false">F577</f>
        <v>139.75482552</v>
      </c>
      <c r="J16" s="17" t="n">
        <f aca="false">F588</f>
        <v>0.376752992979848</v>
      </c>
      <c r="K16" s="18" t="n">
        <f aca="false">F597</f>
        <v>79.3015590944889</v>
      </c>
      <c r="L16" s="17" t="n">
        <f aca="false">K16/K$4-1</f>
        <v>0.0357880605344887</v>
      </c>
    </row>
    <row r="17" customFormat="false" ht="17.15" hidden="false" customHeight="false" outlineLevel="0" collapsed="false">
      <c r="A17" s="0" t="s">
        <v>784</v>
      </c>
      <c r="B17" s="0" t="s">
        <v>785</v>
      </c>
      <c r="C17" s="22" t="n">
        <f aca="false">E625</f>
        <v>152.840904</v>
      </c>
      <c r="D17" s="22" t="n">
        <f aca="false">E623</f>
        <v>99.917376</v>
      </c>
      <c r="E17" s="17" t="n">
        <f aca="false">E634</f>
        <v>0.368566003345544</v>
      </c>
      <c r="F17" s="18" t="n">
        <f aca="false">E643</f>
        <v>60.1510234165269</v>
      </c>
      <c r="G17" s="17" t="n">
        <f aca="false">F17/F$4-1</f>
        <v>0</v>
      </c>
      <c r="H17" s="22" t="n">
        <f aca="false">F625</f>
        <v>177.981687677889</v>
      </c>
      <c r="I17" s="22" t="n">
        <f aca="false">F623</f>
        <v>123.470453837889</v>
      </c>
      <c r="J17" s="17" t="n">
        <f aca="false">F634</f>
        <v>0.363488627283436</v>
      </c>
      <c r="K17" s="18" t="n">
        <f aca="false">F643</f>
        <v>69.0965366189617</v>
      </c>
      <c r="L17" s="17" t="n">
        <f aca="false">K17/K$4-1</f>
        <v>-0.0975036497210766</v>
      </c>
    </row>
    <row r="18" customFormat="false" ht="17.15" hidden="false" customHeight="false" outlineLevel="0" collapsed="false">
      <c r="A18" s="0" t="s">
        <v>786</v>
      </c>
      <c r="B18" s="0" t="s">
        <v>787</v>
      </c>
      <c r="C18" s="22" t="n">
        <f aca="false">E671</f>
        <v>152.840904</v>
      </c>
      <c r="D18" s="22" t="n">
        <f aca="false">E669</f>
        <v>99.917376</v>
      </c>
      <c r="E18" s="17" t="n">
        <f aca="false">E680</f>
        <v>0.368566003345544</v>
      </c>
      <c r="F18" s="18" t="n">
        <f aca="false">E689</f>
        <v>60.1510234165269</v>
      </c>
      <c r="G18" s="17" t="n">
        <f aca="false">F18/F$4-1</f>
        <v>0</v>
      </c>
      <c r="H18" s="22" t="n">
        <f aca="false">F671</f>
        <v>194.26605936</v>
      </c>
      <c r="I18" s="22" t="n">
        <f aca="false">F669</f>
        <v>139.75482552</v>
      </c>
      <c r="J18" s="17" t="n">
        <f aca="false">F680</f>
        <v>0.365962006691732</v>
      </c>
      <c r="K18" s="18" t="n">
        <f aca="false">F689</f>
        <v>76.5615690275167</v>
      </c>
      <c r="L18" s="17" t="n">
        <f aca="false">K18/K$4-1</f>
        <v>0</v>
      </c>
    </row>
    <row r="19" customFormat="false" ht="17.15" hidden="false" customHeight="false" outlineLevel="0" collapsed="false">
      <c r="A19" s="0" t="s">
        <v>788</v>
      </c>
      <c r="B19" s="0" t="s">
        <v>789</v>
      </c>
      <c r="C19" s="22" t="n">
        <f aca="false">E717</f>
        <v>152.840904</v>
      </c>
      <c r="D19" s="22" t="n">
        <f aca="false">E715</f>
        <v>99.917376</v>
      </c>
      <c r="E19" s="17" t="n">
        <f aca="false">E726</f>
        <v>0.363289577082062</v>
      </c>
      <c r="F19" s="18" t="n">
        <f aca="false">E735</f>
        <v>59.0864104242207</v>
      </c>
      <c r="G19" s="17" t="n">
        <f aca="false">F19/F$4-1</f>
        <v>-0.0176990004797433</v>
      </c>
      <c r="H19" s="22" t="n">
        <f aca="false">F717</f>
        <v>194.26605936</v>
      </c>
      <c r="I19" s="22" t="n">
        <f aca="false">F715</f>
        <v>139.75482552</v>
      </c>
      <c r="J19" s="17" t="n">
        <f aca="false">F726</f>
        <v>0.357633431695879</v>
      </c>
      <c r="K19" s="18" t="n">
        <f aca="false">F735</f>
        <v>74.4468213898701</v>
      </c>
      <c r="L19" s="17" t="n">
        <f aca="false">K19/K$4-1</f>
        <v>-0.0276215295024393</v>
      </c>
    </row>
    <row r="20" customFormat="false" ht="17.15" hidden="false" customHeight="false" outlineLevel="0" collapsed="false">
      <c r="A20" s="0" t="s">
        <v>790</v>
      </c>
      <c r="B20" s="3" t="s">
        <v>791</v>
      </c>
      <c r="C20" s="22" t="n">
        <f aca="false">E763</f>
        <v>152.840904</v>
      </c>
      <c r="D20" s="22" t="n">
        <f aca="false">E761</f>
        <v>99.917376</v>
      </c>
      <c r="E20" s="17" t="n">
        <f aca="false">E772</f>
        <v>0.373842429609027</v>
      </c>
      <c r="F20" s="18" t="n">
        <f aca="false">E781</f>
        <v>61.2156364088331</v>
      </c>
      <c r="G20" s="17" t="n">
        <f aca="false">F20/F$4-1</f>
        <v>0.0176990004797435</v>
      </c>
      <c r="H20" s="22" t="n">
        <f aca="false">F763</f>
        <v>194.26605936</v>
      </c>
      <c r="I20" s="22" t="n">
        <f aca="false">F761</f>
        <v>139.75482552</v>
      </c>
      <c r="J20" s="17" t="n">
        <f aca="false">F772</f>
        <v>0.374290581687585</v>
      </c>
      <c r="K20" s="18" t="n">
        <f aca="false">F781</f>
        <v>78.6763166651633</v>
      </c>
      <c r="L20" s="17" t="n">
        <f aca="false">K20/K$4-1</f>
        <v>0.0276215295024391</v>
      </c>
    </row>
    <row r="21" customFormat="false" ht="17.15" hidden="false" customHeight="false" outlineLevel="0" collapsed="false">
      <c r="A21" s="3" t="s">
        <v>792</v>
      </c>
      <c r="B21" s="0" t="s">
        <v>793</v>
      </c>
      <c r="C21" s="22" t="n">
        <f aca="false">E809</f>
        <v>152.840904</v>
      </c>
      <c r="D21" s="22" t="n">
        <f aca="false">E807</f>
        <v>104.957712</v>
      </c>
      <c r="E21" s="17" t="n">
        <f aca="false">E818</f>
        <v>0.372193546401688</v>
      </c>
      <c r="F21" s="18" t="n">
        <f aca="false">E827</f>
        <v>60.8829448487374</v>
      </c>
      <c r="G21" s="17" t="n">
        <f aca="false">F21/F$4-1</f>
        <v>0.0121680628298237</v>
      </c>
      <c r="H21" s="22" t="n">
        <f aca="false">F809</f>
        <v>194.26605936</v>
      </c>
      <c r="I21" s="22" t="n">
        <f aca="false">F807</f>
        <v>148.77702696</v>
      </c>
      <c r="J21" s="17" t="n">
        <f aca="false">F818</f>
        <v>0.370436270244158</v>
      </c>
      <c r="K21" s="18" t="n">
        <f aca="false">F827</f>
        <v>77.6976503238264</v>
      </c>
      <c r="L21" s="17" t="n">
        <f aca="false">K21/K$4-1</f>
        <v>0.0148387932841523</v>
      </c>
    </row>
    <row r="22" customFormat="false" ht="17.15" hidden="false" customHeight="false" outlineLevel="0" collapsed="false">
      <c r="A22" s="3" t="s">
        <v>794</v>
      </c>
      <c r="B22" s="0" t="s">
        <v>795</v>
      </c>
      <c r="C22" s="22" t="n">
        <f aca="false">E855</f>
        <v>152.840904</v>
      </c>
      <c r="D22" s="22" t="n">
        <f aca="false">E853</f>
        <v>97.397208</v>
      </c>
      <c r="E22" s="17" t="n">
        <f aca="false">E864</f>
        <v>0.366752231817472</v>
      </c>
      <c r="F22" s="18" t="n">
        <f aca="false">E873</f>
        <v>59.7850627004217</v>
      </c>
      <c r="G22" s="17" t="n">
        <f aca="false">F22/F$4-1</f>
        <v>-0.00608403141491176</v>
      </c>
      <c r="H22" s="22" t="n">
        <f aca="false">F855</f>
        <v>194.26605936</v>
      </c>
      <c r="I22" s="22" t="n">
        <f aca="false">F853</f>
        <v>134.38686768</v>
      </c>
      <c r="J22" s="17" t="n">
        <f aca="false">F864</f>
        <v>0.363299944857467</v>
      </c>
      <c r="K22" s="18" t="n">
        <f aca="false">F873</f>
        <v>75.8856323903269</v>
      </c>
      <c r="L22" s="17" t="n">
        <f aca="false">K22/K$4-1</f>
        <v>-0.00882866751263789</v>
      </c>
    </row>
    <row r="23" customFormat="false" ht="17.15" hidden="false" customHeight="false" outlineLevel="0" collapsed="false">
      <c r="A23" s="3" t="s">
        <v>796</v>
      </c>
      <c r="B23" s="3" t="s">
        <v>797</v>
      </c>
      <c r="C23" s="22" t="n">
        <f aca="false">E901</f>
        <v>152.840904</v>
      </c>
      <c r="D23" s="22" t="n">
        <f aca="false">E899</f>
        <v>99.917376</v>
      </c>
      <c r="E23" s="17" t="n">
        <f aca="false">E910</f>
        <v>0.368566003345544</v>
      </c>
      <c r="F23" s="18" t="n">
        <f aca="false">E919</f>
        <v>58.1364785321772</v>
      </c>
      <c r="G23" s="17" t="n">
        <f aca="false">F23/F$4-1</f>
        <v>-0.0334914481903258</v>
      </c>
      <c r="H23" s="22" t="n">
        <f aca="false">F901</f>
        <v>194.26605936</v>
      </c>
      <c r="I23" s="22" t="n">
        <f aca="false">F899</f>
        <v>139.75482552</v>
      </c>
      <c r="J23" s="17" t="n">
        <f aca="false">F910</f>
        <v>0.365962006691732</v>
      </c>
      <c r="K23" s="18" t="n">
        <f aca="false">F919</f>
        <v>72.5006573821873</v>
      </c>
      <c r="L23" s="17" t="n">
        <f aca="false">K23/K$4-1</f>
        <v>-0.0530411235938734</v>
      </c>
    </row>
    <row r="24" customFormat="false" ht="17.15" hidden="false" customHeight="false" outlineLevel="0" collapsed="false">
      <c r="A24" s="3" t="s">
        <v>798</v>
      </c>
      <c r="B24" s="3" t="s">
        <v>799</v>
      </c>
      <c r="C24" s="22" t="n">
        <f aca="false">E947</f>
        <v>152.840904</v>
      </c>
      <c r="D24" s="22" t="n">
        <f aca="false">E945</f>
        <v>99.917376</v>
      </c>
      <c r="E24" s="17" t="n">
        <f aca="false">E956</f>
        <v>0.368566003345544</v>
      </c>
      <c r="F24" s="18" t="n">
        <f aca="false">E965</f>
        <v>57.0776134609379</v>
      </c>
      <c r="G24" s="17" t="n">
        <f aca="false">F24/F$4-1</f>
        <v>-0.0510948905109488</v>
      </c>
      <c r="H24" s="22" t="n">
        <f aca="false">F947</f>
        <v>194.26605936</v>
      </c>
      <c r="I24" s="22" t="n">
        <f aca="false">F945</f>
        <v>139.75482552</v>
      </c>
      <c r="J24" s="17" t="n">
        <f aca="false">F956</f>
        <v>0.365962006691732</v>
      </c>
      <c r="K24" s="18" t="n">
        <f aca="false">F965</f>
        <v>72.6496640407093</v>
      </c>
      <c r="L24" s="17" t="n">
        <f aca="false">K24/K$4-1</f>
        <v>-0.051094890510949</v>
      </c>
    </row>
    <row r="25" customFormat="false" ht="17.15" hidden="false" customHeight="false" outlineLevel="0" collapsed="false">
      <c r="A25" s="3" t="s">
        <v>800</v>
      </c>
      <c r="C25" s="22" t="n">
        <f aca="false">E993</f>
        <v>152.840904</v>
      </c>
      <c r="D25" s="22" t="n">
        <f aca="false">E991</f>
        <v>99.917376</v>
      </c>
      <c r="E25" s="17" t="n">
        <f aca="false">E1002</f>
        <v>0.368566003345544</v>
      </c>
      <c r="F25" s="18" t="n">
        <f aca="false">E1011</f>
        <v>65.8587847626207</v>
      </c>
      <c r="G25" s="17" t="n">
        <f aca="false">F25/F$4-1</f>
        <v>0.0948905109489051</v>
      </c>
      <c r="H25" s="22" t="n">
        <f aca="false">F993</f>
        <v>194.26605936</v>
      </c>
      <c r="I25" s="22" t="n">
        <f aca="false">F991</f>
        <v>139.75482552</v>
      </c>
      <c r="J25" s="17" t="n">
        <f aca="false">F1002</f>
        <v>0.365962006691732</v>
      </c>
      <c r="K25" s="18" t="n">
        <f aca="false">F1011</f>
        <v>83.8265354315876</v>
      </c>
      <c r="L25" s="17" t="n">
        <f aca="false">K25/K$4-1</f>
        <v>0.0948905109489051</v>
      </c>
    </row>
    <row r="26" customFormat="false" ht="17.15" hidden="false" customHeight="false" outlineLevel="0" collapsed="false">
      <c r="A26" s="3" t="s">
        <v>801</v>
      </c>
      <c r="B26" s="3" t="s">
        <v>802</v>
      </c>
      <c r="C26" s="22" t="n">
        <f aca="false">PL!E83</f>
        <v>157.42613112</v>
      </c>
      <c r="D26" s="22" t="n">
        <f aca="false">PL!E81</f>
        <v>104.50260312</v>
      </c>
      <c r="E26" s="17" t="n">
        <f aca="false">PL!E92</f>
        <v>0.387979003618137</v>
      </c>
      <c r="F26" s="18" t="n">
        <f aca="false">PL!E101</f>
        <v>66.1242832960332</v>
      </c>
      <c r="G26" s="17" t="n">
        <f aca="false">F26/F$4-1</f>
        <v>0.0993043765547159</v>
      </c>
      <c r="H26" s="22" t="n">
        <f aca="false">PL!F83</f>
        <v>204.27977376</v>
      </c>
      <c r="I26" s="22" t="n">
        <f aca="false">PL!F81</f>
        <v>149.76853992</v>
      </c>
      <c r="J26" s="17" t="n">
        <f aca="false">PL!F92</f>
        <v>0.400638654565425</v>
      </c>
      <c r="K26" s="18" t="n">
        <f aca="false">PL!F101</f>
        <v>90.0448215233073</v>
      </c>
      <c r="L26" s="17" t="n">
        <f aca="false">K26/K$4-1</f>
        <v>0.176109929133566</v>
      </c>
    </row>
    <row r="27" customFormat="false" ht="17.15" hidden="false" customHeight="false" outlineLevel="0" collapsed="false">
      <c r="A27" s="3" t="s">
        <v>803</v>
      </c>
      <c r="B27" s="3" t="s">
        <v>804</v>
      </c>
      <c r="C27" s="22" t="n">
        <f aca="false">PL!E175</f>
        <v>146.72726784</v>
      </c>
      <c r="D27" s="22" t="n">
        <f aca="false">PL!E173</f>
        <v>93.80373984</v>
      </c>
      <c r="E27" s="17" t="n">
        <f aca="false">PL!E184</f>
        <v>0.338121049418025</v>
      </c>
      <c r="F27" s="18" t="n">
        <f aca="false">PL!E193</f>
        <v>51.6688124976171</v>
      </c>
      <c r="G27" s="17" t="n">
        <f aca="false">F27/F$4-1</f>
        <v>-0.141015238596576</v>
      </c>
      <c r="H27" s="22" t="n">
        <f aca="false">PL!F175</f>
        <v>141.1850806402</v>
      </c>
      <c r="I27" s="22" t="n">
        <f aca="false">PL!F173</f>
        <v>86.6738468002</v>
      </c>
      <c r="J27" s="17" t="n">
        <f aca="false">PL!F184</f>
        <v>0.319698172973615</v>
      </c>
      <c r="K27" s="18" t="n">
        <f aca="false">PL!F193</f>
        <v>45.3082538054553</v>
      </c>
      <c r="L27" s="17" t="n">
        <f aca="false">K27/K$4-1</f>
        <v>-0.408211529871191</v>
      </c>
    </row>
    <row r="29" customFormat="false" ht="17.15" hidden="false" customHeight="false" outlineLevel="0" collapsed="false">
      <c r="A29" s="3" t="s">
        <v>805</v>
      </c>
    </row>
    <row r="31" customFormat="false" ht="17.15" hidden="false" customHeight="false" outlineLevel="0" collapsed="false">
      <c r="A31" s="1" t="s">
        <v>806</v>
      </c>
    </row>
    <row r="32" customFormat="false" ht="17.15" hidden="false" customHeight="false" outlineLevel="0" collapsed="false">
      <c r="A32" s="4" t="s">
        <v>747</v>
      </c>
      <c r="B32" s="4" t="s">
        <v>748</v>
      </c>
      <c r="C32" s="14" t="s">
        <v>807</v>
      </c>
      <c r="D32" s="14" t="s">
        <v>808</v>
      </c>
      <c r="E32" s="4" t="s">
        <v>809</v>
      </c>
      <c r="F32" s="4" t="s">
        <v>810</v>
      </c>
    </row>
    <row r="33" customFormat="false" ht="17.15" hidden="false" customHeight="false" outlineLevel="0" collapsed="false">
      <c r="A33" s="3" t="s">
        <v>21</v>
      </c>
      <c r="B33" s="0" t="s">
        <v>811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3" s="18" t="n">
        <f aca="false">Val!B36</f>
        <v>1331.36002427564</v>
      </c>
      <c r="E33" s="18" t="n">
        <f aca="false">tp_w_dcf*C33+(1-tp_w_dcf)*D33</f>
        <v>1267.21703750953</v>
      </c>
      <c r="F33" s="17" t="n">
        <f aca="false">E33/E$33-1</f>
        <v>0</v>
      </c>
    </row>
    <row r="34" customFormat="false" ht="17.15" hidden="false" customHeight="false" outlineLevel="0" collapsed="false">
      <c r="A34" s="3" t="s">
        <v>812</v>
      </c>
      <c r="B34" s="0" t="s">
        <v>813</v>
      </c>
      <c r="C34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1038.85159135584</v>
      </c>
      <c r="D34" s="18" t="n">
        <f aca="false">Val!B36</f>
        <v>1331.36002427564</v>
      </c>
      <c r="E34" s="18" t="n">
        <f aca="false">tp_w_dcf*C34+(1-tp_w_dcf)*D34</f>
        <v>1185.10580781574</v>
      </c>
      <c r="F34" s="17" t="n">
        <f aca="false">E34/E$33-1</f>
        <v>-0.0647965007282135</v>
      </c>
    </row>
    <row r="35" customFormat="false" ht="17.15" hidden="false" customHeight="false" outlineLevel="0" collapsed="false">
      <c r="A35" s="3" t="s">
        <v>814</v>
      </c>
      <c r="B35" s="0" t="s">
        <v>815</v>
      </c>
      <c r="C35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1432.92917538996</v>
      </c>
      <c r="D35" s="18" t="n">
        <f aca="false">Val!B36</f>
        <v>1331.36002427564</v>
      </c>
      <c r="E35" s="18" t="n">
        <f aca="false">tp_w_dcf*C35+(1-tp_w_dcf)*D35</f>
        <v>1382.1445998328</v>
      </c>
      <c r="F35" s="17" t="n">
        <f aca="false">E35/E$33-1</f>
        <v>0.0906928796894466</v>
      </c>
    </row>
    <row r="36" customFormat="false" ht="17.15" hidden="false" customHeight="false" outlineLevel="0" collapsed="false">
      <c r="A36" s="3" t="s">
        <v>816</v>
      </c>
      <c r="B36" s="0" t="s">
        <v>817</v>
      </c>
      <c r="C36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1331.26360475708</v>
      </c>
      <c r="D36" s="18" t="n">
        <f aca="false">Val!B36</f>
        <v>1331.36002427564</v>
      </c>
      <c r="E36" s="18" t="n">
        <f aca="false">tp_w_dcf*C36+(1-tp_w_dcf)*D36</f>
        <v>1331.31181451636</v>
      </c>
      <c r="F36" s="17" t="n">
        <f aca="false">E36/E$33-1</f>
        <v>0.0505791629291819</v>
      </c>
    </row>
    <row r="37" customFormat="false" ht="17.15" hidden="false" customHeight="false" outlineLevel="0" collapsed="false">
      <c r="A37" s="3" t="s">
        <v>818</v>
      </c>
      <c r="B37" s="0" t="s">
        <v>819</v>
      </c>
      <c r="C37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1114.76479766668</v>
      </c>
      <c r="D37" s="18" t="n">
        <f aca="false">Val!B36</f>
        <v>1331.36002427564</v>
      </c>
      <c r="E37" s="18" t="n">
        <f aca="false">tp_w_dcf*C37+(1-tp_w_dcf)*D37</f>
        <v>1223.06241097116</v>
      </c>
      <c r="F37" s="17" t="n">
        <f aca="false">E37/E$33-1</f>
        <v>-0.0348437759526576</v>
      </c>
    </row>
    <row r="38" customFormat="false" ht="17.15" hidden="false" customHeight="false" outlineLevel="0" collapsed="false">
      <c r="A38" s="0" t="s">
        <v>820</v>
      </c>
      <c r="C3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8" s="18" t="n">
        <f aca="false">Val!B36</f>
        <v>1331.36002427564</v>
      </c>
      <c r="E38" s="18" t="n">
        <f aca="false">0.3*C38+(1-0.3)*D38</f>
        <v>1292.87423221597</v>
      </c>
      <c r="F38" s="17" t="n">
        <f aca="false">E38/E$33-1</f>
        <v>0.020246882694118</v>
      </c>
    </row>
    <row r="39" customFormat="false" ht="17.15" hidden="false" customHeight="false" outlineLevel="0" collapsed="false">
      <c r="A39" s="0" t="s">
        <v>821</v>
      </c>
      <c r="C39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1203.07405074342</v>
      </c>
      <c r="D39" s="18" t="n">
        <f aca="false">Val!B36</f>
        <v>1331.36002427564</v>
      </c>
      <c r="E39" s="18" t="n">
        <f aca="false">0.7*C39+(1-0.7)*D39</f>
        <v>1241.55984280309</v>
      </c>
      <c r="F39" s="17" t="n">
        <f aca="false">E39/E$33-1</f>
        <v>-0.0202468826941181</v>
      </c>
    </row>
    <row r="50" customFormat="false" ht="17.15" hidden="false" customHeight="false" outlineLevel="0" collapsed="false">
      <c r="A50" s="1" t="s">
        <v>822</v>
      </c>
    </row>
    <row r="51" customFormat="false" ht="17.15" hidden="false" customHeight="false" outlineLevel="0" collapsed="false">
      <c r="A51" s="4" t="s">
        <v>18</v>
      </c>
      <c r="B51" s="4" t="s">
        <v>19</v>
      </c>
      <c r="C51" s="14" t="s">
        <v>382</v>
      </c>
      <c r="D51" s="14" t="s">
        <v>472</v>
      </c>
      <c r="E51" s="14" t="s">
        <v>473</v>
      </c>
      <c r="F51" s="14" t="s">
        <v>474</v>
      </c>
      <c r="G51" s="14" t="s">
        <v>475</v>
      </c>
      <c r="H51" s="14" t="s">
        <v>476</v>
      </c>
      <c r="I51" s="14" t="s">
        <v>477</v>
      </c>
      <c r="J51" s="14" t="s">
        <v>478</v>
      </c>
      <c r="K51" s="4" t="s">
        <v>436</v>
      </c>
    </row>
    <row r="52" customFormat="false" ht="17.15" hidden="false" customHeight="false" outlineLevel="0" collapsed="false">
      <c r="A52" s="5" t="s">
        <v>494</v>
      </c>
    </row>
    <row r="53" customFormat="false" ht="17.15" hidden="false" customHeight="false" outlineLevel="0" collapsed="false">
      <c r="A53" s="0" t="s">
        <v>495</v>
      </c>
      <c r="B53" s="0" t="s">
        <v>29</v>
      </c>
      <c r="D53" s="23" t="n">
        <f aca="false">itc_26*1</f>
        <v>781.872916666667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3" t="s">
        <v>496</v>
      </c>
      <c r="B54" s="0" t="s">
        <v>29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3" t="s">
        <v>497</v>
      </c>
      <c r="B55" s="0" t="s">
        <v>438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3" t="s">
        <v>442</v>
      </c>
      <c r="B56" s="0" t="s">
        <v>90</v>
      </c>
      <c r="D56" s="21" t="n">
        <f aca="false">vg_cmp26</f>
        <v>280</v>
      </c>
      <c r="E56" s="21" t="n">
        <f aca="false">(vg_cmp26+(vg_cmp27-vg_cmp26)*pgwf_lo)</f>
        <v>378</v>
      </c>
      <c r="F56" s="21" t="n">
        <f aca="false">(vg_cmp26+(vg_cmp28-vg_cmp26)*pgwf_lo)</f>
        <v>407.4</v>
      </c>
      <c r="G56" s="21" t="n">
        <f aca="false">(vg_cmp26+(vg_cmp29-vg_cmp26)*pgwf_lo)</f>
        <v>436.8</v>
      </c>
    </row>
    <row r="57" customFormat="false" ht="17.15" hidden="false" customHeight="false" outlineLevel="0" collapsed="false">
      <c r="A57" s="3" t="s">
        <v>444</v>
      </c>
      <c r="B57" s="0" t="s">
        <v>90</v>
      </c>
      <c r="D57" s="21" t="n">
        <f aca="false">vg_sw26</f>
        <v>120</v>
      </c>
      <c r="E57" s="21" t="n">
        <f aca="false">(vg_sw26+(vg_sw27-vg_sw26)*pgwf_lo)</f>
        <v>149.4</v>
      </c>
      <c r="F57" s="21" t="n">
        <f aca="false">(vg_sw26+(vg_sw28-vg_sw26)*pgwf_lo)</f>
        <v>162</v>
      </c>
      <c r="G57" s="21" t="n">
        <f aca="false">(vg_sw26+(vg_sw29-vg_sw26)*pgwf_lo)</f>
        <v>174.6</v>
      </c>
    </row>
    <row r="58" customFormat="false" ht="17.15" hidden="false" customHeight="false" outlineLevel="0" collapsed="false">
      <c r="A58" s="3" t="s">
        <v>498</v>
      </c>
      <c r="B58" s="0" t="s">
        <v>90</v>
      </c>
      <c r="D58" s="21" t="n">
        <f aca="false">vg_mid26*w_mid</f>
        <v>25</v>
      </c>
      <c r="E58" s="21" t="n">
        <f aca="false">(vg_mid26+(vg_mid27-vg_mid26)*pgwf_lo)*w_mid</f>
        <v>42.5</v>
      </c>
      <c r="F58" s="21" t="n">
        <f aca="false">(vg_mid26+(vg_mid28-vg_mid26)*pgwf_lo)*w_mid</f>
        <v>60</v>
      </c>
      <c r="G58" s="21" t="n">
        <f aca="false">(vg_mid26+(vg_mid29-vg_mid26)*pgwf_lo)*w_mid</f>
        <v>68.75</v>
      </c>
    </row>
    <row r="59" customFormat="false" ht="17.15" hidden="false" customHeight="false" outlineLevel="0" collapsed="false">
      <c r="A59" s="3" t="s">
        <v>499</v>
      </c>
      <c r="B59" s="0" t="s">
        <v>90</v>
      </c>
      <c r="D59" s="21" t="n">
        <f aca="false">D56+D57+D58</f>
        <v>425</v>
      </c>
      <c r="E59" s="21" t="n">
        <f aca="false">E56+E57+E58</f>
        <v>569.9</v>
      </c>
      <c r="F59" s="21" t="n">
        <f aca="false">F56+F57+F58</f>
        <v>629.4</v>
      </c>
      <c r="G59" s="21" t="n">
        <f aca="false">G56+G57+G58</f>
        <v>680.15</v>
      </c>
    </row>
    <row r="60" customFormat="false" ht="17.15" hidden="false" customHeight="false" outlineLevel="0" collapsed="false">
      <c r="A60" s="3" t="s">
        <v>500</v>
      </c>
      <c r="B60" s="0" t="s">
        <v>29</v>
      </c>
      <c r="D60" s="23" t="n">
        <f aca="false">D55*D59/1000</f>
        <v>9.94480366787716</v>
      </c>
      <c r="E60" s="23" t="n">
        <f aca="false">E55*E59/1000</f>
        <v>23.7344918442737</v>
      </c>
      <c r="F60" s="23" t="n">
        <f aca="false">F55*F59/1000</f>
        <v>26.5818974220572</v>
      </c>
      <c r="G60" s="23" t="n">
        <f aca="false">G55*G59/1000</f>
        <v>34.7677736939188</v>
      </c>
    </row>
    <row r="61" customFormat="false" ht="17.15" hidden="false" customHeight="false" outlineLevel="0" collapsed="false">
      <c r="A61" s="3" t="s">
        <v>501</v>
      </c>
      <c r="B61" s="0" t="s">
        <v>184</v>
      </c>
      <c r="D61" s="22" t="n">
        <f aca="false">D60*fx</f>
        <v>318.233717372069</v>
      </c>
      <c r="E61" s="22" t="n">
        <f aca="false">E60*fx</f>
        <v>759.503739016758</v>
      </c>
      <c r="F61" s="22" t="n">
        <f aca="false">F60*fx</f>
        <v>850.62071750583</v>
      </c>
      <c r="G61" s="22" t="n">
        <f aca="false">G60*fx</f>
        <v>1112.5687582054</v>
      </c>
    </row>
    <row r="62" customFormat="false" ht="17.15" hidden="false" customHeight="false" outlineLevel="0" collapsed="false">
      <c r="A62" s="0" t="s">
        <v>502</v>
      </c>
      <c r="B62" s="0" t="s">
        <v>63</v>
      </c>
      <c r="D62" s="18" t="n">
        <f aca="false">1</f>
        <v>1</v>
      </c>
      <c r="E62" s="18" t="n">
        <f aca="false">pp_27</f>
        <v>1</v>
      </c>
      <c r="F62" s="18" t="n">
        <f aca="false">pp_28</f>
        <v>0.97</v>
      </c>
      <c r="G62" s="18" t="n">
        <f aca="false">pp_29</f>
        <v>0.94</v>
      </c>
    </row>
    <row r="63" customFormat="false" ht="17.15" hidden="false" customHeight="false" outlineLevel="0" collapsed="false">
      <c r="A63" s="3" t="s">
        <v>503</v>
      </c>
      <c r="B63" s="0" t="s">
        <v>49</v>
      </c>
      <c r="D63" s="17" t="n">
        <f aca="false">a26_ai/D61</f>
        <v>0.172842024579347</v>
      </c>
      <c r="K63" s="7" t="s">
        <v>504</v>
      </c>
    </row>
    <row r="64" customFormat="false" ht="17.15" hidden="false" customHeight="false" outlineLevel="0" collapsed="false">
      <c r="A64" s="3" t="s">
        <v>505</v>
      </c>
      <c r="B64" s="0" t="s">
        <v>63</v>
      </c>
      <c r="D64" s="18" t="n">
        <f aca="false">1</f>
        <v>1</v>
      </c>
      <c r="E64" s="18" t="n">
        <f aca="false">rel_27</f>
        <v>1</v>
      </c>
      <c r="F64" s="18" t="n">
        <f aca="false">rel_28</f>
        <v>0.95</v>
      </c>
      <c r="G64" s="18" t="n">
        <f aca="false">rel_29</f>
        <v>0.9</v>
      </c>
    </row>
    <row r="65" customFormat="false" ht="15" hidden="false" customHeight="false" outlineLevel="0" collapsed="false">
      <c r="A65" s="3" t="s">
        <v>454</v>
      </c>
      <c r="B65" s="0" t="s">
        <v>49</v>
      </c>
      <c r="D65" s="17" t="n">
        <f aca="false">$D$63*D64</f>
        <v>0.172842024579347</v>
      </c>
      <c r="E65" s="17" t="n">
        <f aca="false">$D$63*E64</f>
        <v>0.172842024579347</v>
      </c>
      <c r="F65" s="17" t="n">
        <f aca="false">$D$63*F64</f>
        <v>0.164199923350379</v>
      </c>
      <c r="G65" s="17" t="n">
        <f aca="false">$D$63*G64</f>
        <v>0.155557822121412</v>
      </c>
    </row>
    <row r="66" customFormat="false" ht="17.15" hidden="false" customHeight="false" outlineLevel="0" collapsed="false">
      <c r="A66" s="0" t="s">
        <v>506</v>
      </c>
      <c r="B66" s="0" t="s">
        <v>184</v>
      </c>
      <c r="D66" s="22" t="n">
        <f aca="false">D61*D65*D62</f>
        <v>55.00416</v>
      </c>
      <c r="E66" s="22" t="n">
        <f aca="false">E61*E65*E62</f>
        <v>131.27416392724</v>
      </c>
      <c r="F66" s="22" t="n">
        <f aca="false">F61*F65*F62</f>
        <v>135.481700916261</v>
      </c>
      <c r="G66" s="22" t="n">
        <f aca="false">G61*G65*G62</f>
        <v>162.684646607551</v>
      </c>
    </row>
    <row r="67" customFormat="false" ht="17.15" hidden="false" customHeight="false" outlineLevel="0" collapsed="false">
      <c r="A67" s="5" t="s">
        <v>507</v>
      </c>
    </row>
    <row r="68" customFormat="false" ht="17.15" hidden="false" customHeight="false" outlineLevel="0" collapsed="false">
      <c r="A68" s="3" t="s">
        <v>508</v>
      </c>
      <c r="B68" s="0" t="s">
        <v>63</v>
      </c>
      <c r="D68" s="18" t="n">
        <f aca="false">1</f>
        <v>1</v>
      </c>
      <c r="E68" s="18" t="n">
        <f aca="false">cx_27</f>
        <v>1.45</v>
      </c>
      <c r="F68" s="18" t="n">
        <f aca="false">cx_28</f>
        <v>1.9</v>
      </c>
      <c r="G68" s="18" t="n">
        <f aca="false">cx_29</f>
        <v>2.3</v>
      </c>
      <c r="K68" s="7" t="s">
        <v>509</v>
      </c>
    </row>
    <row r="69" customFormat="false" ht="17.15" hidden="false" customHeight="false" outlineLevel="0" collapsed="false">
      <c r="A69" s="3" t="s">
        <v>510</v>
      </c>
      <c r="B69" s="0" t="s">
        <v>184</v>
      </c>
      <c r="D69" s="22" t="n">
        <f aca="false">a26_rev*D68*D62</f>
        <v>105.40752</v>
      </c>
      <c r="E69" s="22" t="n">
        <f aca="false">a26_rev*E68*E62</f>
        <v>152.840904</v>
      </c>
      <c r="F69" s="22" t="n">
        <f aca="false">a26_rev*F68*F62</f>
        <v>194.26605936</v>
      </c>
      <c r="G69" s="22" t="n">
        <f aca="false">a26_rev*G68*G62</f>
        <v>227.89105824</v>
      </c>
    </row>
    <row r="70" customFormat="false" ht="17.15" hidden="false" customHeight="false" outlineLevel="0" collapsed="false">
      <c r="A70" s="3" t="s">
        <v>511</v>
      </c>
      <c r="B70" s="0" t="s">
        <v>184</v>
      </c>
      <c r="C70" s="22" t="n">
        <f aca="false">a25_nai</f>
        <v>42.0028</v>
      </c>
      <c r="D70" s="22" t="n">
        <f aca="false">a26_nai</f>
        <v>50.40336</v>
      </c>
      <c r="E70" s="22" t="n">
        <f aca="false">D70*(1+g_nai27)</f>
        <v>52.923528</v>
      </c>
      <c r="F70" s="22" t="n">
        <f aca="false">E70*(1+g_nai28)</f>
        <v>54.51123384</v>
      </c>
      <c r="G70" s="22" t="n">
        <f aca="false">F70*(1+g_nai29)</f>
        <v>56.1465708552</v>
      </c>
    </row>
    <row r="71" customFormat="false" ht="17.15" hidden="false" customHeight="false" outlineLevel="0" collapsed="false">
      <c r="A71" s="0" t="s">
        <v>512</v>
      </c>
      <c r="B71" s="0" t="s">
        <v>184</v>
      </c>
      <c r="C71" s="22" t="n">
        <f aca="false">a25_ai</f>
        <v>18.0012</v>
      </c>
      <c r="D71" s="22" t="n">
        <f aca="false">D66</f>
        <v>55.00416</v>
      </c>
      <c r="E71" s="22" t="n">
        <f aca="false">MIN(E66,E69-E70)</f>
        <v>99.917376</v>
      </c>
      <c r="F71" s="22" t="n">
        <f aca="false">MIN(F66,F69-F70)</f>
        <v>135.481700916261</v>
      </c>
      <c r="G71" s="22" t="n">
        <f aca="false">MIN(G66,G69-G70)</f>
        <v>162.684646607551</v>
      </c>
      <c r="K71" s="3" t="s">
        <v>513</v>
      </c>
    </row>
    <row r="72" customFormat="false" ht="15" hidden="false" customHeight="false" outlineLevel="0" collapsed="false">
      <c r="A72" s="3" t="s">
        <v>514</v>
      </c>
      <c r="E72" s="0" t="str">
        <f aca="false">IF(E66&gt;E69-E70+0.0001,"受限","未受限")</f>
        <v>受限</v>
      </c>
      <c r="F72" s="0" t="str">
        <f aca="false">IF(F66&gt;F69-F70+0.0001,"受限","未受限")</f>
        <v>未受限</v>
      </c>
      <c r="G72" s="0" t="str">
        <f aca="false">IF(G66&gt;G69-G70+0.0001,"受限","未受限")</f>
        <v>未受限</v>
      </c>
    </row>
    <row r="73" customFormat="false" ht="17.15" hidden="false" customHeight="false" outlineLevel="0" collapsed="false">
      <c r="A73" s="3" t="s">
        <v>387</v>
      </c>
      <c r="B73" s="0" t="s">
        <v>184</v>
      </c>
      <c r="C73" s="22" t="n">
        <f aca="false">C71+C70</f>
        <v>60.004</v>
      </c>
      <c r="D73" s="22" t="n">
        <f aca="false">D71+D70</f>
        <v>105.40752</v>
      </c>
      <c r="E73" s="22" t="n">
        <f aca="false">E71+E70</f>
        <v>152.840904</v>
      </c>
      <c r="F73" s="22" t="n">
        <f aca="false">F71+F70</f>
        <v>189.992934756261</v>
      </c>
      <c r="G73" s="22" t="n">
        <f aca="false">G71+G70</f>
        <v>218.831217462751</v>
      </c>
      <c r="H73" s="24" t="n">
        <f aca="false">G73*(1+H74)</f>
        <v>243.89265541499</v>
      </c>
      <c r="I73" s="24" t="n">
        <f aca="false">H73*(1+I74)</f>
        <v>262.736296223873</v>
      </c>
      <c r="J73" s="24" t="n">
        <f aca="false">I73*(1+J74)</f>
        <v>273.245748072828</v>
      </c>
      <c r="K73" s="7" t="s">
        <v>515</v>
      </c>
    </row>
    <row r="74" customFormat="false" ht="15" hidden="false" customHeight="false" outlineLevel="0" collapsed="false">
      <c r="A74" s="3" t="s">
        <v>516</v>
      </c>
      <c r="B74" s="0" t="s">
        <v>49</v>
      </c>
      <c r="D74" s="17" t="n">
        <f aca="false">D73/C73-1</f>
        <v>0.756674888340778</v>
      </c>
      <c r="E74" s="17" t="n">
        <f aca="false">E73/D73-1</f>
        <v>0.45</v>
      </c>
      <c r="F74" s="17" t="n">
        <f aca="false">F73/E73-1</f>
        <v>0.243076491854961</v>
      </c>
      <c r="G74" s="17" t="n">
        <f aca="false">G73/F73-1</f>
        <v>0.151786079537569</v>
      </c>
      <c r="H74" s="25" t="n">
        <f aca="false">$G74+(fade_gB-$G74)*1/3</f>
        <v>0.114524053025046</v>
      </c>
      <c r="I74" s="25" t="n">
        <f aca="false">$G74+(fade_gB-$G74)*2/3</f>
        <v>0.077262026512523</v>
      </c>
      <c r="J74" s="25" t="n">
        <f aca="false">$G74+(fade_gB-$G74)*3/3</f>
        <v>0.04</v>
      </c>
    </row>
    <row r="75" customFormat="false" ht="17.15" hidden="false" customHeight="false" outlineLevel="0" collapsed="false">
      <c r="A75" s="0" t="s">
        <v>517</v>
      </c>
      <c r="B75" s="0" t="s">
        <v>49</v>
      </c>
      <c r="C75" s="17" t="n">
        <f aca="false">C71/C73</f>
        <v>0.3</v>
      </c>
      <c r="D75" s="17" t="n">
        <f aca="false">D71/D73</f>
        <v>0.521823869871903</v>
      </c>
      <c r="E75" s="17" t="n">
        <f aca="false">E71/E73</f>
        <v>0.653734526458964</v>
      </c>
      <c r="F75" s="17" t="n">
        <f aca="false">F71/F73</f>
        <v>0.713088100302616</v>
      </c>
      <c r="G75" s="17" t="n">
        <f aca="false">G71/G73</f>
        <v>0.743425222844372</v>
      </c>
    </row>
    <row r="76" customFormat="false" ht="17.15" hidden="false" customHeight="false" outlineLevel="0" collapsed="false">
      <c r="A76" s="3" t="s">
        <v>518</v>
      </c>
      <c r="B76" s="0" t="s">
        <v>49</v>
      </c>
      <c r="D76" s="17" t="n">
        <f aca="false">(D66+D70)/D69</f>
        <v>1</v>
      </c>
      <c r="E76" s="17" t="n">
        <f aca="false">(E66+E70)/E69</f>
        <v>1.20515966018652</v>
      </c>
      <c r="F76" s="17" t="n">
        <f aca="false">(F66+F70)/F69</f>
        <v>0.978003751052465</v>
      </c>
      <c r="G76" s="17" t="n">
        <f aca="false">(G66+G70)/G69</f>
        <v>0.960244860648688</v>
      </c>
      <c r="K76" s="3" t="s">
        <v>519</v>
      </c>
    </row>
    <row r="77" customFormat="false" ht="17.15" hidden="false" customHeight="false" outlineLevel="0" collapsed="false">
      <c r="A77" s="3" t="s">
        <v>458</v>
      </c>
      <c r="B77" s="0" t="s">
        <v>90</v>
      </c>
      <c r="D77" s="21" t="n">
        <f aca="false">D71/fx/D55*1000</f>
        <v>73.4578604462223</v>
      </c>
      <c r="E77" s="21" t="n">
        <f aca="false">E71/fx/E55*1000</f>
        <v>74.9738410190283</v>
      </c>
      <c r="F77" s="21" t="n">
        <f aca="false">F71/fx/F55*1000</f>
        <v>100.247008804027</v>
      </c>
      <c r="G77" s="21" t="n">
        <f aca="false">G71/fx/G55*1000</f>
        <v>99.4544935529256</v>
      </c>
    </row>
    <row r="78" customFormat="false" ht="17.15" hidden="false" customHeight="false" outlineLevel="0" collapsed="false">
      <c r="A78" s="5" t="s">
        <v>520</v>
      </c>
    </row>
    <row r="79" customFormat="false" ht="17.15" hidden="false" customHeight="false" outlineLevel="0" collapsed="false">
      <c r="A79" s="3" t="s">
        <v>521</v>
      </c>
      <c r="B79" s="0" t="s">
        <v>49</v>
      </c>
      <c r="D79" s="17" t="n">
        <f aca="false">a26_gp/D73-d_ai*D75</f>
        <v>0.296655205435058</v>
      </c>
      <c r="K79" s="7" t="s">
        <v>522</v>
      </c>
    </row>
    <row r="80" customFormat="false" ht="17.15" hidden="false" customHeight="false" outlineLevel="0" collapsed="false">
      <c r="A80" s="0" t="s">
        <v>523</v>
      </c>
      <c r="B80" s="0" t="s">
        <v>49</v>
      </c>
      <c r="D80" s="17" t="n">
        <f aca="false">D79+d_ai</f>
        <v>0.396655205435058</v>
      </c>
      <c r="E80" s="17" t="n">
        <f aca="false">1-(1-$D$80)/E62+gmu_27</f>
        <v>0.406655205435058</v>
      </c>
      <c r="F80" s="17" t="n">
        <f aca="false">1-(1-$D$80)/F62+gmu_28</f>
        <v>0.392995057149545</v>
      </c>
      <c r="G80" s="17" t="n">
        <f aca="false">1-(1-$D$80)/G62+gmu_29</f>
        <v>0.378143835569211</v>
      </c>
      <c r="K80" s="7" t="s">
        <v>524</v>
      </c>
    </row>
    <row r="81" customFormat="false" ht="15" hidden="false" customHeight="false" outlineLevel="0" collapsed="false">
      <c r="A81" s="3" t="s">
        <v>391</v>
      </c>
      <c r="B81" s="0" t="s">
        <v>184</v>
      </c>
      <c r="C81" s="22" t="n">
        <f aca="false">a25_gp</f>
        <v>19.683</v>
      </c>
      <c r="D81" s="22" t="n">
        <f aca="false">a26_gp</f>
        <v>36.7701055</v>
      </c>
      <c r="E81" s="22" t="n">
        <f aca="false">E71*E80+E70*$D$79</f>
        <v>56.331961135</v>
      </c>
      <c r="F81" s="22" t="n">
        <f aca="false">F71*F80+F70*$D$79</f>
        <v>69.4146800676271</v>
      </c>
      <c r="G81" s="22" t="n">
        <f aca="false">G71*G80+G70*$D$79</f>
        <v>78.1743687679243</v>
      </c>
    </row>
    <row r="82" customFormat="false" ht="15" hidden="false" customHeight="false" outlineLevel="0" collapsed="false">
      <c r="A82" s="3" t="s">
        <v>394</v>
      </c>
      <c r="B82" s="0" t="s">
        <v>49</v>
      </c>
      <c r="C82" s="17" t="n">
        <f aca="false">C81/C73</f>
        <v>0.328028131457903</v>
      </c>
      <c r="D82" s="17" t="n">
        <f aca="false">D81/D73</f>
        <v>0.348837592422248</v>
      </c>
      <c r="E82" s="17" t="n">
        <f aca="false">E81/E73</f>
        <v>0.368566003345544</v>
      </c>
      <c r="F82" s="17" t="n">
        <f aca="false">F81/F73</f>
        <v>0.365354007277577</v>
      </c>
      <c r="G82" s="17" t="n">
        <f aca="false">G81/G73</f>
        <v>0.357235908451823</v>
      </c>
    </row>
    <row r="83" customFormat="false" ht="15" hidden="false" customHeight="false" outlineLevel="0" collapsed="false">
      <c r="A83" s="3" t="s">
        <v>525</v>
      </c>
      <c r="B83" s="0" t="s">
        <v>184</v>
      </c>
      <c r="C83" s="22" t="n">
        <f aca="false">a25_opx</f>
        <v>5.64</v>
      </c>
      <c r="D83" s="22" t="n">
        <f aca="false">a26_opx</f>
        <v>8.4779754</v>
      </c>
      <c r="E83" s="22" t="n">
        <f aca="false">D83*(1+MAX(0,phi*E74))</f>
        <v>10.767028758</v>
      </c>
      <c r="F83" s="22" t="n">
        <f aca="false">E83*(1+MAX(0,phi*F74))</f>
        <v>12.3373557049177</v>
      </c>
      <c r="G83" s="22" t="n">
        <f aca="false">F83*(1+MAX(0,phi*G74))</f>
        <v>13.4609390175036</v>
      </c>
    </row>
    <row r="84" customFormat="false" ht="15" hidden="false" customHeight="false" outlineLevel="0" collapsed="false">
      <c r="A84" s="3" t="s">
        <v>396</v>
      </c>
      <c r="B84" s="0" t="s">
        <v>184</v>
      </c>
      <c r="C84" s="22" t="n">
        <f aca="false">C83</f>
        <v>5.64</v>
      </c>
      <c r="D84" s="22" t="n">
        <f aca="false">D83</f>
        <v>8.4779754</v>
      </c>
      <c r="E84" s="22" t="n">
        <f aca="false">E83+0*E73</f>
        <v>10.767028758</v>
      </c>
      <c r="F84" s="22" t="n">
        <f aca="false">F83+0*F73</f>
        <v>12.3373557049177</v>
      </c>
      <c r="G84" s="22" t="n">
        <f aca="false">G83+0*G73</f>
        <v>13.4609390175036</v>
      </c>
    </row>
    <row r="85" customFormat="false" ht="15" hidden="false" customHeight="false" outlineLevel="0" collapsed="false">
      <c r="A85" s="3" t="s">
        <v>526</v>
      </c>
      <c r="B85" s="0" t="s">
        <v>184</v>
      </c>
      <c r="C85" s="22" t="n">
        <f aca="false">C81-C84</f>
        <v>14.043</v>
      </c>
      <c r="D85" s="22" t="n">
        <f aca="false">D81-D84</f>
        <v>28.2921301</v>
      </c>
      <c r="E85" s="22" t="n">
        <f aca="false">E81-E84</f>
        <v>45.564932377</v>
      </c>
      <c r="F85" s="22" t="n">
        <f aca="false">F81-F84</f>
        <v>57.0773243627095</v>
      </c>
      <c r="G85" s="22" t="n">
        <f aca="false">G81-G84</f>
        <v>64.7134297504206</v>
      </c>
    </row>
    <row r="86" customFormat="false" ht="15" hidden="false" customHeight="false" outlineLevel="0" collapsed="false">
      <c r="A86" s="3" t="s">
        <v>402</v>
      </c>
      <c r="B86" s="0" t="s">
        <v>49</v>
      </c>
      <c r="C86" s="17" t="n">
        <f aca="false">C85/C73</f>
        <v>0.23403439770682</v>
      </c>
      <c r="D86" s="17" t="n">
        <f aca="false">D85/D73</f>
        <v>0.268407131673338</v>
      </c>
      <c r="E86" s="17" t="n">
        <f aca="false">E85/E73</f>
        <v>0.298120013586154</v>
      </c>
      <c r="F86" s="17" t="n">
        <f aca="false">F85/F73</f>
        <v>0.300418141526858</v>
      </c>
      <c r="G86" s="17" t="n">
        <f aca="false">G85/G73</f>
        <v>0.295723025721575</v>
      </c>
    </row>
    <row r="87" customFormat="false" ht="17.15" hidden="false" customHeight="false" outlineLevel="0" collapsed="false">
      <c r="A87" s="3" t="s">
        <v>403</v>
      </c>
      <c r="B87" s="0" t="s">
        <v>184</v>
      </c>
      <c r="E87" s="22" t="n">
        <f aca="false">nop_f</f>
        <v>0</v>
      </c>
      <c r="F87" s="22" t="n">
        <f aca="false">nop_f</f>
        <v>0</v>
      </c>
      <c r="G87" s="22" t="n">
        <f aca="false">nop_f</f>
        <v>0</v>
      </c>
      <c r="K87" s="7" t="s">
        <v>527</v>
      </c>
    </row>
    <row r="88" customFormat="false" ht="15" hidden="false" customHeight="false" outlineLevel="0" collapsed="false">
      <c r="A88" s="3" t="s">
        <v>408</v>
      </c>
      <c r="B88" s="0" t="s">
        <v>184</v>
      </c>
      <c r="C88" s="22" t="n">
        <f aca="false">a25_ni</f>
        <v>9.607</v>
      </c>
      <c r="D88" s="22" t="n">
        <f aca="false">a26_ni</f>
        <v>19.6977289395284</v>
      </c>
      <c r="E88" s="22" t="n">
        <f aca="false">(E85+E87)*nir_f</f>
        <v>31.211978678245</v>
      </c>
      <c r="F88" s="22" t="n">
        <f aca="false">(F85+F87)*nir_f</f>
        <v>39.097967188456</v>
      </c>
      <c r="G88" s="22" t="n">
        <f aca="false">(G85+G87)*nir_f</f>
        <v>44.3286993790381</v>
      </c>
      <c r="H88" s="24" t="n">
        <f aca="false">H73*H93</f>
        <v>46.335586942777</v>
      </c>
      <c r="I88" s="24" t="n">
        <f aca="false">I73*I93</f>
        <v>46.6085734261969</v>
      </c>
      <c r="J88" s="24" t="n">
        <f aca="false">J73*J93</f>
        <v>45.0336417052813</v>
      </c>
    </row>
    <row r="89" customFormat="false" ht="17.15" hidden="false" customHeight="false" outlineLevel="0" collapsed="false">
      <c r="A89" s="3" t="s">
        <v>411</v>
      </c>
      <c r="B89" s="0" t="s">
        <v>49</v>
      </c>
      <c r="C89" s="17" t="n">
        <f aca="false">C88/C85</f>
        <v>0.684113081250445</v>
      </c>
      <c r="D89" s="17" t="n">
        <f aca="false">D88/D85</f>
        <v>0.696226437171953</v>
      </c>
      <c r="E89" s="17" t="n">
        <f aca="false">E88/E85</f>
        <v>0.685</v>
      </c>
      <c r="F89" s="17" t="n">
        <f aca="false">F88/F85</f>
        <v>0.685</v>
      </c>
      <c r="G89" s="17" t="n">
        <f aca="false">G88/G85</f>
        <v>0.685</v>
      </c>
    </row>
    <row r="90" customFormat="false" ht="17.15" hidden="false" customHeight="false" outlineLevel="0" collapsed="false">
      <c r="A90" s="3" t="s">
        <v>528</v>
      </c>
      <c r="B90" s="3" t="s">
        <v>214</v>
      </c>
      <c r="C90" s="27" t="n">
        <f aca="false">a25_sh</f>
        <v>0.493425783256292</v>
      </c>
      <c r="D90" s="27" t="n">
        <f aca="false">a26_sh</f>
        <v>0.512980850061958</v>
      </c>
      <c r="E90" s="27" t="n">
        <f aca="false">sh_h2*(1+sh_g)</f>
        <v>0.51889356</v>
      </c>
      <c r="F90" s="27" t="n">
        <f aca="false">E90*(1+sh_g)</f>
        <v>0.5240824956</v>
      </c>
      <c r="G90" s="27" t="n">
        <f aca="false">F90*(1+sh_g)</f>
        <v>0.529323320556</v>
      </c>
      <c r="H90" s="28" t="n">
        <f aca="false">G90*(1+sh_g)</f>
        <v>0.53461655376156</v>
      </c>
      <c r="I90" s="28" t="n">
        <f aca="false">H90*(1+sh_g)</f>
        <v>0.539962719299176</v>
      </c>
      <c r="J90" s="28" t="n">
        <f aca="false">I90*(1+sh_g)</f>
        <v>0.545362346492167</v>
      </c>
      <c r="K90" s="7" t="s">
        <v>529</v>
      </c>
    </row>
    <row r="91" customFormat="false" ht="15" hidden="false" customHeight="false" outlineLevel="0" collapsed="false">
      <c r="A91" s="0" t="s">
        <v>414</v>
      </c>
      <c r="B91" s="0" t="s">
        <v>252</v>
      </c>
      <c r="C91" s="23" t="n">
        <f aca="false">C88/C90</f>
        <v>19.47</v>
      </c>
      <c r="D91" s="23" t="n">
        <f aca="false">D88/D90</f>
        <v>38.3985658278458</v>
      </c>
      <c r="E91" s="23" t="n">
        <f aca="false">E88/E90</f>
        <v>60.1510234165269</v>
      </c>
      <c r="F91" s="23" t="n">
        <f aca="false">F88/F90</f>
        <v>74.6026961722779</v>
      </c>
      <c r="G91" s="23" t="n">
        <f aca="false">G88/G90</f>
        <v>83.7459784172656</v>
      </c>
      <c r="H91" s="29" t="n">
        <f aca="false">H88/H90</f>
        <v>86.6706925117826</v>
      </c>
      <c r="I91" s="29" t="n">
        <f aca="false">I88/I90</f>
        <v>86.3181322715959</v>
      </c>
      <c r="J91" s="29" t="n">
        <f aca="false">J88/J90</f>
        <v>82.5756343373224</v>
      </c>
    </row>
    <row r="92" customFormat="false" ht="17.15" hidden="false" customHeight="false" outlineLevel="0" collapsed="false">
      <c r="A92" s="0" t="s">
        <v>530</v>
      </c>
      <c r="B92" s="0" t="s">
        <v>49</v>
      </c>
      <c r="D92" s="17" t="n">
        <f aca="false">D91/C91-1</f>
        <v>0.9721913624985</v>
      </c>
      <c r="E92" s="17" t="n">
        <f aca="false">E91/D91-1</f>
        <v>0.566491407158407</v>
      </c>
      <c r="F92" s="17" t="n">
        <f aca="false">F91/E91-1</f>
        <v>0.240256473371662</v>
      </c>
      <c r="G92" s="17" t="n">
        <f aca="false">G91/F91-1</f>
        <v>0.122559675643269</v>
      </c>
      <c r="H92" s="25" t="n">
        <f aca="false">H91/G91-1</f>
        <v>0.034923636332058</v>
      </c>
      <c r="I92" s="25" t="n">
        <f aca="false">I91/H91-1</f>
        <v>-0.00406781381305699</v>
      </c>
      <c r="J92" s="25" t="n">
        <f aca="false">J91/I91-1</f>
        <v>-0.0433570309711746</v>
      </c>
    </row>
    <row r="93" customFormat="false" ht="17.15" hidden="false" customHeight="false" outlineLevel="0" collapsed="false">
      <c r="A93" s="3" t="s">
        <v>531</v>
      </c>
      <c r="B93" s="0" t="s">
        <v>49</v>
      </c>
      <c r="C93" s="17" t="n">
        <f aca="false">C88/C73</f>
        <v>0.160105992933804</v>
      </c>
      <c r="D93" s="17" t="n">
        <f aca="false">D88/D73</f>
        <v>0.186872140996471</v>
      </c>
      <c r="E93" s="17" t="n">
        <f aca="false">E88/E73</f>
        <v>0.204212209306515</v>
      </c>
      <c r="F93" s="17" t="n">
        <f aca="false">F88/F73</f>
        <v>0.205786426945898</v>
      </c>
      <c r="G93" s="17" t="n">
        <f aca="false">G88/G73</f>
        <v>0.202570272619279</v>
      </c>
      <c r="H93" s="25" t="n">
        <f aca="false">$G93+(fade_mB-$G93)*1/3</f>
        <v>0.18998352723634</v>
      </c>
      <c r="I93" s="25" t="n">
        <f aca="false">$G93+(fade_mB-$G93)*2/3</f>
        <v>0.177396781853401</v>
      </c>
      <c r="J93" s="25" t="n">
        <f aca="false">$G93+(fade_mB-$G93)*3/3</f>
        <v>0.164810036470462</v>
      </c>
    </row>
    <row r="96" customFormat="false" ht="17.15" hidden="false" customHeight="false" outlineLevel="0" collapsed="false">
      <c r="A96" s="1" t="s">
        <v>823</v>
      </c>
    </row>
    <row r="97" customFormat="false" ht="17.15" hidden="false" customHeight="false" outlineLevel="0" collapsed="false">
      <c r="A97" s="4" t="s">
        <v>18</v>
      </c>
      <c r="B97" s="4" t="s">
        <v>19</v>
      </c>
      <c r="C97" s="14" t="s">
        <v>382</v>
      </c>
      <c r="D97" s="14" t="s">
        <v>472</v>
      </c>
      <c r="E97" s="14" t="s">
        <v>473</v>
      </c>
      <c r="F97" s="14" t="s">
        <v>474</v>
      </c>
      <c r="G97" s="14" t="s">
        <v>475</v>
      </c>
      <c r="H97" s="14" t="s">
        <v>476</v>
      </c>
      <c r="I97" s="14" t="s">
        <v>477</v>
      </c>
      <c r="J97" s="14" t="s">
        <v>478</v>
      </c>
      <c r="K97" s="4" t="s">
        <v>436</v>
      </c>
    </row>
    <row r="98" customFormat="false" ht="17.15" hidden="false" customHeight="false" outlineLevel="0" collapsed="false">
      <c r="A98" s="5" t="s">
        <v>494</v>
      </c>
    </row>
    <row r="99" customFormat="false" ht="17.15" hidden="false" customHeight="false" outlineLevel="0" collapsed="false">
      <c r="A99" s="0" t="s">
        <v>495</v>
      </c>
      <c r="B99" s="0" t="s">
        <v>29</v>
      </c>
      <c r="D99" s="23" t="n">
        <f aca="false">itc_26*1</f>
        <v>781.872916666667</v>
      </c>
      <c r="E99" s="23" t="n">
        <f aca="false">itc_27*1*1</f>
        <v>1565.35</v>
      </c>
      <c r="F99" s="23" t="n">
        <f aca="false">itc_28*um28_B*1</f>
        <v>1587.41111111111</v>
      </c>
      <c r="G99" s="23" t="n">
        <f aca="false">itc_29*um29_B*1</f>
        <v>1921.33173611111</v>
      </c>
    </row>
    <row r="100" customFormat="false" ht="17.15" hidden="false" customHeight="false" outlineLevel="0" collapsed="false">
      <c r="A100" s="3" t="s">
        <v>496</v>
      </c>
      <c r="B100" s="0" t="s">
        <v>29</v>
      </c>
      <c r="D100" s="23" t="n">
        <f aca="false">itpg_gb*(1-vr26)+itpg_vr*vr26</f>
        <v>33.41403216</v>
      </c>
      <c r="E100" s="23" t="n">
        <f aca="false">itpg_vr</f>
        <v>37.586352</v>
      </c>
      <c r="F100" s="23" t="n">
        <f aca="false">itpg_vr</f>
        <v>37.586352</v>
      </c>
      <c r="G100" s="23" t="n">
        <f aca="false">itpg_vr</f>
        <v>37.586352</v>
      </c>
    </row>
    <row r="101" customFormat="false" ht="17.15" hidden="false" customHeight="false" outlineLevel="0" collapsed="false">
      <c r="A101" s="3" t="s">
        <v>497</v>
      </c>
      <c r="B101" s="0" t="s">
        <v>438</v>
      </c>
      <c r="D101" s="20" t="n">
        <f aca="false">D99/D100</f>
        <v>23.3995380420639</v>
      </c>
      <c r="E101" s="20" t="n">
        <f aca="false">E99/E100</f>
        <v>41.6467658260637</v>
      </c>
      <c r="F101" s="20" t="n">
        <f aca="false">F99/F100</f>
        <v>42.2337105529984</v>
      </c>
      <c r="G101" s="20" t="n">
        <f aca="false">G99/G100</f>
        <v>51.1178029756948</v>
      </c>
    </row>
    <row r="102" customFormat="false" ht="17.15" hidden="false" customHeight="false" outlineLevel="0" collapsed="false">
      <c r="A102" s="3" t="s">
        <v>442</v>
      </c>
      <c r="B102" s="0" t="s">
        <v>90</v>
      </c>
      <c r="D102" s="21" t="n">
        <f aca="false">vg_cmp26</f>
        <v>280</v>
      </c>
      <c r="E102" s="21" t="n">
        <f aca="false">(vg_cmp26+(vg_cmp27-vg_cmp26)*pgwf_hi)</f>
        <v>462</v>
      </c>
      <c r="F102" s="21" t="n">
        <f aca="false">(vg_cmp26+(vg_cmp28-vg_cmp26)*pgwf_hi)</f>
        <v>516.6</v>
      </c>
      <c r="G102" s="21" t="n">
        <f aca="false">(vg_cmp26+(vg_cmp29-vg_cmp26)*pgwf_hi)</f>
        <v>571.2</v>
      </c>
    </row>
    <row r="103" customFormat="false" ht="17.15" hidden="false" customHeight="false" outlineLevel="0" collapsed="false">
      <c r="A103" s="3" t="s">
        <v>444</v>
      </c>
      <c r="B103" s="0" t="s">
        <v>90</v>
      </c>
      <c r="D103" s="21" t="n">
        <f aca="false">vg_sw26</f>
        <v>120</v>
      </c>
      <c r="E103" s="21" t="n">
        <f aca="false">(vg_sw26+(vg_sw27-vg_sw26)*pgwf_hi)</f>
        <v>174.6</v>
      </c>
      <c r="F103" s="21" t="n">
        <f aca="false">(vg_sw26+(vg_sw28-vg_sw26)*pgwf_hi)</f>
        <v>198</v>
      </c>
      <c r="G103" s="21" t="n">
        <f aca="false">(vg_sw26+(vg_sw29-vg_sw26)*pgwf_hi)</f>
        <v>221.4</v>
      </c>
    </row>
    <row r="104" customFormat="false" ht="17.15" hidden="false" customHeight="false" outlineLevel="0" collapsed="false">
      <c r="A104" s="3" t="s">
        <v>498</v>
      </c>
      <c r="B104" s="0" t="s">
        <v>90</v>
      </c>
      <c r="D104" s="21" t="n">
        <f aca="false">vg_mid26*w_mid</f>
        <v>25</v>
      </c>
      <c r="E104" s="21" t="n">
        <f aca="false">(vg_mid26+(vg_mid27-vg_mid26)*pgwf_hi)*w_mid</f>
        <v>57.5</v>
      </c>
      <c r="F104" s="21" t="n">
        <f aca="false">(vg_mid26+(vg_mid28-vg_mid26)*pgwf_hi)*w_mid</f>
        <v>90</v>
      </c>
      <c r="G104" s="21" t="n">
        <f aca="false">(vg_mid26+(vg_mid29-vg_mid26)*pgwf_hi)*w_mid</f>
        <v>106.25</v>
      </c>
    </row>
    <row r="105" customFormat="false" ht="17.15" hidden="false" customHeight="false" outlineLevel="0" collapsed="false">
      <c r="A105" s="3" t="s">
        <v>499</v>
      </c>
      <c r="B105" s="0" t="s">
        <v>90</v>
      </c>
      <c r="D105" s="21" t="n">
        <f aca="false">D102+D103+D104</f>
        <v>425</v>
      </c>
      <c r="E105" s="21" t="n">
        <f aca="false">E102+E103+E104</f>
        <v>694.1</v>
      </c>
      <c r="F105" s="21" t="n">
        <f aca="false">F102+F103+F104</f>
        <v>804.6</v>
      </c>
      <c r="G105" s="21" t="n">
        <f aca="false">G102+G103+G104</f>
        <v>898.85</v>
      </c>
    </row>
    <row r="106" customFormat="false" ht="17.15" hidden="false" customHeight="false" outlineLevel="0" collapsed="false">
      <c r="A106" s="3" t="s">
        <v>500</v>
      </c>
      <c r="B106" s="0" t="s">
        <v>29</v>
      </c>
      <c r="D106" s="23" t="n">
        <f aca="false">D101*D105/1000</f>
        <v>9.94480366787716</v>
      </c>
      <c r="E106" s="23" t="n">
        <f aca="false">E101*E105/1000</f>
        <v>28.9070201598708</v>
      </c>
      <c r="F106" s="23" t="n">
        <f aca="false">F101*F105/1000</f>
        <v>33.9812435109425</v>
      </c>
      <c r="G106" s="23" t="n">
        <f aca="false">G101*G105/1000</f>
        <v>45.9472372047033</v>
      </c>
    </row>
    <row r="107" customFormat="false" ht="17.15" hidden="false" customHeight="false" outlineLevel="0" collapsed="false">
      <c r="A107" s="3" t="s">
        <v>501</v>
      </c>
      <c r="B107" s="0" t="s">
        <v>184</v>
      </c>
      <c r="D107" s="22" t="n">
        <f aca="false">D106*fx</f>
        <v>318.233717372069</v>
      </c>
      <c r="E107" s="22" t="n">
        <f aca="false">E106*fx</f>
        <v>925.024645115865</v>
      </c>
      <c r="F107" s="22" t="n">
        <f aca="false">F106*fx</f>
        <v>1087.39979235016</v>
      </c>
      <c r="G107" s="22" t="n">
        <f aca="false">G106*fx</f>
        <v>1470.31159055051</v>
      </c>
    </row>
    <row r="108" customFormat="false" ht="17.15" hidden="false" customHeight="false" outlineLevel="0" collapsed="false">
      <c r="A108" s="0" t="s">
        <v>502</v>
      </c>
      <c r="B108" s="0" t="s">
        <v>63</v>
      </c>
      <c r="D108" s="18" t="n">
        <f aca="false">1</f>
        <v>1</v>
      </c>
      <c r="E108" s="18" t="n">
        <f aca="false">pp_27</f>
        <v>1</v>
      </c>
      <c r="F108" s="18" t="n">
        <f aca="false">pp_28</f>
        <v>0.97</v>
      </c>
      <c r="G108" s="18" t="n">
        <f aca="false">pp_29</f>
        <v>0.94</v>
      </c>
    </row>
    <row r="109" customFormat="false" ht="17.15" hidden="false" customHeight="false" outlineLevel="0" collapsed="false">
      <c r="A109" s="3" t="s">
        <v>503</v>
      </c>
      <c r="B109" s="0" t="s">
        <v>49</v>
      </c>
      <c r="D109" s="17" t="n">
        <f aca="false">a26_ai/D107</f>
        <v>0.172842024579347</v>
      </c>
      <c r="K109" s="7" t="s">
        <v>504</v>
      </c>
    </row>
    <row r="110" customFormat="false" ht="17.15" hidden="false" customHeight="false" outlineLevel="0" collapsed="false">
      <c r="A110" s="3" t="s">
        <v>505</v>
      </c>
      <c r="B110" s="0" t="s">
        <v>63</v>
      </c>
      <c r="D110" s="18" t="n">
        <f aca="false">1</f>
        <v>1</v>
      </c>
      <c r="E110" s="18" t="n">
        <f aca="false">rel_27</f>
        <v>1</v>
      </c>
      <c r="F110" s="18" t="n">
        <f aca="false">rel_28</f>
        <v>0.95</v>
      </c>
      <c r="G110" s="18" t="n">
        <f aca="false">rel_29</f>
        <v>0.9</v>
      </c>
    </row>
    <row r="111" customFormat="false" ht="15" hidden="false" customHeight="false" outlineLevel="0" collapsed="false">
      <c r="A111" s="3" t="s">
        <v>454</v>
      </c>
      <c r="B111" s="0" t="s">
        <v>49</v>
      </c>
      <c r="D111" s="17" t="n">
        <f aca="false">$D$109*D110</f>
        <v>0.172842024579347</v>
      </c>
      <c r="E111" s="17" t="n">
        <f aca="false">$D$109*E110</f>
        <v>0.172842024579347</v>
      </c>
      <c r="F111" s="17" t="n">
        <f aca="false">$D$109*F110</f>
        <v>0.164199923350379</v>
      </c>
      <c r="G111" s="17" t="n">
        <f aca="false">$D$109*G110</f>
        <v>0.155557822121412</v>
      </c>
    </row>
    <row r="112" customFormat="false" ht="17.15" hidden="false" customHeight="false" outlineLevel="0" collapsed="false">
      <c r="A112" s="0" t="s">
        <v>506</v>
      </c>
      <c r="B112" s="0" t="s">
        <v>184</v>
      </c>
      <c r="D112" s="22" t="n">
        <f aca="false">D107*D111*D108</f>
        <v>55.00416</v>
      </c>
      <c r="E112" s="22" t="n">
        <f aca="false">E107*E111*E108</f>
        <v>159.883132447618</v>
      </c>
      <c r="F112" s="22" t="n">
        <f aca="false">F107*F111*F108</f>
        <v>173.194433678461</v>
      </c>
      <c r="G112" s="22" t="n">
        <f aca="false">G107*G111*G108</f>
        <v>214.995360733951</v>
      </c>
    </row>
    <row r="113" customFormat="false" ht="17.15" hidden="false" customHeight="false" outlineLevel="0" collapsed="false">
      <c r="A113" s="5" t="s">
        <v>507</v>
      </c>
    </row>
    <row r="114" customFormat="false" ht="17.15" hidden="false" customHeight="false" outlineLevel="0" collapsed="false">
      <c r="A114" s="3" t="s">
        <v>508</v>
      </c>
      <c r="B114" s="0" t="s">
        <v>63</v>
      </c>
      <c r="D114" s="18" t="n">
        <f aca="false">1</f>
        <v>1</v>
      </c>
      <c r="E114" s="18" t="n">
        <f aca="false">cx_27</f>
        <v>1.45</v>
      </c>
      <c r="F114" s="18" t="n">
        <f aca="false">cx_28</f>
        <v>1.9</v>
      </c>
      <c r="G114" s="18" t="n">
        <f aca="false">cx_29</f>
        <v>2.3</v>
      </c>
      <c r="K114" s="7" t="s">
        <v>509</v>
      </c>
    </row>
    <row r="115" customFormat="false" ht="17.15" hidden="false" customHeight="false" outlineLevel="0" collapsed="false">
      <c r="A115" s="3" t="s">
        <v>510</v>
      </c>
      <c r="B115" s="0" t="s">
        <v>184</v>
      </c>
      <c r="D115" s="22" t="n">
        <f aca="false">a26_rev*D114*D108</f>
        <v>105.40752</v>
      </c>
      <c r="E115" s="22" t="n">
        <f aca="false">a26_rev*E114*E108</f>
        <v>152.840904</v>
      </c>
      <c r="F115" s="22" t="n">
        <f aca="false">a26_rev*F114*F108</f>
        <v>194.26605936</v>
      </c>
      <c r="G115" s="22" t="n">
        <f aca="false">a26_rev*G114*G108</f>
        <v>227.89105824</v>
      </c>
    </row>
    <row r="116" customFormat="false" ht="17.15" hidden="false" customHeight="false" outlineLevel="0" collapsed="false">
      <c r="A116" s="3" t="s">
        <v>511</v>
      </c>
      <c r="B116" s="0" t="s">
        <v>184</v>
      </c>
      <c r="C116" s="22" t="n">
        <f aca="false">a25_nai</f>
        <v>42.0028</v>
      </c>
      <c r="D116" s="22" t="n">
        <f aca="false">a26_nai</f>
        <v>50.40336</v>
      </c>
      <c r="E116" s="22" t="n">
        <f aca="false">D116*(1+g_nai27)</f>
        <v>52.923528</v>
      </c>
      <c r="F116" s="22" t="n">
        <f aca="false">E116*(1+g_nai28)</f>
        <v>54.51123384</v>
      </c>
      <c r="G116" s="22" t="n">
        <f aca="false">F116*(1+g_nai29)</f>
        <v>56.1465708552</v>
      </c>
    </row>
    <row r="117" customFormat="false" ht="17.15" hidden="false" customHeight="false" outlineLevel="0" collapsed="false">
      <c r="A117" s="0" t="s">
        <v>512</v>
      </c>
      <c r="B117" s="0" t="s">
        <v>184</v>
      </c>
      <c r="C117" s="22" t="n">
        <f aca="false">a25_ai</f>
        <v>18.0012</v>
      </c>
      <c r="D117" s="22" t="n">
        <f aca="false">D112</f>
        <v>55.00416</v>
      </c>
      <c r="E117" s="22" t="n">
        <f aca="false">MIN(E112,E115-E116)</f>
        <v>99.917376</v>
      </c>
      <c r="F117" s="22" t="n">
        <f aca="false">MIN(F112,F115-F116)</f>
        <v>139.75482552</v>
      </c>
      <c r="G117" s="22" t="n">
        <f aca="false">MIN(G112,G115-G116)</f>
        <v>171.7444873848</v>
      </c>
      <c r="K117" s="3" t="s">
        <v>513</v>
      </c>
    </row>
    <row r="118" customFormat="false" ht="15" hidden="false" customHeight="false" outlineLevel="0" collapsed="false">
      <c r="A118" s="3" t="s">
        <v>514</v>
      </c>
      <c r="E118" s="0" t="str">
        <f aca="false">IF(E112&gt;E115-E116+0.0001,"受限","未受限")</f>
        <v>受限</v>
      </c>
      <c r="F118" s="0" t="str">
        <f aca="false">IF(F112&gt;F115-F116+0.0001,"受限","未受限")</f>
        <v>受限</v>
      </c>
      <c r="G118" s="0" t="str">
        <f aca="false">IF(G112&gt;G115-G116+0.0001,"受限","未受限")</f>
        <v>受限</v>
      </c>
    </row>
    <row r="119" customFormat="false" ht="17.15" hidden="false" customHeight="false" outlineLevel="0" collapsed="false">
      <c r="A119" s="3" t="s">
        <v>387</v>
      </c>
      <c r="B119" s="0" t="s">
        <v>184</v>
      </c>
      <c r="C119" s="22" t="n">
        <f aca="false">C117+C116</f>
        <v>60.004</v>
      </c>
      <c r="D119" s="22" t="n">
        <f aca="false">D117+D116</f>
        <v>105.40752</v>
      </c>
      <c r="E119" s="22" t="n">
        <f aca="false">E117+E116</f>
        <v>152.840904</v>
      </c>
      <c r="F119" s="22" t="n">
        <f aca="false">F117+F116</f>
        <v>194.26605936</v>
      </c>
      <c r="G119" s="22" t="n">
        <f aca="false">G117+G116</f>
        <v>227.89105824</v>
      </c>
      <c r="H119" s="24" t="n">
        <f aca="false">G119*(1+H120)</f>
        <v>257.226313072804</v>
      </c>
      <c r="I119" s="24" t="n">
        <f aca="false">H119*(1+I120)</f>
        <v>278.92655569709</v>
      </c>
      <c r="J119" s="24" t="n">
        <f aca="false">I119*(1+J120)</f>
        <v>290.083617924974</v>
      </c>
      <c r="K119" s="7" t="s">
        <v>515</v>
      </c>
    </row>
    <row r="120" customFormat="false" ht="15" hidden="false" customHeight="false" outlineLevel="0" collapsed="false">
      <c r="A120" s="3" t="s">
        <v>516</v>
      </c>
      <c r="B120" s="0" t="s">
        <v>49</v>
      </c>
      <c r="D120" s="17" t="n">
        <f aca="false">D119/C119-1</f>
        <v>0.756674888340778</v>
      </c>
      <c r="E120" s="17" t="n">
        <f aca="false">E119/D119-1</f>
        <v>0.45</v>
      </c>
      <c r="F120" s="17" t="n">
        <f aca="false">F119/E119-1</f>
        <v>0.271034482758621</v>
      </c>
      <c r="G120" s="17" t="n">
        <f aca="false">G119/F119-1</f>
        <v>0.173087357569181</v>
      </c>
      <c r="H120" s="25" t="n">
        <f aca="false">$G120+(fade_gB-$G120)*1/3</f>
        <v>0.12872490504612</v>
      </c>
      <c r="I120" s="25" t="n">
        <f aca="false">$G120+(fade_gB-$G120)*2/3</f>
        <v>0.0843624525230602</v>
      </c>
      <c r="J120" s="25" t="n">
        <f aca="false">$G120+(fade_gB-$G120)*3/3</f>
        <v>0.04</v>
      </c>
    </row>
    <row r="121" customFormat="false" ht="17.15" hidden="false" customHeight="false" outlineLevel="0" collapsed="false">
      <c r="A121" s="0" t="s">
        <v>517</v>
      </c>
      <c r="B121" s="0" t="s">
        <v>49</v>
      </c>
      <c r="C121" s="17" t="n">
        <f aca="false">C117/C119</f>
        <v>0.3</v>
      </c>
      <c r="D121" s="17" t="n">
        <f aca="false">D117/D119</f>
        <v>0.521823869871903</v>
      </c>
      <c r="E121" s="17" t="n">
        <f aca="false">E117/E119</f>
        <v>0.653734526458964</v>
      </c>
      <c r="F121" s="17" t="n">
        <f aca="false">F117/F119</f>
        <v>0.71939908587437</v>
      </c>
      <c r="G121" s="17" t="n">
        <f aca="false">G117/G119</f>
        <v>0.753625388864226</v>
      </c>
    </row>
    <row r="122" customFormat="false" ht="17.15" hidden="false" customHeight="false" outlineLevel="0" collapsed="false">
      <c r="A122" s="3" t="s">
        <v>518</v>
      </c>
      <c r="B122" s="0" t="s">
        <v>49</v>
      </c>
      <c r="D122" s="17" t="n">
        <f aca="false">(D112+D116)/D115</f>
        <v>1</v>
      </c>
      <c r="E122" s="17" t="n">
        <f aca="false">(E112+E116)/E115</f>
        <v>1.39234102179622</v>
      </c>
      <c r="F122" s="17" t="n">
        <f aca="false">(F112+F116)/F115</f>
        <v>1.1721330440769</v>
      </c>
      <c r="G122" s="17" t="n">
        <f aca="false">(G112+G116)/G115</f>
        <v>1.18978749619743</v>
      </c>
      <c r="K122" s="3" t="s">
        <v>519</v>
      </c>
    </row>
    <row r="123" customFormat="false" ht="17.15" hidden="false" customHeight="false" outlineLevel="0" collapsed="false">
      <c r="A123" s="3" t="s">
        <v>458</v>
      </c>
      <c r="B123" s="0" t="s">
        <v>90</v>
      </c>
      <c r="D123" s="21" t="n">
        <f aca="false">D117/fx/D101*1000</f>
        <v>73.4578604462223</v>
      </c>
      <c r="E123" s="21" t="n">
        <f aca="false">E117/fx/E101*1000</f>
        <v>74.9738410190283</v>
      </c>
      <c r="F123" s="21" t="n">
        <f aca="false">F117/fx/F101*1000</f>
        <v>103.408822959553</v>
      </c>
      <c r="G123" s="21" t="n">
        <f aca="false">G117/fx/G101*1000</f>
        <v>104.993073222002</v>
      </c>
    </row>
    <row r="124" customFormat="false" ht="17.15" hidden="false" customHeight="false" outlineLevel="0" collapsed="false">
      <c r="A124" s="5" t="s">
        <v>520</v>
      </c>
    </row>
    <row r="125" customFormat="false" ht="17.15" hidden="false" customHeight="false" outlineLevel="0" collapsed="false">
      <c r="A125" s="3" t="s">
        <v>521</v>
      </c>
      <c r="B125" s="0" t="s">
        <v>49</v>
      </c>
      <c r="D125" s="17" t="n">
        <f aca="false">a26_gp/D119-d_ai*D121</f>
        <v>0.296655205435058</v>
      </c>
      <c r="K125" s="7" t="s">
        <v>522</v>
      </c>
    </row>
    <row r="126" customFormat="false" ht="17.15" hidden="false" customHeight="false" outlineLevel="0" collapsed="false">
      <c r="A126" s="0" t="s">
        <v>523</v>
      </c>
      <c r="B126" s="0" t="s">
        <v>49</v>
      </c>
      <c r="D126" s="17" t="n">
        <f aca="false">D125+d_ai</f>
        <v>0.396655205435058</v>
      </c>
      <c r="E126" s="17" t="n">
        <f aca="false">1-(1-$D$126)/E108+gmu_27</f>
        <v>0.406655205435058</v>
      </c>
      <c r="F126" s="17" t="n">
        <f aca="false">1-(1-$D$126)/F108+gmu_28</f>
        <v>0.392995057149545</v>
      </c>
      <c r="G126" s="17" t="n">
        <f aca="false">1-(1-$D$126)/G108+gmu_29</f>
        <v>0.378143835569211</v>
      </c>
      <c r="K126" s="7" t="s">
        <v>524</v>
      </c>
    </row>
    <row r="127" customFormat="false" ht="15" hidden="false" customHeight="false" outlineLevel="0" collapsed="false">
      <c r="A127" s="3" t="s">
        <v>391</v>
      </c>
      <c r="B127" s="0" t="s">
        <v>184</v>
      </c>
      <c r="C127" s="22" t="n">
        <f aca="false">a25_gp</f>
        <v>19.683</v>
      </c>
      <c r="D127" s="22" t="n">
        <f aca="false">a26_gp</f>
        <v>36.7701055</v>
      </c>
      <c r="E127" s="22" t="n">
        <f aca="false">E117*E126+E116*$D$125</f>
        <v>56.331961135</v>
      </c>
      <c r="F127" s="22" t="n">
        <f aca="false">F117*F126+F116*$D$125</f>
        <v>71.0939969154807</v>
      </c>
      <c r="G127" s="22" t="n">
        <f aca="false">G117*G126+G116*$D$125</f>
        <v>81.6002917090796</v>
      </c>
    </row>
    <row r="128" customFormat="false" ht="15" hidden="false" customHeight="false" outlineLevel="0" collapsed="false">
      <c r="A128" s="3" t="s">
        <v>394</v>
      </c>
      <c r="B128" s="0" t="s">
        <v>49</v>
      </c>
      <c r="C128" s="17" t="n">
        <f aca="false">C127/C119</f>
        <v>0.328028131457903</v>
      </c>
      <c r="D128" s="17" t="n">
        <f aca="false">D127/D119</f>
        <v>0.348837592422248</v>
      </c>
      <c r="E128" s="17" t="n">
        <f aca="false">E127/E119</f>
        <v>0.368566003345544</v>
      </c>
      <c r="F128" s="17" t="n">
        <f aca="false">F127/F119</f>
        <v>0.365962006691732</v>
      </c>
      <c r="G128" s="17" t="n">
        <f aca="false">G127/G119</f>
        <v>0.358067106007922</v>
      </c>
    </row>
    <row r="129" customFormat="false" ht="15" hidden="false" customHeight="false" outlineLevel="0" collapsed="false">
      <c r="A129" s="3" t="s">
        <v>525</v>
      </c>
      <c r="B129" s="0" t="s">
        <v>184</v>
      </c>
      <c r="C129" s="22" t="n">
        <f aca="false">a25_opx</f>
        <v>5.64</v>
      </c>
      <c r="D129" s="22" t="n">
        <f aca="false">a26_opx</f>
        <v>8.4779754</v>
      </c>
      <c r="E129" s="22" t="n">
        <f aca="false">D129*(1+MAX(0,phi*E120))</f>
        <v>10.767028758</v>
      </c>
      <c r="F129" s="22" t="n">
        <f aca="false">E129*(1+MAX(0,phi*F120))</f>
        <v>12.517970400163</v>
      </c>
      <c r="G129" s="22" t="n">
        <f aca="false">F129*(1+MAX(0,phi*G120))</f>
        <v>13.8179918513791</v>
      </c>
    </row>
    <row r="130" customFormat="false" ht="15" hidden="false" customHeight="false" outlineLevel="0" collapsed="false">
      <c r="A130" s="3" t="s">
        <v>396</v>
      </c>
      <c r="B130" s="0" t="s">
        <v>184</v>
      </c>
      <c r="C130" s="22" t="n">
        <f aca="false">C129</f>
        <v>5.64</v>
      </c>
      <c r="D130" s="22" t="n">
        <f aca="false">D129</f>
        <v>8.4779754</v>
      </c>
      <c r="E130" s="22" t="n">
        <f aca="false">E129+0*E119</f>
        <v>10.767028758</v>
      </c>
      <c r="F130" s="22" t="n">
        <f aca="false">F129+0*F119</f>
        <v>12.517970400163</v>
      </c>
      <c r="G130" s="22" t="n">
        <f aca="false">G129+0*G119</f>
        <v>13.8179918513791</v>
      </c>
    </row>
    <row r="131" customFormat="false" ht="15" hidden="false" customHeight="false" outlineLevel="0" collapsed="false">
      <c r="A131" s="3" t="s">
        <v>526</v>
      </c>
      <c r="B131" s="0" t="s">
        <v>184</v>
      </c>
      <c r="C131" s="22" t="n">
        <f aca="false">C127-C130</f>
        <v>14.043</v>
      </c>
      <c r="D131" s="22" t="n">
        <f aca="false">D127-D130</f>
        <v>28.2921301</v>
      </c>
      <c r="E131" s="22" t="n">
        <f aca="false">E127-E130</f>
        <v>45.564932377</v>
      </c>
      <c r="F131" s="22" t="n">
        <f aca="false">F127-F130</f>
        <v>58.5760265153177</v>
      </c>
      <c r="G131" s="22" t="n">
        <f aca="false">G127-G130</f>
        <v>67.7822998577005</v>
      </c>
    </row>
    <row r="132" customFormat="false" ht="15" hidden="false" customHeight="false" outlineLevel="0" collapsed="false">
      <c r="A132" s="3" t="s">
        <v>402</v>
      </c>
      <c r="B132" s="0" t="s">
        <v>49</v>
      </c>
      <c r="C132" s="17" t="n">
        <f aca="false">C131/C119</f>
        <v>0.23403439770682</v>
      </c>
      <c r="D132" s="17" t="n">
        <f aca="false">D131/D119</f>
        <v>0.268407131673338</v>
      </c>
      <c r="E132" s="17" t="n">
        <f aca="false">E131/E119</f>
        <v>0.298120013586154</v>
      </c>
      <c r="F132" s="17" t="n">
        <f aca="false">F131/F119</f>
        <v>0.301524757892828</v>
      </c>
      <c r="G132" s="17" t="n">
        <f aca="false">G131/G119</f>
        <v>0.297432906675595</v>
      </c>
    </row>
    <row r="133" customFormat="false" ht="17.15" hidden="false" customHeight="false" outlineLevel="0" collapsed="false">
      <c r="A133" s="3" t="s">
        <v>403</v>
      </c>
      <c r="B133" s="0" t="s">
        <v>184</v>
      </c>
      <c r="E133" s="22" t="n">
        <f aca="false">nop_f</f>
        <v>0</v>
      </c>
      <c r="F133" s="22" t="n">
        <f aca="false">nop_f</f>
        <v>0</v>
      </c>
      <c r="G133" s="22" t="n">
        <f aca="false">nop_f</f>
        <v>0</v>
      </c>
      <c r="K133" s="7" t="s">
        <v>527</v>
      </c>
    </row>
    <row r="134" customFormat="false" ht="15" hidden="false" customHeight="false" outlineLevel="0" collapsed="false">
      <c r="A134" s="3" t="s">
        <v>408</v>
      </c>
      <c r="B134" s="0" t="s">
        <v>184</v>
      </c>
      <c r="C134" s="22" t="n">
        <f aca="false">a25_ni</f>
        <v>9.607</v>
      </c>
      <c r="D134" s="22" t="n">
        <f aca="false">a26_ni</f>
        <v>19.6977289395284</v>
      </c>
      <c r="E134" s="22" t="n">
        <f aca="false">(E131+E133)*nir_f</f>
        <v>31.211978678245</v>
      </c>
      <c r="F134" s="22" t="n">
        <f aca="false">(F131+F133)*nir_f</f>
        <v>40.1245781629926</v>
      </c>
      <c r="G134" s="22" t="n">
        <f aca="false">(G131+G133)*nir_f</f>
        <v>46.4308754025249</v>
      </c>
      <c r="H134" s="24" t="n">
        <f aca="false">H119*H139</f>
        <v>49.0696162995125</v>
      </c>
      <c r="I134" s="24" t="n">
        <f aca="false">I119*I139</f>
        <v>49.5895726459613</v>
      </c>
      <c r="J134" s="24" t="n">
        <f aca="false">J119*J139</f>
        <v>47.8086916496984</v>
      </c>
    </row>
    <row r="135" customFormat="false" ht="17.15" hidden="false" customHeight="false" outlineLevel="0" collapsed="false">
      <c r="A135" s="3" t="s">
        <v>411</v>
      </c>
      <c r="B135" s="0" t="s">
        <v>49</v>
      </c>
      <c r="C135" s="17" t="n">
        <f aca="false">C134/C131</f>
        <v>0.684113081250445</v>
      </c>
      <c r="D135" s="17" t="n">
        <f aca="false">D134/D131</f>
        <v>0.696226437171953</v>
      </c>
      <c r="E135" s="17" t="n">
        <f aca="false">E134/E131</f>
        <v>0.685</v>
      </c>
      <c r="F135" s="17" t="n">
        <f aca="false">F134/F131</f>
        <v>0.685</v>
      </c>
      <c r="G135" s="17" t="n">
        <f aca="false">G134/G131</f>
        <v>0.685</v>
      </c>
    </row>
    <row r="136" customFormat="false" ht="17.15" hidden="false" customHeight="false" outlineLevel="0" collapsed="false">
      <c r="A136" s="3" t="s">
        <v>528</v>
      </c>
      <c r="B136" s="3" t="s">
        <v>214</v>
      </c>
      <c r="C136" s="27" t="n">
        <f aca="false">a25_sh</f>
        <v>0.493425783256292</v>
      </c>
      <c r="D136" s="27" t="n">
        <f aca="false">a26_sh</f>
        <v>0.512980850061958</v>
      </c>
      <c r="E136" s="27" t="n">
        <f aca="false">sh_h2*(1+sh_g)</f>
        <v>0.51889356</v>
      </c>
      <c r="F136" s="27" t="n">
        <f aca="false">E136*(1+sh_g)</f>
        <v>0.5240824956</v>
      </c>
      <c r="G136" s="27" t="n">
        <f aca="false">F136*(1+sh_g)</f>
        <v>0.529323320556</v>
      </c>
      <c r="H136" s="28" t="n">
        <f aca="false">G136*(1+sh_g)</f>
        <v>0.53461655376156</v>
      </c>
      <c r="I136" s="28" t="n">
        <f aca="false">H136*(1+sh_g)</f>
        <v>0.539962719299176</v>
      </c>
      <c r="J136" s="28" t="n">
        <f aca="false">I136*(1+sh_g)</f>
        <v>0.545362346492167</v>
      </c>
      <c r="K136" s="7" t="s">
        <v>529</v>
      </c>
    </row>
    <row r="137" customFormat="false" ht="15" hidden="false" customHeight="false" outlineLevel="0" collapsed="false">
      <c r="A137" s="0" t="s">
        <v>414</v>
      </c>
      <c r="B137" s="0" t="s">
        <v>252</v>
      </c>
      <c r="C137" s="23" t="n">
        <f aca="false">C134/C136</f>
        <v>19.47</v>
      </c>
      <c r="D137" s="23" t="n">
        <f aca="false">D134/D136</f>
        <v>38.3985658278458</v>
      </c>
      <c r="E137" s="23" t="n">
        <f aca="false">E134/E136</f>
        <v>60.1510234165269</v>
      </c>
      <c r="F137" s="23" t="n">
        <f aca="false">F134/F136</f>
        <v>76.5615690275167</v>
      </c>
      <c r="G137" s="23" t="n">
        <f aca="false">G134/G136</f>
        <v>87.7174188240072</v>
      </c>
      <c r="H137" s="29" t="n">
        <f aca="false">H134/H136</f>
        <v>91.7846930744266</v>
      </c>
      <c r="I137" s="29" t="n">
        <f aca="false">I134/I136</f>
        <v>91.8388823404776</v>
      </c>
      <c r="J137" s="29" t="n">
        <f aca="false">J134/J136</f>
        <v>87.664086010355</v>
      </c>
    </row>
    <row r="138" customFormat="false" ht="17.15" hidden="false" customHeight="false" outlineLevel="0" collapsed="false">
      <c r="A138" s="0" t="s">
        <v>530</v>
      </c>
      <c r="B138" s="0" t="s">
        <v>49</v>
      </c>
      <c r="D138" s="17" t="n">
        <f aca="false">D137/C137-1</f>
        <v>0.9721913624985</v>
      </c>
      <c r="E138" s="17" t="n">
        <f aca="false">E137/D137-1</f>
        <v>0.566491407158407</v>
      </c>
      <c r="F138" s="17" t="n">
        <f aca="false">F137/E137-1</f>
        <v>0.272822384040783</v>
      </c>
      <c r="G138" s="17" t="n">
        <f aca="false">G137/F137-1</f>
        <v>0.145710830357735</v>
      </c>
      <c r="H138" s="25" t="n">
        <f aca="false">H137/G137-1</f>
        <v>0.0463679199063061</v>
      </c>
      <c r="I138" s="25" t="n">
        <f aca="false">I137/H137-1</f>
        <v>0.000590395459589166</v>
      </c>
      <c r="J138" s="25" t="n">
        <f aca="false">J137/I137-1</f>
        <v>-0.0454578303190271</v>
      </c>
    </row>
    <row r="139" customFormat="false" ht="17.15" hidden="false" customHeight="false" outlineLevel="0" collapsed="false">
      <c r="A139" s="3" t="s">
        <v>531</v>
      </c>
      <c r="B139" s="0" t="s">
        <v>49</v>
      </c>
      <c r="C139" s="17" t="n">
        <f aca="false">C134/C119</f>
        <v>0.160105992933804</v>
      </c>
      <c r="D139" s="17" t="n">
        <f aca="false">D134/D119</f>
        <v>0.186872140996471</v>
      </c>
      <c r="E139" s="17" t="n">
        <f aca="false">E134/E119</f>
        <v>0.204212209306515</v>
      </c>
      <c r="F139" s="17" t="n">
        <f aca="false">F134/F119</f>
        <v>0.206544459156587</v>
      </c>
      <c r="G139" s="17" t="n">
        <f aca="false">G134/G119</f>
        <v>0.203741541072783</v>
      </c>
      <c r="H139" s="25" t="n">
        <f aca="false">$G139+(fade_mB-$G139)*1/3</f>
        <v>0.190764372872009</v>
      </c>
      <c r="I139" s="25" t="n">
        <f aca="false">$G139+(fade_mB-$G139)*2/3</f>
        <v>0.177787204671235</v>
      </c>
      <c r="J139" s="25" t="n">
        <f aca="false">$G139+(fade_mB-$G139)*3/3</f>
        <v>0.164810036470462</v>
      </c>
    </row>
    <row r="142" customFormat="false" ht="17.15" hidden="false" customHeight="false" outlineLevel="0" collapsed="false">
      <c r="A142" s="1" t="s">
        <v>824</v>
      </c>
    </row>
    <row r="143" customFormat="false" ht="17.15" hidden="false" customHeight="false" outlineLevel="0" collapsed="false">
      <c r="A143" s="4" t="s">
        <v>18</v>
      </c>
      <c r="B143" s="4" t="s">
        <v>19</v>
      </c>
      <c r="C143" s="14" t="s">
        <v>382</v>
      </c>
      <c r="D143" s="14" t="s">
        <v>472</v>
      </c>
      <c r="E143" s="14" t="s">
        <v>473</v>
      </c>
      <c r="F143" s="14" t="s">
        <v>474</v>
      </c>
      <c r="G143" s="14" t="s">
        <v>475</v>
      </c>
      <c r="H143" s="14" t="s">
        <v>476</v>
      </c>
      <c r="I143" s="14" t="s">
        <v>477</v>
      </c>
      <c r="J143" s="14" t="s">
        <v>478</v>
      </c>
      <c r="K143" s="4" t="s">
        <v>436</v>
      </c>
    </row>
    <row r="144" customFormat="false" ht="17.15" hidden="false" customHeight="false" outlineLevel="0" collapsed="false">
      <c r="A144" s="5" t="s">
        <v>494</v>
      </c>
    </row>
    <row r="145" customFormat="false" ht="17.15" hidden="false" customHeight="false" outlineLevel="0" collapsed="false">
      <c r="A145" s="0" t="s">
        <v>495</v>
      </c>
      <c r="B145" s="0" t="s">
        <v>29</v>
      </c>
      <c r="D145" s="23" t="n">
        <f aca="false">itc_26*1</f>
        <v>781.872916666667</v>
      </c>
      <c r="E145" s="23" t="n">
        <f aca="false">itc_27*1*1</f>
        <v>1565.35</v>
      </c>
      <c r="F145" s="23" t="n">
        <f aca="false">itc_28*um28_B*1</f>
        <v>1587.41111111111</v>
      </c>
      <c r="G145" s="23" t="n">
        <f aca="false">itc_29*um29_B*1</f>
        <v>1921.33173611111</v>
      </c>
    </row>
    <row r="146" customFormat="false" ht="17.15" hidden="false" customHeight="false" outlineLevel="0" collapsed="false">
      <c r="A146" s="3" t="s">
        <v>496</v>
      </c>
      <c r="B146" s="0" t="s">
        <v>29</v>
      </c>
      <c r="D146" s="23" t="n">
        <f aca="false">itpg_gb*(1-vr26)+itpg_vr*vr26</f>
        <v>33.41403216</v>
      </c>
      <c r="E146" s="23" t="n">
        <f aca="false">itpg_vr</f>
        <v>37.586352</v>
      </c>
      <c r="F146" s="23" t="n">
        <f aca="false">itpg_vr</f>
        <v>37.586352</v>
      </c>
      <c r="G146" s="23" t="n">
        <f aca="false">itpg_vr</f>
        <v>37.586352</v>
      </c>
    </row>
    <row r="147" customFormat="false" ht="17.15" hidden="false" customHeight="false" outlineLevel="0" collapsed="false">
      <c r="A147" s="3" t="s">
        <v>497</v>
      </c>
      <c r="B147" s="0" t="s">
        <v>438</v>
      </c>
      <c r="D147" s="20" t="n">
        <f aca="false">D145/D146</f>
        <v>23.3995380420639</v>
      </c>
      <c r="E147" s="20" t="n">
        <f aca="false">E145/E146</f>
        <v>41.6467658260637</v>
      </c>
      <c r="F147" s="20" t="n">
        <f aca="false">F145/F146</f>
        <v>42.2337105529984</v>
      </c>
      <c r="G147" s="20" t="n">
        <f aca="false">G145/G146</f>
        <v>51.1178029756948</v>
      </c>
    </row>
    <row r="148" customFormat="false" ht="17.15" hidden="false" customHeight="false" outlineLevel="0" collapsed="false">
      <c r="A148" s="3" t="s">
        <v>442</v>
      </c>
      <c r="B148" s="0" t="s">
        <v>90</v>
      </c>
      <c r="D148" s="21" t="n">
        <f aca="false">vg_cmp26</f>
        <v>280</v>
      </c>
      <c r="E148" s="21" t="n">
        <f aca="false">(vg_cmp26+(vg_cmp27-vg_cmp26)*pgwf)</f>
        <v>420</v>
      </c>
      <c r="F148" s="21" t="n">
        <f aca="false">(vg_cmp26+(vg_cmp28-vg_cmp26)*pgwf)</f>
        <v>462</v>
      </c>
      <c r="G148" s="21" t="n">
        <f aca="false">(vg_cmp26+(vg_cmp29-vg_cmp26)*pgwf)</f>
        <v>504</v>
      </c>
    </row>
    <row r="149" customFormat="false" ht="17.15" hidden="false" customHeight="false" outlineLevel="0" collapsed="false">
      <c r="A149" s="3" t="s">
        <v>444</v>
      </c>
      <c r="B149" s="0" t="s">
        <v>90</v>
      </c>
      <c r="D149" s="21" t="n">
        <f aca="false">vg_sw26</f>
        <v>120</v>
      </c>
      <c r="E149" s="21" t="n">
        <f aca="false">(vg_sw26+(vg_sw27-vg_sw26)*pgwf)</f>
        <v>162</v>
      </c>
      <c r="F149" s="21" t="n">
        <f aca="false">(vg_sw26+(vg_sw28-vg_sw26)*pgwf)</f>
        <v>180</v>
      </c>
      <c r="G149" s="21" t="n">
        <f aca="false">(vg_sw26+(vg_sw29-vg_sw26)*pgwf)</f>
        <v>198</v>
      </c>
    </row>
    <row r="150" customFormat="false" ht="17.15" hidden="false" customHeight="false" outlineLevel="0" collapsed="false">
      <c r="A150" s="3" t="s">
        <v>498</v>
      </c>
      <c r="B150" s="0" t="s">
        <v>90</v>
      </c>
      <c r="D150" s="21" t="n">
        <f aca="false">vg_mid26*w_mid_lo</f>
        <v>0</v>
      </c>
      <c r="E150" s="21" t="n">
        <f aca="false">(vg_mid26+(vg_mid27-vg_mid26)*pgwf)*w_mid_lo</f>
        <v>0</v>
      </c>
      <c r="F150" s="21" t="n">
        <f aca="false">(vg_mid26+(vg_mid28-vg_mid26)*pgwf)*w_mid_lo</f>
        <v>0</v>
      </c>
      <c r="G150" s="21" t="n">
        <f aca="false">(vg_mid26+(vg_mid29-vg_mid26)*pgwf)*w_mid_lo</f>
        <v>0</v>
      </c>
    </row>
    <row r="151" customFormat="false" ht="17.15" hidden="false" customHeight="false" outlineLevel="0" collapsed="false">
      <c r="A151" s="3" t="s">
        <v>499</v>
      </c>
      <c r="B151" s="0" t="s">
        <v>90</v>
      </c>
      <c r="D151" s="21" t="n">
        <f aca="false">D148+D149+D150</f>
        <v>400</v>
      </c>
      <c r="E151" s="21" t="n">
        <f aca="false">E148+E149+E150</f>
        <v>582</v>
      </c>
      <c r="F151" s="21" t="n">
        <f aca="false">F148+F149+F150</f>
        <v>642</v>
      </c>
      <c r="G151" s="21" t="n">
        <f aca="false">G148+G149+G150</f>
        <v>702</v>
      </c>
    </row>
    <row r="152" customFormat="false" ht="17.15" hidden="false" customHeight="false" outlineLevel="0" collapsed="false">
      <c r="A152" s="3" t="s">
        <v>500</v>
      </c>
      <c r="B152" s="0" t="s">
        <v>29</v>
      </c>
      <c r="D152" s="23" t="n">
        <f aca="false">D147*D151/1000</f>
        <v>9.35981521682557</v>
      </c>
      <c r="E152" s="23" t="n">
        <f aca="false">E147*E151/1000</f>
        <v>24.2384177107691</v>
      </c>
      <c r="F152" s="23" t="n">
        <f aca="false">F147*F151/1000</f>
        <v>27.114042175025</v>
      </c>
      <c r="G152" s="23" t="n">
        <f aca="false">G147*G151/1000</f>
        <v>35.8846976889378</v>
      </c>
    </row>
    <row r="153" customFormat="false" ht="17.15" hidden="false" customHeight="false" outlineLevel="0" collapsed="false">
      <c r="A153" s="3" t="s">
        <v>501</v>
      </c>
      <c r="B153" s="0" t="s">
        <v>184</v>
      </c>
      <c r="D153" s="22" t="n">
        <f aca="false">D152*fx</f>
        <v>299.514086938418</v>
      </c>
      <c r="E153" s="22" t="n">
        <f aca="false">E152*fx</f>
        <v>775.62936674461</v>
      </c>
      <c r="F153" s="22" t="n">
        <f aca="false">F152*fx</f>
        <v>867.649349600799</v>
      </c>
      <c r="G153" s="22" t="n">
        <f aca="false">G152*fx</f>
        <v>1148.31032604601</v>
      </c>
    </row>
    <row r="154" customFormat="false" ht="17.15" hidden="false" customHeight="false" outlineLevel="0" collapsed="false">
      <c r="A154" s="0" t="s">
        <v>502</v>
      </c>
      <c r="B154" s="0" t="s">
        <v>63</v>
      </c>
      <c r="D154" s="18" t="n">
        <f aca="false">1</f>
        <v>1</v>
      </c>
      <c r="E154" s="18" t="n">
        <f aca="false">pp_27</f>
        <v>1</v>
      </c>
      <c r="F154" s="18" t="n">
        <f aca="false">pp_28</f>
        <v>0.97</v>
      </c>
      <c r="G154" s="18" t="n">
        <f aca="false">pp_29</f>
        <v>0.94</v>
      </c>
    </row>
    <row r="155" customFormat="false" ht="17.15" hidden="false" customHeight="false" outlineLevel="0" collapsed="false">
      <c r="A155" s="3" t="s">
        <v>503</v>
      </c>
      <c r="B155" s="0" t="s">
        <v>49</v>
      </c>
      <c r="D155" s="17" t="n">
        <f aca="false">a26_ai/D153</f>
        <v>0.183644651115556</v>
      </c>
      <c r="K155" s="7" t="s">
        <v>504</v>
      </c>
    </row>
    <row r="156" customFormat="false" ht="17.15" hidden="false" customHeight="false" outlineLevel="0" collapsed="false">
      <c r="A156" s="3" t="s">
        <v>505</v>
      </c>
      <c r="B156" s="0" t="s">
        <v>63</v>
      </c>
      <c r="D156" s="18" t="n">
        <f aca="false">1</f>
        <v>1</v>
      </c>
      <c r="E156" s="18" t="n">
        <f aca="false">rel_27</f>
        <v>1</v>
      </c>
      <c r="F156" s="18" t="n">
        <f aca="false">rel_28</f>
        <v>0.95</v>
      </c>
      <c r="G156" s="18" t="n">
        <f aca="false">rel_29</f>
        <v>0.9</v>
      </c>
    </row>
    <row r="157" customFormat="false" ht="15" hidden="false" customHeight="false" outlineLevel="0" collapsed="false">
      <c r="A157" s="3" t="s">
        <v>454</v>
      </c>
      <c r="B157" s="0" t="s">
        <v>49</v>
      </c>
      <c r="D157" s="17" t="n">
        <f aca="false">$D$155*D156</f>
        <v>0.183644651115556</v>
      </c>
      <c r="E157" s="17" t="n">
        <f aca="false">$D$155*E156</f>
        <v>0.183644651115556</v>
      </c>
      <c r="F157" s="17" t="n">
        <f aca="false">$D$155*F156</f>
        <v>0.174462418559778</v>
      </c>
      <c r="G157" s="17" t="n">
        <f aca="false">$D$155*G156</f>
        <v>0.165280186004</v>
      </c>
    </row>
    <row r="158" customFormat="false" ht="17.15" hidden="false" customHeight="false" outlineLevel="0" collapsed="false">
      <c r="A158" s="0" t="s">
        <v>506</v>
      </c>
      <c r="B158" s="0" t="s">
        <v>184</v>
      </c>
      <c r="D158" s="22" t="n">
        <f aca="false">D153*D157*D154</f>
        <v>55.00416</v>
      </c>
      <c r="E158" s="22" t="n">
        <f aca="false">E153*E157*E154</f>
        <v>142.440184450793</v>
      </c>
      <c r="F158" s="22" t="n">
        <f aca="false">F153*F157*F154</f>
        <v>146.831037873378</v>
      </c>
      <c r="G158" s="22" t="n">
        <f aca="false">G153*G157*G154</f>
        <v>178.405367622446</v>
      </c>
    </row>
    <row r="159" customFormat="false" ht="17.15" hidden="false" customHeight="false" outlineLevel="0" collapsed="false">
      <c r="A159" s="5" t="s">
        <v>507</v>
      </c>
    </row>
    <row r="160" customFormat="false" ht="17.15" hidden="false" customHeight="false" outlineLevel="0" collapsed="false">
      <c r="A160" s="3" t="s">
        <v>508</v>
      </c>
      <c r="B160" s="0" t="s">
        <v>63</v>
      </c>
      <c r="D160" s="18" t="n">
        <f aca="false">1</f>
        <v>1</v>
      </c>
      <c r="E160" s="18" t="n">
        <f aca="false">cx_27</f>
        <v>1.45</v>
      </c>
      <c r="F160" s="18" t="n">
        <f aca="false">cx_28</f>
        <v>1.9</v>
      </c>
      <c r="G160" s="18" t="n">
        <f aca="false">cx_29</f>
        <v>2.3</v>
      </c>
      <c r="K160" s="7" t="s">
        <v>509</v>
      </c>
    </row>
    <row r="161" customFormat="false" ht="17.15" hidden="false" customHeight="false" outlineLevel="0" collapsed="false">
      <c r="A161" s="3" t="s">
        <v>510</v>
      </c>
      <c r="B161" s="0" t="s">
        <v>184</v>
      </c>
      <c r="D161" s="22" t="n">
        <f aca="false">a26_rev*D160*D154</f>
        <v>105.40752</v>
      </c>
      <c r="E161" s="22" t="n">
        <f aca="false">a26_rev*E160*E154</f>
        <v>152.840904</v>
      </c>
      <c r="F161" s="22" t="n">
        <f aca="false">a26_rev*F160*F154</f>
        <v>194.26605936</v>
      </c>
      <c r="G161" s="22" t="n">
        <f aca="false">a26_rev*G160*G154</f>
        <v>227.89105824</v>
      </c>
    </row>
    <row r="162" customFormat="false" ht="17.15" hidden="false" customHeight="false" outlineLevel="0" collapsed="false">
      <c r="A162" s="3" t="s">
        <v>511</v>
      </c>
      <c r="B162" s="0" t="s">
        <v>184</v>
      </c>
      <c r="C162" s="22" t="n">
        <f aca="false">a25_nai</f>
        <v>42.0028</v>
      </c>
      <c r="D162" s="22" t="n">
        <f aca="false">a26_nai</f>
        <v>50.40336</v>
      </c>
      <c r="E162" s="22" t="n">
        <f aca="false">D162*(1+g_nai27)</f>
        <v>52.923528</v>
      </c>
      <c r="F162" s="22" t="n">
        <f aca="false">E162*(1+g_nai28)</f>
        <v>54.51123384</v>
      </c>
      <c r="G162" s="22" t="n">
        <f aca="false">F162*(1+g_nai29)</f>
        <v>56.1465708552</v>
      </c>
    </row>
    <row r="163" customFormat="false" ht="17.15" hidden="false" customHeight="false" outlineLevel="0" collapsed="false">
      <c r="A163" s="0" t="s">
        <v>512</v>
      </c>
      <c r="B163" s="0" t="s">
        <v>184</v>
      </c>
      <c r="C163" s="22" t="n">
        <f aca="false">a25_ai</f>
        <v>18.0012</v>
      </c>
      <c r="D163" s="22" t="n">
        <f aca="false">D158</f>
        <v>55.00416</v>
      </c>
      <c r="E163" s="22" t="n">
        <f aca="false">MIN(E158,E161-E162)</f>
        <v>99.917376</v>
      </c>
      <c r="F163" s="22" t="n">
        <f aca="false">MIN(F158,F161-F162)</f>
        <v>139.75482552</v>
      </c>
      <c r="G163" s="22" t="n">
        <f aca="false">MIN(G158,G161-G162)</f>
        <v>171.7444873848</v>
      </c>
      <c r="K163" s="3" t="s">
        <v>513</v>
      </c>
    </row>
    <row r="164" customFormat="false" ht="15" hidden="false" customHeight="false" outlineLevel="0" collapsed="false">
      <c r="A164" s="3" t="s">
        <v>514</v>
      </c>
      <c r="E164" s="0" t="str">
        <f aca="false">IF(E158&gt;E161-E162+0.0001,"受限","未受限")</f>
        <v>受限</v>
      </c>
      <c r="F164" s="0" t="str">
        <f aca="false">IF(F158&gt;F161-F162+0.0001,"受限","未受限")</f>
        <v>受限</v>
      </c>
      <c r="G164" s="0" t="str">
        <f aca="false">IF(G158&gt;G161-G162+0.0001,"受限","未受限")</f>
        <v>受限</v>
      </c>
    </row>
    <row r="165" customFormat="false" ht="17.15" hidden="false" customHeight="false" outlineLevel="0" collapsed="false">
      <c r="A165" s="3" t="s">
        <v>387</v>
      </c>
      <c r="B165" s="0" t="s">
        <v>184</v>
      </c>
      <c r="C165" s="22" t="n">
        <f aca="false">C163+C162</f>
        <v>60.004</v>
      </c>
      <c r="D165" s="22" t="n">
        <f aca="false">D163+D162</f>
        <v>105.40752</v>
      </c>
      <c r="E165" s="22" t="n">
        <f aca="false">E163+E162</f>
        <v>152.840904</v>
      </c>
      <c r="F165" s="22" t="n">
        <f aca="false">F163+F162</f>
        <v>194.26605936</v>
      </c>
      <c r="G165" s="22" t="n">
        <f aca="false">G163+G162</f>
        <v>227.89105824</v>
      </c>
      <c r="H165" s="24" t="n">
        <f aca="false">G165*(1+H166)</f>
        <v>257.226313072804</v>
      </c>
      <c r="I165" s="24" t="n">
        <f aca="false">H165*(1+I166)</f>
        <v>278.92655569709</v>
      </c>
      <c r="J165" s="24" t="n">
        <f aca="false">I165*(1+J166)</f>
        <v>290.083617924974</v>
      </c>
      <c r="K165" s="7" t="s">
        <v>515</v>
      </c>
    </row>
    <row r="166" customFormat="false" ht="15" hidden="false" customHeight="false" outlineLevel="0" collapsed="false">
      <c r="A166" s="3" t="s">
        <v>516</v>
      </c>
      <c r="B166" s="0" t="s">
        <v>49</v>
      </c>
      <c r="D166" s="17" t="n">
        <f aca="false">D165/C165-1</f>
        <v>0.756674888340778</v>
      </c>
      <c r="E166" s="17" t="n">
        <f aca="false">E165/D165-1</f>
        <v>0.45</v>
      </c>
      <c r="F166" s="17" t="n">
        <f aca="false">F165/E165-1</f>
        <v>0.271034482758621</v>
      </c>
      <c r="G166" s="17" t="n">
        <f aca="false">G165/F165-1</f>
        <v>0.173087357569181</v>
      </c>
      <c r="H166" s="25" t="n">
        <f aca="false">$G166+(fade_gB-$G166)*1/3</f>
        <v>0.12872490504612</v>
      </c>
      <c r="I166" s="25" t="n">
        <f aca="false">$G166+(fade_gB-$G166)*2/3</f>
        <v>0.0843624525230602</v>
      </c>
      <c r="J166" s="25" t="n">
        <f aca="false">$G166+(fade_gB-$G166)*3/3</f>
        <v>0.04</v>
      </c>
    </row>
    <row r="167" customFormat="false" ht="17.15" hidden="false" customHeight="false" outlineLevel="0" collapsed="false">
      <c r="A167" s="0" t="s">
        <v>517</v>
      </c>
      <c r="B167" s="0" t="s">
        <v>49</v>
      </c>
      <c r="C167" s="17" t="n">
        <f aca="false">C163/C165</f>
        <v>0.3</v>
      </c>
      <c r="D167" s="17" t="n">
        <f aca="false">D163/D165</f>
        <v>0.521823869871903</v>
      </c>
      <c r="E167" s="17" t="n">
        <f aca="false">E163/E165</f>
        <v>0.653734526458964</v>
      </c>
      <c r="F167" s="17" t="n">
        <f aca="false">F163/F165</f>
        <v>0.71939908587437</v>
      </c>
      <c r="G167" s="17" t="n">
        <f aca="false">G163/G165</f>
        <v>0.753625388864226</v>
      </c>
    </row>
    <row r="168" customFormat="false" ht="17.15" hidden="false" customHeight="false" outlineLevel="0" collapsed="false">
      <c r="A168" s="3" t="s">
        <v>518</v>
      </c>
      <c r="B168" s="0" t="s">
        <v>49</v>
      </c>
      <c r="D168" s="17" t="n">
        <f aca="false">(D158+D162)/D161</f>
        <v>1</v>
      </c>
      <c r="E168" s="17" t="n">
        <f aca="false">(E158+E162)/E161</f>
        <v>1.27821615377774</v>
      </c>
      <c r="F168" s="17" t="n">
        <f aca="false">(F158+F162)/F161</f>
        <v>1.03642536620494</v>
      </c>
      <c r="G168" s="17" t="n">
        <f aca="false">(G158+G162)/G161</f>
        <v>1.0292283527449</v>
      </c>
      <c r="K168" s="3" t="s">
        <v>519</v>
      </c>
    </row>
    <row r="169" customFormat="false" ht="17.15" hidden="false" customHeight="false" outlineLevel="0" collapsed="false">
      <c r="A169" s="3" t="s">
        <v>458</v>
      </c>
      <c r="B169" s="0" t="s">
        <v>90</v>
      </c>
      <c r="D169" s="21" t="n">
        <f aca="false">D163/fx/D147*1000</f>
        <v>73.4578604462223</v>
      </c>
      <c r="E169" s="21" t="n">
        <f aca="false">E163/fx/E147*1000</f>
        <v>74.9738410190283</v>
      </c>
      <c r="F169" s="21" t="n">
        <f aca="false">F163/fx/F147*1000</f>
        <v>103.408822959553</v>
      </c>
      <c r="G169" s="21" t="n">
        <f aca="false">G163/fx/G147*1000</f>
        <v>104.993073222002</v>
      </c>
    </row>
    <row r="170" customFormat="false" ht="17.15" hidden="false" customHeight="false" outlineLevel="0" collapsed="false">
      <c r="A170" s="5" t="s">
        <v>520</v>
      </c>
    </row>
    <row r="171" customFormat="false" ht="17.15" hidden="false" customHeight="false" outlineLevel="0" collapsed="false">
      <c r="A171" s="3" t="s">
        <v>521</v>
      </c>
      <c r="B171" s="0" t="s">
        <v>49</v>
      </c>
      <c r="D171" s="17" t="n">
        <f aca="false">a26_gp/D165-d_ai*D167</f>
        <v>0.296655205435058</v>
      </c>
      <c r="K171" s="7" t="s">
        <v>522</v>
      </c>
    </row>
    <row r="172" customFormat="false" ht="17.15" hidden="false" customHeight="false" outlineLevel="0" collapsed="false">
      <c r="A172" s="0" t="s">
        <v>523</v>
      </c>
      <c r="B172" s="0" t="s">
        <v>49</v>
      </c>
      <c r="D172" s="17" t="n">
        <f aca="false">D171+d_ai</f>
        <v>0.396655205435058</v>
      </c>
      <c r="E172" s="17" t="n">
        <f aca="false">1-(1-$D$172)/E154+gmu_27</f>
        <v>0.406655205435058</v>
      </c>
      <c r="F172" s="17" t="n">
        <f aca="false">1-(1-$D$172)/F154+gmu_28</f>
        <v>0.392995057149545</v>
      </c>
      <c r="G172" s="17" t="n">
        <f aca="false">1-(1-$D$172)/G154+gmu_29</f>
        <v>0.378143835569211</v>
      </c>
      <c r="K172" s="7" t="s">
        <v>524</v>
      </c>
    </row>
    <row r="173" customFormat="false" ht="15" hidden="false" customHeight="false" outlineLevel="0" collapsed="false">
      <c r="A173" s="3" t="s">
        <v>391</v>
      </c>
      <c r="B173" s="0" t="s">
        <v>184</v>
      </c>
      <c r="C173" s="22" t="n">
        <f aca="false">a25_gp</f>
        <v>19.683</v>
      </c>
      <c r="D173" s="22" t="n">
        <f aca="false">a26_gp</f>
        <v>36.7701055</v>
      </c>
      <c r="E173" s="22" t="n">
        <f aca="false">E163*E172+E162*$D$171</f>
        <v>56.331961135</v>
      </c>
      <c r="F173" s="22" t="n">
        <f aca="false">F163*F172+F162*$D$171</f>
        <v>71.0939969154807</v>
      </c>
      <c r="G173" s="22" t="n">
        <f aca="false">G163*G172+G162*$D$171</f>
        <v>81.6002917090796</v>
      </c>
    </row>
    <row r="174" customFormat="false" ht="15" hidden="false" customHeight="false" outlineLevel="0" collapsed="false">
      <c r="A174" s="3" t="s">
        <v>394</v>
      </c>
      <c r="B174" s="0" t="s">
        <v>49</v>
      </c>
      <c r="C174" s="17" t="n">
        <f aca="false">C173/C165</f>
        <v>0.328028131457903</v>
      </c>
      <c r="D174" s="17" t="n">
        <f aca="false">D173/D165</f>
        <v>0.348837592422248</v>
      </c>
      <c r="E174" s="17" t="n">
        <f aca="false">E173/E165</f>
        <v>0.368566003345544</v>
      </c>
      <c r="F174" s="17" t="n">
        <f aca="false">F173/F165</f>
        <v>0.365962006691732</v>
      </c>
      <c r="G174" s="17" t="n">
        <f aca="false">G173/G165</f>
        <v>0.358067106007922</v>
      </c>
    </row>
    <row r="175" customFormat="false" ht="15" hidden="false" customHeight="false" outlineLevel="0" collapsed="false">
      <c r="A175" s="3" t="s">
        <v>525</v>
      </c>
      <c r="B175" s="0" t="s">
        <v>184</v>
      </c>
      <c r="C175" s="22" t="n">
        <f aca="false">a25_opx</f>
        <v>5.64</v>
      </c>
      <c r="D175" s="22" t="n">
        <f aca="false">a26_opx</f>
        <v>8.4779754</v>
      </c>
      <c r="E175" s="22" t="n">
        <f aca="false">D175*(1+MAX(0,phi*E166))</f>
        <v>10.767028758</v>
      </c>
      <c r="F175" s="22" t="n">
        <f aca="false">E175*(1+MAX(0,phi*F166))</f>
        <v>12.517970400163</v>
      </c>
      <c r="G175" s="22" t="n">
        <f aca="false">F175*(1+MAX(0,phi*G166))</f>
        <v>13.8179918513791</v>
      </c>
    </row>
    <row r="176" customFormat="false" ht="15" hidden="false" customHeight="false" outlineLevel="0" collapsed="false">
      <c r="A176" s="3" t="s">
        <v>396</v>
      </c>
      <c r="B176" s="0" t="s">
        <v>184</v>
      </c>
      <c r="C176" s="22" t="n">
        <f aca="false">C175</f>
        <v>5.64</v>
      </c>
      <c r="D176" s="22" t="n">
        <f aca="false">D175</f>
        <v>8.4779754</v>
      </c>
      <c r="E176" s="22" t="n">
        <f aca="false">E175+0*E165</f>
        <v>10.767028758</v>
      </c>
      <c r="F176" s="22" t="n">
        <f aca="false">F175+0*F165</f>
        <v>12.517970400163</v>
      </c>
      <c r="G176" s="22" t="n">
        <f aca="false">G175+0*G165</f>
        <v>13.8179918513791</v>
      </c>
    </row>
    <row r="177" customFormat="false" ht="15" hidden="false" customHeight="false" outlineLevel="0" collapsed="false">
      <c r="A177" s="3" t="s">
        <v>526</v>
      </c>
      <c r="B177" s="0" t="s">
        <v>184</v>
      </c>
      <c r="C177" s="22" t="n">
        <f aca="false">C173-C176</f>
        <v>14.043</v>
      </c>
      <c r="D177" s="22" t="n">
        <f aca="false">D173-D176</f>
        <v>28.2921301</v>
      </c>
      <c r="E177" s="22" t="n">
        <f aca="false">E173-E176</f>
        <v>45.564932377</v>
      </c>
      <c r="F177" s="22" t="n">
        <f aca="false">F173-F176</f>
        <v>58.5760265153177</v>
      </c>
      <c r="G177" s="22" t="n">
        <f aca="false">G173-G176</f>
        <v>67.7822998577005</v>
      </c>
    </row>
    <row r="178" customFormat="false" ht="15" hidden="false" customHeight="false" outlineLevel="0" collapsed="false">
      <c r="A178" s="3" t="s">
        <v>402</v>
      </c>
      <c r="B178" s="0" t="s">
        <v>49</v>
      </c>
      <c r="C178" s="17" t="n">
        <f aca="false">C177/C165</f>
        <v>0.23403439770682</v>
      </c>
      <c r="D178" s="17" t="n">
        <f aca="false">D177/D165</f>
        <v>0.268407131673338</v>
      </c>
      <c r="E178" s="17" t="n">
        <f aca="false">E177/E165</f>
        <v>0.298120013586154</v>
      </c>
      <c r="F178" s="17" t="n">
        <f aca="false">F177/F165</f>
        <v>0.301524757892828</v>
      </c>
      <c r="G178" s="17" t="n">
        <f aca="false">G177/G165</f>
        <v>0.297432906675595</v>
      </c>
    </row>
    <row r="179" customFormat="false" ht="17.15" hidden="false" customHeight="false" outlineLevel="0" collapsed="false">
      <c r="A179" s="3" t="s">
        <v>403</v>
      </c>
      <c r="B179" s="0" t="s">
        <v>184</v>
      </c>
      <c r="E179" s="22" t="n">
        <f aca="false">nop_f</f>
        <v>0</v>
      </c>
      <c r="F179" s="22" t="n">
        <f aca="false">nop_f</f>
        <v>0</v>
      </c>
      <c r="G179" s="22" t="n">
        <f aca="false">nop_f</f>
        <v>0</v>
      </c>
      <c r="K179" s="7" t="s">
        <v>527</v>
      </c>
    </row>
    <row r="180" customFormat="false" ht="15" hidden="false" customHeight="false" outlineLevel="0" collapsed="false">
      <c r="A180" s="3" t="s">
        <v>408</v>
      </c>
      <c r="B180" s="0" t="s">
        <v>184</v>
      </c>
      <c r="C180" s="22" t="n">
        <f aca="false">a25_ni</f>
        <v>9.607</v>
      </c>
      <c r="D180" s="22" t="n">
        <f aca="false">a26_ni</f>
        <v>19.6977289395284</v>
      </c>
      <c r="E180" s="22" t="n">
        <f aca="false">(E177+E179)*nir_f</f>
        <v>31.211978678245</v>
      </c>
      <c r="F180" s="22" t="n">
        <f aca="false">(F177+F179)*nir_f</f>
        <v>40.1245781629926</v>
      </c>
      <c r="G180" s="22" t="n">
        <f aca="false">(G177+G179)*nir_f</f>
        <v>46.4308754025249</v>
      </c>
      <c r="H180" s="24" t="n">
        <f aca="false">H165*H185</f>
        <v>49.0696162995125</v>
      </c>
      <c r="I180" s="24" t="n">
        <f aca="false">I165*I185</f>
        <v>49.5895726459613</v>
      </c>
      <c r="J180" s="24" t="n">
        <f aca="false">J165*J185</f>
        <v>47.8086916496984</v>
      </c>
    </row>
    <row r="181" customFormat="false" ht="17.15" hidden="false" customHeight="false" outlineLevel="0" collapsed="false">
      <c r="A181" s="3" t="s">
        <v>411</v>
      </c>
      <c r="B181" s="0" t="s">
        <v>49</v>
      </c>
      <c r="C181" s="17" t="n">
        <f aca="false">C180/C177</f>
        <v>0.684113081250445</v>
      </c>
      <c r="D181" s="17" t="n">
        <f aca="false">D180/D177</f>
        <v>0.696226437171953</v>
      </c>
      <c r="E181" s="17" t="n">
        <f aca="false">E180/E177</f>
        <v>0.685</v>
      </c>
      <c r="F181" s="17" t="n">
        <f aca="false">F180/F177</f>
        <v>0.685</v>
      </c>
      <c r="G181" s="17" t="n">
        <f aca="false">G180/G177</f>
        <v>0.685</v>
      </c>
    </row>
    <row r="182" customFormat="false" ht="17.15" hidden="false" customHeight="false" outlineLevel="0" collapsed="false">
      <c r="A182" s="3" t="s">
        <v>528</v>
      </c>
      <c r="B182" s="3" t="s">
        <v>214</v>
      </c>
      <c r="C182" s="27" t="n">
        <f aca="false">a25_sh</f>
        <v>0.493425783256292</v>
      </c>
      <c r="D182" s="27" t="n">
        <f aca="false">a26_sh</f>
        <v>0.512980850061958</v>
      </c>
      <c r="E182" s="27" t="n">
        <f aca="false">sh_h2*(1+sh_g)</f>
        <v>0.51889356</v>
      </c>
      <c r="F182" s="27" t="n">
        <f aca="false">E182*(1+sh_g)</f>
        <v>0.5240824956</v>
      </c>
      <c r="G182" s="27" t="n">
        <f aca="false">F182*(1+sh_g)</f>
        <v>0.529323320556</v>
      </c>
      <c r="H182" s="28" t="n">
        <f aca="false">G182*(1+sh_g)</f>
        <v>0.53461655376156</v>
      </c>
      <c r="I182" s="28" t="n">
        <f aca="false">H182*(1+sh_g)</f>
        <v>0.539962719299176</v>
      </c>
      <c r="J182" s="28" t="n">
        <f aca="false">I182*(1+sh_g)</f>
        <v>0.545362346492167</v>
      </c>
      <c r="K182" s="7" t="s">
        <v>529</v>
      </c>
    </row>
    <row r="183" customFormat="false" ht="15" hidden="false" customHeight="false" outlineLevel="0" collapsed="false">
      <c r="A183" s="0" t="s">
        <v>414</v>
      </c>
      <c r="B183" s="0" t="s">
        <v>252</v>
      </c>
      <c r="C183" s="23" t="n">
        <f aca="false">C180/C182</f>
        <v>19.47</v>
      </c>
      <c r="D183" s="23" t="n">
        <f aca="false">D180/D182</f>
        <v>38.3985658278458</v>
      </c>
      <c r="E183" s="23" t="n">
        <f aca="false">E180/E182</f>
        <v>60.1510234165269</v>
      </c>
      <c r="F183" s="23" t="n">
        <f aca="false">F180/F182</f>
        <v>76.5615690275167</v>
      </c>
      <c r="G183" s="23" t="n">
        <f aca="false">G180/G182</f>
        <v>87.7174188240072</v>
      </c>
      <c r="H183" s="29" t="n">
        <f aca="false">H180/H182</f>
        <v>91.7846930744266</v>
      </c>
      <c r="I183" s="29" t="n">
        <f aca="false">I180/I182</f>
        <v>91.8388823404776</v>
      </c>
      <c r="J183" s="29" t="n">
        <f aca="false">J180/J182</f>
        <v>87.664086010355</v>
      </c>
    </row>
    <row r="184" customFormat="false" ht="17.15" hidden="false" customHeight="false" outlineLevel="0" collapsed="false">
      <c r="A184" s="0" t="s">
        <v>530</v>
      </c>
      <c r="B184" s="0" t="s">
        <v>49</v>
      </c>
      <c r="D184" s="17" t="n">
        <f aca="false">D183/C183-1</f>
        <v>0.9721913624985</v>
      </c>
      <c r="E184" s="17" t="n">
        <f aca="false">E183/D183-1</f>
        <v>0.566491407158407</v>
      </c>
      <c r="F184" s="17" t="n">
        <f aca="false">F183/E183-1</f>
        <v>0.272822384040783</v>
      </c>
      <c r="G184" s="17" t="n">
        <f aca="false">G183/F183-1</f>
        <v>0.145710830357735</v>
      </c>
      <c r="H184" s="25" t="n">
        <f aca="false">H183/G183-1</f>
        <v>0.0463679199063061</v>
      </c>
      <c r="I184" s="25" t="n">
        <f aca="false">I183/H183-1</f>
        <v>0.000590395459589166</v>
      </c>
      <c r="J184" s="25" t="n">
        <f aca="false">J183/I183-1</f>
        <v>-0.0454578303190271</v>
      </c>
    </row>
    <row r="185" customFormat="false" ht="17.15" hidden="false" customHeight="false" outlineLevel="0" collapsed="false">
      <c r="A185" s="3" t="s">
        <v>531</v>
      </c>
      <c r="B185" s="0" t="s">
        <v>49</v>
      </c>
      <c r="C185" s="17" t="n">
        <f aca="false">C180/C165</f>
        <v>0.160105992933804</v>
      </c>
      <c r="D185" s="17" t="n">
        <f aca="false">D180/D165</f>
        <v>0.186872140996471</v>
      </c>
      <c r="E185" s="17" t="n">
        <f aca="false">E180/E165</f>
        <v>0.204212209306515</v>
      </c>
      <c r="F185" s="17" t="n">
        <f aca="false">F180/F165</f>
        <v>0.206544459156587</v>
      </c>
      <c r="G185" s="17" t="n">
        <f aca="false">G180/G165</f>
        <v>0.203741541072783</v>
      </c>
      <c r="H185" s="25" t="n">
        <f aca="false">$G185+(fade_mB-$G185)*1/3</f>
        <v>0.190764372872009</v>
      </c>
      <c r="I185" s="25" t="n">
        <f aca="false">$G185+(fade_mB-$G185)*2/3</f>
        <v>0.177787204671235</v>
      </c>
      <c r="J185" s="25" t="n">
        <f aca="false">$G185+(fade_mB-$G185)*3/3</f>
        <v>0.164810036470462</v>
      </c>
    </row>
    <row r="188" customFormat="false" ht="17.15" hidden="false" customHeight="false" outlineLevel="0" collapsed="false">
      <c r="A188" s="1" t="s">
        <v>825</v>
      </c>
    </row>
    <row r="189" customFormat="false" ht="17.15" hidden="false" customHeight="false" outlineLevel="0" collapsed="false">
      <c r="A189" s="4" t="s">
        <v>18</v>
      </c>
      <c r="B189" s="4" t="s">
        <v>19</v>
      </c>
      <c r="C189" s="14" t="s">
        <v>382</v>
      </c>
      <c r="D189" s="14" t="s">
        <v>472</v>
      </c>
      <c r="E189" s="14" t="s">
        <v>473</v>
      </c>
      <c r="F189" s="14" t="s">
        <v>474</v>
      </c>
      <c r="G189" s="14" t="s">
        <v>475</v>
      </c>
      <c r="H189" s="14" t="s">
        <v>476</v>
      </c>
      <c r="I189" s="14" t="s">
        <v>477</v>
      </c>
      <c r="J189" s="14" t="s">
        <v>478</v>
      </c>
      <c r="K189" s="4" t="s">
        <v>436</v>
      </c>
    </row>
    <row r="190" customFormat="false" ht="17.15" hidden="false" customHeight="false" outlineLevel="0" collapsed="false">
      <c r="A190" s="5" t="s">
        <v>494</v>
      </c>
    </row>
    <row r="191" customFormat="false" ht="17.15" hidden="false" customHeight="false" outlineLevel="0" collapsed="false">
      <c r="A191" s="0" t="s">
        <v>495</v>
      </c>
      <c r="B191" s="0" t="s">
        <v>29</v>
      </c>
      <c r="D191" s="23" t="n">
        <f aca="false">itc_26*1</f>
        <v>781.872916666667</v>
      </c>
      <c r="E191" s="23" t="n">
        <f aca="false">itc_27*1*1</f>
        <v>1565.35</v>
      </c>
      <c r="F191" s="23" t="n">
        <f aca="false">itc_28*um28_B*1</f>
        <v>1587.41111111111</v>
      </c>
      <c r="G191" s="23" t="n">
        <f aca="false">itc_29*um29_B*1</f>
        <v>1921.33173611111</v>
      </c>
    </row>
    <row r="192" customFormat="false" ht="17.15" hidden="false" customHeight="false" outlineLevel="0" collapsed="false">
      <c r="A192" s="3" t="s">
        <v>496</v>
      </c>
      <c r="B192" s="0" t="s">
        <v>29</v>
      </c>
      <c r="D192" s="23" t="n">
        <f aca="false">itpg_gb*(1-vr26)+itpg_vr*vr26</f>
        <v>33.41403216</v>
      </c>
      <c r="E192" s="23" t="n">
        <f aca="false">itpg_vr</f>
        <v>37.586352</v>
      </c>
      <c r="F192" s="23" t="n">
        <f aca="false">itpg_vr</f>
        <v>37.586352</v>
      </c>
      <c r="G192" s="23" t="n">
        <f aca="false">itpg_vr</f>
        <v>37.586352</v>
      </c>
    </row>
    <row r="193" customFormat="false" ht="17.15" hidden="false" customHeight="false" outlineLevel="0" collapsed="false">
      <c r="A193" s="3" t="s">
        <v>497</v>
      </c>
      <c r="B193" s="0" t="s">
        <v>438</v>
      </c>
      <c r="D193" s="20" t="n">
        <f aca="false">D191/D192</f>
        <v>23.3995380420639</v>
      </c>
      <c r="E193" s="20" t="n">
        <f aca="false">E191/E192</f>
        <v>41.6467658260637</v>
      </c>
      <c r="F193" s="20" t="n">
        <f aca="false">F191/F192</f>
        <v>42.2337105529984</v>
      </c>
      <c r="G193" s="20" t="n">
        <f aca="false">G191/G192</f>
        <v>51.1178029756948</v>
      </c>
    </row>
    <row r="194" customFormat="false" ht="17.15" hidden="false" customHeight="false" outlineLevel="0" collapsed="false">
      <c r="A194" s="3" t="s">
        <v>442</v>
      </c>
      <c r="B194" s="0" t="s">
        <v>90</v>
      </c>
      <c r="D194" s="21" t="n">
        <f aca="false">vg_cmp26</f>
        <v>280</v>
      </c>
      <c r="E194" s="21" t="n">
        <f aca="false">(vg_cmp26+(vg_cmp27-vg_cmp26)*pgwf)</f>
        <v>420</v>
      </c>
      <c r="F194" s="21" t="n">
        <f aca="false">(vg_cmp26+(vg_cmp28-vg_cmp26)*pgwf)</f>
        <v>462</v>
      </c>
      <c r="G194" s="21" t="n">
        <f aca="false">(vg_cmp26+(vg_cmp29-vg_cmp26)*pgwf)</f>
        <v>504</v>
      </c>
    </row>
    <row r="195" customFormat="false" ht="17.15" hidden="false" customHeight="false" outlineLevel="0" collapsed="false">
      <c r="A195" s="3" t="s">
        <v>444</v>
      </c>
      <c r="B195" s="0" t="s">
        <v>90</v>
      </c>
      <c r="D195" s="21" t="n">
        <f aca="false">vg_sw26</f>
        <v>120</v>
      </c>
      <c r="E195" s="21" t="n">
        <f aca="false">(vg_sw26+(vg_sw27-vg_sw26)*pgwf)</f>
        <v>162</v>
      </c>
      <c r="F195" s="21" t="n">
        <f aca="false">(vg_sw26+(vg_sw28-vg_sw26)*pgwf)</f>
        <v>180</v>
      </c>
      <c r="G195" s="21" t="n">
        <f aca="false">(vg_sw26+(vg_sw29-vg_sw26)*pgwf)</f>
        <v>198</v>
      </c>
    </row>
    <row r="196" customFormat="false" ht="17.15" hidden="false" customHeight="false" outlineLevel="0" collapsed="false">
      <c r="A196" s="3" t="s">
        <v>498</v>
      </c>
      <c r="B196" s="0" t="s">
        <v>90</v>
      </c>
      <c r="D196" s="21" t="n">
        <f aca="false">vg_mid26*w_mid_hi</f>
        <v>50</v>
      </c>
      <c r="E196" s="21" t="n">
        <f aca="false">(vg_mid26+(vg_mid27-vg_mid26)*pgwf)*w_mid_hi</f>
        <v>100</v>
      </c>
      <c r="F196" s="21" t="n">
        <f aca="false">(vg_mid26+(vg_mid28-vg_mid26)*pgwf)*w_mid_hi</f>
        <v>150</v>
      </c>
      <c r="G196" s="21" t="n">
        <f aca="false">(vg_mid26+(vg_mid29-vg_mid26)*pgwf)*w_mid_hi</f>
        <v>175</v>
      </c>
    </row>
    <row r="197" customFormat="false" ht="17.15" hidden="false" customHeight="false" outlineLevel="0" collapsed="false">
      <c r="A197" s="3" t="s">
        <v>499</v>
      </c>
      <c r="B197" s="0" t="s">
        <v>90</v>
      </c>
      <c r="D197" s="21" t="n">
        <f aca="false">D194+D195+D196</f>
        <v>450</v>
      </c>
      <c r="E197" s="21" t="n">
        <f aca="false">E194+E195+E196</f>
        <v>682</v>
      </c>
      <c r="F197" s="21" t="n">
        <f aca="false">F194+F195+F196</f>
        <v>792</v>
      </c>
      <c r="G197" s="21" t="n">
        <f aca="false">G194+G195+G196</f>
        <v>877</v>
      </c>
    </row>
    <row r="198" customFormat="false" ht="17.15" hidden="false" customHeight="false" outlineLevel="0" collapsed="false">
      <c r="A198" s="3" t="s">
        <v>500</v>
      </c>
      <c r="B198" s="0" t="s">
        <v>29</v>
      </c>
      <c r="D198" s="23" t="n">
        <f aca="false">D193*D197/1000</f>
        <v>10.5297921189288</v>
      </c>
      <c r="E198" s="23" t="n">
        <f aca="false">E193*E197/1000</f>
        <v>28.4030942933754</v>
      </c>
      <c r="F198" s="23" t="n">
        <f aca="false">F193*F197/1000</f>
        <v>33.4490987579747</v>
      </c>
      <c r="G198" s="23" t="n">
        <f aca="false">G193*G197/1000</f>
        <v>44.8303132096844</v>
      </c>
    </row>
    <row r="199" customFormat="false" ht="17.15" hidden="false" customHeight="false" outlineLevel="0" collapsed="false">
      <c r="A199" s="3" t="s">
        <v>501</v>
      </c>
      <c r="B199" s="0" t="s">
        <v>184</v>
      </c>
      <c r="D199" s="22" t="n">
        <f aca="false">D198*fx</f>
        <v>336.95334780572</v>
      </c>
      <c r="E199" s="22" t="n">
        <f aca="false">E198*fx</f>
        <v>908.899017388014</v>
      </c>
      <c r="F199" s="22" t="n">
        <f aca="false">F198*fx</f>
        <v>1070.37116025519</v>
      </c>
      <c r="G199" s="22" t="n">
        <f aca="false">G198*fx</f>
        <v>1434.5700227099</v>
      </c>
    </row>
    <row r="200" customFormat="false" ht="17.15" hidden="false" customHeight="false" outlineLevel="0" collapsed="false">
      <c r="A200" s="0" t="s">
        <v>502</v>
      </c>
      <c r="B200" s="0" t="s">
        <v>63</v>
      </c>
      <c r="D200" s="18" t="n">
        <f aca="false">1</f>
        <v>1</v>
      </c>
      <c r="E200" s="18" t="n">
        <f aca="false">pp_27</f>
        <v>1</v>
      </c>
      <c r="F200" s="18" t="n">
        <f aca="false">pp_28</f>
        <v>0.97</v>
      </c>
      <c r="G200" s="18" t="n">
        <f aca="false">pp_29</f>
        <v>0.94</v>
      </c>
    </row>
    <row r="201" customFormat="false" ht="17.15" hidden="false" customHeight="false" outlineLevel="0" collapsed="false">
      <c r="A201" s="3" t="s">
        <v>503</v>
      </c>
      <c r="B201" s="0" t="s">
        <v>49</v>
      </c>
      <c r="D201" s="17" t="n">
        <f aca="false">a26_ai/D199</f>
        <v>0.163239689880494</v>
      </c>
      <c r="K201" s="7" t="s">
        <v>504</v>
      </c>
    </row>
    <row r="202" customFormat="false" ht="17.15" hidden="false" customHeight="false" outlineLevel="0" collapsed="false">
      <c r="A202" s="3" t="s">
        <v>505</v>
      </c>
      <c r="B202" s="0" t="s">
        <v>63</v>
      </c>
      <c r="D202" s="18" t="n">
        <f aca="false">1</f>
        <v>1</v>
      </c>
      <c r="E202" s="18" t="n">
        <f aca="false">rel_27</f>
        <v>1</v>
      </c>
      <c r="F202" s="18" t="n">
        <f aca="false">rel_28</f>
        <v>0.95</v>
      </c>
      <c r="G202" s="18" t="n">
        <f aca="false">rel_29</f>
        <v>0.9</v>
      </c>
    </row>
    <row r="203" customFormat="false" ht="15" hidden="false" customHeight="false" outlineLevel="0" collapsed="false">
      <c r="A203" s="3" t="s">
        <v>454</v>
      </c>
      <c r="B203" s="0" t="s">
        <v>49</v>
      </c>
      <c r="D203" s="17" t="n">
        <f aca="false">$D$201*D202</f>
        <v>0.163239689880494</v>
      </c>
      <c r="E203" s="17" t="n">
        <f aca="false">$D$201*E202</f>
        <v>0.163239689880494</v>
      </c>
      <c r="F203" s="17" t="n">
        <f aca="false">$D$201*F202</f>
        <v>0.155077705386469</v>
      </c>
      <c r="G203" s="17" t="n">
        <f aca="false">$D$201*G202</f>
        <v>0.146915720892445</v>
      </c>
    </row>
    <row r="204" customFormat="false" ht="17.15" hidden="false" customHeight="false" outlineLevel="0" collapsed="false">
      <c r="A204" s="0" t="s">
        <v>506</v>
      </c>
      <c r="B204" s="0" t="s">
        <v>184</v>
      </c>
      <c r="D204" s="22" t="n">
        <f aca="false">D199*D203*D200</f>
        <v>55.00416</v>
      </c>
      <c r="E204" s="22" t="n">
        <f aca="false">E199*E203*E200</f>
        <v>148.368393731105</v>
      </c>
      <c r="F204" s="22" t="n">
        <f aca="false">F199*F203*F200</f>
        <v>161.010982340901</v>
      </c>
      <c r="G204" s="22" t="n">
        <f aca="false">G199*G203*G200</f>
        <v>198.115235713689</v>
      </c>
    </row>
    <row r="205" customFormat="false" ht="17.15" hidden="false" customHeight="false" outlineLevel="0" collapsed="false">
      <c r="A205" s="5" t="s">
        <v>507</v>
      </c>
    </row>
    <row r="206" customFormat="false" ht="17.15" hidden="false" customHeight="false" outlineLevel="0" collapsed="false">
      <c r="A206" s="3" t="s">
        <v>508</v>
      </c>
      <c r="B206" s="0" t="s">
        <v>63</v>
      </c>
      <c r="D206" s="18" t="n">
        <f aca="false">1</f>
        <v>1</v>
      </c>
      <c r="E206" s="18" t="n">
        <f aca="false">cx_27</f>
        <v>1.45</v>
      </c>
      <c r="F206" s="18" t="n">
        <f aca="false">cx_28</f>
        <v>1.9</v>
      </c>
      <c r="G206" s="18" t="n">
        <f aca="false">cx_29</f>
        <v>2.3</v>
      </c>
      <c r="K206" s="7" t="s">
        <v>509</v>
      </c>
    </row>
    <row r="207" customFormat="false" ht="17.15" hidden="false" customHeight="false" outlineLevel="0" collapsed="false">
      <c r="A207" s="3" t="s">
        <v>510</v>
      </c>
      <c r="B207" s="0" t="s">
        <v>184</v>
      </c>
      <c r="D207" s="22" t="n">
        <f aca="false">a26_rev*D206*D200</f>
        <v>105.40752</v>
      </c>
      <c r="E207" s="22" t="n">
        <f aca="false">a26_rev*E206*E200</f>
        <v>152.840904</v>
      </c>
      <c r="F207" s="22" t="n">
        <f aca="false">a26_rev*F206*F200</f>
        <v>194.26605936</v>
      </c>
      <c r="G207" s="22" t="n">
        <f aca="false">a26_rev*G206*G200</f>
        <v>227.89105824</v>
      </c>
    </row>
    <row r="208" customFormat="false" ht="17.15" hidden="false" customHeight="false" outlineLevel="0" collapsed="false">
      <c r="A208" s="3" t="s">
        <v>511</v>
      </c>
      <c r="B208" s="0" t="s">
        <v>184</v>
      </c>
      <c r="C208" s="22" t="n">
        <f aca="false">a25_nai</f>
        <v>42.0028</v>
      </c>
      <c r="D208" s="22" t="n">
        <f aca="false">a26_nai</f>
        <v>50.40336</v>
      </c>
      <c r="E208" s="22" t="n">
        <f aca="false">D208*(1+g_nai27)</f>
        <v>52.923528</v>
      </c>
      <c r="F208" s="22" t="n">
        <f aca="false">E208*(1+g_nai28)</f>
        <v>54.51123384</v>
      </c>
      <c r="G208" s="22" t="n">
        <f aca="false">F208*(1+g_nai29)</f>
        <v>56.1465708552</v>
      </c>
    </row>
    <row r="209" customFormat="false" ht="17.15" hidden="false" customHeight="false" outlineLevel="0" collapsed="false">
      <c r="A209" s="0" t="s">
        <v>512</v>
      </c>
      <c r="B209" s="0" t="s">
        <v>184</v>
      </c>
      <c r="C209" s="22" t="n">
        <f aca="false">a25_ai</f>
        <v>18.0012</v>
      </c>
      <c r="D209" s="22" t="n">
        <f aca="false">D204</f>
        <v>55.00416</v>
      </c>
      <c r="E209" s="22" t="n">
        <f aca="false">MIN(E204,E207-E208)</f>
        <v>99.917376</v>
      </c>
      <c r="F209" s="22" t="n">
        <f aca="false">MIN(F204,F207-F208)</f>
        <v>139.75482552</v>
      </c>
      <c r="G209" s="22" t="n">
        <f aca="false">MIN(G204,G207-G208)</f>
        <v>171.7444873848</v>
      </c>
      <c r="K209" s="3" t="s">
        <v>513</v>
      </c>
    </row>
    <row r="210" customFormat="false" ht="15" hidden="false" customHeight="false" outlineLevel="0" collapsed="false">
      <c r="A210" s="3" t="s">
        <v>514</v>
      </c>
      <c r="E210" s="0" t="str">
        <f aca="false">IF(E204&gt;E207-E208+0.0001,"受限","未受限")</f>
        <v>受限</v>
      </c>
      <c r="F210" s="0" t="str">
        <f aca="false">IF(F204&gt;F207-F208+0.0001,"受限","未受限")</f>
        <v>受限</v>
      </c>
      <c r="G210" s="0" t="str">
        <f aca="false">IF(G204&gt;G207-G208+0.0001,"受限","未受限")</f>
        <v>受限</v>
      </c>
    </row>
    <row r="211" customFormat="false" ht="17.15" hidden="false" customHeight="false" outlineLevel="0" collapsed="false">
      <c r="A211" s="3" t="s">
        <v>387</v>
      </c>
      <c r="B211" s="0" t="s">
        <v>184</v>
      </c>
      <c r="C211" s="22" t="n">
        <f aca="false">C209+C208</f>
        <v>60.004</v>
      </c>
      <c r="D211" s="22" t="n">
        <f aca="false">D209+D208</f>
        <v>105.40752</v>
      </c>
      <c r="E211" s="22" t="n">
        <f aca="false">E209+E208</f>
        <v>152.840904</v>
      </c>
      <c r="F211" s="22" t="n">
        <f aca="false">F209+F208</f>
        <v>194.26605936</v>
      </c>
      <c r="G211" s="22" t="n">
        <f aca="false">G209+G208</f>
        <v>227.89105824</v>
      </c>
      <c r="H211" s="24" t="n">
        <f aca="false">G211*(1+H212)</f>
        <v>257.226313072804</v>
      </c>
      <c r="I211" s="24" t="n">
        <f aca="false">H211*(1+I212)</f>
        <v>278.92655569709</v>
      </c>
      <c r="J211" s="24" t="n">
        <f aca="false">I211*(1+J212)</f>
        <v>290.083617924974</v>
      </c>
      <c r="K211" s="7" t="s">
        <v>515</v>
      </c>
    </row>
    <row r="212" customFormat="false" ht="15" hidden="false" customHeight="false" outlineLevel="0" collapsed="false">
      <c r="A212" s="3" t="s">
        <v>516</v>
      </c>
      <c r="B212" s="0" t="s">
        <v>49</v>
      </c>
      <c r="D212" s="17" t="n">
        <f aca="false">D211/C211-1</f>
        <v>0.756674888340778</v>
      </c>
      <c r="E212" s="17" t="n">
        <f aca="false">E211/D211-1</f>
        <v>0.45</v>
      </c>
      <c r="F212" s="17" t="n">
        <f aca="false">F211/E211-1</f>
        <v>0.271034482758621</v>
      </c>
      <c r="G212" s="17" t="n">
        <f aca="false">G211/F211-1</f>
        <v>0.173087357569181</v>
      </c>
      <c r="H212" s="25" t="n">
        <f aca="false">$G212+(fade_gB-$G212)*1/3</f>
        <v>0.12872490504612</v>
      </c>
      <c r="I212" s="25" t="n">
        <f aca="false">$G212+(fade_gB-$G212)*2/3</f>
        <v>0.0843624525230602</v>
      </c>
      <c r="J212" s="25" t="n">
        <f aca="false">$G212+(fade_gB-$G212)*3/3</f>
        <v>0.04</v>
      </c>
    </row>
    <row r="213" customFormat="false" ht="17.15" hidden="false" customHeight="false" outlineLevel="0" collapsed="false">
      <c r="A213" s="0" t="s">
        <v>517</v>
      </c>
      <c r="B213" s="0" t="s">
        <v>49</v>
      </c>
      <c r="C213" s="17" t="n">
        <f aca="false">C209/C211</f>
        <v>0.3</v>
      </c>
      <c r="D213" s="17" t="n">
        <f aca="false">D209/D211</f>
        <v>0.521823869871903</v>
      </c>
      <c r="E213" s="17" t="n">
        <f aca="false">E209/E211</f>
        <v>0.653734526458964</v>
      </c>
      <c r="F213" s="17" t="n">
        <f aca="false">F209/F211</f>
        <v>0.71939908587437</v>
      </c>
      <c r="G213" s="17" t="n">
        <f aca="false">G209/G211</f>
        <v>0.753625388864226</v>
      </c>
    </row>
    <row r="214" customFormat="false" ht="17.15" hidden="false" customHeight="false" outlineLevel="0" collapsed="false">
      <c r="A214" s="3" t="s">
        <v>518</v>
      </c>
      <c r="B214" s="0" t="s">
        <v>49</v>
      </c>
      <c r="D214" s="17" t="n">
        <f aca="false">(D204+D208)/D207</f>
        <v>1</v>
      </c>
      <c r="E214" s="17" t="n">
        <f aca="false">(E204+E208)/E207</f>
        <v>1.31700295184792</v>
      </c>
      <c r="F214" s="17" t="n">
        <f aca="false">(F204+F208)/F207</f>
        <v>1.10941775877335</v>
      </c>
      <c r="G214" s="17" t="n">
        <f aca="false">(G204+G208)/G207</f>
        <v>1.11571646791475</v>
      </c>
      <c r="K214" s="3" t="s">
        <v>519</v>
      </c>
    </row>
    <row r="215" customFormat="false" ht="17.15" hidden="false" customHeight="false" outlineLevel="0" collapsed="false">
      <c r="A215" s="3" t="s">
        <v>458</v>
      </c>
      <c r="B215" s="0" t="s">
        <v>90</v>
      </c>
      <c r="D215" s="21" t="n">
        <f aca="false">D209/fx/D193*1000</f>
        <v>73.4578604462223</v>
      </c>
      <c r="E215" s="21" t="n">
        <f aca="false">E209/fx/E193*1000</f>
        <v>74.9738410190283</v>
      </c>
      <c r="F215" s="21" t="n">
        <f aca="false">F209/fx/F193*1000</f>
        <v>103.408822959553</v>
      </c>
      <c r="G215" s="21" t="n">
        <f aca="false">G209/fx/G193*1000</f>
        <v>104.993073222002</v>
      </c>
    </row>
    <row r="216" customFormat="false" ht="17.15" hidden="false" customHeight="false" outlineLevel="0" collapsed="false">
      <c r="A216" s="5" t="s">
        <v>520</v>
      </c>
    </row>
    <row r="217" customFormat="false" ht="17.15" hidden="false" customHeight="false" outlineLevel="0" collapsed="false">
      <c r="A217" s="3" t="s">
        <v>521</v>
      </c>
      <c r="B217" s="0" t="s">
        <v>49</v>
      </c>
      <c r="D217" s="17" t="n">
        <f aca="false">a26_gp/D211-d_ai*D213</f>
        <v>0.296655205435058</v>
      </c>
      <c r="K217" s="7" t="s">
        <v>522</v>
      </c>
    </row>
    <row r="218" customFormat="false" ht="17.15" hidden="false" customHeight="false" outlineLevel="0" collapsed="false">
      <c r="A218" s="0" t="s">
        <v>523</v>
      </c>
      <c r="B218" s="0" t="s">
        <v>49</v>
      </c>
      <c r="D218" s="17" t="n">
        <f aca="false">D217+d_ai</f>
        <v>0.396655205435058</v>
      </c>
      <c r="E218" s="17" t="n">
        <f aca="false">1-(1-$D$218)/E200+gmu_27</f>
        <v>0.406655205435058</v>
      </c>
      <c r="F218" s="17" t="n">
        <f aca="false">1-(1-$D$218)/F200+gmu_28</f>
        <v>0.392995057149545</v>
      </c>
      <c r="G218" s="17" t="n">
        <f aca="false">1-(1-$D$218)/G200+gmu_29</f>
        <v>0.378143835569211</v>
      </c>
      <c r="K218" s="7" t="s">
        <v>524</v>
      </c>
    </row>
    <row r="219" customFormat="false" ht="15" hidden="false" customHeight="false" outlineLevel="0" collapsed="false">
      <c r="A219" s="3" t="s">
        <v>391</v>
      </c>
      <c r="B219" s="0" t="s">
        <v>184</v>
      </c>
      <c r="C219" s="22" t="n">
        <f aca="false">a25_gp</f>
        <v>19.683</v>
      </c>
      <c r="D219" s="22" t="n">
        <f aca="false">a26_gp</f>
        <v>36.7701055</v>
      </c>
      <c r="E219" s="22" t="n">
        <f aca="false">E209*E218+E208*$D$217</f>
        <v>56.331961135</v>
      </c>
      <c r="F219" s="22" t="n">
        <f aca="false">F209*F218+F208*$D$217</f>
        <v>71.0939969154807</v>
      </c>
      <c r="G219" s="22" t="n">
        <f aca="false">G209*G218+G208*$D$217</f>
        <v>81.6002917090796</v>
      </c>
    </row>
    <row r="220" customFormat="false" ht="15" hidden="false" customHeight="false" outlineLevel="0" collapsed="false">
      <c r="A220" s="3" t="s">
        <v>394</v>
      </c>
      <c r="B220" s="0" t="s">
        <v>49</v>
      </c>
      <c r="C220" s="17" t="n">
        <f aca="false">C219/C211</f>
        <v>0.328028131457903</v>
      </c>
      <c r="D220" s="17" t="n">
        <f aca="false">D219/D211</f>
        <v>0.348837592422248</v>
      </c>
      <c r="E220" s="17" t="n">
        <f aca="false">E219/E211</f>
        <v>0.368566003345544</v>
      </c>
      <c r="F220" s="17" t="n">
        <f aca="false">F219/F211</f>
        <v>0.365962006691732</v>
      </c>
      <c r="G220" s="17" t="n">
        <f aca="false">G219/G211</f>
        <v>0.358067106007922</v>
      </c>
    </row>
    <row r="221" customFormat="false" ht="15" hidden="false" customHeight="false" outlineLevel="0" collapsed="false">
      <c r="A221" s="3" t="s">
        <v>525</v>
      </c>
      <c r="B221" s="0" t="s">
        <v>184</v>
      </c>
      <c r="C221" s="22" t="n">
        <f aca="false">a25_opx</f>
        <v>5.64</v>
      </c>
      <c r="D221" s="22" t="n">
        <f aca="false">a26_opx</f>
        <v>8.4779754</v>
      </c>
      <c r="E221" s="22" t="n">
        <f aca="false">D221*(1+MAX(0,phi*E212))</f>
        <v>10.767028758</v>
      </c>
      <c r="F221" s="22" t="n">
        <f aca="false">E221*(1+MAX(0,phi*F212))</f>
        <v>12.517970400163</v>
      </c>
      <c r="G221" s="22" t="n">
        <f aca="false">F221*(1+MAX(0,phi*G212))</f>
        <v>13.8179918513791</v>
      </c>
    </row>
    <row r="222" customFormat="false" ht="15" hidden="false" customHeight="false" outlineLevel="0" collapsed="false">
      <c r="A222" s="3" t="s">
        <v>396</v>
      </c>
      <c r="B222" s="0" t="s">
        <v>184</v>
      </c>
      <c r="C222" s="22" t="n">
        <f aca="false">C221</f>
        <v>5.64</v>
      </c>
      <c r="D222" s="22" t="n">
        <f aca="false">D221</f>
        <v>8.4779754</v>
      </c>
      <c r="E222" s="22" t="n">
        <f aca="false">E221+0*E211</f>
        <v>10.767028758</v>
      </c>
      <c r="F222" s="22" t="n">
        <f aca="false">F221+0*F211</f>
        <v>12.517970400163</v>
      </c>
      <c r="G222" s="22" t="n">
        <f aca="false">G221+0*G211</f>
        <v>13.8179918513791</v>
      </c>
    </row>
    <row r="223" customFormat="false" ht="15" hidden="false" customHeight="false" outlineLevel="0" collapsed="false">
      <c r="A223" s="3" t="s">
        <v>526</v>
      </c>
      <c r="B223" s="0" t="s">
        <v>184</v>
      </c>
      <c r="C223" s="22" t="n">
        <f aca="false">C219-C222</f>
        <v>14.043</v>
      </c>
      <c r="D223" s="22" t="n">
        <f aca="false">D219-D222</f>
        <v>28.2921301</v>
      </c>
      <c r="E223" s="22" t="n">
        <f aca="false">E219-E222</f>
        <v>45.564932377</v>
      </c>
      <c r="F223" s="22" t="n">
        <f aca="false">F219-F222</f>
        <v>58.5760265153177</v>
      </c>
      <c r="G223" s="22" t="n">
        <f aca="false">G219-G222</f>
        <v>67.7822998577005</v>
      </c>
    </row>
    <row r="224" customFormat="false" ht="15" hidden="false" customHeight="false" outlineLevel="0" collapsed="false">
      <c r="A224" s="3" t="s">
        <v>402</v>
      </c>
      <c r="B224" s="0" t="s">
        <v>49</v>
      </c>
      <c r="C224" s="17" t="n">
        <f aca="false">C223/C211</f>
        <v>0.23403439770682</v>
      </c>
      <c r="D224" s="17" t="n">
        <f aca="false">D223/D211</f>
        <v>0.268407131673338</v>
      </c>
      <c r="E224" s="17" t="n">
        <f aca="false">E223/E211</f>
        <v>0.298120013586154</v>
      </c>
      <c r="F224" s="17" t="n">
        <f aca="false">F223/F211</f>
        <v>0.301524757892828</v>
      </c>
      <c r="G224" s="17" t="n">
        <f aca="false">G223/G211</f>
        <v>0.297432906675595</v>
      </c>
    </row>
    <row r="225" customFormat="false" ht="17.15" hidden="false" customHeight="false" outlineLevel="0" collapsed="false">
      <c r="A225" s="3" t="s">
        <v>403</v>
      </c>
      <c r="B225" s="0" t="s">
        <v>184</v>
      </c>
      <c r="E225" s="22" t="n">
        <f aca="false">nop_f</f>
        <v>0</v>
      </c>
      <c r="F225" s="22" t="n">
        <f aca="false">nop_f</f>
        <v>0</v>
      </c>
      <c r="G225" s="22" t="n">
        <f aca="false">nop_f</f>
        <v>0</v>
      </c>
      <c r="K225" s="7" t="s">
        <v>527</v>
      </c>
    </row>
    <row r="226" customFormat="false" ht="15" hidden="false" customHeight="false" outlineLevel="0" collapsed="false">
      <c r="A226" s="3" t="s">
        <v>408</v>
      </c>
      <c r="B226" s="0" t="s">
        <v>184</v>
      </c>
      <c r="C226" s="22" t="n">
        <f aca="false">a25_ni</f>
        <v>9.607</v>
      </c>
      <c r="D226" s="22" t="n">
        <f aca="false">a26_ni</f>
        <v>19.6977289395284</v>
      </c>
      <c r="E226" s="22" t="n">
        <f aca="false">(E223+E225)*nir_f</f>
        <v>31.211978678245</v>
      </c>
      <c r="F226" s="22" t="n">
        <f aca="false">(F223+F225)*nir_f</f>
        <v>40.1245781629926</v>
      </c>
      <c r="G226" s="22" t="n">
        <f aca="false">(G223+G225)*nir_f</f>
        <v>46.4308754025249</v>
      </c>
      <c r="H226" s="24" t="n">
        <f aca="false">H211*H231</f>
        <v>49.0696162995125</v>
      </c>
      <c r="I226" s="24" t="n">
        <f aca="false">I211*I231</f>
        <v>49.5895726459613</v>
      </c>
      <c r="J226" s="24" t="n">
        <f aca="false">J211*J231</f>
        <v>47.8086916496984</v>
      </c>
    </row>
    <row r="227" customFormat="false" ht="17.15" hidden="false" customHeight="false" outlineLevel="0" collapsed="false">
      <c r="A227" s="3" t="s">
        <v>411</v>
      </c>
      <c r="B227" s="0" t="s">
        <v>49</v>
      </c>
      <c r="C227" s="17" t="n">
        <f aca="false">C226/C223</f>
        <v>0.684113081250445</v>
      </c>
      <c r="D227" s="17" t="n">
        <f aca="false">D226/D223</f>
        <v>0.696226437171953</v>
      </c>
      <c r="E227" s="17" t="n">
        <f aca="false">E226/E223</f>
        <v>0.685</v>
      </c>
      <c r="F227" s="17" t="n">
        <f aca="false">F226/F223</f>
        <v>0.685</v>
      </c>
      <c r="G227" s="17" t="n">
        <f aca="false">G226/G223</f>
        <v>0.685</v>
      </c>
    </row>
    <row r="228" customFormat="false" ht="17.15" hidden="false" customHeight="false" outlineLevel="0" collapsed="false">
      <c r="A228" s="3" t="s">
        <v>528</v>
      </c>
      <c r="B228" s="3" t="s">
        <v>214</v>
      </c>
      <c r="C228" s="27" t="n">
        <f aca="false">a25_sh</f>
        <v>0.493425783256292</v>
      </c>
      <c r="D228" s="27" t="n">
        <f aca="false">a26_sh</f>
        <v>0.512980850061958</v>
      </c>
      <c r="E228" s="27" t="n">
        <f aca="false">sh_h2*(1+sh_g)</f>
        <v>0.51889356</v>
      </c>
      <c r="F228" s="27" t="n">
        <f aca="false">E228*(1+sh_g)</f>
        <v>0.5240824956</v>
      </c>
      <c r="G228" s="27" t="n">
        <f aca="false">F228*(1+sh_g)</f>
        <v>0.529323320556</v>
      </c>
      <c r="H228" s="28" t="n">
        <f aca="false">G228*(1+sh_g)</f>
        <v>0.53461655376156</v>
      </c>
      <c r="I228" s="28" t="n">
        <f aca="false">H228*(1+sh_g)</f>
        <v>0.539962719299176</v>
      </c>
      <c r="J228" s="28" t="n">
        <f aca="false">I228*(1+sh_g)</f>
        <v>0.545362346492167</v>
      </c>
      <c r="K228" s="7" t="s">
        <v>529</v>
      </c>
    </row>
    <row r="229" customFormat="false" ht="15" hidden="false" customHeight="false" outlineLevel="0" collapsed="false">
      <c r="A229" s="0" t="s">
        <v>414</v>
      </c>
      <c r="B229" s="0" t="s">
        <v>252</v>
      </c>
      <c r="C229" s="23" t="n">
        <f aca="false">C226/C228</f>
        <v>19.47</v>
      </c>
      <c r="D229" s="23" t="n">
        <f aca="false">D226/D228</f>
        <v>38.3985658278458</v>
      </c>
      <c r="E229" s="23" t="n">
        <f aca="false">E226/E228</f>
        <v>60.1510234165269</v>
      </c>
      <c r="F229" s="23" t="n">
        <f aca="false">F226/F228</f>
        <v>76.5615690275167</v>
      </c>
      <c r="G229" s="23" t="n">
        <f aca="false">G226/G228</f>
        <v>87.7174188240072</v>
      </c>
      <c r="H229" s="29" t="n">
        <f aca="false">H226/H228</f>
        <v>91.7846930744266</v>
      </c>
      <c r="I229" s="29" t="n">
        <f aca="false">I226/I228</f>
        <v>91.8388823404776</v>
      </c>
      <c r="J229" s="29" t="n">
        <f aca="false">J226/J228</f>
        <v>87.664086010355</v>
      </c>
    </row>
    <row r="230" customFormat="false" ht="17.15" hidden="false" customHeight="false" outlineLevel="0" collapsed="false">
      <c r="A230" s="0" t="s">
        <v>530</v>
      </c>
      <c r="B230" s="0" t="s">
        <v>49</v>
      </c>
      <c r="D230" s="17" t="n">
        <f aca="false">D229/C229-1</f>
        <v>0.9721913624985</v>
      </c>
      <c r="E230" s="17" t="n">
        <f aca="false">E229/D229-1</f>
        <v>0.566491407158407</v>
      </c>
      <c r="F230" s="17" t="n">
        <f aca="false">F229/E229-1</f>
        <v>0.272822384040783</v>
      </c>
      <c r="G230" s="17" t="n">
        <f aca="false">G229/F229-1</f>
        <v>0.145710830357735</v>
      </c>
      <c r="H230" s="25" t="n">
        <f aca="false">H229/G229-1</f>
        <v>0.0463679199063061</v>
      </c>
      <c r="I230" s="25" t="n">
        <f aca="false">I229/H229-1</f>
        <v>0.000590395459589166</v>
      </c>
      <c r="J230" s="25" t="n">
        <f aca="false">J229/I229-1</f>
        <v>-0.0454578303190271</v>
      </c>
    </row>
    <row r="231" customFormat="false" ht="17.15" hidden="false" customHeight="false" outlineLevel="0" collapsed="false">
      <c r="A231" s="3" t="s">
        <v>531</v>
      </c>
      <c r="B231" s="0" t="s">
        <v>49</v>
      </c>
      <c r="C231" s="17" t="n">
        <f aca="false">C226/C211</f>
        <v>0.160105992933804</v>
      </c>
      <c r="D231" s="17" t="n">
        <f aca="false">D226/D211</f>
        <v>0.186872140996471</v>
      </c>
      <c r="E231" s="17" t="n">
        <f aca="false">E226/E211</f>
        <v>0.204212209306515</v>
      </c>
      <c r="F231" s="17" t="n">
        <f aca="false">F226/F211</f>
        <v>0.206544459156587</v>
      </c>
      <c r="G231" s="17" t="n">
        <f aca="false">G226/G211</f>
        <v>0.203741541072783</v>
      </c>
      <c r="H231" s="25" t="n">
        <f aca="false">$G231+(fade_mB-$G231)*1/3</f>
        <v>0.190764372872009</v>
      </c>
      <c r="I231" s="25" t="n">
        <f aca="false">$G231+(fade_mB-$G231)*2/3</f>
        <v>0.177787204671235</v>
      </c>
      <c r="J231" s="25" t="n">
        <f aca="false">$G231+(fade_mB-$G231)*3/3</f>
        <v>0.164810036470462</v>
      </c>
    </row>
    <row r="234" customFormat="false" ht="17.15" hidden="false" customHeight="false" outlineLevel="0" collapsed="false">
      <c r="A234" s="1" t="s">
        <v>826</v>
      </c>
    </row>
    <row r="235" customFormat="false" ht="17.15" hidden="false" customHeight="false" outlineLevel="0" collapsed="false">
      <c r="A235" s="4" t="s">
        <v>18</v>
      </c>
      <c r="B235" s="4" t="s">
        <v>19</v>
      </c>
      <c r="C235" s="14" t="s">
        <v>382</v>
      </c>
      <c r="D235" s="14" t="s">
        <v>472</v>
      </c>
      <c r="E235" s="14" t="s">
        <v>473</v>
      </c>
      <c r="F235" s="14" t="s">
        <v>474</v>
      </c>
      <c r="G235" s="14" t="s">
        <v>475</v>
      </c>
      <c r="H235" s="14" t="s">
        <v>476</v>
      </c>
      <c r="I235" s="14" t="s">
        <v>477</v>
      </c>
      <c r="J235" s="14" t="s">
        <v>478</v>
      </c>
      <c r="K235" s="4" t="s">
        <v>436</v>
      </c>
    </row>
    <row r="236" customFormat="false" ht="17.15" hidden="false" customHeight="false" outlineLevel="0" collapsed="false">
      <c r="A236" s="5" t="s">
        <v>494</v>
      </c>
    </row>
    <row r="237" customFormat="false" ht="17.15" hidden="false" customHeight="false" outlineLevel="0" collapsed="false">
      <c r="A237" s="0" t="s">
        <v>495</v>
      </c>
      <c r="B237" s="0" t="s">
        <v>29</v>
      </c>
      <c r="D237" s="23" t="n">
        <f aca="false">itc_26*1</f>
        <v>781.872916666667</v>
      </c>
      <c r="E237" s="23" t="n">
        <f aca="false">itc_27*1*1</f>
        <v>1565.35</v>
      </c>
      <c r="F237" s="23" t="n">
        <f aca="false">itc_28*um28_B*1</f>
        <v>1587.41111111111</v>
      </c>
      <c r="G237" s="23" t="n">
        <f aca="false">itc_29*um29_B*1</f>
        <v>1921.33173611111</v>
      </c>
    </row>
    <row r="238" customFormat="false" ht="17.15" hidden="false" customHeight="false" outlineLevel="0" collapsed="false">
      <c r="A238" s="3" t="s">
        <v>496</v>
      </c>
      <c r="B238" s="0" t="s">
        <v>29</v>
      </c>
      <c r="D238" s="23" t="n">
        <f aca="false">itpg_gb*(1-vr26)+itpg_vr*vr26</f>
        <v>33.41403216</v>
      </c>
      <c r="E238" s="23" t="n">
        <f aca="false">itpg_vr</f>
        <v>37.586352</v>
      </c>
      <c r="F238" s="23" t="n">
        <f aca="false">itpg_vr</f>
        <v>37.586352</v>
      </c>
      <c r="G238" s="23" t="n">
        <f aca="false">itpg_vr</f>
        <v>37.586352</v>
      </c>
    </row>
    <row r="239" customFormat="false" ht="17.15" hidden="false" customHeight="false" outlineLevel="0" collapsed="false">
      <c r="A239" s="3" t="s">
        <v>497</v>
      </c>
      <c r="B239" s="0" t="s">
        <v>438</v>
      </c>
      <c r="D239" s="20" t="n">
        <f aca="false">D237/D238</f>
        <v>23.3995380420639</v>
      </c>
      <c r="E239" s="20" t="n">
        <f aca="false">E237/E238</f>
        <v>41.6467658260637</v>
      </c>
      <c r="F239" s="20" t="n">
        <f aca="false">F237/F238</f>
        <v>42.2337105529984</v>
      </c>
      <c r="G239" s="20" t="n">
        <f aca="false">G237/G238</f>
        <v>51.1178029756948</v>
      </c>
    </row>
    <row r="240" customFormat="false" ht="17.15" hidden="false" customHeight="false" outlineLevel="0" collapsed="false">
      <c r="A240" s="3" t="s">
        <v>442</v>
      </c>
      <c r="B240" s="0" t="s">
        <v>90</v>
      </c>
      <c r="D240" s="21" t="n">
        <f aca="false">vg_cmp26</f>
        <v>280</v>
      </c>
      <c r="E240" s="21" t="n">
        <f aca="false">(vg_cmp26+(vg_cmp27-vg_cmp26)*pgwf)</f>
        <v>420</v>
      </c>
      <c r="F240" s="21" t="n">
        <f aca="false">(vg_cmp26+(vg_cmp28-vg_cmp26)*pgwf)</f>
        <v>462</v>
      </c>
      <c r="G240" s="21" t="n">
        <f aca="false">(vg_cmp26+(vg_cmp29-vg_cmp26)*pgwf)</f>
        <v>504</v>
      </c>
    </row>
    <row r="241" customFormat="false" ht="17.15" hidden="false" customHeight="false" outlineLevel="0" collapsed="false">
      <c r="A241" s="3" t="s">
        <v>444</v>
      </c>
      <c r="B241" s="0" t="s">
        <v>90</v>
      </c>
      <c r="D241" s="21" t="n">
        <f aca="false">vg_sw26</f>
        <v>120</v>
      </c>
      <c r="E241" s="21" t="n">
        <f aca="false">(vg_sw26+(vg_sw27-vg_sw26)*pgwf)</f>
        <v>162</v>
      </c>
      <c r="F241" s="21" t="n">
        <f aca="false">(vg_sw26+(vg_sw28-vg_sw26)*pgwf)</f>
        <v>180</v>
      </c>
      <c r="G241" s="21" t="n">
        <f aca="false">(vg_sw26+(vg_sw29-vg_sw26)*pgwf)</f>
        <v>198</v>
      </c>
    </row>
    <row r="242" customFormat="false" ht="17.15" hidden="false" customHeight="false" outlineLevel="0" collapsed="false">
      <c r="A242" s="3" t="s">
        <v>498</v>
      </c>
      <c r="B242" s="0" t="s">
        <v>90</v>
      </c>
      <c r="D242" s="21" t="n">
        <f aca="false">vg_mid26*w_mid</f>
        <v>25</v>
      </c>
      <c r="E242" s="21" t="n">
        <f aca="false">(vg_mid26+(vg_mid27-vg_mid26)*pgwf)*w_mid</f>
        <v>50</v>
      </c>
      <c r="F242" s="21" t="n">
        <f aca="false">(vg_mid26+(vg_mid28-vg_mid26)*pgwf)*w_mid</f>
        <v>75</v>
      </c>
      <c r="G242" s="21" t="n">
        <f aca="false">(vg_mid26+(vg_mid29-vg_mid26)*pgwf)*w_mid</f>
        <v>87.5</v>
      </c>
    </row>
    <row r="243" customFormat="false" ht="17.15" hidden="false" customHeight="false" outlineLevel="0" collapsed="false">
      <c r="A243" s="3" t="s">
        <v>499</v>
      </c>
      <c r="B243" s="0" t="s">
        <v>90</v>
      </c>
      <c r="D243" s="21" t="n">
        <f aca="false">D240+D241+D242</f>
        <v>425</v>
      </c>
      <c r="E243" s="21" t="n">
        <f aca="false">E240+E241+E242</f>
        <v>632</v>
      </c>
      <c r="F243" s="21" t="n">
        <f aca="false">F240+F241+F242</f>
        <v>717</v>
      </c>
      <c r="G243" s="21" t="n">
        <f aca="false">G240+G241+G242</f>
        <v>789.5</v>
      </c>
    </row>
    <row r="244" customFormat="false" ht="17.15" hidden="false" customHeight="false" outlineLevel="0" collapsed="false">
      <c r="A244" s="3" t="s">
        <v>500</v>
      </c>
      <c r="B244" s="0" t="s">
        <v>29</v>
      </c>
      <c r="D244" s="23" t="n">
        <f aca="false">D239*D243/1000</f>
        <v>9.94480366787716</v>
      </c>
      <c r="E244" s="23" t="n">
        <f aca="false">E239*E243/1000</f>
        <v>26.3207560020722</v>
      </c>
      <c r="F244" s="23" t="n">
        <f aca="false">F239*F243/1000</f>
        <v>30.2815704664998</v>
      </c>
      <c r="G244" s="23" t="n">
        <f aca="false">G239*G243/1000</f>
        <v>40.3575054493111</v>
      </c>
    </row>
    <row r="245" customFormat="false" ht="17.15" hidden="false" customHeight="false" outlineLevel="0" collapsed="false">
      <c r="A245" s="3" t="s">
        <v>501</v>
      </c>
      <c r="B245" s="0" t="s">
        <v>184</v>
      </c>
      <c r="D245" s="22" t="n">
        <f aca="false">D244*fx</f>
        <v>318.233717372069</v>
      </c>
      <c r="E245" s="22" t="n">
        <f aca="false">E244*fx</f>
        <v>842.264192066312</v>
      </c>
      <c r="F245" s="22" t="n">
        <f aca="false">F244*fx</f>
        <v>969.010254927995</v>
      </c>
      <c r="G245" s="22" t="n">
        <f aca="false">G244*fx</f>
        <v>1291.44017437795</v>
      </c>
    </row>
    <row r="246" customFormat="false" ht="17.15" hidden="false" customHeight="false" outlineLevel="0" collapsed="false">
      <c r="A246" s="0" t="s">
        <v>502</v>
      </c>
      <c r="B246" s="0" t="s">
        <v>63</v>
      </c>
      <c r="D246" s="18" t="n">
        <f aca="false">1</f>
        <v>1</v>
      </c>
      <c r="E246" s="18" t="n">
        <f aca="false">pp_27</f>
        <v>1</v>
      </c>
      <c r="F246" s="18" t="n">
        <f aca="false">pp_28</f>
        <v>0.97</v>
      </c>
      <c r="G246" s="18" t="n">
        <f aca="false">pp_29</f>
        <v>0.94</v>
      </c>
    </row>
    <row r="247" customFormat="false" ht="17.15" hidden="false" customHeight="false" outlineLevel="0" collapsed="false">
      <c r="A247" s="3" t="s">
        <v>503</v>
      </c>
      <c r="B247" s="0" t="s">
        <v>49</v>
      </c>
      <c r="D247" s="17" t="n">
        <f aca="false">a26_ai/D245</f>
        <v>0.172842024579347</v>
      </c>
      <c r="K247" s="7" t="s">
        <v>504</v>
      </c>
    </row>
    <row r="248" customFormat="false" ht="17.15" hidden="false" customHeight="false" outlineLevel="0" collapsed="false">
      <c r="A248" s="3" t="s">
        <v>505</v>
      </c>
      <c r="B248" s="0" t="s">
        <v>63</v>
      </c>
      <c r="D248" s="18" t="n">
        <f aca="false">1</f>
        <v>1</v>
      </c>
      <c r="E248" s="18" t="n">
        <f aca="false">RLO_27</f>
        <v>0.85</v>
      </c>
      <c r="F248" s="18" t="n">
        <f aca="false">RLO_28</f>
        <v>0.75</v>
      </c>
      <c r="G248" s="18" t="n">
        <f aca="false">RLO_29</f>
        <v>0.7</v>
      </c>
    </row>
    <row r="249" customFormat="false" ht="15" hidden="false" customHeight="false" outlineLevel="0" collapsed="false">
      <c r="A249" s="3" t="s">
        <v>454</v>
      </c>
      <c r="B249" s="0" t="s">
        <v>49</v>
      </c>
      <c r="D249" s="17" t="n">
        <f aca="false">$D$247*D248</f>
        <v>0.172842024579347</v>
      </c>
      <c r="E249" s="17" t="n">
        <f aca="false">$D$247*E248</f>
        <v>0.146915720892445</v>
      </c>
      <c r="F249" s="17" t="n">
        <f aca="false">$D$247*F248</f>
        <v>0.12963151843451</v>
      </c>
      <c r="G249" s="17" t="n">
        <f aca="false">$D$247*G248</f>
        <v>0.120989417205543</v>
      </c>
    </row>
    <row r="250" customFormat="false" ht="17.15" hidden="false" customHeight="false" outlineLevel="0" collapsed="false">
      <c r="A250" s="0" t="s">
        <v>506</v>
      </c>
      <c r="B250" s="0" t="s">
        <v>184</v>
      </c>
      <c r="D250" s="22" t="n">
        <f aca="false">D245*D249*D246</f>
        <v>55.00416</v>
      </c>
      <c r="E250" s="22" t="n">
        <f aca="false">E245*E249*E246</f>
        <v>123.741850959315</v>
      </c>
      <c r="F250" s="22" t="n">
        <f aca="false">F245*F249*F246</f>
        <v>121.84584260318</v>
      </c>
      <c r="G250" s="22" t="n">
        <f aca="false">G245*G249*G246</f>
        <v>146.875558410584</v>
      </c>
    </row>
    <row r="251" customFormat="false" ht="17.15" hidden="false" customHeight="false" outlineLevel="0" collapsed="false">
      <c r="A251" s="5" t="s">
        <v>507</v>
      </c>
    </row>
    <row r="252" customFormat="false" ht="17.15" hidden="false" customHeight="false" outlineLevel="0" collapsed="false">
      <c r="A252" s="3" t="s">
        <v>508</v>
      </c>
      <c r="B252" s="0" t="s">
        <v>63</v>
      </c>
      <c r="D252" s="18" t="n">
        <f aca="false">1</f>
        <v>1</v>
      </c>
      <c r="E252" s="18" t="n">
        <f aca="false">cx_27</f>
        <v>1.45</v>
      </c>
      <c r="F252" s="18" t="n">
        <f aca="false">cx_28</f>
        <v>1.9</v>
      </c>
      <c r="G252" s="18" t="n">
        <f aca="false">cx_29</f>
        <v>2.3</v>
      </c>
      <c r="K252" s="7" t="s">
        <v>509</v>
      </c>
    </row>
    <row r="253" customFormat="false" ht="17.15" hidden="false" customHeight="false" outlineLevel="0" collapsed="false">
      <c r="A253" s="3" t="s">
        <v>510</v>
      </c>
      <c r="B253" s="0" t="s">
        <v>184</v>
      </c>
      <c r="D253" s="22" t="n">
        <f aca="false">a26_rev*D252*D246</f>
        <v>105.40752</v>
      </c>
      <c r="E253" s="22" t="n">
        <f aca="false">a26_rev*E252*E246</f>
        <v>152.840904</v>
      </c>
      <c r="F253" s="22" t="n">
        <f aca="false">a26_rev*F252*F246</f>
        <v>194.26605936</v>
      </c>
      <c r="G253" s="22" t="n">
        <f aca="false">a26_rev*G252*G246</f>
        <v>227.89105824</v>
      </c>
    </row>
    <row r="254" customFormat="false" ht="17.15" hidden="false" customHeight="false" outlineLevel="0" collapsed="false">
      <c r="A254" s="3" t="s">
        <v>511</v>
      </c>
      <c r="B254" s="0" t="s">
        <v>184</v>
      </c>
      <c r="C254" s="22" t="n">
        <f aca="false">a25_nai</f>
        <v>42.0028</v>
      </c>
      <c r="D254" s="22" t="n">
        <f aca="false">a26_nai</f>
        <v>50.40336</v>
      </c>
      <c r="E254" s="22" t="n">
        <f aca="false">D254*(1+g_nai27)</f>
        <v>52.923528</v>
      </c>
      <c r="F254" s="22" t="n">
        <f aca="false">E254*(1+g_nai28)</f>
        <v>54.51123384</v>
      </c>
      <c r="G254" s="22" t="n">
        <f aca="false">F254*(1+g_nai29)</f>
        <v>56.1465708552</v>
      </c>
    </row>
    <row r="255" customFormat="false" ht="17.15" hidden="false" customHeight="false" outlineLevel="0" collapsed="false">
      <c r="A255" s="0" t="s">
        <v>512</v>
      </c>
      <c r="B255" s="0" t="s">
        <v>184</v>
      </c>
      <c r="C255" s="22" t="n">
        <f aca="false">a25_ai</f>
        <v>18.0012</v>
      </c>
      <c r="D255" s="22" t="n">
        <f aca="false">D250</f>
        <v>55.00416</v>
      </c>
      <c r="E255" s="22" t="n">
        <f aca="false">MIN(E250,E253-E254)</f>
        <v>99.917376</v>
      </c>
      <c r="F255" s="22" t="n">
        <f aca="false">MIN(F250,F253-F254)</f>
        <v>121.84584260318</v>
      </c>
      <c r="G255" s="22" t="n">
        <f aca="false">MIN(G250,G253-G254)</f>
        <v>146.875558410584</v>
      </c>
      <c r="K255" s="3" t="s">
        <v>513</v>
      </c>
    </row>
    <row r="256" customFormat="false" ht="15" hidden="false" customHeight="false" outlineLevel="0" collapsed="false">
      <c r="A256" s="3" t="s">
        <v>514</v>
      </c>
      <c r="E256" s="0" t="str">
        <f aca="false">IF(E250&gt;E253-E254+0.0001,"受限","未受限")</f>
        <v>受限</v>
      </c>
      <c r="F256" s="0" t="str">
        <f aca="false">IF(F250&gt;F253-F254+0.0001,"受限","未受限")</f>
        <v>未受限</v>
      </c>
      <c r="G256" s="0" t="str">
        <f aca="false">IF(G250&gt;G253-G254+0.0001,"受限","未受限")</f>
        <v>未受限</v>
      </c>
    </row>
    <row r="257" customFormat="false" ht="17.15" hidden="false" customHeight="false" outlineLevel="0" collapsed="false">
      <c r="A257" s="3" t="s">
        <v>387</v>
      </c>
      <c r="B257" s="0" t="s">
        <v>184</v>
      </c>
      <c r="C257" s="22" t="n">
        <f aca="false">C255+C254</f>
        <v>60.004</v>
      </c>
      <c r="D257" s="22" t="n">
        <f aca="false">D255+D254</f>
        <v>105.40752</v>
      </c>
      <c r="E257" s="22" t="n">
        <f aca="false">E255+E254</f>
        <v>152.840904</v>
      </c>
      <c r="F257" s="22" t="n">
        <f aca="false">F255+F254</f>
        <v>176.35707644318</v>
      </c>
      <c r="G257" s="22" t="n">
        <f aca="false">G255+G254</f>
        <v>203.022129265784</v>
      </c>
      <c r="H257" s="24" t="n">
        <f aca="false">G257*(1+H258)</f>
        <v>226.193616372385</v>
      </c>
      <c r="I257" s="24" t="n">
        <f aca="false">H257*(1+I258)</f>
        <v>243.625545777952</v>
      </c>
      <c r="J257" s="24" t="n">
        <f aca="false">I257*(1+J258)</f>
        <v>253.37056760907</v>
      </c>
      <c r="K257" s="7" t="s">
        <v>515</v>
      </c>
    </row>
    <row r="258" customFormat="false" ht="15" hidden="false" customHeight="false" outlineLevel="0" collapsed="false">
      <c r="A258" s="3" t="s">
        <v>516</v>
      </c>
      <c r="B258" s="0" t="s">
        <v>49</v>
      </c>
      <c r="D258" s="17" t="n">
        <f aca="false">D257/C257-1</f>
        <v>0.756674888340778</v>
      </c>
      <c r="E258" s="17" t="n">
        <f aca="false">E257/D257-1</f>
        <v>0.45</v>
      </c>
      <c r="F258" s="17" t="n">
        <f aca="false">F257/E257-1</f>
        <v>0.153860464232662</v>
      </c>
      <c r="G258" s="17" t="n">
        <f aca="false">G257/F257-1</f>
        <v>0.151199222398062</v>
      </c>
      <c r="H258" s="25" t="n">
        <f aca="false">$G258+(fade_gB-$G258)*1/3</f>
        <v>0.114132814932042</v>
      </c>
      <c r="I258" s="25" t="n">
        <f aca="false">$G258+(fade_gB-$G258)*2/3</f>
        <v>0.0770664074660208</v>
      </c>
      <c r="J258" s="25" t="n">
        <f aca="false">$G258+(fade_gB-$G258)*3/3</f>
        <v>0.04</v>
      </c>
    </row>
    <row r="259" customFormat="false" ht="17.15" hidden="false" customHeight="false" outlineLevel="0" collapsed="false">
      <c r="A259" s="0" t="s">
        <v>517</v>
      </c>
      <c r="B259" s="0" t="s">
        <v>49</v>
      </c>
      <c r="C259" s="17" t="n">
        <f aca="false">C255/C257</f>
        <v>0.3</v>
      </c>
      <c r="D259" s="17" t="n">
        <f aca="false">D255/D257</f>
        <v>0.521823869871903</v>
      </c>
      <c r="E259" s="17" t="n">
        <f aca="false">E255/E257</f>
        <v>0.653734526458964</v>
      </c>
      <c r="F259" s="17" t="n">
        <f aca="false">F255/F257</f>
        <v>0.690904187462175</v>
      </c>
      <c r="G259" s="17" t="n">
        <f aca="false">G255/G257</f>
        <v>0.723446054584048</v>
      </c>
    </row>
    <row r="260" customFormat="false" ht="17.15" hidden="false" customHeight="false" outlineLevel="0" collapsed="false">
      <c r="A260" s="3" t="s">
        <v>518</v>
      </c>
      <c r="B260" s="0" t="s">
        <v>49</v>
      </c>
      <c r="D260" s="17" t="n">
        <f aca="false">(D250+D254)/D253</f>
        <v>1</v>
      </c>
      <c r="E260" s="17" t="n">
        <f aca="false">(E250+E254)/E253</f>
        <v>1.15587761087382</v>
      </c>
      <c r="F260" s="17" t="n">
        <f aca="false">(F250+F254)/F253</f>
        <v>0.907812085261725</v>
      </c>
      <c r="G260" s="17" t="n">
        <f aca="false">(G250+G254)/G253</f>
        <v>0.890873607914772</v>
      </c>
      <c r="K260" s="3" t="s">
        <v>519</v>
      </c>
    </row>
    <row r="261" customFormat="false" ht="17.15" hidden="false" customHeight="false" outlineLevel="0" collapsed="false">
      <c r="A261" s="3" t="s">
        <v>458</v>
      </c>
      <c r="B261" s="0" t="s">
        <v>90</v>
      </c>
      <c r="D261" s="21" t="n">
        <f aca="false">D255/fx/D239*1000</f>
        <v>73.4578604462223</v>
      </c>
      <c r="E261" s="21" t="n">
        <f aca="false">E255/fx/E239*1000</f>
        <v>74.9738410190283</v>
      </c>
      <c r="F261" s="21" t="n">
        <f aca="false">F255/fx/F239*1000</f>
        <v>90.1574247560173</v>
      </c>
      <c r="G261" s="21" t="n">
        <f aca="false">G255/fx/G239*1000</f>
        <v>89.7898761907493</v>
      </c>
    </row>
    <row r="262" customFormat="false" ht="17.15" hidden="false" customHeight="false" outlineLevel="0" collapsed="false">
      <c r="A262" s="5" t="s">
        <v>520</v>
      </c>
    </row>
    <row r="263" customFormat="false" ht="17.15" hidden="false" customHeight="false" outlineLevel="0" collapsed="false">
      <c r="A263" s="3" t="s">
        <v>521</v>
      </c>
      <c r="B263" s="0" t="s">
        <v>49</v>
      </c>
      <c r="D263" s="17" t="n">
        <f aca="false">a26_gp/D257-d_ai*D259</f>
        <v>0.296655205435058</v>
      </c>
      <c r="K263" s="7" t="s">
        <v>522</v>
      </c>
    </row>
    <row r="264" customFormat="false" ht="17.15" hidden="false" customHeight="false" outlineLevel="0" collapsed="false">
      <c r="A264" s="0" t="s">
        <v>523</v>
      </c>
      <c r="B264" s="0" t="s">
        <v>49</v>
      </c>
      <c r="D264" s="17" t="n">
        <f aca="false">D263+d_ai</f>
        <v>0.396655205435058</v>
      </c>
      <c r="E264" s="17" t="n">
        <f aca="false">1-(1-$D$264)/E246+gmu_27</f>
        <v>0.406655205435058</v>
      </c>
      <c r="F264" s="17" t="n">
        <f aca="false">1-(1-$D$264)/F246+gmu_28</f>
        <v>0.392995057149545</v>
      </c>
      <c r="G264" s="17" t="n">
        <f aca="false">1-(1-$D$264)/G246+gmu_29</f>
        <v>0.378143835569211</v>
      </c>
      <c r="K264" s="7" t="s">
        <v>524</v>
      </c>
    </row>
    <row r="265" customFormat="false" ht="15" hidden="false" customHeight="false" outlineLevel="0" collapsed="false">
      <c r="A265" s="3" t="s">
        <v>391</v>
      </c>
      <c r="B265" s="0" t="s">
        <v>184</v>
      </c>
      <c r="C265" s="22" t="n">
        <f aca="false">a25_gp</f>
        <v>19.683</v>
      </c>
      <c r="D265" s="22" t="n">
        <f aca="false">a26_gp</f>
        <v>36.7701055</v>
      </c>
      <c r="E265" s="22" t="n">
        <f aca="false">E255*E264+E254*$D$263</f>
        <v>56.331961135</v>
      </c>
      <c r="F265" s="22" t="n">
        <f aca="false">F255*F264+F254*$D$263</f>
        <v>64.0558551505947</v>
      </c>
      <c r="G265" s="22" t="n">
        <f aca="false">G255*G264+G254*$D$263</f>
        <v>72.1962595202713</v>
      </c>
    </row>
    <row r="266" customFormat="false" ht="15" hidden="false" customHeight="false" outlineLevel="0" collapsed="false">
      <c r="A266" s="3" t="s">
        <v>394</v>
      </c>
      <c r="B266" s="0" t="s">
        <v>49</v>
      </c>
      <c r="C266" s="17" t="n">
        <f aca="false">C265/C257</f>
        <v>0.328028131457903</v>
      </c>
      <c r="D266" s="17" t="n">
        <f aca="false">D265/D257</f>
        <v>0.348837592422248</v>
      </c>
      <c r="E266" s="17" t="n">
        <f aca="false">E265/E257</f>
        <v>0.368566003345544</v>
      </c>
      <c r="F266" s="17" t="n">
        <f aca="false">F265/F257</f>
        <v>0.363216812404082</v>
      </c>
      <c r="G266" s="17" t="n">
        <f aca="false">G265/G257</f>
        <v>0.35560783339907</v>
      </c>
    </row>
    <row r="267" customFormat="false" ht="15" hidden="false" customHeight="false" outlineLevel="0" collapsed="false">
      <c r="A267" s="3" t="s">
        <v>525</v>
      </c>
      <c r="B267" s="0" t="s">
        <v>184</v>
      </c>
      <c r="C267" s="22" t="n">
        <f aca="false">a25_opx</f>
        <v>5.64</v>
      </c>
      <c r="D267" s="22" t="n">
        <f aca="false">a26_opx</f>
        <v>8.4779754</v>
      </c>
      <c r="E267" s="22" t="n">
        <f aca="false">D267*(1+MAX(0,phi*E258))</f>
        <v>10.767028758</v>
      </c>
      <c r="F267" s="22" t="n">
        <f aca="false">E267*(1+MAX(0,phi*F258))</f>
        <v>11.7610007838674</v>
      </c>
      <c r="G267" s="22" t="n">
        <f aca="false">F267*(1+MAX(0,phi*G258))</f>
        <v>12.8279532877536</v>
      </c>
    </row>
    <row r="268" customFormat="false" ht="15" hidden="false" customHeight="false" outlineLevel="0" collapsed="false">
      <c r="A268" s="3" t="s">
        <v>396</v>
      </c>
      <c r="B268" s="0" t="s">
        <v>184</v>
      </c>
      <c r="C268" s="22" t="n">
        <f aca="false">C267</f>
        <v>5.64</v>
      </c>
      <c r="D268" s="22" t="n">
        <f aca="false">D267</f>
        <v>8.4779754</v>
      </c>
      <c r="E268" s="22" t="n">
        <f aca="false">E267+0*E257</f>
        <v>10.767028758</v>
      </c>
      <c r="F268" s="22" t="n">
        <f aca="false">F267+0*F257</f>
        <v>11.7610007838674</v>
      </c>
      <c r="G268" s="22" t="n">
        <f aca="false">G267+0*G257</f>
        <v>12.8279532877536</v>
      </c>
    </row>
    <row r="269" customFormat="false" ht="15" hidden="false" customHeight="false" outlineLevel="0" collapsed="false">
      <c r="A269" s="3" t="s">
        <v>526</v>
      </c>
      <c r="B269" s="0" t="s">
        <v>184</v>
      </c>
      <c r="C269" s="22" t="n">
        <f aca="false">C265-C268</f>
        <v>14.043</v>
      </c>
      <c r="D269" s="22" t="n">
        <f aca="false">D265-D268</f>
        <v>28.2921301</v>
      </c>
      <c r="E269" s="22" t="n">
        <f aca="false">E265-E268</f>
        <v>45.564932377</v>
      </c>
      <c r="F269" s="22" t="n">
        <f aca="false">F265-F268</f>
        <v>52.2948543667273</v>
      </c>
      <c r="G269" s="22" t="n">
        <f aca="false">G265-G268</f>
        <v>59.3683062325177</v>
      </c>
    </row>
    <row r="270" customFormat="false" ht="15" hidden="false" customHeight="false" outlineLevel="0" collapsed="false">
      <c r="A270" s="3" t="s">
        <v>402</v>
      </c>
      <c r="B270" s="0" t="s">
        <v>49</v>
      </c>
      <c r="C270" s="17" t="n">
        <f aca="false">C269/C257</f>
        <v>0.23403439770682</v>
      </c>
      <c r="D270" s="17" t="n">
        <f aca="false">D269/D257</f>
        <v>0.268407131673338</v>
      </c>
      <c r="E270" s="17" t="n">
        <f aca="false">E269/E257</f>
        <v>0.298120013586154</v>
      </c>
      <c r="F270" s="17" t="n">
        <f aca="false">F269/F257</f>
        <v>0.29652824497562</v>
      </c>
      <c r="G270" s="17" t="n">
        <f aca="false">G269/G257</f>
        <v>0.292422833152323</v>
      </c>
    </row>
    <row r="271" customFormat="false" ht="17.15" hidden="false" customHeight="false" outlineLevel="0" collapsed="false">
      <c r="A271" s="3" t="s">
        <v>403</v>
      </c>
      <c r="B271" s="0" t="s">
        <v>184</v>
      </c>
      <c r="E271" s="22" t="n">
        <f aca="false">nop_f</f>
        <v>0</v>
      </c>
      <c r="F271" s="22" t="n">
        <f aca="false">nop_f</f>
        <v>0</v>
      </c>
      <c r="G271" s="22" t="n">
        <f aca="false">nop_f</f>
        <v>0</v>
      </c>
      <c r="K271" s="7" t="s">
        <v>527</v>
      </c>
    </row>
    <row r="272" customFormat="false" ht="15" hidden="false" customHeight="false" outlineLevel="0" collapsed="false">
      <c r="A272" s="3" t="s">
        <v>408</v>
      </c>
      <c r="B272" s="0" t="s">
        <v>184</v>
      </c>
      <c r="C272" s="22" t="n">
        <f aca="false">a25_ni</f>
        <v>9.607</v>
      </c>
      <c r="D272" s="22" t="n">
        <f aca="false">a26_ni</f>
        <v>19.6977289395284</v>
      </c>
      <c r="E272" s="22" t="n">
        <f aca="false">(E269+E271)*nir_f</f>
        <v>31.211978678245</v>
      </c>
      <c r="F272" s="22" t="n">
        <f aca="false">(F269+F271)*nir_f</f>
        <v>35.8219752412082</v>
      </c>
      <c r="G272" s="22" t="n">
        <f aca="false">(G269+G271)*nir_f</f>
        <v>40.6672897692746</v>
      </c>
      <c r="H272" s="24" t="n">
        <f aca="false">H257*H277</f>
        <v>42.6321674054388</v>
      </c>
      <c r="I272" s="24" t="n">
        <f aca="false">I257*I277</f>
        <v>43.0348052373331</v>
      </c>
      <c r="J272" s="24" t="n">
        <f aca="false">J257*J277</f>
        <v>41.7580124881924</v>
      </c>
    </row>
    <row r="273" customFormat="false" ht="17.15" hidden="false" customHeight="false" outlineLevel="0" collapsed="false">
      <c r="A273" s="3" t="s">
        <v>411</v>
      </c>
      <c r="B273" s="0" t="s">
        <v>49</v>
      </c>
      <c r="C273" s="17" t="n">
        <f aca="false">C272/C269</f>
        <v>0.684113081250445</v>
      </c>
      <c r="D273" s="17" t="n">
        <f aca="false">D272/D269</f>
        <v>0.696226437171953</v>
      </c>
      <c r="E273" s="17" t="n">
        <f aca="false">E272/E269</f>
        <v>0.685</v>
      </c>
      <c r="F273" s="17" t="n">
        <f aca="false">F272/F269</f>
        <v>0.685</v>
      </c>
      <c r="G273" s="17" t="n">
        <f aca="false">G272/G269</f>
        <v>0.685</v>
      </c>
    </row>
    <row r="274" customFormat="false" ht="17.15" hidden="false" customHeight="false" outlineLevel="0" collapsed="false">
      <c r="A274" s="3" t="s">
        <v>528</v>
      </c>
      <c r="B274" s="3" t="s">
        <v>214</v>
      </c>
      <c r="C274" s="27" t="n">
        <f aca="false">a25_sh</f>
        <v>0.493425783256292</v>
      </c>
      <c r="D274" s="27" t="n">
        <f aca="false">a26_sh</f>
        <v>0.512980850061958</v>
      </c>
      <c r="E274" s="27" t="n">
        <f aca="false">sh_h2*(1+sh_g)</f>
        <v>0.51889356</v>
      </c>
      <c r="F274" s="27" t="n">
        <f aca="false">E274*(1+sh_g)</f>
        <v>0.5240824956</v>
      </c>
      <c r="G274" s="27" t="n">
        <f aca="false">F274*(1+sh_g)</f>
        <v>0.529323320556</v>
      </c>
      <c r="H274" s="28" t="n">
        <f aca="false">G274*(1+sh_g)</f>
        <v>0.53461655376156</v>
      </c>
      <c r="I274" s="28" t="n">
        <f aca="false">H274*(1+sh_g)</f>
        <v>0.539962719299176</v>
      </c>
      <c r="J274" s="28" t="n">
        <f aca="false">I274*(1+sh_g)</f>
        <v>0.545362346492167</v>
      </c>
      <c r="K274" s="7" t="s">
        <v>529</v>
      </c>
    </row>
    <row r="275" customFormat="false" ht="15" hidden="false" customHeight="false" outlineLevel="0" collapsed="false">
      <c r="A275" s="0" t="s">
        <v>414</v>
      </c>
      <c r="B275" s="0" t="s">
        <v>252</v>
      </c>
      <c r="C275" s="23" t="n">
        <f aca="false">C272/C274</f>
        <v>19.47</v>
      </c>
      <c r="D275" s="23" t="n">
        <f aca="false">D272/D274</f>
        <v>38.3985658278458</v>
      </c>
      <c r="E275" s="23" t="n">
        <f aca="false">E272/E274</f>
        <v>60.1510234165269</v>
      </c>
      <c r="F275" s="23" t="n">
        <f aca="false">F272/F274</f>
        <v>68.3517872509692</v>
      </c>
      <c r="G275" s="23" t="n">
        <f aca="false">G272/G274</f>
        <v>76.828826900273</v>
      </c>
      <c r="H275" s="29" t="n">
        <f aca="false">H272/H274</f>
        <v>79.7434480946746</v>
      </c>
      <c r="I275" s="29" t="n">
        <f aca="false">I272/I274</f>
        <v>79.6995860995525</v>
      </c>
      <c r="J275" s="29" t="n">
        <f aca="false">J272/J274</f>
        <v>76.5692988465095</v>
      </c>
    </row>
    <row r="276" customFormat="false" ht="17.15" hidden="false" customHeight="false" outlineLevel="0" collapsed="false">
      <c r="A276" s="0" t="s">
        <v>530</v>
      </c>
      <c r="B276" s="0" t="s">
        <v>49</v>
      </c>
      <c r="D276" s="17" t="n">
        <f aca="false">D275/C275-1</f>
        <v>0.9721913624985</v>
      </c>
      <c r="E276" s="17" t="n">
        <f aca="false">E275/D275-1</f>
        <v>0.566491407158407</v>
      </c>
      <c r="F276" s="17" t="n">
        <f aca="false">F275/E275-1</f>
        <v>0.136336231183543</v>
      </c>
      <c r="G276" s="17" t="n">
        <f aca="false">G275/F275-1</f>
        <v>0.124020746058598</v>
      </c>
      <c r="H276" s="25" t="n">
        <f aca="false">H275/G275-1</f>
        <v>0.0379365573053054</v>
      </c>
      <c r="I276" s="25" t="n">
        <f aca="false">I275/H275-1</f>
        <v>-0.000550038857988877</v>
      </c>
      <c r="J276" s="25" t="n">
        <f aca="false">J275/I275-1</f>
        <v>-0.0392760791647402</v>
      </c>
    </row>
    <row r="277" customFormat="false" ht="17.15" hidden="false" customHeight="false" outlineLevel="0" collapsed="false">
      <c r="A277" s="3" t="s">
        <v>531</v>
      </c>
      <c r="B277" s="0" t="s">
        <v>49</v>
      </c>
      <c r="C277" s="17" t="n">
        <f aca="false">C272/C257</f>
        <v>0.160105992933804</v>
      </c>
      <c r="D277" s="17" t="n">
        <f aca="false">D272/D257</f>
        <v>0.186872140996471</v>
      </c>
      <c r="E277" s="17" t="n">
        <f aca="false">E272/E257</f>
        <v>0.204212209306515</v>
      </c>
      <c r="F277" s="17" t="n">
        <f aca="false">F272/F257</f>
        <v>0.2031218478083</v>
      </c>
      <c r="G277" s="17" t="n">
        <f aca="false">G272/G257</f>
        <v>0.200309640709341</v>
      </c>
      <c r="H277" s="25" t="n">
        <f aca="false">$G277+(fade_mB-$G277)*1/3</f>
        <v>0.188476439296381</v>
      </c>
      <c r="I277" s="25" t="n">
        <f aca="false">$G277+(fade_mB-$G277)*2/3</f>
        <v>0.176643237883421</v>
      </c>
      <c r="J277" s="25" t="n">
        <f aca="false">$G277+(fade_mB-$G277)*3/3</f>
        <v>0.164810036470462</v>
      </c>
    </row>
    <row r="280" customFormat="false" ht="17.15" hidden="false" customHeight="false" outlineLevel="0" collapsed="false">
      <c r="A280" s="1" t="s">
        <v>827</v>
      </c>
    </row>
    <row r="281" customFormat="false" ht="17.15" hidden="false" customHeight="false" outlineLevel="0" collapsed="false">
      <c r="A281" s="4" t="s">
        <v>18</v>
      </c>
      <c r="B281" s="4" t="s">
        <v>19</v>
      </c>
      <c r="C281" s="14" t="s">
        <v>382</v>
      </c>
      <c r="D281" s="14" t="s">
        <v>472</v>
      </c>
      <c r="E281" s="14" t="s">
        <v>473</v>
      </c>
      <c r="F281" s="14" t="s">
        <v>474</v>
      </c>
      <c r="G281" s="14" t="s">
        <v>475</v>
      </c>
      <c r="H281" s="14" t="s">
        <v>476</v>
      </c>
      <c r="I281" s="14" t="s">
        <v>477</v>
      </c>
      <c r="J281" s="14" t="s">
        <v>478</v>
      </c>
      <c r="K281" s="4" t="s">
        <v>436</v>
      </c>
    </row>
    <row r="282" customFormat="false" ht="17.15" hidden="false" customHeight="false" outlineLevel="0" collapsed="false">
      <c r="A282" s="5" t="s">
        <v>494</v>
      </c>
    </row>
    <row r="283" customFormat="false" ht="17.15" hidden="false" customHeight="false" outlineLevel="0" collapsed="false">
      <c r="A283" s="0" t="s">
        <v>495</v>
      </c>
      <c r="B283" s="0" t="s">
        <v>29</v>
      </c>
      <c r="D283" s="23" t="n">
        <f aca="false">itc_26*1</f>
        <v>781.872916666667</v>
      </c>
      <c r="E283" s="23" t="n">
        <f aca="false">itc_27*1*1</f>
        <v>1565.35</v>
      </c>
      <c r="F283" s="23" t="n">
        <f aca="false">itc_28*um28_B*1</f>
        <v>1587.41111111111</v>
      </c>
      <c r="G283" s="23" t="n">
        <f aca="false">itc_29*um29_B*1</f>
        <v>1921.33173611111</v>
      </c>
    </row>
    <row r="284" customFormat="false" ht="17.15" hidden="false" customHeight="false" outlineLevel="0" collapsed="false">
      <c r="A284" s="3" t="s">
        <v>496</v>
      </c>
      <c r="B284" s="0" t="s">
        <v>29</v>
      </c>
      <c r="D284" s="23" t="n">
        <f aca="false">itpg_gb*(1-vr26)+itpg_vr*vr26</f>
        <v>33.41403216</v>
      </c>
      <c r="E284" s="23" t="n">
        <f aca="false">itpg_vr</f>
        <v>37.586352</v>
      </c>
      <c r="F284" s="23" t="n">
        <f aca="false">itpg_vr</f>
        <v>37.586352</v>
      </c>
      <c r="G284" s="23" t="n">
        <f aca="false">itpg_vr</f>
        <v>37.586352</v>
      </c>
    </row>
    <row r="285" customFormat="false" ht="17.15" hidden="false" customHeight="false" outlineLevel="0" collapsed="false">
      <c r="A285" s="3" t="s">
        <v>497</v>
      </c>
      <c r="B285" s="0" t="s">
        <v>438</v>
      </c>
      <c r="D285" s="20" t="n">
        <f aca="false">D283/D284</f>
        <v>23.3995380420639</v>
      </c>
      <c r="E285" s="20" t="n">
        <f aca="false">E283/E284</f>
        <v>41.6467658260637</v>
      </c>
      <c r="F285" s="20" t="n">
        <f aca="false">F283/F284</f>
        <v>42.2337105529984</v>
      </c>
      <c r="G285" s="20" t="n">
        <f aca="false">G283/G284</f>
        <v>51.1178029756948</v>
      </c>
    </row>
    <row r="286" customFormat="false" ht="17.15" hidden="false" customHeight="false" outlineLevel="0" collapsed="false">
      <c r="A286" s="3" t="s">
        <v>442</v>
      </c>
      <c r="B286" s="0" t="s">
        <v>90</v>
      </c>
      <c r="D286" s="21" t="n">
        <f aca="false">vg_cmp26</f>
        <v>280</v>
      </c>
      <c r="E286" s="21" t="n">
        <f aca="false">(vg_cmp26+(vg_cmp27-vg_cmp26)*pgwf)</f>
        <v>420</v>
      </c>
      <c r="F286" s="21" t="n">
        <f aca="false">(vg_cmp26+(vg_cmp28-vg_cmp26)*pgwf)</f>
        <v>462</v>
      </c>
      <c r="G286" s="21" t="n">
        <f aca="false">(vg_cmp26+(vg_cmp29-vg_cmp26)*pgwf)</f>
        <v>504</v>
      </c>
    </row>
    <row r="287" customFormat="false" ht="17.15" hidden="false" customHeight="false" outlineLevel="0" collapsed="false">
      <c r="A287" s="3" t="s">
        <v>444</v>
      </c>
      <c r="B287" s="0" t="s">
        <v>90</v>
      </c>
      <c r="D287" s="21" t="n">
        <f aca="false">vg_sw26</f>
        <v>120</v>
      </c>
      <c r="E287" s="21" t="n">
        <f aca="false">(vg_sw26+(vg_sw27-vg_sw26)*pgwf)</f>
        <v>162</v>
      </c>
      <c r="F287" s="21" t="n">
        <f aca="false">(vg_sw26+(vg_sw28-vg_sw26)*pgwf)</f>
        <v>180</v>
      </c>
      <c r="G287" s="21" t="n">
        <f aca="false">(vg_sw26+(vg_sw29-vg_sw26)*pgwf)</f>
        <v>198</v>
      </c>
    </row>
    <row r="288" customFormat="false" ht="17.15" hidden="false" customHeight="false" outlineLevel="0" collapsed="false">
      <c r="A288" s="3" t="s">
        <v>498</v>
      </c>
      <c r="B288" s="0" t="s">
        <v>90</v>
      </c>
      <c r="D288" s="21" t="n">
        <f aca="false">vg_mid26*w_mid</f>
        <v>25</v>
      </c>
      <c r="E288" s="21" t="n">
        <f aca="false">(vg_mid26+(vg_mid27-vg_mid26)*pgwf)*w_mid</f>
        <v>50</v>
      </c>
      <c r="F288" s="21" t="n">
        <f aca="false">(vg_mid26+(vg_mid28-vg_mid26)*pgwf)*w_mid</f>
        <v>75</v>
      </c>
      <c r="G288" s="21" t="n">
        <f aca="false">(vg_mid26+(vg_mid29-vg_mid26)*pgwf)*w_mid</f>
        <v>87.5</v>
      </c>
    </row>
    <row r="289" customFormat="false" ht="17.15" hidden="false" customHeight="false" outlineLevel="0" collapsed="false">
      <c r="A289" s="3" t="s">
        <v>499</v>
      </c>
      <c r="B289" s="0" t="s">
        <v>90</v>
      </c>
      <c r="D289" s="21" t="n">
        <f aca="false">D286+D287+D288</f>
        <v>425</v>
      </c>
      <c r="E289" s="21" t="n">
        <f aca="false">E286+E287+E288</f>
        <v>632</v>
      </c>
      <c r="F289" s="21" t="n">
        <f aca="false">F286+F287+F288</f>
        <v>717</v>
      </c>
      <c r="G289" s="21" t="n">
        <f aca="false">G286+G287+G288</f>
        <v>789.5</v>
      </c>
    </row>
    <row r="290" customFormat="false" ht="17.15" hidden="false" customHeight="false" outlineLevel="0" collapsed="false">
      <c r="A290" s="3" t="s">
        <v>500</v>
      </c>
      <c r="B290" s="0" t="s">
        <v>29</v>
      </c>
      <c r="D290" s="23" t="n">
        <f aca="false">D285*D289/1000</f>
        <v>9.94480366787716</v>
      </c>
      <c r="E290" s="23" t="n">
        <f aca="false">E285*E289/1000</f>
        <v>26.3207560020722</v>
      </c>
      <c r="F290" s="23" t="n">
        <f aca="false">F285*F289/1000</f>
        <v>30.2815704664998</v>
      </c>
      <c r="G290" s="23" t="n">
        <f aca="false">G285*G289/1000</f>
        <v>40.3575054493111</v>
      </c>
    </row>
    <row r="291" customFormat="false" ht="17.15" hidden="false" customHeight="false" outlineLevel="0" collapsed="false">
      <c r="A291" s="3" t="s">
        <v>501</v>
      </c>
      <c r="B291" s="0" t="s">
        <v>184</v>
      </c>
      <c r="D291" s="22" t="n">
        <f aca="false">D290*fx</f>
        <v>318.233717372069</v>
      </c>
      <c r="E291" s="22" t="n">
        <f aca="false">E290*fx</f>
        <v>842.264192066312</v>
      </c>
      <c r="F291" s="22" t="n">
        <f aca="false">F290*fx</f>
        <v>969.010254927995</v>
      </c>
      <c r="G291" s="22" t="n">
        <f aca="false">G290*fx</f>
        <v>1291.44017437795</v>
      </c>
    </row>
    <row r="292" customFormat="false" ht="17.15" hidden="false" customHeight="false" outlineLevel="0" collapsed="false">
      <c r="A292" s="0" t="s">
        <v>502</v>
      </c>
      <c r="B292" s="0" t="s">
        <v>63</v>
      </c>
      <c r="D292" s="18" t="n">
        <f aca="false">1</f>
        <v>1</v>
      </c>
      <c r="E292" s="18" t="n">
        <f aca="false">pp_27</f>
        <v>1</v>
      </c>
      <c r="F292" s="18" t="n">
        <f aca="false">pp_28</f>
        <v>0.97</v>
      </c>
      <c r="G292" s="18" t="n">
        <f aca="false">pp_29</f>
        <v>0.94</v>
      </c>
    </row>
    <row r="293" customFormat="false" ht="17.15" hidden="false" customHeight="false" outlineLevel="0" collapsed="false">
      <c r="A293" s="3" t="s">
        <v>503</v>
      </c>
      <c r="B293" s="0" t="s">
        <v>49</v>
      </c>
      <c r="D293" s="17" t="n">
        <f aca="false">a26_ai/D291</f>
        <v>0.172842024579347</v>
      </c>
      <c r="K293" s="7" t="s">
        <v>504</v>
      </c>
    </row>
    <row r="294" customFormat="false" ht="17.15" hidden="false" customHeight="false" outlineLevel="0" collapsed="false">
      <c r="A294" s="3" t="s">
        <v>505</v>
      </c>
      <c r="B294" s="0" t="s">
        <v>63</v>
      </c>
      <c r="D294" s="18" t="n">
        <f aca="false">1</f>
        <v>1</v>
      </c>
      <c r="E294" s="18" t="n">
        <f aca="false">RHI_27</f>
        <v>1.08</v>
      </c>
      <c r="F294" s="18" t="n">
        <f aca="false">RHI_28</f>
        <v>1.08</v>
      </c>
      <c r="G294" s="18" t="n">
        <f aca="false">RHI_29</f>
        <v>1.05</v>
      </c>
    </row>
    <row r="295" customFormat="false" ht="15" hidden="false" customHeight="false" outlineLevel="0" collapsed="false">
      <c r="A295" s="3" t="s">
        <v>454</v>
      </c>
      <c r="B295" s="0" t="s">
        <v>49</v>
      </c>
      <c r="D295" s="17" t="n">
        <f aca="false">$D$293*D294</f>
        <v>0.172842024579347</v>
      </c>
      <c r="E295" s="17" t="n">
        <f aca="false">$D$293*E294</f>
        <v>0.186669386545694</v>
      </c>
      <c r="F295" s="17" t="n">
        <f aca="false">$D$293*F294</f>
        <v>0.186669386545694</v>
      </c>
      <c r="G295" s="17" t="n">
        <f aca="false">$D$293*G294</f>
        <v>0.181484125808314</v>
      </c>
    </row>
    <row r="296" customFormat="false" ht="17.15" hidden="false" customHeight="false" outlineLevel="0" collapsed="false">
      <c r="A296" s="0" t="s">
        <v>506</v>
      </c>
      <c r="B296" s="0" t="s">
        <v>184</v>
      </c>
      <c r="D296" s="22" t="n">
        <f aca="false">D291*D295*D292</f>
        <v>55.00416</v>
      </c>
      <c r="E296" s="22" t="n">
        <f aca="false">E291*E295*E292</f>
        <v>157.224940042423</v>
      </c>
      <c r="F296" s="22" t="n">
        <f aca="false">F291*F295*F292</f>
        <v>175.458013348579</v>
      </c>
      <c r="G296" s="22" t="n">
        <f aca="false">G291*G295*G292</f>
        <v>220.313337615876</v>
      </c>
    </row>
    <row r="297" customFormat="false" ht="17.15" hidden="false" customHeight="false" outlineLevel="0" collapsed="false">
      <c r="A297" s="5" t="s">
        <v>507</v>
      </c>
    </row>
    <row r="298" customFormat="false" ht="17.15" hidden="false" customHeight="false" outlineLevel="0" collapsed="false">
      <c r="A298" s="3" t="s">
        <v>508</v>
      </c>
      <c r="B298" s="0" t="s">
        <v>63</v>
      </c>
      <c r="D298" s="18" t="n">
        <f aca="false">1</f>
        <v>1</v>
      </c>
      <c r="E298" s="18" t="n">
        <f aca="false">cx_27</f>
        <v>1.45</v>
      </c>
      <c r="F298" s="18" t="n">
        <f aca="false">cx_28</f>
        <v>1.9</v>
      </c>
      <c r="G298" s="18" t="n">
        <f aca="false">cx_29</f>
        <v>2.3</v>
      </c>
      <c r="K298" s="7" t="s">
        <v>509</v>
      </c>
    </row>
    <row r="299" customFormat="false" ht="17.15" hidden="false" customHeight="false" outlineLevel="0" collapsed="false">
      <c r="A299" s="3" t="s">
        <v>510</v>
      </c>
      <c r="B299" s="0" t="s">
        <v>184</v>
      </c>
      <c r="D299" s="22" t="n">
        <f aca="false">a26_rev*D298*D292</f>
        <v>105.40752</v>
      </c>
      <c r="E299" s="22" t="n">
        <f aca="false">a26_rev*E298*E292</f>
        <v>152.840904</v>
      </c>
      <c r="F299" s="22" t="n">
        <f aca="false">a26_rev*F298*F292</f>
        <v>194.26605936</v>
      </c>
      <c r="G299" s="22" t="n">
        <f aca="false">a26_rev*G298*G292</f>
        <v>227.89105824</v>
      </c>
    </row>
    <row r="300" customFormat="false" ht="17.15" hidden="false" customHeight="false" outlineLevel="0" collapsed="false">
      <c r="A300" s="3" t="s">
        <v>511</v>
      </c>
      <c r="B300" s="0" t="s">
        <v>184</v>
      </c>
      <c r="C300" s="22" t="n">
        <f aca="false">a25_nai</f>
        <v>42.0028</v>
      </c>
      <c r="D300" s="22" t="n">
        <f aca="false">a26_nai</f>
        <v>50.40336</v>
      </c>
      <c r="E300" s="22" t="n">
        <f aca="false">D300*(1+g_nai27)</f>
        <v>52.923528</v>
      </c>
      <c r="F300" s="22" t="n">
        <f aca="false">E300*(1+g_nai28)</f>
        <v>54.51123384</v>
      </c>
      <c r="G300" s="22" t="n">
        <f aca="false">F300*(1+g_nai29)</f>
        <v>56.1465708552</v>
      </c>
    </row>
    <row r="301" customFormat="false" ht="17.15" hidden="false" customHeight="false" outlineLevel="0" collapsed="false">
      <c r="A301" s="0" t="s">
        <v>512</v>
      </c>
      <c r="B301" s="0" t="s">
        <v>184</v>
      </c>
      <c r="C301" s="22" t="n">
        <f aca="false">a25_ai</f>
        <v>18.0012</v>
      </c>
      <c r="D301" s="22" t="n">
        <f aca="false">D296</f>
        <v>55.00416</v>
      </c>
      <c r="E301" s="22" t="n">
        <f aca="false">MIN(E296,E299-E300)</f>
        <v>99.917376</v>
      </c>
      <c r="F301" s="22" t="n">
        <f aca="false">MIN(F296,F299-F300)</f>
        <v>139.75482552</v>
      </c>
      <c r="G301" s="22" t="n">
        <f aca="false">MIN(G296,G299-G300)</f>
        <v>171.7444873848</v>
      </c>
      <c r="K301" s="3" t="s">
        <v>513</v>
      </c>
    </row>
    <row r="302" customFormat="false" ht="15" hidden="false" customHeight="false" outlineLevel="0" collapsed="false">
      <c r="A302" s="3" t="s">
        <v>514</v>
      </c>
      <c r="E302" s="0" t="str">
        <f aca="false">IF(E296&gt;E299-E300+0.0001,"受限","未受限")</f>
        <v>受限</v>
      </c>
      <c r="F302" s="0" t="str">
        <f aca="false">IF(F296&gt;F299-F300+0.0001,"受限","未受限")</f>
        <v>受限</v>
      </c>
      <c r="G302" s="0" t="str">
        <f aca="false">IF(G296&gt;G299-G300+0.0001,"受限","未受限")</f>
        <v>受限</v>
      </c>
    </row>
    <row r="303" customFormat="false" ht="17.15" hidden="false" customHeight="false" outlineLevel="0" collapsed="false">
      <c r="A303" s="3" t="s">
        <v>387</v>
      </c>
      <c r="B303" s="0" t="s">
        <v>184</v>
      </c>
      <c r="C303" s="22" t="n">
        <f aca="false">C301+C300</f>
        <v>60.004</v>
      </c>
      <c r="D303" s="22" t="n">
        <f aca="false">D301+D300</f>
        <v>105.40752</v>
      </c>
      <c r="E303" s="22" t="n">
        <f aca="false">E301+E300</f>
        <v>152.840904</v>
      </c>
      <c r="F303" s="22" t="n">
        <f aca="false">F301+F300</f>
        <v>194.26605936</v>
      </c>
      <c r="G303" s="22" t="n">
        <f aca="false">G301+G300</f>
        <v>227.89105824</v>
      </c>
      <c r="H303" s="24" t="n">
        <f aca="false">G303*(1+H304)</f>
        <v>257.226313072804</v>
      </c>
      <c r="I303" s="24" t="n">
        <f aca="false">H303*(1+I304)</f>
        <v>278.92655569709</v>
      </c>
      <c r="J303" s="24" t="n">
        <f aca="false">I303*(1+J304)</f>
        <v>290.083617924974</v>
      </c>
      <c r="K303" s="7" t="s">
        <v>515</v>
      </c>
    </row>
    <row r="304" customFormat="false" ht="15" hidden="false" customHeight="false" outlineLevel="0" collapsed="false">
      <c r="A304" s="3" t="s">
        <v>516</v>
      </c>
      <c r="B304" s="0" t="s">
        <v>49</v>
      </c>
      <c r="D304" s="17" t="n">
        <f aca="false">D303/C303-1</f>
        <v>0.756674888340778</v>
      </c>
      <c r="E304" s="17" t="n">
        <f aca="false">E303/D303-1</f>
        <v>0.45</v>
      </c>
      <c r="F304" s="17" t="n">
        <f aca="false">F303/E303-1</f>
        <v>0.271034482758621</v>
      </c>
      <c r="G304" s="17" t="n">
        <f aca="false">G303/F303-1</f>
        <v>0.173087357569181</v>
      </c>
      <c r="H304" s="25" t="n">
        <f aca="false">$G304+(fade_gB-$G304)*1/3</f>
        <v>0.12872490504612</v>
      </c>
      <c r="I304" s="25" t="n">
        <f aca="false">$G304+(fade_gB-$G304)*2/3</f>
        <v>0.0843624525230602</v>
      </c>
      <c r="J304" s="25" t="n">
        <f aca="false">$G304+(fade_gB-$G304)*3/3</f>
        <v>0.04</v>
      </c>
    </row>
    <row r="305" customFormat="false" ht="17.15" hidden="false" customHeight="false" outlineLevel="0" collapsed="false">
      <c r="A305" s="0" t="s">
        <v>517</v>
      </c>
      <c r="B305" s="0" t="s">
        <v>49</v>
      </c>
      <c r="C305" s="17" t="n">
        <f aca="false">C301/C303</f>
        <v>0.3</v>
      </c>
      <c r="D305" s="17" t="n">
        <f aca="false">D301/D303</f>
        <v>0.521823869871903</v>
      </c>
      <c r="E305" s="17" t="n">
        <f aca="false">E301/E303</f>
        <v>0.653734526458964</v>
      </c>
      <c r="F305" s="17" t="n">
        <f aca="false">F301/F303</f>
        <v>0.71939908587437</v>
      </c>
      <c r="G305" s="17" t="n">
        <f aca="false">G301/G303</f>
        <v>0.753625388864226</v>
      </c>
    </row>
    <row r="306" customFormat="false" ht="17.15" hidden="false" customHeight="false" outlineLevel="0" collapsed="false">
      <c r="A306" s="3" t="s">
        <v>518</v>
      </c>
      <c r="B306" s="0" t="s">
        <v>49</v>
      </c>
      <c r="D306" s="17" t="n">
        <f aca="false">(D296+D300)/D299</f>
        <v>1</v>
      </c>
      <c r="E306" s="17" t="n">
        <f aca="false">(E296+E300)/E299</f>
        <v>1.37494913038739</v>
      </c>
      <c r="F306" s="17" t="n">
        <f aca="false">(F296+F300)/F299</f>
        <v>1.18378500056161</v>
      </c>
      <c r="G306" s="17" t="n">
        <f aca="false">(G296+G300)/G299</f>
        <v>1.21312310630427</v>
      </c>
      <c r="K306" s="3" t="s">
        <v>519</v>
      </c>
    </row>
    <row r="307" customFormat="false" ht="17.15" hidden="false" customHeight="false" outlineLevel="0" collapsed="false">
      <c r="A307" s="3" t="s">
        <v>458</v>
      </c>
      <c r="B307" s="0" t="s">
        <v>90</v>
      </c>
      <c r="D307" s="21" t="n">
        <f aca="false">D301/fx/D285*1000</f>
        <v>73.4578604462223</v>
      </c>
      <c r="E307" s="21" t="n">
        <f aca="false">E301/fx/E285*1000</f>
        <v>74.9738410190283</v>
      </c>
      <c r="F307" s="21" t="n">
        <f aca="false">F301/fx/F285*1000</f>
        <v>103.408822959553</v>
      </c>
      <c r="G307" s="21" t="n">
        <f aca="false">G301/fx/G285*1000</f>
        <v>104.993073222002</v>
      </c>
    </row>
    <row r="308" customFormat="false" ht="17.15" hidden="false" customHeight="false" outlineLevel="0" collapsed="false">
      <c r="A308" s="5" t="s">
        <v>520</v>
      </c>
    </row>
    <row r="309" customFormat="false" ht="17.15" hidden="false" customHeight="false" outlineLevel="0" collapsed="false">
      <c r="A309" s="3" t="s">
        <v>521</v>
      </c>
      <c r="B309" s="0" t="s">
        <v>49</v>
      </c>
      <c r="D309" s="17" t="n">
        <f aca="false">a26_gp/D303-d_ai*D305</f>
        <v>0.296655205435058</v>
      </c>
      <c r="K309" s="7" t="s">
        <v>522</v>
      </c>
    </row>
    <row r="310" customFormat="false" ht="17.15" hidden="false" customHeight="false" outlineLevel="0" collapsed="false">
      <c r="A310" s="0" t="s">
        <v>523</v>
      </c>
      <c r="B310" s="0" t="s">
        <v>49</v>
      </c>
      <c r="D310" s="17" t="n">
        <f aca="false">D309+d_ai</f>
        <v>0.396655205435058</v>
      </c>
      <c r="E310" s="17" t="n">
        <f aca="false">1-(1-$D$310)/E292+gmu_27</f>
        <v>0.406655205435058</v>
      </c>
      <c r="F310" s="17" t="n">
        <f aca="false">1-(1-$D$310)/F292+gmu_28</f>
        <v>0.392995057149545</v>
      </c>
      <c r="G310" s="17" t="n">
        <f aca="false">1-(1-$D$310)/G292+gmu_29</f>
        <v>0.378143835569211</v>
      </c>
      <c r="K310" s="7" t="s">
        <v>524</v>
      </c>
    </row>
    <row r="311" customFormat="false" ht="15" hidden="false" customHeight="false" outlineLevel="0" collapsed="false">
      <c r="A311" s="3" t="s">
        <v>391</v>
      </c>
      <c r="B311" s="0" t="s">
        <v>184</v>
      </c>
      <c r="C311" s="22" t="n">
        <f aca="false">a25_gp</f>
        <v>19.683</v>
      </c>
      <c r="D311" s="22" t="n">
        <f aca="false">a26_gp</f>
        <v>36.7701055</v>
      </c>
      <c r="E311" s="22" t="n">
        <f aca="false">E301*E310+E300*$D$309</f>
        <v>56.331961135</v>
      </c>
      <c r="F311" s="22" t="n">
        <f aca="false">F301*F310+F300*$D$309</f>
        <v>71.0939969154807</v>
      </c>
      <c r="G311" s="22" t="n">
        <f aca="false">G301*G310+G300*$D$309</f>
        <v>81.6002917090796</v>
      </c>
    </row>
    <row r="312" customFormat="false" ht="15" hidden="false" customHeight="false" outlineLevel="0" collapsed="false">
      <c r="A312" s="3" t="s">
        <v>394</v>
      </c>
      <c r="B312" s="0" t="s">
        <v>49</v>
      </c>
      <c r="C312" s="17" t="n">
        <f aca="false">C311/C303</f>
        <v>0.328028131457903</v>
      </c>
      <c r="D312" s="17" t="n">
        <f aca="false">D311/D303</f>
        <v>0.348837592422248</v>
      </c>
      <c r="E312" s="17" t="n">
        <f aca="false">E311/E303</f>
        <v>0.368566003345544</v>
      </c>
      <c r="F312" s="17" t="n">
        <f aca="false">F311/F303</f>
        <v>0.365962006691732</v>
      </c>
      <c r="G312" s="17" t="n">
        <f aca="false">G311/G303</f>
        <v>0.358067106007922</v>
      </c>
    </row>
    <row r="313" customFormat="false" ht="15" hidden="false" customHeight="false" outlineLevel="0" collapsed="false">
      <c r="A313" s="3" t="s">
        <v>525</v>
      </c>
      <c r="B313" s="0" t="s">
        <v>184</v>
      </c>
      <c r="C313" s="22" t="n">
        <f aca="false">a25_opx</f>
        <v>5.64</v>
      </c>
      <c r="D313" s="22" t="n">
        <f aca="false">a26_opx</f>
        <v>8.4779754</v>
      </c>
      <c r="E313" s="22" t="n">
        <f aca="false">D313*(1+MAX(0,phi*E304))</f>
        <v>10.767028758</v>
      </c>
      <c r="F313" s="22" t="n">
        <f aca="false">E313*(1+MAX(0,phi*F304))</f>
        <v>12.517970400163</v>
      </c>
      <c r="G313" s="22" t="n">
        <f aca="false">F313*(1+MAX(0,phi*G304))</f>
        <v>13.8179918513791</v>
      </c>
    </row>
    <row r="314" customFormat="false" ht="15" hidden="false" customHeight="false" outlineLevel="0" collapsed="false">
      <c r="A314" s="3" t="s">
        <v>396</v>
      </c>
      <c r="B314" s="0" t="s">
        <v>184</v>
      </c>
      <c r="C314" s="22" t="n">
        <f aca="false">C313</f>
        <v>5.64</v>
      </c>
      <c r="D314" s="22" t="n">
        <f aca="false">D313</f>
        <v>8.4779754</v>
      </c>
      <c r="E314" s="22" t="n">
        <f aca="false">E313+0*E303</f>
        <v>10.767028758</v>
      </c>
      <c r="F314" s="22" t="n">
        <f aca="false">F313+0*F303</f>
        <v>12.517970400163</v>
      </c>
      <c r="G314" s="22" t="n">
        <f aca="false">G313+0*G303</f>
        <v>13.8179918513791</v>
      </c>
    </row>
    <row r="315" customFormat="false" ht="15" hidden="false" customHeight="false" outlineLevel="0" collapsed="false">
      <c r="A315" s="3" t="s">
        <v>526</v>
      </c>
      <c r="B315" s="0" t="s">
        <v>184</v>
      </c>
      <c r="C315" s="22" t="n">
        <f aca="false">C311-C314</f>
        <v>14.043</v>
      </c>
      <c r="D315" s="22" t="n">
        <f aca="false">D311-D314</f>
        <v>28.2921301</v>
      </c>
      <c r="E315" s="22" t="n">
        <f aca="false">E311-E314</f>
        <v>45.564932377</v>
      </c>
      <c r="F315" s="22" t="n">
        <f aca="false">F311-F314</f>
        <v>58.5760265153177</v>
      </c>
      <c r="G315" s="22" t="n">
        <f aca="false">G311-G314</f>
        <v>67.7822998577005</v>
      </c>
    </row>
    <row r="316" customFormat="false" ht="15" hidden="false" customHeight="false" outlineLevel="0" collapsed="false">
      <c r="A316" s="3" t="s">
        <v>402</v>
      </c>
      <c r="B316" s="0" t="s">
        <v>49</v>
      </c>
      <c r="C316" s="17" t="n">
        <f aca="false">C315/C303</f>
        <v>0.23403439770682</v>
      </c>
      <c r="D316" s="17" t="n">
        <f aca="false">D315/D303</f>
        <v>0.268407131673338</v>
      </c>
      <c r="E316" s="17" t="n">
        <f aca="false">E315/E303</f>
        <v>0.298120013586154</v>
      </c>
      <c r="F316" s="17" t="n">
        <f aca="false">F315/F303</f>
        <v>0.301524757892828</v>
      </c>
      <c r="G316" s="17" t="n">
        <f aca="false">G315/G303</f>
        <v>0.297432906675595</v>
      </c>
    </row>
    <row r="317" customFormat="false" ht="17.15" hidden="false" customHeight="false" outlineLevel="0" collapsed="false">
      <c r="A317" s="3" t="s">
        <v>403</v>
      </c>
      <c r="B317" s="0" t="s">
        <v>184</v>
      </c>
      <c r="E317" s="22" t="n">
        <f aca="false">nop_f</f>
        <v>0</v>
      </c>
      <c r="F317" s="22" t="n">
        <f aca="false">nop_f</f>
        <v>0</v>
      </c>
      <c r="G317" s="22" t="n">
        <f aca="false">nop_f</f>
        <v>0</v>
      </c>
      <c r="K317" s="7" t="s">
        <v>527</v>
      </c>
    </row>
    <row r="318" customFormat="false" ht="15" hidden="false" customHeight="false" outlineLevel="0" collapsed="false">
      <c r="A318" s="3" t="s">
        <v>408</v>
      </c>
      <c r="B318" s="0" t="s">
        <v>184</v>
      </c>
      <c r="C318" s="22" t="n">
        <f aca="false">a25_ni</f>
        <v>9.607</v>
      </c>
      <c r="D318" s="22" t="n">
        <f aca="false">a26_ni</f>
        <v>19.6977289395284</v>
      </c>
      <c r="E318" s="22" t="n">
        <f aca="false">(E315+E317)*nir_f</f>
        <v>31.211978678245</v>
      </c>
      <c r="F318" s="22" t="n">
        <f aca="false">(F315+F317)*nir_f</f>
        <v>40.1245781629926</v>
      </c>
      <c r="G318" s="22" t="n">
        <f aca="false">(G315+G317)*nir_f</f>
        <v>46.4308754025249</v>
      </c>
      <c r="H318" s="24" t="n">
        <f aca="false">H303*H323</f>
        <v>49.0696162995125</v>
      </c>
      <c r="I318" s="24" t="n">
        <f aca="false">I303*I323</f>
        <v>49.5895726459613</v>
      </c>
      <c r="J318" s="24" t="n">
        <f aca="false">J303*J323</f>
        <v>47.8086916496984</v>
      </c>
    </row>
    <row r="319" customFormat="false" ht="17.15" hidden="false" customHeight="false" outlineLevel="0" collapsed="false">
      <c r="A319" s="3" t="s">
        <v>411</v>
      </c>
      <c r="B319" s="0" t="s">
        <v>49</v>
      </c>
      <c r="C319" s="17" t="n">
        <f aca="false">C318/C315</f>
        <v>0.684113081250445</v>
      </c>
      <c r="D319" s="17" t="n">
        <f aca="false">D318/D315</f>
        <v>0.696226437171953</v>
      </c>
      <c r="E319" s="17" t="n">
        <f aca="false">E318/E315</f>
        <v>0.685</v>
      </c>
      <c r="F319" s="17" t="n">
        <f aca="false">F318/F315</f>
        <v>0.685</v>
      </c>
      <c r="G319" s="17" t="n">
        <f aca="false">G318/G315</f>
        <v>0.685</v>
      </c>
    </row>
    <row r="320" customFormat="false" ht="17.15" hidden="false" customHeight="false" outlineLevel="0" collapsed="false">
      <c r="A320" s="3" t="s">
        <v>528</v>
      </c>
      <c r="B320" s="3" t="s">
        <v>214</v>
      </c>
      <c r="C320" s="27" t="n">
        <f aca="false">a25_sh</f>
        <v>0.493425783256292</v>
      </c>
      <c r="D320" s="27" t="n">
        <f aca="false">a26_sh</f>
        <v>0.512980850061958</v>
      </c>
      <c r="E320" s="27" t="n">
        <f aca="false">sh_h2*(1+sh_g)</f>
        <v>0.51889356</v>
      </c>
      <c r="F320" s="27" t="n">
        <f aca="false">E320*(1+sh_g)</f>
        <v>0.5240824956</v>
      </c>
      <c r="G320" s="27" t="n">
        <f aca="false">F320*(1+sh_g)</f>
        <v>0.529323320556</v>
      </c>
      <c r="H320" s="28" t="n">
        <f aca="false">G320*(1+sh_g)</f>
        <v>0.53461655376156</v>
      </c>
      <c r="I320" s="28" t="n">
        <f aca="false">H320*(1+sh_g)</f>
        <v>0.539962719299176</v>
      </c>
      <c r="J320" s="28" t="n">
        <f aca="false">I320*(1+sh_g)</f>
        <v>0.545362346492167</v>
      </c>
      <c r="K320" s="7" t="s">
        <v>529</v>
      </c>
    </row>
    <row r="321" customFormat="false" ht="15" hidden="false" customHeight="false" outlineLevel="0" collapsed="false">
      <c r="A321" s="0" t="s">
        <v>414</v>
      </c>
      <c r="B321" s="0" t="s">
        <v>252</v>
      </c>
      <c r="C321" s="23" t="n">
        <f aca="false">C318/C320</f>
        <v>19.47</v>
      </c>
      <c r="D321" s="23" t="n">
        <f aca="false">D318/D320</f>
        <v>38.3985658278458</v>
      </c>
      <c r="E321" s="23" t="n">
        <f aca="false">E318/E320</f>
        <v>60.1510234165269</v>
      </c>
      <c r="F321" s="23" t="n">
        <f aca="false">F318/F320</f>
        <v>76.5615690275167</v>
      </c>
      <c r="G321" s="23" t="n">
        <f aca="false">G318/G320</f>
        <v>87.7174188240072</v>
      </c>
      <c r="H321" s="29" t="n">
        <f aca="false">H318/H320</f>
        <v>91.7846930744266</v>
      </c>
      <c r="I321" s="29" t="n">
        <f aca="false">I318/I320</f>
        <v>91.8388823404776</v>
      </c>
      <c r="J321" s="29" t="n">
        <f aca="false">J318/J320</f>
        <v>87.664086010355</v>
      </c>
    </row>
    <row r="322" customFormat="false" ht="17.15" hidden="false" customHeight="false" outlineLevel="0" collapsed="false">
      <c r="A322" s="0" t="s">
        <v>530</v>
      </c>
      <c r="B322" s="0" t="s">
        <v>49</v>
      </c>
      <c r="D322" s="17" t="n">
        <f aca="false">D321/C321-1</f>
        <v>0.9721913624985</v>
      </c>
      <c r="E322" s="17" t="n">
        <f aca="false">E321/D321-1</f>
        <v>0.566491407158407</v>
      </c>
      <c r="F322" s="17" t="n">
        <f aca="false">F321/E321-1</f>
        <v>0.272822384040783</v>
      </c>
      <c r="G322" s="17" t="n">
        <f aca="false">G321/F321-1</f>
        <v>0.145710830357735</v>
      </c>
      <c r="H322" s="25" t="n">
        <f aca="false">H321/G321-1</f>
        <v>0.0463679199063061</v>
      </c>
      <c r="I322" s="25" t="n">
        <f aca="false">I321/H321-1</f>
        <v>0.000590395459589166</v>
      </c>
      <c r="J322" s="25" t="n">
        <f aca="false">J321/I321-1</f>
        <v>-0.0454578303190271</v>
      </c>
    </row>
    <row r="323" customFormat="false" ht="17.15" hidden="false" customHeight="false" outlineLevel="0" collapsed="false">
      <c r="A323" s="3" t="s">
        <v>531</v>
      </c>
      <c r="B323" s="0" t="s">
        <v>49</v>
      </c>
      <c r="C323" s="17" t="n">
        <f aca="false">C318/C303</f>
        <v>0.160105992933804</v>
      </c>
      <c r="D323" s="17" t="n">
        <f aca="false">D318/D303</f>
        <v>0.186872140996471</v>
      </c>
      <c r="E323" s="17" t="n">
        <f aca="false">E318/E303</f>
        <v>0.204212209306515</v>
      </c>
      <c r="F323" s="17" t="n">
        <f aca="false">F318/F303</f>
        <v>0.206544459156587</v>
      </c>
      <c r="G323" s="17" t="n">
        <f aca="false">G318/G303</f>
        <v>0.203741541072783</v>
      </c>
      <c r="H323" s="25" t="n">
        <f aca="false">$G323+(fade_mB-$G323)*1/3</f>
        <v>0.190764372872009</v>
      </c>
      <c r="I323" s="25" t="n">
        <f aca="false">$G323+(fade_mB-$G323)*2/3</f>
        <v>0.177787204671235</v>
      </c>
      <c r="J323" s="25" t="n">
        <f aca="false">$G323+(fade_mB-$G323)*3/3</f>
        <v>0.164810036470462</v>
      </c>
    </row>
    <row r="326" customFormat="false" ht="17.15" hidden="false" customHeight="false" outlineLevel="0" collapsed="false">
      <c r="A326" s="1" t="s">
        <v>828</v>
      </c>
    </row>
    <row r="327" customFormat="false" ht="17.15" hidden="false" customHeight="false" outlineLevel="0" collapsed="false">
      <c r="A327" s="4" t="s">
        <v>18</v>
      </c>
      <c r="B327" s="4" t="s">
        <v>19</v>
      </c>
      <c r="C327" s="14" t="s">
        <v>382</v>
      </c>
      <c r="D327" s="14" t="s">
        <v>472</v>
      </c>
      <c r="E327" s="14" t="s">
        <v>473</v>
      </c>
      <c r="F327" s="14" t="s">
        <v>474</v>
      </c>
      <c r="G327" s="14" t="s">
        <v>475</v>
      </c>
      <c r="H327" s="14" t="s">
        <v>476</v>
      </c>
      <c r="I327" s="14" t="s">
        <v>477</v>
      </c>
      <c r="J327" s="14" t="s">
        <v>478</v>
      </c>
      <c r="K327" s="4" t="s">
        <v>436</v>
      </c>
    </row>
    <row r="328" customFormat="false" ht="17.15" hidden="false" customHeight="false" outlineLevel="0" collapsed="false">
      <c r="A328" s="5" t="s">
        <v>494</v>
      </c>
    </row>
    <row r="329" customFormat="false" ht="17.15" hidden="false" customHeight="false" outlineLevel="0" collapsed="false">
      <c r="A329" s="0" t="s">
        <v>495</v>
      </c>
      <c r="B329" s="0" t="s">
        <v>29</v>
      </c>
      <c r="D329" s="23" t="n">
        <f aca="false">itc_26*1</f>
        <v>781.872916666667</v>
      </c>
      <c r="E329" s="23" t="n">
        <f aca="false">itc_27*1*1</f>
        <v>1565.35</v>
      </c>
      <c r="F329" s="23" t="n">
        <f aca="false">itc_28*um28_B*1</f>
        <v>1587.41111111111</v>
      </c>
      <c r="G329" s="23" t="n">
        <f aca="false">itc_29*um29_B*1</f>
        <v>1921.33173611111</v>
      </c>
    </row>
    <row r="330" customFormat="false" ht="17.15" hidden="false" customHeight="false" outlineLevel="0" collapsed="false">
      <c r="A330" s="3" t="s">
        <v>496</v>
      </c>
      <c r="B330" s="0" t="s">
        <v>29</v>
      </c>
      <c r="D330" s="23" t="n">
        <f aca="false">itpg_gb*(1-vr26)+itpg_vr*vr26</f>
        <v>33.41403216</v>
      </c>
      <c r="E330" s="23" t="n">
        <f aca="false">itpg_vr</f>
        <v>37.586352</v>
      </c>
      <c r="F330" s="23" t="n">
        <f aca="false">itpg_vr</f>
        <v>37.586352</v>
      </c>
      <c r="G330" s="23" t="n">
        <f aca="false">itpg_vr</f>
        <v>37.586352</v>
      </c>
    </row>
    <row r="331" customFormat="false" ht="17.15" hidden="false" customHeight="false" outlineLevel="0" collapsed="false">
      <c r="A331" s="3" t="s">
        <v>497</v>
      </c>
      <c r="B331" s="0" t="s">
        <v>438</v>
      </c>
      <c r="D331" s="20" t="n">
        <f aca="false">D329/D330</f>
        <v>23.3995380420639</v>
      </c>
      <c r="E331" s="20" t="n">
        <f aca="false">E329/E330</f>
        <v>41.6467658260637</v>
      </c>
      <c r="F331" s="20" t="n">
        <f aca="false">F329/F330</f>
        <v>42.2337105529984</v>
      </c>
      <c r="G331" s="20" t="n">
        <f aca="false">G329/G330</f>
        <v>51.1178029756948</v>
      </c>
    </row>
    <row r="332" customFormat="false" ht="17.15" hidden="false" customHeight="false" outlineLevel="0" collapsed="false">
      <c r="A332" s="3" t="s">
        <v>442</v>
      </c>
      <c r="B332" s="0" t="s">
        <v>90</v>
      </c>
      <c r="D332" s="21" t="n">
        <f aca="false">vg_cmp26</f>
        <v>280</v>
      </c>
      <c r="E332" s="21" t="n">
        <f aca="false">(vg_cmp26+(vg_cmp27-vg_cmp26)*pgwf)</f>
        <v>420</v>
      </c>
      <c r="F332" s="21" t="n">
        <f aca="false">(vg_cmp26+(vg_cmp28-vg_cmp26)*pgwf)</f>
        <v>462</v>
      </c>
      <c r="G332" s="21" t="n">
        <f aca="false">(vg_cmp26+(vg_cmp29-vg_cmp26)*pgwf)</f>
        <v>504</v>
      </c>
    </row>
    <row r="333" customFormat="false" ht="17.15" hidden="false" customHeight="false" outlineLevel="0" collapsed="false">
      <c r="A333" s="3" t="s">
        <v>444</v>
      </c>
      <c r="B333" s="0" t="s">
        <v>90</v>
      </c>
      <c r="D333" s="21" t="n">
        <f aca="false">vg_sw26</f>
        <v>120</v>
      </c>
      <c r="E333" s="21" t="n">
        <f aca="false">(vg_sw26+(vg_sw27-vg_sw26)*pgwf)</f>
        <v>162</v>
      </c>
      <c r="F333" s="21" t="n">
        <f aca="false">(vg_sw26+(vg_sw28-vg_sw26)*pgwf)</f>
        <v>180</v>
      </c>
      <c r="G333" s="21" t="n">
        <f aca="false">(vg_sw26+(vg_sw29-vg_sw26)*pgwf)</f>
        <v>198</v>
      </c>
    </row>
    <row r="334" customFormat="false" ht="17.15" hidden="false" customHeight="false" outlineLevel="0" collapsed="false">
      <c r="A334" s="3" t="s">
        <v>498</v>
      </c>
      <c r="B334" s="0" t="s">
        <v>90</v>
      </c>
      <c r="D334" s="21" t="n">
        <f aca="false">vg_mid26*w_mid</f>
        <v>25</v>
      </c>
      <c r="E334" s="21" t="n">
        <f aca="false">(vg_mid26+(vg_mid27-vg_mid26)*pgwf)*w_mid</f>
        <v>50</v>
      </c>
      <c r="F334" s="21" t="n">
        <f aca="false">(vg_mid26+(vg_mid28-vg_mid26)*pgwf)*w_mid</f>
        <v>75</v>
      </c>
      <c r="G334" s="21" t="n">
        <f aca="false">(vg_mid26+(vg_mid29-vg_mid26)*pgwf)*w_mid</f>
        <v>87.5</v>
      </c>
    </row>
    <row r="335" customFormat="false" ht="17.15" hidden="false" customHeight="false" outlineLevel="0" collapsed="false">
      <c r="A335" s="3" t="s">
        <v>499</v>
      </c>
      <c r="B335" s="0" t="s">
        <v>90</v>
      </c>
      <c r="D335" s="21" t="n">
        <f aca="false">D332+D333+D334</f>
        <v>425</v>
      </c>
      <c r="E335" s="21" t="n">
        <f aca="false">E332+E333+E334</f>
        <v>632</v>
      </c>
      <c r="F335" s="21" t="n">
        <f aca="false">F332+F333+F334</f>
        <v>717</v>
      </c>
      <c r="G335" s="21" t="n">
        <f aca="false">G332+G333+G334</f>
        <v>789.5</v>
      </c>
    </row>
    <row r="336" customFormat="false" ht="17.15" hidden="false" customHeight="false" outlineLevel="0" collapsed="false">
      <c r="A336" s="3" t="s">
        <v>500</v>
      </c>
      <c r="B336" s="0" t="s">
        <v>29</v>
      </c>
      <c r="D336" s="23" t="n">
        <f aca="false">D331*D335/1000</f>
        <v>9.94480366787716</v>
      </c>
      <c r="E336" s="23" t="n">
        <f aca="false">E331*E335/1000</f>
        <v>26.3207560020722</v>
      </c>
      <c r="F336" s="23" t="n">
        <f aca="false">F331*F335/1000</f>
        <v>30.2815704664998</v>
      </c>
      <c r="G336" s="23" t="n">
        <f aca="false">G331*G335/1000</f>
        <v>40.3575054493111</v>
      </c>
    </row>
    <row r="337" customFormat="false" ht="17.15" hidden="false" customHeight="false" outlineLevel="0" collapsed="false">
      <c r="A337" s="3" t="s">
        <v>501</v>
      </c>
      <c r="B337" s="0" t="s">
        <v>184</v>
      </c>
      <c r="D337" s="22" t="n">
        <f aca="false">D336*fx</f>
        <v>318.233717372069</v>
      </c>
      <c r="E337" s="22" t="n">
        <f aca="false">E336*fx</f>
        <v>842.264192066312</v>
      </c>
      <c r="F337" s="22" t="n">
        <f aca="false">F336*fx</f>
        <v>969.010254927995</v>
      </c>
      <c r="G337" s="22" t="n">
        <f aca="false">G336*fx</f>
        <v>1291.44017437795</v>
      </c>
    </row>
    <row r="338" customFormat="false" ht="17.15" hidden="false" customHeight="false" outlineLevel="0" collapsed="false">
      <c r="A338" s="0" t="s">
        <v>502</v>
      </c>
      <c r="B338" s="0" t="s">
        <v>63</v>
      </c>
      <c r="D338" s="18" t="n">
        <f aca="false">1</f>
        <v>1</v>
      </c>
      <c r="E338" s="18" t="n">
        <f aca="false">PPLO_27</f>
        <v>0.96</v>
      </c>
      <c r="F338" s="18" t="n">
        <f aca="false">PPLO_28</f>
        <v>0.92</v>
      </c>
      <c r="G338" s="18" t="n">
        <f aca="false">PPLO_29</f>
        <v>0.88</v>
      </c>
    </row>
    <row r="339" customFormat="false" ht="17.15" hidden="false" customHeight="false" outlineLevel="0" collapsed="false">
      <c r="A339" s="3" t="s">
        <v>503</v>
      </c>
      <c r="B339" s="0" t="s">
        <v>49</v>
      </c>
      <c r="D339" s="17" t="n">
        <f aca="false">a26_ai/D337</f>
        <v>0.172842024579347</v>
      </c>
      <c r="K339" s="7" t="s">
        <v>504</v>
      </c>
    </row>
    <row r="340" customFormat="false" ht="17.15" hidden="false" customHeight="false" outlineLevel="0" collapsed="false">
      <c r="A340" s="3" t="s">
        <v>505</v>
      </c>
      <c r="B340" s="0" t="s">
        <v>63</v>
      </c>
      <c r="D340" s="18" t="n">
        <f aca="false">1</f>
        <v>1</v>
      </c>
      <c r="E340" s="18" t="n">
        <f aca="false">rel_27</f>
        <v>1</v>
      </c>
      <c r="F340" s="18" t="n">
        <f aca="false">rel_28</f>
        <v>0.95</v>
      </c>
      <c r="G340" s="18" t="n">
        <f aca="false">rel_29</f>
        <v>0.9</v>
      </c>
    </row>
    <row r="341" customFormat="false" ht="15" hidden="false" customHeight="false" outlineLevel="0" collapsed="false">
      <c r="A341" s="3" t="s">
        <v>454</v>
      </c>
      <c r="B341" s="0" t="s">
        <v>49</v>
      </c>
      <c r="D341" s="17" t="n">
        <f aca="false">$D$339*D340</f>
        <v>0.172842024579347</v>
      </c>
      <c r="E341" s="17" t="n">
        <f aca="false">$D$339*E340</f>
        <v>0.172842024579347</v>
      </c>
      <c r="F341" s="17" t="n">
        <f aca="false">$D$339*F340</f>
        <v>0.164199923350379</v>
      </c>
      <c r="G341" s="17" t="n">
        <f aca="false">$D$339*G340</f>
        <v>0.155557822121412</v>
      </c>
    </row>
    <row r="342" customFormat="false" ht="17.15" hidden="false" customHeight="false" outlineLevel="0" collapsed="false">
      <c r="A342" s="0" t="s">
        <v>506</v>
      </c>
      <c r="B342" s="0" t="s">
        <v>184</v>
      </c>
      <c r="D342" s="22" t="n">
        <f aca="false">D337*D341*D338</f>
        <v>55.00416</v>
      </c>
      <c r="E342" s="22" t="n">
        <f aca="false">E337*E341*E338</f>
        <v>139.755502259932</v>
      </c>
      <c r="F342" s="22" t="n">
        <f aca="false">F337*F341*F338</f>
        <v>146.382496818116</v>
      </c>
      <c r="G342" s="22" t="n">
        <f aca="false">G337*G341*G338</f>
        <v>176.786386415171</v>
      </c>
    </row>
    <row r="343" customFormat="false" ht="17.15" hidden="false" customHeight="false" outlineLevel="0" collapsed="false">
      <c r="A343" s="5" t="s">
        <v>507</v>
      </c>
    </row>
    <row r="344" customFormat="false" ht="17.15" hidden="false" customHeight="false" outlineLevel="0" collapsed="false">
      <c r="A344" s="3" t="s">
        <v>508</v>
      </c>
      <c r="B344" s="0" t="s">
        <v>63</v>
      </c>
      <c r="D344" s="18" t="n">
        <f aca="false">1</f>
        <v>1</v>
      </c>
      <c r="E344" s="18" t="n">
        <f aca="false">cx_27</f>
        <v>1.45</v>
      </c>
      <c r="F344" s="18" t="n">
        <f aca="false">cx_28</f>
        <v>1.9</v>
      </c>
      <c r="G344" s="18" t="n">
        <f aca="false">cx_29</f>
        <v>2.3</v>
      </c>
      <c r="K344" s="7" t="s">
        <v>509</v>
      </c>
    </row>
    <row r="345" customFormat="false" ht="17.15" hidden="false" customHeight="false" outlineLevel="0" collapsed="false">
      <c r="A345" s="3" t="s">
        <v>510</v>
      </c>
      <c r="B345" s="0" t="s">
        <v>184</v>
      </c>
      <c r="D345" s="22" t="n">
        <f aca="false">a26_rev*D344*D338</f>
        <v>105.40752</v>
      </c>
      <c r="E345" s="22" t="n">
        <f aca="false">a26_rev*E344*E338</f>
        <v>146.72726784</v>
      </c>
      <c r="F345" s="22" t="n">
        <f aca="false">a26_rev*F344*F338</f>
        <v>184.25234496</v>
      </c>
      <c r="G345" s="22" t="n">
        <f aca="false">a26_rev*G344*G338</f>
        <v>213.34482048</v>
      </c>
    </row>
    <row r="346" customFormat="false" ht="17.15" hidden="false" customHeight="false" outlineLevel="0" collapsed="false">
      <c r="A346" s="3" t="s">
        <v>511</v>
      </c>
      <c r="B346" s="0" t="s">
        <v>184</v>
      </c>
      <c r="C346" s="22" t="n">
        <f aca="false">a25_nai</f>
        <v>42.0028</v>
      </c>
      <c r="D346" s="22" t="n">
        <f aca="false">a26_nai</f>
        <v>50.40336</v>
      </c>
      <c r="E346" s="22" t="n">
        <f aca="false">D346*(1+g_nai27)</f>
        <v>52.923528</v>
      </c>
      <c r="F346" s="22" t="n">
        <f aca="false">E346*(1+g_nai28)</f>
        <v>54.51123384</v>
      </c>
      <c r="G346" s="22" t="n">
        <f aca="false">F346*(1+g_nai29)</f>
        <v>56.1465708552</v>
      </c>
    </row>
    <row r="347" customFormat="false" ht="17.15" hidden="false" customHeight="false" outlineLevel="0" collapsed="false">
      <c r="A347" s="0" t="s">
        <v>512</v>
      </c>
      <c r="B347" s="0" t="s">
        <v>184</v>
      </c>
      <c r="C347" s="22" t="n">
        <f aca="false">a25_ai</f>
        <v>18.0012</v>
      </c>
      <c r="D347" s="22" t="n">
        <f aca="false">D342</f>
        <v>55.00416</v>
      </c>
      <c r="E347" s="22" t="n">
        <f aca="false">MIN(E342,E345-E346)</f>
        <v>93.80373984</v>
      </c>
      <c r="F347" s="22" t="n">
        <f aca="false">MIN(F342,F345-F346)</f>
        <v>129.74111112</v>
      </c>
      <c r="G347" s="22" t="n">
        <f aca="false">MIN(G342,G345-G346)</f>
        <v>157.1982496248</v>
      </c>
      <c r="K347" s="3" t="s">
        <v>513</v>
      </c>
    </row>
    <row r="348" customFormat="false" ht="15" hidden="false" customHeight="false" outlineLevel="0" collapsed="false">
      <c r="A348" s="3" t="s">
        <v>514</v>
      </c>
      <c r="E348" s="0" t="str">
        <f aca="false">IF(E342&gt;E345-E346+0.0001,"受限","未受限")</f>
        <v>受限</v>
      </c>
      <c r="F348" s="0" t="str">
        <f aca="false">IF(F342&gt;F345-F346+0.0001,"受限","未受限")</f>
        <v>受限</v>
      </c>
      <c r="G348" s="0" t="str">
        <f aca="false">IF(G342&gt;G345-G346+0.0001,"受限","未受限")</f>
        <v>受限</v>
      </c>
    </row>
    <row r="349" customFormat="false" ht="17.15" hidden="false" customHeight="false" outlineLevel="0" collapsed="false">
      <c r="A349" s="3" t="s">
        <v>387</v>
      </c>
      <c r="B349" s="0" t="s">
        <v>184</v>
      </c>
      <c r="C349" s="22" t="n">
        <f aca="false">C347+C346</f>
        <v>60.004</v>
      </c>
      <c r="D349" s="22" t="n">
        <f aca="false">D347+D346</f>
        <v>105.40752</v>
      </c>
      <c r="E349" s="22" t="n">
        <f aca="false">E347+E346</f>
        <v>146.72726784</v>
      </c>
      <c r="F349" s="22" t="n">
        <f aca="false">F347+F346</f>
        <v>184.25234496</v>
      </c>
      <c r="G349" s="22" t="n">
        <f aca="false">G347+G346</f>
        <v>213.34482048</v>
      </c>
      <c r="H349" s="24" t="n">
        <f aca="false">G349*(1+H350)</f>
        <v>238.646767610611</v>
      </c>
      <c r="I349" s="24" t="n">
        <f aca="false">H349*(1+I350)</f>
        <v>257.571037603592</v>
      </c>
      <c r="J349" s="24" t="n">
        <f aca="false">I349*(1+J350)</f>
        <v>267.873879107736</v>
      </c>
      <c r="K349" s="7" t="s">
        <v>515</v>
      </c>
    </row>
    <row r="350" customFormat="false" ht="15" hidden="false" customHeight="false" outlineLevel="0" collapsed="false">
      <c r="A350" s="3" t="s">
        <v>516</v>
      </c>
      <c r="B350" s="0" t="s">
        <v>49</v>
      </c>
      <c r="D350" s="17" t="n">
        <f aca="false">D349/C349-1</f>
        <v>0.756674888340778</v>
      </c>
      <c r="E350" s="17" t="n">
        <f aca="false">E349/D349-1</f>
        <v>0.392</v>
      </c>
      <c r="F350" s="17" t="n">
        <f aca="false">F349/E349-1</f>
        <v>0.255747126436782</v>
      </c>
      <c r="G350" s="17" t="n">
        <f aca="false">G349/F349-1</f>
        <v>0.157894736842105</v>
      </c>
      <c r="H350" s="25" t="n">
        <f aca="false">$G350+(fade_gB-$G350)*1/3</f>
        <v>0.11859649122807</v>
      </c>
      <c r="I350" s="25" t="n">
        <f aca="false">$G350+(fade_gB-$G350)*2/3</f>
        <v>0.0792982456140351</v>
      </c>
      <c r="J350" s="25" t="n">
        <f aca="false">$G350+(fade_gB-$G350)*3/3</f>
        <v>0.04</v>
      </c>
    </row>
    <row r="351" customFormat="false" ht="17.15" hidden="false" customHeight="false" outlineLevel="0" collapsed="false">
      <c r="A351" s="0" t="s">
        <v>517</v>
      </c>
      <c r="B351" s="0" t="s">
        <v>49</v>
      </c>
      <c r="C351" s="17" t="n">
        <f aca="false">C347/C349</f>
        <v>0.3</v>
      </c>
      <c r="D351" s="17" t="n">
        <f aca="false">D347/D349</f>
        <v>0.521823869871903</v>
      </c>
      <c r="E351" s="17" t="n">
        <f aca="false">E347/E349</f>
        <v>0.639306798394754</v>
      </c>
      <c r="F351" s="17" t="n">
        <f aca="false">F347/F349</f>
        <v>0.704149036193629</v>
      </c>
      <c r="G351" s="17" t="n">
        <f aca="false">G347/G349</f>
        <v>0.736827119923151</v>
      </c>
    </row>
    <row r="352" customFormat="false" ht="17.15" hidden="false" customHeight="false" outlineLevel="0" collapsed="false">
      <c r="A352" s="3" t="s">
        <v>518</v>
      </c>
      <c r="B352" s="0" t="s">
        <v>49</v>
      </c>
      <c r="D352" s="17" t="n">
        <f aca="false">(D342+D346)/D345</f>
        <v>1</v>
      </c>
      <c r="E352" s="17" t="n">
        <f aca="false">(E342+E346)/E345</f>
        <v>1.31317806905558</v>
      </c>
      <c r="F352" s="17" t="n">
        <f aca="false">(F342+F346)/F345</f>
        <v>1.09031844724542</v>
      </c>
      <c r="G352" s="17" t="n">
        <f aca="false">(G342+G346)/G345</f>
        <v>1.09181444736413</v>
      </c>
      <c r="K352" s="3" t="s">
        <v>519</v>
      </c>
    </row>
    <row r="353" customFormat="false" ht="17.15" hidden="false" customHeight="false" outlineLevel="0" collapsed="false">
      <c r="A353" s="3" t="s">
        <v>458</v>
      </c>
      <c r="B353" s="0" t="s">
        <v>90</v>
      </c>
      <c r="D353" s="21" t="n">
        <f aca="false">D347/fx/D331*1000</f>
        <v>73.4578604462223</v>
      </c>
      <c r="E353" s="21" t="n">
        <f aca="false">E347/fx/E331*1000</f>
        <v>70.3864228555647</v>
      </c>
      <c r="F353" s="21" t="n">
        <f aca="false">F347/fx/F331*1000</f>
        <v>95.999372762007</v>
      </c>
      <c r="G353" s="21" t="n">
        <f aca="false">G347/fx/G331*1000</f>
        <v>96.100478009799</v>
      </c>
    </row>
    <row r="354" customFormat="false" ht="17.15" hidden="false" customHeight="false" outlineLevel="0" collapsed="false">
      <c r="A354" s="5" t="s">
        <v>520</v>
      </c>
    </row>
    <row r="355" customFormat="false" ht="17.15" hidden="false" customHeight="false" outlineLevel="0" collapsed="false">
      <c r="A355" s="3" t="s">
        <v>521</v>
      </c>
      <c r="B355" s="0" t="s">
        <v>49</v>
      </c>
      <c r="D355" s="17" t="n">
        <f aca="false">a26_gp/D349-d_ai*D351</f>
        <v>0.296655205435058</v>
      </c>
      <c r="K355" s="7" t="s">
        <v>522</v>
      </c>
    </row>
    <row r="356" customFormat="false" ht="17.15" hidden="false" customHeight="false" outlineLevel="0" collapsed="false">
      <c r="A356" s="0" t="s">
        <v>523</v>
      </c>
      <c r="B356" s="0" t="s">
        <v>49</v>
      </c>
      <c r="D356" s="17" t="n">
        <f aca="false">D355+d_ai</f>
        <v>0.396655205435058</v>
      </c>
      <c r="E356" s="17" t="n">
        <f aca="false">1-(1-$D$356)/E338+gmu_27</f>
        <v>0.381515838994852</v>
      </c>
      <c r="F356" s="17" t="n">
        <f aca="false">1-(1-$D$356)/F338+gmu_28</f>
        <v>0.359190440690281</v>
      </c>
      <c r="G356" s="17" t="n">
        <f aca="false">1-(1-$D$356)/G338+gmu_29</f>
        <v>0.334380915267112</v>
      </c>
      <c r="K356" s="7" t="s">
        <v>524</v>
      </c>
    </row>
    <row r="357" customFormat="false" ht="15" hidden="false" customHeight="false" outlineLevel="0" collapsed="false">
      <c r="A357" s="3" t="s">
        <v>391</v>
      </c>
      <c r="B357" s="0" t="s">
        <v>184</v>
      </c>
      <c r="C357" s="22" t="n">
        <f aca="false">a25_gp</f>
        <v>19.683</v>
      </c>
      <c r="D357" s="22" t="n">
        <f aca="false">a26_gp</f>
        <v>36.7701055</v>
      </c>
      <c r="E357" s="22" t="n">
        <f aca="false">E347*E356+E346*$D$355</f>
        <v>51.4876525771005</v>
      </c>
      <c r="F357" s="22" t="n">
        <f aca="false">F347*F356+F346*$D$355</f>
        <v>62.7728081521632</v>
      </c>
      <c r="G357" s="22" t="n">
        <f aca="false">G347*G356+G346*$D$355</f>
        <v>69.2202670994519</v>
      </c>
    </row>
    <row r="358" customFormat="false" ht="15" hidden="false" customHeight="false" outlineLevel="0" collapsed="false">
      <c r="A358" s="3" t="s">
        <v>394</v>
      </c>
      <c r="B358" s="0" t="s">
        <v>49</v>
      </c>
      <c r="C358" s="17" t="n">
        <f aca="false">C357/C349</f>
        <v>0.328028131457903</v>
      </c>
      <c r="D358" s="17" t="n">
        <f aca="false">D357/D349</f>
        <v>0.348837592422248</v>
      </c>
      <c r="E358" s="17" t="n">
        <f aca="false">E357/E349</f>
        <v>0.350907185385921</v>
      </c>
      <c r="F358" s="17" t="n">
        <f aca="false">F357/F349</f>
        <v>0.340689331068165</v>
      </c>
      <c r="G358" s="17" t="n">
        <f aca="false">G357/G349</f>
        <v>0.324452531557667</v>
      </c>
    </row>
    <row r="359" customFormat="false" ht="15" hidden="false" customHeight="false" outlineLevel="0" collapsed="false">
      <c r="A359" s="3" t="s">
        <v>525</v>
      </c>
      <c r="B359" s="0" t="s">
        <v>184</v>
      </c>
      <c r="C359" s="22" t="n">
        <f aca="false">a25_opx</f>
        <v>5.64</v>
      </c>
      <c r="D359" s="22" t="n">
        <f aca="false">a26_opx</f>
        <v>8.4779754</v>
      </c>
      <c r="E359" s="22" t="n">
        <f aca="false">D359*(1+MAX(0,phi*E350))</f>
        <v>10.47199521408</v>
      </c>
      <c r="F359" s="22" t="n">
        <f aca="false">E359*(1+MAX(0,phi*F350))</f>
        <v>12.0789048245164</v>
      </c>
      <c r="G359" s="22" t="n">
        <f aca="false">F359*(1+MAX(0,phi*G350))</f>
        <v>13.2232221236811</v>
      </c>
    </row>
    <row r="360" customFormat="false" ht="15" hidden="false" customHeight="false" outlineLevel="0" collapsed="false">
      <c r="A360" s="3" t="s">
        <v>396</v>
      </c>
      <c r="B360" s="0" t="s">
        <v>184</v>
      </c>
      <c r="C360" s="22" t="n">
        <f aca="false">C359</f>
        <v>5.64</v>
      </c>
      <c r="D360" s="22" t="n">
        <f aca="false">D359</f>
        <v>8.4779754</v>
      </c>
      <c r="E360" s="22" t="n">
        <f aca="false">E359+0*E349</f>
        <v>10.47199521408</v>
      </c>
      <c r="F360" s="22" t="n">
        <f aca="false">F359+0*F349</f>
        <v>12.0789048245164</v>
      </c>
      <c r="G360" s="22" t="n">
        <f aca="false">G359+0*G349</f>
        <v>13.2232221236811</v>
      </c>
    </row>
    <row r="361" customFormat="false" ht="15" hidden="false" customHeight="false" outlineLevel="0" collapsed="false">
      <c r="A361" s="3" t="s">
        <v>526</v>
      </c>
      <c r="B361" s="0" t="s">
        <v>184</v>
      </c>
      <c r="C361" s="22" t="n">
        <f aca="false">C357-C360</f>
        <v>14.043</v>
      </c>
      <c r="D361" s="22" t="n">
        <f aca="false">D357-D360</f>
        <v>28.2921301</v>
      </c>
      <c r="E361" s="22" t="n">
        <f aca="false">E357-E360</f>
        <v>41.0156573630205</v>
      </c>
      <c r="F361" s="22" t="n">
        <f aca="false">F357-F360</f>
        <v>50.6939033276468</v>
      </c>
      <c r="G361" s="22" t="n">
        <f aca="false">G357-G360</f>
        <v>55.9970449757708</v>
      </c>
    </row>
    <row r="362" customFormat="false" ht="15" hidden="false" customHeight="false" outlineLevel="0" collapsed="false">
      <c r="A362" s="3" t="s">
        <v>402</v>
      </c>
      <c r="B362" s="0" t="s">
        <v>49</v>
      </c>
      <c r="C362" s="17" t="n">
        <f aca="false">C361/C349</f>
        <v>0.23403439770682</v>
      </c>
      <c r="D362" s="17" t="n">
        <f aca="false">D361/D349</f>
        <v>0.268407131673338</v>
      </c>
      <c r="E362" s="17" t="n">
        <f aca="false">E361/E349</f>
        <v>0.279536707571945</v>
      </c>
      <c r="F362" s="17" t="n">
        <f aca="false">F361/F349</f>
        <v>0.275133015748875</v>
      </c>
      <c r="G362" s="17" t="n">
        <f aca="false">G361/G349</f>
        <v>0.262472015255792</v>
      </c>
    </row>
    <row r="363" customFormat="false" ht="17.15" hidden="false" customHeight="false" outlineLevel="0" collapsed="false">
      <c r="A363" s="3" t="s">
        <v>403</v>
      </c>
      <c r="B363" s="0" t="s">
        <v>184</v>
      </c>
      <c r="E363" s="22" t="n">
        <f aca="false">nop_f</f>
        <v>0</v>
      </c>
      <c r="F363" s="22" t="n">
        <f aca="false">nop_f</f>
        <v>0</v>
      </c>
      <c r="G363" s="22" t="n">
        <f aca="false">nop_f</f>
        <v>0</v>
      </c>
      <c r="K363" s="7" t="s">
        <v>527</v>
      </c>
    </row>
    <row r="364" customFormat="false" ht="15" hidden="false" customHeight="false" outlineLevel="0" collapsed="false">
      <c r="A364" s="3" t="s">
        <v>408</v>
      </c>
      <c r="B364" s="0" t="s">
        <v>184</v>
      </c>
      <c r="C364" s="22" t="n">
        <f aca="false">a25_ni</f>
        <v>9.607</v>
      </c>
      <c r="D364" s="22" t="n">
        <f aca="false">a26_ni</f>
        <v>19.6977289395284</v>
      </c>
      <c r="E364" s="22" t="n">
        <f aca="false">(E361+E363)*nir_f</f>
        <v>28.095725293669</v>
      </c>
      <c r="F364" s="22" t="n">
        <f aca="false">(F361+F363)*nir_f</f>
        <v>34.725323779438</v>
      </c>
      <c r="G364" s="22" t="n">
        <f aca="false">(G361+G363)*nir_f</f>
        <v>38.357975808403</v>
      </c>
      <c r="H364" s="24" t="n">
        <f aca="false">H349*H369</f>
        <v>41.715192257748</v>
      </c>
      <c r="I364" s="24" t="n">
        <f aca="false">I349*I369</f>
        <v>43.7367129602112</v>
      </c>
      <c r="J364" s="24" t="n">
        <f aca="false">J349*J369</f>
        <v>44.14830378523</v>
      </c>
    </row>
    <row r="365" customFormat="false" ht="17.15" hidden="false" customHeight="false" outlineLevel="0" collapsed="false">
      <c r="A365" s="3" t="s">
        <v>411</v>
      </c>
      <c r="B365" s="0" t="s">
        <v>49</v>
      </c>
      <c r="C365" s="17" t="n">
        <f aca="false">C364/C361</f>
        <v>0.684113081250445</v>
      </c>
      <c r="D365" s="17" t="n">
        <f aca="false">D364/D361</f>
        <v>0.696226437171953</v>
      </c>
      <c r="E365" s="17" t="n">
        <f aca="false">E364/E361</f>
        <v>0.685</v>
      </c>
      <c r="F365" s="17" t="n">
        <f aca="false">F364/F361</f>
        <v>0.685</v>
      </c>
      <c r="G365" s="17" t="n">
        <f aca="false">G364/G361</f>
        <v>0.685</v>
      </c>
    </row>
    <row r="366" customFormat="false" ht="17.15" hidden="false" customHeight="false" outlineLevel="0" collapsed="false">
      <c r="A366" s="3" t="s">
        <v>528</v>
      </c>
      <c r="B366" s="3" t="s">
        <v>214</v>
      </c>
      <c r="C366" s="27" t="n">
        <f aca="false">a25_sh</f>
        <v>0.493425783256292</v>
      </c>
      <c r="D366" s="27" t="n">
        <f aca="false">a26_sh</f>
        <v>0.512980850061958</v>
      </c>
      <c r="E366" s="27" t="n">
        <f aca="false">sh_h2*(1+sh_g)</f>
        <v>0.51889356</v>
      </c>
      <c r="F366" s="27" t="n">
        <f aca="false">E366*(1+sh_g)</f>
        <v>0.5240824956</v>
      </c>
      <c r="G366" s="27" t="n">
        <f aca="false">F366*(1+sh_g)</f>
        <v>0.529323320556</v>
      </c>
      <c r="H366" s="28" t="n">
        <f aca="false">G366*(1+sh_g)</f>
        <v>0.53461655376156</v>
      </c>
      <c r="I366" s="28" t="n">
        <f aca="false">H366*(1+sh_g)</f>
        <v>0.539962719299176</v>
      </c>
      <c r="J366" s="28" t="n">
        <f aca="false">I366*(1+sh_g)</f>
        <v>0.545362346492167</v>
      </c>
      <c r="K366" s="7" t="s">
        <v>529</v>
      </c>
    </row>
    <row r="367" customFormat="false" ht="15" hidden="false" customHeight="false" outlineLevel="0" collapsed="false">
      <c r="A367" s="0" t="s">
        <v>414</v>
      </c>
      <c r="B367" s="0" t="s">
        <v>252</v>
      </c>
      <c r="C367" s="23" t="n">
        <f aca="false">C364/C366</f>
        <v>19.47</v>
      </c>
      <c r="D367" s="23" t="n">
        <f aca="false">D364/D366</f>
        <v>38.3985658278458</v>
      </c>
      <c r="E367" s="23" t="n">
        <f aca="false">E364/E366</f>
        <v>54.1454499717997</v>
      </c>
      <c r="F367" s="23" t="n">
        <f aca="false">F364/F366</f>
        <v>66.2592703839163</v>
      </c>
      <c r="G367" s="23" t="n">
        <f aca="false">G364/G366</f>
        <v>72.4660605697702</v>
      </c>
      <c r="H367" s="29" t="n">
        <f aca="false">H364/H366</f>
        <v>78.0282465334081</v>
      </c>
      <c r="I367" s="29" t="n">
        <f aca="false">I364/I366</f>
        <v>80.9995049602269</v>
      </c>
      <c r="J367" s="29" t="n">
        <f aca="false">J364/J366</f>
        <v>80.9522404126301</v>
      </c>
    </row>
    <row r="368" customFormat="false" ht="17.15" hidden="false" customHeight="false" outlineLevel="0" collapsed="false">
      <c r="A368" s="0" t="s">
        <v>530</v>
      </c>
      <c r="B368" s="0" t="s">
        <v>49</v>
      </c>
      <c r="D368" s="17" t="n">
        <f aca="false">D367/C367-1</f>
        <v>0.9721913624985</v>
      </c>
      <c r="E368" s="17" t="n">
        <f aca="false">E367/D367-1</f>
        <v>0.41009042406825</v>
      </c>
      <c r="F368" s="17" t="n">
        <f aca="false">F367/E367-1</f>
        <v>0.223727393870137</v>
      </c>
      <c r="G368" s="17" t="n">
        <f aca="false">G367/F367-1</f>
        <v>0.0936742911579132</v>
      </c>
      <c r="H368" s="25" t="n">
        <f aca="false">H367/G367-1</f>
        <v>0.0767557380642021</v>
      </c>
      <c r="I368" s="25" t="n">
        <f aca="false">I367/H367-1</f>
        <v>0.038079266917098</v>
      </c>
      <c r="J368" s="25" t="n">
        <f aca="false">J367/I367-1</f>
        <v>-0.000583516499514158</v>
      </c>
    </row>
    <row r="369" customFormat="false" ht="17.15" hidden="false" customHeight="false" outlineLevel="0" collapsed="false">
      <c r="A369" s="3" t="s">
        <v>531</v>
      </c>
      <c r="B369" s="0" t="s">
        <v>49</v>
      </c>
      <c r="C369" s="17" t="n">
        <f aca="false">C364/C349</f>
        <v>0.160105992933804</v>
      </c>
      <c r="D369" s="17" t="n">
        <f aca="false">D364/D349</f>
        <v>0.186872140996471</v>
      </c>
      <c r="E369" s="17" t="n">
        <f aca="false">E364/E349</f>
        <v>0.191482644686782</v>
      </c>
      <c r="F369" s="17" t="n">
        <f aca="false">F364/F349</f>
        <v>0.188466115787979</v>
      </c>
      <c r="G369" s="17" t="n">
        <f aca="false">G364/G349</f>
        <v>0.179793330450218</v>
      </c>
      <c r="H369" s="25" t="n">
        <f aca="false">$G369+(fade_mB-$G369)*1/3</f>
        <v>0.174798899123632</v>
      </c>
      <c r="I369" s="25" t="n">
        <f aca="false">$G369+(fade_mB-$G369)*2/3</f>
        <v>0.169804467797047</v>
      </c>
      <c r="J369" s="25" t="n">
        <f aca="false">$G369+(fade_mB-$G369)*3/3</f>
        <v>0.164810036470462</v>
      </c>
    </row>
    <row r="372" customFormat="false" ht="17.15" hidden="false" customHeight="false" outlineLevel="0" collapsed="false">
      <c r="A372" s="1" t="s">
        <v>829</v>
      </c>
    </row>
    <row r="373" customFormat="false" ht="17.15" hidden="false" customHeight="false" outlineLevel="0" collapsed="false">
      <c r="A373" s="4" t="s">
        <v>18</v>
      </c>
      <c r="B373" s="4" t="s">
        <v>19</v>
      </c>
      <c r="C373" s="14" t="s">
        <v>382</v>
      </c>
      <c r="D373" s="14" t="s">
        <v>472</v>
      </c>
      <c r="E373" s="14" t="s">
        <v>473</v>
      </c>
      <c r="F373" s="14" t="s">
        <v>474</v>
      </c>
      <c r="G373" s="14" t="s">
        <v>475</v>
      </c>
      <c r="H373" s="14" t="s">
        <v>476</v>
      </c>
      <c r="I373" s="14" t="s">
        <v>477</v>
      </c>
      <c r="J373" s="14" t="s">
        <v>478</v>
      </c>
      <c r="K373" s="4" t="s">
        <v>436</v>
      </c>
    </row>
    <row r="374" customFormat="false" ht="17.15" hidden="false" customHeight="false" outlineLevel="0" collapsed="false">
      <c r="A374" s="5" t="s">
        <v>494</v>
      </c>
    </row>
    <row r="375" customFormat="false" ht="17.15" hidden="false" customHeight="false" outlineLevel="0" collapsed="false">
      <c r="A375" s="0" t="s">
        <v>495</v>
      </c>
      <c r="B375" s="0" t="s">
        <v>29</v>
      </c>
      <c r="D375" s="23" t="n">
        <f aca="false">itc_26*1</f>
        <v>781.872916666667</v>
      </c>
      <c r="E375" s="23" t="n">
        <f aca="false">itc_27*1*1</f>
        <v>1565.35</v>
      </c>
      <c r="F375" s="23" t="n">
        <f aca="false">itc_28*um28_B*1</f>
        <v>1587.41111111111</v>
      </c>
      <c r="G375" s="23" t="n">
        <f aca="false">itc_29*um29_B*1</f>
        <v>1921.33173611111</v>
      </c>
    </row>
    <row r="376" customFormat="false" ht="17.15" hidden="false" customHeight="false" outlineLevel="0" collapsed="false">
      <c r="A376" s="3" t="s">
        <v>496</v>
      </c>
      <c r="B376" s="0" t="s">
        <v>29</v>
      </c>
      <c r="D376" s="23" t="n">
        <f aca="false">itpg_gb*(1-vr26)+itpg_vr*vr26</f>
        <v>33.41403216</v>
      </c>
      <c r="E376" s="23" t="n">
        <f aca="false">itpg_vr</f>
        <v>37.586352</v>
      </c>
      <c r="F376" s="23" t="n">
        <f aca="false">itpg_vr</f>
        <v>37.586352</v>
      </c>
      <c r="G376" s="23" t="n">
        <f aca="false">itpg_vr</f>
        <v>37.586352</v>
      </c>
    </row>
    <row r="377" customFormat="false" ht="17.15" hidden="false" customHeight="false" outlineLevel="0" collapsed="false">
      <c r="A377" s="3" t="s">
        <v>497</v>
      </c>
      <c r="B377" s="0" t="s">
        <v>438</v>
      </c>
      <c r="D377" s="20" t="n">
        <f aca="false">D375/D376</f>
        <v>23.3995380420639</v>
      </c>
      <c r="E377" s="20" t="n">
        <f aca="false">E375/E376</f>
        <v>41.6467658260637</v>
      </c>
      <c r="F377" s="20" t="n">
        <f aca="false">F375/F376</f>
        <v>42.2337105529984</v>
      </c>
      <c r="G377" s="20" t="n">
        <f aca="false">G375/G376</f>
        <v>51.1178029756948</v>
      </c>
    </row>
    <row r="378" customFormat="false" ht="17.15" hidden="false" customHeight="false" outlineLevel="0" collapsed="false">
      <c r="A378" s="3" t="s">
        <v>442</v>
      </c>
      <c r="B378" s="0" t="s">
        <v>90</v>
      </c>
      <c r="D378" s="21" t="n">
        <f aca="false">vg_cmp26</f>
        <v>280</v>
      </c>
      <c r="E378" s="21" t="n">
        <f aca="false">(vg_cmp26+(vg_cmp27-vg_cmp26)*pgwf)</f>
        <v>420</v>
      </c>
      <c r="F378" s="21" t="n">
        <f aca="false">(vg_cmp26+(vg_cmp28-vg_cmp26)*pgwf)</f>
        <v>462</v>
      </c>
      <c r="G378" s="21" t="n">
        <f aca="false">(vg_cmp26+(vg_cmp29-vg_cmp26)*pgwf)</f>
        <v>504</v>
      </c>
    </row>
    <row r="379" customFormat="false" ht="17.15" hidden="false" customHeight="false" outlineLevel="0" collapsed="false">
      <c r="A379" s="3" t="s">
        <v>444</v>
      </c>
      <c r="B379" s="0" t="s">
        <v>90</v>
      </c>
      <c r="D379" s="21" t="n">
        <f aca="false">vg_sw26</f>
        <v>120</v>
      </c>
      <c r="E379" s="21" t="n">
        <f aca="false">(vg_sw26+(vg_sw27-vg_sw26)*pgwf)</f>
        <v>162</v>
      </c>
      <c r="F379" s="21" t="n">
        <f aca="false">(vg_sw26+(vg_sw28-vg_sw26)*pgwf)</f>
        <v>180</v>
      </c>
      <c r="G379" s="21" t="n">
        <f aca="false">(vg_sw26+(vg_sw29-vg_sw26)*pgwf)</f>
        <v>198</v>
      </c>
    </row>
    <row r="380" customFormat="false" ht="17.15" hidden="false" customHeight="false" outlineLevel="0" collapsed="false">
      <c r="A380" s="3" t="s">
        <v>498</v>
      </c>
      <c r="B380" s="0" t="s">
        <v>90</v>
      </c>
      <c r="D380" s="21" t="n">
        <f aca="false">vg_mid26*w_mid</f>
        <v>25</v>
      </c>
      <c r="E380" s="21" t="n">
        <f aca="false">(vg_mid26+(vg_mid27-vg_mid26)*pgwf)*w_mid</f>
        <v>50</v>
      </c>
      <c r="F380" s="21" t="n">
        <f aca="false">(vg_mid26+(vg_mid28-vg_mid26)*pgwf)*w_mid</f>
        <v>75</v>
      </c>
      <c r="G380" s="21" t="n">
        <f aca="false">(vg_mid26+(vg_mid29-vg_mid26)*pgwf)*w_mid</f>
        <v>87.5</v>
      </c>
    </row>
    <row r="381" customFormat="false" ht="17.15" hidden="false" customHeight="false" outlineLevel="0" collapsed="false">
      <c r="A381" s="3" t="s">
        <v>499</v>
      </c>
      <c r="B381" s="0" t="s">
        <v>90</v>
      </c>
      <c r="D381" s="21" t="n">
        <f aca="false">D378+D379+D380</f>
        <v>425</v>
      </c>
      <c r="E381" s="21" t="n">
        <f aca="false">E378+E379+E380</f>
        <v>632</v>
      </c>
      <c r="F381" s="21" t="n">
        <f aca="false">F378+F379+F380</f>
        <v>717</v>
      </c>
      <c r="G381" s="21" t="n">
        <f aca="false">G378+G379+G380</f>
        <v>789.5</v>
      </c>
    </row>
    <row r="382" customFormat="false" ht="17.15" hidden="false" customHeight="false" outlineLevel="0" collapsed="false">
      <c r="A382" s="3" t="s">
        <v>500</v>
      </c>
      <c r="B382" s="0" t="s">
        <v>29</v>
      </c>
      <c r="D382" s="23" t="n">
        <f aca="false">D377*D381/1000</f>
        <v>9.94480366787716</v>
      </c>
      <c r="E382" s="23" t="n">
        <f aca="false">E377*E381/1000</f>
        <v>26.3207560020722</v>
      </c>
      <c r="F382" s="23" t="n">
        <f aca="false">F377*F381/1000</f>
        <v>30.2815704664998</v>
      </c>
      <c r="G382" s="23" t="n">
        <f aca="false">G377*G381/1000</f>
        <v>40.3575054493111</v>
      </c>
    </row>
    <row r="383" customFormat="false" ht="17.15" hidden="false" customHeight="false" outlineLevel="0" collapsed="false">
      <c r="A383" s="3" t="s">
        <v>501</v>
      </c>
      <c r="B383" s="0" t="s">
        <v>184</v>
      </c>
      <c r="D383" s="22" t="n">
        <f aca="false">D382*fx</f>
        <v>318.233717372069</v>
      </c>
      <c r="E383" s="22" t="n">
        <f aca="false">E382*fx</f>
        <v>842.264192066312</v>
      </c>
      <c r="F383" s="22" t="n">
        <f aca="false">F382*fx</f>
        <v>969.010254927995</v>
      </c>
      <c r="G383" s="22" t="n">
        <f aca="false">G382*fx</f>
        <v>1291.44017437795</v>
      </c>
    </row>
    <row r="384" customFormat="false" ht="17.15" hidden="false" customHeight="false" outlineLevel="0" collapsed="false">
      <c r="A384" s="0" t="s">
        <v>502</v>
      </c>
      <c r="B384" s="0" t="s">
        <v>63</v>
      </c>
      <c r="D384" s="18" t="n">
        <f aca="false">1</f>
        <v>1</v>
      </c>
      <c r="E384" s="18" t="n">
        <f aca="false">PPHI_27</f>
        <v>1.03</v>
      </c>
      <c r="F384" s="18" t="n">
        <f aca="false">PPHI_28</f>
        <v>1.02</v>
      </c>
      <c r="G384" s="18" t="n">
        <f aca="false">PPHI_29</f>
        <v>1</v>
      </c>
    </row>
    <row r="385" customFormat="false" ht="17.15" hidden="false" customHeight="false" outlineLevel="0" collapsed="false">
      <c r="A385" s="3" t="s">
        <v>503</v>
      </c>
      <c r="B385" s="0" t="s">
        <v>49</v>
      </c>
      <c r="D385" s="17" t="n">
        <f aca="false">a26_ai/D383</f>
        <v>0.172842024579347</v>
      </c>
      <c r="K385" s="7" t="s">
        <v>504</v>
      </c>
    </row>
    <row r="386" customFormat="false" ht="17.15" hidden="false" customHeight="false" outlineLevel="0" collapsed="false">
      <c r="A386" s="3" t="s">
        <v>505</v>
      </c>
      <c r="B386" s="0" t="s">
        <v>63</v>
      </c>
      <c r="D386" s="18" t="n">
        <f aca="false">1</f>
        <v>1</v>
      </c>
      <c r="E386" s="18" t="n">
        <f aca="false">rel_27</f>
        <v>1</v>
      </c>
      <c r="F386" s="18" t="n">
        <f aca="false">rel_28</f>
        <v>0.95</v>
      </c>
      <c r="G386" s="18" t="n">
        <f aca="false">rel_29</f>
        <v>0.9</v>
      </c>
    </row>
    <row r="387" customFormat="false" ht="15" hidden="false" customHeight="false" outlineLevel="0" collapsed="false">
      <c r="A387" s="3" t="s">
        <v>454</v>
      </c>
      <c r="B387" s="0" t="s">
        <v>49</v>
      </c>
      <c r="D387" s="17" t="n">
        <f aca="false">$D$385*D386</f>
        <v>0.172842024579347</v>
      </c>
      <c r="E387" s="17" t="n">
        <f aca="false">$D$385*E386</f>
        <v>0.172842024579347</v>
      </c>
      <c r="F387" s="17" t="n">
        <f aca="false">$D$385*F386</f>
        <v>0.164199923350379</v>
      </c>
      <c r="G387" s="17" t="n">
        <f aca="false">$D$385*G386</f>
        <v>0.155557822121412</v>
      </c>
    </row>
    <row r="388" customFormat="false" ht="17.15" hidden="false" customHeight="false" outlineLevel="0" collapsed="false">
      <c r="A388" s="0" t="s">
        <v>506</v>
      </c>
      <c r="B388" s="0" t="s">
        <v>184</v>
      </c>
      <c r="D388" s="22" t="n">
        <f aca="false">D383*D387*D384</f>
        <v>55.00416</v>
      </c>
      <c r="E388" s="22" t="n">
        <f aca="false">E383*E387*E384</f>
        <v>149.946007633052</v>
      </c>
      <c r="F388" s="22" t="n">
        <f aca="false">F383*F387*F384</f>
        <v>162.293637776606</v>
      </c>
      <c r="G388" s="22" t="n">
        <f aca="false">G383*G387*G384</f>
        <v>200.893620926331</v>
      </c>
    </row>
    <row r="389" customFormat="false" ht="17.15" hidden="false" customHeight="false" outlineLevel="0" collapsed="false">
      <c r="A389" s="5" t="s">
        <v>507</v>
      </c>
    </row>
    <row r="390" customFormat="false" ht="17.15" hidden="false" customHeight="false" outlineLevel="0" collapsed="false">
      <c r="A390" s="3" t="s">
        <v>508</v>
      </c>
      <c r="B390" s="0" t="s">
        <v>63</v>
      </c>
      <c r="D390" s="18" t="n">
        <f aca="false">1</f>
        <v>1</v>
      </c>
      <c r="E390" s="18" t="n">
        <f aca="false">cx_27</f>
        <v>1.45</v>
      </c>
      <c r="F390" s="18" t="n">
        <f aca="false">cx_28</f>
        <v>1.9</v>
      </c>
      <c r="G390" s="18" t="n">
        <f aca="false">cx_29</f>
        <v>2.3</v>
      </c>
      <c r="K390" s="7" t="s">
        <v>509</v>
      </c>
    </row>
    <row r="391" customFormat="false" ht="17.15" hidden="false" customHeight="false" outlineLevel="0" collapsed="false">
      <c r="A391" s="3" t="s">
        <v>510</v>
      </c>
      <c r="B391" s="0" t="s">
        <v>184</v>
      </c>
      <c r="D391" s="22" t="n">
        <f aca="false">a26_rev*D390*D384</f>
        <v>105.40752</v>
      </c>
      <c r="E391" s="22" t="n">
        <f aca="false">a26_rev*E390*E384</f>
        <v>157.42613112</v>
      </c>
      <c r="F391" s="22" t="n">
        <f aca="false">a26_rev*F390*F384</f>
        <v>204.27977376</v>
      </c>
      <c r="G391" s="22" t="n">
        <f aca="false">a26_rev*G390*G384</f>
        <v>242.437296</v>
      </c>
    </row>
    <row r="392" customFormat="false" ht="17.15" hidden="false" customHeight="false" outlineLevel="0" collapsed="false">
      <c r="A392" s="3" t="s">
        <v>511</v>
      </c>
      <c r="B392" s="0" t="s">
        <v>184</v>
      </c>
      <c r="C392" s="22" t="n">
        <f aca="false">a25_nai</f>
        <v>42.0028</v>
      </c>
      <c r="D392" s="22" t="n">
        <f aca="false">a26_nai</f>
        <v>50.40336</v>
      </c>
      <c r="E392" s="22" t="n">
        <f aca="false">D392*(1+g_nai27)</f>
        <v>52.923528</v>
      </c>
      <c r="F392" s="22" t="n">
        <f aca="false">E392*(1+g_nai28)</f>
        <v>54.51123384</v>
      </c>
      <c r="G392" s="22" t="n">
        <f aca="false">F392*(1+g_nai29)</f>
        <v>56.1465708552</v>
      </c>
    </row>
    <row r="393" customFormat="false" ht="17.15" hidden="false" customHeight="false" outlineLevel="0" collapsed="false">
      <c r="A393" s="0" t="s">
        <v>512</v>
      </c>
      <c r="B393" s="0" t="s">
        <v>184</v>
      </c>
      <c r="C393" s="22" t="n">
        <f aca="false">a25_ai</f>
        <v>18.0012</v>
      </c>
      <c r="D393" s="22" t="n">
        <f aca="false">D388</f>
        <v>55.00416</v>
      </c>
      <c r="E393" s="22" t="n">
        <f aca="false">MIN(E388,E391-E392)</f>
        <v>104.50260312</v>
      </c>
      <c r="F393" s="22" t="n">
        <f aca="false">MIN(F388,F391-F392)</f>
        <v>149.76853992</v>
      </c>
      <c r="G393" s="22" t="n">
        <f aca="false">MIN(G388,G391-G392)</f>
        <v>186.2907251448</v>
      </c>
      <c r="K393" s="3" t="s">
        <v>513</v>
      </c>
    </row>
    <row r="394" customFormat="false" ht="15" hidden="false" customHeight="false" outlineLevel="0" collapsed="false">
      <c r="A394" s="3" t="s">
        <v>514</v>
      </c>
      <c r="E394" s="0" t="str">
        <f aca="false">IF(E388&gt;E391-E392+0.0001,"受限","未受限")</f>
        <v>受限</v>
      </c>
      <c r="F394" s="0" t="str">
        <f aca="false">IF(F388&gt;F391-F392+0.0001,"受限","未受限")</f>
        <v>受限</v>
      </c>
      <c r="G394" s="0" t="str">
        <f aca="false">IF(G388&gt;G391-G392+0.0001,"受限","未受限")</f>
        <v>受限</v>
      </c>
    </row>
    <row r="395" customFormat="false" ht="17.15" hidden="false" customHeight="false" outlineLevel="0" collapsed="false">
      <c r="A395" s="3" t="s">
        <v>387</v>
      </c>
      <c r="B395" s="0" t="s">
        <v>184</v>
      </c>
      <c r="C395" s="22" t="n">
        <f aca="false">C393+C392</f>
        <v>60.004</v>
      </c>
      <c r="D395" s="22" t="n">
        <f aca="false">D393+D392</f>
        <v>105.40752</v>
      </c>
      <c r="E395" s="22" t="n">
        <f aca="false">E393+E392</f>
        <v>157.42613112</v>
      </c>
      <c r="F395" s="22" t="n">
        <f aca="false">F393+F392</f>
        <v>204.27977376</v>
      </c>
      <c r="G395" s="22" t="n">
        <f aca="false">G393+G392</f>
        <v>242.437296</v>
      </c>
      <c r="H395" s="24" t="n">
        <f aca="false">G395*(1+H396)</f>
        <v>275.859783356367</v>
      </c>
      <c r="I395" s="24" t="n">
        <f aca="false">H395*(1+I396)</f>
        <v>300.392040388802</v>
      </c>
      <c r="J395" s="24" t="n">
        <f aca="false">I395*(1+J396)</f>
        <v>312.407722004354</v>
      </c>
      <c r="K395" s="7" t="s">
        <v>515</v>
      </c>
    </row>
    <row r="396" customFormat="false" ht="15" hidden="false" customHeight="false" outlineLevel="0" collapsed="false">
      <c r="A396" s="3" t="s">
        <v>516</v>
      </c>
      <c r="B396" s="0" t="s">
        <v>49</v>
      </c>
      <c r="D396" s="17" t="n">
        <f aca="false">D395/C395-1</f>
        <v>0.756674888340778</v>
      </c>
      <c r="E396" s="17" t="n">
        <f aca="false">E395/D395-1</f>
        <v>0.4935</v>
      </c>
      <c r="F396" s="17" t="n">
        <f aca="false">F395/E395-1</f>
        <v>0.297623033143623</v>
      </c>
      <c r="G396" s="17" t="n">
        <f aca="false">G395/F395-1</f>
        <v>0.186790505675954</v>
      </c>
      <c r="H396" s="25" t="n">
        <f aca="false">$G396+(fade_gB-$G396)*1/3</f>
        <v>0.137860337117303</v>
      </c>
      <c r="I396" s="25" t="n">
        <f aca="false">$G396+(fade_gB-$G396)*2/3</f>
        <v>0.0889301685586515</v>
      </c>
      <c r="J396" s="25" t="n">
        <f aca="false">$G396+(fade_gB-$G396)*3/3</f>
        <v>0.04</v>
      </c>
    </row>
    <row r="397" customFormat="false" ht="17.15" hidden="false" customHeight="false" outlineLevel="0" collapsed="false">
      <c r="A397" s="0" t="s">
        <v>517</v>
      </c>
      <c r="B397" s="0" t="s">
        <v>49</v>
      </c>
      <c r="C397" s="17" t="n">
        <f aca="false">C393/C395</f>
        <v>0.3</v>
      </c>
      <c r="D397" s="17" t="n">
        <f aca="false">D393/D395</f>
        <v>0.521823869871903</v>
      </c>
      <c r="E397" s="17" t="n">
        <f aca="false">E393/E395</f>
        <v>0.663819928600936</v>
      </c>
      <c r="F397" s="17" t="n">
        <f aca="false">F393/F395</f>
        <v>0.733154032645234</v>
      </c>
      <c r="G397" s="17" t="n">
        <f aca="false">G393/G395</f>
        <v>0.768407865532373</v>
      </c>
    </row>
    <row r="398" customFormat="false" ht="17.15" hidden="false" customHeight="false" outlineLevel="0" collapsed="false">
      <c r="A398" s="3" t="s">
        <v>518</v>
      </c>
      <c r="B398" s="0" t="s">
        <v>49</v>
      </c>
      <c r="D398" s="17" t="n">
        <f aca="false">(D388+D392)/D391</f>
        <v>1</v>
      </c>
      <c r="E398" s="17" t="n">
        <f aca="false">(E388+E392)/E391</f>
        <v>1.2886649388494</v>
      </c>
      <c r="F398" s="17" t="n">
        <f aca="false">(F388+F392)/F391</f>
        <v>1.06131345079382</v>
      </c>
      <c r="G398" s="17" t="n">
        <f aca="false">(G388+G392)/G391</f>
        <v>1.06023370175491</v>
      </c>
      <c r="K398" s="3" t="s">
        <v>519</v>
      </c>
    </row>
    <row r="399" customFormat="false" ht="17.15" hidden="false" customHeight="false" outlineLevel="0" collapsed="false">
      <c r="A399" s="3" t="s">
        <v>458</v>
      </c>
      <c r="B399" s="0" t="s">
        <v>90</v>
      </c>
      <c r="D399" s="21" t="n">
        <f aca="false">D393/fx/D377*1000</f>
        <v>73.4578604462223</v>
      </c>
      <c r="E399" s="21" t="n">
        <f aca="false">E393/fx/E377*1000</f>
        <v>78.4144046416261</v>
      </c>
      <c r="F399" s="21" t="n">
        <f aca="false">F393/fx/F377*1000</f>
        <v>110.818273157098</v>
      </c>
      <c r="G399" s="21" t="n">
        <f aca="false">G393/fx/G377*1000</f>
        <v>113.885668434205</v>
      </c>
    </row>
    <row r="400" customFormat="false" ht="17.15" hidden="false" customHeight="false" outlineLevel="0" collapsed="false">
      <c r="A400" s="5" t="s">
        <v>520</v>
      </c>
    </row>
    <row r="401" customFormat="false" ht="17.15" hidden="false" customHeight="false" outlineLevel="0" collapsed="false">
      <c r="A401" s="3" t="s">
        <v>521</v>
      </c>
      <c r="B401" s="0" t="s">
        <v>49</v>
      </c>
      <c r="D401" s="17" t="n">
        <f aca="false">a26_gp/D395-d_ai*D397</f>
        <v>0.296655205435058</v>
      </c>
      <c r="K401" s="7" t="s">
        <v>522</v>
      </c>
    </row>
    <row r="402" customFormat="false" ht="17.15" hidden="false" customHeight="false" outlineLevel="0" collapsed="false">
      <c r="A402" s="0" t="s">
        <v>523</v>
      </c>
      <c r="B402" s="0" t="s">
        <v>49</v>
      </c>
      <c r="D402" s="17" t="n">
        <f aca="false">D401+d_ai</f>
        <v>0.396655205435058</v>
      </c>
      <c r="E402" s="17" t="n">
        <f aca="false">1-(1-$D$402)/E384+gmu_27</f>
        <v>0.424228354791319</v>
      </c>
      <c r="F402" s="17" t="n">
        <f aca="false">1-(1-$D$402)/F384+gmu_28</f>
        <v>0.423485495524567</v>
      </c>
      <c r="G402" s="17" t="n">
        <f aca="false">1-(1-$D$402)/G384+gmu_29</f>
        <v>0.416655205435058</v>
      </c>
      <c r="K402" s="7" t="s">
        <v>524</v>
      </c>
    </row>
    <row r="403" customFormat="false" ht="15" hidden="false" customHeight="false" outlineLevel="0" collapsed="false">
      <c r="A403" s="3" t="s">
        <v>391</v>
      </c>
      <c r="B403" s="0" t="s">
        <v>184</v>
      </c>
      <c r="C403" s="22" t="n">
        <f aca="false">a25_gp</f>
        <v>19.683</v>
      </c>
      <c r="D403" s="22" t="n">
        <f aca="false">a26_gp</f>
        <v>36.7701055</v>
      </c>
      <c r="E403" s="22" t="n">
        <f aca="false">E393*E402+E392*$D$401</f>
        <v>60.0330074641958</v>
      </c>
      <c r="F403" s="22" t="n">
        <f aca="false">F393*F402+F392*$D$401</f>
        <v>79.5958456153358</v>
      </c>
      <c r="G403" s="22" t="n">
        <f aca="false">G393*G402+G392*$D$401</f>
        <v>94.275172867376</v>
      </c>
    </row>
    <row r="404" customFormat="false" ht="15" hidden="false" customHeight="false" outlineLevel="0" collapsed="false">
      <c r="A404" s="3" t="s">
        <v>394</v>
      </c>
      <c r="B404" s="0" t="s">
        <v>49</v>
      </c>
      <c r="C404" s="17" t="n">
        <f aca="false">C403/C395</f>
        <v>0.328028131457903</v>
      </c>
      <c r="D404" s="17" t="n">
        <f aca="false">D403/D395</f>
        <v>0.348837592422248</v>
      </c>
      <c r="E404" s="17" t="n">
        <f aca="false">E403/E395</f>
        <v>0.381340804332128</v>
      </c>
      <c r="F404" s="17" t="n">
        <f aca="false">F403/F395</f>
        <v>0.389641344075746</v>
      </c>
      <c r="G404" s="17" t="n">
        <f aca="false">G403/G395</f>
        <v>0.388864149298943</v>
      </c>
    </row>
    <row r="405" customFormat="false" ht="15" hidden="false" customHeight="false" outlineLevel="0" collapsed="false">
      <c r="A405" s="3" t="s">
        <v>525</v>
      </c>
      <c r="B405" s="0" t="s">
        <v>184</v>
      </c>
      <c r="C405" s="22" t="n">
        <f aca="false">a25_opx</f>
        <v>5.64</v>
      </c>
      <c r="D405" s="22" t="n">
        <f aca="false">a26_opx</f>
        <v>8.4779754</v>
      </c>
      <c r="E405" s="22" t="n">
        <f aca="false">D405*(1+MAX(0,phi*E396))</f>
        <v>10.98830391594</v>
      </c>
      <c r="F405" s="22" t="n">
        <f aca="false">E405*(1+MAX(0,phi*F396))</f>
        <v>12.9505273202796</v>
      </c>
      <c r="G405" s="22" t="n">
        <f aca="false">F405*(1+MAX(0,phi*G396))</f>
        <v>14.4019486484348</v>
      </c>
    </row>
    <row r="406" customFormat="false" ht="15" hidden="false" customHeight="false" outlineLevel="0" collapsed="false">
      <c r="A406" s="3" t="s">
        <v>396</v>
      </c>
      <c r="B406" s="0" t="s">
        <v>184</v>
      </c>
      <c r="C406" s="22" t="n">
        <f aca="false">C405</f>
        <v>5.64</v>
      </c>
      <c r="D406" s="22" t="n">
        <f aca="false">D405</f>
        <v>8.4779754</v>
      </c>
      <c r="E406" s="22" t="n">
        <f aca="false">E405+0*E395</f>
        <v>10.98830391594</v>
      </c>
      <c r="F406" s="22" t="n">
        <f aca="false">F405+0*F395</f>
        <v>12.9505273202796</v>
      </c>
      <c r="G406" s="22" t="n">
        <f aca="false">G405+0*G395</f>
        <v>14.4019486484348</v>
      </c>
    </row>
    <row r="407" customFormat="false" ht="15" hidden="false" customHeight="false" outlineLevel="0" collapsed="false">
      <c r="A407" s="3" t="s">
        <v>526</v>
      </c>
      <c r="B407" s="0" t="s">
        <v>184</v>
      </c>
      <c r="C407" s="22" t="n">
        <f aca="false">C403-C406</f>
        <v>14.043</v>
      </c>
      <c r="D407" s="22" t="n">
        <f aca="false">D403-D406</f>
        <v>28.2921301</v>
      </c>
      <c r="E407" s="22" t="n">
        <f aca="false">E403-E406</f>
        <v>49.0447035482558</v>
      </c>
      <c r="F407" s="22" t="n">
        <f aca="false">F403-F406</f>
        <v>66.6453182950562</v>
      </c>
      <c r="G407" s="22" t="n">
        <f aca="false">G403-G406</f>
        <v>79.8732242189412</v>
      </c>
    </row>
    <row r="408" customFormat="false" ht="15" hidden="false" customHeight="false" outlineLevel="0" collapsed="false">
      <c r="A408" s="3" t="s">
        <v>402</v>
      </c>
      <c r="B408" s="0" t="s">
        <v>49</v>
      </c>
      <c r="C408" s="17" t="n">
        <f aca="false">C407/C395</f>
        <v>0.23403439770682</v>
      </c>
      <c r="D408" s="17" t="n">
        <f aca="false">D407/D395</f>
        <v>0.268407131673338</v>
      </c>
      <c r="E408" s="17" t="n">
        <f aca="false">E407/E395</f>
        <v>0.311541058649729</v>
      </c>
      <c r="F408" s="17" t="n">
        <f aca="false">F407/F395</f>
        <v>0.32624531087133</v>
      </c>
      <c r="G408" s="17" t="n">
        <f aca="false">G407/G395</f>
        <v>0.329459309837135</v>
      </c>
    </row>
    <row r="409" customFormat="false" ht="17.15" hidden="false" customHeight="false" outlineLevel="0" collapsed="false">
      <c r="A409" s="3" t="s">
        <v>403</v>
      </c>
      <c r="B409" s="0" t="s">
        <v>184</v>
      </c>
      <c r="E409" s="22" t="n">
        <f aca="false">nop_f</f>
        <v>0</v>
      </c>
      <c r="F409" s="22" t="n">
        <f aca="false">nop_f</f>
        <v>0</v>
      </c>
      <c r="G409" s="22" t="n">
        <f aca="false">nop_f</f>
        <v>0</v>
      </c>
      <c r="K409" s="7" t="s">
        <v>527</v>
      </c>
    </row>
    <row r="410" customFormat="false" ht="15" hidden="false" customHeight="false" outlineLevel="0" collapsed="false">
      <c r="A410" s="3" t="s">
        <v>408</v>
      </c>
      <c r="B410" s="0" t="s">
        <v>184</v>
      </c>
      <c r="C410" s="22" t="n">
        <f aca="false">a25_ni</f>
        <v>9.607</v>
      </c>
      <c r="D410" s="22" t="n">
        <f aca="false">a26_ni</f>
        <v>19.6977289395284</v>
      </c>
      <c r="E410" s="22" t="n">
        <f aca="false">(E407+E409)*nir_f</f>
        <v>33.5956219305552</v>
      </c>
      <c r="F410" s="22" t="n">
        <f aca="false">(F407+F409)*nir_f</f>
        <v>45.6520430321135</v>
      </c>
      <c r="G410" s="22" t="n">
        <f aca="false">(G407+G409)*nir_f</f>
        <v>54.7131585899747</v>
      </c>
      <c r="H410" s="24" t="n">
        <f aca="false">H395*H415</f>
        <v>56.6587757038596</v>
      </c>
      <c r="I410" s="24" t="n">
        <f aca="false">I395*I415</f>
        <v>55.6025366547228</v>
      </c>
      <c r="J410" s="24" t="n">
        <f aca="false">J395*J415</f>
        <v>51.4879280571915</v>
      </c>
    </row>
    <row r="411" customFormat="false" ht="17.15" hidden="false" customHeight="false" outlineLevel="0" collapsed="false">
      <c r="A411" s="3" t="s">
        <v>411</v>
      </c>
      <c r="B411" s="0" t="s">
        <v>49</v>
      </c>
      <c r="C411" s="17" t="n">
        <f aca="false">C410/C407</f>
        <v>0.684113081250445</v>
      </c>
      <c r="D411" s="17" t="n">
        <f aca="false">D410/D407</f>
        <v>0.696226437171953</v>
      </c>
      <c r="E411" s="17" t="n">
        <f aca="false">E410/E407</f>
        <v>0.685</v>
      </c>
      <c r="F411" s="17" t="n">
        <f aca="false">F410/F407</f>
        <v>0.685</v>
      </c>
      <c r="G411" s="17" t="n">
        <f aca="false">G410/G407</f>
        <v>0.685</v>
      </c>
    </row>
    <row r="412" customFormat="false" ht="17.15" hidden="false" customHeight="false" outlineLevel="0" collapsed="false">
      <c r="A412" s="3" t="s">
        <v>528</v>
      </c>
      <c r="B412" s="3" t="s">
        <v>214</v>
      </c>
      <c r="C412" s="27" t="n">
        <f aca="false">a25_sh</f>
        <v>0.493425783256292</v>
      </c>
      <c r="D412" s="27" t="n">
        <f aca="false">a26_sh</f>
        <v>0.512980850061958</v>
      </c>
      <c r="E412" s="27" t="n">
        <f aca="false">sh_h2*(1+sh_g)</f>
        <v>0.51889356</v>
      </c>
      <c r="F412" s="27" t="n">
        <f aca="false">E412*(1+sh_g)</f>
        <v>0.5240824956</v>
      </c>
      <c r="G412" s="27" t="n">
        <f aca="false">F412*(1+sh_g)</f>
        <v>0.529323320556</v>
      </c>
      <c r="H412" s="28" t="n">
        <f aca="false">G412*(1+sh_g)</f>
        <v>0.53461655376156</v>
      </c>
      <c r="I412" s="28" t="n">
        <f aca="false">H412*(1+sh_g)</f>
        <v>0.539962719299176</v>
      </c>
      <c r="J412" s="28" t="n">
        <f aca="false">I412*(1+sh_g)</f>
        <v>0.545362346492167</v>
      </c>
      <c r="K412" s="7" t="s">
        <v>529</v>
      </c>
    </row>
    <row r="413" customFormat="false" ht="15" hidden="false" customHeight="false" outlineLevel="0" collapsed="false">
      <c r="A413" s="0" t="s">
        <v>414</v>
      </c>
      <c r="B413" s="0" t="s">
        <v>252</v>
      </c>
      <c r="C413" s="23" t="n">
        <f aca="false">C410/C412</f>
        <v>19.47</v>
      </c>
      <c r="D413" s="23" t="n">
        <f aca="false">D410/D412</f>
        <v>38.3985658278458</v>
      </c>
      <c r="E413" s="23" t="n">
        <f aca="false">E410/E412</f>
        <v>64.7447270892227</v>
      </c>
      <c r="F413" s="23" t="n">
        <f aca="false">F410/F412</f>
        <v>87.108505655867</v>
      </c>
      <c r="G413" s="23" t="n">
        <f aca="false">G410/G412</f>
        <v>103.364345505322</v>
      </c>
      <c r="H413" s="29" t="n">
        <f aca="false">H410/H412</f>
        <v>105.980211995324</v>
      </c>
      <c r="I413" s="29" t="n">
        <f aca="false">I410/I412</f>
        <v>102.97476967834</v>
      </c>
      <c r="J413" s="29" t="n">
        <f aca="false">J410/J412</f>
        <v>94.4104931122724</v>
      </c>
    </row>
    <row r="414" customFormat="false" ht="17.15" hidden="false" customHeight="false" outlineLevel="0" collapsed="false">
      <c r="A414" s="0" t="s">
        <v>530</v>
      </c>
      <c r="B414" s="0" t="s">
        <v>49</v>
      </c>
      <c r="D414" s="17" t="n">
        <f aca="false">D413/C413-1</f>
        <v>0.9721913624985</v>
      </c>
      <c r="E414" s="17" t="n">
        <f aca="false">E413/D413-1</f>
        <v>0.686123575018296</v>
      </c>
      <c r="F414" s="17" t="n">
        <f aca="false">F413/E413-1</f>
        <v>0.345414670384284</v>
      </c>
      <c r="G414" s="17" t="n">
        <f aca="false">G413/F413-1</f>
        <v>0.186615988037676</v>
      </c>
      <c r="H414" s="25" t="n">
        <f aca="false">H413/G413-1</f>
        <v>0.0253072418464366</v>
      </c>
      <c r="I414" s="25" t="n">
        <f aca="false">I413/H413-1</f>
        <v>-0.0283585233544963</v>
      </c>
      <c r="J414" s="25" t="n">
        <f aca="false">J413/I413-1</f>
        <v>-0.0831686887265656</v>
      </c>
    </row>
    <row r="415" customFormat="false" ht="17.15" hidden="false" customHeight="false" outlineLevel="0" collapsed="false">
      <c r="A415" s="3" t="s">
        <v>531</v>
      </c>
      <c r="B415" s="0" t="s">
        <v>49</v>
      </c>
      <c r="C415" s="17" t="n">
        <f aca="false">C410/C395</f>
        <v>0.160105992933804</v>
      </c>
      <c r="D415" s="17" t="n">
        <f aca="false">D410/D395</f>
        <v>0.186872140996471</v>
      </c>
      <c r="E415" s="17" t="n">
        <f aca="false">E410/E395</f>
        <v>0.213405625175064</v>
      </c>
      <c r="F415" s="17" t="n">
        <f aca="false">F410/F395</f>
        <v>0.223478037946861</v>
      </c>
      <c r="G415" s="17" t="n">
        <f aca="false">G410/G395</f>
        <v>0.225679627238438</v>
      </c>
      <c r="H415" s="25" t="n">
        <f aca="false">$G415+(fade_mB-$G415)*1/3</f>
        <v>0.205389763649112</v>
      </c>
      <c r="I415" s="25" t="n">
        <f aca="false">$G415+(fade_mB-$G415)*2/3</f>
        <v>0.185099900059787</v>
      </c>
      <c r="J415" s="25" t="n">
        <f aca="false">$G415+(fade_mB-$G415)*3/3</f>
        <v>0.164810036470462</v>
      </c>
    </row>
    <row r="418" customFormat="false" ht="17.15" hidden="false" customHeight="false" outlineLevel="0" collapsed="false">
      <c r="A418" s="1" t="s">
        <v>830</v>
      </c>
    </row>
    <row r="419" customFormat="false" ht="17.15" hidden="false" customHeight="false" outlineLevel="0" collapsed="false">
      <c r="A419" s="4" t="s">
        <v>18</v>
      </c>
      <c r="B419" s="4" t="s">
        <v>19</v>
      </c>
      <c r="C419" s="14" t="s">
        <v>382</v>
      </c>
      <c r="D419" s="14" t="s">
        <v>472</v>
      </c>
      <c r="E419" s="14" t="s">
        <v>473</v>
      </c>
      <c r="F419" s="14" t="s">
        <v>474</v>
      </c>
      <c r="G419" s="14" t="s">
        <v>475</v>
      </c>
      <c r="H419" s="14" t="s">
        <v>476</v>
      </c>
      <c r="I419" s="14" t="s">
        <v>477</v>
      </c>
      <c r="J419" s="14" t="s">
        <v>478</v>
      </c>
      <c r="K419" s="4" t="s">
        <v>436</v>
      </c>
    </row>
    <row r="420" customFormat="false" ht="17.15" hidden="false" customHeight="false" outlineLevel="0" collapsed="false">
      <c r="A420" s="5" t="s">
        <v>494</v>
      </c>
    </row>
    <row r="421" customFormat="false" ht="17.15" hidden="false" customHeight="false" outlineLevel="0" collapsed="false">
      <c r="A421" s="0" t="s">
        <v>495</v>
      </c>
      <c r="B421" s="0" t="s">
        <v>29</v>
      </c>
      <c r="D421" s="23" t="n">
        <f aca="false">itc_26*1</f>
        <v>781.872916666667</v>
      </c>
      <c r="E421" s="23" t="n">
        <f aca="false">itc_27*1*1</f>
        <v>1565.35</v>
      </c>
      <c r="F421" s="23" t="n">
        <f aca="false">itc_28*um28_B*1</f>
        <v>1587.41111111111</v>
      </c>
      <c r="G421" s="23" t="n">
        <f aca="false">itc_29*um29_B*1</f>
        <v>1921.33173611111</v>
      </c>
    </row>
    <row r="422" customFormat="false" ht="17.15" hidden="false" customHeight="false" outlineLevel="0" collapsed="false">
      <c r="A422" s="3" t="s">
        <v>496</v>
      </c>
      <c r="B422" s="0" t="s">
        <v>29</v>
      </c>
      <c r="D422" s="23" t="n">
        <f aca="false">itpg_gb*(1-vr26)+itpg_vr*vr26</f>
        <v>33.41403216</v>
      </c>
      <c r="E422" s="23" t="n">
        <f aca="false">itpg_vr</f>
        <v>37.586352</v>
      </c>
      <c r="F422" s="23" t="n">
        <f aca="false">itpg_vr</f>
        <v>37.586352</v>
      </c>
      <c r="G422" s="23" t="n">
        <f aca="false">itpg_vr</f>
        <v>37.586352</v>
      </c>
    </row>
    <row r="423" customFormat="false" ht="17.15" hidden="false" customHeight="false" outlineLevel="0" collapsed="false">
      <c r="A423" s="3" t="s">
        <v>497</v>
      </c>
      <c r="B423" s="0" t="s">
        <v>438</v>
      </c>
      <c r="D423" s="20" t="n">
        <f aca="false">D421/D422</f>
        <v>23.3995380420639</v>
      </c>
      <c r="E423" s="20" t="n">
        <f aca="false">E421/E422</f>
        <v>41.6467658260637</v>
      </c>
      <c r="F423" s="20" t="n">
        <f aca="false">F421/F422</f>
        <v>42.2337105529984</v>
      </c>
      <c r="G423" s="20" t="n">
        <f aca="false">G421/G422</f>
        <v>51.1178029756948</v>
      </c>
    </row>
    <row r="424" customFormat="false" ht="17.15" hidden="false" customHeight="false" outlineLevel="0" collapsed="false">
      <c r="A424" s="3" t="s">
        <v>442</v>
      </c>
      <c r="B424" s="0" t="s">
        <v>90</v>
      </c>
      <c r="D424" s="21" t="n">
        <f aca="false">vg_cmp26</f>
        <v>280</v>
      </c>
      <c r="E424" s="21" t="n">
        <f aca="false">(vg_cmp26+(vg_cmp27-vg_cmp26)*pgwf)</f>
        <v>420</v>
      </c>
      <c r="F424" s="21" t="n">
        <f aca="false">(vg_cmp26+(vg_cmp28-vg_cmp26)*pgwf)</f>
        <v>462</v>
      </c>
      <c r="G424" s="21" t="n">
        <f aca="false">(vg_cmp26+(vg_cmp29-vg_cmp26)*pgwf)</f>
        <v>504</v>
      </c>
    </row>
    <row r="425" customFormat="false" ht="17.15" hidden="false" customHeight="false" outlineLevel="0" collapsed="false">
      <c r="A425" s="3" t="s">
        <v>444</v>
      </c>
      <c r="B425" s="0" t="s">
        <v>90</v>
      </c>
      <c r="D425" s="21" t="n">
        <f aca="false">vg_sw26</f>
        <v>120</v>
      </c>
      <c r="E425" s="21" t="n">
        <f aca="false">(vg_sw26+(vg_sw27-vg_sw26)*pgwf)</f>
        <v>162</v>
      </c>
      <c r="F425" s="21" t="n">
        <f aca="false">(vg_sw26+(vg_sw28-vg_sw26)*pgwf)</f>
        <v>180</v>
      </c>
      <c r="G425" s="21" t="n">
        <f aca="false">(vg_sw26+(vg_sw29-vg_sw26)*pgwf)</f>
        <v>198</v>
      </c>
    </row>
    <row r="426" customFormat="false" ht="17.15" hidden="false" customHeight="false" outlineLevel="0" collapsed="false">
      <c r="A426" s="3" t="s">
        <v>498</v>
      </c>
      <c r="B426" s="0" t="s">
        <v>90</v>
      </c>
      <c r="D426" s="21" t="n">
        <f aca="false">vg_mid26*w_mid</f>
        <v>25</v>
      </c>
      <c r="E426" s="21" t="n">
        <f aca="false">(vg_mid26+(vg_mid27-vg_mid26)*pgwf)*w_mid</f>
        <v>50</v>
      </c>
      <c r="F426" s="21" t="n">
        <f aca="false">(vg_mid26+(vg_mid28-vg_mid26)*pgwf)*w_mid</f>
        <v>75</v>
      </c>
      <c r="G426" s="21" t="n">
        <f aca="false">(vg_mid26+(vg_mid29-vg_mid26)*pgwf)*w_mid</f>
        <v>87.5</v>
      </c>
    </row>
    <row r="427" customFormat="false" ht="17.15" hidden="false" customHeight="false" outlineLevel="0" collapsed="false">
      <c r="A427" s="3" t="s">
        <v>499</v>
      </c>
      <c r="B427" s="0" t="s">
        <v>90</v>
      </c>
      <c r="D427" s="21" t="n">
        <f aca="false">D424+D425+D426</f>
        <v>425</v>
      </c>
      <c r="E427" s="21" t="n">
        <f aca="false">E424+E425+E426</f>
        <v>632</v>
      </c>
      <c r="F427" s="21" t="n">
        <f aca="false">F424+F425+F426</f>
        <v>717</v>
      </c>
      <c r="G427" s="21" t="n">
        <f aca="false">G424+G425+G426</f>
        <v>789.5</v>
      </c>
    </row>
    <row r="428" customFormat="false" ht="17.15" hidden="false" customHeight="false" outlineLevel="0" collapsed="false">
      <c r="A428" s="3" t="s">
        <v>500</v>
      </c>
      <c r="B428" s="0" t="s">
        <v>29</v>
      </c>
      <c r="D428" s="23" t="n">
        <f aca="false">D423*D427/1000</f>
        <v>9.94480366787716</v>
      </c>
      <c r="E428" s="23" t="n">
        <f aca="false">E423*E427/1000</f>
        <v>26.3207560020722</v>
      </c>
      <c r="F428" s="23" t="n">
        <f aca="false">F423*F427/1000</f>
        <v>30.2815704664998</v>
      </c>
      <c r="G428" s="23" t="n">
        <f aca="false">G423*G427/1000</f>
        <v>40.3575054493111</v>
      </c>
    </row>
    <row r="429" customFormat="false" ht="17.15" hidden="false" customHeight="false" outlineLevel="0" collapsed="false">
      <c r="A429" s="3" t="s">
        <v>501</v>
      </c>
      <c r="B429" s="0" t="s">
        <v>184</v>
      </c>
      <c r="D429" s="22" t="n">
        <f aca="false">D428*fx</f>
        <v>318.233717372069</v>
      </c>
      <c r="E429" s="22" t="n">
        <f aca="false">E428*fx</f>
        <v>842.264192066312</v>
      </c>
      <c r="F429" s="22" t="n">
        <f aca="false">F428*fx</f>
        <v>969.010254927995</v>
      </c>
      <c r="G429" s="22" t="n">
        <f aca="false">G428*fx</f>
        <v>1291.44017437795</v>
      </c>
    </row>
    <row r="430" customFormat="false" ht="17.15" hidden="false" customHeight="false" outlineLevel="0" collapsed="false">
      <c r="A430" s="0" t="s">
        <v>502</v>
      </c>
      <c r="B430" s="0" t="s">
        <v>63</v>
      </c>
      <c r="D430" s="18" t="n">
        <f aca="false">1</f>
        <v>1</v>
      </c>
      <c r="E430" s="18" t="n">
        <f aca="false">pp_27</f>
        <v>1</v>
      </c>
      <c r="F430" s="18" t="n">
        <f aca="false">pp_28</f>
        <v>0.97</v>
      </c>
      <c r="G430" s="18" t="n">
        <f aca="false">pp_29</f>
        <v>0.94</v>
      </c>
    </row>
    <row r="431" customFormat="false" ht="17.15" hidden="false" customHeight="false" outlineLevel="0" collapsed="false">
      <c r="A431" s="3" t="s">
        <v>503</v>
      </c>
      <c r="B431" s="0" t="s">
        <v>49</v>
      </c>
      <c r="D431" s="17" t="n">
        <f aca="false">a26_ai/D429</f>
        <v>0.172842024579347</v>
      </c>
      <c r="K431" s="7" t="s">
        <v>504</v>
      </c>
    </row>
    <row r="432" customFormat="false" ht="17.15" hidden="false" customHeight="false" outlineLevel="0" collapsed="false">
      <c r="A432" s="3" t="s">
        <v>505</v>
      </c>
      <c r="B432" s="0" t="s">
        <v>63</v>
      </c>
      <c r="D432" s="18" t="n">
        <f aca="false">1</f>
        <v>1</v>
      </c>
      <c r="E432" s="18" t="n">
        <f aca="false">rel_27</f>
        <v>1</v>
      </c>
      <c r="F432" s="18" t="n">
        <f aca="false">rel_28</f>
        <v>0.95</v>
      </c>
      <c r="G432" s="18" t="n">
        <f aca="false">rel_29</f>
        <v>0.9</v>
      </c>
    </row>
    <row r="433" customFormat="false" ht="15" hidden="false" customHeight="false" outlineLevel="0" collapsed="false">
      <c r="A433" s="3" t="s">
        <v>454</v>
      </c>
      <c r="B433" s="0" t="s">
        <v>49</v>
      </c>
      <c r="D433" s="17" t="n">
        <f aca="false">$D$431*D432</f>
        <v>0.172842024579347</v>
      </c>
      <c r="E433" s="17" t="n">
        <f aca="false">$D$431*E432</f>
        <v>0.172842024579347</v>
      </c>
      <c r="F433" s="17" t="n">
        <f aca="false">$D$431*F432</f>
        <v>0.164199923350379</v>
      </c>
      <c r="G433" s="17" t="n">
        <f aca="false">$D$431*G432</f>
        <v>0.155557822121412</v>
      </c>
    </row>
    <row r="434" customFormat="false" ht="17.15" hidden="false" customHeight="false" outlineLevel="0" collapsed="false">
      <c r="A434" s="0" t="s">
        <v>506</v>
      </c>
      <c r="B434" s="0" t="s">
        <v>184</v>
      </c>
      <c r="D434" s="22" t="n">
        <f aca="false">D429*D433*D430</f>
        <v>55.00416</v>
      </c>
      <c r="E434" s="22" t="n">
        <f aca="false">E429*E433*E430</f>
        <v>145.578648187429</v>
      </c>
      <c r="F434" s="22" t="n">
        <f aca="false">F429*F433*F430</f>
        <v>154.338067297361</v>
      </c>
      <c r="G434" s="22" t="n">
        <f aca="false">G429*G433*G430</f>
        <v>188.840003670751</v>
      </c>
    </row>
    <row r="435" customFormat="false" ht="17.15" hidden="false" customHeight="false" outlineLevel="0" collapsed="false">
      <c r="A435" s="5" t="s">
        <v>507</v>
      </c>
    </row>
    <row r="436" customFormat="false" ht="17.15" hidden="false" customHeight="false" outlineLevel="0" collapsed="false">
      <c r="A436" s="3" t="s">
        <v>508</v>
      </c>
      <c r="B436" s="0" t="s">
        <v>63</v>
      </c>
      <c r="D436" s="18" t="n">
        <f aca="false">1</f>
        <v>1</v>
      </c>
      <c r="E436" s="18" t="n">
        <f aca="false">CAPLO_27</f>
        <v>1.3</v>
      </c>
      <c r="F436" s="18" t="n">
        <f aca="false">CAPLO_28</f>
        <v>1.6</v>
      </c>
      <c r="G436" s="18" t="n">
        <f aca="false">CAPLO_29</f>
        <v>1.9</v>
      </c>
      <c r="K436" s="7" t="s">
        <v>509</v>
      </c>
    </row>
    <row r="437" customFormat="false" ht="17.15" hidden="false" customHeight="false" outlineLevel="0" collapsed="false">
      <c r="A437" s="3" t="s">
        <v>510</v>
      </c>
      <c r="B437" s="0" t="s">
        <v>184</v>
      </c>
      <c r="D437" s="22" t="n">
        <f aca="false">a26_rev*D436*D430</f>
        <v>105.40752</v>
      </c>
      <c r="E437" s="22" t="n">
        <f aca="false">a26_rev*E436*E430</f>
        <v>137.029776</v>
      </c>
      <c r="F437" s="22" t="n">
        <f aca="false">a26_rev*F436*F430</f>
        <v>163.59247104</v>
      </c>
      <c r="G437" s="22" t="n">
        <f aca="false">a26_rev*G436*G430</f>
        <v>188.25783072</v>
      </c>
    </row>
    <row r="438" customFormat="false" ht="17.15" hidden="false" customHeight="false" outlineLevel="0" collapsed="false">
      <c r="A438" s="3" t="s">
        <v>511</v>
      </c>
      <c r="B438" s="0" t="s">
        <v>184</v>
      </c>
      <c r="C438" s="22" t="n">
        <f aca="false">a25_nai</f>
        <v>42.0028</v>
      </c>
      <c r="D438" s="22" t="n">
        <f aca="false">a26_nai</f>
        <v>50.40336</v>
      </c>
      <c r="E438" s="22" t="n">
        <f aca="false">D438*(1+g_nai27)</f>
        <v>52.923528</v>
      </c>
      <c r="F438" s="22" t="n">
        <f aca="false">E438*(1+g_nai28)</f>
        <v>54.51123384</v>
      </c>
      <c r="G438" s="22" t="n">
        <f aca="false">F438*(1+g_nai29)</f>
        <v>56.1465708552</v>
      </c>
    </row>
    <row r="439" customFormat="false" ht="17.15" hidden="false" customHeight="false" outlineLevel="0" collapsed="false">
      <c r="A439" s="0" t="s">
        <v>512</v>
      </c>
      <c r="B439" s="0" t="s">
        <v>184</v>
      </c>
      <c r="C439" s="22" t="n">
        <f aca="false">a25_ai</f>
        <v>18.0012</v>
      </c>
      <c r="D439" s="22" t="n">
        <f aca="false">D434</f>
        <v>55.00416</v>
      </c>
      <c r="E439" s="22" t="n">
        <f aca="false">MIN(E434,E437-E438)</f>
        <v>84.106248</v>
      </c>
      <c r="F439" s="22" t="n">
        <f aca="false">MIN(F434,F437-F438)</f>
        <v>109.0812372</v>
      </c>
      <c r="G439" s="22" t="n">
        <f aca="false">MIN(G434,G437-G438)</f>
        <v>132.1112598648</v>
      </c>
      <c r="K439" s="3" t="s">
        <v>513</v>
      </c>
    </row>
    <row r="440" customFormat="false" ht="15" hidden="false" customHeight="false" outlineLevel="0" collapsed="false">
      <c r="A440" s="3" t="s">
        <v>514</v>
      </c>
      <c r="E440" s="0" t="str">
        <f aca="false">IF(E434&gt;E437-E438+0.0001,"受限","未受限")</f>
        <v>受限</v>
      </c>
      <c r="F440" s="0" t="str">
        <f aca="false">IF(F434&gt;F437-F438+0.0001,"受限","未受限")</f>
        <v>受限</v>
      </c>
      <c r="G440" s="0" t="str">
        <f aca="false">IF(G434&gt;G437-G438+0.0001,"受限","未受限")</f>
        <v>受限</v>
      </c>
    </row>
    <row r="441" customFormat="false" ht="17.15" hidden="false" customHeight="false" outlineLevel="0" collapsed="false">
      <c r="A441" s="3" t="s">
        <v>387</v>
      </c>
      <c r="B441" s="0" t="s">
        <v>184</v>
      </c>
      <c r="C441" s="22" t="n">
        <f aca="false">C439+C438</f>
        <v>60.004</v>
      </c>
      <c r="D441" s="22" t="n">
        <f aca="false">D439+D438</f>
        <v>105.40752</v>
      </c>
      <c r="E441" s="22" t="n">
        <f aca="false">E439+E438</f>
        <v>137.029776</v>
      </c>
      <c r="F441" s="22" t="n">
        <f aca="false">F439+F438</f>
        <v>163.59247104</v>
      </c>
      <c r="G441" s="22" t="n">
        <f aca="false">G439+G438</f>
        <v>188.25783072</v>
      </c>
      <c r="H441" s="24" t="n">
        <f aca="false">G441*(1+H442)</f>
        <v>209.690758320528</v>
      </c>
      <c r="I441" s="24" t="n">
        <f aca="false">H441*(1+I442)</f>
        <v>225.821093801645</v>
      </c>
      <c r="J441" s="24" t="n">
        <f aca="false">I441*(1+J442)</f>
        <v>234.853937553711</v>
      </c>
      <c r="K441" s="7" t="s">
        <v>515</v>
      </c>
    </row>
    <row r="442" customFormat="false" ht="15" hidden="false" customHeight="false" outlineLevel="0" collapsed="false">
      <c r="A442" s="3" t="s">
        <v>516</v>
      </c>
      <c r="B442" s="0" t="s">
        <v>49</v>
      </c>
      <c r="D442" s="17" t="n">
        <f aca="false">D441/C441-1</f>
        <v>0.756674888340778</v>
      </c>
      <c r="E442" s="17" t="n">
        <f aca="false">E441/D441-1</f>
        <v>0.3</v>
      </c>
      <c r="F442" s="17" t="n">
        <f aca="false">F441/E441-1</f>
        <v>0.193846153846154</v>
      </c>
      <c r="G442" s="17" t="n">
        <f aca="false">G441/F441-1</f>
        <v>0.150773195876289</v>
      </c>
      <c r="H442" s="25" t="n">
        <f aca="false">$G442+(fade_gB-$G442)*1/3</f>
        <v>0.113848797250859</v>
      </c>
      <c r="I442" s="25" t="n">
        <f aca="false">$G442+(fade_gB-$G442)*2/3</f>
        <v>0.0769243986254295</v>
      </c>
      <c r="J442" s="25" t="n">
        <f aca="false">$G442+(fade_gB-$G442)*3/3</f>
        <v>0.04</v>
      </c>
    </row>
    <row r="443" customFormat="false" ht="17.15" hidden="false" customHeight="false" outlineLevel="0" collapsed="false">
      <c r="A443" s="0" t="s">
        <v>517</v>
      </c>
      <c r="B443" s="0" t="s">
        <v>49</v>
      </c>
      <c r="C443" s="17" t="n">
        <f aca="false">C439/C441</f>
        <v>0.3</v>
      </c>
      <c r="D443" s="17" t="n">
        <f aca="false">D439/D441</f>
        <v>0.521823869871903</v>
      </c>
      <c r="E443" s="17" t="n">
        <f aca="false">E439/E441</f>
        <v>0.61378081797346</v>
      </c>
      <c r="F443" s="17" t="n">
        <f aca="false">F439/F441</f>
        <v>0.666786414475814</v>
      </c>
      <c r="G443" s="17" t="n">
        <f aca="false">G439/G441</f>
        <v>0.701757049677747</v>
      </c>
    </row>
    <row r="444" customFormat="false" ht="17.15" hidden="false" customHeight="false" outlineLevel="0" collapsed="false">
      <c r="A444" s="3" t="s">
        <v>518</v>
      </c>
      <c r="B444" s="0" t="s">
        <v>49</v>
      </c>
      <c r="D444" s="17" t="n">
        <f aca="false">(D434+D438)/D437</f>
        <v>1</v>
      </c>
      <c r="E444" s="17" t="n">
        <f aca="false">(E434+E438)/E437</f>
        <v>1.44860614956729</v>
      </c>
      <c r="F444" s="17" t="n">
        <f aca="false">(F434+F438)/F437</f>
        <v>1.27664372210806</v>
      </c>
      <c r="G444" s="17" t="n">
        <f aca="false">(G434+G438)/G437</f>
        <v>1.30133537388054</v>
      </c>
      <c r="K444" s="3" t="s">
        <v>519</v>
      </c>
    </row>
    <row r="445" customFormat="false" ht="17.15" hidden="false" customHeight="false" outlineLevel="0" collapsed="false">
      <c r="A445" s="3" t="s">
        <v>458</v>
      </c>
      <c r="B445" s="0" t="s">
        <v>90</v>
      </c>
      <c r="D445" s="21" t="n">
        <f aca="false">D439/fx/D423*1000</f>
        <v>73.4578604462223</v>
      </c>
      <c r="E445" s="21" t="n">
        <f aca="false">E439/fx/E423*1000</f>
        <v>63.1098285273121</v>
      </c>
      <c r="F445" s="21" t="n">
        <f aca="false">F439/fx/F423*1000</f>
        <v>80.7125070912812</v>
      </c>
      <c r="G445" s="21" t="n">
        <f aca="false">G439/fx/G423*1000</f>
        <v>80.7639732235359</v>
      </c>
    </row>
    <row r="446" customFormat="false" ht="17.15" hidden="false" customHeight="false" outlineLevel="0" collapsed="false">
      <c r="A446" s="5" t="s">
        <v>520</v>
      </c>
    </row>
    <row r="447" customFormat="false" ht="17.15" hidden="false" customHeight="false" outlineLevel="0" collapsed="false">
      <c r="A447" s="3" t="s">
        <v>521</v>
      </c>
      <c r="B447" s="0" t="s">
        <v>49</v>
      </c>
      <c r="D447" s="17" t="n">
        <f aca="false">a26_gp/D441-d_ai*D443</f>
        <v>0.296655205435058</v>
      </c>
      <c r="K447" s="7" t="s">
        <v>522</v>
      </c>
    </row>
    <row r="448" customFormat="false" ht="17.15" hidden="false" customHeight="false" outlineLevel="0" collapsed="false">
      <c r="A448" s="0" t="s">
        <v>523</v>
      </c>
      <c r="B448" s="0" t="s">
        <v>49</v>
      </c>
      <c r="D448" s="17" t="n">
        <f aca="false">D447+d_ai</f>
        <v>0.396655205435058</v>
      </c>
      <c r="E448" s="17" t="n">
        <f aca="false">1-(1-$D$448)/E430+gmu_27</f>
        <v>0.406655205435058</v>
      </c>
      <c r="F448" s="17" t="n">
        <f aca="false">1-(1-$D$448)/F430+gmu_28</f>
        <v>0.392995057149545</v>
      </c>
      <c r="G448" s="17" t="n">
        <f aca="false">1-(1-$D$448)/G430+gmu_29</f>
        <v>0.378143835569211</v>
      </c>
      <c r="K448" s="7" t="s">
        <v>524</v>
      </c>
    </row>
    <row r="449" customFormat="false" ht="15" hidden="false" customHeight="false" outlineLevel="0" collapsed="false">
      <c r="A449" s="3" t="s">
        <v>391</v>
      </c>
      <c r="B449" s="0" t="s">
        <v>184</v>
      </c>
      <c r="C449" s="22" t="n">
        <f aca="false">a25_gp</f>
        <v>19.683</v>
      </c>
      <c r="D449" s="22" t="n">
        <f aca="false">a26_gp</f>
        <v>36.7701055</v>
      </c>
      <c r="E449" s="22" t="n">
        <f aca="false">E439*E448+E438*$D$447</f>
        <v>49.90228363</v>
      </c>
      <c r="F449" s="22" t="n">
        <f aca="false">F439*F448+F438*$D$447</f>
        <v>59.0394283206807</v>
      </c>
      <c r="G449" s="22" t="n">
        <f aca="false">G439*G448+G438*$D$447</f>
        <v>66.6132310386796</v>
      </c>
    </row>
    <row r="450" customFormat="false" ht="15" hidden="false" customHeight="false" outlineLevel="0" collapsed="false">
      <c r="A450" s="3" t="s">
        <v>394</v>
      </c>
      <c r="B450" s="0" t="s">
        <v>49</v>
      </c>
      <c r="C450" s="17" t="n">
        <f aca="false">C449/C441</f>
        <v>0.328028131457903</v>
      </c>
      <c r="D450" s="17" t="n">
        <f aca="false">D449/D441</f>
        <v>0.348837592422248</v>
      </c>
      <c r="E450" s="17" t="n">
        <f aca="false">E449/E441</f>
        <v>0.364171095412139</v>
      </c>
      <c r="F450" s="17" t="n">
        <f aca="false">F449/F441</f>
        <v>0.360893309730892</v>
      </c>
      <c r="G450" s="17" t="n">
        <f aca="false">G449/G441</f>
        <v>0.353840426100282</v>
      </c>
    </row>
    <row r="451" customFormat="false" ht="15" hidden="false" customHeight="false" outlineLevel="0" collapsed="false">
      <c r="A451" s="3" t="s">
        <v>525</v>
      </c>
      <c r="B451" s="0" t="s">
        <v>184</v>
      </c>
      <c r="C451" s="22" t="n">
        <f aca="false">a25_opx</f>
        <v>5.64</v>
      </c>
      <c r="D451" s="22" t="n">
        <f aca="false">a26_opx</f>
        <v>8.4779754</v>
      </c>
      <c r="E451" s="22" t="n">
        <f aca="false">D451*(1+MAX(0,phi*E442))</f>
        <v>10.004010972</v>
      </c>
      <c r="F451" s="22" t="n">
        <f aca="false">E451*(1+MAX(0,phi*F442))</f>
        <v>11.1675544019742</v>
      </c>
      <c r="G451" s="22" t="n">
        <f aca="false">F451*(1+MAX(0,phi*G442))</f>
        <v>12.1778151223589</v>
      </c>
    </row>
    <row r="452" customFormat="false" ht="15" hidden="false" customHeight="false" outlineLevel="0" collapsed="false">
      <c r="A452" s="3" t="s">
        <v>396</v>
      </c>
      <c r="B452" s="0" t="s">
        <v>184</v>
      </c>
      <c r="C452" s="22" t="n">
        <f aca="false">C451</f>
        <v>5.64</v>
      </c>
      <c r="D452" s="22" t="n">
        <f aca="false">D451</f>
        <v>8.4779754</v>
      </c>
      <c r="E452" s="22" t="n">
        <f aca="false">E451+0*E441</f>
        <v>10.004010972</v>
      </c>
      <c r="F452" s="22" t="n">
        <f aca="false">F451+0*F441</f>
        <v>11.1675544019742</v>
      </c>
      <c r="G452" s="22" t="n">
        <f aca="false">G451+0*G441</f>
        <v>12.1778151223589</v>
      </c>
    </row>
    <row r="453" customFormat="false" ht="15" hidden="false" customHeight="false" outlineLevel="0" collapsed="false">
      <c r="A453" s="3" t="s">
        <v>526</v>
      </c>
      <c r="B453" s="0" t="s">
        <v>184</v>
      </c>
      <c r="C453" s="22" t="n">
        <f aca="false">C449-C452</f>
        <v>14.043</v>
      </c>
      <c r="D453" s="22" t="n">
        <f aca="false">D449-D452</f>
        <v>28.2921301</v>
      </c>
      <c r="E453" s="22" t="n">
        <f aca="false">E449-E452</f>
        <v>39.898272658</v>
      </c>
      <c r="F453" s="22" t="n">
        <f aca="false">F449-F452</f>
        <v>47.8718739187066</v>
      </c>
      <c r="G453" s="22" t="n">
        <f aca="false">G449-G452</f>
        <v>54.4354159163207</v>
      </c>
    </row>
    <row r="454" customFormat="false" ht="15" hidden="false" customHeight="false" outlineLevel="0" collapsed="false">
      <c r="A454" s="3" t="s">
        <v>402</v>
      </c>
      <c r="B454" s="0" t="s">
        <v>49</v>
      </c>
      <c r="C454" s="17" t="n">
        <f aca="false">C453/C441</f>
        <v>0.23403439770682</v>
      </c>
      <c r="D454" s="17" t="n">
        <f aca="false">D453/D441</f>
        <v>0.268407131673338</v>
      </c>
      <c r="E454" s="17" t="n">
        <f aca="false">E453/E441</f>
        <v>0.291164984886205</v>
      </c>
      <c r="F454" s="17" t="n">
        <f aca="false">F453/F441</f>
        <v>0.29262883318757</v>
      </c>
      <c r="G454" s="17" t="n">
        <f aca="false">G453/G441</f>
        <v>0.289153527946913</v>
      </c>
    </row>
    <row r="455" customFormat="false" ht="17.15" hidden="false" customHeight="false" outlineLevel="0" collapsed="false">
      <c r="A455" s="3" t="s">
        <v>403</v>
      </c>
      <c r="B455" s="0" t="s">
        <v>184</v>
      </c>
      <c r="E455" s="22" t="n">
        <f aca="false">nop_f</f>
        <v>0</v>
      </c>
      <c r="F455" s="22" t="n">
        <f aca="false">nop_f</f>
        <v>0</v>
      </c>
      <c r="G455" s="22" t="n">
        <f aca="false">nop_f</f>
        <v>0</v>
      </c>
      <c r="K455" s="7" t="s">
        <v>527</v>
      </c>
    </row>
    <row r="456" customFormat="false" ht="15" hidden="false" customHeight="false" outlineLevel="0" collapsed="false">
      <c r="A456" s="3" t="s">
        <v>408</v>
      </c>
      <c r="B456" s="0" t="s">
        <v>184</v>
      </c>
      <c r="C456" s="22" t="n">
        <f aca="false">a25_ni</f>
        <v>9.607</v>
      </c>
      <c r="D456" s="22" t="n">
        <f aca="false">a26_ni</f>
        <v>19.6977289395284</v>
      </c>
      <c r="E456" s="22" t="n">
        <f aca="false">(E453+E455)*nir_f</f>
        <v>27.33031677073</v>
      </c>
      <c r="F456" s="22" t="n">
        <f aca="false">(F453+F455)*nir_f</f>
        <v>32.792233634314</v>
      </c>
      <c r="G456" s="22" t="n">
        <f aca="false">(G453+G455)*nir_f</f>
        <v>37.2882599026797</v>
      </c>
      <c r="H456" s="24" t="n">
        <f aca="false">H441*H461</f>
        <v>39.2087028048931</v>
      </c>
      <c r="I456" s="24" t="n">
        <f aca="false">I441*I461</f>
        <v>39.7211956971457</v>
      </c>
      <c r="J456" s="24" t="n">
        <f aca="false">J441*J461</f>
        <v>38.7062860134586</v>
      </c>
    </row>
    <row r="457" customFormat="false" ht="17.15" hidden="false" customHeight="false" outlineLevel="0" collapsed="false">
      <c r="A457" s="3" t="s">
        <v>411</v>
      </c>
      <c r="B457" s="0" t="s">
        <v>49</v>
      </c>
      <c r="C457" s="17" t="n">
        <f aca="false">C456/C453</f>
        <v>0.684113081250445</v>
      </c>
      <c r="D457" s="17" t="n">
        <f aca="false">D456/D453</f>
        <v>0.696226437171953</v>
      </c>
      <c r="E457" s="17" t="n">
        <f aca="false">E456/E453</f>
        <v>0.685</v>
      </c>
      <c r="F457" s="17" t="n">
        <f aca="false">F456/F453</f>
        <v>0.685</v>
      </c>
      <c r="G457" s="17" t="n">
        <f aca="false">G456/G453</f>
        <v>0.685</v>
      </c>
    </row>
    <row r="458" customFormat="false" ht="17.15" hidden="false" customHeight="false" outlineLevel="0" collapsed="false">
      <c r="A458" s="3" t="s">
        <v>528</v>
      </c>
      <c r="B458" s="3" t="s">
        <v>214</v>
      </c>
      <c r="C458" s="27" t="n">
        <f aca="false">a25_sh</f>
        <v>0.493425783256292</v>
      </c>
      <c r="D458" s="27" t="n">
        <f aca="false">a26_sh</f>
        <v>0.512980850061958</v>
      </c>
      <c r="E458" s="27" t="n">
        <f aca="false">sh_h2*(1+sh_g)</f>
        <v>0.51889356</v>
      </c>
      <c r="F458" s="27" t="n">
        <f aca="false">E458*(1+sh_g)</f>
        <v>0.5240824956</v>
      </c>
      <c r="G458" s="27" t="n">
        <f aca="false">F458*(1+sh_g)</f>
        <v>0.529323320556</v>
      </c>
      <c r="H458" s="28" t="n">
        <f aca="false">G458*(1+sh_g)</f>
        <v>0.53461655376156</v>
      </c>
      <c r="I458" s="28" t="n">
        <f aca="false">H458*(1+sh_g)</f>
        <v>0.539962719299176</v>
      </c>
      <c r="J458" s="28" t="n">
        <f aca="false">I458*(1+sh_g)</f>
        <v>0.545362346492167</v>
      </c>
      <c r="K458" s="7" t="s">
        <v>529</v>
      </c>
    </row>
    <row r="459" customFormat="false" ht="15" hidden="false" customHeight="false" outlineLevel="0" collapsed="false">
      <c r="A459" s="0" t="s">
        <v>414</v>
      </c>
      <c r="B459" s="0" t="s">
        <v>252</v>
      </c>
      <c r="C459" s="23" t="n">
        <f aca="false">C456/C458</f>
        <v>19.47</v>
      </c>
      <c r="D459" s="23" t="n">
        <f aca="false">D456/D458</f>
        <v>38.3985658278458</v>
      </c>
      <c r="E459" s="23" t="n">
        <f aca="false">E456/E458</f>
        <v>52.67037187883</v>
      </c>
      <c r="F459" s="23" t="n">
        <f aca="false">F456/F458</f>
        <v>62.5707477536939</v>
      </c>
      <c r="G459" s="23" t="n">
        <f aca="false">G456/G458</f>
        <v>70.4451484652371</v>
      </c>
      <c r="H459" s="29" t="n">
        <f aca="false">H456/H458</f>
        <v>73.3398592486911</v>
      </c>
      <c r="I459" s="29" t="n">
        <f aca="false">I456/I458</f>
        <v>73.5628484660947</v>
      </c>
      <c r="J459" s="29" t="n">
        <f aca="false">J456/J458</f>
        <v>70.9735211138462</v>
      </c>
    </row>
    <row r="460" customFormat="false" ht="17.15" hidden="false" customHeight="false" outlineLevel="0" collapsed="false">
      <c r="A460" s="0" t="s">
        <v>530</v>
      </c>
      <c r="B460" s="0" t="s">
        <v>49</v>
      </c>
      <c r="D460" s="17" t="n">
        <f aca="false">D459/C459-1</f>
        <v>0.9721913624985</v>
      </c>
      <c r="E460" s="17" t="n">
        <f aca="false">E459/D459-1</f>
        <v>0.37167549733419</v>
      </c>
      <c r="F460" s="17" t="n">
        <f aca="false">F459/E459-1</f>
        <v>0.187968596417736</v>
      </c>
      <c r="G460" s="17" t="n">
        <f aca="false">G459/F459-1</f>
        <v>0.125847956021562</v>
      </c>
      <c r="H460" s="25" t="n">
        <f aca="false">H459/G459-1</f>
        <v>0.0410916982435283</v>
      </c>
      <c r="I460" s="25" t="n">
        <f aca="false">I459/H459-1</f>
        <v>0.00304049148291119</v>
      </c>
      <c r="J460" s="25" t="n">
        <f aca="false">J459/I459-1</f>
        <v>-0.0351988456977964</v>
      </c>
    </row>
    <row r="461" customFormat="false" ht="17.15" hidden="false" customHeight="false" outlineLevel="0" collapsed="false">
      <c r="A461" s="3" t="s">
        <v>531</v>
      </c>
      <c r="B461" s="0" t="s">
        <v>49</v>
      </c>
      <c r="C461" s="17" t="n">
        <f aca="false">C456/C441</f>
        <v>0.160105992933804</v>
      </c>
      <c r="D461" s="17" t="n">
        <f aca="false">D456/D441</f>
        <v>0.186872140996471</v>
      </c>
      <c r="E461" s="17" t="n">
        <f aca="false">E456/E441</f>
        <v>0.19944801464705</v>
      </c>
      <c r="F461" s="17" t="n">
        <f aca="false">F456/F441</f>
        <v>0.200450750733486</v>
      </c>
      <c r="G461" s="17" t="n">
        <f aca="false">G456/G441</f>
        <v>0.198070166643635</v>
      </c>
      <c r="H461" s="25" t="n">
        <f aca="false">$G461+(fade_mB-$G461)*1/3</f>
        <v>0.186983456585911</v>
      </c>
      <c r="I461" s="25" t="n">
        <f aca="false">$G461+(fade_mB-$G461)*2/3</f>
        <v>0.175896746528186</v>
      </c>
      <c r="J461" s="25" t="n">
        <f aca="false">$G461+(fade_mB-$G461)*3/3</f>
        <v>0.164810036470462</v>
      </c>
    </row>
    <row r="464" customFormat="false" ht="17.15" hidden="false" customHeight="false" outlineLevel="0" collapsed="false">
      <c r="A464" s="1" t="s">
        <v>831</v>
      </c>
    </row>
    <row r="465" customFormat="false" ht="17.15" hidden="false" customHeight="false" outlineLevel="0" collapsed="false">
      <c r="A465" s="4" t="s">
        <v>18</v>
      </c>
      <c r="B465" s="4" t="s">
        <v>19</v>
      </c>
      <c r="C465" s="14" t="s">
        <v>382</v>
      </c>
      <c r="D465" s="14" t="s">
        <v>472</v>
      </c>
      <c r="E465" s="14" t="s">
        <v>473</v>
      </c>
      <c r="F465" s="14" t="s">
        <v>474</v>
      </c>
      <c r="G465" s="14" t="s">
        <v>475</v>
      </c>
      <c r="H465" s="14" t="s">
        <v>476</v>
      </c>
      <c r="I465" s="14" t="s">
        <v>477</v>
      </c>
      <c r="J465" s="14" t="s">
        <v>478</v>
      </c>
      <c r="K465" s="4" t="s">
        <v>436</v>
      </c>
    </row>
    <row r="466" customFormat="false" ht="17.15" hidden="false" customHeight="false" outlineLevel="0" collapsed="false">
      <c r="A466" s="5" t="s">
        <v>494</v>
      </c>
    </row>
    <row r="467" customFormat="false" ht="17.15" hidden="false" customHeight="false" outlineLevel="0" collapsed="false">
      <c r="A467" s="0" t="s">
        <v>495</v>
      </c>
      <c r="B467" s="0" t="s">
        <v>29</v>
      </c>
      <c r="D467" s="23" t="n">
        <f aca="false">itc_26*1</f>
        <v>781.872916666667</v>
      </c>
      <c r="E467" s="23" t="n">
        <f aca="false">itc_27*1*1</f>
        <v>1565.35</v>
      </c>
      <c r="F467" s="23" t="n">
        <f aca="false">itc_28*um28_B*1</f>
        <v>1587.41111111111</v>
      </c>
      <c r="G467" s="23" t="n">
        <f aca="false">itc_29*um29_B*1</f>
        <v>1921.33173611111</v>
      </c>
    </row>
    <row r="468" customFormat="false" ht="17.15" hidden="false" customHeight="false" outlineLevel="0" collapsed="false">
      <c r="A468" s="3" t="s">
        <v>496</v>
      </c>
      <c r="B468" s="0" t="s">
        <v>29</v>
      </c>
      <c r="D468" s="23" t="n">
        <f aca="false">itpg_gb*(1-vr26)+itpg_vr*vr26</f>
        <v>33.41403216</v>
      </c>
      <c r="E468" s="23" t="n">
        <f aca="false">itpg_vr</f>
        <v>37.586352</v>
      </c>
      <c r="F468" s="23" t="n">
        <f aca="false">itpg_vr</f>
        <v>37.586352</v>
      </c>
      <c r="G468" s="23" t="n">
        <f aca="false">itpg_vr</f>
        <v>37.586352</v>
      </c>
    </row>
    <row r="469" customFormat="false" ht="17.15" hidden="false" customHeight="false" outlineLevel="0" collapsed="false">
      <c r="A469" s="3" t="s">
        <v>497</v>
      </c>
      <c r="B469" s="0" t="s">
        <v>438</v>
      </c>
      <c r="D469" s="20" t="n">
        <f aca="false">D467/D468</f>
        <v>23.3995380420639</v>
      </c>
      <c r="E469" s="20" t="n">
        <f aca="false">E467/E468</f>
        <v>41.6467658260637</v>
      </c>
      <c r="F469" s="20" t="n">
        <f aca="false">F467/F468</f>
        <v>42.2337105529984</v>
      </c>
      <c r="G469" s="20" t="n">
        <f aca="false">G467/G468</f>
        <v>51.1178029756948</v>
      </c>
    </row>
    <row r="470" customFormat="false" ht="17.15" hidden="false" customHeight="false" outlineLevel="0" collapsed="false">
      <c r="A470" s="3" t="s">
        <v>442</v>
      </c>
      <c r="B470" s="0" t="s">
        <v>90</v>
      </c>
      <c r="D470" s="21" t="n">
        <f aca="false">vg_cmp26</f>
        <v>280</v>
      </c>
      <c r="E470" s="21" t="n">
        <f aca="false">(vg_cmp26+(vg_cmp27-vg_cmp26)*pgwf)</f>
        <v>420</v>
      </c>
      <c r="F470" s="21" t="n">
        <f aca="false">(vg_cmp26+(vg_cmp28-vg_cmp26)*pgwf)</f>
        <v>462</v>
      </c>
      <c r="G470" s="21" t="n">
        <f aca="false">(vg_cmp26+(vg_cmp29-vg_cmp26)*pgwf)</f>
        <v>504</v>
      </c>
    </row>
    <row r="471" customFormat="false" ht="17.15" hidden="false" customHeight="false" outlineLevel="0" collapsed="false">
      <c r="A471" s="3" t="s">
        <v>444</v>
      </c>
      <c r="B471" s="0" t="s">
        <v>90</v>
      </c>
      <c r="D471" s="21" t="n">
        <f aca="false">vg_sw26</f>
        <v>120</v>
      </c>
      <c r="E471" s="21" t="n">
        <f aca="false">(vg_sw26+(vg_sw27-vg_sw26)*pgwf)</f>
        <v>162</v>
      </c>
      <c r="F471" s="21" t="n">
        <f aca="false">(vg_sw26+(vg_sw28-vg_sw26)*pgwf)</f>
        <v>180</v>
      </c>
      <c r="G471" s="21" t="n">
        <f aca="false">(vg_sw26+(vg_sw29-vg_sw26)*pgwf)</f>
        <v>198</v>
      </c>
    </row>
    <row r="472" customFormat="false" ht="17.15" hidden="false" customHeight="false" outlineLevel="0" collapsed="false">
      <c r="A472" s="3" t="s">
        <v>498</v>
      </c>
      <c r="B472" s="0" t="s">
        <v>90</v>
      </c>
      <c r="D472" s="21" t="n">
        <f aca="false">vg_mid26*w_mid</f>
        <v>25</v>
      </c>
      <c r="E472" s="21" t="n">
        <f aca="false">(vg_mid26+(vg_mid27-vg_mid26)*pgwf)*w_mid</f>
        <v>50</v>
      </c>
      <c r="F472" s="21" t="n">
        <f aca="false">(vg_mid26+(vg_mid28-vg_mid26)*pgwf)*w_mid</f>
        <v>75</v>
      </c>
      <c r="G472" s="21" t="n">
        <f aca="false">(vg_mid26+(vg_mid29-vg_mid26)*pgwf)*w_mid</f>
        <v>87.5</v>
      </c>
    </row>
    <row r="473" customFormat="false" ht="17.15" hidden="false" customHeight="false" outlineLevel="0" collapsed="false">
      <c r="A473" s="3" t="s">
        <v>499</v>
      </c>
      <c r="B473" s="0" t="s">
        <v>90</v>
      </c>
      <c r="D473" s="21" t="n">
        <f aca="false">D470+D471+D472</f>
        <v>425</v>
      </c>
      <c r="E473" s="21" t="n">
        <f aca="false">E470+E471+E472</f>
        <v>632</v>
      </c>
      <c r="F473" s="21" t="n">
        <f aca="false">F470+F471+F472</f>
        <v>717</v>
      </c>
      <c r="G473" s="21" t="n">
        <f aca="false">G470+G471+G472</f>
        <v>789.5</v>
      </c>
    </row>
    <row r="474" customFormat="false" ht="17.15" hidden="false" customHeight="false" outlineLevel="0" collapsed="false">
      <c r="A474" s="3" t="s">
        <v>500</v>
      </c>
      <c r="B474" s="0" t="s">
        <v>29</v>
      </c>
      <c r="D474" s="23" t="n">
        <f aca="false">D469*D473/1000</f>
        <v>9.94480366787716</v>
      </c>
      <c r="E474" s="23" t="n">
        <f aca="false">E469*E473/1000</f>
        <v>26.3207560020722</v>
      </c>
      <c r="F474" s="23" t="n">
        <f aca="false">F469*F473/1000</f>
        <v>30.2815704664998</v>
      </c>
      <c r="G474" s="23" t="n">
        <f aca="false">G469*G473/1000</f>
        <v>40.3575054493111</v>
      </c>
    </row>
    <row r="475" customFormat="false" ht="17.15" hidden="false" customHeight="false" outlineLevel="0" collapsed="false">
      <c r="A475" s="3" t="s">
        <v>501</v>
      </c>
      <c r="B475" s="0" t="s">
        <v>184</v>
      </c>
      <c r="D475" s="22" t="n">
        <f aca="false">D474*fx</f>
        <v>318.233717372069</v>
      </c>
      <c r="E475" s="22" t="n">
        <f aca="false">E474*fx</f>
        <v>842.264192066312</v>
      </c>
      <c r="F475" s="22" t="n">
        <f aca="false">F474*fx</f>
        <v>969.010254927995</v>
      </c>
      <c r="G475" s="22" t="n">
        <f aca="false">G474*fx</f>
        <v>1291.44017437795</v>
      </c>
    </row>
    <row r="476" customFormat="false" ht="17.15" hidden="false" customHeight="false" outlineLevel="0" collapsed="false">
      <c r="A476" s="0" t="s">
        <v>502</v>
      </c>
      <c r="B476" s="0" t="s">
        <v>63</v>
      </c>
      <c r="D476" s="18" t="n">
        <f aca="false">1</f>
        <v>1</v>
      </c>
      <c r="E476" s="18" t="n">
        <f aca="false">pp_27</f>
        <v>1</v>
      </c>
      <c r="F476" s="18" t="n">
        <f aca="false">pp_28</f>
        <v>0.97</v>
      </c>
      <c r="G476" s="18" t="n">
        <f aca="false">pp_29</f>
        <v>0.94</v>
      </c>
    </row>
    <row r="477" customFormat="false" ht="17.15" hidden="false" customHeight="false" outlineLevel="0" collapsed="false">
      <c r="A477" s="3" t="s">
        <v>503</v>
      </c>
      <c r="B477" s="0" t="s">
        <v>49</v>
      </c>
      <c r="D477" s="17" t="n">
        <f aca="false">a26_ai/D475</f>
        <v>0.172842024579347</v>
      </c>
      <c r="K477" s="7" t="s">
        <v>504</v>
      </c>
    </row>
    <row r="478" customFormat="false" ht="17.15" hidden="false" customHeight="false" outlineLevel="0" collapsed="false">
      <c r="A478" s="3" t="s">
        <v>505</v>
      </c>
      <c r="B478" s="0" t="s">
        <v>63</v>
      </c>
      <c r="D478" s="18" t="n">
        <f aca="false">1</f>
        <v>1</v>
      </c>
      <c r="E478" s="18" t="n">
        <f aca="false">rel_27</f>
        <v>1</v>
      </c>
      <c r="F478" s="18" t="n">
        <f aca="false">rel_28</f>
        <v>0.95</v>
      </c>
      <c r="G478" s="18" t="n">
        <f aca="false">rel_29</f>
        <v>0.9</v>
      </c>
    </row>
    <row r="479" customFormat="false" ht="15" hidden="false" customHeight="false" outlineLevel="0" collapsed="false">
      <c r="A479" s="3" t="s">
        <v>454</v>
      </c>
      <c r="B479" s="0" t="s">
        <v>49</v>
      </c>
      <c r="D479" s="17" t="n">
        <f aca="false">$D$477*D478</f>
        <v>0.172842024579347</v>
      </c>
      <c r="E479" s="17" t="n">
        <f aca="false">$D$477*E478</f>
        <v>0.172842024579347</v>
      </c>
      <c r="F479" s="17" t="n">
        <f aca="false">$D$477*F478</f>
        <v>0.164199923350379</v>
      </c>
      <c r="G479" s="17" t="n">
        <f aca="false">$D$477*G478</f>
        <v>0.155557822121412</v>
      </c>
    </row>
    <row r="480" customFormat="false" ht="17.15" hidden="false" customHeight="false" outlineLevel="0" collapsed="false">
      <c r="A480" s="0" t="s">
        <v>506</v>
      </c>
      <c r="B480" s="0" t="s">
        <v>184</v>
      </c>
      <c r="D480" s="22" t="n">
        <f aca="false">D475*D479*D476</f>
        <v>55.00416</v>
      </c>
      <c r="E480" s="22" t="n">
        <f aca="false">E475*E479*E476</f>
        <v>145.578648187429</v>
      </c>
      <c r="F480" s="22" t="n">
        <f aca="false">F475*F479*F476</f>
        <v>154.338067297361</v>
      </c>
      <c r="G480" s="22" t="n">
        <f aca="false">G475*G479*G476</f>
        <v>188.840003670751</v>
      </c>
    </row>
    <row r="481" customFormat="false" ht="17.15" hidden="false" customHeight="false" outlineLevel="0" collapsed="false">
      <c r="A481" s="5" t="s">
        <v>507</v>
      </c>
    </row>
    <row r="482" customFormat="false" ht="17.15" hidden="false" customHeight="false" outlineLevel="0" collapsed="false">
      <c r="A482" s="3" t="s">
        <v>508</v>
      </c>
      <c r="B482" s="0" t="s">
        <v>63</v>
      </c>
      <c r="D482" s="18" t="n">
        <f aca="false">1</f>
        <v>1</v>
      </c>
      <c r="E482" s="18" t="n">
        <f aca="false">CAPHI_27</f>
        <v>1.6</v>
      </c>
      <c r="F482" s="18" t="n">
        <f aca="false">CAPHI_28</f>
        <v>2.15</v>
      </c>
      <c r="G482" s="18" t="n">
        <f aca="false">CAPHI_29</f>
        <v>2.6</v>
      </c>
      <c r="K482" s="7" t="s">
        <v>509</v>
      </c>
    </row>
    <row r="483" customFormat="false" ht="17.15" hidden="false" customHeight="false" outlineLevel="0" collapsed="false">
      <c r="A483" s="3" t="s">
        <v>510</v>
      </c>
      <c r="B483" s="0" t="s">
        <v>184</v>
      </c>
      <c r="D483" s="22" t="n">
        <f aca="false">a26_rev*D482*D476</f>
        <v>105.40752</v>
      </c>
      <c r="E483" s="22" t="n">
        <f aca="false">a26_rev*E482*E476</f>
        <v>168.652032</v>
      </c>
      <c r="F483" s="22" t="n">
        <f aca="false">a26_rev*F482*F476</f>
        <v>219.82738296</v>
      </c>
      <c r="G483" s="22" t="n">
        <f aca="false">a26_rev*G482*G476</f>
        <v>257.61597888</v>
      </c>
    </row>
    <row r="484" customFormat="false" ht="17.15" hidden="false" customHeight="false" outlineLevel="0" collapsed="false">
      <c r="A484" s="3" t="s">
        <v>511</v>
      </c>
      <c r="B484" s="0" t="s">
        <v>184</v>
      </c>
      <c r="C484" s="22" t="n">
        <f aca="false">a25_nai</f>
        <v>42.0028</v>
      </c>
      <c r="D484" s="22" t="n">
        <f aca="false">a26_nai</f>
        <v>50.40336</v>
      </c>
      <c r="E484" s="22" t="n">
        <f aca="false">D484*(1+g_nai27)</f>
        <v>52.923528</v>
      </c>
      <c r="F484" s="22" t="n">
        <f aca="false">E484*(1+g_nai28)</f>
        <v>54.51123384</v>
      </c>
      <c r="G484" s="22" t="n">
        <f aca="false">F484*(1+g_nai29)</f>
        <v>56.1465708552</v>
      </c>
    </row>
    <row r="485" customFormat="false" ht="17.15" hidden="false" customHeight="false" outlineLevel="0" collapsed="false">
      <c r="A485" s="0" t="s">
        <v>512</v>
      </c>
      <c r="B485" s="0" t="s">
        <v>184</v>
      </c>
      <c r="C485" s="22" t="n">
        <f aca="false">a25_ai</f>
        <v>18.0012</v>
      </c>
      <c r="D485" s="22" t="n">
        <f aca="false">D480</f>
        <v>55.00416</v>
      </c>
      <c r="E485" s="22" t="n">
        <f aca="false">MIN(E480,E483-E484)</f>
        <v>115.728504</v>
      </c>
      <c r="F485" s="22" t="n">
        <f aca="false">MIN(F480,F483-F484)</f>
        <v>154.338067297361</v>
      </c>
      <c r="G485" s="22" t="n">
        <f aca="false">MIN(G480,G483-G484)</f>
        <v>188.840003670751</v>
      </c>
      <c r="K485" s="3" t="s">
        <v>513</v>
      </c>
    </row>
    <row r="486" customFormat="false" ht="15" hidden="false" customHeight="false" outlineLevel="0" collapsed="false">
      <c r="A486" s="3" t="s">
        <v>514</v>
      </c>
      <c r="E486" s="0" t="str">
        <f aca="false">IF(E480&gt;E483-E484+0.0001,"受限","未受限")</f>
        <v>受限</v>
      </c>
      <c r="F486" s="0" t="str">
        <f aca="false">IF(F480&gt;F483-F484+0.0001,"受限","未受限")</f>
        <v>未受限</v>
      </c>
      <c r="G486" s="0" t="str">
        <f aca="false">IF(G480&gt;G483-G484+0.0001,"受限","未受限")</f>
        <v>未受限</v>
      </c>
    </row>
    <row r="487" customFormat="false" ht="17.15" hidden="false" customHeight="false" outlineLevel="0" collapsed="false">
      <c r="A487" s="3" t="s">
        <v>387</v>
      </c>
      <c r="B487" s="0" t="s">
        <v>184</v>
      </c>
      <c r="C487" s="22" t="n">
        <f aca="false">C485+C484</f>
        <v>60.004</v>
      </c>
      <c r="D487" s="22" t="n">
        <f aca="false">D485+D484</f>
        <v>105.40752</v>
      </c>
      <c r="E487" s="22" t="n">
        <f aca="false">E485+E484</f>
        <v>168.652032</v>
      </c>
      <c r="F487" s="22" t="n">
        <f aca="false">F485+F484</f>
        <v>208.849301137361</v>
      </c>
      <c r="G487" s="22" t="n">
        <f aca="false">G485+G484</f>
        <v>244.986574525951</v>
      </c>
      <c r="H487" s="24" t="n">
        <f aca="false">G487*(1+H488)</f>
        <v>276.51314181298</v>
      </c>
      <c r="I487" s="24" t="n">
        <f aca="false">H487*(1+I488)</f>
        <v>299.835216686253</v>
      </c>
      <c r="J487" s="24" t="n">
        <f aca="false">I487*(1+J488)</f>
        <v>311.828625353703</v>
      </c>
      <c r="K487" s="7" t="s">
        <v>515</v>
      </c>
    </row>
    <row r="488" customFormat="false" ht="15" hidden="false" customHeight="false" outlineLevel="0" collapsed="false">
      <c r="A488" s="3" t="s">
        <v>516</v>
      </c>
      <c r="B488" s="0" t="s">
        <v>49</v>
      </c>
      <c r="D488" s="17" t="n">
        <f aca="false">D487/C487-1</f>
        <v>0.756674888340778</v>
      </c>
      <c r="E488" s="17" t="n">
        <f aca="false">E487/D487-1</f>
        <v>0.6</v>
      </c>
      <c r="F488" s="17" t="n">
        <f aca="false">F487/E487-1</f>
        <v>0.23834441044482</v>
      </c>
      <c r="G488" s="17" t="n">
        <f aca="false">G487/F487-1</f>
        <v>0.1730303773668</v>
      </c>
      <c r="H488" s="25" t="n">
        <f aca="false">$G488+(fade_gB-$G488)*1/3</f>
        <v>0.128686918244534</v>
      </c>
      <c r="I488" s="25" t="n">
        <f aca="false">$G488+(fade_gB-$G488)*2/3</f>
        <v>0.0843434591222668</v>
      </c>
      <c r="J488" s="25" t="n">
        <f aca="false">$G488+(fade_gB-$G488)*3/3</f>
        <v>0.04</v>
      </c>
    </row>
    <row r="489" customFormat="false" ht="17.15" hidden="false" customHeight="false" outlineLevel="0" collapsed="false">
      <c r="A489" s="0" t="s">
        <v>517</v>
      </c>
      <c r="B489" s="0" t="s">
        <v>49</v>
      </c>
      <c r="C489" s="17" t="n">
        <f aca="false">C485/C487</f>
        <v>0.3</v>
      </c>
      <c r="D489" s="17" t="n">
        <f aca="false">D485/D487</f>
        <v>0.521823869871903</v>
      </c>
      <c r="E489" s="17" t="n">
        <f aca="false">E485/E487</f>
        <v>0.686196914603436</v>
      </c>
      <c r="F489" s="17" t="n">
        <f aca="false">F485/F487</f>
        <v>0.738992500606225</v>
      </c>
      <c r="G489" s="17" t="n">
        <f aca="false">G485/G487</f>
        <v>0.770817764345481</v>
      </c>
    </row>
    <row r="490" customFormat="false" ht="17.15" hidden="false" customHeight="false" outlineLevel="0" collapsed="false">
      <c r="A490" s="3" t="s">
        <v>518</v>
      </c>
      <c r="B490" s="0" t="s">
        <v>49</v>
      </c>
      <c r="D490" s="17" t="n">
        <f aca="false">(D480+D484)/D483</f>
        <v>1</v>
      </c>
      <c r="E490" s="17" t="n">
        <f aca="false">(E480+E484)/E483</f>
        <v>1.17699249652343</v>
      </c>
      <c r="F490" s="17" t="n">
        <f aca="false">(F480+F484)/F483</f>
        <v>0.950060444359488</v>
      </c>
      <c r="G490" s="17" t="n">
        <f aca="false">(G480+G484)/G483</f>
        <v>0.950975850143473</v>
      </c>
      <c r="K490" s="3" t="s">
        <v>519</v>
      </c>
    </row>
    <row r="491" customFormat="false" ht="17.15" hidden="false" customHeight="false" outlineLevel="0" collapsed="false">
      <c r="A491" s="3" t="s">
        <v>458</v>
      </c>
      <c r="B491" s="0" t="s">
        <v>90</v>
      </c>
      <c r="D491" s="21" t="n">
        <f aca="false">D485/fx/D469*1000</f>
        <v>73.4578604462223</v>
      </c>
      <c r="E491" s="21" t="n">
        <f aca="false">E485/fx/E469*1000</f>
        <v>86.8378535107446</v>
      </c>
      <c r="F491" s="21" t="n">
        <f aca="false">F485/fx/F469*1000</f>
        <v>114.199404690955</v>
      </c>
      <c r="G491" s="21" t="n">
        <f aca="false">G485/fx/G469*1000</f>
        <v>115.444126530963</v>
      </c>
    </row>
    <row r="492" customFormat="false" ht="17.15" hidden="false" customHeight="false" outlineLevel="0" collapsed="false">
      <c r="A492" s="5" t="s">
        <v>520</v>
      </c>
    </row>
    <row r="493" customFormat="false" ht="17.15" hidden="false" customHeight="false" outlineLevel="0" collapsed="false">
      <c r="A493" s="3" t="s">
        <v>521</v>
      </c>
      <c r="B493" s="0" t="s">
        <v>49</v>
      </c>
      <c r="D493" s="17" t="n">
        <f aca="false">a26_gp/D487-d_ai*D489</f>
        <v>0.296655205435058</v>
      </c>
      <c r="K493" s="7" t="s">
        <v>522</v>
      </c>
    </row>
    <row r="494" customFormat="false" ht="17.15" hidden="false" customHeight="false" outlineLevel="0" collapsed="false">
      <c r="A494" s="0" t="s">
        <v>523</v>
      </c>
      <c r="B494" s="0" t="s">
        <v>49</v>
      </c>
      <c r="D494" s="17" t="n">
        <f aca="false">D493+d_ai</f>
        <v>0.396655205435058</v>
      </c>
      <c r="E494" s="17" t="n">
        <f aca="false">1-(1-$D$494)/E476+gmu_27</f>
        <v>0.406655205435058</v>
      </c>
      <c r="F494" s="17" t="n">
        <f aca="false">1-(1-$D$494)/F476+gmu_28</f>
        <v>0.392995057149545</v>
      </c>
      <c r="G494" s="17" t="n">
        <f aca="false">1-(1-$D$494)/G476+gmu_29</f>
        <v>0.378143835569211</v>
      </c>
      <c r="K494" s="7" t="s">
        <v>524</v>
      </c>
    </row>
    <row r="495" customFormat="false" ht="15" hidden="false" customHeight="false" outlineLevel="0" collapsed="false">
      <c r="A495" s="3" t="s">
        <v>391</v>
      </c>
      <c r="B495" s="0" t="s">
        <v>184</v>
      </c>
      <c r="C495" s="22" t="n">
        <f aca="false">a25_gp</f>
        <v>19.683</v>
      </c>
      <c r="D495" s="22" t="n">
        <f aca="false">a26_gp</f>
        <v>36.7701055</v>
      </c>
      <c r="E495" s="22" t="n">
        <f aca="false">E485*E494+E484*$D$493</f>
        <v>62.76163864</v>
      </c>
      <c r="F495" s="22" t="n">
        <f aca="false">F485*F494+F484*$D$493</f>
        <v>76.8251388512003</v>
      </c>
      <c r="G495" s="22" t="n">
        <f aca="false">G485*G494+G484*$D$493</f>
        <v>88.0648558084851</v>
      </c>
    </row>
    <row r="496" customFormat="false" ht="15" hidden="false" customHeight="false" outlineLevel="0" collapsed="false">
      <c r="A496" s="3" t="s">
        <v>394</v>
      </c>
      <c r="B496" s="0" t="s">
        <v>49</v>
      </c>
      <c r="C496" s="17" t="n">
        <f aca="false">C495/C487</f>
        <v>0.328028131457903</v>
      </c>
      <c r="D496" s="17" t="n">
        <f aca="false">D495/D487</f>
        <v>0.348837592422248</v>
      </c>
      <c r="E496" s="17" t="n">
        <f aca="false">E495/E487</f>
        <v>0.372136866041436</v>
      </c>
      <c r="F496" s="17" t="n">
        <f aca="false">F495/F487</f>
        <v>0.367849633361579</v>
      </c>
      <c r="G496" s="17" t="n">
        <f aca="false">G495/G487</f>
        <v>0.359468089134641</v>
      </c>
    </row>
    <row r="497" customFormat="false" ht="15" hidden="false" customHeight="false" outlineLevel="0" collapsed="false">
      <c r="A497" s="3" t="s">
        <v>525</v>
      </c>
      <c r="B497" s="0" t="s">
        <v>184</v>
      </c>
      <c r="C497" s="22" t="n">
        <f aca="false">a25_opx</f>
        <v>5.64</v>
      </c>
      <c r="D497" s="22" t="n">
        <f aca="false">a26_opx</f>
        <v>8.4779754</v>
      </c>
      <c r="E497" s="22" t="n">
        <f aca="false">D497*(1+MAX(0,phi*E488))</f>
        <v>11.530046544</v>
      </c>
      <c r="F497" s="22" t="n">
        <f aca="false">E497*(1+MAX(0,phi*F488))</f>
        <v>13.1789198315586</v>
      </c>
      <c r="G497" s="22" t="n">
        <f aca="false">F497*(1+MAX(0,phi*G488))</f>
        <v>14.5471319146034</v>
      </c>
    </row>
    <row r="498" customFormat="false" ht="15" hidden="false" customHeight="false" outlineLevel="0" collapsed="false">
      <c r="A498" s="3" t="s">
        <v>396</v>
      </c>
      <c r="B498" s="0" t="s">
        <v>184</v>
      </c>
      <c r="C498" s="22" t="n">
        <f aca="false">C497</f>
        <v>5.64</v>
      </c>
      <c r="D498" s="22" t="n">
        <f aca="false">D497</f>
        <v>8.4779754</v>
      </c>
      <c r="E498" s="22" t="n">
        <f aca="false">E497+0*E487</f>
        <v>11.530046544</v>
      </c>
      <c r="F498" s="22" t="n">
        <f aca="false">F497+0*F487</f>
        <v>13.1789198315586</v>
      </c>
      <c r="G498" s="22" t="n">
        <f aca="false">G497+0*G487</f>
        <v>14.5471319146034</v>
      </c>
    </row>
    <row r="499" customFormat="false" ht="15" hidden="false" customHeight="false" outlineLevel="0" collapsed="false">
      <c r="A499" s="3" t="s">
        <v>526</v>
      </c>
      <c r="B499" s="0" t="s">
        <v>184</v>
      </c>
      <c r="C499" s="22" t="n">
        <f aca="false">C495-C498</f>
        <v>14.043</v>
      </c>
      <c r="D499" s="22" t="n">
        <f aca="false">D495-D498</f>
        <v>28.2921301</v>
      </c>
      <c r="E499" s="22" t="n">
        <f aca="false">E495-E498</f>
        <v>51.231592096</v>
      </c>
      <c r="F499" s="22" t="n">
        <f aca="false">F495-F498</f>
        <v>63.6462190196417</v>
      </c>
      <c r="G499" s="22" t="n">
        <f aca="false">G495-G498</f>
        <v>73.5177238938816</v>
      </c>
    </row>
    <row r="500" customFormat="false" ht="15" hidden="false" customHeight="false" outlineLevel="0" collapsed="false">
      <c r="A500" s="3" t="s">
        <v>402</v>
      </c>
      <c r="B500" s="0" t="s">
        <v>49</v>
      </c>
      <c r="C500" s="17" t="n">
        <f aca="false">C499/C487</f>
        <v>0.23403439770682</v>
      </c>
      <c r="D500" s="17" t="n">
        <f aca="false">D499/D487</f>
        <v>0.268407131673338</v>
      </c>
      <c r="E500" s="17" t="n">
        <f aca="false">E499/E487</f>
        <v>0.303770974404862</v>
      </c>
      <c r="F500" s="17" t="n">
        <f aca="false">F499/F487</f>
        <v>0.304747100770911</v>
      </c>
      <c r="G500" s="17" t="n">
        <f aca="false">G499/G487</f>
        <v>0.300088786645303</v>
      </c>
    </row>
    <row r="501" customFormat="false" ht="17.15" hidden="false" customHeight="false" outlineLevel="0" collapsed="false">
      <c r="A501" s="3" t="s">
        <v>403</v>
      </c>
      <c r="B501" s="0" t="s">
        <v>184</v>
      </c>
      <c r="E501" s="22" t="n">
        <f aca="false">nop_f</f>
        <v>0</v>
      </c>
      <c r="F501" s="22" t="n">
        <f aca="false">nop_f</f>
        <v>0</v>
      </c>
      <c r="G501" s="22" t="n">
        <f aca="false">nop_f</f>
        <v>0</v>
      </c>
      <c r="K501" s="7" t="s">
        <v>527</v>
      </c>
    </row>
    <row r="502" customFormat="false" ht="15" hidden="false" customHeight="false" outlineLevel="0" collapsed="false">
      <c r="A502" s="3" t="s">
        <v>408</v>
      </c>
      <c r="B502" s="0" t="s">
        <v>184</v>
      </c>
      <c r="C502" s="22" t="n">
        <f aca="false">a25_ni</f>
        <v>9.607</v>
      </c>
      <c r="D502" s="22" t="n">
        <f aca="false">a26_ni</f>
        <v>19.6977289395284</v>
      </c>
      <c r="E502" s="22" t="n">
        <f aca="false">(E499+E501)*nir_f</f>
        <v>35.09364058576</v>
      </c>
      <c r="F502" s="22" t="n">
        <f aca="false">(F499+F501)*nir_f</f>
        <v>43.5976600284546</v>
      </c>
      <c r="G502" s="22" t="n">
        <f aca="false">(G499+G501)*nir_f</f>
        <v>50.3596408673089</v>
      </c>
      <c r="H502" s="24" t="n">
        <f aca="false">H487*H507</f>
        <v>53.0842255652027</v>
      </c>
      <c r="I502" s="24" t="n">
        <f aca="false">I487*I507</f>
        <v>53.4886928856943</v>
      </c>
      <c r="J502" s="24" t="n">
        <f aca="false">J487*J507</f>
        <v>51.3924871170778</v>
      </c>
    </row>
    <row r="503" customFormat="false" ht="17.15" hidden="false" customHeight="false" outlineLevel="0" collapsed="false">
      <c r="A503" s="3" t="s">
        <v>411</v>
      </c>
      <c r="B503" s="0" t="s">
        <v>49</v>
      </c>
      <c r="C503" s="17" t="n">
        <f aca="false">C502/C499</f>
        <v>0.684113081250445</v>
      </c>
      <c r="D503" s="17" t="n">
        <f aca="false">D502/D499</f>
        <v>0.696226437171953</v>
      </c>
      <c r="E503" s="17" t="n">
        <f aca="false">E502/E499</f>
        <v>0.685</v>
      </c>
      <c r="F503" s="17" t="n">
        <f aca="false">F502/F499</f>
        <v>0.685</v>
      </c>
      <c r="G503" s="17" t="n">
        <f aca="false">G502/G499</f>
        <v>0.685</v>
      </c>
    </row>
    <row r="504" customFormat="false" ht="17.15" hidden="false" customHeight="false" outlineLevel="0" collapsed="false">
      <c r="A504" s="3" t="s">
        <v>528</v>
      </c>
      <c r="B504" s="3" t="s">
        <v>214</v>
      </c>
      <c r="C504" s="27" t="n">
        <f aca="false">a25_sh</f>
        <v>0.493425783256292</v>
      </c>
      <c r="D504" s="27" t="n">
        <f aca="false">a26_sh</f>
        <v>0.512980850061958</v>
      </c>
      <c r="E504" s="27" t="n">
        <f aca="false">sh_h2*(1+sh_g)</f>
        <v>0.51889356</v>
      </c>
      <c r="F504" s="27" t="n">
        <f aca="false">E504*(1+sh_g)</f>
        <v>0.5240824956</v>
      </c>
      <c r="G504" s="27" t="n">
        <f aca="false">F504*(1+sh_g)</f>
        <v>0.529323320556</v>
      </c>
      <c r="H504" s="28" t="n">
        <f aca="false">G504*(1+sh_g)</f>
        <v>0.53461655376156</v>
      </c>
      <c r="I504" s="28" t="n">
        <f aca="false">H504*(1+sh_g)</f>
        <v>0.539962719299176</v>
      </c>
      <c r="J504" s="28" t="n">
        <f aca="false">I504*(1+sh_g)</f>
        <v>0.545362346492167</v>
      </c>
      <c r="K504" s="7" t="s">
        <v>529</v>
      </c>
    </row>
    <row r="505" customFormat="false" ht="15" hidden="false" customHeight="false" outlineLevel="0" collapsed="false">
      <c r="A505" s="0" t="s">
        <v>414</v>
      </c>
      <c r="B505" s="0" t="s">
        <v>252</v>
      </c>
      <c r="C505" s="23" t="n">
        <f aca="false">C502/C504</f>
        <v>19.47</v>
      </c>
      <c r="D505" s="23" t="n">
        <f aca="false">D502/D504</f>
        <v>38.3985658278458</v>
      </c>
      <c r="E505" s="23" t="n">
        <f aca="false">E502/E504</f>
        <v>67.6316749542238</v>
      </c>
      <c r="F505" s="23" t="n">
        <f aca="false">F502/F504</f>
        <v>83.1885445411441</v>
      </c>
      <c r="G505" s="23" t="n">
        <f aca="false">G502/G504</f>
        <v>95.1396602258356</v>
      </c>
      <c r="H505" s="29" t="n">
        <f aca="false">H502/H504</f>
        <v>99.2940177248577</v>
      </c>
      <c r="I505" s="29" t="n">
        <f aca="false">I502/I504</f>
        <v>99.059973909158</v>
      </c>
      <c r="J505" s="29" t="n">
        <f aca="false">J502/J504</f>
        <v>94.2354884741128</v>
      </c>
    </row>
    <row r="506" customFormat="false" ht="17.15" hidden="false" customHeight="false" outlineLevel="0" collapsed="false">
      <c r="A506" s="0" t="s">
        <v>530</v>
      </c>
      <c r="B506" s="0" t="s">
        <v>49</v>
      </c>
      <c r="D506" s="17" t="n">
        <f aca="false">D505/C505-1</f>
        <v>0.9721913624985</v>
      </c>
      <c r="E506" s="17" t="n">
        <f aca="false">E505/D505-1</f>
        <v>0.761307316982625</v>
      </c>
      <c r="F506" s="17" t="n">
        <f aca="false">F505/E505-1</f>
        <v>0.230023426115795</v>
      </c>
      <c r="G506" s="17" t="n">
        <f aca="false">G505/F505-1</f>
        <v>0.143662997719363</v>
      </c>
      <c r="H506" s="25" t="n">
        <f aca="false">H505/G505-1</f>
        <v>0.0436658853853458</v>
      </c>
      <c r="I506" s="25" t="n">
        <f aca="false">I505/H505-1</f>
        <v>-0.00235707871493551</v>
      </c>
      <c r="J506" s="25" t="n">
        <f aca="false">J505/I505-1</f>
        <v>-0.0487026721758418</v>
      </c>
    </row>
    <row r="507" customFormat="false" ht="17.15" hidden="false" customHeight="false" outlineLevel="0" collapsed="false">
      <c r="A507" s="3" t="s">
        <v>531</v>
      </c>
      <c r="B507" s="0" t="s">
        <v>49</v>
      </c>
      <c r="C507" s="17" t="n">
        <f aca="false">C502/C487</f>
        <v>0.160105992933804</v>
      </c>
      <c r="D507" s="17" t="n">
        <f aca="false">D502/D487</f>
        <v>0.186872140996471</v>
      </c>
      <c r="E507" s="17" t="n">
        <f aca="false">E502/E487</f>
        <v>0.208083117467331</v>
      </c>
      <c r="F507" s="17" t="n">
        <f aca="false">F502/F487</f>
        <v>0.208751764028074</v>
      </c>
      <c r="G507" s="17" t="n">
        <f aca="false">G502/G487</f>
        <v>0.205560818852032</v>
      </c>
      <c r="H507" s="25" t="n">
        <f aca="false">$G507+(fade_mB-$G507)*1/3</f>
        <v>0.191977224724842</v>
      </c>
      <c r="I507" s="25" t="n">
        <f aca="false">$G507+(fade_mB-$G507)*2/3</f>
        <v>0.178393630597652</v>
      </c>
      <c r="J507" s="25" t="n">
        <f aca="false">$G507+(fade_mB-$G507)*3/3</f>
        <v>0.164810036470462</v>
      </c>
    </row>
    <row r="510" customFormat="false" ht="17.15" hidden="false" customHeight="false" outlineLevel="0" collapsed="false">
      <c r="A510" s="1" t="s">
        <v>832</v>
      </c>
    </row>
    <row r="511" customFormat="false" ht="17.15" hidden="false" customHeight="false" outlineLevel="0" collapsed="false">
      <c r="A511" s="4" t="s">
        <v>18</v>
      </c>
      <c r="B511" s="4" t="s">
        <v>19</v>
      </c>
      <c r="C511" s="14" t="s">
        <v>382</v>
      </c>
      <c r="D511" s="14" t="s">
        <v>472</v>
      </c>
      <c r="E511" s="14" t="s">
        <v>473</v>
      </c>
      <c r="F511" s="14" t="s">
        <v>474</v>
      </c>
      <c r="G511" s="14" t="s">
        <v>475</v>
      </c>
      <c r="H511" s="14" t="s">
        <v>476</v>
      </c>
      <c r="I511" s="14" t="s">
        <v>477</v>
      </c>
      <c r="J511" s="14" t="s">
        <v>478</v>
      </c>
      <c r="K511" s="4" t="s">
        <v>436</v>
      </c>
    </row>
    <row r="512" customFormat="false" ht="17.15" hidden="false" customHeight="false" outlineLevel="0" collapsed="false">
      <c r="A512" s="5" t="s">
        <v>494</v>
      </c>
    </row>
    <row r="513" customFormat="false" ht="17.15" hidden="false" customHeight="false" outlineLevel="0" collapsed="false">
      <c r="A513" s="0" t="s">
        <v>495</v>
      </c>
      <c r="B513" s="0" t="s">
        <v>29</v>
      </c>
      <c r="D513" s="23" t="n">
        <f aca="false">itc_26*1</f>
        <v>781.872916666667</v>
      </c>
      <c r="E513" s="23" t="n">
        <f aca="false">itc_27*1*1</f>
        <v>1565.35</v>
      </c>
      <c r="F513" s="23" t="n">
        <f aca="false">itc_28*um28_B*1</f>
        <v>1587.41111111111</v>
      </c>
      <c r="G513" s="23" t="n">
        <f aca="false">itc_29*um29_B*1</f>
        <v>1921.33173611111</v>
      </c>
    </row>
    <row r="514" customFormat="false" ht="17.15" hidden="false" customHeight="false" outlineLevel="0" collapsed="false">
      <c r="A514" s="3" t="s">
        <v>496</v>
      </c>
      <c r="B514" s="0" t="s">
        <v>29</v>
      </c>
      <c r="D514" s="23" t="n">
        <f aca="false">itpg_gb*(1-vr26)+itpg_vr*vr26</f>
        <v>33.41403216</v>
      </c>
      <c r="E514" s="23" t="n">
        <f aca="false">itpg_vr</f>
        <v>37.586352</v>
      </c>
      <c r="F514" s="23" t="n">
        <f aca="false">itpg_vr</f>
        <v>37.586352</v>
      </c>
      <c r="G514" s="23" t="n">
        <f aca="false">itpg_vr</f>
        <v>37.586352</v>
      </c>
    </row>
    <row r="515" customFormat="false" ht="17.15" hidden="false" customHeight="false" outlineLevel="0" collapsed="false">
      <c r="A515" s="3" t="s">
        <v>497</v>
      </c>
      <c r="B515" s="0" t="s">
        <v>438</v>
      </c>
      <c r="D515" s="20" t="n">
        <f aca="false">D513/D514</f>
        <v>23.3995380420639</v>
      </c>
      <c r="E515" s="20" t="n">
        <f aca="false">E513/E514</f>
        <v>41.6467658260637</v>
      </c>
      <c r="F515" s="20" t="n">
        <f aca="false">F513/F514</f>
        <v>42.2337105529984</v>
      </c>
      <c r="G515" s="20" t="n">
        <f aca="false">G513/G514</f>
        <v>51.1178029756948</v>
      </c>
    </row>
    <row r="516" customFormat="false" ht="17.15" hidden="false" customHeight="false" outlineLevel="0" collapsed="false">
      <c r="A516" s="3" t="s">
        <v>442</v>
      </c>
      <c r="B516" s="0" t="s">
        <v>90</v>
      </c>
      <c r="D516" s="21" t="n">
        <f aca="false">vg_cmp26</f>
        <v>280</v>
      </c>
      <c r="E516" s="21" t="n">
        <f aca="false">(vg_cmp26+(vg_cmp27-vg_cmp26)*pgwf)</f>
        <v>420</v>
      </c>
      <c r="F516" s="21" t="n">
        <f aca="false">(vg_cmp26+(vg_cmp28-vg_cmp26)*pgwf)</f>
        <v>462</v>
      </c>
      <c r="G516" s="21" t="n">
        <f aca="false">(vg_cmp26+(vg_cmp29-vg_cmp26)*pgwf)</f>
        <v>504</v>
      </c>
    </row>
    <row r="517" customFormat="false" ht="17.15" hidden="false" customHeight="false" outlineLevel="0" collapsed="false">
      <c r="A517" s="3" t="s">
        <v>444</v>
      </c>
      <c r="B517" s="0" t="s">
        <v>90</v>
      </c>
      <c r="D517" s="21" t="n">
        <f aca="false">vg_sw26</f>
        <v>120</v>
      </c>
      <c r="E517" s="21" t="n">
        <f aca="false">(vg_sw26+(vg_sw27-vg_sw26)*pgwf)</f>
        <v>162</v>
      </c>
      <c r="F517" s="21" t="n">
        <f aca="false">(vg_sw26+(vg_sw28-vg_sw26)*pgwf)</f>
        <v>180</v>
      </c>
      <c r="G517" s="21" t="n">
        <f aca="false">(vg_sw26+(vg_sw29-vg_sw26)*pgwf)</f>
        <v>198</v>
      </c>
    </row>
    <row r="518" customFormat="false" ht="17.15" hidden="false" customHeight="false" outlineLevel="0" collapsed="false">
      <c r="A518" s="3" t="s">
        <v>498</v>
      </c>
      <c r="B518" s="0" t="s">
        <v>90</v>
      </c>
      <c r="D518" s="21" t="n">
        <f aca="false">vg_mid26*w_mid</f>
        <v>25</v>
      </c>
      <c r="E518" s="21" t="n">
        <f aca="false">(vg_mid26+(vg_mid27-vg_mid26)*pgwf)*w_mid</f>
        <v>50</v>
      </c>
      <c r="F518" s="21" t="n">
        <f aca="false">(vg_mid26+(vg_mid28-vg_mid26)*pgwf)*w_mid</f>
        <v>75</v>
      </c>
      <c r="G518" s="21" t="n">
        <f aca="false">(vg_mid26+(vg_mid29-vg_mid26)*pgwf)*w_mid</f>
        <v>87.5</v>
      </c>
    </row>
    <row r="519" customFormat="false" ht="17.15" hidden="false" customHeight="false" outlineLevel="0" collapsed="false">
      <c r="A519" s="3" t="s">
        <v>499</v>
      </c>
      <c r="B519" s="0" t="s">
        <v>90</v>
      </c>
      <c r="D519" s="21" t="n">
        <f aca="false">D516+D517+D518</f>
        <v>425</v>
      </c>
      <c r="E519" s="21" t="n">
        <f aca="false">E516+E517+E518</f>
        <v>632</v>
      </c>
      <c r="F519" s="21" t="n">
        <f aca="false">F516+F517+F518</f>
        <v>717</v>
      </c>
      <c r="G519" s="21" t="n">
        <f aca="false">G516+G517+G518</f>
        <v>789.5</v>
      </c>
    </row>
    <row r="520" customFormat="false" ht="17.15" hidden="false" customHeight="false" outlineLevel="0" collapsed="false">
      <c r="A520" s="3" t="s">
        <v>500</v>
      </c>
      <c r="B520" s="0" t="s">
        <v>29</v>
      </c>
      <c r="D520" s="23" t="n">
        <f aca="false">D515*D519/1000</f>
        <v>9.94480366787716</v>
      </c>
      <c r="E520" s="23" t="n">
        <f aca="false">E515*E519/1000</f>
        <v>26.3207560020722</v>
      </c>
      <c r="F520" s="23" t="n">
        <f aca="false">F515*F519/1000</f>
        <v>30.2815704664998</v>
      </c>
      <c r="G520" s="23" t="n">
        <f aca="false">G515*G519/1000</f>
        <v>40.3575054493111</v>
      </c>
    </row>
    <row r="521" customFormat="false" ht="17.15" hidden="false" customHeight="false" outlineLevel="0" collapsed="false">
      <c r="A521" s="3" t="s">
        <v>501</v>
      </c>
      <c r="B521" s="0" t="s">
        <v>184</v>
      </c>
      <c r="D521" s="22" t="n">
        <f aca="false">D520*fx</f>
        <v>318.233717372069</v>
      </c>
      <c r="E521" s="22" t="n">
        <f aca="false">E520*fx</f>
        <v>842.264192066312</v>
      </c>
      <c r="F521" s="22" t="n">
        <f aca="false">F520*fx</f>
        <v>969.010254927995</v>
      </c>
      <c r="G521" s="22" t="n">
        <f aca="false">G520*fx</f>
        <v>1291.44017437795</v>
      </c>
    </row>
    <row r="522" customFormat="false" ht="17.15" hidden="false" customHeight="false" outlineLevel="0" collapsed="false">
      <c r="A522" s="0" t="s">
        <v>502</v>
      </c>
      <c r="B522" s="0" t="s">
        <v>63</v>
      </c>
      <c r="D522" s="18" t="n">
        <f aca="false">1</f>
        <v>1</v>
      </c>
      <c r="E522" s="18" t="n">
        <f aca="false">pp_27</f>
        <v>1</v>
      </c>
      <c r="F522" s="18" t="n">
        <f aca="false">pp_28</f>
        <v>0.97</v>
      </c>
      <c r="G522" s="18" t="n">
        <f aca="false">pp_29</f>
        <v>0.94</v>
      </c>
    </row>
    <row r="523" customFormat="false" ht="17.15" hidden="false" customHeight="false" outlineLevel="0" collapsed="false">
      <c r="A523" s="3" t="s">
        <v>503</v>
      </c>
      <c r="B523" s="0" t="s">
        <v>49</v>
      </c>
      <c r="D523" s="17" t="n">
        <f aca="false">a26_ai/D521</f>
        <v>0.172842024579347</v>
      </c>
      <c r="K523" s="7" t="s">
        <v>504</v>
      </c>
    </row>
    <row r="524" customFormat="false" ht="17.15" hidden="false" customHeight="false" outlineLevel="0" collapsed="false">
      <c r="A524" s="3" t="s">
        <v>505</v>
      </c>
      <c r="B524" s="0" t="s">
        <v>63</v>
      </c>
      <c r="D524" s="18" t="n">
        <f aca="false">1</f>
        <v>1</v>
      </c>
      <c r="E524" s="18" t="n">
        <f aca="false">rel_27</f>
        <v>1</v>
      </c>
      <c r="F524" s="18" t="n">
        <f aca="false">rel_28</f>
        <v>0.95</v>
      </c>
      <c r="G524" s="18" t="n">
        <f aca="false">rel_29</f>
        <v>0.9</v>
      </c>
    </row>
    <row r="525" customFormat="false" ht="15" hidden="false" customHeight="false" outlineLevel="0" collapsed="false">
      <c r="A525" s="3" t="s">
        <v>454</v>
      </c>
      <c r="B525" s="0" t="s">
        <v>49</v>
      </c>
      <c r="D525" s="17" t="n">
        <f aca="false">$D$523*D524</f>
        <v>0.172842024579347</v>
      </c>
      <c r="E525" s="17" t="n">
        <f aca="false">$D$523*E524</f>
        <v>0.172842024579347</v>
      </c>
      <c r="F525" s="17" t="n">
        <f aca="false">$D$523*F524</f>
        <v>0.164199923350379</v>
      </c>
      <c r="G525" s="17" t="n">
        <f aca="false">$D$523*G524</f>
        <v>0.155557822121412</v>
      </c>
    </row>
    <row r="526" customFormat="false" ht="17.15" hidden="false" customHeight="false" outlineLevel="0" collapsed="false">
      <c r="A526" s="0" t="s">
        <v>506</v>
      </c>
      <c r="B526" s="0" t="s">
        <v>184</v>
      </c>
      <c r="D526" s="22" t="n">
        <f aca="false">D521*D525*D522</f>
        <v>55.00416</v>
      </c>
      <c r="E526" s="22" t="n">
        <f aca="false">E521*E525*E522</f>
        <v>145.578648187429</v>
      </c>
      <c r="F526" s="22" t="n">
        <f aca="false">F521*F525*F522</f>
        <v>154.338067297361</v>
      </c>
      <c r="G526" s="22" t="n">
        <f aca="false">G521*G525*G522</f>
        <v>188.840003670751</v>
      </c>
    </row>
    <row r="527" customFormat="false" ht="17.15" hidden="false" customHeight="false" outlineLevel="0" collapsed="false">
      <c r="A527" s="5" t="s">
        <v>507</v>
      </c>
    </row>
    <row r="528" customFormat="false" ht="17.15" hidden="false" customHeight="false" outlineLevel="0" collapsed="false">
      <c r="A528" s="3" t="s">
        <v>508</v>
      </c>
      <c r="B528" s="0" t="s">
        <v>63</v>
      </c>
      <c r="D528" s="18" t="n">
        <f aca="false">1</f>
        <v>1</v>
      </c>
      <c r="E528" s="18" t="n">
        <f aca="false">cx_27</f>
        <v>1.45</v>
      </c>
      <c r="F528" s="18" t="n">
        <f aca="false">cx_28</f>
        <v>1.9</v>
      </c>
      <c r="G528" s="18" t="n">
        <f aca="false">cx_29</f>
        <v>2.3</v>
      </c>
      <c r="K528" s="7" t="s">
        <v>509</v>
      </c>
    </row>
    <row r="529" customFormat="false" ht="17.15" hidden="false" customHeight="false" outlineLevel="0" collapsed="false">
      <c r="A529" s="3" t="s">
        <v>510</v>
      </c>
      <c r="B529" s="0" t="s">
        <v>184</v>
      </c>
      <c r="D529" s="22" t="n">
        <f aca="false">a26_rev*D528*D522</f>
        <v>105.40752</v>
      </c>
      <c r="E529" s="22" t="n">
        <f aca="false">a26_rev*E528*E522</f>
        <v>152.840904</v>
      </c>
      <c r="F529" s="22" t="n">
        <f aca="false">a26_rev*F528*F522</f>
        <v>194.26605936</v>
      </c>
      <c r="G529" s="22" t="n">
        <f aca="false">a26_rev*G528*G522</f>
        <v>227.89105824</v>
      </c>
    </row>
    <row r="530" customFormat="false" ht="17.15" hidden="false" customHeight="false" outlineLevel="0" collapsed="false">
      <c r="A530" s="3" t="s">
        <v>511</v>
      </c>
      <c r="B530" s="0" t="s">
        <v>184</v>
      </c>
      <c r="C530" s="22" t="n">
        <f aca="false">a25_nai</f>
        <v>42.0028</v>
      </c>
      <c r="D530" s="22" t="n">
        <f aca="false">a26_nai</f>
        <v>50.40336</v>
      </c>
      <c r="E530" s="22" t="n">
        <f aca="false">D530*(1+g_nai27)</f>
        <v>52.923528</v>
      </c>
      <c r="F530" s="22" t="n">
        <f aca="false">E530*(1+g_nai28)</f>
        <v>54.51123384</v>
      </c>
      <c r="G530" s="22" t="n">
        <f aca="false">F530*(1+g_nai29)</f>
        <v>56.1465708552</v>
      </c>
    </row>
    <row r="531" customFormat="false" ht="17.15" hidden="false" customHeight="false" outlineLevel="0" collapsed="false">
      <c r="A531" s="0" t="s">
        <v>512</v>
      </c>
      <c r="B531" s="0" t="s">
        <v>184</v>
      </c>
      <c r="C531" s="22" t="n">
        <f aca="false">a25_ai</f>
        <v>18.0012</v>
      </c>
      <c r="D531" s="22" t="n">
        <f aca="false">D526</f>
        <v>55.00416</v>
      </c>
      <c r="E531" s="22" t="n">
        <f aca="false">MIN(E526,E529-E530)</f>
        <v>99.917376</v>
      </c>
      <c r="F531" s="22" t="n">
        <f aca="false">MIN(F526,F529-F530)</f>
        <v>139.75482552</v>
      </c>
      <c r="G531" s="22" t="n">
        <f aca="false">MIN(G526,G529-G530)</f>
        <v>171.7444873848</v>
      </c>
      <c r="K531" s="3" t="s">
        <v>513</v>
      </c>
    </row>
    <row r="532" customFormat="false" ht="15" hidden="false" customHeight="false" outlineLevel="0" collapsed="false">
      <c r="A532" s="3" t="s">
        <v>514</v>
      </c>
      <c r="E532" s="0" t="str">
        <f aca="false">IF(E526&gt;E529-E530+0.0001,"受限","未受限")</f>
        <v>受限</v>
      </c>
      <c r="F532" s="0" t="str">
        <f aca="false">IF(F526&gt;F529-F530+0.0001,"受限","未受限")</f>
        <v>受限</v>
      </c>
      <c r="G532" s="0" t="str">
        <f aca="false">IF(G526&gt;G529-G530+0.0001,"受限","未受限")</f>
        <v>受限</v>
      </c>
    </row>
    <row r="533" customFormat="false" ht="17.15" hidden="false" customHeight="false" outlineLevel="0" collapsed="false">
      <c r="A533" s="3" t="s">
        <v>387</v>
      </c>
      <c r="B533" s="0" t="s">
        <v>184</v>
      </c>
      <c r="C533" s="22" t="n">
        <f aca="false">C531+C530</f>
        <v>60.004</v>
      </c>
      <c r="D533" s="22" t="n">
        <f aca="false">D531+D530</f>
        <v>105.40752</v>
      </c>
      <c r="E533" s="22" t="n">
        <f aca="false">E531+E530</f>
        <v>152.840904</v>
      </c>
      <c r="F533" s="22" t="n">
        <f aca="false">F531+F530</f>
        <v>194.26605936</v>
      </c>
      <c r="G533" s="22" t="n">
        <f aca="false">G531+G530</f>
        <v>227.89105824</v>
      </c>
      <c r="H533" s="24" t="n">
        <f aca="false">G533*(1+H534)</f>
        <v>257.226313072804</v>
      </c>
      <c r="I533" s="24" t="n">
        <f aca="false">H533*(1+I534)</f>
        <v>278.92655569709</v>
      </c>
      <c r="J533" s="24" t="n">
        <f aca="false">I533*(1+J534)</f>
        <v>290.083617924974</v>
      </c>
      <c r="K533" s="7" t="s">
        <v>515</v>
      </c>
    </row>
    <row r="534" customFormat="false" ht="15" hidden="false" customHeight="false" outlineLevel="0" collapsed="false">
      <c r="A534" s="3" t="s">
        <v>516</v>
      </c>
      <c r="B534" s="0" t="s">
        <v>49</v>
      </c>
      <c r="D534" s="17" t="n">
        <f aca="false">D533/C533-1</f>
        <v>0.756674888340778</v>
      </c>
      <c r="E534" s="17" t="n">
        <f aca="false">E533/D533-1</f>
        <v>0.45</v>
      </c>
      <c r="F534" s="17" t="n">
        <f aca="false">F533/E533-1</f>
        <v>0.271034482758621</v>
      </c>
      <c r="G534" s="17" t="n">
        <f aca="false">G533/F533-1</f>
        <v>0.173087357569181</v>
      </c>
      <c r="H534" s="25" t="n">
        <f aca="false">$G534+(fade_gB-$G534)*1/3</f>
        <v>0.12872490504612</v>
      </c>
      <c r="I534" s="25" t="n">
        <f aca="false">$G534+(fade_gB-$G534)*2/3</f>
        <v>0.0843624525230602</v>
      </c>
      <c r="J534" s="25" t="n">
        <f aca="false">$G534+(fade_gB-$G534)*3/3</f>
        <v>0.04</v>
      </c>
    </row>
    <row r="535" customFormat="false" ht="17.15" hidden="false" customHeight="false" outlineLevel="0" collapsed="false">
      <c r="A535" s="0" t="s">
        <v>517</v>
      </c>
      <c r="B535" s="0" t="s">
        <v>49</v>
      </c>
      <c r="C535" s="17" t="n">
        <f aca="false">C531/C533</f>
        <v>0.3</v>
      </c>
      <c r="D535" s="17" t="n">
        <f aca="false">D531/D533</f>
        <v>0.521823869871903</v>
      </c>
      <c r="E535" s="17" t="n">
        <f aca="false">E531/E533</f>
        <v>0.653734526458964</v>
      </c>
      <c r="F535" s="17" t="n">
        <f aca="false">F531/F533</f>
        <v>0.71939908587437</v>
      </c>
      <c r="G535" s="17" t="n">
        <f aca="false">G531/G533</f>
        <v>0.753625388864226</v>
      </c>
    </row>
    <row r="536" customFormat="false" ht="17.15" hidden="false" customHeight="false" outlineLevel="0" collapsed="false">
      <c r="A536" s="3" t="s">
        <v>518</v>
      </c>
      <c r="B536" s="0" t="s">
        <v>49</v>
      </c>
      <c r="D536" s="17" t="n">
        <f aca="false">(D526+D530)/D529</f>
        <v>1</v>
      </c>
      <c r="E536" s="17" t="n">
        <f aca="false">(E526+E530)/E529</f>
        <v>1.29875034099137</v>
      </c>
      <c r="F536" s="17" t="n">
        <f aca="false">(F526+F530)/F529</f>
        <v>1.07506839756468</v>
      </c>
      <c r="G536" s="17" t="n">
        <f aca="false">(G526+G530)/G529</f>
        <v>1.07501617842306</v>
      </c>
      <c r="K536" s="3" t="s">
        <v>519</v>
      </c>
    </row>
    <row r="537" customFormat="false" ht="17.15" hidden="false" customHeight="false" outlineLevel="0" collapsed="false">
      <c r="A537" s="3" t="s">
        <v>458</v>
      </c>
      <c r="B537" s="0" t="s">
        <v>90</v>
      </c>
      <c r="D537" s="21" t="n">
        <f aca="false">D531/fx/D515*1000</f>
        <v>73.4578604462223</v>
      </c>
      <c r="E537" s="21" t="n">
        <f aca="false">E531/fx/E515*1000</f>
        <v>74.9738410190283</v>
      </c>
      <c r="F537" s="21" t="n">
        <f aca="false">F531/fx/F515*1000</f>
        <v>103.408822959553</v>
      </c>
      <c r="G537" s="21" t="n">
        <f aca="false">G531/fx/G515*1000</f>
        <v>104.993073222002</v>
      </c>
    </row>
    <row r="538" customFormat="false" ht="17.15" hidden="false" customHeight="false" outlineLevel="0" collapsed="false">
      <c r="A538" s="5" t="s">
        <v>520</v>
      </c>
    </row>
    <row r="539" customFormat="false" ht="17.15" hidden="false" customHeight="false" outlineLevel="0" collapsed="false">
      <c r="A539" s="3" t="s">
        <v>521</v>
      </c>
      <c r="B539" s="0" t="s">
        <v>49</v>
      </c>
      <c r="D539" s="17" t="n">
        <f aca="false">a26_gp/D533-d_ai*D535</f>
        <v>0.296655205435058</v>
      </c>
      <c r="K539" s="7" t="s">
        <v>522</v>
      </c>
    </row>
    <row r="540" customFormat="false" ht="17.15" hidden="false" customHeight="false" outlineLevel="0" collapsed="false">
      <c r="A540" s="0" t="s">
        <v>523</v>
      </c>
      <c r="B540" s="0" t="s">
        <v>49</v>
      </c>
      <c r="D540" s="17" t="n">
        <f aca="false">D539+d_ai</f>
        <v>0.396655205435058</v>
      </c>
      <c r="E540" s="17" t="n">
        <f aca="false">1-(1-$D$540)/E522+GULO_27</f>
        <v>0.386655205435058</v>
      </c>
      <c r="F540" s="17" t="n">
        <f aca="false">1-(1-$D$540)/F522+GULO_28</f>
        <v>0.367995057149545</v>
      </c>
      <c r="G540" s="17" t="n">
        <f aca="false">1-(1-$D$540)/G522+GULO_29</f>
        <v>0.348143835569211</v>
      </c>
      <c r="K540" s="7" t="s">
        <v>524</v>
      </c>
    </row>
    <row r="541" customFormat="false" ht="15" hidden="false" customHeight="false" outlineLevel="0" collapsed="false">
      <c r="A541" s="3" t="s">
        <v>391</v>
      </c>
      <c r="B541" s="0" t="s">
        <v>184</v>
      </c>
      <c r="C541" s="22" t="n">
        <f aca="false">a25_gp</f>
        <v>19.683</v>
      </c>
      <c r="D541" s="22" t="n">
        <f aca="false">a26_gp</f>
        <v>36.7701055</v>
      </c>
      <c r="E541" s="22" t="n">
        <f aca="false">E531*E540+E530*$D$539</f>
        <v>54.333613615</v>
      </c>
      <c r="F541" s="22" t="n">
        <f aca="false">F531*F540+F530*$D$539</f>
        <v>67.6001262774807</v>
      </c>
      <c r="G541" s="22" t="n">
        <f aca="false">G531*G540+G530*$D$539</f>
        <v>76.4479570875356</v>
      </c>
    </row>
    <row r="542" customFormat="false" ht="15" hidden="false" customHeight="false" outlineLevel="0" collapsed="false">
      <c r="A542" s="3" t="s">
        <v>394</v>
      </c>
      <c r="B542" s="0" t="s">
        <v>49</v>
      </c>
      <c r="C542" s="17" t="n">
        <f aca="false">C541/C533</f>
        <v>0.328028131457903</v>
      </c>
      <c r="D542" s="17" t="n">
        <f aca="false">D541/D533</f>
        <v>0.348837592422248</v>
      </c>
      <c r="E542" s="17" t="n">
        <f aca="false">E541/E533</f>
        <v>0.355491312816365</v>
      </c>
      <c r="F542" s="17" t="n">
        <f aca="false">F541/F533</f>
        <v>0.347977029544873</v>
      </c>
      <c r="G542" s="17" t="n">
        <f aca="false">G541/G533</f>
        <v>0.335458344341995</v>
      </c>
    </row>
    <row r="543" customFormat="false" ht="15" hidden="false" customHeight="false" outlineLevel="0" collapsed="false">
      <c r="A543" s="3" t="s">
        <v>525</v>
      </c>
      <c r="B543" s="0" t="s">
        <v>184</v>
      </c>
      <c r="C543" s="22" t="n">
        <f aca="false">a25_opx</f>
        <v>5.64</v>
      </c>
      <c r="D543" s="22" t="n">
        <f aca="false">a26_opx</f>
        <v>8.4779754</v>
      </c>
      <c r="E543" s="22" t="n">
        <f aca="false">D543*(1+MAX(0,phi*E534))</f>
        <v>10.767028758</v>
      </c>
      <c r="F543" s="22" t="n">
        <f aca="false">E543*(1+MAX(0,phi*F534))</f>
        <v>12.517970400163</v>
      </c>
      <c r="G543" s="22" t="n">
        <f aca="false">F543*(1+MAX(0,phi*G534))</f>
        <v>13.8179918513791</v>
      </c>
    </row>
    <row r="544" customFormat="false" ht="15" hidden="false" customHeight="false" outlineLevel="0" collapsed="false">
      <c r="A544" s="3" t="s">
        <v>396</v>
      </c>
      <c r="B544" s="0" t="s">
        <v>184</v>
      </c>
      <c r="C544" s="22" t="n">
        <f aca="false">C543</f>
        <v>5.64</v>
      </c>
      <c r="D544" s="22" t="n">
        <f aca="false">D543</f>
        <v>8.4779754</v>
      </c>
      <c r="E544" s="22" t="n">
        <f aca="false">E543+0*E533</f>
        <v>10.767028758</v>
      </c>
      <c r="F544" s="22" t="n">
        <f aca="false">F543+0*F533</f>
        <v>12.517970400163</v>
      </c>
      <c r="G544" s="22" t="n">
        <f aca="false">G543+0*G533</f>
        <v>13.8179918513791</v>
      </c>
    </row>
    <row r="545" customFormat="false" ht="15" hidden="false" customHeight="false" outlineLevel="0" collapsed="false">
      <c r="A545" s="3" t="s">
        <v>526</v>
      </c>
      <c r="B545" s="0" t="s">
        <v>184</v>
      </c>
      <c r="C545" s="22" t="n">
        <f aca="false">C541-C544</f>
        <v>14.043</v>
      </c>
      <c r="D545" s="22" t="n">
        <f aca="false">D541-D544</f>
        <v>28.2921301</v>
      </c>
      <c r="E545" s="22" t="n">
        <f aca="false">E541-E544</f>
        <v>43.566584857</v>
      </c>
      <c r="F545" s="22" t="n">
        <f aca="false">F541-F544</f>
        <v>55.0821558773177</v>
      </c>
      <c r="G545" s="22" t="n">
        <f aca="false">G541-G544</f>
        <v>62.6299652361565</v>
      </c>
    </row>
    <row r="546" customFormat="false" ht="15" hidden="false" customHeight="false" outlineLevel="0" collapsed="false">
      <c r="A546" s="3" t="s">
        <v>402</v>
      </c>
      <c r="B546" s="0" t="s">
        <v>49</v>
      </c>
      <c r="C546" s="17" t="n">
        <f aca="false">C545/C533</f>
        <v>0.23403439770682</v>
      </c>
      <c r="D546" s="17" t="n">
        <f aca="false">D545/D533</f>
        <v>0.268407131673338</v>
      </c>
      <c r="E546" s="17" t="n">
        <f aca="false">E545/E533</f>
        <v>0.285045323056974</v>
      </c>
      <c r="F546" s="17" t="n">
        <f aca="false">F545/F533</f>
        <v>0.283539780745968</v>
      </c>
      <c r="G546" s="17" t="n">
        <f aca="false">G545/G533</f>
        <v>0.274824145009668</v>
      </c>
    </row>
    <row r="547" customFormat="false" ht="17.15" hidden="false" customHeight="false" outlineLevel="0" collapsed="false">
      <c r="A547" s="3" t="s">
        <v>403</v>
      </c>
      <c r="B547" s="0" t="s">
        <v>184</v>
      </c>
      <c r="E547" s="22" t="n">
        <f aca="false">nop_f</f>
        <v>0</v>
      </c>
      <c r="F547" s="22" t="n">
        <f aca="false">nop_f</f>
        <v>0</v>
      </c>
      <c r="G547" s="22" t="n">
        <f aca="false">nop_f</f>
        <v>0</v>
      </c>
      <c r="K547" s="7" t="s">
        <v>527</v>
      </c>
    </row>
    <row r="548" customFormat="false" ht="15" hidden="false" customHeight="false" outlineLevel="0" collapsed="false">
      <c r="A548" s="3" t="s">
        <v>408</v>
      </c>
      <c r="B548" s="0" t="s">
        <v>184</v>
      </c>
      <c r="C548" s="22" t="n">
        <f aca="false">a25_ni</f>
        <v>9.607</v>
      </c>
      <c r="D548" s="22" t="n">
        <f aca="false">a26_ni</f>
        <v>19.6977289395284</v>
      </c>
      <c r="E548" s="22" t="n">
        <f aca="false">(E545+E547)*nir_f</f>
        <v>29.843110627045</v>
      </c>
      <c r="F548" s="22" t="n">
        <f aca="false">(F545+F547)*nir_f</f>
        <v>37.7312767759626</v>
      </c>
      <c r="G548" s="22" t="n">
        <f aca="false">(G545+G547)*nir_f</f>
        <v>42.9015261867672</v>
      </c>
      <c r="H548" s="24" t="n">
        <f aca="false">H533*H553</f>
        <v>46.4138400605587</v>
      </c>
      <c r="I548" s="24" t="n">
        <f aca="false">I533*I553</f>
        <v>48.1496606280491</v>
      </c>
      <c r="J548" s="24" t="n">
        <f aca="false">J533*J553</f>
        <v>47.8086916496984</v>
      </c>
    </row>
    <row r="549" customFormat="false" ht="17.15" hidden="false" customHeight="false" outlineLevel="0" collapsed="false">
      <c r="A549" s="3" t="s">
        <v>411</v>
      </c>
      <c r="B549" s="0" t="s">
        <v>49</v>
      </c>
      <c r="C549" s="17" t="n">
        <f aca="false">C548/C545</f>
        <v>0.684113081250445</v>
      </c>
      <c r="D549" s="17" t="n">
        <f aca="false">D548/D545</f>
        <v>0.696226437171953</v>
      </c>
      <c r="E549" s="17" t="n">
        <f aca="false">E548/E545</f>
        <v>0.685</v>
      </c>
      <c r="F549" s="17" t="n">
        <f aca="false">F548/F545</f>
        <v>0.685</v>
      </c>
      <c r="G549" s="17" t="n">
        <f aca="false">G548/G545</f>
        <v>0.685</v>
      </c>
    </row>
    <row r="550" customFormat="false" ht="17.15" hidden="false" customHeight="false" outlineLevel="0" collapsed="false">
      <c r="A550" s="3" t="s">
        <v>528</v>
      </c>
      <c r="B550" s="3" t="s">
        <v>214</v>
      </c>
      <c r="C550" s="27" t="n">
        <f aca="false">a25_sh</f>
        <v>0.493425783256292</v>
      </c>
      <c r="D550" s="27" t="n">
        <f aca="false">a26_sh</f>
        <v>0.512980850061958</v>
      </c>
      <c r="E550" s="27" t="n">
        <f aca="false">sh_h2*(1+sh_g)</f>
        <v>0.51889356</v>
      </c>
      <c r="F550" s="27" t="n">
        <f aca="false">E550*(1+sh_g)</f>
        <v>0.5240824956</v>
      </c>
      <c r="G550" s="27" t="n">
        <f aca="false">F550*(1+sh_g)</f>
        <v>0.529323320556</v>
      </c>
      <c r="H550" s="28" t="n">
        <f aca="false">G550*(1+sh_g)</f>
        <v>0.53461655376156</v>
      </c>
      <c r="I550" s="28" t="n">
        <f aca="false">H550*(1+sh_g)</f>
        <v>0.539962719299176</v>
      </c>
      <c r="J550" s="28" t="n">
        <f aca="false">I550*(1+sh_g)</f>
        <v>0.545362346492167</v>
      </c>
      <c r="K550" s="7" t="s">
        <v>529</v>
      </c>
    </row>
    <row r="551" customFormat="false" ht="15" hidden="false" customHeight="false" outlineLevel="0" collapsed="false">
      <c r="A551" s="0" t="s">
        <v>414</v>
      </c>
      <c r="B551" s="0" t="s">
        <v>252</v>
      </c>
      <c r="C551" s="23" t="n">
        <f aca="false">C548/C550</f>
        <v>19.47</v>
      </c>
      <c r="D551" s="23" t="n">
        <f aca="false">D548/D550</f>
        <v>38.3985658278458</v>
      </c>
      <c r="E551" s="23" t="n">
        <f aca="false">E548/E550</f>
        <v>57.5129716912367</v>
      </c>
      <c r="F551" s="23" t="n">
        <f aca="false">F548/F550</f>
        <v>71.9949189158964</v>
      </c>
      <c r="G551" s="23" t="n">
        <f aca="false">G548/G550</f>
        <v>81.0497563978544</v>
      </c>
      <c r="H551" s="29" t="n">
        <f aca="false">H548/H550</f>
        <v>86.8170649299786</v>
      </c>
      <c r="I551" s="29" t="n">
        <f aca="false">I548/I550</f>
        <v>89.172194499915</v>
      </c>
      <c r="J551" s="29" t="n">
        <f aca="false">J548/J550</f>
        <v>87.664086010355</v>
      </c>
    </row>
    <row r="552" customFormat="false" ht="17.15" hidden="false" customHeight="false" outlineLevel="0" collapsed="false">
      <c r="A552" s="0" t="s">
        <v>530</v>
      </c>
      <c r="B552" s="0" t="s">
        <v>49</v>
      </c>
      <c r="D552" s="17" t="n">
        <f aca="false">D551/C551-1</f>
        <v>0.9721913624985</v>
      </c>
      <c r="E552" s="17" t="n">
        <f aca="false">E551/D551-1</f>
        <v>0.497789577587023</v>
      </c>
      <c r="F552" s="17" t="n">
        <f aca="false">F551/E551-1</f>
        <v>0.25180314629554</v>
      </c>
      <c r="G552" s="17" t="n">
        <f aca="false">G551/F551-1</f>
        <v>0.12577050739561</v>
      </c>
      <c r="H552" s="25" t="n">
        <f aca="false">H551/G551-1</f>
        <v>0.0711576294420151</v>
      </c>
      <c r="I552" s="25" t="n">
        <f aca="false">I551/H551-1</f>
        <v>0.0271274958654268</v>
      </c>
      <c r="J552" s="25" t="n">
        <f aca="false">J551/I551-1</f>
        <v>-0.016912317769206</v>
      </c>
    </row>
    <row r="553" customFormat="false" ht="17.15" hidden="false" customHeight="false" outlineLevel="0" collapsed="false">
      <c r="A553" s="3" t="s">
        <v>531</v>
      </c>
      <c r="B553" s="0" t="s">
        <v>49</v>
      </c>
      <c r="C553" s="17" t="n">
        <f aca="false">C548/C533</f>
        <v>0.160105992933804</v>
      </c>
      <c r="D553" s="17" t="n">
        <f aca="false">D548/D533</f>
        <v>0.186872140996471</v>
      </c>
      <c r="E553" s="17" t="n">
        <f aca="false">E548/E533</f>
        <v>0.195256046294027</v>
      </c>
      <c r="F553" s="17" t="n">
        <f aca="false">F548/F533</f>
        <v>0.194224749810988</v>
      </c>
      <c r="G553" s="17" t="n">
        <f aca="false">G548/G533</f>
        <v>0.188254539331623</v>
      </c>
      <c r="H553" s="25" t="n">
        <f aca="false">$G553+(fade_mB-$G553)*1/3</f>
        <v>0.180439705044569</v>
      </c>
      <c r="I553" s="25" t="n">
        <f aca="false">$G553+(fade_mB-$G553)*2/3</f>
        <v>0.172624870757515</v>
      </c>
      <c r="J553" s="25" t="n">
        <f aca="false">$G553+(fade_mB-$G553)*3/3</f>
        <v>0.164810036470462</v>
      </c>
    </row>
    <row r="556" customFormat="false" ht="17.15" hidden="false" customHeight="false" outlineLevel="0" collapsed="false">
      <c r="A556" s="1" t="s">
        <v>833</v>
      </c>
    </row>
    <row r="557" customFormat="false" ht="17.15" hidden="false" customHeight="false" outlineLevel="0" collapsed="false">
      <c r="A557" s="4" t="s">
        <v>18</v>
      </c>
      <c r="B557" s="4" t="s">
        <v>19</v>
      </c>
      <c r="C557" s="14" t="s">
        <v>382</v>
      </c>
      <c r="D557" s="14" t="s">
        <v>472</v>
      </c>
      <c r="E557" s="14" t="s">
        <v>473</v>
      </c>
      <c r="F557" s="14" t="s">
        <v>474</v>
      </c>
      <c r="G557" s="14" t="s">
        <v>475</v>
      </c>
      <c r="H557" s="14" t="s">
        <v>476</v>
      </c>
      <c r="I557" s="14" t="s">
        <v>477</v>
      </c>
      <c r="J557" s="14" t="s">
        <v>478</v>
      </c>
      <c r="K557" s="4" t="s">
        <v>436</v>
      </c>
    </row>
    <row r="558" customFormat="false" ht="17.15" hidden="false" customHeight="false" outlineLevel="0" collapsed="false">
      <c r="A558" s="5" t="s">
        <v>494</v>
      </c>
    </row>
    <row r="559" customFormat="false" ht="17.15" hidden="false" customHeight="false" outlineLevel="0" collapsed="false">
      <c r="A559" s="0" t="s">
        <v>495</v>
      </c>
      <c r="B559" s="0" t="s">
        <v>29</v>
      </c>
      <c r="D559" s="23" t="n">
        <f aca="false">itc_26*1</f>
        <v>781.872916666667</v>
      </c>
      <c r="E559" s="23" t="n">
        <f aca="false">itc_27*1*1</f>
        <v>1565.35</v>
      </c>
      <c r="F559" s="23" t="n">
        <f aca="false">itc_28*um28_B*1</f>
        <v>1587.41111111111</v>
      </c>
      <c r="G559" s="23" t="n">
        <f aca="false">itc_29*um29_B*1</f>
        <v>1921.33173611111</v>
      </c>
    </row>
    <row r="560" customFormat="false" ht="17.15" hidden="false" customHeight="false" outlineLevel="0" collapsed="false">
      <c r="A560" s="3" t="s">
        <v>496</v>
      </c>
      <c r="B560" s="0" t="s">
        <v>29</v>
      </c>
      <c r="D560" s="23" t="n">
        <f aca="false">itpg_gb*(1-vr26)+itpg_vr*vr26</f>
        <v>33.41403216</v>
      </c>
      <c r="E560" s="23" t="n">
        <f aca="false">itpg_vr</f>
        <v>37.586352</v>
      </c>
      <c r="F560" s="23" t="n">
        <f aca="false">itpg_vr</f>
        <v>37.586352</v>
      </c>
      <c r="G560" s="23" t="n">
        <f aca="false">itpg_vr</f>
        <v>37.586352</v>
      </c>
    </row>
    <row r="561" customFormat="false" ht="17.15" hidden="false" customHeight="false" outlineLevel="0" collapsed="false">
      <c r="A561" s="3" t="s">
        <v>497</v>
      </c>
      <c r="B561" s="0" t="s">
        <v>438</v>
      </c>
      <c r="D561" s="20" t="n">
        <f aca="false">D559/D560</f>
        <v>23.3995380420639</v>
      </c>
      <c r="E561" s="20" t="n">
        <f aca="false">E559/E560</f>
        <v>41.6467658260637</v>
      </c>
      <c r="F561" s="20" t="n">
        <f aca="false">F559/F560</f>
        <v>42.2337105529984</v>
      </c>
      <c r="G561" s="20" t="n">
        <f aca="false">G559/G560</f>
        <v>51.1178029756948</v>
      </c>
    </row>
    <row r="562" customFormat="false" ht="17.15" hidden="false" customHeight="false" outlineLevel="0" collapsed="false">
      <c r="A562" s="3" t="s">
        <v>442</v>
      </c>
      <c r="B562" s="0" t="s">
        <v>90</v>
      </c>
      <c r="D562" s="21" t="n">
        <f aca="false">vg_cmp26</f>
        <v>280</v>
      </c>
      <c r="E562" s="21" t="n">
        <f aca="false">(vg_cmp26+(vg_cmp27-vg_cmp26)*pgwf)</f>
        <v>420</v>
      </c>
      <c r="F562" s="21" t="n">
        <f aca="false">(vg_cmp26+(vg_cmp28-vg_cmp26)*pgwf)</f>
        <v>462</v>
      </c>
      <c r="G562" s="21" t="n">
        <f aca="false">(vg_cmp26+(vg_cmp29-vg_cmp26)*pgwf)</f>
        <v>504</v>
      </c>
    </row>
    <row r="563" customFormat="false" ht="17.15" hidden="false" customHeight="false" outlineLevel="0" collapsed="false">
      <c r="A563" s="3" t="s">
        <v>444</v>
      </c>
      <c r="B563" s="0" t="s">
        <v>90</v>
      </c>
      <c r="D563" s="21" t="n">
        <f aca="false">vg_sw26</f>
        <v>120</v>
      </c>
      <c r="E563" s="21" t="n">
        <f aca="false">(vg_sw26+(vg_sw27-vg_sw26)*pgwf)</f>
        <v>162</v>
      </c>
      <c r="F563" s="21" t="n">
        <f aca="false">(vg_sw26+(vg_sw28-vg_sw26)*pgwf)</f>
        <v>180</v>
      </c>
      <c r="G563" s="21" t="n">
        <f aca="false">(vg_sw26+(vg_sw29-vg_sw26)*pgwf)</f>
        <v>198</v>
      </c>
    </row>
    <row r="564" customFormat="false" ht="17.15" hidden="false" customHeight="false" outlineLevel="0" collapsed="false">
      <c r="A564" s="3" t="s">
        <v>498</v>
      </c>
      <c r="B564" s="0" t="s">
        <v>90</v>
      </c>
      <c r="D564" s="21" t="n">
        <f aca="false">vg_mid26*w_mid</f>
        <v>25</v>
      </c>
      <c r="E564" s="21" t="n">
        <f aca="false">(vg_mid26+(vg_mid27-vg_mid26)*pgwf)*w_mid</f>
        <v>50</v>
      </c>
      <c r="F564" s="21" t="n">
        <f aca="false">(vg_mid26+(vg_mid28-vg_mid26)*pgwf)*w_mid</f>
        <v>75</v>
      </c>
      <c r="G564" s="21" t="n">
        <f aca="false">(vg_mid26+(vg_mid29-vg_mid26)*pgwf)*w_mid</f>
        <v>87.5</v>
      </c>
    </row>
    <row r="565" customFormat="false" ht="17.15" hidden="false" customHeight="false" outlineLevel="0" collapsed="false">
      <c r="A565" s="3" t="s">
        <v>499</v>
      </c>
      <c r="B565" s="0" t="s">
        <v>90</v>
      </c>
      <c r="D565" s="21" t="n">
        <f aca="false">D562+D563+D564</f>
        <v>425</v>
      </c>
      <c r="E565" s="21" t="n">
        <f aca="false">E562+E563+E564</f>
        <v>632</v>
      </c>
      <c r="F565" s="21" t="n">
        <f aca="false">F562+F563+F564</f>
        <v>717</v>
      </c>
      <c r="G565" s="21" t="n">
        <f aca="false">G562+G563+G564</f>
        <v>789.5</v>
      </c>
    </row>
    <row r="566" customFormat="false" ht="17.15" hidden="false" customHeight="false" outlineLevel="0" collapsed="false">
      <c r="A566" s="3" t="s">
        <v>500</v>
      </c>
      <c r="B566" s="0" t="s">
        <v>29</v>
      </c>
      <c r="D566" s="23" t="n">
        <f aca="false">D561*D565/1000</f>
        <v>9.94480366787716</v>
      </c>
      <c r="E566" s="23" t="n">
        <f aca="false">E561*E565/1000</f>
        <v>26.3207560020722</v>
      </c>
      <c r="F566" s="23" t="n">
        <f aca="false">F561*F565/1000</f>
        <v>30.2815704664998</v>
      </c>
      <c r="G566" s="23" t="n">
        <f aca="false">G561*G565/1000</f>
        <v>40.3575054493111</v>
      </c>
    </row>
    <row r="567" customFormat="false" ht="17.15" hidden="false" customHeight="false" outlineLevel="0" collapsed="false">
      <c r="A567" s="3" t="s">
        <v>501</v>
      </c>
      <c r="B567" s="0" t="s">
        <v>184</v>
      </c>
      <c r="D567" s="22" t="n">
        <f aca="false">D566*fx</f>
        <v>318.233717372069</v>
      </c>
      <c r="E567" s="22" t="n">
        <f aca="false">E566*fx</f>
        <v>842.264192066312</v>
      </c>
      <c r="F567" s="22" t="n">
        <f aca="false">F566*fx</f>
        <v>969.010254927995</v>
      </c>
      <c r="G567" s="22" t="n">
        <f aca="false">G566*fx</f>
        <v>1291.44017437795</v>
      </c>
    </row>
    <row r="568" customFormat="false" ht="17.15" hidden="false" customHeight="false" outlineLevel="0" collapsed="false">
      <c r="A568" s="0" t="s">
        <v>502</v>
      </c>
      <c r="B568" s="0" t="s">
        <v>63</v>
      </c>
      <c r="D568" s="18" t="n">
        <f aca="false">1</f>
        <v>1</v>
      </c>
      <c r="E568" s="18" t="n">
        <f aca="false">pp_27</f>
        <v>1</v>
      </c>
      <c r="F568" s="18" t="n">
        <f aca="false">pp_28</f>
        <v>0.97</v>
      </c>
      <c r="G568" s="18" t="n">
        <f aca="false">pp_29</f>
        <v>0.94</v>
      </c>
    </row>
    <row r="569" customFormat="false" ht="17.15" hidden="false" customHeight="false" outlineLevel="0" collapsed="false">
      <c r="A569" s="3" t="s">
        <v>503</v>
      </c>
      <c r="B569" s="0" t="s">
        <v>49</v>
      </c>
      <c r="D569" s="17" t="n">
        <f aca="false">a26_ai/D567</f>
        <v>0.172842024579347</v>
      </c>
      <c r="K569" s="7" t="s">
        <v>504</v>
      </c>
    </row>
    <row r="570" customFormat="false" ht="17.15" hidden="false" customHeight="false" outlineLevel="0" collapsed="false">
      <c r="A570" s="3" t="s">
        <v>505</v>
      </c>
      <c r="B570" s="0" t="s">
        <v>63</v>
      </c>
      <c r="D570" s="18" t="n">
        <f aca="false">1</f>
        <v>1</v>
      </c>
      <c r="E570" s="18" t="n">
        <f aca="false">rel_27</f>
        <v>1</v>
      </c>
      <c r="F570" s="18" t="n">
        <f aca="false">rel_28</f>
        <v>0.95</v>
      </c>
      <c r="G570" s="18" t="n">
        <f aca="false">rel_29</f>
        <v>0.9</v>
      </c>
    </row>
    <row r="571" customFormat="false" ht="15" hidden="false" customHeight="false" outlineLevel="0" collapsed="false">
      <c r="A571" s="3" t="s">
        <v>454</v>
      </c>
      <c r="B571" s="0" t="s">
        <v>49</v>
      </c>
      <c r="D571" s="17" t="n">
        <f aca="false">$D$569*D570</f>
        <v>0.172842024579347</v>
      </c>
      <c r="E571" s="17" t="n">
        <f aca="false">$D$569*E570</f>
        <v>0.172842024579347</v>
      </c>
      <c r="F571" s="17" t="n">
        <f aca="false">$D$569*F570</f>
        <v>0.164199923350379</v>
      </c>
      <c r="G571" s="17" t="n">
        <f aca="false">$D$569*G570</f>
        <v>0.155557822121412</v>
      </c>
    </row>
    <row r="572" customFormat="false" ht="17.15" hidden="false" customHeight="false" outlineLevel="0" collapsed="false">
      <c r="A572" s="0" t="s">
        <v>506</v>
      </c>
      <c r="B572" s="0" t="s">
        <v>184</v>
      </c>
      <c r="D572" s="22" t="n">
        <f aca="false">D567*D571*D568</f>
        <v>55.00416</v>
      </c>
      <c r="E572" s="22" t="n">
        <f aca="false">E567*E571*E568</f>
        <v>145.578648187429</v>
      </c>
      <c r="F572" s="22" t="n">
        <f aca="false">F567*F571*F568</f>
        <v>154.338067297361</v>
      </c>
      <c r="G572" s="22" t="n">
        <f aca="false">G567*G571*G568</f>
        <v>188.840003670751</v>
      </c>
    </row>
    <row r="573" customFormat="false" ht="17.15" hidden="false" customHeight="false" outlineLevel="0" collapsed="false">
      <c r="A573" s="5" t="s">
        <v>507</v>
      </c>
    </row>
    <row r="574" customFormat="false" ht="17.15" hidden="false" customHeight="false" outlineLevel="0" collapsed="false">
      <c r="A574" s="3" t="s">
        <v>508</v>
      </c>
      <c r="B574" s="0" t="s">
        <v>63</v>
      </c>
      <c r="D574" s="18" t="n">
        <f aca="false">1</f>
        <v>1</v>
      </c>
      <c r="E574" s="18" t="n">
        <f aca="false">cx_27</f>
        <v>1.45</v>
      </c>
      <c r="F574" s="18" t="n">
        <f aca="false">cx_28</f>
        <v>1.9</v>
      </c>
      <c r="G574" s="18" t="n">
        <f aca="false">cx_29</f>
        <v>2.3</v>
      </c>
      <c r="K574" s="7" t="s">
        <v>509</v>
      </c>
    </row>
    <row r="575" customFormat="false" ht="17.15" hidden="false" customHeight="false" outlineLevel="0" collapsed="false">
      <c r="A575" s="3" t="s">
        <v>510</v>
      </c>
      <c r="B575" s="0" t="s">
        <v>184</v>
      </c>
      <c r="D575" s="22" t="n">
        <f aca="false">a26_rev*D574*D568</f>
        <v>105.40752</v>
      </c>
      <c r="E575" s="22" t="n">
        <f aca="false">a26_rev*E574*E568</f>
        <v>152.840904</v>
      </c>
      <c r="F575" s="22" t="n">
        <f aca="false">a26_rev*F574*F568</f>
        <v>194.26605936</v>
      </c>
      <c r="G575" s="22" t="n">
        <f aca="false">a26_rev*G574*G568</f>
        <v>227.89105824</v>
      </c>
    </row>
    <row r="576" customFormat="false" ht="17.15" hidden="false" customHeight="false" outlineLevel="0" collapsed="false">
      <c r="A576" s="3" t="s">
        <v>511</v>
      </c>
      <c r="B576" s="0" t="s">
        <v>184</v>
      </c>
      <c r="C576" s="22" t="n">
        <f aca="false">a25_nai</f>
        <v>42.0028</v>
      </c>
      <c r="D576" s="22" t="n">
        <f aca="false">a26_nai</f>
        <v>50.40336</v>
      </c>
      <c r="E576" s="22" t="n">
        <f aca="false">D576*(1+g_nai27)</f>
        <v>52.923528</v>
      </c>
      <c r="F576" s="22" t="n">
        <f aca="false">E576*(1+g_nai28)</f>
        <v>54.51123384</v>
      </c>
      <c r="G576" s="22" t="n">
        <f aca="false">F576*(1+g_nai29)</f>
        <v>56.1465708552</v>
      </c>
    </row>
    <row r="577" customFormat="false" ht="17.15" hidden="false" customHeight="false" outlineLevel="0" collapsed="false">
      <c r="A577" s="0" t="s">
        <v>512</v>
      </c>
      <c r="B577" s="0" t="s">
        <v>184</v>
      </c>
      <c r="C577" s="22" t="n">
        <f aca="false">a25_ai</f>
        <v>18.0012</v>
      </c>
      <c r="D577" s="22" t="n">
        <f aca="false">D572</f>
        <v>55.00416</v>
      </c>
      <c r="E577" s="22" t="n">
        <f aca="false">MIN(E572,E575-E576)</f>
        <v>99.917376</v>
      </c>
      <c r="F577" s="22" t="n">
        <f aca="false">MIN(F572,F575-F576)</f>
        <v>139.75482552</v>
      </c>
      <c r="G577" s="22" t="n">
        <f aca="false">MIN(G572,G575-G576)</f>
        <v>171.7444873848</v>
      </c>
      <c r="K577" s="3" t="s">
        <v>513</v>
      </c>
    </row>
    <row r="578" customFormat="false" ht="15" hidden="false" customHeight="false" outlineLevel="0" collapsed="false">
      <c r="A578" s="3" t="s">
        <v>514</v>
      </c>
      <c r="E578" s="0" t="str">
        <f aca="false">IF(E572&gt;E575-E576+0.0001,"受限","未受限")</f>
        <v>受限</v>
      </c>
      <c r="F578" s="0" t="str">
        <f aca="false">IF(F572&gt;F575-F576+0.0001,"受限","未受限")</f>
        <v>受限</v>
      </c>
      <c r="G578" s="0" t="str">
        <f aca="false">IF(G572&gt;G575-G576+0.0001,"受限","未受限")</f>
        <v>受限</v>
      </c>
    </row>
    <row r="579" customFormat="false" ht="17.15" hidden="false" customHeight="false" outlineLevel="0" collapsed="false">
      <c r="A579" s="3" t="s">
        <v>387</v>
      </c>
      <c r="B579" s="0" t="s">
        <v>184</v>
      </c>
      <c r="C579" s="22" t="n">
        <f aca="false">C577+C576</f>
        <v>60.004</v>
      </c>
      <c r="D579" s="22" t="n">
        <f aca="false">D577+D576</f>
        <v>105.40752</v>
      </c>
      <c r="E579" s="22" t="n">
        <f aca="false">E577+E576</f>
        <v>152.840904</v>
      </c>
      <c r="F579" s="22" t="n">
        <f aca="false">F577+F576</f>
        <v>194.26605936</v>
      </c>
      <c r="G579" s="22" t="n">
        <f aca="false">G577+G576</f>
        <v>227.89105824</v>
      </c>
      <c r="H579" s="24" t="n">
        <f aca="false">G579*(1+H580)</f>
        <v>257.226313072804</v>
      </c>
      <c r="I579" s="24" t="n">
        <f aca="false">H579*(1+I580)</f>
        <v>278.92655569709</v>
      </c>
      <c r="J579" s="24" t="n">
        <f aca="false">I579*(1+J580)</f>
        <v>290.083617924974</v>
      </c>
      <c r="K579" s="7" t="s">
        <v>515</v>
      </c>
    </row>
    <row r="580" customFormat="false" ht="15" hidden="false" customHeight="false" outlineLevel="0" collapsed="false">
      <c r="A580" s="3" t="s">
        <v>516</v>
      </c>
      <c r="B580" s="0" t="s">
        <v>49</v>
      </c>
      <c r="D580" s="17" t="n">
        <f aca="false">D579/C579-1</f>
        <v>0.756674888340778</v>
      </c>
      <c r="E580" s="17" t="n">
        <f aca="false">E579/D579-1</f>
        <v>0.45</v>
      </c>
      <c r="F580" s="17" t="n">
        <f aca="false">F579/E579-1</f>
        <v>0.271034482758621</v>
      </c>
      <c r="G580" s="17" t="n">
        <f aca="false">G579/F579-1</f>
        <v>0.173087357569181</v>
      </c>
      <c r="H580" s="25" t="n">
        <f aca="false">$G580+(fade_gB-$G580)*1/3</f>
        <v>0.12872490504612</v>
      </c>
      <c r="I580" s="25" t="n">
        <f aca="false">$G580+(fade_gB-$G580)*2/3</f>
        <v>0.0843624525230602</v>
      </c>
      <c r="J580" s="25" t="n">
        <f aca="false">$G580+(fade_gB-$G580)*3/3</f>
        <v>0.04</v>
      </c>
    </row>
    <row r="581" customFormat="false" ht="17.15" hidden="false" customHeight="false" outlineLevel="0" collapsed="false">
      <c r="A581" s="0" t="s">
        <v>517</v>
      </c>
      <c r="B581" s="0" t="s">
        <v>49</v>
      </c>
      <c r="C581" s="17" t="n">
        <f aca="false">C577/C579</f>
        <v>0.3</v>
      </c>
      <c r="D581" s="17" t="n">
        <f aca="false">D577/D579</f>
        <v>0.521823869871903</v>
      </c>
      <c r="E581" s="17" t="n">
        <f aca="false">E577/E579</f>
        <v>0.653734526458964</v>
      </c>
      <c r="F581" s="17" t="n">
        <f aca="false">F577/F579</f>
        <v>0.71939908587437</v>
      </c>
      <c r="G581" s="17" t="n">
        <f aca="false">G577/G579</f>
        <v>0.753625388864226</v>
      </c>
    </row>
    <row r="582" customFormat="false" ht="17.15" hidden="false" customHeight="false" outlineLevel="0" collapsed="false">
      <c r="A582" s="3" t="s">
        <v>518</v>
      </c>
      <c r="B582" s="0" t="s">
        <v>49</v>
      </c>
      <c r="D582" s="17" t="n">
        <f aca="false">(D572+D576)/D575</f>
        <v>1</v>
      </c>
      <c r="E582" s="17" t="n">
        <f aca="false">(E572+E576)/E575</f>
        <v>1.29875034099137</v>
      </c>
      <c r="F582" s="17" t="n">
        <f aca="false">(F572+F576)/F575</f>
        <v>1.07506839756468</v>
      </c>
      <c r="G582" s="17" t="n">
        <f aca="false">(G572+G576)/G575</f>
        <v>1.07501617842306</v>
      </c>
      <c r="K582" s="3" t="s">
        <v>519</v>
      </c>
    </row>
    <row r="583" customFormat="false" ht="17.15" hidden="false" customHeight="false" outlineLevel="0" collapsed="false">
      <c r="A583" s="3" t="s">
        <v>458</v>
      </c>
      <c r="B583" s="0" t="s">
        <v>90</v>
      </c>
      <c r="D583" s="21" t="n">
        <f aca="false">D577/fx/D561*1000</f>
        <v>73.4578604462223</v>
      </c>
      <c r="E583" s="21" t="n">
        <f aca="false">E577/fx/E561*1000</f>
        <v>74.9738410190283</v>
      </c>
      <c r="F583" s="21" t="n">
        <f aca="false">F577/fx/F561*1000</f>
        <v>103.408822959553</v>
      </c>
      <c r="G583" s="21" t="n">
        <f aca="false">G577/fx/G561*1000</f>
        <v>104.993073222002</v>
      </c>
    </row>
    <row r="584" customFormat="false" ht="17.15" hidden="false" customHeight="false" outlineLevel="0" collapsed="false">
      <c r="A584" s="5" t="s">
        <v>520</v>
      </c>
    </row>
    <row r="585" customFormat="false" ht="17.15" hidden="false" customHeight="false" outlineLevel="0" collapsed="false">
      <c r="A585" s="3" t="s">
        <v>521</v>
      </c>
      <c r="B585" s="0" t="s">
        <v>49</v>
      </c>
      <c r="D585" s="17" t="n">
        <f aca="false">a26_gp/D579-d_ai*D581</f>
        <v>0.296655205435058</v>
      </c>
      <c r="K585" s="7" t="s">
        <v>522</v>
      </c>
    </row>
    <row r="586" customFormat="false" ht="17.15" hidden="false" customHeight="false" outlineLevel="0" collapsed="false">
      <c r="A586" s="0" t="s">
        <v>523</v>
      </c>
      <c r="B586" s="0" t="s">
        <v>49</v>
      </c>
      <c r="D586" s="17" t="n">
        <f aca="false">D585+d_ai</f>
        <v>0.396655205435058</v>
      </c>
      <c r="E586" s="17" t="n">
        <f aca="false">1-(1-$D$586)/E568+GUHI_27</f>
        <v>0.416655205435058</v>
      </c>
      <c r="F586" s="17" t="n">
        <f aca="false">1-(1-$D$586)/F568+GUHI_28</f>
        <v>0.407995057149545</v>
      </c>
      <c r="G586" s="17" t="n">
        <f aca="false">1-(1-$D$586)/G568+GUHI_29</f>
        <v>0.393143835569211</v>
      </c>
      <c r="K586" s="7" t="s">
        <v>524</v>
      </c>
    </row>
    <row r="587" customFormat="false" ht="15" hidden="false" customHeight="false" outlineLevel="0" collapsed="false">
      <c r="A587" s="3" t="s">
        <v>391</v>
      </c>
      <c r="B587" s="0" t="s">
        <v>184</v>
      </c>
      <c r="C587" s="22" t="n">
        <f aca="false">a25_gp</f>
        <v>19.683</v>
      </c>
      <c r="D587" s="22" t="n">
        <f aca="false">a26_gp</f>
        <v>36.7701055</v>
      </c>
      <c r="E587" s="22" t="n">
        <f aca="false">E577*E586+E576*$D$585</f>
        <v>57.331134895</v>
      </c>
      <c r="F587" s="22" t="n">
        <f aca="false">F577*F586+F576*$D$585</f>
        <v>73.1903192982807</v>
      </c>
      <c r="G587" s="22" t="n">
        <f aca="false">G577*G586+G576*$D$585</f>
        <v>84.1764590198516</v>
      </c>
    </row>
    <row r="588" customFormat="false" ht="15" hidden="false" customHeight="false" outlineLevel="0" collapsed="false">
      <c r="A588" s="3" t="s">
        <v>394</v>
      </c>
      <c r="B588" s="0" t="s">
        <v>49</v>
      </c>
      <c r="C588" s="17" t="n">
        <f aca="false">C587/C579</f>
        <v>0.328028131457903</v>
      </c>
      <c r="D588" s="17" t="n">
        <f aca="false">D587/D579</f>
        <v>0.348837592422248</v>
      </c>
      <c r="E588" s="17" t="n">
        <f aca="false">E587/E579</f>
        <v>0.375103348610134</v>
      </c>
      <c r="F588" s="17" t="n">
        <f aca="false">F587/F579</f>
        <v>0.376752992979848</v>
      </c>
      <c r="G588" s="17" t="n">
        <f aca="false">G587/G579</f>
        <v>0.369371486840886</v>
      </c>
    </row>
    <row r="589" customFormat="false" ht="15" hidden="false" customHeight="false" outlineLevel="0" collapsed="false">
      <c r="A589" s="3" t="s">
        <v>525</v>
      </c>
      <c r="B589" s="0" t="s">
        <v>184</v>
      </c>
      <c r="C589" s="22" t="n">
        <f aca="false">a25_opx</f>
        <v>5.64</v>
      </c>
      <c r="D589" s="22" t="n">
        <f aca="false">a26_opx</f>
        <v>8.4779754</v>
      </c>
      <c r="E589" s="22" t="n">
        <f aca="false">D589*(1+MAX(0,phi*E580))</f>
        <v>10.767028758</v>
      </c>
      <c r="F589" s="22" t="n">
        <f aca="false">E589*(1+MAX(0,phi*F580))</f>
        <v>12.517970400163</v>
      </c>
      <c r="G589" s="22" t="n">
        <f aca="false">F589*(1+MAX(0,phi*G580))</f>
        <v>13.8179918513791</v>
      </c>
    </row>
    <row r="590" customFormat="false" ht="15" hidden="false" customHeight="false" outlineLevel="0" collapsed="false">
      <c r="A590" s="3" t="s">
        <v>396</v>
      </c>
      <c r="B590" s="0" t="s">
        <v>184</v>
      </c>
      <c r="C590" s="22" t="n">
        <f aca="false">C589</f>
        <v>5.64</v>
      </c>
      <c r="D590" s="22" t="n">
        <f aca="false">D589</f>
        <v>8.4779754</v>
      </c>
      <c r="E590" s="22" t="n">
        <f aca="false">E589+0*E579</f>
        <v>10.767028758</v>
      </c>
      <c r="F590" s="22" t="n">
        <f aca="false">F589+0*F579</f>
        <v>12.517970400163</v>
      </c>
      <c r="G590" s="22" t="n">
        <f aca="false">G589+0*G579</f>
        <v>13.8179918513791</v>
      </c>
    </row>
    <row r="591" customFormat="false" ht="15" hidden="false" customHeight="false" outlineLevel="0" collapsed="false">
      <c r="A591" s="3" t="s">
        <v>526</v>
      </c>
      <c r="B591" s="0" t="s">
        <v>184</v>
      </c>
      <c r="C591" s="22" t="n">
        <f aca="false">C587-C590</f>
        <v>14.043</v>
      </c>
      <c r="D591" s="22" t="n">
        <f aca="false">D587-D590</f>
        <v>28.2921301</v>
      </c>
      <c r="E591" s="22" t="n">
        <f aca="false">E587-E590</f>
        <v>46.564106137</v>
      </c>
      <c r="F591" s="22" t="n">
        <f aca="false">F587-F590</f>
        <v>60.6723488981177</v>
      </c>
      <c r="G591" s="22" t="n">
        <f aca="false">G587-G590</f>
        <v>70.3584671684725</v>
      </c>
    </row>
    <row r="592" customFormat="false" ht="15" hidden="false" customHeight="false" outlineLevel="0" collapsed="false">
      <c r="A592" s="3" t="s">
        <v>402</v>
      </c>
      <c r="B592" s="0" t="s">
        <v>49</v>
      </c>
      <c r="C592" s="17" t="n">
        <f aca="false">C591/C579</f>
        <v>0.23403439770682</v>
      </c>
      <c r="D592" s="17" t="n">
        <f aca="false">D591/D579</f>
        <v>0.268407131673338</v>
      </c>
      <c r="E592" s="17" t="n">
        <f aca="false">E591/E579</f>
        <v>0.304657358850743</v>
      </c>
      <c r="F592" s="17" t="n">
        <f aca="false">F591/F579</f>
        <v>0.312315744180943</v>
      </c>
      <c r="G592" s="17" t="n">
        <f aca="false">G591/G579</f>
        <v>0.308737287508558</v>
      </c>
    </row>
    <row r="593" customFormat="false" ht="17.15" hidden="false" customHeight="false" outlineLevel="0" collapsed="false">
      <c r="A593" s="3" t="s">
        <v>403</v>
      </c>
      <c r="B593" s="0" t="s">
        <v>184</v>
      </c>
      <c r="E593" s="22" t="n">
        <f aca="false">nop_f</f>
        <v>0</v>
      </c>
      <c r="F593" s="22" t="n">
        <f aca="false">nop_f</f>
        <v>0</v>
      </c>
      <c r="G593" s="22" t="n">
        <f aca="false">nop_f</f>
        <v>0</v>
      </c>
      <c r="K593" s="7" t="s">
        <v>527</v>
      </c>
    </row>
    <row r="594" customFormat="false" ht="15" hidden="false" customHeight="false" outlineLevel="0" collapsed="false">
      <c r="A594" s="3" t="s">
        <v>408</v>
      </c>
      <c r="B594" s="0" t="s">
        <v>184</v>
      </c>
      <c r="C594" s="22" t="n">
        <f aca="false">a25_ni</f>
        <v>9.607</v>
      </c>
      <c r="D594" s="22" t="n">
        <f aca="false">a26_ni</f>
        <v>19.6977289395284</v>
      </c>
      <c r="E594" s="22" t="n">
        <f aca="false">(E591+E593)*nir_f</f>
        <v>31.896412703845</v>
      </c>
      <c r="F594" s="22" t="n">
        <f aca="false">(F591+F593)*nir_f</f>
        <v>41.5605589952106</v>
      </c>
      <c r="G594" s="22" t="n">
        <f aca="false">(G591+G593)*nir_f</f>
        <v>48.1955500104037</v>
      </c>
      <c r="H594" s="24" t="n">
        <f aca="false">H579*H599</f>
        <v>50.3975044189894</v>
      </c>
      <c r="I594" s="24" t="n">
        <f aca="false">I579*I599</f>
        <v>50.3095286549174</v>
      </c>
      <c r="J594" s="24" t="n">
        <f aca="false">J579*J599</f>
        <v>47.8086916496984</v>
      </c>
    </row>
    <row r="595" customFormat="false" ht="17.15" hidden="false" customHeight="false" outlineLevel="0" collapsed="false">
      <c r="A595" s="3" t="s">
        <v>411</v>
      </c>
      <c r="B595" s="0" t="s">
        <v>49</v>
      </c>
      <c r="C595" s="17" t="n">
        <f aca="false">C594/C591</f>
        <v>0.684113081250445</v>
      </c>
      <c r="D595" s="17" t="n">
        <f aca="false">D594/D591</f>
        <v>0.696226437171953</v>
      </c>
      <c r="E595" s="17" t="n">
        <f aca="false">E594/E591</f>
        <v>0.685</v>
      </c>
      <c r="F595" s="17" t="n">
        <f aca="false">F594/F591</f>
        <v>0.685</v>
      </c>
      <c r="G595" s="17" t="n">
        <f aca="false">G594/G591</f>
        <v>0.685</v>
      </c>
    </row>
    <row r="596" customFormat="false" ht="17.15" hidden="false" customHeight="false" outlineLevel="0" collapsed="false">
      <c r="A596" s="3" t="s">
        <v>528</v>
      </c>
      <c r="B596" s="3" t="s">
        <v>214</v>
      </c>
      <c r="C596" s="27" t="n">
        <f aca="false">a25_sh</f>
        <v>0.493425783256292</v>
      </c>
      <c r="D596" s="27" t="n">
        <f aca="false">a26_sh</f>
        <v>0.512980850061958</v>
      </c>
      <c r="E596" s="27" t="n">
        <f aca="false">sh_h2*(1+sh_g)</f>
        <v>0.51889356</v>
      </c>
      <c r="F596" s="27" t="n">
        <f aca="false">E596*(1+sh_g)</f>
        <v>0.5240824956</v>
      </c>
      <c r="G596" s="27" t="n">
        <f aca="false">F596*(1+sh_g)</f>
        <v>0.529323320556</v>
      </c>
      <c r="H596" s="28" t="n">
        <f aca="false">G596*(1+sh_g)</f>
        <v>0.53461655376156</v>
      </c>
      <c r="I596" s="28" t="n">
        <f aca="false">H596*(1+sh_g)</f>
        <v>0.539962719299176</v>
      </c>
      <c r="J596" s="28" t="n">
        <f aca="false">I596*(1+sh_g)</f>
        <v>0.545362346492167</v>
      </c>
      <c r="K596" s="7" t="s">
        <v>529</v>
      </c>
    </row>
    <row r="597" customFormat="false" ht="15" hidden="false" customHeight="false" outlineLevel="0" collapsed="false">
      <c r="A597" s="0" t="s">
        <v>414</v>
      </c>
      <c r="B597" s="0" t="s">
        <v>252</v>
      </c>
      <c r="C597" s="23" t="n">
        <f aca="false">C594/C596</f>
        <v>19.47</v>
      </c>
      <c r="D597" s="23" t="n">
        <f aca="false">D594/D596</f>
        <v>38.3985658278458</v>
      </c>
      <c r="E597" s="23" t="n">
        <f aca="false">E594/E596</f>
        <v>61.470049279172</v>
      </c>
      <c r="F597" s="23" t="n">
        <f aca="false">F594/F596</f>
        <v>79.3015590944889</v>
      </c>
      <c r="G597" s="23" t="n">
        <f aca="false">G594/G596</f>
        <v>91.0512500370836</v>
      </c>
      <c r="H597" s="29" t="n">
        <f aca="false">H594/H596</f>
        <v>94.2685071466507</v>
      </c>
      <c r="I597" s="29" t="n">
        <f aca="false">I594/I596</f>
        <v>93.1722262607588</v>
      </c>
      <c r="J597" s="29" t="n">
        <f aca="false">J594/J596</f>
        <v>87.664086010355</v>
      </c>
    </row>
    <row r="598" customFormat="false" ht="17.15" hidden="false" customHeight="false" outlineLevel="0" collapsed="false">
      <c r="A598" s="0" t="s">
        <v>530</v>
      </c>
      <c r="B598" s="0" t="s">
        <v>49</v>
      </c>
      <c r="D598" s="17" t="n">
        <f aca="false">D597/C597-1</f>
        <v>0.9721913624985</v>
      </c>
      <c r="E598" s="17" t="n">
        <f aca="false">E597/D597-1</f>
        <v>0.6008423219441</v>
      </c>
      <c r="F598" s="17" t="n">
        <f aca="false">F597/E597-1</f>
        <v>0.290084521232989</v>
      </c>
      <c r="G598" s="17" t="n">
        <f aca="false">G597/F597-1</f>
        <v>0.148164690288053</v>
      </c>
      <c r="H598" s="25" t="n">
        <f aca="false">H597/G597-1</f>
        <v>0.0353345737511215</v>
      </c>
      <c r="I598" s="25" t="n">
        <f aca="false">I597/H597-1</f>
        <v>-0.0116293438718235</v>
      </c>
      <c r="J598" s="25" t="n">
        <f aca="false">J597/I597-1</f>
        <v>-0.0591178344820086</v>
      </c>
    </row>
    <row r="599" customFormat="false" ht="17.15" hidden="false" customHeight="false" outlineLevel="0" collapsed="false">
      <c r="A599" s="3" t="s">
        <v>531</v>
      </c>
      <c r="B599" s="0" t="s">
        <v>49</v>
      </c>
      <c r="C599" s="17" t="n">
        <f aca="false">C594/C579</f>
        <v>0.160105992933804</v>
      </c>
      <c r="D599" s="17" t="n">
        <f aca="false">D594/D579</f>
        <v>0.186872140996471</v>
      </c>
      <c r="E599" s="17" t="n">
        <f aca="false">E594/E579</f>
        <v>0.208690290812759</v>
      </c>
      <c r="F599" s="17" t="n">
        <f aca="false">F594/F579</f>
        <v>0.213936284763946</v>
      </c>
      <c r="G599" s="17" t="n">
        <f aca="false">G594/G579</f>
        <v>0.211485041943363</v>
      </c>
      <c r="H599" s="25" t="n">
        <f aca="false">$G599+(fade_mB-$G599)*1/3</f>
        <v>0.195926706785729</v>
      </c>
      <c r="I599" s="25" t="n">
        <f aca="false">$G599+(fade_mB-$G599)*2/3</f>
        <v>0.180368371628095</v>
      </c>
      <c r="J599" s="25" t="n">
        <f aca="false">$G599+(fade_mB-$G599)*3/3</f>
        <v>0.164810036470462</v>
      </c>
    </row>
    <row r="602" customFormat="false" ht="17.15" hidden="false" customHeight="false" outlineLevel="0" collapsed="false">
      <c r="A602" s="1" t="s">
        <v>834</v>
      </c>
    </row>
    <row r="603" customFormat="false" ht="17.15" hidden="false" customHeight="false" outlineLevel="0" collapsed="false">
      <c r="A603" s="4" t="s">
        <v>18</v>
      </c>
      <c r="B603" s="4" t="s">
        <v>19</v>
      </c>
      <c r="C603" s="14" t="s">
        <v>382</v>
      </c>
      <c r="D603" s="14" t="s">
        <v>472</v>
      </c>
      <c r="E603" s="14" t="s">
        <v>473</v>
      </c>
      <c r="F603" s="14" t="s">
        <v>474</v>
      </c>
      <c r="G603" s="14" t="s">
        <v>475</v>
      </c>
      <c r="H603" s="14" t="s">
        <v>476</v>
      </c>
      <c r="I603" s="14" t="s">
        <v>477</v>
      </c>
      <c r="J603" s="14" t="s">
        <v>478</v>
      </c>
      <c r="K603" s="4" t="s">
        <v>436</v>
      </c>
    </row>
    <row r="604" customFormat="false" ht="17.15" hidden="false" customHeight="false" outlineLevel="0" collapsed="false">
      <c r="A604" s="5" t="s">
        <v>494</v>
      </c>
    </row>
    <row r="605" customFormat="false" ht="17.15" hidden="false" customHeight="false" outlineLevel="0" collapsed="false">
      <c r="A605" s="0" t="s">
        <v>495</v>
      </c>
      <c r="B605" s="0" t="s">
        <v>29</v>
      </c>
      <c r="D605" s="23" t="n">
        <f aca="false">itc_26*1</f>
        <v>781.872916666667</v>
      </c>
      <c r="E605" s="23" t="n">
        <f aca="false">itc_27*1*mf_lo</f>
        <v>1252.28</v>
      </c>
      <c r="F605" s="23" t="n">
        <f aca="false">itc_28*um28_B*mf_lo</f>
        <v>1269.92888888889</v>
      </c>
      <c r="G605" s="23" t="n">
        <f aca="false">itc_29*um29_B*mf_lo</f>
        <v>1537.06538888889</v>
      </c>
    </row>
    <row r="606" customFormat="false" ht="17.15" hidden="false" customHeight="false" outlineLevel="0" collapsed="false">
      <c r="A606" s="3" t="s">
        <v>496</v>
      </c>
      <c r="B606" s="0" t="s">
        <v>29</v>
      </c>
      <c r="D606" s="23" t="n">
        <f aca="false">itpg_gb*(1-vr26)+itpg_vr*vr26</f>
        <v>33.41403216</v>
      </c>
      <c r="E606" s="23" t="n">
        <f aca="false">itpg_vr</f>
        <v>37.586352</v>
      </c>
      <c r="F606" s="23" t="n">
        <f aca="false">itpg_vr</f>
        <v>37.586352</v>
      </c>
      <c r="G606" s="23" t="n">
        <f aca="false">itpg_vr</f>
        <v>37.586352</v>
      </c>
    </row>
    <row r="607" customFormat="false" ht="17.15" hidden="false" customHeight="false" outlineLevel="0" collapsed="false">
      <c r="A607" s="3" t="s">
        <v>497</v>
      </c>
      <c r="B607" s="0" t="s">
        <v>438</v>
      </c>
      <c r="D607" s="20" t="n">
        <f aca="false">D605/D606</f>
        <v>23.3995380420639</v>
      </c>
      <c r="E607" s="20" t="n">
        <f aca="false">E605/E606</f>
        <v>33.3174126608509</v>
      </c>
      <c r="F607" s="20" t="n">
        <f aca="false">F605/F606</f>
        <v>33.7869684423987</v>
      </c>
      <c r="G607" s="20" t="n">
        <f aca="false">G605/G606</f>
        <v>40.8942423805559</v>
      </c>
    </row>
    <row r="608" customFormat="false" ht="17.15" hidden="false" customHeight="false" outlineLevel="0" collapsed="false">
      <c r="A608" s="3" t="s">
        <v>442</v>
      </c>
      <c r="B608" s="0" t="s">
        <v>90</v>
      </c>
      <c r="D608" s="21" t="n">
        <f aca="false">vg_cmp26</f>
        <v>280</v>
      </c>
      <c r="E608" s="21" t="n">
        <f aca="false">(vg_cmp26+(vg_cmp27-vg_cmp26)*pgwf)</f>
        <v>420</v>
      </c>
      <c r="F608" s="21" t="n">
        <f aca="false">(vg_cmp26+(vg_cmp28-vg_cmp26)*pgwf)</f>
        <v>462</v>
      </c>
      <c r="G608" s="21" t="n">
        <f aca="false">(vg_cmp26+(vg_cmp29-vg_cmp26)*pgwf)</f>
        <v>504</v>
      </c>
    </row>
    <row r="609" customFormat="false" ht="17.15" hidden="false" customHeight="false" outlineLevel="0" collapsed="false">
      <c r="A609" s="3" t="s">
        <v>444</v>
      </c>
      <c r="B609" s="0" t="s">
        <v>90</v>
      </c>
      <c r="D609" s="21" t="n">
        <f aca="false">vg_sw26</f>
        <v>120</v>
      </c>
      <c r="E609" s="21" t="n">
        <f aca="false">(vg_sw26+(vg_sw27-vg_sw26)*pgwf)</f>
        <v>162</v>
      </c>
      <c r="F609" s="21" t="n">
        <f aca="false">(vg_sw26+(vg_sw28-vg_sw26)*pgwf)</f>
        <v>180</v>
      </c>
      <c r="G609" s="21" t="n">
        <f aca="false">(vg_sw26+(vg_sw29-vg_sw26)*pgwf)</f>
        <v>198</v>
      </c>
    </row>
    <row r="610" customFormat="false" ht="17.15" hidden="false" customHeight="false" outlineLevel="0" collapsed="false">
      <c r="A610" s="3" t="s">
        <v>498</v>
      </c>
      <c r="B610" s="0" t="s">
        <v>90</v>
      </c>
      <c r="D610" s="21" t="n">
        <f aca="false">vg_mid26*w_mid</f>
        <v>25</v>
      </c>
      <c r="E610" s="21" t="n">
        <f aca="false">(vg_mid26+(vg_mid27-vg_mid26)*pgwf)*w_mid</f>
        <v>50</v>
      </c>
      <c r="F610" s="21" t="n">
        <f aca="false">(vg_mid26+(vg_mid28-vg_mid26)*pgwf)*w_mid</f>
        <v>75</v>
      </c>
      <c r="G610" s="21" t="n">
        <f aca="false">(vg_mid26+(vg_mid29-vg_mid26)*pgwf)*w_mid</f>
        <v>87.5</v>
      </c>
    </row>
    <row r="611" customFormat="false" ht="17.15" hidden="false" customHeight="false" outlineLevel="0" collapsed="false">
      <c r="A611" s="3" t="s">
        <v>499</v>
      </c>
      <c r="B611" s="0" t="s">
        <v>90</v>
      </c>
      <c r="D611" s="21" t="n">
        <f aca="false">D608+D609+D610</f>
        <v>425</v>
      </c>
      <c r="E611" s="21" t="n">
        <f aca="false">E608+E609+E610</f>
        <v>632</v>
      </c>
      <c r="F611" s="21" t="n">
        <f aca="false">F608+F609+F610</f>
        <v>717</v>
      </c>
      <c r="G611" s="21" t="n">
        <f aca="false">G608+G609+G610</f>
        <v>789.5</v>
      </c>
    </row>
    <row r="612" customFormat="false" ht="17.15" hidden="false" customHeight="false" outlineLevel="0" collapsed="false">
      <c r="A612" s="3" t="s">
        <v>500</v>
      </c>
      <c r="B612" s="0" t="s">
        <v>29</v>
      </c>
      <c r="D612" s="23" t="n">
        <f aca="false">D607*D611/1000</f>
        <v>9.94480366787716</v>
      </c>
      <c r="E612" s="23" t="n">
        <f aca="false">E607*E611/1000</f>
        <v>21.0566048016578</v>
      </c>
      <c r="F612" s="23" t="n">
        <f aca="false">F607*F611/1000</f>
        <v>24.2252563731999</v>
      </c>
      <c r="G612" s="23" t="n">
        <f aca="false">G607*G611/1000</f>
        <v>32.2860043594489</v>
      </c>
    </row>
    <row r="613" customFormat="false" ht="17.15" hidden="false" customHeight="false" outlineLevel="0" collapsed="false">
      <c r="A613" s="3" t="s">
        <v>501</v>
      </c>
      <c r="B613" s="0" t="s">
        <v>184</v>
      </c>
      <c r="D613" s="22" t="n">
        <f aca="false">D612*fx</f>
        <v>318.233717372069</v>
      </c>
      <c r="E613" s="22" t="n">
        <f aca="false">E612*fx</f>
        <v>673.811353653049</v>
      </c>
      <c r="F613" s="22" t="n">
        <f aca="false">F612*fx</f>
        <v>775.208203942396</v>
      </c>
      <c r="G613" s="22" t="n">
        <f aca="false">G612*fx</f>
        <v>1033.15213950236</v>
      </c>
    </row>
    <row r="614" customFormat="false" ht="17.15" hidden="false" customHeight="false" outlineLevel="0" collapsed="false">
      <c r="A614" s="0" t="s">
        <v>502</v>
      </c>
      <c r="B614" s="0" t="s">
        <v>63</v>
      </c>
      <c r="D614" s="18" t="n">
        <f aca="false">1</f>
        <v>1</v>
      </c>
      <c r="E614" s="18" t="n">
        <f aca="false">pp_27</f>
        <v>1</v>
      </c>
      <c r="F614" s="18" t="n">
        <f aca="false">pp_28</f>
        <v>0.97</v>
      </c>
      <c r="G614" s="18" t="n">
        <f aca="false">pp_29</f>
        <v>0.94</v>
      </c>
    </row>
    <row r="615" customFormat="false" ht="17.15" hidden="false" customHeight="false" outlineLevel="0" collapsed="false">
      <c r="A615" s="3" t="s">
        <v>503</v>
      </c>
      <c r="B615" s="0" t="s">
        <v>49</v>
      </c>
      <c r="D615" s="17" t="n">
        <f aca="false">a26_ai/D613</f>
        <v>0.172842024579347</v>
      </c>
      <c r="K615" s="7" t="s">
        <v>504</v>
      </c>
    </row>
    <row r="616" customFormat="false" ht="17.15" hidden="false" customHeight="false" outlineLevel="0" collapsed="false">
      <c r="A616" s="3" t="s">
        <v>505</v>
      </c>
      <c r="B616" s="0" t="s">
        <v>63</v>
      </c>
      <c r="D616" s="18" t="n">
        <f aca="false">1</f>
        <v>1</v>
      </c>
      <c r="E616" s="18" t="n">
        <f aca="false">rel_27</f>
        <v>1</v>
      </c>
      <c r="F616" s="18" t="n">
        <f aca="false">rel_28</f>
        <v>0.95</v>
      </c>
      <c r="G616" s="18" t="n">
        <f aca="false">rel_29</f>
        <v>0.9</v>
      </c>
    </row>
    <row r="617" customFormat="false" ht="15" hidden="false" customHeight="false" outlineLevel="0" collapsed="false">
      <c r="A617" s="3" t="s">
        <v>454</v>
      </c>
      <c r="B617" s="0" t="s">
        <v>49</v>
      </c>
      <c r="D617" s="17" t="n">
        <f aca="false">$D$615*D616</f>
        <v>0.172842024579347</v>
      </c>
      <c r="E617" s="17" t="n">
        <f aca="false">$D$615*E616</f>
        <v>0.172842024579347</v>
      </c>
      <c r="F617" s="17" t="n">
        <f aca="false">$D$615*F616</f>
        <v>0.164199923350379</v>
      </c>
      <c r="G617" s="17" t="n">
        <f aca="false">$D$615*G616</f>
        <v>0.155557822121412</v>
      </c>
    </row>
    <row r="618" customFormat="false" ht="17.15" hidden="false" customHeight="false" outlineLevel="0" collapsed="false">
      <c r="A618" s="0" t="s">
        <v>506</v>
      </c>
      <c r="B618" s="0" t="s">
        <v>184</v>
      </c>
      <c r="D618" s="22" t="n">
        <f aca="false">D613*D617*D614</f>
        <v>55.00416</v>
      </c>
      <c r="E618" s="22" t="n">
        <f aca="false">E613*E617*E614</f>
        <v>116.462918549943</v>
      </c>
      <c r="F618" s="22" t="n">
        <f aca="false">F613*F617*F614</f>
        <v>123.470453837889</v>
      </c>
      <c r="G618" s="22" t="n">
        <f aca="false">G613*G617*G614</f>
        <v>151.072002936601</v>
      </c>
    </row>
    <row r="619" customFormat="false" ht="17.15" hidden="false" customHeight="false" outlineLevel="0" collapsed="false">
      <c r="A619" s="5" t="s">
        <v>507</v>
      </c>
    </row>
    <row r="620" customFormat="false" ht="17.15" hidden="false" customHeight="false" outlineLevel="0" collapsed="false">
      <c r="A620" s="3" t="s">
        <v>508</v>
      </c>
      <c r="B620" s="0" t="s">
        <v>63</v>
      </c>
      <c r="D620" s="18" t="n">
        <f aca="false">1</f>
        <v>1</v>
      </c>
      <c r="E620" s="18" t="n">
        <f aca="false">cx_27</f>
        <v>1.45</v>
      </c>
      <c r="F620" s="18" t="n">
        <f aca="false">cx_28</f>
        <v>1.9</v>
      </c>
      <c r="G620" s="18" t="n">
        <f aca="false">cx_29</f>
        <v>2.3</v>
      </c>
      <c r="K620" s="7" t="s">
        <v>509</v>
      </c>
    </row>
    <row r="621" customFormat="false" ht="17.15" hidden="false" customHeight="false" outlineLevel="0" collapsed="false">
      <c r="A621" s="3" t="s">
        <v>510</v>
      </c>
      <c r="B621" s="0" t="s">
        <v>184</v>
      </c>
      <c r="D621" s="22" t="n">
        <f aca="false">a26_rev*D620*D614</f>
        <v>105.40752</v>
      </c>
      <c r="E621" s="22" t="n">
        <f aca="false">a26_rev*E620*E614</f>
        <v>152.840904</v>
      </c>
      <c r="F621" s="22" t="n">
        <f aca="false">a26_rev*F620*F614</f>
        <v>194.26605936</v>
      </c>
      <c r="G621" s="22" t="n">
        <f aca="false">a26_rev*G620*G614</f>
        <v>227.89105824</v>
      </c>
    </row>
    <row r="622" customFormat="false" ht="17.15" hidden="false" customHeight="false" outlineLevel="0" collapsed="false">
      <c r="A622" s="3" t="s">
        <v>511</v>
      </c>
      <c r="B622" s="0" t="s">
        <v>184</v>
      </c>
      <c r="C622" s="22" t="n">
        <f aca="false">a25_nai</f>
        <v>42.0028</v>
      </c>
      <c r="D622" s="22" t="n">
        <f aca="false">a26_nai</f>
        <v>50.40336</v>
      </c>
      <c r="E622" s="22" t="n">
        <f aca="false">D622*(1+g_nai27)</f>
        <v>52.923528</v>
      </c>
      <c r="F622" s="22" t="n">
        <f aca="false">E622*(1+g_nai28)</f>
        <v>54.51123384</v>
      </c>
      <c r="G622" s="22" t="n">
        <f aca="false">F622*(1+g_nai29)</f>
        <v>56.1465708552</v>
      </c>
    </row>
    <row r="623" customFormat="false" ht="17.15" hidden="false" customHeight="false" outlineLevel="0" collapsed="false">
      <c r="A623" s="0" t="s">
        <v>512</v>
      </c>
      <c r="B623" s="0" t="s">
        <v>184</v>
      </c>
      <c r="C623" s="22" t="n">
        <f aca="false">a25_ai</f>
        <v>18.0012</v>
      </c>
      <c r="D623" s="22" t="n">
        <f aca="false">D618</f>
        <v>55.00416</v>
      </c>
      <c r="E623" s="22" t="n">
        <f aca="false">MIN(E618,E621-E622)</f>
        <v>99.917376</v>
      </c>
      <c r="F623" s="22" t="n">
        <f aca="false">MIN(F618,F621-F622)</f>
        <v>123.470453837889</v>
      </c>
      <c r="G623" s="22" t="n">
        <f aca="false">MIN(G618,G621-G622)</f>
        <v>151.072002936601</v>
      </c>
      <c r="K623" s="3" t="s">
        <v>513</v>
      </c>
    </row>
    <row r="624" customFormat="false" ht="15" hidden="false" customHeight="false" outlineLevel="0" collapsed="false">
      <c r="A624" s="3" t="s">
        <v>514</v>
      </c>
      <c r="E624" s="0" t="str">
        <f aca="false">IF(E618&gt;E621-E622+0.0001,"受限","未受限")</f>
        <v>受限</v>
      </c>
      <c r="F624" s="0" t="str">
        <f aca="false">IF(F618&gt;F621-F622+0.0001,"受限","未受限")</f>
        <v>未受限</v>
      </c>
      <c r="G624" s="0" t="str">
        <f aca="false">IF(G618&gt;G621-G622+0.0001,"受限","未受限")</f>
        <v>未受限</v>
      </c>
    </row>
    <row r="625" customFormat="false" ht="17.15" hidden="false" customHeight="false" outlineLevel="0" collapsed="false">
      <c r="A625" s="3" t="s">
        <v>387</v>
      </c>
      <c r="B625" s="0" t="s">
        <v>184</v>
      </c>
      <c r="C625" s="22" t="n">
        <f aca="false">C623+C622</f>
        <v>60.004</v>
      </c>
      <c r="D625" s="22" t="n">
        <f aca="false">D623+D622</f>
        <v>105.40752</v>
      </c>
      <c r="E625" s="22" t="n">
        <f aca="false">E623+E622</f>
        <v>152.840904</v>
      </c>
      <c r="F625" s="22" t="n">
        <f aca="false">F623+F622</f>
        <v>177.981687677889</v>
      </c>
      <c r="G625" s="22" t="n">
        <f aca="false">G623+G622</f>
        <v>207.218573791801</v>
      </c>
      <c r="H625" s="24" t="n">
        <f aca="false">G625*(1+H626)</f>
        <v>232.674556224372</v>
      </c>
      <c r="I625" s="24" t="n">
        <f aca="false">H625*(1+I626)</f>
        <v>251.619621958636</v>
      </c>
      <c r="J625" s="24" t="n">
        <f aca="false">I625*(1+J626)</f>
        <v>261.684406836981</v>
      </c>
      <c r="K625" s="7" t="s">
        <v>515</v>
      </c>
    </row>
    <row r="626" customFormat="false" ht="15" hidden="false" customHeight="false" outlineLevel="0" collapsed="false">
      <c r="A626" s="3" t="s">
        <v>516</v>
      </c>
      <c r="B626" s="0" t="s">
        <v>49</v>
      </c>
      <c r="D626" s="17" t="n">
        <f aca="false">D625/C625-1</f>
        <v>0.756674888340778</v>
      </c>
      <c r="E626" s="17" t="n">
        <f aca="false">E625/D625-1</f>
        <v>0.45</v>
      </c>
      <c r="F626" s="17" t="n">
        <f aca="false">F625/E625-1</f>
        <v>0.164489891252467</v>
      </c>
      <c r="G626" s="17" t="n">
        <f aca="false">G625/F625-1</f>
        <v>0.164269068887722</v>
      </c>
      <c r="H626" s="25" t="n">
        <f aca="false">$G626+(fade_gB-$G626)*1/3</f>
        <v>0.122846045925148</v>
      </c>
      <c r="I626" s="25" t="n">
        <f aca="false">$G626+(fade_gB-$G626)*2/3</f>
        <v>0.0814230229625739</v>
      </c>
      <c r="J626" s="25" t="n">
        <f aca="false">$G626+(fade_gB-$G626)*3/3</f>
        <v>0.04</v>
      </c>
    </row>
    <row r="627" customFormat="false" ht="17.15" hidden="false" customHeight="false" outlineLevel="0" collapsed="false">
      <c r="A627" s="0" t="s">
        <v>517</v>
      </c>
      <c r="B627" s="0" t="s">
        <v>49</v>
      </c>
      <c r="C627" s="17" t="n">
        <f aca="false">C623/C625</f>
        <v>0.3</v>
      </c>
      <c r="D627" s="17" t="n">
        <f aca="false">D623/D625</f>
        <v>0.521823869871903</v>
      </c>
      <c r="E627" s="17" t="n">
        <f aca="false">E623/E625</f>
        <v>0.653734526458964</v>
      </c>
      <c r="F627" s="17" t="n">
        <f aca="false">F623/F625</f>
        <v>0.69372560429557</v>
      </c>
      <c r="G627" s="17" t="n">
        <f aca="false">G623/G625</f>
        <v>0.729046630194394</v>
      </c>
    </row>
    <row r="628" customFormat="false" ht="17.15" hidden="false" customHeight="false" outlineLevel="0" collapsed="false">
      <c r="A628" s="3" t="s">
        <v>518</v>
      </c>
      <c r="B628" s="0" t="s">
        <v>49</v>
      </c>
      <c r="D628" s="17" t="n">
        <f aca="false">(D618+D622)/D621</f>
        <v>1</v>
      </c>
      <c r="E628" s="17" t="n">
        <f aca="false">(E618+E622)/E621</f>
        <v>1.1082533675013</v>
      </c>
      <c r="F628" s="17" t="n">
        <f aca="false">(F618+F622)/F621</f>
        <v>0.916174900876873</v>
      </c>
      <c r="G628" s="17" t="n">
        <f aca="false">(G618+G622)/G621</f>
        <v>0.9092878649656</v>
      </c>
      <c r="K628" s="3" t="s">
        <v>519</v>
      </c>
    </row>
    <row r="629" customFormat="false" ht="17.15" hidden="false" customHeight="false" outlineLevel="0" collapsed="false">
      <c r="A629" s="3" t="s">
        <v>458</v>
      </c>
      <c r="B629" s="0" t="s">
        <v>90</v>
      </c>
      <c r="D629" s="21" t="n">
        <f aca="false">D623/fx/D607*1000</f>
        <v>73.4578604462223</v>
      </c>
      <c r="E629" s="21" t="n">
        <f aca="false">E623/fx/E607*1000</f>
        <v>93.7173012737854</v>
      </c>
      <c r="F629" s="21" t="n">
        <f aca="false">F623/fx/F607*1000</f>
        <v>114.199404690955</v>
      </c>
      <c r="G629" s="21" t="n">
        <f aca="false">G623/fx/G607*1000</f>
        <v>115.444126530963</v>
      </c>
    </row>
    <row r="630" customFormat="false" ht="17.15" hidden="false" customHeight="false" outlineLevel="0" collapsed="false">
      <c r="A630" s="5" t="s">
        <v>520</v>
      </c>
    </row>
    <row r="631" customFormat="false" ht="17.15" hidden="false" customHeight="false" outlineLevel="0" collapsed="false">
      <c r="A631" s="3" t="s">
        <v>521</v>
      </c>
      <c r="B631" s="0" t="s">
        <v>49</v>
      </c>
      <c r="D631" s="17" t="n">
        <f aca="false">a26_gp/D625-d_ai*D627</f>
        <v>0.296655205435058</v>
      </c>
      <c r="K631" s="7" t="s">
        <v>522</v>
      </c>
    </row>
    <row r="632" customFormat="false" ht="17.15" hidden="false" customHeight="false" outlineLevel="0" collapsed="false">
      <c r="A632" s="0" t="s">
        <v>523</v>
      </c>
      <c r="B632" s="0" t="s">
        <v>49</v>
      </c>
      <c r="D632" s="17" t="n">
        <f aca="false">D631+d_ai</f>
        <v>0.396655205435058</v>
      </c>
      <c r="E632" s="17" t="n">
        <f aca="false">1-(1-$D$632)/E614+gmu_27</f>
        <v>0.406655205435058</v>
      </c>
      <c r="F632" s="17" t="n">
        <f aca="false">1-(1-$D$632)/F614+gmu_28</f>
        <v>0.392995057149545</v>
      </c>
      <c r="G632" s="17" t="n">
        <f aca="false">1-(1-$D$632)/G614+gmu_29</f>
        <v>0.378143835569211</v>
      </c>
      <c r="K632" s="7" t="s">
        <v>524</v>
      </c>
    </row>
    <row r="633" customFormat="false" ht="15" hidden="false" customHeight="false" outlineLevel="0" collapsed="false">
      <c r="A633" s="3" t="s">
        <v>391</v>
      </c>
      <c r="B633" s="0" t="s">
        <v>184</v>
      </c>
      <c r="C633" s="22" t="n">
        <f aca="false">a25_gp</f>
        <v>19.683</v>
      </c>
      <c r="D633" s="22" t="n">
        <f aca="false">a26_gp</f>
        <v>36.7701055</v>
      </c>
      <c r="E633" s="22" t="n">
        <f aca="false">E623*E632+E622*$D$631</f>
        <v>56.331961135</v>
      </c>
      <c r="F633" s="22" t="n">
        <f aca="false">F623*F632+F622*$D$631</f>
        <v>64.694319335625</v>
      </c>
      <c r="G633" s="22" t="n">
        <f aca="false">G623*G632+G622*$D$631</f>
        <v>73.7831191490927</v>
      </c>
    </row>
    <row r="634" customFormat="false" ht="15" hidden="false" customHeight="false" outlineLevel="0" collapsed="false">
      <c r="A634" s="3" t="s">
        <v>394</v>
      </c>
      <c r="B634" s="0" t="s">
        <v>49</v>
      </c>
      <c r="C634" s="17" t="n">
        <f aca="false">C633/C625</f>
        <v>0.328028131457903</v>
      </c>
      <c r="D634" s="17" t="n">
        <f aca="false">D633/D625</f>
        <v>0.348837592422248</v>
      </c>
      <c r="E634" s="17" t="n">
        <f aca="false">E633/E625</f>
        <v>0.368566003345544</v>
      </c>
      <c r="F634" s="17" t="n">
        <f aca="false">F633/F625</f>
        <v>0.363488627283436</v>
      </c>
      <c r="G634" s="17" t="n">
        <f aca="false">G633/G625</f>
        <v>0.35606421663352</v>
      </c>
    </row>
    <row r="635" customFormat="false" ht="15" hidden="false" customHeight="false" outlineLevel="0" collapsed="false">
      <c r="A635" s="3" t="s">
        <v>525</v>
      </c>
      <c r="B635" s="0" t="s">
        <v>184</v>
      </c>
      <c r="C635" s="22" t="n">
        <f aca="false">a25_opx</f>
        <v>5.64</v>
      </c>
      <c r="D635" s="22" t="n">
        <f aca="false">a26_opx</f>
        <v>8.4779754</v>
      </c>
      <c r="E635" s="22" t="n">
        <f aca="false">D635*(1+MAX(0,phi*E626))</f>
        <v>10.767028758</v>
      </c>
      <c r="F635" s="22" t="n">
        <f aca="false">E635*(1+MAX(0,phi*F626))</f>
        <v>11.8296691917094</v>
      </c>
      <c r="G635" s="22" t="n">
        <f aca="false">F635*(1+MAX(0,phi*G626))</f>
        <v>12.9956184377325</v>
      </c>
    </row>
    <row r="636" customFormat="false" ht="15" hidden="false" customHeight="false" outlineLevel="0" collapsed="false">
      <c r="A636" s="3" t="s">
        <v>396</v>
      </c>
      <c r="B636" s="0" t="s">
        <v>184</v>
      </c>
      <c r="C636" s="22" t="n">
        <f aca="false">C635</f>
        <v>5.64</v>
      </c>
      <c r="D636" s="22" t="n">
        <f aca="false">D635</f>
        <v>8.4779754</v>
      </c>
      <c r="E636" s="22" t="n">
        <f aca="false">E635+0*E625</f>
        <v>10.767028758</v>
      </c>
      <c r="F636" s="22" t="n">
        <f aca="false">F635+0*F625</f>
        <v>11.8296691917094</v>
      </c>
      <c r="G636" s="22" t="n">
        <f aca="false">G635+0*G625</f>
        <v>12.9956184377325</v>
      </c>
    </row>
    <row r="637" customFormat="false" ht="15" hidden="false" customHeight="false" outlineLevel="0" collapsed="false">
      <c r="A637" s="3" t="s">
        <v>526</v>
      </c>
      <c r="B637" s="0" t="s">
        <v>184</v>
      </c>
      <c r="C637" s="22" t="n">
        <f aca="false">C633-C636</f>
        <v>14.043</v>
      </c>
      <c r="D637" s="22" t="n">
        <f aca="false">D633-D636</f>
        <v>28.2921301</v>
      </c>
      <c r="E637" s="22" t="n">
        <f aca="false">E633-E636</f>
        <v>45.564932377</v>
      </c>
      <c r="F637" s="22" t="n">
        <f aca="false">F633-F636</f>
        <v>52.8646501439157</v>
      </c>
      <c r="G637" s="22" t="n">
        <f aca="false">G633-G636</f>
        <v>60.7875007113602</v>
      </c>
    </row>
    <row r="638" customFormat="false" ht="15" hidden="false" customHeight="false" outlineLevel="0" collapsed="false">
      <c r="A638" s="3" t="s">
        <v>402</v>
      </c>
      <c r="B638" s="0" t="s">
        <v>49</v>
      </c>
      <c r="C638" s="17" t="n">
        <f aca="false">C637/C625</f>
        <v>0.23403439770682</v>
      </c>
      <c r="D638" s="17" t="n">
        <f aca="false">D637/D625</f>
        <v>0.268407131673338</v>
      </c>
      <c r="E638" s="17" t="n">
        <f aca="false">E637/E625</f>
        <v>0.298120013586154</v>
      </c>
      <c r="F638" s="17" t="n">
        <f aca="false">F637/F625</f>
        <v>0.297022973731939</v>
      </c>
      <c r="G638" s="17" t="n">
        <f aca="false">G637/G625</f>
        <v>0.293349672276171</v>
      </c>
    </row>
    <row r="639" customFormat="false" ht="17.15" hidden="false" customHeight="false" outlineLevel="0" collapsed="false">
      <c r="A639" s="3" t="s">
        <v>403</v>
      </c>
      <c r="B639" s="0" t="s">
        <v>184</v>
      </c>
      <c r="E639" s="22" t="n">
        <f aca="false">nop_f</f>
        <v>0</v>
      </c>
      <c r="F639" s="22" t="n">
        <f aca="false">nop_f</f>
        <v>0</v>
      </c>
      <c r="G639" s="22" t="n">
        <f aca="false">nop_f</f>
        <v>0</v>
      </c>
      <c r="K639" s="7" t="s">
        <v>527</v>
      </c>
    </row>
    <row r="640" customFormat="false" ht="15" hidden="false" customHeight="false" outlineLevel="0" collapsed="false">
      <c r="A640" s="3" t="s">
        <v>408</v>
      </c>
      <c r="B640" s="0" t="s">
        <v>184</v>
      </c>
      <c r="C640" s="22" t="n">
        <f aca="false">a25_ni</f>
        <v>9.607</v>
      </c>
      <c r="D640" s="22" t="n">
        <f aca="false">a26_ni</f>
        <v>19.6977289395284</v>
      </c>
      <c r="E640" s="22" t="n">
        <f aca="false">(E637+E639)*nir_f</f>
        <v>31.211978678245</v>
      </c>
      <c r="F640" s="22" t="n">
        <f aca="false">(F637+F639)*nir_f</f>
        <v>36.2122853485822</v>
      </c>
      <c r="G640" s="22" t="n">
        <f aca="false">(G637+G639)*nir_f</f>
        <v>41.6394379872818</v>
      </c>
      <c r="H640" s="24" t="n">
        <f aca="false">H625*H645</f>
        <v>43.9521528980722</v>
      </c>
      <c r="I640" s="24" t="n">
        <f aca="false">I625*I645</f>
        <v>44.5001545622165</v>
      </c>
      <c r="J640" s="24" t="n">
        <f aca="false">J625*J645</f>
        <v>43.128216634554</v>
      </c>
    </row>
    <row r="641" customFormat="false" ht="17.15" hidden="false" customHeight="false" outlineLevel="0" collapsed="false">
      <c r="A641" s="3" t="s">
        <v>411</v>
      </c>
      <c r="B641" s="0" t="s">
        <v>49</v>
      </c>
      <c r="C641" s="17" t="n">
        <f aca="false">C640/C637</f>
        <v>0.684113081250445</v>
      </c>
      <c r="D641" s="17" t="n">
        <f aca="false">D640/D637</f>
        <v>0.696226437171953</v>
      </c>
      <c r="E641" s="17" t="n">
        <f aca="false">E640/E637</f>
        <v>0.685</v>
      </c>
      <c r="F641" s="17" t="n">
        <f aca="false">F640/F637</f>
        <v>0.685</v>
      </c>
      <c r="G641" s="17" t="n">
        <f aca="false">G640/G637</f>
        <v>0.685</v>
      </c>
    </row>
    <row r="642" customFormat="false" ht="17.15" hidden="false" customHeight="false" outlineLevel="0" collapsed="false">
      <c r="A642" s="3" t="s">
        <v>528</v>
      </c>
      <c r="B642" s="3" t="s">
        <v>214</v>
      </c>
      <c r="C642" s="27" t="n">
        <f aca="false">a25_sh</f>
        <v>0.493425783256292</v>
      </c>
      <c r="D642" s="27" t="n">
        <f aca="false">a26_sh</f>
        <v>0.512980850061958</v>
      </c>
      <c r="E642" s="27" t="n">
        <f aca="false">sh_h2*(1+sh_g)</f>
        <v>0.51889356</v>
      </c>
      <c r="F642" s="27" t="n">
        <f aca="false">E642*(1+sh_g)</f>
        <v>0.5240824956</v>
      </c>
      <c r="G642" s="27" t="n">
        <f aca="false">F642*(1+sh_g)</f>
        <v>0.529323320556</v>
      </c>
      <c r="H642" s="28" t="n">
        <f aca="false">G642*(1+sh_g)</f>
        <v>0.53461655376156</v>
      </c>
      <c r="I642" s="28" t="n">
        <f aca="false">H642*(1+sh_g)</f>
        <v>0.539962719299176</v>
      </c>
      <c r="J642" s="28" t="n">
        <f aca="false">I642*(1+sh_g)</f>
        <v>0.545362346492167</v>
      </c>
      <c r="K642" s="7" t="s">
        <v>529</v>
      </c>
    </row>
    <row r="643" customFormat="false" ht="15" hidden="false" customHeight="false" outlineLevel="0" collapsed="false">
      <c r="A643" s="0" t="s">
        <v>414</v>
      </c>
      <c r="B643" s="0" t="s">
        <v>252</v>
      </c>
      <c r="C643" s="23" t="n">
        <f aca="false">C640/C642</f>
        <v>19.47</v>
      </c>
      <c r="D643" s="23" t="n">
        <f aca="false">D640/D642</f>
        <v>38.3985658278458</v>
      </c>
      <c r="E643" s="23" t="n">
        <f aca="false">E640/E642</f>
        <v>60.1510234165269</v>
      </c>
      <c r="F643" s="23" t="n">
        <f aca="false">F640/F642</f>
        <v>69.0965366189617</v>
      </c>
      <c r="G643" s="23" t="n">
        <f aca="false">G640/G642</f>
        <v>78.6654136899614</v>
      </c>
      <c r="H643" s="29" t="n">
        <f aca="false">H640/H642</f>
        <v>82.2124803072876</v>
      </c>
      <c r="I643" s="29" t="n">
        <f aca="false">I640/I642</f>
        <v>82.4133833164887</v>
      </c>
      <c r="J643" s="29" t="n">
        <f aca="false">J640/J642</f>
        <v>79.081764467165</v>
      </c>
    </row>
    <row r="644" customFormat="false" ht="17.15" hidden="false" customHeight="false" outlineLevel="0" collapsed="false">
      <c r="A644" s="0" t="s">
        <v>530</v>
      </c>
      <c r="B644" s="0" t="s">
        <v>49</v>
      </c>
      <c r="D644" s="17" t="n">
        <f aca="false">D643/C643-1</f>
        <v>0.9721913624985</v>
      </c>
      <c r="E644" s="17" t="n">
        <f aca="false">E643/D643-1</f>
        <v>0.566491407158407</v>
      </c>
      <c r="F644" s="17" t="n">
        <f aca="false">F643/E643-1</f>
        <v>0.148717556150124</v>
      </c>
      <c r="G644" s="17" t="n">
        <f aca="false">G643/F643-1</f>
        <v>0.138485625173488</v>
      </c>
      <c r="H644" s="25" t="n">
        <f aca="false">H643/G643-1</f>
        <v>0.045090548068635</v>
      </c>
      <c r="I644" s="25" t="n">
        <f aca="false">I643/H643-1</f>
        <v>0.00244370451359832</v>
      </c>
      <c r="J644" s="25" t="n">
        <f aca="false">J643/I643-1</f>
        <v>-0.0404257016913066</v>
      </c>
    </row>
    <row r="645" customFormat="false" ht="17.15" hidden="false" customHeight="false" outlineLevel="0" collapsed="false">
      <c r="A645" s="3" t="s">
        <v>531</v>
      </c>
      <c r="B645" s="0" t="s">
        <v>49</v>
      </c>
      <c r="C645" s="17" t="n">
        <f aca="false">C640/C625</f>
        <v>0.160105992933804</v>
      </c>
      <c r="D645" s="17" t="n">
        <f aca="false">D640/D625</f>
        <v>0.186872140996471</v>
      </c>
      <c r="E645" s="17" t="n">
        <f aca="false">E640/E625</f>
        <v>0.204212209306515</v>
      </c>
      <c r="F645" s="17" t="n">
        <f aca="false">F640/F625</f>
        <v>0.203460737006378</v>
      </c>
      <c r="G645" s="17" t="n">
        <f aca="false">G640/G625</f>
        <v>0.200944525509177</v>
      </c>
      <c r="H645" s="25" t="n">
        <f aca="false">$G645+(fade_mB-$G645)*1/3</f>
        <v>0.188899695829605</v>
      </c>
      <c r="I645" s="25" t="n">
        <f aca="false">$G645+(fade_mB-$G645)*2/3</f>
        <v>0.176854866150033</v>
      </c>
      <c r="J645" s="25" t="n">
        <f aca="false">$G645+(fade_mB-$G645)*3/3</f>
        <v>0.164810036470462</v>
      </c>
    </row>
    <row r="648" customFormat="false" ht="17.15" hidden="false" customHeight="false" outlineLevel="0" collapsed="false">
      <c r="A648" s="1" t="s">
        <v>835</v>
      </c>
    </row>
    <row r="649" customFormat="false" ht="17.15" hidden="false" customHeight="false" outlineLevel="0" collapsed="false">
      <c r="A649" s="4" t="s">
        <v>18</v>
      </c>
      <c r="B649" s="4" t="s">
        <v>19</v>
      </c>
      <c r="C649" s="14" t="s">
        <v>382</v>
      </c>
      <c r="D649" s="14" t="s">
        <v>472</v>
      </c>
      <c r="E649" s="14" t="s">
        <v>473</v>
      </c>
      <c r="F649" s="14" t="s">
        <v>474</v>
      </c>
      <c r="G649" s="14" t="s">
        <v>475</v>
      </c>
      <c r="H649" s="14" t="s">
        <v>476</v>
      </c>
      <c r="I649" s="14" t="s">
        <v>477</v>
      </c>
      <c r="J649" s="14" t="s">
        <v>478</v>
      </c>
      <c r="K649" s="4" t="s">
        <v>436</v>
      </c>
    </row>
    <row r="650" customFormat="false" ht="17.15" hidden="false" customHeight="false" outlineLevel="0" collapsed="false">
      <c r="A650" s="5" t="s">
        <v>494</v>
      </c>
    </row>
    <row r="651" customFormat="false" ht="17.15" hidden="false" customHeight="false" outlineLevel="0" collapsed="false">
      <c r="A651" s="0" t="s">
        <v>495</v>
      </c>
      <c r="B651" s="0" t="s">
        <v>29</v>
      </c>
      <c r="D651" s="23" t="n">
        <f aca="false">itc_26*1</f>
        <v>781.872916666667</v>
      </c>
      <c r="E651" s="23" t="n">
        <f aca="false">itc_27*1*mf_hi</f>
        <v>1878.42</v>
      </c>
      <c r="F651" s="23" t="n">
        <f aca="false">itc_28*um28_B*mf_hi</f>
        <v>1904.89333333333</v>
      </c>
      <c r="G651" s="23" t="n">
        <f aca="false">itc_29*um29_B*mf_hi</f>
        <v>2305.59808333334</v>
      </c>
    </row>
    <row r="652" customFormat="false" ht="17.15" hidden="false" customHeight="false" outlineLevel="0" collapsed="false">
      <c r="A652" s="3" t="s">
        <v>496</v>
      </c>
      <c r="B652" s="0" t="s">
        <v>29</v>
      </c>
      <c r="D652" s="23" t="n">
        <f aca="false">itpg_gb*(1-vr26)+itpg_vr*vr26</f>
        <v>33.41403216</v>
      </c>
      <c r="E652" s="23" t="n">
        <f aca="false">itpg_vr</f>
        <v>37.586352</v>
      </c>
      <c r="F652" s="23" t="n">
        <f aca="false">itpg_vr</f>
        <v>37.586352</v>
      </c>
      <c r="G652" s="23" t="n">
        <f aca="false">itpg_vr</f>
        <v>37.586352</v>
      </c>
    </row>
    <row r="653" customFormat="false" ht="17.15" hidden="false" customHeight="false" outlineLevel="0" collapsed="false">
      <c r="A653" s="3" t="s">
        <v>497</v>
      </c>
      <c r="B653" s="0" t="s">
        <v>438</v>
      </c>
      <c r="D653" s="20" t="n">
        <f aca="false">D651/D652</f>
        <v>23.3995380420639</v>
      </c>
      <c r="E653" s="20" t="n">
        <f aca="false">E651/E652</f>
        <v>49.9761189912764</v>
      </c>
      <c r="F653" s="20" t="n">
        <f aca="false">F651/F652</f>
        <v>50.6804526635981</v>
      </c>
      <c r="G653" s="20" t="n">
        <f aca="false">G651/G652</f>
        <v>61.3413635708338</v>
      </c>
    </row>
    <row r="654" customFormat="false" ht="17.15" hidden="false" customHeight="false" outlineLevel="0" collapsed="false">
      <c r="A654" s="3" t="s">
        <v>442</v>
      </c>
      <c r="B654" s="0" t="s">
        <v>90</v>
      </c>
      <c r="D654" s="21" t="n">
        <f aca="false">vg_cmp26</f>
        <v>280</v>
      </c>
      <c r="E654" s="21" t="n">
        <f aca="false">(vg_cmp26+(vg_cmp27-vg_cmp26)*pgwf)</f>
        <v>420</v>
      </c>
      <c r="F654" s="21" t="n">
        <f aca="false">(vg_cmp26+(vg_cmp28-vg_cmp26)*pgwf)</f>
        <v>462</v>
      </c>
      <c r="G654" s="21" t="n">
        <f aca="false">(vg_cmp26+(vg_cmp29-vg_cmp26)*pgwf)</f>
        <v>504</v>
      </c>
    </row>
    <row r="655" customFormat="false" ht="17.15" hidden="false" customHeight="false" outlineLevel="0" collapsed="false">
      <c r="A655" s="3" t="s">
        <v>444</v>
      </c>
      <c r="B655" s="0" t="s">
        <v>90</v>
      </c>
      <c r="D655" s="21" t="n">
        <f aca="false">vg_sw26</f>
        <v>120</v>
      </c>
      <c r="E655" s="21" t="n">
        <f aca="false">(vg_sw26+(vg_sw27-vg_sw26)*pgwf)</f>
        <v>162</v>
      </c>
      <c r="F655" s="21" t="n">
        <f aca="false">(vg_sw26+(vg_sw28-vg_sw26)*pgwf)</f>
        <v>180</v>
      </c>
      <c r="G655" s="21" t="n">
        <f aca="false">(vg_sw26+(vg_sw29-vg_sw26)*pgwf)</f>
        <v>198</v>
      </c>
    </row>
    <row r="656" customFormat="false" ht="17.15" hidden="false" customHeight="false" outlineLevel="0" collapsed="false">
      <c r="A656" s="3" t="s">
        <v>498</v>
      </c>
      <c r="B656" s="0" t="s">
        <v>90</v>
      </c>
      <c r="D656" s="21" t="n">
        <f aca="false">vg_mid26*w_mid</f>
        <v>25</v>
      </c>
      <c r="E656" s="21" t="n">
        <f aca="false">(vg_mid26+(vg_mid27-vg_mid26)*pgwf)*w_mid</f>
        <v>50</v>
      </c>
      <c r="F656" s="21" t="n">
        <f aca="false">(vg_mid26+(vg_mid28-vg_mid26)*pgwf)*w_mid</f>
        <v>75</v>
      </c>
      <c r="G656" s="21" t="n">
        <f aca="false">(vg_mid26+(vg_mid29-vg_mid26)*pgwf)*w_mid</f>
        <v>87.5</v>
      </c>
    </row>
    <row r="657" customFormat="false" ht="17.15" hidden="false" customHeight="false" outlineLevel="0" collapsed="false">
      <c r="A657" s="3" t="s">
        <v>499</v>
      </c>
      <c r="B657" s="0" t="s">
        <v>90</v>
      </c>
      <c r="D657" s="21" t="n">
        <f aca="false">D654+D655+D656</f>
        <v>425</v>
      </c>
      <c r="E657" s="21" t="n">
        <f aca="false">E654+E655+E656</f>
        <v>632</v>
      </c>
      <c r="F657" s="21" t="n">
        <f aca="false">F654+F655+F656</f>
        <v>717</v>
      </c>
      <c r="G657" s="21" t="n">
        <f aca="false">G654+G655+G656</f>
        <v>789.5</v>
      </c>
    </row>
    <row r="658" customFormat="false" ht="17.15" hidden="false" customHeight="false" outlineLevel="0" collapsed="false">
      <c r="A658" s="3" t="s">
        <v>500</v>
      </c>
      <c r="B658" s="0" t="s">
        <v>29</v>
      </c>
      <c r="D658" s="23" t="n">
        <f aca="false">D653*D657/1000</f>
        <v>9.94480366787716</v>
      </c>
      <c r="E658" s="23" t="n">
        <f aca="false">E653*E657/1000</f>
        <v>31.5849072024867</v>
      </c>
      <c r="F658" s="23" t="n">
        <f aca="false">F653*F657/1000</f>
        <v>36.3378845597998</v>
      </c>
      <c r="G658" s="23" t="n">
        <f aca="false">G653*G657/1000</f>
        <v>48.4290065391733</v>
      </c>
    </row>
    <row r="659" customFormat="false" ht="17.15" hidden="false" customHeight="false" outlineLevel="0" collapsed="false">
      <c r="A659" s="3" t="s">
        <v>501</v>
      </c>
      <c r="B659" s="0" t="s">
        <v>184</v>
      </c>
      <c r="D659" s="22" t="n">
        <f aca="false">D658*fx</f>
        <v>318.233717372069</v>
      </c>
      <c r="E659" s="22" t="n">
        <f aca="false">E658*fx</f>
        <v>1010.71703047957</v>
      </c>
      <c r="F659" s="22" t="n">
        <f aca="false">F658*fx</f>
        <v>1162.81230591359</v>
      </c>
      <c r="G659" s="22" t="n">
        <f aca="false">G658*fx</f>
        <v>1549.72820925354</v>
      </c>
    </row>
    <row r="660" customFormat="false" ht="17.15" hidden="false" customHeight="false" outlineLevel="0" collapsed="false">
      <c r="A660" s="0" t="s">
        <v>502</v>
      </c>
      <c r="B660" s="0" t="s">
        <v>63</v>
      </c>
      <c r="D660" s="18" t="n">
        <f aca="false">1</f>
        <v>1</v>
      </c>
      <c r="E660" s="18" t="n">
        <f aca="false">pp_27</f>
        <v>1</v>
      </c>
      <c r="F660" s="18" t="n">
        <f aca="false">pp_28</f>
        <v>0.97</v>
      </c>
      <c r="G660" s="18" t="n">
        <f aca="false">pp_29</f>
        <v>0.94</v>
      </c>
    </row>
    <row r="661" customFormat="false" ht="17.15" hidden="false" customHeight="false" outlineLevel="0" collapsed="false">
      <c r="A661" s="3" t="s">
        <v>503</v>
      </c>
      <c r="B661" s="0" t="s">
        <v>49</v>
      </c>
      <c r="D661" s="17" t="n">
        <f aca="false">a26_ai/D659</f>
        <v>0.172842024579347</v>
      </c>
      <c r="K661" s="7" t="s">
        <v>504</v>
      </c>
    </row>
    <row r="662" customFormat="false" ht="17.15" hidden="false" customHeight="false" outlineLevel="0" collapsed="false">
      <c r="A662" s="3" t="s">
        <v>505</v>
      </c>
      <c r="B662" s="0" t="s">
        <v>63</v>
      </c>
      <c r="D662" s="18" t="n">
        <f aca="false">1</f>
        <v>1</v>
      </c>
      <c r="E662" s="18" t="n">
        <f aca="false">rel_27</f>
        <v>1</v>
      </c>
      <c r="F662" s="18" t="n">
        <f aca="false">rel_28</f>
        <v>0.95</v>
      </c>
      <c r="G662" s="18" t="n">
        <f aca="false">rel_29</f>
        <v>0.9</v>
      </c>
    </row>
    <row r="663" customFormat="false" ht="15" hidden="false" customHeight="false" outlineLevel="0" collapsed="false">
      <c r="A663" s="3" t="s">
        <v>454</v>
      </c>
      <c r="B663" s="0" t="s">
        <v>49</v>
      </c>
      <c r="D663" s="17" t="n">
        <f aca="false">$D$661*D662</f>
        <v>0.172842024579347</v>
      </c>
      <c r="E663" s="17" t="n">
        <f aca="false">$D$661*E662</f>
        <v>0.172842024579347</v>
      </c>
      <c r="F663" s="17" t="n">
        <f aca="false">$D$661*F662</f>
        <v>0.164199923350379</v>
      </c>
      <c r="G663" s="17" t="n">
        <f aca="false">$D$661*G662</f>
        <v>0.155557822121412</v>
      </c>
    </row>
    <row r="664" customFormat="false" ht="17.15" hidden="false" customHeight="false" outlineLevel="0" collapsed="false">
      <c r="A664" s="0" t="s">
        <v>506</v>
      </c>
      <c r="B664" s="0" t="s">
        <v>184</v>
      </c>
      <c r="D664" s="22" t="n">
        <f aca="false">D659*D663*D660</f>
        <v>55.00416</v>
      </c>
      <c r="E664" s="22" t="n">
        <f aca="false">E659*E663*E660</f>
        <v>174.694377824915</v>
      </c>
      <c r="F664" s="22" t="n">
        <f aca="false">F659*F663*F660</f>
        <v>185.205680756833</v>
      </c>
      <c r="G664" s="22" t="n">
        <f aca="false">G659*G663*G660</f>
        <v>226.608004404901</v>
      </c>
    </row>
    <row r="665" customFormat="false" ht="17.15" hidden="false" customHeight="false" outlineLevel="0" collapsed="false">
      <c r="A665" s="5" t="s">
        <v>507</v>
      </c>
    </row>
    <row r="666" customFormat="false" ht="17.15" hidden="false" customHeight="false" outlineLevel="0" collapsed="false">
      <c r="A666" s="3" t="s">
        <v>508</v>
      </c>
      <c r="B666" s="0" t="s">
        <v>63</v>
      </c>
      <c r="D666" s="18" t="n">
        <f aca="false">1</f>
        <v>1</v>
      </c>
      <c r="E666" s="18" t="n">
        <f aca="false">cx_27</f>
        <v>1.45</v>
      </c>
      <c r="F666" s="18" t="n">
        <f aca="false">cx_28</f>
        <v>1.9</v>
      </c>
      <c r="G666" s="18" t="n">
        <f aca="false">cx_29</f>
        <v>2.3</v>
      </c>
      <c r="K666" s="7" t="s">
        <v>509</v>
      </c>
    </row>
    <row r="667" customFormat="false" ht="17.15" hidden="false" customHeight="false" outlineLevel="0" collapsed="false">
      <c r="A667" s="3" t="s">
        <v>510</v>
      </c>
      <c r="B667" s="0" t="s">
        <v>184</v>
      </c>
      <c r="D667" s="22" t="n">
        <f aca="false">a26_rev*D666*D660</f>
        <v>105.40752</v>
      </c>
      <c r="E667" s="22" t="n">
        <f aca="false">a26_rev*E666*E660</f>
        <v>152.840904</v>
      </c>
      <c r="F667" s="22" t="n">
        <f aca="false">a26_rev*F666*F660</f>
        <v>194.26605936</v>
      </c>
      <c r="G667" s="22" t="n">
        <f aca="false">a26_rev*G666*G660</f>
        <v>227.89105824</v>
      </c>
    </row>
    <row r="668" customFormat="false" ht="17.15" hidden="false" customHeight="false" outlineLevel="0" collapsed="false">
      <c r="A668" s="3" t="s">
        <v>511</v>
      </c>
      <c r="B668" s="0" t="s">
        <v>184</v>
      </c>
      <c r="C668" s="22" t="n">
        <f aca="false">a25_nai</f>
        <v>42.0028</v>
      </c>
      <c r="D668" s="22" t="n">
        <f aca="false">a26_nai</f>
        <v>50.40336</v>
      </c>
      <c r="E668" s="22" t="n">
        <f aca="false">D668*(1+g_nai27)</f>
        <v>52.923528</v>
      </c>
      <c r="F668" s="22" t="n">
        <f aca="false">E668*(1+g_nai28)</f>
        <v>54.51123384</v>
      </c>
      <c r="G668" s="22" t="n">
        <f aca="false">F668*(1+g_nai29)</f>
        <v>56.1465708552</v>
      </c>
    </row>
    <row r="669" customFormat="false" ht="17.15" hidden="false" customHeight="false" outlineLevel="0" collapsed="false">
      <c r="A669" s="0" t="s">
        <v>512</v>
      </c>
      <c r="B669" s="0" t="s">
        <v>184</v>
      </c>
      <c r="C669" s="22" t="n">
        <f aca="false">a25_ai</f>
        <v>18.0012</v>
      </c>
      <c r="D669" s="22" t="n">
        <f aca="false">D664</f>
        <v>55.00416</v>
      </c>
      <c r="E669" s="22" t="n">
        <f aca="false">MIN(E664,E667-E668)</f>
        <v>99.917376</v>
      </c>
      <c r="F669" s="22" t="n">
        <f aca="false">MIN(F664,F667-F668)</f>
        <v>139.75482552</v>
      </c>
      <c r="G669" s="22" t="n">
        <f aca="false">MIN(G664,G667-G668)</f>
        <v>171.7444873848</v>
      </c>
      <c r="K669" s="3" t="s">
        <v>513</v>
      </c>
    </row>
    <row r="670" customFormat="false" ht="15" hidden="false" customHeight="false" outlineLevel="0" collapsed="false">
      <c r="A670" s="3" t="s">
        <v>514</v>
      </c>
      <c r="E670" s="0" t="str">
        <f aca="false">IF(E664&gt;E667-E668+0.0001,"受限","未受限")</f>
        <v>受限</v>
      </c>
      <c r="F670" s="0" t="str">
        <f aca="false">IF(F664&gt;F667-F668+0.0001,"受限","未受限")</f>
        <v>受限</v>
      </c>
      <c r="G670" s="0" t="str">
        <f aca="false">IF(G664&gt;G667-G668+0.0001,"受限","未受限")</f>
        <v>受限</v>
      </c>
    </row>
    <row r="671" customFormat="false" ht="17.15" hidden="false" customHeight="false" outlineLevel="0" collapsed="false">
      <c r="A671" s="3" t="s">
        <v>387</v>
      </c>
      <c r="B671" s="0" t="s">
        <v>184</v>
      </c>
      <c r="C671" s="22" t="n">
        <f aca="false">C669+C668</f>
        <v>60.004</v>
      </c>
      <c r="D671" s="22" t="n">
        <f aca="false">D669+D668</f>
        <v>105.40752</v>
      </c>
      <c r="E671" s="22" t="n">
        <f aca="false">E669+E668</f>
        <v>152.840904</v>
      </c>
      <c r="F671" s="22" t="n">
        <f aca="false">F669+F668</f>
        <v>194.26605936</v>
      </c>
      <c r="G671" s="22" t="n">
        <f aca="false">G669+G668</f>
        <v>227.89105824</v>
      </c>
      <c r="H671" s="24" t="n">
        <f aca="false">G671*(1+H672)</f>
        <v>257.226313072804</v>
      </c>
      <c r="I671" s="24" t="n">
        <f aca="false">H671*(1+I672)</f>
        <v>278.92655569709</v>
      </c>
      <c r="J671" s="24" t="n">
        <f aca="false">I671*(1+J672)</f>
        <v>290.083617924974</v>
      </c>
      <c r="K671" s="7" t="s">
        <v>515</v>
      </c>
    </row>
    <row r="672" customFormat="false" ht="15" hidden="false" customHeight="false" outlineLevel="0" collapsed="false">
      <c r="A672" s="3" t="s">
        <v>516</v>
      </c>
      <c r="B672" s="0" t="s">
        <v>49</v>
      </c>
      <c r="D672" s="17" t="n">
        <f aca="false">D671/C671-1</f>
        <v>0.756674888340778</v>
      </c>
      <c r="E672" s="17" t="n">
        <f aca="false">E671/D671-1</f>
        <v>0.45</v>
      </c>
      <c r="F672" s="17" t="n">
        <f aca="false">F671/E671-1</f>
        <v>0.271034482758621</v>
      </c>
      <c r="G672" s="17" t="n">
        <f aca="false">G671/F671-1</f>
        <v>0.173087357569181</v>
      </c>
      <c r="H672" s="25" t="n">
        <f aca="false">$G672+(fade_gB-$G672)*1/3</f>
        <v>0.12872490504612</v>
      </c>
      <c r="I672" s="25" t="n">
        <f aca="false">$G672+(fade_gB-$G672)*2/3</f>
        <v>0.0843624525230602</v>
      </c>
      <c r="J672" s="25" t="n">
        <f aca="false">$G672+(fade_gB-$G672)*3/3</f>
        <v>0.04</v>
      </c>
    </row>
    <row r="673" customFormat="false" ht="17.15" hidden="false" customHeight="false" outlineLevel="0" collapsed="false">
      <c r="A673" s="0" t="s">
        <v>517</v>
      </c>
      <c r="B673" s="0" t="s">
        <v>49</v>
      </c>
      <c r="C673" s="17" t="n">
        <f aca="false">C669/C671</f>
        <v>0.3</v>
      </c>
      <c r="D673" s="17" t="n">
        <f aca="false">D669/D671</f>
        <v>0.521823869871903</v>
      </c>
      <c r="E673" s="17" t="n">
        <f aca="false">E669/E671</f>
        <v>0.653734526458964</v>
      </c>
      <c r="F673" s="17" t="n">
        <f aca="false">F669/F671</f>
        <v>0.71939908587437</v>
      </c>
      <c r="G673" s="17" t="n">
        <f aca="false">G669/G671</f>
        <v>0.753625388864226</v>
      </c>
    </row>
    <row r="674" customFormat="false" ht="17.15" hidden="false" customHeight="false" outlineLevel="0" collapsed="false">
      <c r="A674" s="3" t="s">
        <v>518</v>
      </c>
      <c r="B674" s="0" t="s">
        <v>49</v>
      </c>
      <c r="D674" s="17" t="n">
        <f aca="false">(D664+D668)/D667</f>
        <v>1</v>
      </c>
      <c r="E674" s="17" t="n">
        <f aca="false">(E664+E668)/E667</f>
        <v>1.48924731448143</v>
      </c>
      <c r="F674" s="17" t="n">
        <f aca="false">(F664+F668)/F667</f>
        <v>1.23396189425249</v>
      </c>
      <c r="G674" s="17" t="n">
        <f aca="false">(G664+G668)/G667</f>
        <v>1.24074449188051</v>
      </c>
      <c r="K674" s="3" t="s">
        <v>519</v>
      </c>
    </row>
    <row r="675" customFormat="false" ht="17.15" hidden="false" customHeight="false" outlineLevel="0" collapsed="false">
      <c r="A675" s="3" t="s">
        <v>458</v>
      </c>
      <c r="B675" s="0" t="s">
        <v>90</v>
      </c>
      <c r="D675" s="21" t="n">
        <f aca="false">D669/fx/D653*1000</f>
        <v>73.4578604462223</v>
      </c>
      <c r="E675" s="21" t="n">
        <f aca="false">E669/fx/E653*1000</f>
        <v>62.4782008491903</v>
      </c>
      <c r="F675" s="21" t="n">
        <f aca="false">F669/fx/F653*1000</f>
        <v>86.1740191329605</v>
      </c>
      <c r="G675" s="21" t="n">
        <f aca="false">G669/fx/G653*1000</f>
        <v>87.4942276850017</v>
      </c>
    </row>
    <row r="676" customFormat="false" ht="17.15" hidden="false" customHeight="false" outlineLevel="0" collapsed="false">
      <c r="A676" s="5" t="s">
        <v>520</v>
      </c>
    </row>
    <row r="677" customFormat="false" ht="17.15" hidden="false" customHeight="false" outlineLevel="0" collapsed="false">
      <c r="A677" s="3" t="s">
        <v>521</v>
      </c>
      <c r="B677" s="0" t="s">
        <v>49</v>
      </c>
      <c r="D677" s="17" t="n">
        <f aca="false">a26_gp/D671-d_ai*D673</f>
        <v>0.296655205435058</v>
      </c>
      <c r="K677" s="7" t="s">
        <v>522</v>
      </c>
    </row>
    <row r="678" customFormat="false" ht="17.15" hidden="false" customHeight="false" outlineLevel="0" collapsed="false">
      <c r="A678" s="0" t="s">
        <v>523</v>
      </c>
      <c r="B678" s="0" t="s">
        <v>49</v>
      </c>
      <c r="D678" s="17" t="n">
        <f aca="false">D677+d_ai</f>
        <v>0.396655205435058</v>
      </c>
      <c r="E678" s="17" t="n">
        <f aca="false">1-(1-$D$678)/E660+gmu_27</f>
        <v>0.406655205435058</v>
      </c>
      <c r="F678" s="17" t="n">
        <f aca="false">1-(1-$D$678)/F660+gmu_28</f>
        <v>0.392995057149545</v>
      </c>
      <c r="G678" s="17" t="n">
        <f aca="false">1-(1-$D$678)/G660+gmu_29</f>
        <v>0.378143835569211</v>
      </c>
      <c r="K678" s="7" t="s">
        <v>524</v>
      </c>
    </row>
    <row r="679" customFormat="false" ht="15" hidden="false" customHeight="false" outlineLevel="0" collapsed="false">
      <c r="A679" s="3" t="s">
        <v>391</v>
      </c>
      <c r="B679" s="0" t="s">
        <v>184</v>
      </c>
      <c r="C679" s="22" t="n">
        <f aca="false">a25_gp</f>
        <v>19.683</v>
      </c>
      <c r="D679" s="22" t="n">
        <f aca="false">a26_gp</f>
        <v>36.7701055</v>
      </c>
      <c r="E679" s="22" t="n">
        <f aca="false">E669*E678+E668*$D$677</f>
        <v>56.331961135</v>
      </c>
      <c r="F679" s="22" t="n">
        <f aca="false">F669*F678+F668*$D$677</f>
        <v>71.0939969154807</v>
      </c>
      <c r="G679" s="22" t="n">
        <f aca="false">G669*G678+G668*$D$677</f>
        <v>81.6002917090796</v>
      </c>
    </row>
    <row r="680" customFormat="false" ht="15" hidden="false" customHeight="false" outlineLevel="0" collapsed="false">
      <c r="A680" s="3" t="s">
        <v>394</v>
      </c>
      <c r="B680" s="0" t="s">
        <v>49</v>
      </c>
      <c r="C680" s="17" t="n">
        <f aca="false">C679/C671</f>
        <v>0.328028131457903</v>
      </c>
      <c r="D680" s="17" t="n">
        <f aca="false">D679/D671</f>
        <v>0.348837592422248</v>
      </c>
      <c r="E680" s="17" t="n">
        <f aca="false">E679/E671</f>
        <v>0.368566003345544</v>
      </c>
      <c r="F680" s="17" t="n">
        <f aca="false">F679/F671</f>
        <v>0.365962006691732</v>
      </c>
      <c r="G680" s="17" t="n">
        <f aca="false">G679/G671</f>
        <v>0.358067106007922</v>
      </c>
    </row>
    <row r="681" customFormat="false" ht="15" hidden="false" customHeight="false" outlineLevel="0" collapsed="false">
      <c r="A681" s="3" t="s">
        <v>525</v>
      </c>
      <c r="B681" s="0" t="s">
        <v>184</v>
      </c>
      <c r="C681" s="22" t="n">
        <f aca="false">a25_opx</f>
        <v>5.64</v>
      </c>
      <c r="D681" s="22" t="n">
        <f aca="false">a26_opx</f>
        <v>8.4779754</v>
      </c>
      <c r="E681" s="22" t="n">
        <f aca="false">D681*(1+MAX(0,phi*E672))</f>
        <v>10.767028758</v>
      </c>
      <c r="F681" s="22" t="n">
        <f aca="false">E681*(1+MAX(0,phi*F672))</f>
        <v>12.517970400163</v>
      </c>
      <c r="G681" s="22" t="n">
        <f aca="false">F681*(1+MAX(0,phi*G672))</f>
        <v>13.8179918513791</v>
      </c>
    </row>
    <row r="682" customFormat="false" ht="15" hidden="false" customHeight="false" outlineLevel="0" collapsed="false">
      <c r="A682" s="3" t="s">
        <v>396</v>
      </c>
      <c r="B682" s="0" t="s">
        <v>184</v>
      </c>
      <c r="C682" s="22" t="n">
        <f aca="false">C681</f>
        <v>5.64</v>
      </c>
      <c r="D682" s="22" t="n">
        <f aca="false">D681</f>
        <v>8.4779754</v>
      </c>
      <c r="E682" s="22" t="n">
        <f aca="false">E681+0*E671</f>
        <v>10.767028758</v>
      </c>
      <c r="F682" s="22" t="n">
        <f aca="false">F681+0*F671</f>
        <v>12.517970400163</v>
      </c>
      <c r="G682" s="22" t="n">
        <f aca="false">G681+0*G671</f>
        <v>13.8179918513791</v>
      </c>
    </row>
    <row r="683" customFormat="false" ht="15" hidden="false" customHeight="false" outlineLevel="0" collapsed="false">
      <c r="A683" s="3" t="s">
        <v>526</v>
      </c>
      <c r="B683" s="0" t="s">
        <v>184</v>
      </c>
      <c r="C683" s="22" t="n">
        <f aca="false">C679-C682</f>
        <v>14.043</v>
      </c>
      <c r="D683" s="22" t="n">
        <f aca="false">D679-D682</f>
        <v>28.2921301</v>
      </c>
      <c r="E683" s="22" t="n">
        <f aca="false">E679-E682</f>
        <v>45.564932377</v>
      </c>
      <c r="F683" s="22" t="n">
        <f aca="false">F679-F682</f>
        <v>58.5760265153177</v>
      </c>
      <c r="G683" s="22" t="n">
        <f aca="false">G679-G682</f>
        <v>67.7822998577005</v>
      </c>
    </row>
    <row r="684" customFormat="false" ht="15" hidden="false" customHeight="false" outlineLevel="0" collapsed="false">
      <c r="A684" s="3" t="s">
        <v>402</v>
      </c>
      <c r="B684" s="0" t="s">
        <v>49</v>
      </c>
      <c r="C684" s="17" t="n">
        <f aca="false">C683/C671</f>
        <v>0.23403439770682</v>
      </c>
      <c r="D684" s="17" t="n">
        <f aca="false">D683/D671</f>
        <v>0.268407131673338</v>
      </c>
      <c r="E684" s="17" t="n">
        <f aca="false">E683/E671</f>
        <v>0.298120013586154</v>
      </c>
      <c r="F684" s="17" t="n">
        <f aca="false">F683/F671</f>
        <v>0.301524757892828</v>
      </c>
      <c r="G684" s="17" t="n">
        <f aca="false">G683/G671</f>
        <v>0.297432906675595</v>
      </c>
    </row>
    <row r="685" customFormat="false" ht="17.15" hidden="false" customHeight="false" outlineLevel="0" collapsed="false">
      <c r="A685" s="3" t="s">
        <v>403</v>
      </c>
      <c r="B685" s="0" t="s">
        <v>184</v>
      </c>
      <c r="E685" s="22" t="n">
        <f aca="false">nop_f</f>
        <v>0</v>
      </c>
      <c r="F685" s="22" t="n">
        <f aca="false">nop_f</f>
        <v>0</v>
      </c>
      <c r="G685" s="22" t="n">
        <f aca="false">nop_f</f>
        <v>0</v>
      </c>
      <c r="K685" s="7" t="s">
        <v>527</v>
      </c>
    </row>
    <row r="686" customFormat="false" ht="15" hidden="false" customHeight="false" outlineLevel="0" collapsed="false">
      <c r="A686" s="3" t="s">
        <v>408</v>
      </c>
      <c r="B686" s="0" t="s">
        <v>184</v>
      </c>
      <c r="C686" s="22" t="n">
        <f aca="false">a25_ni</f>
        <v>9.607</v>
      </c>
      <c r="D686" s="22" t="n">
        <f aca="false">a26_ni</f>
        <v>19.6977289395284</v>
      </c>
      <c r="E686" s="22" t="n">
        <f aca="false">(E683+E685)*nir_f</f>
        <v>31.211978678245</v>
      </c>
      <c r="F686" s="22" t="n">
        <f aca="false">(F683+F685)*nir_f</f>
        <v>40.1245781629926</v>
      </c>
      <c r="G686" s="22" t="n">
        <f aca="false">(G683+G685)*nir_f</f>
        <v>46.4308754025249</v>
      </c>
      <c r="H686" s="24" t="n">
        <f aca="false">H671*H691</f>
        <v>49.0696162995125</v>
      </c>
      <c r="I686" s="24" t="n">
        <f aca="false">I671*I691</f>
        <v>49.5895726459613</v>
      </c>
      <c r="J686" s="24" t="n">
        <f aca="false">J671*J691</f>
        <v>47.8086916496984</v>
      </c>
    </row>
    <row r="687" customFormat="false" ht="17.15" hidden="false" customHeight="false" outlineLevel="0" collapsed="false">
      <c r="A687" s="3" t="s">
        <v>411</v>
      </c>
      <c r="B687" s="0" t="s">
        <v>49</v>
      </c>
      <c r="C687" s="17" t="n">
        <f aca="false">C686/C683</f>
        <v>0.684113081250445</v>
      </c>
      <c r="D687" s="17" t="n">
        <f aca="false">D686/D683</f>
        <v>0.696226437171953</v>
      </c>
      <c r="E687" s="17" t="n">
        <f aca="false">E686/E683</f>
        <v>0.685</v>
      </c>
      <c r="F687" s="17" t="n">
        <f aca="false">F686/F683</f>
        <v>0.685</v>
      </c>
      <c r="G687" s="17" t="n">
        <f aca="false">G686/G683</f>
        <v>0.685</v>
      </c>
    </row>
    <row r="688" customFormat="false" ht="17.15" hidden="false" customHeight="false" outlineLevel="0" collapsed="false">
      <c r="A688" s="3" t="s">
        <v>528</v>
      </c>
      <c r="B688" s="3" t="s">
        <v>214</v>
      </c>
      <c r="C688" s="27" t="n">
        <f aca="false">a25_sh</f>
        <v>0.493425783256292</v>
      </c>
      <c r="D688" s="27" t="n">
        <f aca="false">a26_sh</f>
        <v>0.512980850061958</v>
      </c>
      <c r="E688" s="27" t="n">
        <f aca="false">sh_h2*(1+sh_g)</f>
        <v>0.51889356</v>
      </c>
      <c r="F688" s="27" t="n">
        <f aca="false">E688*(1+sh_g)</f>
        <v>0.5240824956</v>
      </c>
      <c r="G688" s="27" t="n">
        <f aca="false">F688*(1+sh_g)</f>
        <v>0.529323320556</v>
      </c>
      <c r="H688" s="28" t="n">
        <f aca="false">G688*(1+sh_g)</f>
        <v>0.53461655376156</v>
      </c>
      <c r="I688" s="28" t="n">
        <f aca="false">H688*(1+sh_g)</f>
        <v>0.539962719299176</v>
      </c>
      <c r="J688" s="28" t="n">
        <f aca="false">I688*(1+sh_g)</f>
        <v>0.545362346492167</v>
      </c>
      <c r="K688" s="7" t="s">
        <v>529</v>
      </c>
    </row>
    <row r="689" customFormat="false" ht="15" hidden="false" customHeight="false" outlineLevel="0" collapsed="false">
      <c r="A689" s="0" t="s">
        <v>414</v>
      </c>
      <c r="B689" s="0" t="s">
        <v>252</v>
      </c>
      <c r="C689" s="23" t="n">
        <f aca="false">C686/C688</f>
        <v>19.47</v>
      </c>
      <c r="D689" s="23" t="n">
        <f aca="false">D686/D688</f>
        <v>38.3985658278458</v>
      </c>
      <c r="E689" s="23" t="n">
        <f aca="false">E686/E688</f>
        <v>60.1510234165269</v>
      </c>
      <c r="F689" s="23" t="n">
        <f aca="false">F686/F688</f>
        <v>76.5615690275167</v>
      </c>
      <c r="G689" s="23" t="n">
        <f aca="false">G686/G688</f>
        <v>87.7174188240072</v>
      </c>
      <c r="H689" s="29" t="n">
        <f aca="false">H686/H688</f>
        <v>91.7846930744266</v>
      </c>
      <c r="I689" s="29" t="n">
        <f aca="false">I686/I688</f>
        <v>91.8388823404776</v>
      </c>
      <c r="J689" s="29" t="n">
        <f aca="false">J686/J688</f>
        <v>87.664086010355</v>
      </c>
    </row>
    <row r="690" customFormat="false" ht="17.15" hidden="false" customHeight="false" outlineLevel="0" collapsed="false">
      <c r="A690" s="0" t="s">
        <v>530</v>
      </c>
      <c r="B690" s="0" t="s">
        <v>49</v>
      </c>
      <c r="D690" s="17" t="n">
        <f aca="false">D689/C689-1</f>
        <v>0.9721913624985</v>
      </c>
      <c r="E690" s="17" t="n">
        <f aca="false">E689/D689-1</f>
        <v>0.566491407158407</v>
      </c>
      <c r="F690" s="17" t="n">
        <f aca="false">F689/E689-1</f>
        <v>0.272822384040783</v>
      </c>
      <c r="G690" s="17" t="n">
        <f aca="false">G689/F689-1</f>
        <v>0.145710830357735</v>
      </c>
      <c r="H690" s="25" t="n">
        <f aca="false">H689/G689-1</f>
        <v>0.0463679199063061</v>
      </c>
      <c r="I690" s="25" t="n">
        <f aca="false">I689/H689-1</f>
        <v>0.000590395459589166</v>
      </c>
      <c r="J690" s="25" t="n">
        <f aca="false">J689/I689-1</f>
        <v>-0.0454578303190271</v>
      </c>
    </row>
    <row r="691" customFormat="false" ht="17.15" hidden="false" customHeight="false" outlineLevel="0" collapsed="false">
      <c r="A691" s="3" t="s">
        <v>531</v>
      </c>
      <c r="B691" s="0" t="s">
        <v>49</v>
      </c>
      <c r="C691" s="17" t="n">
        <f aca="false">C686/C671</f>
        <v>0.160105992933804</v>
      </c>
      <c r="D691" s="17" t="n">
        <f aca="false">D686/D671</f>
        <v>0.186872140996471</v>
      </c>
      <c r="E691" s="17" t="n">
        <f aca="false">E686/E671</f>
        <v>0.204212209306515</v>
      </c>
      <c r="F691" s="17" t="n">
        <f aca="false">F686/F671</f>
        <v>0.206544459156587</v>
      </c>
      <c r="G691" s="17" t="n">
        <f aca="false">G686/G671</f>
        <v>0.203741541072783</v>
      </c>
      <c r="H691" s="25" t="n">
        <f aca="false">$G691+(fade_mB-$G691)*1/3</f>
        <v>0.190764372872009</v>
      </c>
      <c r="I691" s="25" t="n">
        <f aca="false">$G691+(fade_mB-$G691)*2/3</f>
        <v>0.177787204671235</v>
      </c>
      <c r="J691" s="25" t="n">
        <f aca="false">$G691+(fade_mB-$G691)*3/3</f>
        <v>0.164810036470462</v>
      </c>
    </row>
    <row r="694" customFormat="false" ht="17.15" hidden="false" customHeight="false" outlineLevel="0" collapsed="false">
      <c r="A694" s="1" t="s">
        <v>836</v>
      </c>
    </row>
    <row r="695" customFormat="false" ht="17.15" hidden="false" customHeight="false" outlineLevel="0" collapsed="false">
      <c r="A695" s="4" t="s">
        <v>18</v>
      </c>
      <c r="B695" s="4" t="s">
        <v>19</v>
      </c>
      <c r="C695" s="14" t="s">
        <v>382</v>
      </c>
      <c r="D695" s="14" t="s">
        <v>472</v>
      </c>
      <c r="E695" s="14" t="s">
        <v>473</v>
      </c>
      <c r="F695" s="14" t="s">
        <v>474</v>
      </c>
      <c r="G695" s="14" t="s">
        <v>475</v>
      </c>
      <c r="H695" s="14" t="s">
        <v>476</v>
      </c>
      <c r="I695" s="14" t="s">
        <v>477</v>
      </c>
      <c r="J695" s="14" t="s">
        <v>478</v>
      </c>
      <c r="K695" s="4" t="s">
        <v>436</v>
      </c>
    </row>
    <row r="696" customFormat="false" ht="17.15" hidden="false" customHeight="false" outlineLevel="0" collapsed="false">
      <c r="A696" s="5" t="s">
        <v>494</v>
      </c>
    </row>
    <row r="697" customFormat="false" ht="17.15" hidden="false" customHeight="false" outlineLevel="0" collapsed="false">
      <c r="A697" s="0" t="s">
        <v>495</v>
      </c>
      <c r="B697" s="0" t="s">
        <v>29</v>
      </c>
      <c r="D697" s="23" t="n">
        <f aca="false">itc_26*1</f>
        <v>781.872916666667</v>
      </c>
      <c r="E697" s="23" t="n">
        <f aca="false">itc_27*1*1</f>
        <v>1565.35</v>
      </c>
      <c r="F697" s="23" t="n">
        <f aca="false">itc_28*um28_B*1</f>
        <v>1587.41111111111</v>
      </c>
      <c r="G697" s="23" t="n">
        <f aca="false">itc_29*um29_B*1</f>
        <v>1921.33173611111</v>
      </c>
    </row>
    <row r="698" customFormat="false" ht="17.15" hidden="false" customHeight="false" outlineLevel="0" collapsed="false">
      <c r="A698" s="3" t="s">
        <v>496</v>
      </c>
      <c r="B698" s="0" t="s">
        <v>29</v>
      </c>
      <c r="D698" s="23" t="n">
        <f aca="false">itpg_gb*(1-vr26)+itpg_vr*vr26</f>
        <v>33.41403216</v>
      </c>
      <c r="E698" s="23" t="n">
        <f aca="false">itpg_vr</f>
        <v>37.586352</v>
      </c>
      <c r="F698" s="23" t="n">
        <f aca="false">itpg_vr</f>
        <v>37.586352</v>
      </c>
      <c r="G698" s="23" t="n">
        <f aca="false">itpg_vr</f>
        <v>37.586352</v>
      </c>
    </row>
    <row r="699" customFormat="false" ht="17.15" hidden="false" customHeight="false" outlineLevel="0" collapsed="false">
      <c r="A699" s="3" t="s">
        <v>497</v>
      </c>
      <c r="B699" s="0" t="s">
        <v>438</v>
      </c>
      <c r="D699" s="20" t="n">
        <f aca="false">D697/D698</f>
        <v>23.3995380420639</v>
      </c>
      <c r="E699" s="20" t="n">
        <f aca="false">E697/E698</f>
        <v>41.6467658260637</v>
      </c>
      <c r="F699" s="20" t="n">
        <f aca="false">F697/F698</f>
        <v>42.2337105529984</v>
      </c>
      <c r="G699" s="20" t="n">
        <f aca="false">G697/G698</f>
        <v>51.1178029756948</v>
      </c>
    </row>
    <row r="700" customFormat="false" ht="17.15" hidden="false" customHeight="false" outlineLevel="0" collapsed="false">
      <c r="A700" s="3" t="s">
        <v>442</v>
      </c>
      <c r="B700" s="0" t="s">
        <v>90</v>
      </c>
      <c r="D700" s="21" t="n">
        <f aca="false">vg_cmp26</f>
        <v>280</v>
      </c>
      <c r="E700" s="21" t="n">
        <f aca="false">(vg_cmp26+(vg_cmp27-vg_cmp26)*pgwf)</f>
        <v>420</v>
      </c>
      <c r="F700" s="21" t="n">
        <f aca="false">(vg_cmp26+(vg_cmp28-vg_cmp26)*pgwf)</f>
        <v>462</v>
      </c>
      <c r="G700" s="21" t="n">
        <f aca="false">(vg_cmp26+(vg_cmp29-vg_cmp26)*pgwf)</f>
        <v>504</v>
      </c>
    </row>
    <row r="701" customFormat="false" ht="17.15" hidden="false" customHeight="false" outlineLevel="0" collapsed="false">
      <c r="A701" s="3" t="s">
        <v>444</v>
      </c>
      <c r="B701" s="0" t="s">
        <v>90</v>
      </c>
      <c r="D701" s="21" t="n">
        <f aca="false">vg_sw26</f>
        <v>120</v>
      </c>
      <c r="E701" s="21" t="n">
        <f aca="false">(vg_sw26+(vg_sw27-vg_sw26)*pgwf)</f>
        <v>162</v>
      </c>
      <c r="F701" s="21" t="n">
        <f aca="false">(vg_sw26+(vg_sw28-vg_sw26)*pgwf)</f>
        <v>180</v>
      </c>
      <c r="G701" s="21" t="n">
        <f aca="false">(vg_sw26+(vg_sw29-vg_sw26)*pgwf)</f>
        <v>198</v>
      </c>
    </row>
    <row r="702" customFormat="false" ht="17.15" hidden="false" customHeight="false" outlineLevel="0" collapsed="false">
      <c r="A702" s="3" t="s">
        <v>498</v>
      </c>
      <c r="B702" s="0" t="s">
        <v>90</v>
      </c>
      <c r="D702" s="21" t="n">
        <f aca="false">vg_mid26*w_mid</f>
        <v>25</v>
      </c>
      <c r="E702" s="21" t="n">
        <f aca="false">(vg_mid26+(vg_mid27-vg_mid26)*pgwf)*w_mid</f>
        <v>50</v>
      </c>
      <c r="F702" s="21" t="n">
        <f aca="false">(vg_mid26+(vg_mid28-vg_mid26)*pgwf)*w_mid</f>
        <v>75</v>
      </c>
      <c r="G702" s="21" t="n">
        <f aca="false">(vg_mid26+(vg_mid29-vg_mid26)*pgwf)*w_mid</f>
        <v>87.5</v>
      </c>
    </row>
    <row r="703" customFormat="false" ht="17.15" hidden="false" customHeight="false" outlineLevel="0" collapsed="false">
      <c r="A703" s="3" t="s">
        <v>499</v>
      </c>
      <c r="B703" s="0" t="s">
        <v>90</v>
      </c>
      <c r="D703" s="21" t="n">
        <f aca="false">D700+D701+D702</f>
        <v>425</v>
      </c>
      <c r="E703" s="21" t="n">
        <f aca="false">E700+E701+E702</f>
        <v>632</v>
      </c>
      <c r="F703" s="21" t="n">
        <f aca="false">F700+F701+F702</f>
        <v>717</v>
      </c>
      <c r="G703" s="21" t="n">
        <f aca="false">G700+G701+G702</f>
        <v>789.5</v>
      </c>
    </row>
    <row r="704" customFormat="false" ht="17.15" hidden="false" customHeight="false" outlineLevel="0" collapsed="false">
      <c r="A704" s="3" t="s">
        <v>500</v>
      </c>
      <c r="B704" s="0" t="s">
        <v>29</v>
      </c>
      <c r="D704" s="23" t="n">
        <f aca="false">D699*D703/1000</f>
        <v>9.94480366787716</v>
      </c>
      <c r="E704" s="23" t="n">
        <f aca="false">E699*E703/1000</f>
        <v>26.3207560020722</v>
      </c>
      <c r="F704" s="23" t="n">
        <f aca="false">F699*F703/1000</f>
        <v>30.2815704664998</v>
      </c>
      <c r="G704" s="23" t="n">
        <f aca="false">G699*G703/1000</f>
        <v>40.3575054493111</v>
      </c>
    </row>
    <row r="705" customFormat="false" ht="17.15" hidden="false" customHeight="false" outlineLevel="0" collapsed="false">
      <c r="A705" s="3" t="s">
        <v>501</v>
      </c>
      <c r="B705" s="0" t="s">
        <v>184</v>
      </c>
      <c r="D705" s="22" t="n">
        <f aca="false">D704*fx</f>
        <v>318.233717372069</v>
      </c>
      <c r="E705" s="22" t="n">
        <f aca="false">E704*fx</f>
        <v>842.264192066312</v>
      </c>
      <c r="F705" s="22" t="n">
        <f aca="false">F704*fx</f>
        <v>969.010254927995</v>
      </c>
      <c r="G705" s="22" t="n">
        <f aca="false">G704*fx</f>
        <v>1291.44017437795</v>
      </c>
    </row>
    <row r="706" customFormat="false" ht="17.15" hidden="false" customHeight="false" outlineLevel="0" collapsed="false">
      <c r="A706" s="0" t="s">
        <v>502</v>
      </c>
      <c r="B706" s="0" t="s">
        <v>63</v>
      </c>
      <c r="D706" s="18" t="n">
        <f aca="false">1</f>
        <v>1</v>
      </c>
      <c r="E706" s="18" t="n">
        <f aca="false">pp_27</f>
        <v>1</v>
      </c>
      <c r="F706" s="18" t="n">
        <f aca="false">pp_28</f>
        <v>0.97</v>
      </c>
      <c r="G706" s="18" t="n">
        <f aca="false">pp_29</f>
        <v>0.94</v>
      </c>
    </row>
    <row r="707" customFormat="false" ht="17.15" hidden="false" customHeight="false" outlineLevel="0" collapsed="false">
      <c r="A707" s="3" t="s">
        <v>503</v>
      </c>
      <c r="B707" s="0" t="s">
        <v>49</v>
      </c>
      <c r="D707" s="17" t="n">
        <f aca="false">a26_ai/D705</f>
        <v>0.172842024579347</v>
      </c>
      <c r="K707" s="7" t="s">
        <v>504</v>
      </c>
    </row>
    <row r="708" customFormat="false" ht="17.15" hidden="false" customHeight="false" outlineLevel="0" collapsed="false">
      <c r="A708" s="3" t="s">
        <v>505</v>
      </c>
      <c r="B708" s="0" t="s">
        <v>63</v>
      </c>
      <c r="D708" s="18" t="n">
        <f aca="false">1</f>
        <v>1</v>
      </c>
      <c r="E708" s="18" t="n">
        <f aca="false">rel_27</f>
        <v>1</v>
      </c>
      <c r="F708" s="18" t="n">
        <f aca="false">rel_28</f>
        <v>0.95</v>
      </c>
      <c r="G708" s="18" t="n">
        <f aca="false">rel_29</f>
        <v>0.9</v>
      </c>
    </row>
    <row r="709" customFormat="false" ht="15" hidden="false" customHeight="false" outlineLevel="0" collapsed="false">
      <c r="A709" s="3" t="s">
        <v>454</v>
      </c>
      <c r="B709" s="0" t="s">
        <v>49</v>
      </c>
      <c r="D709" s="17" t="n">
        <f aca="false">$D$707*D708</f>
        <v>0.172842024579347</v>
      </c>
      <c r="E709" s="17" t="n">
        <f aca="false">$D$707*E708</f>
        <v>0.172842024579347</v>
      </c>
      <c r="F709" s="17" t="n">
        <f aca="false">$D$707*F708</f>
        <v>0.164199923350379</v>
      </c>
      <c r="G709" s="17" t="n">
        <f aca="false">$D$707*G708</f>
        <v>0.155557822121412</v>
      </c>
    </row>
    <row r="710" customFormat="false" ht="17.15" hidden="false" customHeight="false" outlineLevel="0" collapsed="false">
      <c r="A710" s="0" t="s">
        <v>506</v>
      </c>
      <c r="B710" s="0" t="s">
        <v>184</v>
      </c>
      <c r="D710" s="22" t="n">
        <f aca="false">D705*D709*D706</f>
        <v>55.00416</v>
      </c>
      <c r="E710" s="22" t="n">
        <f aca="false">E705*E709*E706</f>
        <v>145.578648187429</v>
      </c>
      <c r="F710" s="22" t="n">
        <f aca="false">F705*F709*F706</f>
        <v>154.338067297361</v>
      </c>
      <c r="G710" s="22" t="n">
        <f aca="false">G705*G709*G706</f>
        <v>188.840003670751</v>
      </c>
    </row>
    <row r="711" customFormat="false" ht="17.15" hidden="false" customHeight="false" outlineLevel="0" collapsed="false">
      <c r="A711" s="5" t="s">
        <v>507</v>
      </c>
    </row>
    <row r="712" customFormat="false" ht="17.15" hidden="false" customHeight="false" outlineLevel="0" collapsed="false">
      <c r="A712" s="3" t="s">
        <v>508</v>
      </c>
      <c r="B712" s="0" t="s">
        <v>63</v>
      </c>
      <c r="D712" s="18" t="n">
        <f aca="false">1</f>
        <v>1</v>
      </c>
      <c r="E712" s="18" t="n">
        <f aca="false">cx_27</f>
        <v>1.45</v>
      </c>
      <c r="F712" s="18" t="n">
        <f aca="false">cx_28</f>
        <v>1.9</v>
      </c>
      <c r="G712" s="18" t="n">
        <f aca="false">cx_29</f>
        <v>2.3</v>
      </c>
      <c r="K712" s="7" t="s">
        <v>509</v>
      </c>
    </row>
    <row r="713" customFormat="false" ht="17.15" hidden="false" customHeight="false" outlineLevel="0" collapsed="false">
      <c r="A713" s="3" t="s">
        <v>510</v>
      </c>
      <c r="B713" s="0" t="s">
        <v>184</v>
      </c>
      <c r="D713" s="22" t="n">
        <f aca="false">a26_rev*D712*D706</f>
        <v>105.40752</v>
      </c>
      <c r="E713" s="22" t="n">
        <f aca="false">a26_rev*E712*E706</f>
        <v>152.840904</v>
      </c>
      <c r="F713" s="22" t="n">
        <f aca="false">a26_rev*F712*F706</f>
        <v>194.26605936</v>
      </c>
      <c r="G713" s="22" t="n">
        <f aca="false">a26_rev*G712*G706</f>
        <v>227.89105824</v>
      </c>
    </row>
    <row r="714" customFormat="false" ht="17.15" hidden="false" customHeight="false" outlineLevel="0" collapsed="false">
      <c r="A714" s="3" t="s">
        <v>511</v>
      </c>
      <c r="B714" s="0" t="s">
        <v>184</v>
      </c>
      <c r="C714" s="22" t="n">
        <f aca="false">a25_nai</f>
        <v>42.0028</v>
      </c>
      <c r="D714" s="22" t="n">
        <f aca="false">a26_nai</f>
        <v>50.40336</v>
      </c>
      <c r="E714" s="22" t="n">
        <f aca="false">D714*(1+g_nai27)</f>
        <v>52.923528</v>
      </c>
      <c r="F714" s="22" t="n">
        <f aca="false">E714*(1+g_nai28)</f>
        <v>54.51123384</v>
      </c>
      <c r="G714" s="22" t="n">
        <f aca="false">F714*(1+g_nai29)</f>
        <v>56.1465708552</v>
      </c>
    </row>
    <row r="715" customFormat="false" ht="17.15" hidden="false" customHeight="false" outlineLevel="0" collapsed="false">
      <c r="A715" s="0" t="s">
        <v>512</v>
      </c>
      <c r="B715" s="0" t="s">
        <v>184</v>
      </c>
      <c r="C715" s="22" t="n">
        <f aca="false">a25_ai</f>
        <v>18.0012</v>
      </c>
      <c r="D715" s="22" t="n">
        <f aca="false">D710</f>
        <v>55.00416</v>
      </c>
      <c r="E715" s="22" t="n">
        <f aca="false">MIN(E710,E713-E714)</f>
        <v>99.917376</v>
      </c>
      <c r="F715" s="22" t="n">
        <f aca="false">MIN(F710,F713-F714)</f>
        <v>139.75482552</v>
      </c>
      <c r="G715" s="22" t="n">
        <f aca="false">MIN(G710,G713-G714)</f>
        <v>171.7444873848</v>
      </c>
      <c r="K715" s="3" t="s">
        <v>513</v>
      </c>
    </row>
    <row r="716" customFormat="false" ht="15" hidden="false" customHeight="false" outlineLevel="0" collapsed="false">
      <c r="A716" s="3" t="s">
        <v>514</v>
      </c>
      <c r="E716" s="0" t="str">
        <f aca="false">IF(E710&gt;E713-E714+0.0001,"受限","未受限")</f>
        <v>受限</v>
      </c>
      <c r="F716" s="0" t="str">
        <f aca="false">IF(F710&gt;F713-F714+0.0001,"受限","未受限")</f>
        <v>受限</v>
      </c>
      <c r="G716" s="0" t="str">
        <f aca="false">IF(G710&gt;G713-G714+0.0001,"受限","未受限")</f>
        <v>受限</v>
      </c>
    </row>
    <row r="717" customFormat="false" ht="17.15" hidden="false" customHeight="false" outlineLevel="0" collapsed="false">
      <c r="A717" s="3" t="s">
        <v>387</v>
      </c>
      <c r="B717" s="0" t="s">
        <v>184</v>
      </c>
      <c r="C717" s="22" t="n">
        <f aca="false">C715+C714</f>
        <v>60.004</v>
      </c>
      <c r="D717" s="22" t="n">
        <f aca="false">D715+D714</f>
        <v>105.40752</v>
      </c>
      <c r="E717" s="22" t="n">
        <f aca="false">E715+E714</f>
        <v>152.840904</v>
      </c>
      <c r="F717" s="22" t="n">
        <f aca="false">F715+F714</f>
        <v>194.26605936</v>
      </c>
      <c r="G717" s="22" t="n">
        <f aca="false">G715+G714</f>
        <v>227.89105824</v>
      </c>
      <c r="H717" s="24" t="n">
        <f aca="false">G717*(1+H718)</f>
        <v>257.226313072804</v>
      </c>
      <c r="I717" s="24" t="n">
        <f aca="false">H717*(1+I718)</f>
        <v>278.92655569709</v>
      </c>
      <c r="J717" s="24" t="n">
        <f aca="false">I717*(1+J718)</f>
        <v>290.083617924974</v>
      </c>
      <c r="K717" s="7" t="s">
        <v>515</v>
      </c>
    </row>
    <row r="718" customFormat="false" ht="15" hidden="false" customHeight="false" outlineLevel="0" collapsed="false">
      <c r="A718" s="3" t="s">
        <v>516</v>
      </c>
      <c r="B718" s="0" t="s">
        <v>49</v>
      </c>
      <c r="D718" s="17" t="n">
        <f aca="false">D717/C717-1</f>
        <v>0.756674888340778</v>
      </c>
      <c r="E718" s="17" t="n">
        <f aca="false">E717/D717-1</f>
        <v>0.45</v>
      </c>
      <c r="F718" s="17" t="n">
        <f aca="false">F717/E717-1</f>
        <v>0.271034482758621</v>
      </c>
      <c r="G718" s="17" t="n">
        <f aca="false">G717/F717-1</f>
        <v>0.173087357569181</v>
      </c>
      <c r="H718" s="25" t="n">
        <f aca="false">$G718+(fade_gB-$G718)*1/3</f>
        <v>0.12872490504612</v>
      </c>
      <c r="I718" s="25" t="n">
        <f aca="false">$G718+(fade_gB-$G718)*2/3</f>
        <v>0.0843624525230602</v>
      </c>
      <c r="J718" s="25" t="n">
        <f aca="false">$G718+(fade_gB-$G718)*3/3</f>
        <v>0.04</v>
      </c>
    </row>
    <row r="719" customFormat="false" ht="17.15" hidden="false" customHeight="false" outlineLevel="0" collapsed="false">
      <c r="A719" s="0" t="s">
        <v>517</v>
      </c>
      <c r="B719" s="0" t="s">
        <v>49</v>
      </c>
      <c r="C719" s="17" t="n">
        <f aca="false">C715/C717</f>
        <v>0.3</v>
      </c>
      <c r="D719" s="17" t="n">
        <f aca="false">D715/D717</f>
        <v>0.521823869871903</v>
      </c>
      <c r="E719" s="17" t="n">
        <f aca="false">E715/E717</f>
        <v>0.653734526458964</v>
      </c>
      <c r="F719" s="17" t="n">
        <f aca="false">F715/F717</f>
        <v>0.71939908587437</v>
      </c>
      <c r="G719" s="17" t="n">
        <f aca="false">G715/G717</f>
        <v>0.753625388864226</v>
      </c>
    </row>
    <row r="720" customFormat="false" ht="17.15" hidden="false" customHeight="false" outlineLevel="0" collapsed="false">
      <c r="A720" s="3" t="s">
        <v>518</v>
      </c>
      <c r="B720" s="0" t="s">
        <v>49</v>
      </c>
      <c r="D720" s="17" t="n">
        <f aca="false">(D710+D714)/D713</f>
        <v>1</v>
      </c>
      <c r="E720" s="17" t="n">
        <f aca="false">(E710+E714)/E713</f>
        <v>1.29875034099137</v>
      </c>
      <c r="F720" s="17" t="n">
        <f aca="false">(F710+F714)/F713</f>
        <v>1.07506839756468</v>
      </c>
      <c r="G720" s="17" t="n">
        <f aca="false">(G710+G714)/G713</f>
        <v>1.07501617842306</v>
      </c>
      <c r="K720" s="3" t="s">
        <v>519</v>
      </c>
    </row>
    <row r="721" customFormat="false" ht="17.15" hidden="false" customHeight="false" outlineLevel="0" collapsed="false">
      <c r="A721" s="3" t="s">
        <v>458</v>
      </c>
      <c r="B721" s="0" t="s">
        <v>90</v>
      </c>
      <c r="D721" s="21" t="n">
        <f aca="false">D715/fx/D699*1000</f>
        <v>73.4578604462223</v>
      </c>
      <c r="E721" s="21" t="n">
        <f aca="false">E715/fx/E699*1000</f>
        <v>74.9738410190283</v>
      </c>
      <c r="F721" s="21" t="n">
        <f aca="false">F715/fx/F699*1000</f>
        <v>103.408822959553</v>
      </c>
      <c r="G721" s="21" t="n">
        <f aca="false">G715/fx/G699*1000</f>
        <v>104.993073222002</v>
      </c>
    </row>
    <row r="722" customFormat="false" ht="17.15" hidden="false" customHeight="false" outlineLevel="0" collapsed="false">
      <c r="A722" s="5" t="s">
        <v>520</v>
      </c>
    </row>
    <row r="723" customFormat="false" ht="17.15" hidden="false" customHeight="false" outlineLevel="0" collapsed="false">
      <c r="A723" s="3" t="s">
        <v>521</v>
      </c>
      <c r="B723" s="0" t="s">
        <v>49</v>
      </c>
      <c r="D723" s="17" t="n">
        <f aca="false">a26_gp/D717-d_ai_lo*D719</f>
        <v>0.317528160229934</v>
      </c>
      <c r="K723" s="7" t="s">
        <v>522</v>
      </c>
    </row>
    <row r="724" customFormat="false" ht="17.15" hidden="false" customHeight="false" outlineLevel="0" collapsed="false">
      <c r="A724" s="0" t="s">
        <v>523</v>
      </c>
      <c r="B724" s="0" t="s">
        <v>49</v>
      </c>
      <c r="D724" s="17" t="n">
        <f aca="false">D723+d_ai_lo</f>
        <v>0.377528160229934</v>
      </c>
      <c r="E724" s="17" t="n">
        <f aca="false">1-(1-$D$724)/E706+gmu_27</f>
        <v>0.387528160229934</v>
      </c>
      <c r="F724" s="17" t="n">
        <f aca="false">1-(1-$D$724)/F706+gmu_28</f>
        <v>0.373276453845293</v>
      </c>
      <c r="G724" s="17" t="n">
        <f aca="false">1-(1-$D$724)/G706+gmu_29</f>
        <v>0.357795915138228</v>
      </c>
      <c r="K724" s="7" t="s">
        <v>524</v>
      </c>
    </row>
    <row r="725" customFormat="false" ht="15" hidden="false" customHeight="false" outlineLevel="0" collapsed="false">
      <c r="A725" s="3" t="s">
        <v>391</v>
      </c>
      <c r="B725" s="0" t="s">
        <v>184</v>
      </c>
      <c r="C725" s="22" t="n">
        <f aca="false">a25_gp</f>
        <v>19.683</v>
      </c>
      <c r="D725" s="22" t="n">
        <f aca="false">a26_gp</f>
        <v>36.7701055</v>
      </c>
      <c r="E725" s="22" t="n">
        <f aca="false">E715*E724+E714*$D$723</f>
        <v>55.525507375</v>
      </c>
      <c r="F725" s="22" t="n">
        <f aca="false">F715*F724+F714*$D$723</f>
        <v>69.4760374709522</v>
      </c>
      <c r="G725" s="22" t="n">
        <f aca="false">G715*G724+G714*$D$723</f>
        <v>79.2775933806617</v>
      </c>
    </row>
    <row r="726" customFormat="false" ht="15" hidden="false" customHeight="false" outlineLevel="0" collapsed="false">
      <c r="A726" s="3" t="s">
        <v>394</v>
      </c>
      <c r="B726" s="0" t="s">
        <v>49</v>
      </c>
      <c r="C726" s="17" t="n">
        <f aca="false">C725/C717</f>
        <v>0.328028131457903</v>
      </c>
      <c r="D726" s="17" t="n">
        <f aca="false">D725/D717</f>
        <v>0.348837592422248</v>
      </c>
      <c r="E726" s="17" t="n">
        <f aca="false">E725/E717</f>
        <v>0.363289577082062</v>
      </c>
      <c r="F726" s="17" t="n">
        <f aca="false">F725/F717</f>
        <v>0.357633431695879</v>
      </c>
      <c r="G726" s="17" t="n">
        <f aca="false">G725/G717</f>
        <v>0.347874962681386</v>
      </c>
    </row>
    <row r="727" customFormat="false" ht="15" hidden="false" customHeight="false" outlineLevel="0" collapsed="false">
      <c r="A727" s="3" t="s">
        <v>525</v>
      </c>
      <c r="B727" s="0" t="s">
        <v>184</v>
      </c>
      <c r="C727" s="22" t="n">
        <f aca="false">a25_opx</f>
        <v>5.64</v>
      </c>
      <c r="D727" s="22" t="n">
        <f aca="false">a26_opx</f>
        <v>8.4779754</v>
      </c>
      <c r="E727" s="22" t="n">
        <f aca="false">D727*(1+MAX(0,phi*E718))</f>
        <v>10.767028758</v>
      </c>
      <c r="F727" s="22" t="n">
        <f aca="false">E727*(1+MAX(0,phi*F718))</f>
        <v>12.517970400163</v>
      </c>
      <c r="G727" s="22" t="n">
        <f aca="false">F727*(1+MAX(0,phi*G718))</f>
        <v>13.8179918513791</v>
      </c>
    </row>
    <row r="728" customFormat="false" ht="15" hidden="false" customHeight="false" outlineLevel="0" collapsed="false">
      <c r="A728" s="3" t="s">
        <v>396</v>
      </c>
      <c r="B728" s="0" t="s">
        <v>184</v>
      </c>
      <c r="C728" s="22" t="n">
        <f aca="false">C727</f>
        <v>5.64</v>
      </c>
      <c r="D728" s="22" t="n">
        <f aca="false">D727</f>
        <v>8.4779754</v>
      </c>
      <c r="E728" s="22" t="n">
        <f aca="false">E727+0*E717</f>
        <v>10.767028758</v>
      </c>
      <c r="F728" s="22" t="n">
        <f aca="false">F727+0*F717</f>
        <v>12.517970400163</v>
      </c>
      <c r="G728" s="22" t="n">
        <f aca="false">G727+0*G717</f>
        <v>13.8179918513791</v>
      </c>
    </row>
    <row r="729" customFormat="false" ht="15" hidden="false" customHeight="false" outlineLevel="0" collapsed="false">
      <c r="A729" s="3" t="s">
        <v>526</v>
      </c>
      <c r="B729" s="0" t="s">
        <v>184</v>
      </c>
      <c r="C729" s="22" t="n">
        <f aca="false">C725-C728</f>
        <v>14.043</v>
      </c>
      <c r="D729" s="22" t="n">
        <f aca="false">D725-D728</f>
        <v>28.2921301</v>
      </c>
      <c r="E729" s="22" t="n">
        <f aca="false">E725-E728</f>
        <v>44.758478617</v>
      </c>
      <c r="F729" s="22" t="n">
        <f aca="false">F725-F728</f>
        <v>56.9580670707892</v>
      </c>
      <c r="G729" s="22" t="n">
        <f aca="false">G725-G728</f>
        <v>65.4596015292826</v>
      </c>
    </row>
    <row r="730" customFormat="false" ht="15" hidden="false" customHeight="false" outlineLevel="0" collapsed="false">
      <c r="A730" s="3" t="s">
        <v>402</v>
      </c>
      <c r="B730" s="0" t="s">
        <v>49</v>
      </c>
      <c r="C730" s="17" t="n">
        <f aca="false">C729/C717</f>
        <v>0.23403439770682</v>
      </c>
      <c r="D730" s="17" t="n">
        <f aca="false">D729/D717</f>
        <v>0.268407131673338</v>
      </c>
      <c r="E730" s="17" t="n">
        <f aca="false">E729/E717</f>
        <v>0.292843587322671</v>
      </c>
      <c r="F730" s="17" t="n">
        <f aca="false">F729/F717</f>
        <v>0.293196182896975</v>
      </c>
      <c r="G730" s="17" t="n">
        <f aca="false">G729/G717</f>
        <v>0.287240763349059</v>
      </c>
    </row>
    <row r="731" customFormat="false" ht="17.15" hidden="false" customHeight="false" outlineLevel="0" collapsed="false">
      <c r="A731" s="3" t="s">
        <v>403</v>
      </c>
      <c r="B731" s="0" t="s">
        <v>184</v>
      </c>
      <c r="E731" s="22" t="n">
        <f aca="false">nop_f</f>
        <v>0</v>
      </c>
      <c r="F731" s="22" t="n">
        <f aca="false">nop_f</f>
        <v>0</v>
      </c>
      <c r="G731" s="22" t="n">
        <f aca="false">nop_f</f>
        <v>0</v>
      </c>
      <c r="K731" s="7" t="s">
        <v>527</v>
      </c>
    </row>
    <row r="732" customFormat="false" ht="15" hidden="false" customHeight="false" outlineLevel="0" collapsed="false">
      <c r="A732" s="3" t="s">
        <v>408</v>
      </c>
      <c r="B732" s="0" t="s">
        <v>184</v>
      </c>
      <c r="C732" s="22" t="n">
        <f aca="false">a25_ni</f>
        <v>9.607</v>
      </c>
      <c r="D732" s="22" t="n">
        <f aca="false">a26_ni</f>
        <v>19.6977289395284</v>
      </c>
      <c r="E732" s="22" t="n">
        <f aca="false">(E729+E731)*nir_f</f>
        <v>30.659557852645</v>
      </c>
      <c r="F732" s="22" t="n">
        <f aca="false">(F729+F731)*nir_f</f>
        <v>39.0162759434906</v>
      </c>
      <c r="G732" s="22" t="n">
        <f aca="false">(G729+G731)*nir_f</f>
        <v>44.8398270475586</v>
      </c>
      <c r="H732" s="24" t="n">
        <f aca="false">H717*H737</f>
        <v>47.8723790305904</v>
      </c>
      <c r="I732" s="24" t="n">
        <f aca="false">I717*I737</f>
        <v>48.9404530753711</v>
      </c>
      <c r="J732" s="24" t="n">
        <f aca="false">J717*J737</f>
        <v>47.8086916496984</v>
      </c>
    </row>
    <row r="733" customFormat="false" ht="17.15" hidden="false" customHeight="false" outlineLevel="0" collapsed="false">
      <c r="A733" s="3" t="s">
        <v>411</v>
      </c>
      <c r="B733" s="0" t="s">
        <v>49</v>
      </c>
      <c r="C733" s="17" t="n">
        <f aca="false">C732/C729</f>
        <v>0.684113081250445</v>
      </c>
      <c r="D733" s="17" t="n">
        <f aca="false">D732/D729</f>
        <v>0.696226437171953</v>
      </c>
      <c r="E733" s="17" t="n">
        <f aca="false">E732/E729</f>
        <v>0.685</v>
      </c>
      <c r="F733" s="17" t="n">
        <f aca="false">F732/F729</f>
        <v>0.685</v>
      </c>
      <c r="G733" s="17" t="n">
        <f aca="false">G732/G729</f>
        <v>0.685</v>
      </c>
    </row>
    <row r="734" customFormat="false" ht="17.15" hidden="false" customHeight="false" outlineLevel="0" collapsed="false">
      <c r="A734" s="3" t="s">
        <v>528</v>
      </c>
      <c r="B734" s="3" t="s">
        <v>214</v>
      </c>
      <c r="C734" s="27" t="n">
        <f aca="false">a25_sh</f>
        <v>0.493425783256292</v>
      </c>
      <c r="D734" s="27" t="n">
        <f aca="false">a26_sh</f>
        <v>0.512980850061958</v>
      </c>
      <c r="E734" s="27" t="n">
        <f aca="false">sh_h2*(1+sh_g)</f>
        <v>0.51889356</v>
      </c>
      <c r="F734" s="27" t="n">
        <f aca="false">E734*(1+sh_g)</f>
        <v>0.5240824956</v>
      </c>
      <c r="G734" s="27" t="n">
        <f aca="false">F734*(1+sh_g)</f>
        <v>0.529323320556</v>
      </c>
      <c r="H734" s="28" t="n">
        <f aca="false">G734*(1+sh_g)</f>
        <v>0.53461655376156</v>
      </c>
      <c r="I734" s="28" t="n">
        <f aca="false">H734*(1+sh_g)</f>
        <v>0.539962719299176</v>
      </c>
      <c r="J734" s="28" t="n">
        <f aca="false">I734*(1+sh_g)</f>
        <v>0.545362346492167</v>
      </c>
      <c r="K734" s="7" t="s">
        <v>529</v>
      </c>
    </row>
    <row r="735" customFormat="false" ht="15" hidden="false" customHeight="false" outlineLevel="0" collapsed="false">
      <c r="A735" s="0" t="s">
        <v>414</v>
      </c>
      <c r="B735" s="0" t="s">
        <v>252</v>
      </c>
      <c r="C735" s="23" t="n">
        <f aca="false">C732/C734</f>
        <v>19.47</v>
      </c>
      <c r="D735" s="23" t="n">
        <f aca="false">D732/D734</f>
        <v>38.3985658278458</v>
      </c>
      <c r="E735" s="23" t="n">
        <f aca="false">E732/E734</f>
        <v>59.0864104242207</v>
      </c>
      <c r="F735" s="23" t="n">
        <f aca="false">F732/F734</f>
        <v>74.4468213898701</v>
      </c>
      <c r="G735" s="23" t="n">
        <f aca="false">G732/G734</f>
        <v>84.7116031095303</v>
      </c>
      <c r="H735" s="29" t="n">
        <f aca="false">H732/H734</f>
        <v>89.5452613536946</v>
      </c>
      <c r="I735" s="29" t="n">
        <f aca="false">I732/I734</f>
        <v>90.6367260667395</v>
      </c>
      <c r="J735" s="29" t="n">
        <f aca="false">J732/J734</f>
        <v>87.664086010355</v>
      </c>
    </row>
    <row r="736" customFormat="false" ht="17.15" hidden="false" customHeight="false" outlineLevel="0" collapsed="false">
      <c r="A736" s="0" t="s">
        <v>530</v>
      </c>
      <c r="B736" s="0" t="s">
        <v>49</v>
      </c>
      <c r="D736" s="17" t="n">
        <f aca="false">D735/C735-1</f>
        <v>0.9721913624985</v>
      </c>
      <c r="E736" s="17" t="n">
        <f aca="false">E735/D735-1</f>
        <v>0.538766074991597</v>
      </c>
      <c r="F736" s="17" t="n">
        <f aca="false">F735/E735-1</f>
        <v>0.259965207826415</v>
      </c>
      <c r="G736" s="17" t="n">
        <f aca="false">G735/F735-1</f>
        <v>0.137880725167629</v>
      </c>
      <c r="H736" s="25" t="n">
        <f aca="false">H735/G735-1</f>
        <v>0.0570601672820956</v>
      </c>
      <c r="I736" s="25" t="n">
        <f aca="false">I735/H735-1</f>
        <v>0.0121889723313633</v>
      </c>
      <c r="J736" s="25" t="n">
        <f aca="false">J735/I735-1</f>
        <v>-0.0327973017714206</v>
      </c>
    </row>
    <row r="737" customFormat="false" ht="17.15" hidden="false" customHeight="false" outlineLevel="0" collapsed="false">
      <c r="A737" s="3" t="s">
        <v>531</v>
      </c>
      <c r="B737" s="0" t="s">
        <v>49</v>
      </c>
      <c r="C737" s="17" t="n">
        <f aca="false">C732/C717</f>
        <v>0.160105992933804</v>
      </c>
      <c r="D737" s="17" t="n">
        <f aca="false">D732/D717</f>
        <v>0.186872140996471</v>
      </c>
      <c r="E737" s="17" t="n">
        <f aca="false">E732/E717</f>
        <v>0.20059785731603</v>
      </c>
      <c r="F737" s="17" t="n">
        <f aca="false">F732/F717</f>
        <v>0.200839385284428</v>
      </c>
      <c r="G737" s="17" t="n">
        <f aca="false">G732/G717</f>
        <v>0.196759922894106</v>
      </c>
      <c r="H737" s="25" t="n">
        <f aca="false">$G737+(fade_mB-$G737)*1/3</f>
        <v>0.186109960752891</v>
      </c>
      <c r="I737" s="25" t="n">
        <f aca="false">$G737+(fade_mB-$G737)*2/3</f>
        <v>0.175459998611676</v>
      </c>
      <c r="J737" s="25" t="n">
        <f aca="false">$G737+(fade_mB-$G737)*3/3</f>
        <v>0.164810036470462</v>
      </c>
    </row>
    <row r="740" customFormat="false" ht="17.15" hidden="false" customHeight="false" outlineLevel="0" collapsed="false">
      <c r="A740" s="1" t="s">
        <v>837</v>
      </c>
    </row>
    <row r="741" customFormat="false" ht="17.15" hidden="false" customHeight="false" outlineLevel="0" collapsed="false">
      <c r="A741" s="4" t="s">
        <v>18</v>
      </c>
      <c r="B741" s="4" t="s">
        <v>19</v>
      </c>
      <c r="C741" s="14" t="s">
        <v>382</v>
      </c>
      <c r="D741" s="14" t="s">
        <v>472</v>
      </c>
      <c r="E741" s="14" t="s">
        <v>473</v>
      </c>
      <c r="F741" s="14" t="s">
        <v>474</v>
      </c>
      <c r="G741" s="14" t="s">
        <v>475</v>
      </c>
      <c r="H741" s="14" t="s">
        <v>476</v>
      </c>
      <c r="I741" s="14" t="s">
        <v>477</v>
      </c>
      <c r="J741" s="14" t="s">
        <v>478</v>
      </c>
      <c r="K741" s="4" t="s">
        <v>436</v>
      </c>
    </row>
    <row r="742" customFormat="false" ht="17.15" hidden="false" customHeight="false" outlineLevel="0" collapsed="false">
      <c r="A742" s="5" t="s">
        <v>494</v>
      </c>
    </row>
    <row r="743" customFormat="false" ht="17.15" hidden="false" customHeight="false" outlineLevel="0" collapsed="false">
      <c r="A743" s="0" t="s">
        <v>495</v>
      </c>
      <c r="B743" s="0" t="s">
        <v>29</v>
      </c>
      <c r="D743" s="23" t="n">
        <f aca="false">itc_26*1</f>
        <v>781.872916666667</v>
      </c>
      <c r="E743" s="23" t="n">
        <f aca="false">itc_27*1*1</f>
        <v>1565.35</v>
      </c>
      <c r="F743" s="23" t="n">
        <f aca="false">itc_28*um28_B*1</f>
        <v>1587.41111111111</v>
      </c>
      <c r="G743" s="23" t="n">
        <f aca="false">itc_29*um29_B*1</f>
        <v>1921.33173611111</v>
      </c>
    </row>
    <row r="744" customFormat="false" ht="17.15" hidden="false" customHeight="false" outlineLevel="0" collapsed="false">
      <c r="A744" s="3" t="s">
        <v>496</v>
      </c>
      <c r="B744" s="0" t="s">
        <v>29</v>
      </c>
      <c r="D744" s="23" t="n">
        <f aca="false">itpg_gb*(1-vr26)+itpg_vr*vr26</f>
        <v>33.41403216</v>
      </c>
      <c r="E744" s="23" t="n">
        <f aca="false">itpg_vr</f>
        <v>37.586352</v>
      </c>
      <c r="F744" s="23" t="n">
        <f aca="false">itpg_vr</f>
        <v>37.586352</v>
      </c>
      <c r="G744" s="23" t="n">
        <f aca="false">itpg_vr</f>
        <v>37.586352</v>
      </c>
    </row>
    <row r="745" customFormat="false" ht="17.15" hidden="false" customHeight="false" outlineLevel="0" collapsed="false">
      <c r="A745" s="3" t="s">
        <v>497</v>
      </c>
      <c r="B745" s="0" t="s">
        <v>438</v>
      </c>
      <c r="D745" s="20" t="n">
        <f aca="false">D743/D744</f>
        <v>23.3995380420639</v>
      </c>
      <c r="E745" s="20" t="n">
        <f aca="false">E743/E744</f>
        <v>41.6467658260637</v>
      </c>
      <c r="F745" s="20" t="n">
        <f aca="false">F743/F744</f>
        <v>42.2337105529984</v>
      </c>
      <c r="G745" s="20" t="n">
        <f aca="false">G743/G744</f>
        <v>51.1178029756948</v>
      </c>
    </row>
    <row r="746" customFormat="false" ht="17.15" hidden="false" customHeight="false" outlineLevel="0" collapsed="false">
      <c r="A746" s="3" t="s">
        <v>442</v>
      </c>
      <c r="B746" s="0" t="s">
        <v>90</v>
      </c>
      <c r="D746" s="21" t="n">
        <f aca="false">vg_cmp26</f>
        <v>280</v>
      </c>
      <c r="E746" s="21" t="n">
        <f aca="false">(vg_cmp26+(vg_cmp27-vg_cmp26)*pgwf)</f>
        <v>420</v>
      </c>
      <c r="F746" s="21" t="n">
        <f aca="false">(vg_cmp26+(vg_cmp28-vg_cmp26)*pgwf)</f>
        <v>462</v>
      </c>
      <c r="G746" s="21" t="n">
        <f aca="false">(vg_cmp26+(vg_cmp29-vg_cmp26)*pgwf)</f>
        <v>504</v>
      </c>
    </row>
    <row r="747" customFormat="false" ht="17.15" hidden="false" customHeight="false" outlineLevel="0" collapsed="false">
      <c r="A747" s="3" t="s">
        <v>444</v>
      </c>
      <c r="B747" s="0" t="s">
        <v>90</v>
      </c>
      <c r="D747" s="21" t="n">
        <f aca="false">vg_sw26</f>
        <v>120</v>
      </c>
      <c r="E747" s="21" t="n">
        <f aca="false">(vg_sw26+(vg_sw27-vg_sw26)*pgwf)</f>
        <v>162</v>
      </c>
      <c r="F747" s="21" t="n">
        <f aca="false">(vg_sw26+(vg_sw28-vg_sw26)*pgwf)</f>
        <v>180</v>
      </c>
      <c r="G747" s="21" t="n">
        <f aca="false">(vg_sw26+(vg_sw29-vg_sw26)*pgwf)</f>
        <v>198</v>
      </c>
    </row>
    <row r="748" customFormat="false" ht="17.15" hidden="false" customHeight="false" outlineLevel="0" collapsed="false">
      <c r="A748" s="3" t="s">
        <v>498</v>
      </c>
      <c r="B748" s="0" t="s">
        <v>90</v>
      </c>
      <c r="D748" s="21" t="n">
        <f aca="false">vg_mid26*w_mid</f>
        <v>25</v>
      </c>
      <c r="E748" s="21" t="n">
        <f aca="false">(vg_mid26+(vg_mid27-vg_mid26)*pgwf)*w_mid</f>
        <v>50</v>
      </c>
      <c r="F748" s="21" t="n">
        <f aca="false">(vg_mid26+(vg_mid28-vg_mid26)*pgwf)*w_mid</f>
        <v>75</v>
      </c>
      <c r="G748" s="21" t="n">
        <f aca="false">(vg_mid26+(vg_mid29-vg_mid26)*pgwf)*w_mid</f>
        <v>87.5</v>
      </c>
    </row>
    <row r="749" customFormat="false" ht="17.15" hidden="false" customHeight="false" outlineLevel="0" collapsed="false">
      <c r="A749" s="3" t="s">
        <v>499</v>
      </c>
      <c r="B749" s="0" t="s">
        <v>90</v>
      </c>
      <c r="D749" s="21" t="n">
        <f aca="false">D746+D747+D748</f>
        <v>425</v>
      </c>
      <c r="E749" s="21" t="n">
        <f aca="false">E746+E747+E748</f>
        <v>632</v>
      </c>
      <c r="F749" s="21" t="n">
        <f aca="false">F746+F747+F748</f>
        <v>717</v>
      </c>
      <c r="G749" s="21" t="n">
        <f aca="false">G746+G747+G748</f>
        <v>789.5</v>
      </c>
    </row>
    <row r="750" customFormat="false" ht="17.15" hidden="false" customHeight="false" outlineLevel="0" collapsed="false">
      <c r="A750" s="3" t="s">
        <v>500</v>
      </c>
      <c r="B750" s="0" t="s">
        <v>29</v>
      </c>
      <c r="D750" s="23" t="n">
        <f aca="false">D745*D749/1000</f>
        <v>9.94480366787716</v>
      </c>
      <c r="E750" s="23" t="n">
        <f aca="false">E745*E749/1000</f>
        <v>26.3207560020722</v>
      </c>
      <c r="F750" s="23" t="n">
        <f aca="false">F745*F749/1000</f>
        <v>30.2815704664998</v>
      </c>
      <c r="G750" s="23" t="n">
        <f aca="false">G745*G749/1000</f>
        <v>40.3575054493111</v>
      </c>
    </row>
    <row r="751" customFormat="false" ht="17.15" hidden="false" customHeight="false" outlineLevel="0" collapsed="false">
      <c r="A751" s="3" t="s">
        <v>501</v>
      </c>
      <c r="B751" s="0" t="s">
        <v>184</v>
      </c>
      <c r="D751" s="22" t="n">
        <f aca="false">D750*fx</f>
        <v>318.233717372069</v>
      </c>
      <c r="E751" s="22" t="n">
        <f aca="false">E750*fx</f>
        <v>842.264192066312</v>
      </c>
      <c r="F751" s="22" t="n">
        <f aca="false">F750*fx</f>
        <v>969.010254927995</v>
      </c>
      <c r="G751" s="22" t="n">
        <f aca="false">G750*fx</f>
        <v>1291.44017437795</v>
      </c>
    </row>
    <row r="752" customFormat="false" ht="17.15" hidden="false" customHeight="false" outlineLevel="0" collapsed="false">
      <c r="A752" s="0" t="s">
        <v>502</v>
      </c>
      <c r="B752" s="0" t="s">
        <v>63</v>
      </c>
      <c r="D752" s="18" t="n">
        <f aca="false">1</f>
        <v>1</v>
      </c>
      <c r="E752" s="18" t="n">
        <f aca="false">pp_27</f>
        <v>1</v>
      </c>
      <c r="F752" s="18" t="n">
        <f aca="false">pp_28</f>
        <v>0.97</v>
      </c>
      <c r="G752" s="18" t="n">
        <f aca="false">pp_29</f>
        <v>0.94</v>
      </c>
    </row>
    <row r="753" customFormat="false" ht="17.15" hidden="false" customHeight="false" outlineLevel="0" collapsed="false">
      <c r="A753" s="3" t="s">
        <v>503</v>
      </c>
      <c r="B753" s="0" t="s">
        <v>49</v>
      </c>
      <c r="D753" s="17" t="n">
        <f aca="false">a26_ai/D751</f>
        <v>0.172842024579347</v>
      </c>
      <c r="K753" s="7" t="s">
        <v>504</v>
      </c>
    </row>
    <row r="754" customFormat="false" ht="17.15" hidden="false" customHeight="false" outlineLevel="0" collapsed="false">
      <c r="A754" s="3" t="s">
        <v>505</v>
      </c>
      <c r="B754" s="0" t="s">
        <v>63</v>
      </c>
      <c r="D754" s="18" t="n">
        <f aca="false">1</f>
        <v>1</v>
      </c>
      <c r="E754" s="18" t="n">
        <f aca="false">rel_27</f>
        <v>1</v>
      </c>
      <c r="F754" s="18" t="n">
        <f aca="false">rel_28</f>
        <v>0.95</v>
      </c>
      <c r="G754" s="18" t="n">
        <f aca="false">rel_29</f>
        <v>0.9</v>
      </c>
    </row>
    <row r="755" customFormat="false" ht="15" hidden="false" customHeight="false" outlineLevel="0" collapsed="false">
      <c r="A755" s="3" t="s">
        <v>454</v>
      </c>
      <c r="B755" s="0" t="s">
        <v>49</v>
      </c>
      <c r="D755" s="17" t="n">
        <f aca="false">$D$753*D754</f>
        <v>0.172842024579347</v>
      </c>
      <c r="E755" s="17" t="n">
        <f aca="false">$D$753*E754</f>
        <v>0.172842024579347</v>
      </c>
      <c r="F755" s="17" t="n">
        <f aca="false">$D$753*F754</f>
        <v>0.164199923350379</v>
      </c>
      <c r="G755" s="17" t="n">
        <f aca="false">$D$753*G754</f>
        <v>0.155557822121412</v>
      </c>
    </row>
    <row r="756" customFormat="false" ht="17.15" hidden="false" customHeight="false" outlineLevel="0" collapsed="false">
      <c r="A756" s="0" t="s">
        <v>506</v>
      </c>
      <c r="B756" s="0" t="s">
        <v>184</v>
      </c>
      <c r="D756" s="22" t="n">
        <f aca="false">D751*D755*D752</f>
        <v>55.00416</v>
      </c>
      <c r="E756" s="22" t="n">
        <f aca="false">E751*E755*E752</f>
        <v>145.578648187429</v>
      </c>
      <c r="F756" s="22" t="n">
        <f aca="false">F751*F755*F752</f>
        <v>154.338067297361</v>
      </c>
      <c r="G756" s="22" t="n">
        <f aca="false">G751*G755*G752</f>
        <v>188.840003670751</v>
      </c>
    </row>
    <row r="757" customFormat="false" ht="17.15" hidden="false" customHeight="false" outlineLevel="0" collapsed="false">
      <c r="A757" s="5" t="s">
        <v>507</v>
      </c>
    </row>
    <row r="758" customFormat="false" ht="17.15" hidden="false" customHeight="false" outlineLevel="0" collapsed="false">
      <c r="A758" s="3" t="s">
        <v>508</v>
      </c>
      <c r="B758" s="0" t="s">
        <v>63</v>
      </c>
      <c r="D758" s="18" t="n">
        <f aca="false">1</f>
        <v>1</v>
      </c>
      <c r="E758" s="18" t="n">
        <f aca="false">cx_27</f>
        <v>1.45</v>
      </c>
      <c r="F758" s="18" t="n">
        <f aca="false">cx_28</f>
        <v>1.9</v>
      </c>
      <c r="G758" s="18" t="n">
        <f aca="false">cx_29</f>
        <v>2.3</v>
      </c>
      <c r="K758" s="7" t="s">
        <v>509</v>
      </c>
    </row>
    <row r="759" customFormat="false" ht="17.15" hidden="false" customHeight="false" outlineLevel="0" collapsed="false">
      <c r="A759" s="3" t="s">
        <v>510</v>
      </c>
      <c r="B759" s="0" t="s">
        <v>184</v>
      </c>
      <c r="D759" s="22" t="n">
        <f aca="false">a26_rev*D758*D752</f>
        <v>105.40752</v>
      </c>
      <c r="E759" s="22" t="n">
        <f aca="false">a26_rev*E758*E752</f>
        <v>152.840904</v>
      </c>
      <c r="F759" s="22" t="n">
        <f aca="false">a26_rev*F758*F752</f>
        <v>194.26605936</v>
      </c>
      <c r="G759" s="22" t="n">
        <f aca="false">a26_rev*G758*G752</f>
        <v>227.89105824</v>
      </c>
    </row>
    <row r="760" customFormat="false" ht="17.15" hidden="false" customHeight="false" outlineLevel="0" collapsed="false">
      <c r="A760" s="3" t="s">
        <v>511</v>
      </c>
      <c r="B760" s="0" t="s">
        <v>184</v>
      </c>
      <c r="C760" s="22" t="n">
        <f aca="false">a25_nai</f>
        <v>42.0028</v>
      </c>
      <c r="D760" s="22" t="n">
        <f aca="false">a26_nai</f>
        <v>50.40336</v>
      </c>
      <c r="E760" s="22" t="n">
        <f aca="false">D760*(1+g_nai27)</f>
        <v>52.923528</v>
      </c>
      <c r="F760" s="22" t="n">
        <f aca="false">E760*(1+g_nai28)</f>
        <v>54.51123384</v>
      </c>
      <c r="G760" s="22" t="n">
        <f aca="false">F760*(1+g_nai29)</f>
        <v>56.1465708552</v>
      </c>
    </row>
    <row r="761" customFormat="false" ht="17.15" hidden="false" customHeight="false" outlineLevel="0" collapsed="false">
      <c r="A761" s="0" t="s">
        <v>512</v>
      </c>
      <c r="B761" s="0" t="s">
        <v>184</v>
      </c>
      <c r="C761" s="22" t="n">
        <f aca="false">a25_ai</f>
        <v>18.0012</v>
      </c>
      <c r="D761" s="22" t="n">
        <f aca="false">D756</f>
        <v>55.00416</v>
      </c>
      <c r="E761" s="22" t="n">
        <f aca="false">MIN(E756,E759-E760)</f>
        <v>99.917376</v>
      </c>
      <c r="F761" s="22" t="n">
        <f aca="false">MIN(F756,F759-F760)</f>
        <v>139.75482552</v>
      </c>
      <c r="G761" s="22" t="n">
        <f aca="false">MIN(G756,G759-G760)</f>
        <v>171.7444873848</v>
      </c>
      <c r="K761" s="3" t="s">
        <v>513</v>
      </c>
    </row>
    <row r="762" customFormat="false" ht="15" hidden="false" customHeight="false" outlineLevel="0" collapsed="false">
      <c r="A762" s="3" t="s">
        <v>514</v>
      </c>
      <c r="E762" s="0" t="str">
        <f aca="false">IF(E756&gt;E759-E760+0.0001,"受限","未受限")</f>
        <v>受限</v>
      </c>
      <c r="F762" s="0" t="str">
        <f aca="false">IF(F756&gt;F759-F760+0.0001,"受限","未受限")</f>
        <v>受限</v>
      </c>
      <c r="G762" s="0" t="str">
        <f aca="false">IF(G756&gt;G759-G760+0.0001,"受限","未受限")</f>
        <v>受限</v>
      </c>
    </row>
    <row r="763" customFormat="false" ht="17.15" hidden="false" customHeight="false" outlineLevel="0" collapsed="false">
      <c r="A763" s="3" t="s">
        <v>387</v>
      </c>
      <c r="B763" s="0" t="s">
        <v>184</v>
      </c>
      <c r="C763" s="22" t="n">
        <f aca="false">C761+C760</f>
        <v>60.004</v>
      </c>
      <c r="D763" s="22" t="n">
        <f aca="false">D761+D760</f>
        <v>105.40752</v>
      </c>
      <c r="E763" s="22" t="n">
        <f aca="false">E761+E760</f>
        <v>152.840904</v>
      </c>
      <c r="F763" s="22" t="n">
        <f aca="false">F761+F760</f>
        <v>194.26605936</v>
      </c>
      <c r="G763" s="22" t="n">
        <f aca="false">G761+G760</f>
        <v>227.89105824</v>
      </c>
      <c r="H763" s="24" t="n">
        <f aca="false">G763*(1+H764)</f>
        <v>257.226313072804</v>
      </c>
      <c r="I763" s="24" t="n">
        <f aca="false">H763*(1+I764)</f>
        <v>278.92655569709</v>
      </c>
      <c r="J763" s="24" t="n">
        <f aca="false">I763*(1+J764)</f>
        <v>290.083617924974</v>
      </c>
      <c r="K763" s="7" t="s">
        <v>515</v>
      </c>
    </row>
    <row r="764" customFormat="false" ht="15" hidden="false" customHeight="false" outlineLevel="0" collapsed="false">
      <c r="A764" s="3" t="s">
        <v>516</v>
      </c>
      <c r="B764" s="0" t="s">
        <v>49</v>
      </c>
      <c r="D764" s="17" t="n">
        <f aca="false">D763/C763-1</f>
        <v>0.756674888340778</v>
      </c>
      <c r="E764" s="17" t="n">
        <f aca="false">E763/D763-1</f>
        <v>0.45</v>
      </c>
      <c r="F764" s="17" t="n">
        <f aca="false">F763/E763-1</f>
        <v>0.271034482758621</v>
      </c>
      <c r="G764" s="17" t="n">
        <f aca="false">G763/F763-1</f>
        <v>0.173087357569181</v>
      </c>
      <c r="H764" s="25" t="n">
        <f aca="false">$G764+(fade_gB-$G764)*1/3</f>
        <v>0.12872490504612</v>
      </c>
      <c r="I764" s="25" t="n">
        <f aca="false">$G764+(fade_gB-$G764)*2/3</f>
        <v>0.0843624525230602</v>
      </c>
      <c r="J764" s="25" t="n">
        <f aca="false">$G764+(fade_gB-$G764)*3/3</f>
        <v>0.04</v>
      </c>
    </row>
    <row r="765" customFormat="false" ht="17.15" hidden="false" customHeight="false" outlineLevel="0" collapsed="false">
      <c r="A765" s="0" t="s">
        <v>517</v>
      </c>
      <c r="B765" s="0" t="s">
        <v>49</v>
      </c>
      <c r="C765" s="17" t="n">
        <f aca="false">C761/C763</f>
        <v>0.3</v>
      </c>
      <c r="D765" s="17" t="n">
        <f aca="false">D761/D763</f>
        <v>0.521823869871903</v>
      </c>
      <c r="E765" s="17" t="n">
        <f aca="false">E761/E763</f>
        <v>0.653734526458964</v>
      </c>
      <c r="F765" s="17" t="n">
        <f aca="false">F761/F763</f>
        <v>0.71939908587437</v>
      </c>
      <c r="G765" s="17" t="n">
        <f aca="false">G761/G763</f>
        <v>0.753625388864226</v>
      </c>
    </row>
    <row r="766" customFormat="false" ht="17.15" hidden="false" customHeight="false" outlineLevel="0" collapsed="false">
      <c r="A766" s="3" t="s">
        <v>518</v>
      </c>
      <c r="B766" s="0" t="s">
        <v>49</v>
      </c>
      <c r="D766" s="17" t="n">
        <f aca="false">(D756+D760)/D759</f>
        <v>1</v>
      </c>
      <c r="E766" s="17" t="n">
        <f aca="false">(E756+E760)/E759</f>
        <v>1.29875034099137</v>
      </c>
      <c r="F766" s="17" t="n">
        <f aca="false">(F756+F760)/F759</f>
        <v>1.07506839756468</v>
      </c>
      <c r="G766" s="17" t="n">
        <f aca="false">(G756+G760)/G759</f>
        <v>1.07501617842306</v>
      </c>
      <c r="K766" s="3" t="s">
        <v>519</v>
      </c>
    </row>
    <row r="767" customFormat="false" ht="17.15" hidden="false" customHeight="false" outlineLevel="0" collapsed="false">
      <c r="A767" s="3" t="s">
        <v>458</v>
      </c>
      <c r="B767" s="0" t="s">
        <v>90</v>
      </c>
      <c r="D767" s="21" t="n">
        <f aca="false">D761/fx/D745*1000</f>
        <v>73.4578604462223</v>
      </c>
      <c r="E767" s="21" t="n">
        <f aca="false">E761/fx/E745*1000</f>
        <v>74.9738410190283</v>
      </c>
      <c r="F767" s="21" t="n">
        <f aca="false">F761/fx/F745*1000</f>
        <v>103.408822959553</v>
      </c>
      <c r="G767" s="21" t="n">
        <f aca="false">G761/fx/G745*1000</f>
        <v>104.993073222002</v>
      </c>
    </row>
    <row r="768" customFormat="false" ht="17.15" hidden="false" customHeight="false" outlineLevel="0" collapsed="false">
      <c r="A768" s="5" t="s">
        <v>520</v>
      </c>
    </row>
    <row r="769" customFormat="false" ht="17.15" hidden="false" customHeight="false" outlineLevel="0" collapsed="false">
      <c r="A769" s="3" t="s">
        <v>521</v>
      </c>
      <c r="B769" s="0" t="s">
        <v>49</v>
      </c>
      <c r="D769" s="17" t="n">
        <f aca="false">a26_gp/D763-d_ai_hi*D765</f>
        <v>0.275782250640182</v>
      </c>
      <c r="K769" s="7" t="s">
        <v>522</v>
      </c>
    </row>
    <row r="770" customFormat="false" ht="17.15" hidden="false" customHeight="false" outlineLevel="0" collapsed="false">
      <c r="A770" s="0" t="s">
        <v>523</v>
      </c>
      <c r="B770" s="0" t="s">
        <v>49</v>
      </c>
      <c r="D770" s="17" t="n">
        <f aca="false">D769+d_ai_hi</f>
        <v>0.415782250640182</v>
      </c>
      <c r="E770" s="17" t="n">
        <f aca="false">1-(1-$D$770)/E752+gmu_27</f>
        <v>0.425782250640182</v>
      </c>
      <c r="F770" s="17" t="n">
        <f aca="false">1-(1-$D$770)/F752+gmu_28</f>
        <v>0.412713660453796</v>
      </c>
      <c r="G770" s="17" t="n">
        <f aca="false">1-(1-$D$770)/G752+gmu_29</f>
        <v>0.398491756000194</v>
      </c>
      <c r="K770" s="7" t="s">
        <v>524</v>
      </c>
    </row>
    <row r="771" customFormat="false" ht="15" hidden="false" customHeight="false" outlineLevel="0" collapsed="false">
      <c r="A771" s="3" t="s">
        <v>391</v>
      </c>
      <c r="B771" s="0" t="s">
        <v>184</v>
      </c>
      <c r="C771" s="22" t="n">
        <f aca="false">a25_gp</f>
        <v>19.683</v>
      </c>
      <c r="D771" s="22" t="n">
        <f aca="false">a26_gp</f>
        <v>36.7701055</v>
      </c>
      <c r="E771" s="22" t="n">
        <f aca="false">E761*E770+E760*$D$769</f>
        <v>57.138414895</v>
      </c>
      <c r="F771" s="22" t="n">
        <f aca="false">F761*F770+F760*$D$769</f>
        <v>72.7119563600092</v>
      </c>
      <c r="G771" s="22" t="n">
        <f aca="false">G761*G770+G760*$D$769</f>
        <v>83.9229900374976</v>
      </c>
    </row>
    <row r="772" customFormat="false" ht="15" hidden="false" customHeight="false" outlineLevel="0" collapsed="false">
      <c r="A772" s="3" t="s">
        <v>394</v>
      </c>
      <c r="B772" s="0" t="s">
        <v>49</v>
      </c>
      <c r="C772" s="17" t="n">
        <f aca="false">C771/C763</f>
        <v>0.328028131457903</v>
      </c>
      <c r="D772" s="17" t="n">
        <f aca="false">D771/D763</f>
        <v>0.348837592422248</v>
      </c>
      <c r="E772" s="17" t="n">
        <f aca="false">E771/E763</f>
        <v>0.373842429609027</v>
      </c>
      <c r="F772" s="17" t="n">
        <f aca="false">F771/F763</f>
        <v>0.374290581687585</v>
      </c>
      <c r="G772" s="17" t="n">
        <f aca="false">G771/G763</f>
        <v>0.368259249334458</v>
      </c>
    </row>
    <row r="773" customFormat="false" ht="15" hidden="false" customHeight="false" outlineLevel="0" collapsed="false">
      <c r="A773" s="3" t="s">
        <v>525</v>
      </c>
      <c r="B773" s="0" t="s">
        <v>184</v>
      </c>
      <c r="C773" s="22" t="n">
        <f aca="false">a25_opx</f>
        <v>5.64</v>
      </c>
      <c r="D773" s="22" t="n">
        <f aca="false">a26_opx</f>
        <v>8.4779754</v>
      </c>
      <c r="E773" s="22" t="n">
        <f aca="false">D773*(1+MAX(0,phi*E764))</f>
        <v>10.767028758</v>
      </c>
      <c r="F773" s="22" t="n">
        <f aca="false">E773*(1+MAX(0,phi*F764))</f>
        <v>12.517970400163</v>
      </c>
      <c r="G773" s="22" t="n">
        <f aca="false">F773*(1+MAX(0,phi*G764))</f>
        <v>13.8179918513791</v>
      </c>
    </row>
    <row r="774" customFormat="false" ht="15" hidden="false" customHeight="false" outlineLevel="0" collapsed="false">
      <c r="A774" s="3" t="s">
        <v>396</v>
      </c>
      <c r="B774" s="0" t="s">
        <v>184</v>
      </c>
      <c r="C774" s="22" t="n">
        <f aca="false">C773</f>
        <v>5.64</v>
      </c>
      <c r="D774" s="22" t="n">
        <f aca="false">D773</f>
        <v>8.4779754</v>
      </c>
      <c r="E774" s="22" t="n">
        <f aca="false">E773+0*E763</f>
        <v>10.767028758</v>
      </c>
      <c r="F774" s="22" t="n">
        <f aca="false">F773+0*F763</f>
        <v>12.517970400163</v>
      </c>
      <c r="G774" s="22" t="n">
        <f aca="false">G773+0*G763</f>
        <v>13.8179918513791</v>
      </c>
    </row>
    <row r="775" customFormat="false" ht="15" hidden="false" customHeight="false" outlineLevel="0" collapsed="false">
      <c r="A775" s="3" t="s">
        <v>526</v>
      </c>
      <c r="B775" s="0" t="s">
        <v>184</v>
      </c>
      <c r="C775" s="22" t="n">
        <f aca="false">C771-C774</f>
        <v>14.043</v>
      </c>
      <c r="D775" s="22" t="n">
        <f aca="false">D771-D774</f>
        <v>28.2921301</v>
      </c>
      <c r="E775" s="22" t="n">
        <f aca="false">E771-E774</f>
        <v>46.371386137</v>
      </c>
      <c r="F775" s="22" t="n">
        <f aca="false">F771-F774</f>
        <v>60.1939859598462</v>
      </c>
      <c r="G775" s="22" t="n">
        <f aca="false">G771-G774</f>
        <v>70.1049981861185</v>
      </c>
    </row>
    <row r="776" customFormat="false" ht="15" hidden="false" customHeight="false" outlineLevel="0" collapsed="false">
      <c r="A776" s="3" t="s">
        <v>402</v>
      </c>
      <c r="B776" s="0" t="s">
        <v>49</v>
      </c>
      <c r="C776" s="17" t="n">
        <f aca="false">C775/C763</f>
        <v>0.23403439770682</v>
      </c>
      <c r="D776" s="17" t="n">
        <f aca="false">D775/D763</f>
        <v>0.268407131673338</v>
      </c>
      <c r="E776" s="17" t="n">
        <f aca="false">E775/E763</f>
        <v>0.303396439849636</v>
      </c>
      <c r="F776" s="17" t="n">
        <f aca="false">F775/F763</f>
        <v>0.30985333288868</v>
      </c>
      <c r="G776" s="17" t="n">
        <f aca="false">G775/G763</f>
        <v>0.307625050002131</v>
      </c>
    </row>
    <row r="777" customFormat="false" ht="17.15" hidden="false" customHeight="false" outlineLevel="0" collapsed="false">
      <c r="A777" s="3" t="s">
        <v>403</v>
      </c>
      <c r="B777" s="0" t="s">
        <v>184</v>
      </c>
      <c r="E777" s="22" t="n">
        <f aca="false">nop_f</f>
        <v>0</v>
      </c>
      <c r="F777" s="22" t="n">
        <f aca="false">nop_f</f>
        <v>0</v>
      </c>
      <c r="G777" s="22" t="n">
        <f aca="false">nop_f</f>
        <v>0</v>
      </c>
      <c r="K777" s="7" t="s">
        <v>527</v>
      </c>
    </row>
    <row r="778" customFormat="false" ht="15" hidden="false" customHeight="false" outlineLevel="0" collapsed="false">
      <c r="A778" s="3" t="s">
        <v>408</v>
      </c>
      <c r="B778" s="0" t="s">
        <v>184</v>
      </c>
      <c r="C778" s="22" t="n">
        <f aca="false">a25_ni</f>
        <v>9.607</v>
      </c>
      <c r="D778" s="22" t="n">
        <f aca="false">a26_ni</f>
        <v>19.6977289395284</v>
      </c>
      <c r="E778" s="22" t="n">
        <f aca="false">(E775+E777)*nir_f</f>
        <v>31.764399503845</v>
      </c>
      <c r="F778" s="22" t="n">
        <f aca="false">(F775+F777)*nir_f</f>
        <v>41.2328803824946</v>
      </c>
      <c r="G778" s="22" t="n">
        <f aca="false">(G775+G777)*nir_f</f>
        <v>48.0219237574911</v>
      </c>
      <c r="H778" s="24" t="n">
        <f aca="false">H763*H783</f>
        <v>50.2668535684346</v>
      </c>
      <c r="I778" s="24" t="n">
        <f aca="false">I763*I783</f>
        <v>50.2386922165515</v>
      </c>
      <c r="J778" s="24" t="n">
        <f aca="false">J763*J783</f>
        <v>47.8086916496984</v>
      </c>
    </row>
    <row r="779" customFormat="false" ht="17.15" hidden="false" customHeight="false" outlineLevel="0" collapsed="false">
      <c r="A779" s="3" t="s">
        <v>411</v>
      </c>
      <c r="B779" s="0" t="s">
        <v>49</v>
      </c>
      <c r="C779" s="17" t="n">
        <f aca="false">C778/C775</f>
        <v>0.684113081250445</v>
      </c>
      <c r="D779" s="17" t="n">
        <f aca="false">D778/D775</f>
        <v>0.696226437171953</v>
      </c>
      <c r="E779" s="17" t="n">
        <f aca="false">E778/E775</f>
        <v>0.685</v>
      </c>
      <c r="F779" s="17" t="n">
        <f aca="false">F778/F775</f>
        <v>0.685</v>
      </c>
      <c r="G779" s="17" t="n">
        <f aca="false">G778/G775</f>
        <v>0.685</v>
      </c>
    </row>
    <row r="780" customFormat="false" ht="17.15" hidden="false" customHeight="false" outlineLevel="0" collapsed="false">
      <c r="A780" s="3" t="s">
        <v>528</v>
      </c>
      <c r="B780" s="3" t="s">
        <v>214</v>
      </c>
      <c r="C780" s="27" t="n">
        <f aca="false">a25_sh</f>
        <v>0.493425783256292</v>
      </c>
      <c r="D780" s="27" t="n">
        <f aca="false">a26_sh</f>
        <v>0.512980850061958</v>
      </c>
      <c r="E780" s="27" t="n">
        <f aca="false">sh_h2*(1+sh_g)</f>
        <v>0.51889356</v>
      </c>
      <c r="F780" s="27" t="n">
        <f aca="false">E780*(1+sh_g)</f>
        <v>0.5240824956</v>
      </c>
      <c r="G780" s="27" t="n">
        <f aca="false">F780*(1+sh_g)</f>
        <v>0.529323320556</v>
      </c>
      <c r="H780" s="28" t="n">
        <f aca="false">G780*(1+sh_g)</f>
        <v>0.53461655376156</v>
      </c>
      <c r="I780" s="28" t="n">
        <f aca="false">H780*(1+sh_g)</f>
        <v>0.539962719299176</v>
      </c>
      <c r="J780" s="28" t="n">
        <f aca="false">I780*(1+sh_g)</f>
        <v>0.545362346492167</v>
      </c>
      <c r="K780" s="7" t="s">
        <v>529</v>
      </c>
    </row>
    <row r="781" customFormat="false" ht="15" hidden="false" customHeight="false" outlineLevel="0" collapsed="false">
      <c r="A781" s="0" t="s">
        <v>414</v>
      </c>
      <c r="B781" s="0" t="s">
        <v>252</v>
      </c>
      <c r="C781" s="23" t="n">
        <f aca="false">C778/C780</f>
        <v>19.47</v>
      </c>
      <c r="D781" s="23" t="n">
        <f aca="false">D778/D780</f>
        <v>38.3985658278458</v>
      </c>
      <c r="E781" s="23" t="n">
        <f aca="false">E778/E780</f>
        <v>61.2156364088331</v>
      </c>
      <c r="F781" s="23" t="n">
        <f aca="false">F778/F780</f>
        <v>78.6763166651633</v>
      </c>
      <c r="G781" s="23" t="n">
        <f aca="false">G778/G780</f>
        <v>90.723234538484</v>
      </c>
      <c r="H781" s="29" t="n">
        <f aca="false">H778/H780</f>
        <v>94.0241247951587</v>
      </c>
      <c r="I781" s="29" t="n">
        <f aca="false">I778/I780</f>
        <v>93.0410386142156</v>
      </c>
      <c r="J781" s="29" t="n">
        <f aca="false">J778/J780</f>
        <v>87.664086010355</v>
      </c>
    </row>
    <row r="782" customFormat="false" ht="17.15" hidden="false" customHeight="false" outlineLevel="0" collapsed="false">
      <c r="A782" s="0" t="s">
        <v>530</v>
      </c>
      <c r="B782" s="0" t="s">
        <v>49</v>
      </c>
      <c r="D782" s="17" t="n">
        <f aca="false">D781/C781-1</f>
        <v>0.9721913624985</v>
      </c>
      <c r="E782" s="17" t="n">
        <f aca="false">E781/D781-1</f>
        <v>0.594216739325218</v>
      </c>
      <c r="F782" s="17" t="n">
        <f aca="false">F781/E781-1</f>
        <v>0.285232356970331</v>
      </c>
      <c r="G782" s="17" t="n">
        <f aca="false">G781/F781-1</f>
        <v>0.153120003375233</v>
      </c>
      <c r="H782" s="25" t="n">
        <f aca="false">H781/G781-1</f>
        <v>0.0363841773661018</v>
      </c>
      <c r="I782" s="25" t="n">
        <f aca="false">I781/H781-1</f>
        <v>-0.0104556802106351</v>
      </c>
      <c r="J782" s="25" t="n">
        <f aca="false">J781/I781-1</f>
        <v>-0.0577911928321817</v>
      </c>
    </row>
    <row r="783" customFormat="false" ht="17.15" hidden="false" customHeight="false" outlineLevel="0" collapsed="false">
      <c r="A783" s="3" t="s">
        <v>531</v>
      </c>
      <c r="B783" s="0" t="s">
        <v>49</v>
      </c>
      <c r="C783" s="17" t="n">
        <f aca="false">C778/C763</f>
        <v>0.160105992933804</v>
      </c>
      <c r="D783" s="17" t="n">
        <f aca="false">D778/D763</f>
        <v>0.186872140996471</v>
      </c>
      <c r="E783" s="17" t="n">
        <f aca="false">E778/E763</f>
        <v>0.207826561297001</v>
      </c>
      <c r="F783" s="17" t="n">
        <f aca="false">F778/F763</f>
        <v>0.212249533028746</v>
      </c>
      <c r="G783" s="17" t="n">
        <f aca="false">G778/G763</f>
        <v>0.210723159251459</v>
      </c>
      <c r="H783" s="25" t="n">
        <f aca="false">$G783+(fade_mB-$G783)*1/3</f>
        <v>0.195418784991127</v>
      </c>
      <c r="I783" s="25" t="n">
        <f aca="false">$G783+(fade_mB-$G783)*2/3</f>
        <v>0.180114410730794</v>
      </c>
      <c r="J783" s="25" t="n">
        <f aca="false">$G783+(fade_mB-$G783)*3/3</f>
        <v>0.164810036470462</v>
      </c>
    </row>
    <row r="786" customFormat="false" ht="17.15" hidden="false" customHeight="false" outlineLevel="0" collapsed="false">
      <c r="A786" s="1" t="s">
        <v>838</v>
      </c>
    </row>
    <row r="787" customFormat="false" ht="17.15" hidden="false" customHeight="false" outlineLevel="0" collapsed="false">
      <c r="A787" s="4" t="s">
        <v>18</v>
      </c>
      <c r="B787" s="4" t="s">
        <v>19</v>
      </c>
      <c r="C787" s="14" t="s">
        <v>382</v>
      </c>
      <c r="D787" s="14" t="s">
        <v>472</v>
      </c>
      <c r="E787" s="14" t="s">
        <v>473</v>
      </c>
      <c r="F787" s="14" t="s">
        <v>474</v>
      </c>
      <c r="G787" s="14" t="s">
        <v>475</v>
      </c>
      <c r="H787" s="14" t="s">
        <v>476</v>
      </c>
      <c r="I787" s="14" t="s">
        <v>477</v>
      </c>
      <c r="J787" s="14" t="s">
        <v>478</v>
      </c>
      <c r="K787" s="4" t="s">
        <v>436</v>
      </c>
    </row>
    <row r="788" customFormat="false" ht="17.15" hidden="false" customHeight="false" outlineLevel="0" collapsed="false">
      <c r="A788" s="5" t="s">
        <v>494</v>
      </c>
    </row>
    <row r="789" customFormat="false" ht="17.15" hidden="false" customHeight="false" outlineLevel="0" collapsed="false">
      <c r="A789" s="0" t="s">
        <v>495</v>
      </c>
      <c r="B789" s="0" t="s">
        <v>29</v>
      </c>
      <c r="D789" s="23" t="n">
        <f aca="false">itc_26*1</f>
        <v>781.872916666667</v>
      </c>
      <c r="E789" s="23" t="n">
        <f aca="false">itc_27*1*1</f>
        <v>1565.35</v>
      </c>
      <c r="F789" s="23" t="n">
        <f aca="false">itc_28*um28_B*1</f>
        <v>1587.41111111111</v>
      </c>
      <c r="G789" s="23" t="n">
        <f aca="false">itc_29*um29_B*1</f>
        <v>1921.33173611111</v>
      </c>
    </row>
    <row r="790" customFormat="false" ht="17.15" hidden="false" customHeight="false" outlineLevel="0" collapsed="false">
      <c r="A790" s="3" t="s">
        <v>496</v>
      </c>
      <c r="B790" s="0" t="s">
        <v>29</v>
      </c>
      <c r="D790" s="23" t="n">
        <f aca="false">itpg_gb*(1-vr26)+itpg_vr*vr26</f>
        <v>33.41403216</v>
      </c>
      <c r="E790" s="23" t="n">
        <f aca="false">itpg_vr</f>
        <v>37.586352</v>
      </c>
      <c r="F790" s="23" t="n">
        <f aca="false">itpg_vr</f>
        <v>37.586352</v>
      </c>
      <c r="G790" s="23" t="n">
        <f aca="false">itpg_vr</f>
        <v>37.586352</v>
      </c>
    </row>
    <row r="791" customFormat="false" ht="17.15" hidden="false" customHeight="false" outlineLevel="0" collapsed="false">
      <c r="A791" s="3" t="s">
        <v>497</v>
      </c>
      <c r="B791" s="0" t="s">
        <v>438</v>
      </c>
      <c r="D791" s="20" t="n">
        <f aca="false">D789/D790</f>
        <v>23.3995380420639</v>
      </c>
      <c r="E791" s="20" t="n">
        <f aca="false">E789/E790</f>
        <v>41.6467658260637</v>
      </c>
      <c r="F791" s="20" t="n">
        <f aca="false">F789/F790</f>
        <v>42.2337105529984</v>
      </c>
      <c r="G791" s="20" t="n">
        <f aca="false">G789/G790</f>
        <v>51.1178029756948</v>
      </c>
    </row>
    <row r="792" customFormat="false" ht="17.15" hidden="false" customHeight="false" outlineLevel="0" collapsed="false">
      <c r="A792" s="3" t="s">
        <v>442</v>
      </c>
      <c r="B792" s="0" t="s">
        <v>90</v>
      </c>
      <c r="D792" s="21" t="n">
        <f aca="false">vg_cmp26</f>
        <v>280</v>
      </c>
      <c r="E792" s="21" t="n">
        <f aca="false">(vg_cmp26+(vg_cmp27-vg_cmp26)*pgwf)</f>
        <v>420</v>
      </c>
      <c r="F792" s="21" t="n">
        <f aca="false">(vg_cmp26+(vg_cmp28-vg_cmp26)*pgwf)</f>
        <v>462</v>
      </c>
      <c r="G792" s="21" t="n">
        <f aca="false">(vg_cmp26+(vg_cmp29-vg_cmp26)*pgwf)</f>
        <v>504</v>
      </c>
    </row>
    <row r="793" customFormat="false" ht="17.15" hidden="false" customHeight="false" outlineLevel="0" collapsed="false">
      <c r="A793" s="3" t="s">
        <v>444</v>
      </c>
      <c r="B793" s="0" t="s">
        <v>90</v>
      </c>
      <c r="D793" s="21" t="n">
        <f aca="false">vg_sw26</f>
        <v>120</v>
      </c>
      <c r="E793" s="21" t="n">
        <f aca="false">(vg_sw26+(vg_sw27-vg_sw26)*pgwf)</f>
        <v>162</v>
      </c>
      <c r="F793" s="21" t="n">
        <f aca="false">(vg_sw26+(vg_sw28-vg_sw26)*pgwf)</f>
        <v>180</v>
      </c>
      <c r="G793" s="21" t="n">
        <f aca="false">(vg_sw26+(vg_sw29-vg_sw26)*pgwf)</f>
        <v>198</v>
      </c>
    </row>
    <row r="794" customFormat="false" ht="17.15" hidden="false" customHeight="false" outlineLevel="0" collapsed="false">
      <c r="A794" s="3" t="s">
        <v>498</v>
      </c>
      <c r="B794" s="0" t="s">
        <v>90</v>
      </c>
      <c r="D794" s="21" t="n">
        <f aca="false">vg_mid26*w_mid</f>
        <v>25</v>
      </c>
      <c r="E794" s="21" t="n">
        <f aca="false">(vg_mid26+(vg_mid27-vg_mid26)*pgwf)*w_mid</f>
        <v>50</v>
      </c>
      <c r="F794" s="21" t="n">
        <f aca="false">(vg_mid26+(vg_mid28-vg_mid26)*pgwf)*w_mid</f>
        <v>75</v>
      </c>
      <c r="G794" s="21" t="n">
        <f aca="false">(vg_mid26+(vg_mid29-vg_mid26)*pgwf)*w_mid</f>
        <v>87.5</v>
      </c>
    </row>
    <row r="795" customFormat="false" ht="17.15" hidden="false" customHeight="false" outlineLevel="0" collapsed="false">
      <c r="A795" s="3" t="s">
        <v>499</v>
      </c>
      <c r="B795" s="0" t="s">
        <v>90</v>
      </c>
      <c r="D795" s="21" t="n">
        <f aca="false">D792+D793+D794</f>
        <v>425</v>
      </c>
      <c r="E795" s="21" t="n">
        <f aca="false">E792+E793+E794</f>
        <v>632</v>
      </c>
      <c r="F795" s="21" t="n">
        <f aca="false">F792+F793+F794</f>
        <v>717</v>
      </c>
      <c r="G795" s="21" t="n">
        <f aca="false">G792+G793+G794</f>
        <v>789.5</v>
      </c>
    </row>
    <row r="796" customFormat="false" ht="17.15" hidden="false" customHeight="false" outlineLevel="0" collapsed="false">
      <c r="A796" s="3" t="s">
        <v>500</v>
      </c>
      <c r="B796" s="0" t="s">
        <v>29</v>
      </c>
      <c r="D796" s="23" t="n">
        <f aca="false">D791*D795/1000</f>
        <v>9.94480366787716</v>
      </c>
      <c r="E796" s="23" t="n">
        <f aca="false">E791*E795/1000</f>
        <v>26.3207560020722</v>
      </c>
      <c r="F796" s="23" t="n">
        <f aca="false">F791*F795/1000</f>
        <v>30.2815704664998</v>
      </c>
      <c r="G796" s="23" t="n">
        <f aca="false">G791*G795/1000</f>
        <v>40.3575054493111</v>
      </c>
    </row>
    <row r="797" customFormat="false" ht="17.15" hidden="false" customHeight="false" outlineLevel="0" collapsed="false">
      <c r="A797" s="3" t="s">
        <v>501</v>
      </c>
      <c r="B797" s="0" t="s">
        <v>184</v>
      </c>
      <c r="D797" s="22" t="n">
        <f aca="false">D796*fx</f>
        <v>318.233717372069</v>
      </c>
      <c r="E797" s="22" t="n">
        <f aca="false">E796*fx</f>
        <v>842.264192066312</v>
      </c>
      <c r="F797" s="22" t="n">
        <f aca="false">F796*fx</f>
        <v>969.010254927995</v>
      </c>
      <c r="G797" s="22" t="n">
        <f aca="false">G796*fx</f>
        <v>1291.44017437795</v>
      </c>
    </row>
    <row r="798" customFormat="false" ht="17.15" hidden="false" customHeight="false" outlineLevel="0" collapsed="false">
      <c r="A798" s="0" t="s">
        <v>502</v>
      </c>
      <c r="B798" s="0" t="s">
        <v>63</v>
      </c>
      <c r="D798" s="18" t="n">
        <f aca="false">1</f>
        <v>1</v>
      </c>
      <c r="E798" s="18" t="n">
        <f aca="false">pp_27</f>
        <v>1</v>
      </c>
      <c r="F798" s="18" t="n">
        <f aca="false">pp_28</f>
        <v>0.97</v>
      </c>
      <c r="G798" s="18" t="n">
        <f aca="false">pp_29</f>
        <v>0.94</v>
      </c>
    </row>
    <row r="799" customFormat="false" ht="17.15" hidden="false" customHeight="false" outlineLevel="0" collapsed="false">
      <c r="A799" s="3" t="s">
        <v>503</v>
      </c>
      <c r="B799" s="0" t="s">
        <v>49</v>
      </c>
      <c r="D799" s="17" t="n">
        <f aca="false">a26_ai/D797</f>
        <v>0.172842024579347</v>
      </c>
      <c r="K799" s="7" t="s">
        <v>504</v>
      </c>
    </row>
    <row r="800" customFormat="false" ht="17.15" hidden="false" customHeight="false" outlineLevel="0" collapsed="false">
      <c r="A800" s="3" t="s">
        <v>505</v>
      </c>
      <c r="B800" s="0" t="s">
        <v>63</v>
      </c>
      <c r="D800" s="18" t="n">
        <f aca="false">1</f>
        <v>1</v>
      </c>
      <c r="E800" s="18" t="n">
        <f aca="false">rel_27</f>
        <v>1</v>
      </c>
      <c r="F800" s="18" t="n">
        <f aca="false">rel_28</f>
        <v>0.95</v>
      </c>
      <c r="G800" s="18" t="n">
        <f aca="false">rel_29</f>
        <v>0.9</v>
      </c>
    </row>
    <row r="801" customFormat="false" ht="15" hidden="false" customHeight="false" outlineLevel="0" collapsed="false">
      <c r="A801" s="3" t="s">
        <v>454</v>
      </c>
      <c r="B801" s="0" t="s">
        <v>49</v>
      </c>
      <c r="D801" s="17" t="n">
        <f aca="false">$D$799*D800</f>
        <v>0.172842024579347</v>
      </c>
      <c r="E801" s="17" t="n">
        <f aca="false">$D$799*E800</f>
        <v>0.172842024579347</v>
      </c>
      <c r="F801" s="17" t="n">
        <f aca="false">$D$799*F800</f>
        <v>0.164199923350379</v>
      </c>
      <c r="G801" s="17" t="n">
        <f aca="false">$D$799*G800</f>
        <v>0.155557822121412</v>
      </c>
    </row>
    <row r="802" customFormat="false" ht="17.15" hidden="false" customHeight="false" outlineLevel="0" collapsed="false">
      <c r="A802" s="0" t="s">
        <v>506</v>
      </c>
      <c r="B802" s="0" t="s">
        <v>184</v>
      </c>
      <c r="D802" s="22" t="n">
        <f aca="false">D797*D801*D798</f>
        <v>55.00416</v>
      </c>
      <c r="E802" s="22" t="n">
        <f aca="false">E797*E801*E798</f>
        <v>145.578648187429</v>
      </c>
      <c r="F802" s="22" t="n">
        <f aca="false">F797*F801*F798</f>
        <v>154.338067297361</v>
      </c>
      <c r="G802" s="22" t="n">
        <f aca="false">G797*G801*G798</f>
        <v>188.840003670751</v>
      </c>
    </row>
    <row r="803" customFormat="false" ht="17.15" hidden="false" customHeight="false" outlineLevel="0" collapsed="false">
      <c r="A803" s="5" t="s">
        <v>507</v>
      </c>
    </row>
    <row r="804" customFormat="false" ht="17.15" hidden="false" customHeight="false" outlineLevel="0" collapsed="false">
      <c r="A804" s="3" t="s">
        <v>508</v>
      </c>
      <c r="B804" s="0" t="s">
        <v>63</v>
      </c>
      <c r="D804" s="18" t="n">
        <f aca="false">1</f>
        <v>1</v>
      </c>
      <c r="E804" s="18" t="n">
        <f aca="false">cx_27</f>
        <v>1.45</v>
      </c>
      <c r="F804" s="18" t="n">
        <f aca="false">cx_28</f>
        <v>1.9</v>
      </c>
      <c r="G804" s="18" t="n">
        <f aca="false">cx_29</f>
        <v>2.3</v>
      </c>
      <c r="K804" s="7" t="s">
        <v>509</v>
      </c>
    </row>
    <row r="805" customFormat="false" ht="17.15" hidden="false" customHeight="false" outlineLevel="0" collapsed="false">
      <c r="A805" s="3" t="s">
        <v>510</v>
      </c>
      <c r="B805" s="0" t="s">
        <v>184</v>
      </c>
      <c r="D805" s="22" t="n">
        <f aca="false">a26_rev*D804*D798</f>
        <v>105.40752</v>
      </c>
      <c r="E805" s="22" t="n">
        <f aca="false">a26_rev*E804*E798</f>
        <v>152.840904</v>
      </c>
      <c r="F805" s="22" t="n">
        <f aca="false">a26_rev*F804*F798</f>
        <v>194.26605936</v>
      </c>
      <c r="G805" s="22" t="n">
        <f aca="false">a26_rev*G804*G798</f>
        <v>227.89105824</v>
      </c>
    </row>
    <row r="806" customFormat="false" ht="17.15" hidden="false" customHeight="false" outlineLevel="0" collapsed="false">
      <c r="A806" s="3" t="s">
        <v>511</v>
      </c>
      <c r="B806" s="0" t="s">
        <v>184</v>
      </c>
      <c r="C806" s="22" t="n">
        <f aca="false">a25_nai</f>
        <v>42.0028</v>
      </c>
      <c r="D806" s="22" t="n">
        <f aca="false">a26_nai</f>
        <v>50.40336</v>
      </c>
      <c r="E806" s="22" t="n">
        <f aca="false">D806*(1+GNLO27)</f>
        <v>47.883192</v>
      </c>
      <c r="F806" s="22" t="n">
        <f aca="false">E806*(1+GNLO28)</f>
        <v>45.4890324</v>
      </c>
      <c r="G806" s="22" t="n">
        <f aca="false">F806*(1+GNLO29)</f>
        <v>43.21458078</v>
      </c>
    </row>
    <row r="807" customFormat="false" ht="17.15" hidden="false" customHeight="false" outlineLevel="0" collapsed="false">
      <c r="A807" s="0" t="s">
        <v>512</v>
      </c>
      <c r="B807" s="0" t="s">
        <v>184</v>
      </c>
      <c r="C807" s="22" t="n">
        <f aca="false">a25_ai</f>
        <v>18.0012</v>
      </c>
      <c r="D807" s="22" t="n">
        <f aca="false">D802</f>
        <v>55.00416</v>
      </c>
      <c r="E807" s="22" t="n">
        <f aca="false">MIN(E802,E805-E806)</f>
        <v>104.957712</v>
      </c>
      <c r="F807" s="22" t="n">
        <f aca="false">MIN(F802,F805-F806)</f>
        <v>148.77702696</v>
      </c>
      <c r="G807" s="22" t="n">
        <f aca="false">MIN(G802,G805-G806)</f>
        <v>184.67647746</v>
      </c>
      <c r="K807" s="3" t="s">
        <v>513</v>
      </c>
    </row>
    <row r="808" customFormat="false" ht="15" hidden="false" customHeight="false" outlineLevel="0" collapsed="false">
      <c r="A808" s="3" t="s">
        <v>514</v>
      </c>
      <c r="E808" s="0" t="str">
        <f aca="false">IF(E802&gt;E805-E806+0.0001,"受限","未受限")</f>
        <v>受限</v>
      </c>
      <c r="F808" s="0" t="str">
        <f aca="false">IF(F802&gt;F805-F806+0.0001,"受限","未受限")</f>
        <v>受限</v>
      </c>
      <c r="G808" s="0" t="str">
        <f aca="false">IF(G802&gt;G805-G806+0.0001,"受限","未受限")</f>
        <v>受限</v>
      </c>
    </row>
    <row r="809" customFormat="false" ht="17.15" hidden="false" customHeight="false" outlineLevel="0" collapsed="false">
      <c r="A809" s="3" t="s">
        <v>387</v>
      </c>
      <c r="B809" s="0" t="s">
        <v>184</v>
      </c>
      <c r="C809" s="22" t="n">
        <f aca="false">C807+C806</f>
        <v>60.004</v>
      </c>
      <c r="D809" s="22" t="n">
        <f aca="false">D807+D806</f>
        <v>105.40752</v>
      </c>
      <c r="E809" s="22" t="n">
        <f aca="false">E807+E806</f>
        <v>152.840904</v>
      </c>
      <c r="F809" s="22" t="n">
        <f aca="false">F807+F806</f>
        <v>194.26605936</v>
      </c>
      <c r="G809" s="22" t="n">
        <f aca="false">G807+G806</f>
        <v>227.89105824</v>
      </c>
      <c r="H809" s="24" t="n">
        <f aca="false">G809*(1+H810)</f>
        <v>257.226313072804</v>
      </c>
      <c r="I809" s="24" t="n">
        <f aca="false">H809*(1+I810)</f>
        <v>278.92655569709</v>
      </c>
      <c r="J809" s="24" t="n">
        <f aca="false">I809*(1+J810)</f>
        <v>290.083617924974</v>
      </c>
      <c r="K809" s="7" t="s">
        <v>515</v>
      </c>
    </row>
    <row r="810" customFormat="false" ht="15" hidden="false" customHeight="false" outlineLevel="0" collapsed="false">
      <c r="A810" s="3" t="s">
        <v>516</v>
      </c>
      <c r="B810" s="0" t="s">
        <v>49</v>
      </c>
      <c r="D810" s="17" t="n">
        <f aca="false">D809/C809-1</f>
        <v>0.756674888340778</v>
      </c>
      <c r="E810" s="17" t="n">
        <f aca="false">E809/D809-1</f>
        <v>0.45</v>
      </c>
      <c r="F810" s="17" t="n">
        <f aca="false">F809/E809-1</f>
        <v>0.271034482758621</v>
      </c>
      <c r="G810" s="17" t="n">
        <f aca="false">G809/F809-1</f>
        <v>0.173087357569181</v>
      </c>
      <c r="H810" s="25" t="n">
        <f aca="false">$G810+(fade_gB-$G810)*1/3</f>
        <v>0.12872490504612</v>
      </c>
      <c r="I810" s="25" t="n">
        <f aca="false">$G810+(fade_gB-$G810)*2/3</f>
        <v>0.0843624525230602</v>
      </c>
      <c r="J810" s="25" t="n">
        <f aca="false">$G810+(fade_gB-$G810)*3/3</f>
        <v>0.04</v>
      </c>
    </row>
    <row r="811" customFormat="false" ht="17.15" hidden="false" customHeight="false" outlineLevel="0" collapsed="false">
      <c r="A811" s="0" t="s">
        <v>517</v>
      </c>
      <c r="B811" s="0" t="s">
        <v>49</v>
      </c>
      <c r="C811" s="17" t="n">
        <f aca="false">C807/C809</f>
        <v>0.3</v>
      </c>
      <c r="D811" s="17" t="n">
        <f aca="false">D807/D809</f>
        <v>0.521823869871903</v>
      </c>
      <c r="E811" s="17" t="n">
        <f aca="false">E807/E809</f>
        <v>0.68671219060573</v>
      </c>
      <c r="F811" s="17" t="n">
        <f aca="false">F807/F809</f>
        <v>0.765841585762014</v>
      </c>
      <c r="G811" s="17" t="n">
        <f aca="false">G807/G809</f>
        <v>0.81037175783137</v>
      </c>
    </row>
    <row r="812" customFormat="false" ht="17.15" hidden="false" customHeight="false" outlineLevel="0" collapsed="false">
      <c r="A812" s="3" t="s">
        <v>518</v>
      </c>
      <c r="B812" s="0" t="s">
        <v>49</v>
      </c>
      <c r="D812" s="17" t="n">
        <f aca="false">(D802+D806)/D805</f>
        <v>1</v>
      </c>
      <c r="E812" s="17" t="n">
        <f aca="false">(E802+E806)/E805</f>
        <v>1.2657726768446</v>
      </c>
      <c r="F812" s="17" t="n">
        <f aca="false">(F802+F806)/F805</f>
        <v>1.02862589767704</v>
      </c>
      <c r="G812" s="17" t="n">
        <f aca="false">(G802+G806)/G805</f>
        <v>1.01826980945591</v>
      </c>
      <c r="K812" s="3" t="s">
        <v>519</v>
      </c>
    </row>
    <row r="813" customFormat="false" ht="17.15" hidden="false" customHeight="false" outlineLevel="0" collapsed="false">
      <c r="A813" s="3" t="s">
        <v>458</v>
      </c>
      <c r="B813" s="0" t="s">
        <v>90</v>
      </c>
      <c r="D813" s="21" t="n">
        <f aca="false">D807/fx/D791*1000</f>
        <v>73.4578604462223</v>
      </c>
      <c r="E813" s="21" t="n">
        <f aca="false">E807/fx/E791*1000</f>
        <v>78.7558994064152</v>
      </c>
      <c r="F813" s="21" t="n">
        <f aca="false">F807/fx/F791*1000</f>
        <v>110.084622724913</v>
      </c>
      <c r="G813" s="21" t="n">
        <f aca="false">G807/fx/G791*1000</f>
        <v>112.898825549467</v>
      </c>
    </row>
    <row r="814" customFormat="false" ht="17.15" hidden="false" customHeight="false" outlineLevel="0" collapsed="false">
      <c r="A814" s="5" t="s">
        <v>520</v>
      </c>
    </row>
    <row r="815" customFormat="false" ht="17.15" hidden="false" customHeight="false" outlineLevel="0" collapsed="false">
      <c r="A815" s="3" t="s">
        <v>521</v>
      </c>
      <c r="B815" s="0" t="s">
        <v>49</v>
      </c>
      <c r="D815" s="17" t="n">
        <f aca="false">a26_gp/D809-d_ai*D811</f>
        <v>0.296655205435058</v>
      </c>
      <c r="K815" s="7" t="s">
        <v>522</v>
      </c>
    </row>
    <row r="816" customFormat="false" ht="17.15" hidden="false" customHeight="false" outlineLevel="0" collapsed="false">
      <c r="A816" s="0" t="s">
        <v>523</v>
      </c>
      <c r="B816" s="0" t="s">
        <v>49</v>
      </c>
      <c r="D816" s="17" t="n">
        <f aca="false">D815+d_ai</f>
        <v>0.396655205435058</v>
      </c>
      <c r="E816" s="17" t="n">
        <f aca="false">1-(1-$D$816)/E798+gmu_27</f>
        <v>0.406655205435058</v>
      </c>
      <c r="F816" s="17" t="n">
        <f aca="false">1-(1-$D$816)/F798+gmu_28</f>
        <v>0.392995057149545</v>
      </c>
      <c r="G816" s="17" t="n">
        <f aca="false">1-(1-$D$816)/G798+gmu_29</f>
        <v>0.378143835569211</v>
      </c>
      <c r="K816" s="7" t="s">
        <v>524</v>
      </c>
    </row>
    <row r="817" customFormat="false" ht="15" hidden="false" customHeight="false" outlineLevel="0" collapsed="false">
      <c r="A817" s="3" t="s">
        <v>391</v>
      </c>
      <c r="B817" s="0" t="s">
        <v>184</v>
      </c>
      <c r="C817" s="22" t="n">
        <f aca="false">a25_gp</f>
        <v>19.683</v>
      </c>
      <c r="D817" s="22" t="n">
        <f aca="false">a26_gp</f>
        <v>36.7701055</v>
      </c>
      <c r="E817" s="22" t="n">
        <f aca="false">E807*E816+E806*$D$815</f>
        <v>56.886398095</v>
      </c>
      <c r="F817" s="22" t="n">
        <f aca="false">F807*F816+F806*$D$815</f>
        <v>71.9631944643486</v>
      </c>
      <c r="G817" s="22" t="n">
        <f aca="false">G807*G816+G806*$D$815</f>
        <v>82.6541018652161</v>
      </c>
    </row>
    <row r="818" customFormat="false" ht="15" hidden="false" customHeight="false" outlineLevel="0" collapsed="false">
      <c r="A818" s="3" t="s">
        <v>394</v>
      </c>
      <c r="B818" s="0" t="s">
        <v>49</v>
      </c>
      <c r="C818" s="17" t="n">
        <f aca="false">C817/C809</f>
        <v>0.328028131457903</v>
      </c>
      <c r="D818" s="17" t="n">
        <f aca="false">D817/D809</f>
        <v>0.348837592422248</v>
      </c>
      <c r="E818" s="17" t="n">
        <f aca="false">E817/E809</f>
        <v>0.372193546401688</v>
      </c>
      <c r="F818" s="17" t="n">
        <f aca="false">F817/F809</f>
        <v>0.370436270244158</v>
      </c>
      <c r="G818" s="17" t="n">
        <f aca="false">G817/G809</f>
        <v>0.362691289880142</v>
      </c>
    </row>
    <row r="819" customFormat="false" ht="15" hidden="false" customHeight="false" outlineLevel="0" collapsed="false">
      <c r="A819" s="3" t="s">
        <v>525</v>
      </c>
      <c r="B819" s="0" t="s">
        <v>184</v>
      </c>
      <c r="C819" s="22" t="n">
        <f aca="false">a25_opx</f>
        <v>5.64</v>
      </c>
      <c r="D819" s="22" t="n">
        <f aca="false">a26_opx</f>
        <v>8.4779754</v>
      </c>
      <c r="E819" s="22" t="n">
        <f aca="false">D819*(1+MAX(0,phi*E810))</f>
        <v>10.767028758</v>
      </c>
      <c r="F819" s="22" t="n">
        <f aca="false">E819*(1+MAX(0,phi*F810))</f>
        <v>12.517970400163</v>
      </c>
      <c r="G819" s="22" t="n">
        <f aca="false">F819*(1+MAX(0,phi*G810))</f>
        <v>13.8179918513791</v>
      </c>
    </row>
    <row r="820" customFormat="false" ht="15" hidden="false" customHeight="false" outlineLevel="0" collapsed="false">
      <c r="A820" s="3" t="s">
        <v>396</v>
      </c>
      <c r="B820" s="0" t="s">
        <v>184</v>
      </c>
      <c r="C820" s="22" t="n">
        <f aca="false">C819</f>
        <v>5.64</v>
      </c>
      <c r="D820" s="22" t="n">
        <f aca="false">D819</f>
        <v>8.4779754</v>
      </c>
      <c r="E820" s="22" t="n">
        <f aca="false">E819+0*E809</f>
        <v>10.767028758</v>
      </c>
      <c r="F820" s="22" t="n">
        <f aca="false">F819+0*F809</f>
        <v>12.517970400163</v>
      </c>
      <c r="G820" s="22" t="n">
        <f aca="false">G819+0*G809</f>
        <v>13.8179918513791</v>
      </c>
    </row>
    <row r="821" customFormat="false" ht="15" hidden="false" customHeight="false" outlineLevel="0" collapsed="false">
      <c r="A821" s="3" t="s">
        <v>526</v>
      </c>
      <c r="B821" s="0" t="s">
        <v>184</v>
      </c>
      <c r="C821" s="22" t="n">
        <f aca="false">C817-C820</f>
        <v>14.043</v>
      </c>
      <c r="D821" s="22" t="n">
        <f aca="false">D817-D820</f>
        <v>28.2921301</v>
      </c>
      <c r="E821" s="22" t="n">
        <f aca="false">E817-E820</f>
        <v>46.119369337</v>
      </c>
      <c r="F821" s="22" t="n">
        <f aca="false">F817-F820</f>
        <v>59.4452240641855</v>
      </c>
      <c r="G821" s="22" t="n">
        <f aca="false">G817-G820</f>
        <v>68.836110013837</v>
      </c>
    </row>
    <row r="822" customFormat="false" ht="15" hidden="false" customHeight="false" outlineLevel="0" collapsed="false">
      <c r="A822" s="3" t="s">
        <v>402</v>
      </c>
      <c r="B822" s="0" t="s">
        <v>49</v>
      </c>
      <c r="C822" s="17" t="n">
        <f aca="false">C821/C809</f>
        <v>0.23403439770682</v>
      </c>
      <c r="D822" s="17" t="n">
        <f aca="false">D821/D809</f>
        <v>0.268407131673338</v>
      </c>
      <c r="E822" s="17" t="n">
        <f aca="false">E821/E809</f>
        <v>0.301747556642298</v>
      </c>
      <c r="F822" s="17" t="n">
        <f aca="false">F821/F809</f>
        <v>0.305999021445253</v>
      </c>
      <c r="G822" s="17" t="n">
        <f aca="false">G821/G809</f>
        <v>0.302057090547815</v>
      </c>
    </row>
    <row r="823" customFormat="false" ht="17.15" hidden="false" customHeight="false" outlineLevel="0" collapsed="false">
      <c r="A823" s="3" t="s">
        <v>403</v>
      </c>
      <c r="B823" s="0" t="s">
        <v>184</v>
      </c>
      <c r="E823" s="22" t="n">
        <f aca="false">nop_f</f>
        <v>0</v>
      </c>
      <c r="F823" s="22" t="n">
        <f aca="false">nop_f</f>
        <v>0</v>
      </c>
      <c r="G823" s="22" t="n">
        <f aca="false">nop_f</f>
        <v>0</v>
      </c>
      <c r="K823" s="7" t="s">
        <v>527</v>
      </c>
    </row>
    <row r="824" customFormat="false" ht="15" hidden="false" customHeight="false" outlineLevel="0" collapsed="false">
      <c r="A824" s="3" t="s">
        <v>408</v>
      </c>
      <c r="B824" s="0" t="s">
        <v>184</v>
      </c>
      <c r="C824" s="22" t="n">
        <f aca="false">a25_ni</f>
        <v>9.607</v>
      </c>
      <c r="D824" s="22" t="n">
        <f aca="false">a26_ni</f>
        <v>19.6977289395284</v>
      </c>
      <c r="E824" s="22" t="n">
        <f aca="false">(E821+E823)*nir_f</f>
        <v>31.591767995845</v>
      </c>
      <c r="F824" s="22" t="n">
        <f aca="false">(F821+F823)*nir_f</f>
        <v>40.7199784839671</v>
      </c>
      <c r="G824" s="22" t="n">
        <f aca="false">(G821+G823)*nir_f</f>
        <v>47.1527353594784</v>
      </c>
      <c r="H824" s="24" t="n">
        <f aca="false">H809*H829</f>
        <v>49.6128038404251</v>
      </c>
      <c r="I824" s="24" t="n">
        <f aca="false">I809*I829</f>
        <v>49.8840787329833</v>
      </c>
      <c r="J824" s="24" t="n">
        <f aca="false">J809*J829</f>
        <v>47.8086916496984</v>
      </c>
    </row>
    <row r="825" customFormat="false" ht="17.15" hidden="false" customHeight="false" outlineLevel="0" collapsed="false">
      <c r="A825" s="3" t="s">
        <v>411</v>
      </c>
      <c r="B825" s="0" t="s">
        <v>49</v>
      </c>
      <c r="C825" s="17" t="n">
        <f aca="false">C824/C821</f>
        <v>0.684113081250445</v>
      </c>
      <c r="D825" s="17" t="n">
        <f aca="false">D824/D821</f>
        <v>0.696226437171953</v>
      </c>
      <c r="E825" s="17" t="n">
        <f aca="false">E824/E821</f>
        <v>0.685</v>
      </c>
      <c r="F825" s="17" t="n">
        <f aca="false">F824/F821</f>
        <v>0.685</v>
      </c>
      <c r="G825" s="17" t="n">
        <f aca="false">G824/G821</f>
        <v>0.685</v>
      </c>
    </row>
    <row r="826" customFormat="false" ht="17.15" hidden="false" customHeight="false" outlineLevel="0" collapsed="false">
      <c r="A826" s="3" t="s">
        <v>528</v>
      </c>
      <c r="B826" s="3" t="s">
        <v>214</v>
      </c>
      <c r="C826" s="27" t="n">
        <f aca="false">a25_sh</f>
        <v>0.493425783256292</v>
      </c>
      <c r="D826" s="27" t="n">
        <f aca="false">a26_sh</f>
        <v>0.512980850061958</v>
      </c>
      <c r="E826" s="27" t="n">
        <f aca="false">sh_h2*(1+sh_g)</f>
        <v>0.51889356</v>
      </c>
      <c r="F826" s="27" t="n">
        <f aca="false">E826*(1+sh_g)</f>
        <v>0.5240824956</v>
      </c>
      <c r="G826" s="27" t="n">
        <f aca="false">F826*(1+sh_g)</f>
        <v>0.529323320556</v>
      </c>
      <c r="H826" s="28" t="n">
        <f aca="false">G826*(1+sh_g)</f>
        <v>0.53461655376156</v>
      </c>
      <c r="I826" s="28" t="n">
        <f aca="false">H826*(1+sh_g)</f>
        <v>0.539962719299176</v>
      </c>
      <c r="J826" s="28" t="n">
        <f aca="false">I826*(1+sh_g)</f>
        <v>0.545362346492167</v>
      </c>
      <c r="K826" s="7" t="s">
        <v>529</v>
      </c>
    </row>
    <row r="827" customFormat="false" ht="15" hidden="false" customHeight="false" outlineLevel="0" collapsed="false">
      <c r="A827" s="0" t="s">
        <v>414</v>
      </c>
      <c r="B827" s="0" t="s">
        <v>252</v>
      </c>
      <c r="C827" s="23" t="n">
        <f aca="false">C824/C826</f>
        <v>19.47</v>
      </c>
      <c r="D827" s="23" t="n">
        <f aca="false">D824/D826</f>
        <v>38.3985658278458</v>
      </c>
      <c r="E827" s="23" t="n">
        <f aca="false">E824/E826</f>
        <v>60.8829448487374</v>
      </c>
      <c r="F827" s="23" t="n">
        <f aca="false">F824/F826</f>
        <v>77.6976503238264</v>
      </c>
      <c r="G827" s="23" t="n">
        <f aca="false">G824/G826</f>
        <v>89.0811599042136</v>
      </c>
      <c r="H827" s="29" t="n">
        <f aca="false">H824/H826</f>
        <v>92.8007251016633</v>
      </c>
      <c r="I827" s="29" t="n">
        <f aca="false">I824/I826</f>
        <v>92.384301637951</v>
      </c>
      <c r="J827" s="29" t="n">
        <f aca="false">J824/J826</f>
        <v>87.664086010355</v>
      </c>
    </row>
    <row r="828" customFormat="false" ht="17.15" hidden="false" customHeight="false" outlineLevel="0" collapsed="false">
      <c r="A828" s="0" t="s">
        <v>530</v>
      </c>
      <c r="B828" s="0" t="s">
        <v>49</v>
      </c>
      <c r="D828" s="17" t="n">
        <f aca="false">D827/C827-1</f>
        <v>0.9721913624985</v>
      </c>
      <c r="E828" s="17" t="n">
        <f aca="false">E827/D827-1</f>
        <v>0.58555257302309</v>
      </c>
      <c r="F828" s="17" t="n">
        <f aca="false">F827/E827-1</f>
        <v>0.276180883117018</v>
      </c>
      <c r="G828" s="17" t="n">
        <f aca="false">G827/F827-1</f>
        <v>0.146510345331465</v>
      </c>
      <c r="H828" s="25" t="n">
        <f aca="false">H827/G827-1</f>
        <v>0.0417547908160287</v>
      </c>
      <c r="I828" s="25" t="n">
        <f aca="false">I827/H827-1</f>
        <v>-0.004487286745401</v>
      </c>
      <c r="J828" s="25" t="n">
        <f aca="false">J827/I827-1</f>
        <v>-0.0510932652399562</v>
      </c>
    </row>
    <row r="829" customFormat="false" ht="17.15" hidden="false" customHeight="false" outlineLevel="0" collapsed="false">
      <c r="A829" s="3" t="s">
        <v>531</v>
      </c>
      <c r="B829" s="0" t="s">
        <v>49</v>
      </c>
      <c r="C829" s="17" t="n">
        <f aca="false">C824/C809</f>
        <v>0.160105992933804</v>
      </c>
      <c r="D829" s="17" t="n">
        <f aca="false">D824/D809</f>
        <v>0.186872140996471</v>
      </c>
      <c r="E829" s="17" t="n">
        <f aca="false">E824/E809</f>
        <v>0.206697076299974</v>
      </c>
      <c r="F829" s="17" t="n">
        <f aca="false">F824/F809</f>
        <v>0.209609329689999</v>
      </c>
      <c r="G829" s="17" t="n">
        <f aca="false">G824/G809</f>
        <v>0.206909107025253</v>
      </c>
      <c r="H829" s="25" t="n">
        <f aca="false">$G829+(fade_mB-$G829)*1/3</f>
        <v>0.192876083506989</v>
      </c>
      <c r="I829" s="25" t="n">
        <f aca="false">$G829+(fade_mB-$G829)*2/3</f>
        <v>0.178843059988726</v>
      </c>
      <c r="J829" s="25" t="n">
        <f aca="false">$G829+(fade_mB-$G829)*3/3</f>
        <v>0.164810036470462</v>
      </c>
    </row>
    <row r="832" customFormat="false" ht="17.15" hidden="false" customHeight="false" outlineLevel="0" collapsed="false">
      <c r="A832" s="1" t="s">
        <v>839</v>
      </c>
    </row>
    <row r="833" customFormat="false" ht="17.15" hidden="false" customHeight="false" outlineLevel="0" collapsed="false">
      <c r="A833" s="4" t="s">
        <v>18</v>
      </c>
      <c r="B833" s="4" t="s">
        <v>19</v>
      </c>
      <c r="C833" s="14" t="s">
        <v>382</v>
      </c>
      <c r="D833" s="14" t="s">
        <v>472</v>
      </c>
      <c r="E833" s="14" t="s">
        <v>473</v>
      </c>
      <c r="F833" s="14" t="s">
        <v>474</v>
      </c>
      <c r="G833" s="14" t="s">
        <v>475</v>
      </c>
      <c r="H833" s="14" t="s">
        <v>476</v>
      </c>
      <c r="I833" s="14" t="s">
        <v>477</v>
      </c>
      <c r="J833" s="14" t="s">
        <v>478</v>
      </c>
      <c r="K833" s="4" t="s">
        <v>436</v>
      </c>
    </row>
    <row r="834" customFormat="false" ht="17.15" hidden="false" customHeight="false" outlineLevel="0" collapsed="false">
      <c r="A834" s="5" t="s">
        <v>494</v>
      </c>
    </row>
    <row r="835" customFormat="false" ht="17.15" hidden="false" customHeight="false" outlineLevel="0" collapsed="false">
      <c r="A835" s="0" t="s">
        <v>495</v>
      </c>
      <c r="B835" s="0" t="s">
        <v>29</v>
      </c>
      <c r="D835" s="23" t="n">
        <f aca="false">itc_26*1</f>
        <v>781.872916666667</v>
      </c>
      <c r="E835" s="23" t="n">
        <f aca="false">itc_27*1*1</f>
        <v>1565.35</v>
      </c>
      <c r="F835" s="23" t="n">
        <f aca="false">itc_28*um28_B*1</f>
        <v>1587.41111111111</v>
      </c>
      <c r="G835" s="23" t="n">
        <f aca="false">itc_29*um29_B*1</f>
        <v>1921.33173611111</v>
      </c>
    </row>
    <row r="836" customFormat="false" ht="17.15" hidden="false" customHeight="false" outlineLevel="0" collapsed="false">
      <c r="A836" s="3" t="s">
        <v>496</v>
      </c>
      <c r="B836" s="0" t="s">
        <v>29</v>
      </c>
      <c r="D836" s="23" t="n">
        <f aca="false">itpg_gb*(1-vr26)+itpg_vr*vr26</f>
        <v>33.41403216</v>
      </c>
      <c r="E836" s="23" t="n">
        <f aca="false">itpg_vr</f>
        <v>37.586352</v>
      </c>
      <c r="F836" s="23" t="n">
        <f aca="false">itpg_vr</f>
        <v>37.586352</v>
      </c>
      <c r="G836" s="23" t="n">
        <f aca="false">itpg_vr</f>
        <v>37.586352</v>
      </c>
    </row>
    <row r="837" customFormat="false" ht="17.15" hidden="false" customHeight="false" outlineLevel="0" collapsed="false">
      <c r="A837" s="3" t="s">
        <v>497</v>
      </c>
      <c r="B837" s="0" t="s">
        <v>438</v>
      </c>
      <c r="D837" s="20" t="n">
        <f aca="false">D835/D836</f>
        <v>23.3995380420639</v>
      </c>
      <c r="E837" s="20" t="n">
        <f aca="false">E835/E836</f>
        <v>41.6467658260637</v>
      </c>
      <c r="F837" s="20" t="n">
        <f aca="false">F835/F836</f>
        <v>42.2337105529984</v>
      </c>
      <c r="G837" s="20" t="n">
        <f aca="false">G835/G836</f>
        <v>51.1178029756948</v>
      </c>
    </row>
    <row r="838" customFormat="false" ht="17.15" hidden="false" customHeight="false" outlineLevel="0" collapsed="false">
      <c r="A838" s="3" t="s">
        <v>442</v>
      </c>
      <c r="B838" s="0" t="s">
        <v>90</v>
      </c>
      <c r="D838" s="21" t="n">
        <f aca="false">vg_cmp26</f>
        <v>280</v>
      </c>
      <c r="E838" s="21" t="n">
        <f aca="false">(vg_cmp26+(vg_cmp27-vg_cmp26)*pgwf)</f>
        <v>420</v>
      </c>
      <c r="F838" s="21" t="n">
        <f aca="false">(vg_cmp26+(vg_cmp28-vg_cmp26)*pgwf)</f>
        <v>462</v>
      </c>
      <c r="G838" s="21" t="n">
        <f aca="false">(vg_cmp26+(vg_cmp29-vg_cmp26)*pgwf)</f>
        <v>504</v>
      </c>
    </row>
    <row r="839" customFormat="false" ht="17.15" hidden="false" customHeight="false" outlineLevel="0" collapsed="false">
      <c r="A839" s="3" t="s">
        <v>444</v>
      </c>
      <c r="B839" s="0" t="s">
        <v>90</v>
      </c>
      <c r="D839" s="21" t="n">
        <f aca="false">vg_sw26</f>
        <v>120</v>
      </c>
      <c r="E839" s="21" t="n">
        <f aca="false">(vg_sw26+(vg_sw27-vg_sw26)*pgwf)</f>
        <v>162</v>
      </c>
      <c r="F839" s="21" t="n">
        <f aca="false">(vg_sw26+(vg_sw28-vg_sw26)*pgwf)</f>
        <v>180</v>
      </c>
      <c r="G839" s="21" t="n">
        <f aca="false">(vg_sw26+(vg_sw29-vg_sw26)*pgwf)</f>
        <v>198</v>
      </c>
    </row>
    <row r="840" customFormat="false" ht="17.15" hidden="false" customHeight="false" outlineLevel="0" collapsed="false">
      <c r="A840" s="3" t="s">
        <v>498</v>
      </c>
      <c r="B840" s="0" t="s">
        <v>90</v>
      </c>
      <c r="D840" s="21" t="n">
        <f aca="false">vg_mid26*w_mid</f>
        <v>25</v>
      </c>
      <c r="E840" s="21" t="n">
        <f aca="false">(vg_mid26+(vg_mid27-vg_mid26)*pgwf)*w_mid</f>
        <v>50</v>
      </c>
      <c r="F840" s="21" t="n">
        <f aca="false">(vg_mid26+(vg_mid28-vg_mid26)*pgwf)*w_mid</f>
        <v>75</v>
      </c>
      <c r="G840" s="21" t="n">
        <f aca="false">(vg_mid26+(vg_mid29-vg_mid26)*pgwf)*w_mid</f>
        <v>87.5</v>
      </c>
    </row>
    <row r="841" customFormat="false" ht="17.15" hidden="false" customHeight="false" outlineLevel="0" collapsed="false">
      <c r="A841" s="3" t="s">
        <v>499</v>
      </c>
      <c r="B841" s="0" t="s">
        <v>90</v>
      </c>
      <c r="D841" s="21" t="n">
        <f aca="false">D838+D839+D840</f>
        <v>425</v>
      </c>
      <c r="E841" s="21" t="n">
        <f aca="false">E838+E839+E840</f>
        <v>632</v>
      </c>
      <c r="F841" s="21" t="n">
        <f aca="false">F838+F839+F840</f>
        <v>717</v>
      </c>
      <c r="G841" s="21" t="n">
        <f aca="false">G838+G839+G840</f>
        <v>789.5</v>
      </c>
    </row>
    <row r="842" customFormat="false" ht="17.15" hidden="false" customHeight="false" outlineLevel="0" collapsed="false">
      <c r="A842" s="3" t="s">
        <v>500</v>
      </c>
      <c r="B842" s="0" t="s">
        <v>29</v>
      </c>
      <c r="D842" s="23" t="n">
        <f aca="false">D837*D841/1000</f>
        <v>9.94480366787716</v>
      </c>
      <c r="E842" s="23" t="n">
        <f aca="false">E837*E841/1000</f>
        <v>26.3207560020722</v>
      </c>
      <c r="F842" s="23" t="n">
        <f aca="false">F837*F841/1000</f>
        <v>30.2815704664998</v>
      </c>
      <c r="G842" s="23" t="n">
        <f aca="false">G837*G841/1000</f>
        <v>40.3575054493111</v>
      </c>
    </row>
    <row r="843" customFormat="false" ht="17.15" hidden="false" customHeight="false" outlineLevel="0" collapsed="false">
      <c r="A843" s="3" t="s">
        <v>501</v>
      </c>
      <c r="B843" s="0" t="s">
        <v>184</v>
      </c>
      <c r="D843" s="22" t="n">
        <f aca="false">D842*fx</f>
        <v>318.233717372069</v>
      </c>
      <c r="E843" s="22" t="n">
        <f aca="false">E842*fx</f>
        <v>842.264192066312</v>
      </c>
      <c r="F843" s="22" t="n">
        <f aca="false">F842*fx</f>
        <v>969.010254927995</v>
      </c>
      <c r="G843" s="22" t="n">
        <f aca="false">G842*fx</f>
        <v>1291.44017437795</v>
      </c>
    </row>
    <row r="844" customFormat="false" ht="17.15" hidden="false" customHeight="false" outlineLevel="0" collapsed="false">
      <c r="A844" s="0" t="s">
        <v>502</v>
      </c>
      <c r="B844" s="0" t="s">
        <v>63</v>
      </c>
      <c r="D844" s="18" t="n">
        <f aca="false">1</f>
        <v>1</v>
      </c>
      <c r="E844" s="18" t="n">
        <f aca="false">pp_27</f>
        <v>1</v>
      </c>
      <c r="F844" s="18" t="n">
        <f aca="false">pp_28</f>
        <v>0.97</v>
      </c>
      <c r="G844" s="18" t="n">
        <f aca="false">pp_29</f>
        <v>0.94</v>
      </c>
    </row>
    <row r="845" customFormat="false" ht="17.15" hidden="false" customHeight="false" outlineLevel="0" collapsed="false">
      <c r="A845" s="3" t="s">
        <v>503</v>
      </c>
      <c r="B845" s="0" t="s">
        <v>49</v>
      </c>
      <c r="D845" s="17" t="n">
        <f aca="false">a26_ai/D843</f>
        <v>0.172842024579347</v>
      </c>
      <c r="K845" s="7" t="s">
        <v>504</v>
      </c>
    </row>
    <row r="846" customFormat="false" ht="17.15" hidden="false" customHeight="false" outlineLevel="0" collapsed="false">
      <c r="A846" s="3" t="s">
        <v>505</v>
      </c>
      <c r="B846" s="0" t="s">
        <v>63</v>
      </c>
      <c r="D846" s="18" t="n">
        <f aca="false">1</f>
        <v>1</v>
      </c>
      <c r="E846" s="18" t="n">
        <f aca="false">rel_27</f>
        <v>1</v>
      </c>
      <c r="F846" s="18" t="n">
        <f aca="false">rel_28</f>
        <v>0.95</v>
      </c>
      <c r="G846" s="18" t="n">
        <f aca="false">rel_29</f>
        <v>0.9</v>
      </c>
    </row>
    <row r="847" customFormat="false" ht="15" hidden="false" customHeight="false" outlineLevel="0" collapsed="false">
      <c r="A847" s="3" t="s">
        <v>454</v>
      </c>
      <c r="B847" s="0" t="s">
        <v>49</v>
      </c>
      <c r="D847" s="17" t="n">
        <f aca="false">$D$845*D846</f>
        <v>0.172842024579347</v>
      </c>
      <c r="E847" s="17" t="n">
        <f aca="false">$D$845*E846</f>
        <v>0.172842024579347</v>
      </c>
      <c r="F847" s="17" t="n">
        <f aca="false">$D$845*F846</f>
        <v>0.164199923350379</v>
      </c>
      <c r="G847" s="17" t="n">
        <f aca="false">$D$845*G846</f>
        <v>0.155557822121412</v>
      </c>
    </row>
    <row r="848" customFormat="false" ht="17.15" hidden="false" customHeight="false" outlineLevel="0" collapsed="false">
      <c r="A848" s="0" t="s">
        <v>506</v>
      </c>
      <c r="B848" s="0" t="s">
        <v>184</v>
      </c>
      <c r="D848" s="22" t="n">
        <f aca="false">D843*D847*D844</f>
        <v>55.00416</v>
      </c>
      <c r="E848" s="22" t="n">
        <f aca="false">E843*E847*E844</f>
        <v>145.578648187429</v>
      </c>
      <c r="F848" s="22" t="n">
        <f aca="false">F843*F847*F844</f>
        <v>154.338067297361</v>
      </c>
      <c r="G848" s="22" t="n">
        <f aca="false">G843*G847*G844</f>
        <v>188.840003670751</v>
      </c>
    </row>
    <row r="849" customFormat="false" ht="17.15" hidden="false" customHeight="false" outlineLevel="0" collapsed="false">
      <c r="A849" s="5" t="s">
        <v>507</v>
      </c>
    </row>
    <row r="850" customFormat="false" ht="17.15" hidden="false" customHeight="false" outlineLevel="0" collapsed="false">
      <c r="A850" s="3" t="s">
        <v>508</v>
      </c>
      <c r="B850" s="0" t="s">
        <v>63</v>
      </c>
      <c r="D850" s="18" t="n">
        <f aca="false">1</f>
        <v>1</v>
      </c>
      <c r="E850" s="18" t="n">
        <f aca="false">cx_27</f>
        <v>1.45</v>
      </c>
      <c r="F850" s="18" t="n">
        <f aca="false">cx_28</f>
        <v>1.9</v>
      </c>
      <c r="G850" s="18" t="n">
        <f aca="false">cx_29</f>
        <v>2.3</v>
      </c>
      <c r="K850" s="7" t="s">
        <v>509</v>
      </c>
    </row>
    <row r="851" customFormat="false" ht="17.15" hidden="false" customHeight="false" outlineLevel="0" collapsed="false">
      <c r="A851" s="3" t="s">
        <v>510</v>
      </c>
      <c r="B851" s="0" t="s">
        <v>184</v>
      </c>
      <c r="D851" s="22" t="n">
        <f aca="false">a26_rev*D850*D844</f>
        <v>105.40752</v>
      </c>
      <c r="E851" s="22" t="n">
        <f aca="false">a26_rev*E850*E844</f>
        <v>152.840904</v>
      </c>
      <c r="F851" s="22" t="n">
        <f aca="false">a26_rev*F850*F844</f>
        <v>194.26605936</v>
      </c>
      <c r="G851" s="22" t="n">
        <f aca="false">a26_rev*G850*G844</f>
        <v>227.89105824</v>
      </c>
    </row>
    <row r="852" customFormat="false" ht="17.15" hidden="false" customHeight="false" outlineLevel="0" collapsed="false">
      <c r="A852" s="3" t="s">
        <v>511</v>
      </c>
      <c r="B852" s="0" t="s">
        <v>184</v>
      </c>
      <c r="C852" s="22" t="n">
        <f aca="false">a25_nai</f>
        <v>42.0028</v>
      </c>
      <c r="D852" s="22" t="n">
        <f aca="false">a26_nai</f>
        <v>50.40336</v>
      </c>
      <c r="E852" s="22" t="n">
        <f aca="false">D852*(1+GNHI27)</f>
        <v>55.443696</v>
      </c>
      <c r="F852" s="22" t="n">
        <f aca="false">E852*(1+GNHI28)</f>
        <v>59.87919168</v>
      </c>
      <c r="G852" s="22" t="n">
        <f aca="false">F852*(1+GNHI29)</f>
        <v>64.6695270144</v>
      </c>
    </row>
    <row r="853" customFormat="false" ht="17.15" hidden="false" customHeight="false" outlineLevel="0" collapsed="false">
      <c r="A853" s="0" t="s">
        <v>512</v>
      </c>
      <c r="B853" s="0" t="s">
        <v>184</v>
      </c>
      <c r="C853" s="22" t="n">
        <f aca="false">a25_ai</f>
        <v>18.0012</v>
      </c>
      <c r="D853" s="22" t="n">
        <f aca="false">D848</f>
        <v>55.00416</v>
      </c>
      <c r="E853" s="22" t="n">
        <f aca="false">MIN(E848,E851-E852)</f>
        <v>97.397208</v>
      </c>
      <c r="F853" s="22" t="n">
        <f aca="false">MIN(F848,F851-F852)</f>
        <v>134.38686768</v>
      </c>
      <c r="G853" s="22" t="n">
        <f aca="false">MIN(G848,G851-G852)</f>
        <v>163.2215312256</v>
      </c>
      <c r="K853" s="3" t="s">
        <v>513</v>
      </c>
    </row>
    <row r="854" customFormat="false" ht="15" hidden="false" customHeight="false" outlineLevel="0" collapsed="false">
      <c r="A854" s="3" t="s">
        <v>514</v>
      </c>
      <c r="E854" s="0" t="str">
        <f aca="false">IF(E848&gt;E851-E852+0.0001,"受限","未受限")</f>
        <v>受限</v>
      </c>
      <c r="F854" s="0" t="str">
        <f aca="false">IF(F848&gt;F851-F852+0.0001,"受限","未受限")</f>
        <v>受限</v>
      </c>
      <c r="G854" s="0" t="str">
        <f aca="false">IF(G848&gt;G851-G852+0.0001,"受限","未受限")</f>
        <v>受限</v>
      </c>
    </row>
    <row r="855" customFormat="false" ht="17.15" hidden="false" customHeight="false" outlineLevel="0" collapsed="false">
      <c r="A855" s="3" t="s">
        <v>387</v>
      </c>
      <c r="B855" s="0" t="s">
        <v>184</v>
      </c>
      <c r="C855" s="22" t="n">
        <f aca="false">C853+C852</f>
        <v>60.004</v>
      </c>
      <c r="D855" s="22" t="n">
        <f aca="false">D853+D852</f>
        <v>105.40752</v>
      </c>
      <c r="E855" s="22" t="n">
        <f aca="false">E853+E852</f>
        <v>152.840904</v>
      </c>
      <c r="F855" s="22" t="n">
        <f aca="false">F853+F852</f>
        <v>194.26605936</v>
      </c>
      <c r="G855" s="22" t="n">
        <f aca="false">G853+G852</f>
        <v>227.89105824</v>
      </c>
      <c r="H855" s="24" t="n">
        <f aca="false">G855*(1+H856)</f>
        <v>257.226313072804</v>
      </c>
      <c r="I855" s="24" t="n">
        <f aca="false">H855*(1+I856)</f>
        <v>278.92655569709</v>
      </c>
      <c r="J855" s="24" t="n">
        <f aca="false">I855*(1+J856)</f>
        <v>290.083617924974</v>
      </c>
      <c r="K855" s="7" t="s">
        <v>515</v>
      </c>
    </row>
    <row r="856" customFormat="false" ht="15" hidden="false" customHeight="false" outlineLevel="0" collapsed="false">
      <c r="A856" s="3" t="s">
        <v>516</v>
      </c>
      <c r="B856" s="0" t="s">
        <v>49</v>
      </c>
      <c r="D856" s="17" t="n">
        <f aca="false">D855/C855-1</f>
        <v>0.756674888340778</v>
      </c>
      <c r="E856" s="17" t="n">
        <f aca="false">E855/D855-1</f>
        <v>0.45</v>
      </c>
      <c r="F856" s="17" t="n">
        <f aca="false">F855/E855-1</f>
        <v>0.271034482758621</v>
      </c>
      <c r="G856" s="17" t="n">
        <f aca="false">G855/F855-1</f>
        <v>0.17308735756918</v>
      </c>
      <c r="H856" s="25" t="n">
        <f aca="false">$G856+(fade_gB-$G856)*1/3</f>
        <v>0.12872490504612</v>
      </c>
      <c r="I856" s="25" t="n">
        <f aca="false">$G856+(fade_gB-$G856)*2/3</f>
        <v>0.0843624525230601</v>
      </c>
      <c r="J856" s="25" t="n">
        <f aca="false">$G856+(fade_gB-$G856)*3/3</f>
        <v>0.04</v>
      </c>
    </row>
    <row r="857" customFormat="false" ht="17.15" hidden="false" customHeight="false" outlineLevel="0" collapsed="false">
      <c r="A857" s="0" t="s">
        <v>517</v>
      </c>
      <c r="B857" s="0" t="s">
        <v>49</v>
      </c>
      <c r="C857" s="17" t="n">
        <f aca="false">C853/C855</f>
        <v>0.3</v>
      </c>
      <c r="D857" s="17" t="n">
        <f aca="false">D853/D855</f>
        <v>0.521823869871903</v>
      </c>
      <c r="E857" s="17" t="n">
        <f aca="false">E853/E855</f>
        <v>0.637245694385581</v>
      </c>
      <c r="F857" s="17" t="n">
        <f aca="false">F853/F855</f>
        <v>0.691767095717754</v>
      </c>
      <c r="G857" s="17" t="n">
        <f aca="false">G853/G855</f>
        <v>0.716226132285128</v>
      </c>
    </row>
    <row r="858" customFormat="false" ht="17.15" hidden="false" customHeight="false" outlineLevel="0" collapsed="false">
      <c r="A858" s="3" t="s">
        <v>518</v>
      </c>
      <c r="B858" s="0" t="s">
        <v>49</v>
      </c>
      <c r="D858" s="17" t="n">
        <f aca="false">(D848+D852)/D851</f>
        <v>1</v>
      </c>
      <c r="E858" s="17" t="n">
        <f aca="false">(E848+E852)/E851</f>
        <v>1.31523917306475</v>
      </c>
      <c r="F858" s="17" t="n">
        <f aca="false">(F848+F852)/F851</f>
        <v>1.1027003877213</v>
      </c>
      <c r="G858" s="17" t="n">
        <f aca="false">(G848+G852)/G851</f>
        <v>1.11241543500216</v>
      </c>
      <c r="K858" s="3" t="s">
        <v>519</v>
      </c>
    </row>
    <row r="859" customFormat="false" ht="17.15" hidden="false" customHeight="false" outlineLevel="0" collapsed="false">
      <c r="A859" s="3" t="s">
        <v>458</v>
      </c>
      <c r="B859" s="0" t="s">
        <v>90</v>
      </c>
      <c r="D859" s="21" t="n">
        <f aca="false">D853/fx/D837*1000</f>
        <v>73.4578604462223</v>
      </c>
      <c r="E859" s="21" t="n">
        <f aca="false">E853/fx/E837*1000</f>
        <v>73.0828118253349</v>
      </c>
      <c r="F859" s="21" t="n">
        <f aca="false">F853/fx/F837*1000</f>
        <v>99.4369085740171</v>
      </c>
      <c r="G859" s="21" t="n">
        <f aca="false">G853/fx/G837*1000</f>
        <v>99.7827088387432</v>
      </c>
    </row>
    <row r="860" customFormat="false" ht="17.15" hidden="false" customHeight="false" outlineLevel="0" collapsed="false">
      <c r="A860" s="5" t="s">
        <v>520</v>
      </c>
    </row>
    <row r="861" customFormat="false" ht="17.15" hidden="false" customHeight="false" outlineLevel="0" collapsed="false">
      <c r="A861" s="3" t="s">
        <v>521</v>
      </c>
      <c r="B861" s="0" t="s">
        <v>49</v>
      </c>
      <c r="D861" s="17" t="n">
        <f aca="false">a26_gp/D855-d_ai*D857</f>
        <v>0.296655205435058</v>
      </c>
      <c r="K861" s="7" t="s">
        <v>522</v>
      </c>
    </row>
    <row r="862" customFormat="false" ht="17.15" hidden="false" customHeight="false" outlineLevel="0" collapsed="false">
      <c r="A862" s="0" t="s">
        <v>523</v>
      </c>
      <c r="B862" s="0" t="s">
        <v>49</v>
      </c>
      <c r="D862" s="17" t="n">
        <f aca="false">D861+d_ai</f>
        <v>0.396655205435058</v>
      </c>
      <c r="E862" s="17" t="n">
        <f aca="false">1-(1-$D$862)/E844+gmu_27</f>
        <v>0.406655205435058</v>
      </c>
      <c r="F862" s="17" t="n">
        <f aca="false">1-(1-$D$862)/F844+gmu_28</f>
        <v>0.392995057149545</v>
      </c>
      <c r="G862" s="17" t="n">
        <f aca="false">1-(1-$D$862)/G844+gmu_29</f>
        <v>0.378143835569211</v>
      </c>
      <c r="K862" s="7" t="s">
        <v>524</v>
      </c>
    </row>
    <row r="863" customFormat="false" ht="15" hidden="false" customHeight="false" outlineLevel="0" collapsed="false">
      <c r="A863" s="3" t="s">
        <v>391</v>
      </c>
      <c r="B863" s="0" t="s">
        <v>184</v>
      </c>
      <c r="C863" s="22" t="n">
        <f aca="false">a25_gp</f>
        <v>19.683</v>
      </c>
      <c r="D863" s="22" t="n">
        <f aca="false">a26_gp</f>
        <v>36.7701055</v>
      </c>
      <c r="E863" s="22" t="n">
        <f aca="false">E853*E862+E852*$D$861</f>
        <v>56.054742655</v>
      </c>
      <c r="F863" s="22" t="n">
        <f aca="false">F853*F862+F852*$D$861</f>
        <v>70.5768486531655</v>
      </c>
      <c r="G863" s="22" t="n">
        <f aca="false">G853*G862+G852*$D$861</f>
        <v>80.905767686973</v>
      </c>
    </row>
    <row r="864" customFormat="false" ht="15" hidden="false" customHeight="false" outlineLevel="0" collapsed="false">
      <c r="A864" s="3" t="s">
        <v>394</v>
      </c>
      <c r="B864" s="0" t="s">
        <v>49</v>
      </c>
      <c r="C864" s="17" t="n">
        <f aca="false">C863/C855</f>
        <v>0.328028131457903</v>
      </c>
      <c r="D864" s="17" t="n">
        <f aca="false">D863/D855</f>
        <v>0.348837592422248</v>
      </c>
      <c r="E864" s="17" t="n">
        <f aca="false">E863/E855</f>
        <v>0.366752231817472</v>
      </c>
      <c r="F864" s="17" t="n">
        <f aca="false">F863/F855</f>
        <v>0.363299944857467</v>
      </c>
      <c r="G864" s="17" t="n">
        <f aca="false">G863/G855</f>
        <v>0.355019491821256</v>
      </c>
    </row>
    <row r="865" customFormat="false" ht="15" hidden="false" customHeight="false" outlineLevel="0" collapsed="false">
      <c r="A865" s="3" t="s">
        <v>525</v>
      </c>
      <c r="B865" s="0" t="s">
        <v>184</v>
      </c>
      <c r="C865" s="22" t="n">
        <f aca="false">a25_opx</f>
        <v>5.64</v>
      </c>
      <c r="D865" s="22" t="n">
        <f aca="false">a26_opx</f>
        <v>8.4779754</v>
      </c>
      <c r="E865" s="22" t="n">
        <f aca="false">D865*(1+MAX(0,phi*E856))</f>
        <v>10.767028758</v>
      </c>
      <c r="F865" s="22" t="n">
        <f aca="false">E865*(1+MAX(0,phi*F856))</f>
        <v>12.517970400163</v>
      </c>
      <c r="G865" s="22" t="n">
        <f aca="false">F865*(1+MAX(0,phi*G856))</f>
        <v>13.8179918513791</v>
      </c>
    </row>
    <row r="866" customFormat="false" ht="15" hidden="false" customHeight="false" outlineLevel="0" collapsed="false">
      <c r="A866" s="3" t="s">
        <v>396</v>
      </c>
      <c r="B866" s="0" t="s">
        <v>184</v>
      </c>
      <c r="C866" s="22" t="n">
        <f aca="false">C865</f>
        <v>5.64</v>
      </c>
      <c r="D866" s="22" t="n">
        <f aca="false">D865</f>
        <v>8.4779754</v>
      </c>
      <c r="E866" s="22" t="n">
        <f aca="false">E865+0*E855</f>
        <v>10.767028758</v>
      </c>
      <c r="F866" s="22" t="n">
        <f aca="false">F865+0*F855</f>
        <v>12.517970400163</v>
      </c>
      <c r="G866" s="22" t="n">
        <f aca="false">G865+0*G855</f>
        <v>13.8179918513791</v>
      </c>
    </row>
    <row r="867" customFormat="false" ht="15" hidden="false" customHeight="false" outlineLevel="0" collapsed="false">
      <c r="A867" s="3" t="s">
        <v>526</v>
      </c>
      <c r="B867" s="0" t="s">
        <v>184</v>
      </c>
      <c r="C867" s="22" t="n">
        <f aca="false">C863-C866</f>
        <v>14.043</v>
      </c>
      <c r="D867" s="22" t="n">
        <f aca="false">D863-D866</f>
        <v>28.2921301</v>
      </c>
      <c r="E867" s="22" t="n">
        <f aca="false">E863-E866</f>
        <v>45.287713897</v>
      </c>
      <c r="F867" s="22" t="n">
        <f aca="false">F863-F866</f>
        <v>58.0588782530025</v>
      </c>
      <c r="G867" s="22" t="n">
        <f aca="false">G863-G866</f>
        <v>67.0877758355939</v>
      </c>
    </row>
    <row r="868" customFormat="false" ht="15" hidden="false" customHeight="false" outlineLevel="0" collapsed="false">
      <c r="A868" s="3" t="s">
        <v>402</v>
      </c>
      <c r="B868" s="0" t="s">
        <v>49</v>
      </c>
      <c r="C868" s="17" t="n">
        <f aca="false">C867/C855</f>
        <v>0.23403439770682</v>
      </c>
      <c r="D868" s="17" t="n">
        <f aca="false">D867/D855</f>
        <v>0.268407131673338</v>
      </c>
      <c r="E868" s="17" t="n">
        <f aca="false">E867/E855</f>
        <v>0.296306242058082</v>
      </c>
      <c r="F868" s="17" t="n">
        <f aca="false">F867/F855</f>
        <v>0.298862696058563</v>
      </c>
      <c r="G868" s="17" t="n">
        <f aca="false">G867/G855</f>
        <v>0.294385292488929</v>
      </c>
    </row>
    <row r="869" customFormat="false" ht="17.15" hidden="false" customHeight="false" outlineLevel="0" collapsed="false">
      <c r="A869" s="3" t="s">
        <v>403</v>
      </c>
      <c r="B869" s="0" t="s">
        <v>184</v>
      </c>
      <c r="E869" s="22" t="n">
        <f aca="false">nop_f</f>
        <v>0</v>
      </c>
      <c r="F869" s="22" t="n">
        <f aca="false">nop_f</f>
        <v>0</v>
      </c>
      <c r="G869" s="22" t="n">
        <f aca="false">nop_f</f>
        <v>0</v>
      </c>
      <c r="K869" s="7" t="s">
        <v>527</v>
      </c>
    </row>
    <row r="870" customFormat="false" ht="15" hidden="false" customHeight="false" outlineLevel="0" collapsed="false">
      <c r="A870" s="3" t="s">
        <v>408</v>
      </c>
      <c r="B870" s="0" t="s">
        <v>184</v>
      </c>
      <c r="C870" s="22" t="n">
        <f aca="false">a25_ni</f>
        <v>9.607</v>
      </c>
      <c r="D870" s="22" t="n">
        <f aca="false">a26_ni</f>
        <v>19.6977289395284</v>
      </c>
      <c r="E870" s="22" t="n">
        <f aca="false">(E867+E869)*nir_f</f>
        <v>31.022084019445</v>
      </c>
      <c r="F870" s="22" t="n">
        <f aca="false">(F867+F869)*nir_f</f>
        <v>39.7703316033067</v>
      </c>
      <c r="G870" s="22" t="n">
        <f aca="false">(G867+G869)*nir_f</f>
        <v>45.9551264473818</v>
      </c>
      <c r="H870" s="24" t="n">
        <f aca="false">H855*H875</f>
        <v>48.7116231700327</v>
      </c>
      <c r="I870" s="24" t="n">
        <f aca="false">I855*I875</f>
        <v>49.3954754920267</v>
      </c>
      <c r="J870" s="24" t="n">
        <f aca="false">J855*J875</f>
        <v>47.8086916496984</v>
      </c>
    </row>
    <row r="871" customFormat="false" ht="17.15" hidden="false" customHeight="false" outlineLevel="0" collapsed="false">
      <c r="A871" s="3" t="s">
        <v>411</v>
      </c>
      <c r="B871" s="0" t="s">
        <v>49</v>
      </c>
      <c r="C871" s="17" t="n">
        <f aca="false">C870/C867</f>
        <v>0.684113081250445</v>
      </c>
      <c r="D871" s="17" t="n">
        <f aca="false">D870/D867</f>
        <v>0.696226437171953</v>
      </c>
      <c r="E871" s="17" t="n">
        <f aca="false">E870/E867</f>
        <v>0.685</v>
      </c>
      <c r="F871" s="17" t="n">
        <f aca="false">F870/F867</f>
        <v>0.685</v>
      </c>
      <c r="G871" s="17" t="n">
        <f aca="false">G870/G867</f>
        <v>0.685</v>
      </c>
    </row>
    <row r="872" customFormat="false" ht="17.15" hidden="false" customHeight="false" outlineLevel="0" collapsed="false">
      <c r="A872" s="3" t="s">
        <v>528</v>
      </c>
      <c r="B872" s="3" t="s">
        <v>214</v>
      </c>
      <c r="C872" s="27" t="n">
        <f aca="false">a25_sh</f>
        <v>0.493425783256292</v>
      </c>
      <c r="D872" s="27" t="n">
        <f aca="false">a26_sh</f>
        <v>0.512980850061958</v>
      </c>
      <c r="E872" s="27" t="n">
        <f aca="false">sh_h2*(1+sh_g)</f>
        <v>0.51889356</v>
      </c>
      <c r="F872" s="27" t="n">
        <f aca="false">E872*(1+sh_g)</f>
        <v>0.5240824956</v>
      </c>
      <c r="G872" s="27" t="n">
        <f aca="false">F872*(1+sh_g)</f>
        <v>0.529323320556</v>
      </c>
      <c r="H872" s="28" t="n">
        <f aca="false">G872*(1+sh_g)</f>
        <v>0.53461655376156</v>
      </c>
      <c r="I872" s="28" t="n">
        <f aca="false">H872*(1+sh_g)</f>
        <v>0.539962719299176</v>
      </c>
      <c r="J872" s="28" t="n">
        <f aca="false">I872*(1+sh_g)</f>
        <v>0.545362346492167</v>
      </c>
      <c r="K872" s="7" t="s">
        <v>529</v>
      </c>
    </row>
    <row r="873" customFormat="false" ht="15" hidden="false" customHeight="false" outlineLevel="0" collapsed="false">
      <c r="A873" s="0" t="s">
        <v>414</v>
      </c>
      <c r="B873" s="0" t="s">
        <v>252</v>
      </c>
      <c r="C873" s="23" t="n">
        <f aca="false">C870/C872</f>
        <v>19.47</v>
      </c>
      <c r="D873" s="23" t="n">
        <f aca="false">D870/D872</f>
        <v>38.3985658278458</v>
      </c>
      <c r="E873" s="23" t="n">
        <f aca="false">E870/E872</f>
        <v>59.7850627004217</v>
      </c>
      <c r="F873" s="23" t="n">
        <f aca="false">F870/F872</f>
        <v>75.8856323903269</v>
      </c>
      <c r="G873" s="23" t="n">
        <f aca="false">G870/G872</f>
        <v>86.818631756316</v>
      </c>
      <c r="H873" s="29" t="n">
        <f aca="false">H870/H872</f>
        <v>91.1150671023894</v>
      </c>
      <c r="I873" s="29" t="n">
        <f aca="false">I870/I872</f>
        <v>91.4794183497293</v>
      </c>
      <c r="J873" s="29" t="n">
        <f aca="false">J870/J872</f>
        <v>87.664086010355</v>
      </c>
    </row>
    <row r="874" customFormat="false" ht="17.15" hidden="false" customHeight="false" outlineLevel="0" collapsed="false">
      <c r="A874" s="0" t="s">
        <v>530</v>
      </c>
      <c r="B874" s="0" t="s">
        <v>49</v>
      </c>
      <c r="D874" s="17" t="n">
        <f aca="false">D873/C873-1</f>
        <v>0.9721913624985</v>
      </c>
      <c r="E874" s="17" t="n">
        <f aca="false">E873/D873-1</f>
        <v>0.556960824226066</v>
      </c>
      <c r="F874" s="17" t="n">
        <f aca="false">F873/E873-1</f>
        <v>0.269307565513211</v>
      </c>
      <c r="G874" s="17" t="n">
        <f aca="false">G873/F873-1</f>
        <v>0.144072059777455</v>
      </c>
      <c r="H874" s="25" t="n">
        <f aca="false">H873/G873-1</f>
        <v>0.0494874804999539</v>
      </c>
      <c r="I874" s="25" t="n">
        <f aca="false">I873/H873-1</f>
        <v>0.0039988034792362</v>
      </c>
      <c r="J874" s="25" t="n">
        <f aca="false">J873/I873-1</f>
        <v>-0.0417070026045436</v>
      </c>
    </row>
    <row r="875" customFormat="false" ht="17.15" hidden="false" customHeight="false" outlineLevel="0" collapsed="false">
      <c r="A875" s="3" t="s">
        <v>531</v>
      </c>
      <c r="B875" s="0" t="s">
        <v>49</v>
      </c>
      <c r="C875" s="17" t="n">
        <f aca="false">C870/C855</f>
        <v>0.160105992933804</v>
      </c>
      <c r="D875" s="17" t="n">
        <f aca="false">D870/D855</f>
        <v>0.186872140996471</v>
      </c>
      <c r="E875" s="17" t="n">
        <f aca="false">E870/E855</f>
        <v>0.202969775809786</v>
      </c>
      <c r="F875" s="17" t="n">
        <f aca="false">F870/F855</f>
        <v>0.204720946800116</v>
      </c>
      <c r="G875" s="17" t="n">
        <f aca="false">G870/G855</f>
        <v>0.201653925354916</v>
      </c>
      <c r="H875" s="25" t="n">
        <f aca="false">$G875+(fade_mB-$G875)*1/3</f>
        <v>0.189372629060098</v>
      </c>
      <c r="I875" s="25" t="n">
        <f aca="false">$G875+(fade_mB-$G875)*2/3</f>
        <v>0.17709133276528</v>
      </c>
      <c r="J875" s="25" t="n">
        <f aca="false">$G875+(fade_mB-$G875)*3/3</f>
        <v>0.164810036470462</v>
      </c>
    </row>
    <row r="878" customFormat="false" ht="17.15" hidden="false" customHeight="false" outlineLevel="0" collapsed="false">
      <c r="A878" s="1" t="s">
        <v>840</v>
      </c>
    </row>
    <row r="879" customFormat="false" ht="17.15" hidden="false" customHeight="false" outlineLevel="0" collapsed="false">
      <c r="A879" s="4" t="s">
        <v>18</v>
      </c>
      <c r="B879" s="4" t="s">
        <v>19</v>
      </c>
      <c r="C879" s="14" t="s">
        <v>382</v>
      </c>
      <c r="D879" s="14" t="s">
        <v>472</v>
      </c>
      <c r="E879" s="14" t="s">
        <v>473</v>
      </c>
      <c r="F879" s="14" t="s">
        <v>474</v>
      </c>
      <c r="G879" s="14" t="s">
        <v>475</v>
      </c>
      <c r="H879" s="14" t="s">
        <v>476</v>
      </c>
      <c r="I879" s="14" t="s">
        <v>477</v>
      </c>
      <c r="J879" s="14" t="s">
        <v>478</v>
      </c>
      <c r="K879" s="4" t="s">
        <v>436</v>
      </c>
    </row>
    <row r="880" customFormat="false" ht="17.15" hidden="false" customHeight="false" outlineLevel="0" collapsed="false">
      <c r="A880" s="5" t="s">
        <v>494</v>
      </c>
    </row>
    <row r="881" customFormat="false" ht="17.15" hidden="false" customHeight="false" outlineLevel="0" collapsed="false">
      <c r="A881" s="0" t="s">
        <v>495</v>
      </c>
      <c r="B881" s="0" t="s">
        <v>29</v>
      </c>
      <c r="D881" s="23" t="n">
        <f aca="false">itc_26*1</f>
        <v>781.872916666667</v>
      </c>
      <c r="E881" s="23" t="n">
        <f aca="false">itc_27*1*1</f>
        <v>1565.35</v>
      </c>
      <c r="F881" s="23" t="n">
        <f aca="false">itc_28*um28_B*1</f>
        <v>1587.41111111111</v>
      </c>
      <c r="G881" s="23" t="n">
        <f aca="false">itc_29*um29_B*1</f>
        <v>1921.33173611111</v>
      </c>
    </row>
    <row r="882" customFormat="false" ht="17.15" hidden="false" customHeight="false" outlineLevel="0" collapsed="false">
      <c r="A882" s="3" t="s">
        <v>496</v>
      </c>
      <c r="B882" s="0" t="s">
        <v>29</v>
      </c>
      <c r="D882" s="23" t="n">
        <f aca="false">itpg_gb*(1-vr26)+itpg_vr*vr26</f>
        <v>33.41403216</v>
      </c>
      <c r="E882" s="23" t="n">
        <f aca="false">itpg_vr</f>
        <v>37.586352</v>
      </c>
      <c r="F882" s="23" t="n">
        <f aca="false">itpg_vr</f>
        <v>37.586352</v>
      </c>
      <c r="G882" s="23" t="n">
        <f aca="false">itpg_vr</f>
        <v>37.586352</v>
      </c>
    </row>
    <row r="883" customFormat="false" ht="17.15" hidden="false" customHeight="false" outlineLevel="0" collapsed="false">
      <c r="A883" s="3" t="s">
        <v>497</v>
      </c>
      <c r="B883" s="0" t="s">
        <v>438</v>
      </c>
      <c r="D883" s="20" t="n">
        <f aca="false">D881/D882</f>
        <v>23.3995380420639</v>
      </c>
      <c r="E883" s="20" t="n">
        <f aca="false">E881/E882</f>
        <v>41.6467658260637</v>
      </c>
      <c r="F883" s="20" t="n">
        <f aca="false">F881/F882</f>
        <v>42.2337105529984</v>
      </c>
      <c r="G883" s="20" t="n">
        <f aca="false">G881/G882</f>
        <v>51.1178029756948</v>
      </c>
    </row>
    <row r="884" customFormat="false" ht="17.15" hidden="false" customHeight="false" outlineLevel="0" collapsed="false">
      <c r="A884" s="3" t="s">
        <v>442</v>
      </c>
      <c r="B884" s="0" t="s">
        <v>90</v>
      </c>
      <c r="D884" s="21" t="n">
        <f aca="false">vg_cmp26</f>
        <v>280</v>
      </c>
      <c r="E884" s="21" t="n">
        <f aca="false">(vg_cmp26+(vg_cmp27-vg_cmp26)*pgwf)</f>
        <v>420</v>
      </c>
      <c r="F884" s="21" t="n">
        <f aca="false">(vg_cmp26+(vg_cmp28-vg_cmp26)*pgwf)</f>
        <v>462</v>
      </c>
      <c r="G884" s="21" t="n">
        <f aca="false">(vg_cmp26+(vg_cmp29-vg_cmp26)*pgwf)</f>
        <v>504</v>
      </c>
    </row>
    <row r="885" customFormat="false" ht="17.15" hidden="false" customHeight="false" outlineLevel="0" collapsed="false">
      <c r="A885" s="3" t="s">
        <v>444</v>
      </c>
      <c r="B885" s="0" t="s">
        <v>90</v>
      </c>
      <c r="D885" s="21" t="n">
        <f aca="false">vg_sw26</f>
        <v>120</v>
      </c>
      <c r="E885" s="21" t="n">
        <f aca="false">(vg_sw26+(vg_sw27-vg_sw26)*pgwf)</f>
        <v>162</v>
      </c>
      <c r="F885" s="21" t="n">
        <f aca="false">(vg_sw26+(vg_sw28-vg_sw26)*pgwf)</f>
        <v>180</v>
      </c>
      <c r="G885" s="21" t="n">
        <f aca="false">(vg_sw26+(vg_sw29-vg_sw26)*pgwf)</f>
        <v>198</v>
      </c>
    </row>
    <row r="886" customFormat="false" ht="17.15" hidden="false" customHeight="false" outlineLevel="0" collapsed="false">
      <c r="A886" s="3" t="s">
        <v>498</v>
      </c>
      <c r="B886" s="0" t="s">
        <v>90</v>
      </c>
      <c r="D886" s="21" t="n">
        <f aca="false">vg_mid26*w_mid</f>
        <v>25</v>
      </c>
      <c r="E886" s="21" t="n">
        <f aca="false">(vg_mid26+(vg_mid27-vg_mid26)*pgwf)*w_mid</f>
        <v>50</v>
      </c>
      <c r="F886" s="21" t="n">
        <f aca="false">(vg_mid26+(vg_mid28-vg_mid26)*pgwf)*w_mid</f>
        <v>75</v>
      </c>
      <c r="G886" s="21" t="n">
        <f aca="false">(vg_mid26+(vg_mid29-vg_mid26)*pgwf)*w_mid</f>
        <v>87.5</v>
      </c>
    </row>
    <row r="887" customFormat="false" ht="17.15" hidden="false" customHeight="false" outlineLevel="0" collapsed="false">
      <c r="A887" s="3" t="s">
        <v>499</v>
      </c>
      <c r="B887" s="0" t="s">
        <v>90</v>
      </c>
      <c r="D887" s="21" t="n">
        <f aca="false">D884+D885+D886</f>
        <v>425</v>
      </c>
      <c r="E887" s="21" t="n">
        <f aca="false">E884+E885+E886</f>
        <v>632</v>
      </c>
      <c r="F887" s="21" t="n">
        <f aca="false">F884+F885+F886</f>
        <v>717</v>
      </c>
      <c r="G887" s="21" t="n">
        <f aca="false">G884+G885+G886</f>
        <v>789.5</v>
      </c>
    </row>
    <row r="888" customFormat="false" ht="17.15" hidden="false" customHeight="false" outlineLevel="0" collapsed="false">
      <c r="A888" s="3" t="s">
        <v>500</v>
      </c>
      <c r="B888" s="0" t="s">
        <v>29</v>
      </c>
      <c r="D888" s="23" t="n">
        <f aca="false">D883*D887/1000</f>
        <v>9.94480366787716</v>
      </c>
      <c r="E888" s="23" t="n">
        <f aca="false">E883*E887/1000</f>
        <v>26.3207560020722</v>
      </c>
      <c r="F888" s="23" t="n">
        <f aca="false">F883*F887/1000</f>
        <v>30.2815704664998</v>
      </c>
      <c r="G888" s="23" t="n">
        <f aca="false">G883*G887/1000</f>
        <v>40.3575054493111</v>
      </c>
    </row>
    <row r="889" customFormat="false" ht="17.15" hidden="false" customHeight="false" outlineLevel="0" collapsed="false">
      <c r="A889" s="3" t="s">
        <v>501</v>
      </c>
      <c r="B889" s="0" t="s">
        <v>184</v>
      </c>
      <c r="D889" s="22" t="n">
        <f aca="false">D888*fx</f>
        <v>318.233717372069</v>
      </c>
      <c r="E889" s="22" t="n">
        <f aca="false">E888*fx</f>
        <v>842.264192066312</v>
      </c>
      <c r="F889" s="22" t="n">
        <f aca="false">F888*fx</f>
        <v>969.010254927995</v>
      </c>
      <c r="G889" s="22" t="n">
        <f aca="false">G888*fx</f>
        <v>1291.44017437795</v>
      </c>
    </row>
    <row r="890" customFormat="false" ht="17.15" hidden="false" customHeight="false" outlineLevel="0" collapsed="false">
      <c r="A890" s="0" t="s">
        <v>502</v>
      </c>
      <c r="B890" s="0" t="s">
        <v>63</v>
      </c>
      <c r="D890" s="18" t="n">
        <f aca="false">1</f>
        <v>1</v>
      </c>
      <c r="E890" s="18" t="n">
        <f aca="false">pp_27</f>
        <v>1</v>
      </c>
      <c r="F890" s="18" t="n">
        <f aca="false">pp_28</f>
        <v>0.97</v>
      </c>
      <c r="G890" s="18" t="n">
        <f aca="false">pp_29</f>
        <v>0.94</v>
      </c>
    </row>
    <row r="891" customFormat="false" ht="17.15" hidden="false" customHeight="false" outlineLevel="0" collapsed="false">
      <c r="A891" s="3" t="s">
        <v>503</v>
      </c>
      <c r="B891" s="0" t="s">
        <v>49</v>
      </c>
      <c r="D891" s="17" t="n">
        <f aca="false">a26_ai/D889</f>
        <v>0.172842024579347</v>
      </c>
      <c r="K891" s="7" t="s">
        <v>504</v>
      </c>
    </row>
    <row r="892" customFormat="false" ht="17.15" hidden="false" customHeight="false" outlineLevel="0" collapsed="false">
      <c r="A892" s="3" t="s">
        <v>505</v>
      </c>
      <c r="B892" s="0" t="s">
        <v>63</v>
      </c>
      <c r="D892" s="18" t="n">
        <f aca="false">1</f>
        <v>1</v>
      </c>
      <c r="E892" s="18" t="n">
        <f aca="false">rel_27</f>
        <v>1</v>
      </c>
      <c r="F892" s="18" t="n">
        <f aca="false">rel_28</f>
        <v>0.95</v>
      </c>
      <c r="G892" s="18" t="n">
        <f aca="false">rel_29</f>
        <v>0.9</v>
      </c>
    </row>
    <row r="893" customFormat="false" ht="15" hidden="false" customHeight="false" outlineLevel="0" collapsed="false">
      <c r="A893" s="3" t="s">
        <v>454</v>
      </c>
      <c r="B893" s="0" t="s">
        <v>49</v>
      </c>
      <c r="D893" s="17" t="n">
        <f aca="false">$D$891*D892</f>
        <v>0.172842024579347</v>
      </c>
      <c r="E893" s="17" t="n">
        <f aca="false">$D$891*E892</f>
        <v>0.172842024579347</v>
      </c>
      <c r="F893" s="17" t="n">
        <f aca="false">$D$891*F892</f>
        <v>0.164199923350379</v>
      </c>
      <c r="G893" s="17" t="n">
        <f aca="false">$D$891*G892</f>
        <v>0.155557822121412</v>
      </c>
    </row>
    <row r="894" customFormat="false" ht="17.15" hidden="false" customHeight="false" outlineLevel="0" collapsed="false">
      <c r="A894" s="0" t="s">
        <v>506</v>
      </c>
      <c r="B894" s="0" t="s">
        <v>184</v>
      </c>
      <c r="D894" s="22" t="n">
        <f aca="false">D889*D893*D890</f>
        <v>55.00416</v>
      </c>
      <c r="E894" s="22" t="n">
        <f aca="false">E889*E893*E890</f>
        <v>145.578648187429</v>
      </c>
      <c r="F894" s="22" t="n">
        <f aca="false">F889*F893*F890</f>
        <v>154.338067297361</v>
      </c>
      <c r="G894" s="22" t="n">
        <f aca="false">G889*G893*G890</f>
        <v>188.840003670751</v>
      </c>
    </row>
    <row r="895" customFormat="false" ht="17.15" hidden="false" customHeight="false" outlineLevel="0" collapsed="false">
      <c r="A895" s="5" t="s">
        <v>507</v>
      </c>
    </row>
    <row r="896" customFormat="false" ht="17.15" hidden="false" customHeight="false" outlineLevel="0" collapsed="false">
      <c r="A896" s="3" t="s">
        <v>508</v>
      </c>
      <c r="B896" s="0" t="s">
        <v>63</v>
      </c>
      <c r="D896" s="18" t="n">
        <f aca="false">1</f>
        <v>1</v>
      </c>
      <c r="E896" s="18" t="n">
        <f aca="false">cx_27</f>
        <v>1.45</v>
      </c>
      <c r="F896" s="18" t="n">
        <f aca="false">cx_28</f>
        <v>1.9</v>
      </c>
      <c r="G896" s="18" t="n">
        <f aca="false">cx_29</f>
        <v>2.3</v>
      </c>
      <c r="K896" s="7" t="s">
        <v>509</v>
      </c>
    </row>
    <row r="897" customFormat="false" ht="17.15" hidden="false" customHeight="false" outlineLevel="0" collapsed="false">
      <c r="A897" s="3" t="s">
        <v>510</v>
      </c>
      <c r="B897" s="0" t="s">
        <v>184</v>
      </c>
      <c r="D897" s="22" t="n">
        <f aca="false">a26_rev*D896*D890</f>
        <v>105.40752</v>
      </c>
      <c r="E897" s="22" t="n">
        <f aca="false">a26_rev*E896*E890</f>
        <v>152.840904</v>
      </c>
      <c r="F897" s="22" t="n">
        <f aca="false">a26_rev*F896*F890</f>
        <v>194.26605936</v>
      </c>
      <c r="G897" s="22" t="n">
        <f aca="false">a26_rev*G896*G890</f>
        <v>227.89105824</v>
      </c>
    </row>
    <row r="898" customFormat="false" ht="17.15" hidden="false" customHeight="false" outlineLevel="0" collapsed="false">
      <c r="A898" s="3" t="s">
        <v>511</v>
      </c>
      <c r="B898" s="0" t="s">
        <v>184</v>
      </c>
      <c r="C898" s="22" t="n">
        <f aca="false">a25_nai</f>
        <v>42.0028</v>
      </c>
      <c r="D898" s="22" t="n">
        <f aca="false">a26_nai</f>
        <v>50.40336</v>
      </c>
      <c r="E898" s="22" t="n">
        <f aca="false">D898*(1+g_nai27)</f>
        <v>52.923528</v>
      </c>
      <c r="F898" s="22" t="n">
        <f aca="false">E898*(1+g_nai28)</f>
        <v>54.51123384</v>
      </c>
      <c r="G898" s="22" t="n">
        <f aca="false">F898*(1+g_nai29)</f>
        <v>56.1465708552</v>
      </c>
    </row>
    <row r="899" customFormat="false" ht="17.15" hidden="false" customHeight="false" outlineLevel="0" collapsed="false">
      <c r="A899" s="0" t="s">
        <v>512</v>
      </c>
      <c r="B899" s="0" t="s">
        <v>184</v>
      </c>
      <c r="C899" s="22" t="n">
        <f aca="false">a25_ai</f>
        <v>18.0012</v>
      </c>
      <c r="D899" s="22" t="n">
        <f aca="false">D894</f>
        <v>55.00416</v>
      </c>
      <c r="E899" s="22" t="n">
        <f aca="false">MIN(E894,E897-E898)</f>
        <v>99.917376</v>
      </c>
      <c r="F899" s="22" t="n">
        <f aca="false">MIN(F894,F897-F898)</f>
        <v>139.75482552</v>
      </c>
      <c r="G899" s="22" t="n">
        <f aca="false">MIN(G894,G897-G898)</f>
        <v>171.7444873848</v>
      </c>
      <c r="K899" s="3" t="s">
        <v>513</v>
      </c>
    </row>
    <row r="900" customFormat="false" ht="15" hidden="false" customHeight="false" outlineLevel="0" collapsed="false">
      <c r="A900" s="3" t="s">
        <v>514</v>
      </c>
      <c r="E900" s="0" t="str">
        <f aca="false">IF(E894&gt;E897-E898+0.0001,"受限","未受限")</f>
        <v>受限</v>
      </c>
      <c r="F900" s="0" t="str">
        <f aca="false">IF(F894&gt;F897-F898+0.0001,"受限","未受限")</f>
        <v>受限</v>
      </c>
      <c r="G900" s="0" t="str">
        <f aca="false">IF(G894&gt;G897-G898+0.0001,"受限","未受限")</f>
        <v>受限</v>
      </c>
    </row>
    <row r="901" customFormat="false" ht="17.15" hidden="false" customHeight="false" outlineLevel="0" collapsed="false">
      <c r="A901" s="3" t="s">
        <v>387</v>
      </c>
      <c r="B901" s="0" t="s">
        <v>184</v>
      </c>
      <c r="C901" s="22" t="n">
        <f aca="false">C899+C898</f>
        <v>60.004</v>
      </c>
      <c r="D901" s="22" t="n">
        <f aca="false">D899+D898</f>
        <v>105.40752</v>
      </c>
      <c r="E901" s="22" t="n">
        <f aca="false">E899+E898</f>
        <v>152.840904</v>
      </c>
      <c r="F901" s="22" t="n">
        <f aca="false">F899+F898</f>
        <v>194.26605936</v>
      </c>
      <c r="G901" s="22" t="n">
        <f aca="false">G899+G898</f>
        <v>227.89105824</v>
      </c>
      <c r="H901" s="24" t="n">
        <f aca="false">G901*(1+H902)</f>
        <v>257.226313072804</v>
      </c>
      <c r="I901" s="24" t="n">
        <f aca="false">H901*(1+I902)</f>
        <v>278.92655569709</v>
      </c>
      <c r="J901" s="24" t="n">
        <f aca="false">I901*(1+J902)</f>
        <v>290.083617924974</v>
      </c>
      <c r="K901" s="7" t="s">
        <v>515</v>
      </c>
    </row>
    <row r="902" customFormat="false" ht="15" hidden="false" customHeight="false" outlineLevel="0" collapsed="false">
      <c r="A902" s="3" t="s">
        <v>516</v>
      </c>
      <c r="B902" s="0" t="s">
        <v>49</v>
      </c>
      <c r="D902" s="17" t="n">
        <f aca="false">D901/C901-1</f>
        <v>0.756674888340778</v>
      </c>
      <c r="E902" s="17" t="n">
        <f aca="false">E901/D901-1</f>
        <v>0.45</v>
      </c>
      <c r="F902" s="17" t="n">
        <f aca="false">F901/E901-1</f>
        <v>0.271034482758621</v>
      </c>
      <c r="G902" s="17" t="n">
        <f aca="false">G901/F901-1</f>
        <v>0.173087357569181</v>
      </c>
      <c r="H902" s="25" t="n">
        <f aca="false">$G902+(fade_gB-$G902)*1/3</f>
        <v>0.12872490504612</v>
      </c>
      <c r="I902" s="25" t="n">
        <f aca="false">$G902+(fade_gB-$G902)*2/3</f>
        <v>0.0843624525230602</v>
      </c>
      <c r="J902" s="25" t="n">
        <f aca="false">$G902+(fade_gB-$G902)*3/3</f>
        <v>0.04</v>
      </c>
    </row>
    <row r="903" customFormat="false" ht="17.15" hidden="false" customHeight="false" outlineLevel="0" collapsed="false">
      <c r="A903" s="0" t="s">
        <v>517</v>
      </c>
      <c r="B903" s="0" t="s">
        <v>49</v>
      </c>
      <c r="C903" s="17" t="n">
        <f aca="false">C899/C901</f>
        <v>0.3</v>
      </c>
      <c r="D903" s="17" t="n">
        <f aca="false">D899/D901</f>
        <v>0.521823869871903</v>
      </c>
      <c r="E903" s="17" t="n">
        <f aca="false">E899/E901</f>
        <v>0.653734526458964</v>
      </c>
      <c r="F903" s="17" t="n">
        <f aca="false">F899/F901</f>
        <v>0.71939908587437</v>
      </c>
      <c r="G903" s="17" t="n">
        <f aca="false">G899/G901</f>
        <v>0.753625388864226</v>
      </c>
    </row>
    <row r="904" customFormat="false" ht="17.15" hidden="false" customHeight="false" outlineLevel="0" collapsed="false">
      <c r="A904" s="3" t="s">
        <v>518</v>
      </c>
      <c r="B904" s="0" t="s">
        <v>49</v>
      </c>
      <c r="D904" s="17" t="n">
        <f aca="false">(D894+D898)/D897</f>
        <v>1</v>
      </c>
      <c r="E904" s="17" t="n">
        <f aca="false">(E894+E898)/E897</f>
        <v>1.29875034099137</v>
      </c>
      <c r="F904" s="17" t="n">
        <f aca="false">(F894+F898)/F897</f>
        <v>1.07506839756468</v>
      </c>
      <c r="G904" s="17" t="n">
        <f aca="false">(G894+G898)/G897</f>
        <v>1.07501617842306</v>
      </c>
      <c r="K904" s="3" t="s">
        <v>519</v>
      </c>
    </row>
    <row r="905" customFormat="false" ht="17.15" hidden="false" customHeight="false" outlineLevel="0" collapsed="false">
      <c r="A905" s="3" t="s">
        <v>458</v>
      </c>
      <c r="B905" s="0" t="s">
        <v>90</v>
      </c>
      <c r="D905" s="21" t="n">
        <f aca="false">D899/fx/D883*1000</f>
        <v>73.4578604462223</v>
      </c>
      <c r="E905" s="21" t="n">
        <f aca="false">E899/fx/E883*1000</f>
        <v>74.9738410190283</v>
      </c>
      <c r="F905" s="21" t="n">
        <f aca="false">F899/fx/F883*1000</f>
        <v>103.408822959553</v>
      </c>
      <c r="G905" s="21" t="n">
        <f aca="false">G899/fx/G883*1000</f>
        <v>104.993073222002</v>
      </c>
    </row>
    <row r="906" customFormat="false" ht="17.15" hidden="false" customHeight="false" outlineLevel="0" collapsed="false">
      <c r="A906" s="5" t="s">
        <v>520</v>
      </c>
    </row>
    <row r="907" customFormat="false" ht="17.15" hidden="false" customHeight="false" outlineLevel="0" collapsed="false">
      <c r="A907" s="3" t="s">
        <v>521</v>
      </c>
      <c r="B907" s="0" t="s">
        <v>49</v>
      </c>
      <c r="D907" s="17" t="n">
        <f aca="false">a26_gp/D901-d_ai*D903</f>
        <v>0.296655205435058</v>
      </c>
      <c r="K907" s="7" t="s">
        <v>522</v>
      </c>
    </row>
    <row r="908" customFormat="false" ht="17.15" hidden="false" customHeight="false" outlineLevel="0" collapsed="false">
      <c r="A908" s="0" t="s">
        <v>523</v>
      </c>
      <c r="B908" s="0" t="s">
        <v>49</v>
      </c>
      <c r="D908" s="17" t="n">
        <f aca="false">D907+d_ai</f>
        <v>0.396655205435058</v>
      </c>
      <c r="E908" s="17" t="n">
        <f aca="false">1-(1-$D$908)/E890+gmu_27</f>
        <v>0.406655205435058</v>
      </c>
      <c r="F908" s="17" t="n">
        <f aca="false">1-(1-$D$908)/F890+gmu_28</f>
        <v>0.392995057149545</v>
      </c>
      <c r="G908" s="17" t="n">
        <f aca="false">1-(1-$D$908)/G890+gmu_29</f>
        <v>0.378143835569211</v>
      </c>
      <c r="K908" s="7" t="s">
        <v>524</v>
      </c>
    </row>
    <row r="909" customFormat="false" ht="15" hidden="false" customHeight="false" outlineLevel="0" collapsed="false">
      <c r="A909" s="3" t="s">
        <v>391</v>
      </c>
      <c r="B909" s="0" t="s">
        <v>184</v>
      </c>
      <c r="C909" s="22" t="n">
        <f aca="false">a25_gp</f>
        <v>19.683</v>
      </c>
      <c r="D909" s="22" t="n">
        <f aca="false">a26_gp</f>
        <v>36.7701055</v>
      </c>
      <c r="E909" s="22" t="n">
        <f aca="false">E899*E908+E898*$D$907</f>
        <v>56.331961135</v>
      </c>
      <c r="F909" s="22" t="n">
        <f aca="false">F899*F908+F898*$D$907</f>
        <v>71.0939969154807</v>
      </c>
      <c r="G909" s="22" t="n">
        <f aca="false">G899*G908+G898*$D$907</f>
        <v>81.6002917090796</v>
      </c>
    </row>
    <row r="910" customFormat="false" ht="15" hidden="false" customHeight="false" outlineLevel="0" collapsed="false">
      <c r="A910" s="3" t="s">
        <v>394</v>
      </c>
      <c r="B910" s="0" t="s">
        <v>49</v>
      </c>
      <c r="C910" s="17" t="n">
        <f aca="false">C909/C901</f>
        <v>0.328028131457903</v>
      </c>
      <c r="D910" s="17" t="n">
        <f aca="false">D909/D901</f>
        <v>0.348837592422248</v>
      </c>
      <c r="E910" s="17" t="n">
        <f aca="false">E909/E901</f>
        <v>0.368566003345544</v>
      </c>
      <c r="F910" s="17" t="n">
        <f aca="false">F909/F901</f>
        <v>0.365962006691732</v>
      </c>
      <c r="G910" s="17" t="n">
        <f aca="false">G909/G901</f>
        <v>0.358067106007922</v>
      </c>
    </row>
    <row r="911" customFormat="false" ht="15" hidden="false" customHeight="false" outlineLevel="0" collapsed="false">
      <c r="A911" s="3" t="s">
        <v>525</v>
      </c>
      <c r="B911" s="0" t="s">
        <v>184</v>
      </c>
      <c r="C911" s="22" t="n">
        <f aca="false">a25_opx</f>
        <v>5.64</v>
      </c>
      <c r="D911" s="22" t="n">
        <f aca="false">a26_opx</f>
        <v>8.4779754</v>
      </c>
      <c r="E911" s="22" t="n">
        <f aca="false">D911*(1+MAX(0,phi_hi*E902))</f>
        <v>12.29306433</v>
      </c>
      <c r="F911" s="22" t="n">
        <f aca="false">E911*(1+MAX(0,phi_hi*F902))</f>
        <v>15.6249086622</v>
      </c>
      <c r="G911" s="22" t="n">
        <f aca="false">F911*(1+MAX(0,phi_hi*G902))</f>
        <v>18.3293828148</v>
      </c>
    </row>
    <row r="912" customFormat="false" ht="15" hidden="false" customHeight="false" outlineLevel="0" collapsed="false">
      <c r="A912" s="3" t="s">
        <v>396</v>
      </c>
      <c r="B912" s="0" t="s">
        <v>184</v>
      </c>
      <c r="C912" s="22" t="n">
        <f aca="false">C911</f>
        <v>5.64</v>
      </c>
      <c r="D912" s="22" t="n">
        <f aca="false">D911</f>
        <v>8.4779754</v>
      </c>
      <c r="E912" s="22" t="n">
        <f aca="false">E911+0*E901</f>
        <v>12.29306433</v>
      </c>
      <c r="F912" s="22" t="n">
        <f aca="false">F911+0*F901</f>
        <v>15.6249086622</v>
      </c>
      <c r="G912" s="22" t="n">
        <f aca="false">G911+0*G901</f>
        <v>18.3293828148</v>
      </c>
    </row>
    <row r="913" customFormat="false" ht="15" hidden="false" customHeight="false" outlineLevel="0" collapsed="false">
      <c r="A913" s="3" t="s">
        <v>526</v>
      </c>
      <c r="B913" s="0" t="s">
        <v>184</v>
      </c>
      <c r="C913" s="22" t="n">
        <f aca="false">C909-C912</f>
        <v>14.043</v>
      </c>
      <c r="D913" s="22" t="n">
        <f aca="false">D909-D912</f>
        <v>28.2921301</v>
      </c>
      <c r="E913" s="22" t="n">
        <f aca="false">E909-E912</f>
        <v>44.038896805</v>
      </c>
      <c r="F913" s="22" t="n">
        <f aca="false">F909-F912</f>
        <v>55.4690882532807</v>
      </c>
      <c r="G913" s="22" t="n">
        <f aca="false">G909-G912</f>
        <v>63.2709088942796</v>
      </c>
    </row>
    <row r="914" customFormat="false" ht="15" hidden="false" customHeight="false" outlineLevel="0" collapsed="false">
      <c r="A914" s="3" t="s">
        <v>402</v>
      </c>
      <c r="B914" s="0" t="s">
        <v>49</v>
      </c>
      <c r="C914" s="17" t="n">
        <f aca="false">C913/C901</f>
        <v>0.23403439770682</v>
      </c>
      <c r="D914" s="17" t="n">
        <f aca="false">D913/D901</f>
        <v>0.268407131673338</v>
      </c>
      <c r="E914" s="17" t="n">
        <f aca="false">E913/E901</f>
        <v>0.288135542596634</v>
      </c>
      <c r="F914" s="17" t="n">
        <f aca="false">F913/F901</f>
        <v>0.285531545942822</v>
      </c>
      <c r="G914" s="17" t="n">
        <f aca="false">G913/G901</f>
        <v>0.277636645259012</v>
      </c>
    </row>
    <row r="915" customFormat="false" ht="17.15" hidden="false" customHeight="false" outlineLevel="0" collapsed="false">
      <c r="A915" s="3" t="s">
        <v>403</v>
      </c>
      <c r="B915" s="0" t="s">
        <v>184</v>
      </c>
      <c r="E915" s="22" t="n">
        <f aca="false">nop_f</f>
        <v>0</v>
      </c>
      <c r="F915" s="22" t="n">
        <f aca="false">nop_f</f>
        <v>0</v>
      </c>
      <c r="G915" s="22" t="n">
        <f aca="false">nop_f</f>
        <v>0</v>
      </c>
      <c r="K915" s="7" t="s">
        <v>527</v>
      </c>
    </row>
    <row r="916" customFormat="false" ht="15" hidden="false" customHeight="false" outlineLevel="0" collapsed="false">
      <c r="A916" s="3" t="s">
        <v>408</v>
      </c>
      <c r="B916" s="0" t="s">
        <v>184</v>
      </c>
      <c r="C916" s="22" t="n">
        <f aca="false">a25_ni</f>
        <v>9.607</v>
      </c>
      <c r="D916" s="22" t="n">
        <f aca="false">a26_ni</f>
        <v>19.6977289395284</v>
      </c>
      <c r="E916" s="22" t="n">
        <f aca="false">(E913+E915)*nir_f</f>
        <v>30.166644311425</v>
      </c>
      <c r="F916" s="22" t="n">
        <f aca="false">(F913+F915)*nir_f</f>
        <v>37.9963254534973</v>
      </c>
      <c r="G916" s="22" t="n">
        <f aca="false">(G913+G915)*nir_f</f>
        <v>43.3405725925815</v>
      </c>
      <c r="H916" s="24" t="n">
        <f aca="false">H901*H921</f>
        <v>46.7442151357011</v>
      </c>
      <c r="I916" s="24" t="n">
        <f aca="false">I901*I921</f>
        <v>48.3287837914161</v>
      </c>
      <c r="J916" s="24" t="n">
        <f aca="false">J901*J921</f>
        <v>47.8086916496984</v>
      </c>
    </row>
    <row r="917" customFormat="false" ht="17.15" hidden="false" customHeight="false" outlineLevel="0" collapsed="false">
      <c r="A917" s="3" t="s">
        <v>411</v>
      </c>
      <c r="B917" s="0" t="s">
        <v>49</v>
      </c>
      <c r="C917" s="17" t="n">
        <f aca="false">C916/C913</f>
        <v>0.684113081250445</v>
      </c>
      <c r="D917" s="17" t="n">
        <f aca="false">D916/D913</f>
        <v>0.696226437171953</v>
      </c>
      <c r="E917" s="17" t="n">
        <f aca="false">E916/E913</f>
        <v>0.685</v>
      </c>
      <c r="F917" s="17" t="n">
        <f aca="false">F916/F913</f>
        <v>0.685</v>
      </c>
      <c r="G917" s="17" t="n">
        <f aca="false">G916/G913</f>
        <v>0.685</v>
      </c>
    </row>
    <row r="918" customFormat="false" ht="17.15" hidden="false" customHeight="false" outlineLevel="0" collapsed="false">
      <c r="A918" s="3" t="s">
        <v>528</v>
      </c>
      <c r="B918" s="3" t="s">
        <v>214</v>
      </c>
      <c r="C918" s="27" t="n">
        <f aca="false">a25_sh</f>
        <v>0.493425783256292</v>
      </c>
      <c r="D918" s="27" t="n">
        <f aca="false">a26_sh</f>
        <v>0.512980850061958</v>
      </c>
      <c r="E918" s="27" t="n">
        <f aca="false">sh_h2*(1+sh_g)</f>
        <v>0.51889356</v>
      </c>
      <c r="F918" s="27" t="n">
        <f aca="false">E918*(1+sh_g)</f>
        <v>0.5240824956</v>
      </c>
      <c r="G918" s="27" t="n">
        <f aca="false">F918*(1+sh_g)</f>
        <v>0.529323320556</v>
      </c>
      <c r="H918" s="28" t="n">
        <f aca="false">G918*(1+sh_g)</f>
        <v>0.53461655376156</v>
      </c>
      <c r="I918" s="28" t="n">
        <f aca="false">H918*(1+sh_g)</f>
        <v>0.539962719299176</v>
      </c>
      <c r="J918" s="28" t="n">
        <f aca="false">I918*(1+sh_g)</f>
        <v>0.545362346492167</v>
      </c>
      <c r="K918" s="7" t="s">
        <v>529</v>
      </c>
    </row>
    <row r="919" customFormat="false" ht="15" hidden="false" customHeight="false" outlineLevel="0" collapsed="false">
      <c r="A919" s="0" t="s">
        <v>414</v>
      </c>
      <c r="B919" s="0" t="s">
        <v>252</v>
      </c>
      <c r="C919" s="23" t="n">
        <f aca="false">C916/C918</f>
        <v>19.47</v>
      </c>
      <c r="D919" s="23" t="n">
        <f aca="false">D916/D918</f>
        <v>38.3985658278458</v>
      </c>
      <c r="E919" s="23" t="n">
        <f aca="false">E916/E918</f>
        <v>58.1364785321772</v>
      </c>
      <c r="F919" s="23" t="n">
        <f aca="false">F916/F918</f>
        <v>72.5006573821873</v>
      </c>
      <c r="G919" s="23" t="n">
        <f aca="false">G916/G918</f>
        <v>81.8792048441333</v>
      </c>
      <c r="H919" s="29" t="n">
        <f aca="false">H916/H918</f>
        <v>87.4350313450061</v>
      </c>
      <c r="I919" s="29" t="n">
        <f aca="false">I916/I918</f>
        <v>89.5039269639626</v>
      </c>
      <c r="J919" s="29" t="n">
        <f aca="false">J916/J918</f>
        <v>87.664086010355</v>
      </c>
    </row>
    <row r="920" customFormat="false" ht="17.15" hidden="false" customHeight="false" outlineLevel="0" collapsed="false">
      <c r="A920" s="0" t="s">
        <v>530</v>
      </c>
      <c r="B920" s="0" t="s">
        <v>49</v>
      </c>
      <c r="D920" s="17" t="n">
        <f aca="false">D919/C919-1</f>
        <v>0.9721913624985</v>
      </c>
      <c r="E920" s="17" t="n">
        <f aca="false">E919/D919-1</f>
        <v>0.514027341354971</v>
      </c>
      <c r="F920" s="17" t="n">
        <f aca="false">F919/E919-1</f>
        <v>0.2470768648648</v>
      </c>
      <c r="G920" s="17" t="n">
        <f aca="false">G919/F919-1</f>
        <v>0.129358102403223</v>
      </c>
      <c r="H920" s="25" t="n">
        <f aca="false">H919/G919-1</f>
        <v>0.0678539381452106</v>
      </c>
      <c r="I920" s="25" t="n">
        <f aca="false">I919/H919-1</f>
        <v>0.0236620904359599</v>
      </c>
      <c r="J920" s="25" t="n">
        <f aca="false">J919/I919-1</f>
        <v>-0.0205559802347932</v>
      </c>
    </row>
    <row r="921" customFormat="false" ht="17.15" hidden="false" customHeight="false" outlineLevel="0" collapsed="false">
      <c r="A921" s="3" t="s">
        <v>531</v>
      </c>
      <c r="B921" s="0" t="s">
        <v>49</v>
      </c>
      <c r="C921" s="17" t="n">
        <f aca="false">C916/C901</f>
        <v>0.160105992933804</v>
      </c>
      <c r="D921" s="17" t="n">
        <f aca="false">D916/D901</f>
        <v>0.186872140996471</v>
      </c>
      <c r="E921" s="17" t="n">
        <f aca="false">E916/E901</f>
        <v>0.197372846678694</v>
      </c>
      <c r="F921" s="17" t="n">
        <f aca="false">F916/F901</f>
        <v>0.195589108970833</v>
      </c>
      <c r="G921" s="17" t="n">
        <f aca="false">G916/G901</f>
        <v>0.190181102002423</v>
      </c>
      <c r="H921" s="25" t="n">
        <f aca="false">$G921+(fade_mB-$G921)*1/3</f>
        <v>0.181724080158436</v>
      </c>
      <c r="I921" s="25" t="n">
        <f aca="false">$G921+(fade_mB-$G921)*2/3</f>
        <v>0.173267058314449</v>
      </c>
      <c r="J921" s="25" t="n">
        <f aca="false">$G921+(fade_mB-$G921)*3/3</f>
        <v>0.164810036470462</v>
      </c>
    </row>
    <row r="924" customFormat="false" ht="17.15" hidden="false" customHeight="false" outlineLevel="0" collapsed="false">
      <c r="A924" s="1" t="s">
        <v>841</v>
      </c>
    </row>
    <row r="925" customFormat="false" ht="17.15" hidden="false" customHeight="false" outlineLevel="0" collapsed="false">
      <c r="A925" s="4" t="s">
        <v>18</v>
      </c>
      <c r="B925" s="4" t="s">
        <v>19</v>
      </c>
      <c r="C925" s="14" t="s">
        <v>382</v>
      </c>
      <c r="D925" s="14" t="s">
        <v>472</v>
      </c>
      <c r="E925" s="14" t="s">
        <v>473</v>
      </c>
      <c r="F925" s="14" t="s">
        <v>474</v>
      </c>
      <c r="G925" s="14" t="s">
        <v>475</v>
      </c>
      <c r="H925" s="14" t="s">
        <v>476</v>
      </c>
      <c r="I925" s="14" t="s">
        <v>477</v>
      </c>
      <c r="J925" s="14" t="s">
        <v>478</v>
      </c>
      <c r="K925" s="4" t="s">
        <v>436</v>
      </c>
    </row>
    <row r="926" customFormat="false" ht="17.15" hidden="false" customHeight="false" outlineLevel="0" collapsed="false">
      <c r="A926" s="5" t="s">
        <v>494</v>
      </c>
    </row>
    <row r="927" customFormat="false" ht="17.15" hidden="false" customHeight="false" outlineLevel="0" collapsed="false">
      <c r="A927" s="0" t="s">
        <v>495</v>
      </c>
      <c r="B927" s="0" t="s">
        <v>29</v>
      </c>
      <c r="D927" s="23" t="n">
        <f aca="false">itc_26*1</f>
        <v>781.872916666667</v>
      </c>
      <c r="E927" s="23" t="n">
        <f aca="false">itc_27*1*1</f>
        <v>1565.35</v>
      </c>
      <c r="F927" s="23" t="n">
        <f aca="false">itc_28*um28_B*1</f>
        <v>1587.41111111111</v>
      </c>
      <c r="G927" s="23" t="n">
        <f aca="false">itc_29*um29_B*1</f>
        <v>1921.33173611111</v>
      </c>
    </row>
    <row r="928" customFormat="false" ht="17.15" hidden="false" customHeight="false" outlineLevel="0" collapsed="false">
      <c r="A928" s="3" t="s">
        <v>496</v>
      </c>
      <c r="B928" s="0" t="s">
        <v>29</v>
      </c>
      <c r="D928" s="23" t="n">
        <f aca="false">itpg_gb*(1-vr26)+itpg_vr*vr26</f>
        <v>33.41403216</v>
      </c>
      <c r="E928" s="23" t="n">
        <f aca="false">itpg_vr</f>
        <v>37.586352</v>
      </c>
      <c r="F928" s="23" t="n">
        <f aca="false">itpg_vr</f>
        <v>37.586352</v>
      </c>
      <c r="G928" s="23" t="n">
        <f aca="false">itpg_vr</f>
        <v>37.586352</v>
      </c>
    </row>
    <row r="929" customFormat="false" ht="17.15" hidden="false" customHeight="false" outlineLevel="0" collapsed="false">
      <c r="A929" s="3" t="s">
        <v>497</v>
      </c>
      <c r="B929" s="0" t="s">
        <v>438</v>
      </c>
      <c r="D929" s="20" t="n">
        <f aca="false">D927/D928</f>
        <v>23.3995380420639</v>
      </c>
      <c r="E929" s="20" t="n">
        <f aca="false">E927/E928</f>
        <v>41.6467658260637</v>
      </c>
      <c r="F929" s="20" t="n">
        <f aca="false">F927/F928</f>
        <v>42.2337105529984</v>
      </c>
      <c r="G929" s="20" t="n">
        <f aca="false">G927/G928</f>
        <v>51.1178029756948</v>
      </c>
    </row>
    <row r="930" customFormat="false" ht="17.15" hidden="false" customHeight="false" outlineLevel="0" collapsed="false">
      <c r="A930" s="3" t="s">
        <v>442</v>
      </c>
      <c r="B930" s="0" t="s">
        <v>90</v>
      </c>
      <c r="D930" s="21" t="n">
        <f aca="false">vg_cmp26</f>
        <v>280</v>
      </c>
      <c r="E930" s="21" t="n">
        <f aca="false">(vg_cmp26+(vg_cmp27-vg_cmp26)*pgwf)</f>
        <v>420</v>
      </c>
      <c r="F930" s="21" t="n">
        <f aca="false">(vg_cmp26+(vg_cmp28-vg_cmp26)*pgwf)</f>
        <v>462</v>
      </c>
      <c r="G930" s="21" t="n">
        <f aca="false">(vg_cmp26+(vg_cmp29-vg_cmp26)*pgwf)</f>
        <v>504</v>
      </c>
    </row>
    <row r="931" customFormat="false" ht="17.15" hidden="false" customHeight="false" outlineLevel="0" collapsed="false">
      <c r="A931" s="3" t="s">
        <v>444</v>
      </c>
      <c r="B931" s="0" t="s">
        <v>90</v>
      </c>
      <c r="D931" s="21" t="n">
        <f aca="false">vg_sw26</f>
        <v>120</v>
      </c>
      <c r="E931" s="21" t="n">
        <f aca="false">(vg_sw26+(vg_sw27-vg_sw26)*pgwf)</f>
        <v>162</v>
      </c>
      <c r="F931" s="21" t="n">
        <f aca="false">(vg_sw26+(vg_sw28-vg_sw26)*pgwf)</f>
        <v>180</v>
      </c>
      <c r="G931" s="21" t="n">
        <f aca="false">(vg_sw26+(vg_sw29-vg_sw26)*pgwf)</f>
        <v>198</v>
      </c>
    </row>
    <row r="932" customFormat="false" ht="17.15" hidden="false" customHeight="false" outlineLevel="0" collapsed="false">
      <c r="A932" s="3" t="s">
        <v>498</v>
      </c>
      <c r="B932" s="0" t="s">
        <v>90</v>
      </c>
      <c r="D932" s="21" t="n">
        <f aca="false">vg_mid26*w_mid</f>
        <v>25</v>
      </c>
      <c r="E932" s="21" t="n">
        <f aca="false">(vg_mid26+(vg_mid27-vg_mid26)*pgwf)*w_mid</f>
        <v>50</v>
      </c>
      <c r="F932" s="21" t="n">
        <f aca="false">(vg_mid26+(vg_mid28-vg_mid26)*pgwf)*w_mid</f>
        <v>75</v>
      </c>
      <c r="G932" s="21" t="n">
        <f aca="false">(vg_mid26+(vg_mid29-vg_mid26)*pgwf)*w_mid</f>
        <v>87.5</v>
      </c>
    </row>
    <row r="933" customFormat="false" ht="17.15" hidden="false" customHeight="false" outlineLevel="0" collapsed="false">
      <c r="A933" s="3" t="s">
        <v>499</v>
      </c>
      <c r="B933" s="0" t="s">
        <v>90</v>
      </c>
      <c r="D933" s="21" t="n">
        <f aca="false">D930+D931+D932</f>
        <v>425</v>
      </c>
      <c r="E933" s="21" t="n">
        <f aca="false">E930+E931+E932</f>
        <v>632</v>
      </c>
      <c r="F933" s="21" t="n">
        <f aca="false">F930+F931+F932</f>
        <v>717</v>
      </c>
      <c r="G933" s="21" t="n">
        <f aca="false">G930+G931+G932</f>
        <v>789.5</v>
      </c>
    </row>
    <row r="934" customFormat="false" ht="17.15" hidden="false" customHeight="false" outlineLevel="0" collapsed="false">
      <c r="A934" s="3" t="s">
        <v>500</v>
      </c>
      <c r="B934" s="0" t="s">
        <v>29</v>
      </c>
      <c r="D934" s="23" t="n">
        <f aca="false">D929*D933/1000</f>
        <v>9.94480366787716</v>
      </c>
      <c r="E934" s="23" t="n">
        <f aca="false">E929*E933/1000</f>
        <v>26.3207560020722</v>
      </c>
      <c r="F934" s="23" t="n">
        <f aca="false">F929*F933/1000</f>
        <v>30.2815704664998</v>
      </c>
      <c r="G934" s="23" t="n">
        <f aca="false">G929*G933/1000</f>
        <v>40.3575054493111</v>
      </c>
    </row>
    <row r="935" customFormat="false" ht="17.15" hidden="false" customHeight="false" outlineLevel="0" collapsed="false">
      <c r="A935" s="3" t="s">
        <v>501</v>
      </c>
      <c r="B935" s="0" t="s">
        <v>184</v>
      </c>
      <c r="D935" s="22" t="n">
        <f aca="false">D934*fx</f>
        <v>318.233717372069</v>
      </c>
      <c r="E935" s="22" t="n">
        <f aca="false">E934*fx</f>
        <v>842.264192066312</v>
      </c>
      <c r="F935" s="22" t="n">
        <f aca="false">F934*fx</f>
        <v>969.010254927995</v>
      </c>
      <c r="G935" s="22" t="n">
        <f aca="false">G934*fx</f>
        <v>1291.44017437795</v>
      </c>
    </row>
    <row r="936" customFormat="false" ht="17.15" hidden="false" customHeight="false" outlineLevel="0" collapsed="false">
      <c r="A936" s="0" t="s">
        <v>502</v>
      </c>
      <c r="B936" s="0" t="s">
        <v>63</v>
      </c>
      <c r="D936" s="18" t="n">
        <f aca="false">1</f>
        <v>1</v>
      </c>
      <c r="E936" s="18" t="n">
        <f aca="false">pp_27</f>
        <v>1</v>
      </c>
      <c r="F936" s="18" t="n">
        <f aca="false">pp_28</f>
        <v>0.97</v>
      </c>
      <c r="G936" s="18" t="n">
        <f aca="false">pp_29</f>
        <v>0.94</v>
      </c>
    </row>
    <row r="937" customFormat="false" ht="17.15" hidden="false" customHeight="false" outlineLevel="0" collapsed="false">
      <c r="A937" s="3" t="s">
        <v>503</v>
      </c>
      <c r="B937" s="0" t="s">
        <v>49</v>
      </c>
      <c r="D937" s="17" t="n">
        <f aca="false">a26_ai/D935</f>
        <v>0.172842024579347</v>
      </c>
      <c r="K937" s="7" t="s">
        <v>504</v>
      </c>
    </row>
    <row r="938" customFormat="false" ht="17.15" hidden="false" customHeight="false" outlineLevel="0" collapsed="false">
      <c r="A938" s="3" t="s">
        <v>505</v>
      </c>
      <c r="B938" s="0" t="s">
        <v>63</v>
      </c>
      <c r="D938" s="18" t="n">
        <f aca="false">1</f>
        <v>1</v>
      </c>
      <c r="E938" s="18" t="n">
        <f aca="false">rel_27</f>
        <v>1</v>
      </c>
      <c r="F938" s="18" t="n">
        <f aca="false">rel_28</f>
        <v>0.95</v>
      </c>
      <c r="G938" s="18" t="n">
        <f aca="false">rel_29</f>
        <v>0.9</v>
      </c>
    </row>
    <row r="939" customFormat="false" ht="15" hidden="false" customHeight="false" outlineLevel="0" collapsed="false">
      <c r="A939" s="3" t="s">
        <v>454</v>
      </c>
      <c r="B939" s="0" t="s">
        <v>49</v>
      </c>
      <c r="D939" s="17" t="n">
        <f aca="false">$D$937*D938</f>
        <v>0.172842024579347</v>
      </c>
      <c r="E939" s="17" t="n">
        <f aca="false">$D$937*E938</f>
        <v>0.172842024579347</v>
      </c>
      <c r="F939" s="17" t="n">
        <f aca="false">$D$937*F938</f>
        <v>0.164199923350379</v>
      </c>
      <c r="G939" s="17" t="n">
        <f aca="false">$D$937*G938</f>
        <v>0.155557822121412</v>
      </c>
    </row>
    <row r="940" customFormat="false" ht="17.15" hidden="false" customHeight="false" outlineLevel="0" collapsed="false">
      <c r="A940" s="0" t="s">
        <v>506</v>
      </c>
      <c r="B940" s="0" t="s">
        <v>184</v>
      </c>
      <c r="D940" s="22" t="n">
        <f aca="false">D935*D939*D936</f>
        <v>55.00416</v>
      </c>
      <c r="E940" s="22" t="n">
        <f aca="false">E935*E939*E936</f>
        <v>145.578648187429</v>
      </c>
      <c r="F940" s="22" t="n">
        <f aca="false">F935*F939*F936</f>
        <v>154.338067297361</v>
      </c>
      <c r="G940" s="22" t="n">
        <f aca="false">G935*G939*G936</f>
        <v>188.840003670751</v>
      </c>
    </row>
    <row r="941" customFormat="false" ht="17.15" hidden="false" customHeight="false" outlineLevel="0" collapsed="false">
      <c r="A941" s="5" t="s">
        <v>507</v>
      </c>
    </row>
    <row r="942" customFormat="false" ht="17.15" hidden="false" customHeight="false" outlineLevel="0" collapsed="false">
      <c r="A942" s="3" t="s">
        <v>508</v>
      </c>
      <c r="B942" s="0" t="s">
        <v>63</v>
      </c>
      <c r="D942" s="18" t="n">
        <f aca="false">1</f>
        <v>1</v>
      </c>
      <c r="E942" s="18" t="n">
        <f aca="false">cx_27</f>
        <v>1.45</v>
      </c>
      <c r="F942" s="18" t="n">
        <f aca="false">cx_28</f>
        <v>1.9</v>
      </c>
      <c r="G942" s="18" t="n">
        <f aca="false">cx_29</f>
        <v>2.3</v>
      </c>
      <c r="K942" s="7" t="s">
        <v>509</v>
      </c>
    </row>
    <row r="943" customFormat="false" ht="17.15" hidden="false" customHeight="false" outlineLevel="0" collapsed="false">
      <c r="A943" s="3" t="s">
        <v>510</v>
      </c>
      <c r="B943" s="0" t="s">
        <v>184</v>
      </c>
      <c r="D943" s="22" t="n">
        <f aca="false">a26_rev*D942*D936</f>
        <v>105.40752</v>
      </c>
      <c r="E943" s="22" t="n">
        <f aca="false">a26_rev*E942*E936</f>
        <v>152.840904</v>
      </c>
      <c r="F943" s="22" t="n">
        <f aca="false">a26_rev*F942*F936</f>
        <v>194.26605936</v>
      </c>
      <c r="G943" s="22" t="n">
        <f aca="false">a26_rev*G942*G936</f>
        <v>227.89105824</v>
      </c>
    </row>
    <row r="944" customFormat="false" ht="17.15" hidden="false" customHeight="false" outlineLevel="0" collapsed="false">
      <c r="A944" s="3" t="s">
        <v>511</v>
      </c>
      <c r="B944" s="0" t="s">
        <v>184</v>
      </c>
      <c r="C944" s="22" t="n">
        <f aca="false">a25_nai</f>
        <v>42.0028</v>
      </c>
      <c r="D944" s="22" t="n">
        <f aca="false">a26_nai</f>
        <v>50.40336</v>
      </c>
      <c r="E944" s="22" t="n">
        <f aca="false">D944*(1+g_nai27)</f>
        <v>52.923528</v>
      </c>
      <c r="F944" s="22" t="n">
        <f aca="false">E944*(1+g_nai28)</f>
        <v>54.51123384</v>
      </c>
      <c r="G944" s="22" t="n">
        <f aca="false">F944*(1+g_nai29)</f>
        <v>56.1465708552</v>
      </c>
    </row>
    <row r="945" customFormat="false" ht="17.15" hidden="false" customHeight="false" outlineLevel="0" collapsed="false">
      <c r="A945" s="0" t="s">
        <v>512</v>
      </c>
      <c r="B945" s="0" t="s">
        <v>184</v>
      </c>
      <c r="C945" s="22" t="n">
        <f aca="false">a25_ai</f>
        <v>18.0012</v>
      </c>
      <c r="D945" s="22" t="n">
        <f aca="false">D940</f>
        <v>55.00416</v>
      </c>
      <c r="E945" s="22" t="n">
        <f aca="false">MIN(E940,E943-E944)</f>
        <v>99.917376</v>
      </c>
      <c r="F945" s="22" t="n">
        <f aca="false">MIN(F940,F943-F944)</f>
        <v>139.75482552</v>
      </c>
      <c r="G945" s="22" t="n">
        <f aca="false">MIN(G940,G943-G944)</f>
        <v>171.7444873848</v>
      </c>
      <c r="K945" s="3" t="s">
        <v>513</v>
      </c>
    </row>
    <row r="946" customFormat="false" ht="15" hidden="false" customHeight="false" outlineLevel="0" collapsed="false">
      <c r="A946" s="3" t="s">
        <v>514</v>
      </c>
      <c r="E946" s="0" t="str">
        <f aca="false">IF(E940&gt;E943-E944+0.0001,"受限","未受限")</f>
        <v>受限</v>
      </c>
      <c r="F946" s="0" t="str">
        <f aca="false">IF(F940&gt;F943-F944+0.0001,"受限","未受限")</f>
        <v>受限</v>
      </c>
      <c r="G946" s="0" t="str">
        <f aca="false">IF(G940&gt;G943-G944+0.0001,"受限","未受限")</f>
        <v>受限</v>
      </c>
    </row>
    <row r="947" customFormat="false" ht="17.15" hidden="false" customHeight="false" outlineLevel="0" collapsed="false">
      <c r="A947" s="3" t="s">
        <v>387</v>
      </c>
      <c r="B947" s="0" t="s">
        <v>184</v>
      </c>
      <c r="C947" s="22" t="n">
        <f aca="false">C945+C944</f>
        <v>60.004</v>
      </c>
      <c r="D947" s="22" t="n">
        <f aca="false">D945+D944</f>
        <v>105.40752</v>
      </c>
      <c r="E947" s="22" t="n">
        <f aca="false">E945+E944</f>
        <v>152.840904</v>
      </c>
      <c r="F947" s="22" t="n">
        <f aca="false">F945+F944</f>
        <v>194.26605936</v>
      </c>
      <c r="G947" s="22" t="n">
        <f aca="false">G945+G944</f>
        <v>227.89105824</v>
      </c>
      <c r="H947" s="24" t="n">
        <f aca="false">G947*(1+H948)</f>
        <v>257.226313072804</v>
      </c>
      <c r="I947" s="24" t="n">
        <f aca="false">H947*(1+I948)</f>
        <v>278.92655569709</v>
      </c>
      <c r="J947" s="24" t="n">
        <f aca="false">I947*(1+J948)</f>
        <v>290.083617924974</v>
      </c>
      <c r="K947" s="7" t="s">
        <v>515</v>
      </c>
    </row>
    <row r="948" customFormat="false" ht="15" hidden="false" customHeight="false" outlineLevel="0" collapsed="false">
      <c r="A948" s="3" t="s">
        <v>516</v>
      </c>
      <c r="B948" s="0" t="s">
        <v>49</v>
      </c>
      <c r="D948" s="17" t="n">
        <f aca="false">D947/C947-1</f>
        <v>0.756674888340778</v>
      </c>
      <c r="E948" s="17" t="n">
        <f aca="false">E947/D947-1</f>
        <v>0.45</v>
      </c>
      <c r="F948" s="17" t="n">
        <f aca="false">F947/E947-1</f>
        <v>0.271034482758621</v>
      </c>
      <c r="G948" s="17" t="n">
        <f aca="false">G947/F947-1</f>
        <v>0.173087357569181</v>
      </c>
      <c r="H948" s="25" t="n">
        <f aca="false">$G948+(fade_gB-$G948)*1/3</f>
        <v>0.12872490504612</v>
      </c>
      <c r="I948" s="25" t="n">
        <f aca="false">$G948+(fade_gB-$G948)*2/3</f>
        <v>0.0843624525230602</v>
      </c>
      <c r="J948" s="25" t="n">
        <f aca="false">$G948+(fade_gB-$G948)*3/3</f>
        <v>0.04</v>
      </c>
    </row>
    <row r="949" customFormat="false" ht="17.15" hidden="false" customHeight="false" outlineLevel="0" collapsed="false">
      <c r="A949" s="0" t="s">
        <v>517</v>
      </c>
      <c r="B949" s="0" t="s">
        <v>49</v>
      </c>
      <c r="C949" s="17" t="n">
        <f aca="false">C945/C947</f>
        <v>0.3</v>
      </c>
      <c r="D949" s="17" t="n">
        <f aca="false">D945/D947</f>
        <v>0.521823869871903</v>
      </c>
      <c r="E949" s="17" t="n">
        <f aca="false">E945/E947</f>
        <v>0.653734526458964</v>
      </c>
      <c r="F949" s="17" t="n">
        <f aca="false">F945/F947</f>
        <v>0.71939908587437</v>
      </c>
      <c r="G949" s="17" t="n">
        <f aca="false">G945/G947</f>
        <v>0.753625388864226</v>
      </c>
    </row>
    <row r="950" customFormat="false" ht="17.15" hidden="false" customHeight="false" outlineLevel="0" collapsed="false">
      <c r="A950" s="3" t="s">
        <v>518</v>
      </c>
      <c r="B950" s="0" t="s">
        <v>49</v>
      </c>
      <c r="D950" s="17" t="n">
        <f aca="false">(D940+D944)/D943</f>
        <v>1</v>
      </c>
      <c r="E950" s="17" t="n">
        <f aca="false">(E940+E944)/E943</f>
        <v>1.29875034099137</v>
      </c>
      <c r="F950" s="17" t="n">
        <f aca="false">(F940+F944)/F943</f>
        <v>1.07506839756468</v>
      </c>
      <c r="G950" s="17" t="n">
        <f aca="false">(G940+G944)/G943</f>
        <v>1.07501617842306</v>
      </c>
      <c r="K950" s="3" t="s">
        <v>519</v>
      </c>
    </row>
    <row r="951" customFormat="false" ht="17.15" hidden="false" customHeight="false" outlineLevel="0" collapsed="false">
      <c r="A951" s="3" t="s">
        <v>458</v>
      </c>
      <c r="B951" s="0" t="s">
        <v>90</v>
      </c>
      <c r="D951" s="21" t="n">
        <f aca="false">D945/fx/D929*1000</f>
        <v>73.4578604462223</v>
      </c>
      <c r="E951" s="21" t="n">
        <f aca="false">E945/fx/E929*1000</f>
        <v>74.9738410190283</v>
      </c>
      <c r="F951" s="21" t="n">
        <f aca="false">F945/fx/F929*1000</f>
        <v>103.408822959553</v>
      </c>
      <c r="G951" s="21" t="n">
        <f aca="false">G945/fx/G929*1000</f>
        <v>104.993073222002</v>
      </c>
    </row>
    <row r="952" customFormat="false" ht="17.15" hidden="false" customHeight="false" outlineLevel="0" collapsed="false">
      <c r="A952" s="5" t="s">
        <v>520</v>
      </c>
    </row>
    <row r="953" customFormat="false" ht="17.15" hidden="false" customHeight="false" outlineLevel="0" collapsed="false">
      <c r="A953" s="3" t="s">
        <v>521</v>
      </c>
      <c r="B953" s="0" t="s">
        <v>49</v>
      </c>
      <c r="D953" s="17" t="n">
        <f aca="false">a26_gp/D947-d_ai*D949</f>
        <v>0.296655205435058</v>
      </c>
      <c r="K953" s="7" t="s">
        <v>522</v>
      </c>
    </row>
    <row r="954" customFormat="false" ht="17.15" hidden="false" customHeight="false" outlineLevel="0" collapsed="false">
      <c r="A954" s="0" t="s">
        <v>523</v>
      </c>
      <c r="B954" s="0" t="s">
        <v>49</v>
      </c>
      <c r="D954" s="17" t="n">
        <f aca="false">D953+d_ai</f>
        <v>0.396655205435058</v>
      </c>
      <c r="E954" s="17" t="n">
        <f aca="false">1-(1-$D$954)/E936+gmu_27</f>
        <v>0.406655205435058</v>
      </c>
      <c r="F954" s="17" t="n">
        <f aca="false">1-(1-$D$954)/F936+gmu_28</f>
        <v>0.392995057149545</v>
      </c>
      <c r="G954" s="17" t="n">
        <f aca="false">1-(1-$D$954)/G936+gmu_29</f>
        <v>0.378143835569211</v>
      </c>
      <c r="K954" s="7" t="s">
        <v>524</v>
      </c>
    </row>
    <row r="955" customFormat="false" ht="15" hidden="false" customHeight="false" outlineLevel="0" collapsed="false">
      <c r="A955" s="3" t="s">
        <v>391</v>
      </c>
      <c r="B955" s="0" t="s">
        <v>184</v>
      </c>
      <c r="C955" s="22" t="n">
        <f aca="false">a25_gp</f>
        <v>19.683</v>
      </c>
      <c r="D955" s="22" t="n">
        <f aca="false">a26_gp</f>
        <v>36.7701055</v>
      </c>
      <c r="E955" s="22" t="n">
        <f aca="false">E945*E954+E944*$D$953</f>
        <v>56.331961135</v>
      </c>
      <c r="F955" s="22" t="n">
        <f aca="false">F945*F954+F944*$D$953</f>
        <v>71.0939969154807</v>
      </c>
      <c r="G955" s="22" t="n">
        <f aca="false">G945*G954+G944*$D$953</f>
        <v>81.6002917090796</v>
      </c>
    </row>
    <row r="956" customFormat="false" ht="15" hidden="false" customHeight="false" outlineLevel="0" collapsed="false">
      <c r="A956" s="3" t="s">
        <v>394</v>
      </c>
      <c r="B956" s="0" t="s">
        <v>49</v>
      </c>
      <c r="C956" s="17" t="n">
        <f aca="false">C955/C947</f>
        <v>0.328028131457903</v>
      </c>
      <c r="D956" s="17" t="n">
        <f aca="false">D955/D947</f>
        <v>0.348837592422248</v>
      </c>
      <c r="E956" s="17" t="n">
        <f aca="false">E955/E947</f>
        <v>0.368566003345544</v>
      </c>
      <c r="F956" s="17" t="n">
        <f aca="false">F955/F947</f>
        <v>0.365962006691732</v>
      </c>
      <c r="G956" s="17" t="n">
        <f aca="false">G955/G947</f>
        <v>0.358067106007922</v>
      </c>
    </row>
    <row r="957" customFormat="false" ht="15" hidden="false" customHeight="false" outlineLevel="0" collapsed="false">
      <c r="A957" s="3" t="s">
        <v>525</v>
      </c>
      <c r="B957" s="0" t="s">
        <v>184</v>
      </c>
      <c r="C957" s="22" t="n">
        <f aca="false">a25_opx</f>
        <v>5.64</v>
      </c>
      <c r="D957" s="22" t="n">
        <f aca="false">a26_opx</f>
        <v>8.4779754</v>
      </c>
      <c r="E957" s="22" t="n">
        <f aca="false">D957*(1+MAX(0,phi*E948))</f>
        <v>10.767028758</v>
      </c>
      <c r="F957" s="22" t="n">
        <f aca="false">E957*(1+MAX(0,phi*F948))</f>
        <v>12.517970400163</v>
      </c>
      <c r="G957" s="22" t="n">
        <f aca="false">F957*(1+MAX(0,phi*G948))</f>
        <v>13.8179918513791</v>
      </c>
    </row>
    <row r="958" customFormat="false" ht="15" hidden="false" customHeight="false" outlineLevel="0" collapsed="false">
      <c r="A958" s="3" t="s">
        <v>396</v>
      </c>
      <c r="B958" s="0" t="s">
        <v>184</v>
      </c>
      <c r="C958" s="22" t="n">
        <f aca="false">C957</f>
        <v>5.64</v>
      </c>
      <c r="D958" s="22" t="n">
        <f aca="false">D957</f>
        <v>8.4779754</v>
      </c>
      <c r="E958" s="22" t="n">
        <f aca="false">E957+0*E947</f>
        <v>10.767028758</v>
      </c>
      <c r="F958" s="22" t="n">
        <f aca="false">F957+0*F947</f>
        <v>12.517970400163</v>
      </c>
      <c r="G958" s="22" t="n">
        <f aca="false">G957+0*G947</f>
        <v>13.8179918513791</v>
      </c>
    </row>
    <row r="959" customFormat="false" ht="15" hidden="false" customHeight="false" outlineLevel="0" collapsed="false">
      <c r="A959" s="3" t="s">
        <v>526</v>
      </c>
      <c r="B959" s="0" t="s">
        <v>184</v>
      </c>
      <c r="C959" s="22" t="n">
        <f aca="false">C955-C958</f>
        <v>14.043</v>
      </c>
      <c r="D959" s="22" t="n">
        <f aca="false">D955-D958</f>
        <v>28.2921301</v>
      </c>
      <c r="E959" s="22" t="n">
        <f aca="false">E955-E958</f>
        <v>45.564932377</v>
      </c>
      <c r="F959" s="22" t="n">
        <f aca="false">F955-F958</f>
        <v>58.5760265153177</v>
      </c>
      <c r="G959" s="22" t="n">
        <f aca="false">G955-G958</f>
        <v>67.7822998577005</v>
      </c>
    </row>
    <row r="960" customFormat="false" ht="15" hidden="false" customHeight="false" outlineLevel="0" collapsed="false">
      <c r="A960" s="3" t="s">
        <v>402</v>
      </c>
      <c r="B960" s="0" t="s">
        <v>49</v>
      </c>
      <c r="C960" s="17" t="n">
        <f aca="false">C959/C947</f>
        <v>0.23403439770682</v>
      </c>
      <c r="D960" s="17" t="n">
        <f aca="false">D959/D947</f>
        <v>0.268407131673338</v>
      </c>
      <c r="E960" s="17" t="n">
        <f aca="false">E959/E947</f>
        <v>0.298120013586154</v>
      </c>
      <c r="F960" s="17" t="n">
        <f aca="false">F959/F947</f>
        <v>0.301524757892828</v>
      </c>
      <c r="G960" s="17" t="n">
        <f aca="false">G959/G947</f>
        <v>0.297432906675595</v>
      </c>
    </row>
    <row r="961" customFormat="false" ht="17.15" hidden="false" customHeight="false" outlineLevel="0" collapsed="false">
      <c r="A961" s="3" t="s">
        <v>403</v>
      </c>
      <c r="B961" s="0" t="s">
        <v>184</v>
      </c>
      <c r="E961" s="22" t="n">
        <f aca="false">nop_f</f>
        <v>0</v>
      </c>
      <c r="F961" s="22" t="n">
        <f aca="false">nop_f</f>
        <v>0</v>
      </c>
      <c r="G961" s="22" t="n">
        <f aca="false">nop_f</f>
        <v>0</v>
      </c>
      <c r="K961" s="7" t="s">
        <v>527</v>
      </c>
    </row>
    <row r="962" customFormat="false" ht="15" hidden="false" customHeight="false" outlineLevel="0" collapsed="false">
      <c r="A962" s="3" t="s">
        <v>408</v>
      </c>
      <c r="B962" s="0" t="s">
        <v>184</v>
      </c>
      <c r="C962" s="22" t="n">
        <f aca="false">a25_ni</f>
        <v>9.607</v>
      </c>
      <c r="D962" s="22" t="n">
        <f aca="false">a26_ni</f>
        <v>19.6977289395284</v>
      </c>
      <c r="E962" s="22" t="n">
        <f aca="false">(E959+E961)*nir_f_lo</f>
        <v>29.61720604505</v>
      </c>
      <c r="F962" s="22" t="n">
        <f aca="false">(F959+F961)*nir_f_lo</f>
        <v>38.0744172349565</v>
      </c>
      <c r="G962" s="22" t="n">
        <f aca="false">(G959+G961)*nir_f_lo</f>
        <v>44.0584949075053</v>
      </c>
      <c r="H962" s="24" t="n">
        <f aca="false">H947*H967</f>
        <v>47.284439666863</v>
      </c>
      <c r="I962" s="24" t="n">
        <f aca="false">I947*I967</f>
        <v>48.621683390178</v>
      </c>
      <c r="J962" s="24" t="n">
        <f aca="false">J947*J967</f>
        <v>47.8086916496984</v>
      </c>
    </row>
    <row r="963" customFormat="false" ht="17.15" hidden="false" customHeight="false" outlineLevel="0" collapsed="false">
      <c r="A963" s="3" t="s">
        <v>411</v>
      </c>
      <c r="B963" s="0" t="s">
        <v>49</v>
      </c>
      <c r="C963" s="17" t="n">
        <f aca="false">C962/C959</f>
        <v>0.684113081250445</v>
      </c>
      <c r="D963" s="17" t="n">
        <f aca="false">D962/D959</f>
        <v>0.696226437171953</v>
      </c>
      <c r="E963" s="17" t="n">
        <f aca="false">E962/E959</f>
        <v>0.65</v>
      </c>
      <c r="F963" s="17" t="n">
        <f aca="false">F962/F959</f>
        <v>0.65</v>
      </c>
      <c r="G963" s="17" t="n">
        <f aca="false">G962/G959</f>
        <v>0.65</v>
      </c>
    </row>
    <row r="964" customFormat="false" ht="17.15" hidden="false" customHeight="false" outlineLevel="0" collapsed="false">
      <c r="A964" s="3" t="s">
        <v>528</v>
      </c>
      <c r="B964" s="3" t="s">
        <v>214</v>
      </c>
      <c r="C964" s="27" t="n">
        <f aca="false">a25_sh</f>
        <v>0.493425783256292</v>
      </c>
      <c r="D964" s="27" t="n">
        <f aca="false">a26_sh</f>
        <v>0.512980850061958</v>
      </c>
      <c r="E964" s="27" t="n">
        <f aca="false">sh_h2*(1+sh_g)</f>
        <v>0.51889356</v>
      </c>
      <c r="F964" s="27" t="n">
        <f aca="false">E964*(1+sh_g)</f>
        <v>0.5240824956</v>
      </c>
      <c r="G964" s="27" t="n">
        <f aca="false">F964*(1+sh_g)</f>
        <v>0.529323320556</v>
      </c>
      <c r="H964" s="28" t="n">
        <f aca="false">G964*(1+sh_g)</f>
        <v>0.53461655376156</v>
      </c>
      <c r="I964" s="28" t="n">
        <f aca="false">H964*(1+sh_g)</f>
        <v>0.539962719299176</v>
      </c>
      <c r="J964" s="28" t="n">
        <f aca="false">I964*(1+sh_g)</f>
        <v>0.545362346492167</v>
      </c>
      <c r="K964" s="7" t="s">
        <v>529</v>
      </c>
    </row>
    <row r="965" customFormat="false" ht="15" hidden="false" customHeight="false" outlineLevel="0" collapsed="false">
      <c r="A965" s="0" t="s">
        <v>414</v>
      </c>
      <c r="B965" s="0" t="s">
        <v>252</v>
      </c>
      <c r="C965" s="23" t="n">
        <f aca="false">C962/C964</f>
        <v>19.47</v>
      </c>
      <c r="D965" s="23" t="n">
        <f aca="false">D962/D964</f>
        <v>38.3985658278458</v>
      </c>
      <c r="E965" s="23" t="n">
        <f aca="false">E962/E964</f>
        <v>57.0776134609379</v>
      </c>
      <c r="F965" s="23" t="n">
        <f aca="false">F962/F964</f>
        <v>72.6496640407093</v>
      </c>
      <c r="G965" s="23" t="n">
        <f aca="false">G962/G964</f>
        <v>83.2355069132915</v>
      </c>
      <c r="H965" s="29" t="n">
        <f aca="false">H962/H964</f>
        <v>88.4455210639661</v>
      </c>
      <c r="I965" s="29" t="n">
        <f aca="false">I962/I964</f>
        <v>90.0463710777749</v>
      </c>
      <c r="J965" s="29" t="n">
        <f aca="false">J962/J964</f>
        <v>87.664086010355</v>
      </c>
    </row>
    <row r="966" customFormat="false" ht="17.15" hidden="false" customHeight="false" outlineLevel="0" collapsed="false">
      <c r="A966" s="0" t="s">
        <v>530</v>
      </c>
      <c r="B966" s="0" t="s">
        <v>49</v>
      </c>
      <c r="D966" s="17" t="n">
        <f aca="false">D965/C965-1</f>
        <v>0.9721913624985</v>
      </c>
      <c r="E966" s="17" t="n">
        <f aca="false">E965/D965-1</f>
        <v>0.486451700223306</v>
      </c>
      <c r="F966" s="17" t="n">
        <f aca="false">F965/E965-1</f>
        <v>0.272822384040782</v>
      </c>
      <c r="G966" s="17" t="n">
        <f aca="false">G965/F965-1</f>
        <v>0.145710830357735</v>
      </c>
      <c r="H966" s="25" t="n">
        <f aca="false">H965/G965-1</f>
        <v>0.0625936495599415</v>
      </c>
      <c r="I966" s="25" t="n">
        <f aca="false">I965/H965-1</f>
        <v>0.0180998426438239</v>
      </c>
      <c r="J966" s="25" t="n">
        <f aca="false">J965/I965-1</f>
        <v>-0.0264562029419516</v>
      </c>
    </row>
    <row r="967" customFormat="false" ht="17.15" hidden="false" customHeight="false" outlineLevel="0" collapsed="false">
      <c r="A967" s="3" t="s">
        <v>531</v>
      </c>
      <c r="B967" s="0" t="s">
        <v>49</v>
      </c>
      <c r="C967" s="17" t="n">
        <f aca="false">C962/C947</f>
        <v>0.160105992933804</v>
      </c>
      <c r="D967" s="17" t="n">
        <f aca="false">D962/D947</f>
        <v>0.186872140996471</v>
      </c>
      <c r="E967" s="17" t="n">
        <f aca="false">E962/E947</f>
        <v>0.193778008831</v>
      </c>
      <c r="F967" s="17" t="n">
        <f aca="false">F962/F947</f>
        <v>0.195991092630338</v>
      </c>
      <c r="G967" s="17" t="n">
        <f aca="false">G962/G947</f>
        <v>0.193331389339137</v>
      </c>
      <c r="H967" s="25" t="n">
        <f aca="false">$G967+(fade_mB-$G967)*1/3</f>
        <v>0.183824271716245</v>
      </c>
      <c r="I967" s="25" t="n">
        <f aca="false">$G967+(fade_mB-$G967)*2/3</f>
        <v>0.174317154093353</v>
      </c>
      <c r="J967" s="25" t="n">
        <f aca="false">$G967+(fade_mB-$G967)*3/3</f>
        <v>0.164810036470462</v>
      </c>
    </row>
    <row r="970" customFormat="false" ht="17.15" hidden="false" customHeight="false" outlineLevel="0" collapsed="false">
      <c r="A970" s="1" t="s">
        <v>842</v>
      </c>
    </row>
    <row r="971" customFormat="false" ht="17.15" hidden="false" customHeight="false" outlineLevel="0" collapsed="false">
      <c r="A971" s="4" t="s">
        <v>18</v>
      </c>
      <c r="B971" s="4" t="s">
        <v>19</v>
      </c>
      <c r="C971" s="14" t="s">
        <v>382</v>
      </c>
      <c r="D971" s="14" t="s">
        <v>472</v>
      </c>
      <c r="E971" s="14" t="s">
        <v>473</v>
      </c>
      <c r="F971" s="14" t="s">
        <v>474</v>
      </c>
      <c r="G971" s="14" t="s">
        <v>475</v>
      </c>
      <c r="H971" s="14" t="s">
        <v>476</v>
      </c>
      <c r="I971" s="14" t="s">
        <v>477</v>
      </c>
      <c r="J971" s="14" t="s">
        <v>478</v>
      </c>
      <c r="K971" s="4" t="s">
        <v>436</v>
      </c>
    </row>
    <row r="972" customFormat="false" ht="17.15" hidden="false" customHeight="false" outlineLevel="0" collapsed="false">
      <c r="A972" s="5" t="s">
        <v>494</v>
      </c>
    </row>
    <row r="973" customFormat="false" ht="17.15" hidden="false" customHeight="false" outlineLevel="0" collapsed="false">
      <c r="A973" s="0" t="s">
        <v>495</v>
      </c>
      <c r="B973" s="0" t="s">
        <v>29</v>
      </c>
      <c r="D973" s="23" t="n">
        <f aca="false">itc_26*1</f>
        <v>781.872916666667</v>
      </c>
      <c r="E973" s="23" t="n">
        <f aca="false">itc_27*1*1</f>
        <v>1565.35</v>
      </c>
      <c r="F973" s="23" t="n">
        <f aca="false">itc_28*um28_B*1</f>
        <v>1587.41111111111</v>
      </c>
      <c r="G973" s="23" t="n">
        <f aca="false">itc_29*um29_B*1</f>
        <v>1921.33173611111</v>
      </c>
    </row>
    <row r="974" customFormat="false" ht="17.15" hidden="false" customHeight="false" outlineLevel="0" collapsed="false">
      <c r="A974" s="3" t="s">
        <v>496</v>
      </c>
      <c r="B974" s="0" t="s">
        <v>29</v>
      </c>
      <c r="D974" s="23" t="n">
        <f aca="false">itpg_gb*(1-vr26)+itpg_vr*vr26</f>
        <v>33.41403216</v>
      </c>
      <c r="E974" s="23" t="n">
        <f aca="false">itpg_vr</f>
        <v>37.586352</v>
      </c>
      <c r="F974" s="23" t="n">
        <f aca="false">itpg_vr</f>
        <v>37.586352</v>
      </c>
      <c r="G974" s="23" t="n">
        <f aca="false">itpg_vr</f>
        <v>37.586352</v>
      </c>
    </row>
    <row r="975" customFormat="false" ht="17.15" hidden="false" customHeight="false" outlineLevel="0" collapsed="false">
      <c r="A975" s="3" t="s">
        <v>497</v>
      </c>
      <c r="B975" s="0" t="s">
        <v>438</v>
      </c>
      <c r="D975" s="20" t="n">
        <f aca="false">D973/D974</f>
        <v>23.3995380420639</v>
      </c>
      <c r="E975" s="20" t="n">
        <f aca="false">E973/E974</f>
        <v>41.6467658260637</v>
      </c>
      <c r="F975" s="20" t="n">
        <f aca="false">F973/F974</f>
        <v>42.2337105529984</v>
      </c>
      <c r="G975" s="20" t="n">
        <f aca="false">G973/G974</f>
        <v>51.1178029756948</v>
      </c>
    </row>
    <row r="976" customFormat="false" ht="17.15" hidden="false" customHeight="false" outlineLevel="0" collapsed="false">
      <c r="A976" s="3" t="s">
        <v>442</v>
      </c>
      <c r="B976" s="0" t="s">
        <v>90</v>
      </c>
      <c r="D976" s="21" t="n">
        <f aca="false">vg_cmp26</f>
        <v>280</v>
      </c>
      <c r="E976" s="21" t="n">
        <f aca="false">(vg_cmp26+(vg_cmp27-vg_cmp26)*pgwf)</f>
        <v>420</v>
      </c>
      <c r="F976" s="21" t="n">
        <f aca="false">(vg_cmp26+(vg_cmp28-vg_cmp26)*pgwf)</f>
        <v>462</v>
      </c>
      <c r="G976" s="21" t="n">
        <f aca="false">(vg_cmp26+(vg_cmp29-vg_cmp26)*pgwf)</f>
        <v>504</v>
      </c>
    </row>
    <row r="977" customFormat="false" ht="17.15" hidden="false" customHeight="false" outlineLevel="0" collapsed="false">
      <c r="A977" s="3" t="s">
        <v>444</v>
      </c>
      <c r="B977" s="0" t="s">
        <v>90</v>
      </c>
      <c r="D977" s="21" t="n">
        <f aca="false">vg_sw26</f>
        <v>120</v>
      </c>
      <c r="E977" s="21" t="n">
        <f aca="false">(vg_sw26+(vg_sw27-vg_sw26)*pgwf)</f>
        <v>162</v>
      </c>
      <c r="F977" s="21" t="n">
        <f aca="false">(vg_sw26+(vg_sw28-vg_sw26)*pgwf)</f>
        <v>180</v>
      </c>
      <c r="G977" s="21" t="n">
        <f aca="false">(vg_sw26+(vg_sw29-vg_sw26)*pgwf)</f>
        <v>198</v>
      </c>
    </row>
    <row r="978" customFormat="false" ht="17.15" hidden="false" customHeight="false" outlineLevel="0" collapsed="false">
      <c r="A978" s="3" t="s">
        <v>498</v>
      </c>
      <c r="B978" s="0" t="s">
        <v>90</v>
      </c>
      <c r="D978" s="21" t="n">
        <f aca="false">vg_mid26*w_mid</f>
        <v>25</v>
      </c>
      <c r="E978" s="21" t="n">
        <f aca="false">(vg_mid26+(vg_mid27-vg_mid26)*pgwf)*w_mid</f>
        <v>50</v>
      </c>
      <c r="F978" s="21" t="n">
        <f aca="false">(vg_mid26+(vg_mid28-vg_mid26)*pgwf)*w_mid</f>
        <v>75</v>
      </c>
      <c r="G978" s="21" t="n">
        <f aca="false">(vg_mid26+(vg_mid29-vg_mid26)*pgwf)*w_mid</f>
        <v>87.5</v>
      </c>
    </row>
    <row r="979" customFormat="false" ht="17.15" hidden="false" customHeight="false" outlineLevel="0" collapsed="false">
      <c r="A979" s="3" t="s">
        <v>499</v>
      </c>
      <c r="B979" s="0" t="s">
        <v>90</v>
      </c>
      <c r="D979" s="21" t="n">
        <f aca="false">D976+D977+D978</f>
        <v>425</v>
      </c>
      <c r="E979" s="21" t="n">
        <f aca="false">E976+E977+E978</f>
        <v>632</v>
      </c>
      <c r="F979" s="21" t="n">
        <f aca="false">F976+F977+F978</f>
        <v>717</v>
      </c>
      <c r="G979" s="21" t="n">
        <f aca="false">G976+G977+G978</f>
        <v>789.5</v>
      </c>
    </row>
    <row r="980" customFormat="false" ht="17.15" hidden="false" customHeight="false" outlineLevel="0" collapsed="false">
      <c r="A980" s="3" t="s">
        <v>500</v>
      </c>
      <c r="B980" s="0" t="s">
        <v>29</v>
      </c>
      <c r="D980" s="23" t="n">
        <f aca="false">D975*D979/1000</f>
        <v>9.94480366787716</v>
      </c>
      <c r="E980" s="23" t="n">
        <f aca="false">E975*E979/1000</f>
        <v>26.3207560020722</v>
      </c>
      <c r="F980" s="23" t="n">
        <f aca="false">F975*F979/1000</f>
        <v>30.2815704664998</v>
      </c>
      <c r="G980" s="23" t="n">
        <f aca="false">G975*G979/1000</f>
        <v>40.3575054493111</v>
      </c>
    </row>
    <row r="981" customFormat="false" ht="17.15" hidden="false" customHeight="false" outlineLevel="0" collapsed="false">
      <c r="A981" s="3" t="s">
        <v>501</v>
      </c>
      <c r="B981" s="0" t="s">
        <v>184</v>
      </c>
      <c r="D981" s="22" t="n">
        <f aca="false">D980*fx</f>
        <v>318.233717372069</v>
      </c>
      <c r="E981" s="22" t="n">
        <f aca="false">E980*fx</f>
        <v>842.264192066312</v>
      </c>
      <c r="F981" s="22" t="n">
        <f aca="false">F980*fx</f>
        <v>969.010254927995</v>
      </c>
      <c r="G981" s="22" t="n">
        <f aca="false">G980*fx</f>
        <v>1291.44017437795</v>
      </c>
    </row>
    <row r="982" customFormat="false" ht="17.15" hidden="false" customHeight="false" outlineLevel="0" collapsed="false">
      <c r="A982" s="0" t="s">
        <v>502</v>
      </c>
      <c r="B982" s="0" t="s">
        <v>63</v>
      </c>
      <c r="D982" s="18" t="n">
        <f aca="false">1</f>
        <v>1</v>
      </c>
      <c r="E982" s="18" t="n">
        <f aca="false">pp_27</f>
        <v>1</v>
      </c>
      <c r="F982" s="18" t="n">
        <f aca="false">pp_28</f>
        <v>0.97</v>
      </c>
      <c r="G982" s="18" t="n">
        <f aca="false">pp_29</f>
        <v>0.94</v>
      </c>
    </row>
    <row r="983" customFormat="false" ht="17.15" hidden="false" customHeight="false" outlineLevel="0" collapsed="false">
      <c r="A983" s="3" t="s">
        <v>503</v>
      </c>
      <c r="B983" s="0" t="s">
        <v>49</v>
      </c>
      <c r="D983" s="17" t="n">
        <f aca="false">a26_ai/D981</f>
        <v>0.172842024579347</v>
      </c>
      <c r="K983" s="7" t="s">
        <v>504</v>
      </c>
    </row>
    <row r="984" customFormat="false" ht="17.15" hidden="false" customHeight="false" outlineLevel="0" collapsed="false">
      <c r="A984" s="3" t="s">
        <v>505</v>
      </c>
      <c r="B984" s="0" t="s">
        <v>63</v>
      </c>
      <c r="D984" s="18" t="n">
        <f aca="false">1</f>
        <v>1</v>
      </c>
      <c r="E984" s="18" t="n">
        <f aca="false">rel_27</f>
        <v>1</v>
      </c>
      <c r="F984" s="18" t="n">
        <f aca="false">rel_28</f>
        <v>0.95</v>
      </c>
      <c r="G984" s="18" t="n">
        <f aca="false">rel_29</f>
        <v>0.9</v>
      </c>
    </row>
    <row r="985" customFormat="false" ht="15" hidden="false" customHeight="false" outlineLevel="0" collapsed="false">
      <c r="A985" s="3" t="s">
        <v>454</v>
      </c>
      <c r="B985" s="0" t="s">
        <v>49</v>
      </c>
      <c r="D985" s="17" t="n">
        <f aca="false">$D$983*D984</f>
        <v>0.172842024579347</v>
      </c>
      <c r="E985" s="17" t="n">
        <f aca="false">$D$983*E984</f>
        <v>0.172842024579347</v>
      </c>
      <c r="F985" s="17" t="n">
        <f aca="false">$D$983*F984</f>
        <v>0.164199923350379</v>
      </c>
      <c r="G985" s="17" t="n">
        <f aca="false">$D$983*G984</f>
        <v>0.155557822121412</v>
      </c>
    </row>
    <row r="986" customFormat="false" ht="17.15" hidden="false" customHeight="false" outlineLevel="0" collapsed="false">
      <c r="A986" s="0" t="s">
        <v>506</v>
      </c>
      <c r="B986" s="0" t="s">
        <v>184</v>
      </c>
      <c r="D986" s="22" t="n">
        <f aca="false">D981*D985*D982</f>
        <v>55.00416</v>
      </c>
      <c r="E986" s="22" t="n">
        <f aca="false">E981*E985*E982</f>
        <v>145.578648187429</v>
      </c>
      <c r="F986" s="22" t="n">
        <f aca="false">F981*F985*F982</f>
        <v>154.338067297361</v>
      </c>
      <c r="G986" s="22" t="n">
        <f aca="false">G981*G985*G982</f>
        <v>188.840003670751</v>
      </c>
    </row>
    <row r="987" customFormat="false" ht="17.15" hidden="false" customHeight="false" outlineLevel="0" collapsed="false">
      <c r="A987" s="5" t="s">
        <v>507</v>
      </c>
    </row>
    <row r="988" customFormat="false" ht="17.15" hidden="false" customHeight="false" outlineLevel="0" collapsed="false">
      <c r="A988" s="3" t="s">
        <v>508</v>
      </c>
      <c r="B988" s="0" t="s">
        <v>63</v>
      </c>
      <c r="D988" s="18" t="n">
        <f aca="false">1</f>
        <v>1</v>
      </c>
      <c r="E988" s="18" t="n">
        <f aca="false">cx_27</f>
        <v>1.45</v>
      </c>
      <c r="F988" s="18" t="n">
        <f aca="false">cx_28</f>
        <v>1.9</v>
      </c>
      <c r="G988" s="18" t="n">
        <f aca="false">cx_29</f>
        <v>2.3</v>
      </c>
      <c r="K988" s="7" t="s">
        <v>509</v>
      </c>
    </row>
    <row r="989" customFormat="false" ht="17.15" hidden="false" customHeight="false" outlineLevel="0" collapsed="false">
      <c r="A989" s="3" t="s">
        <v>510</v>
      </c>
      <c r="B989" s="0" t="s">
        <v>184</v>
      </c>
      <c r="D989" s="22" t="n">
        <f aca="false">a26_rev*D988*D982</f>
        <v>105.40752</v>
      </c>
      <c r="E989" s="22" t="n">
        <f aca="false">a26_rev*E988*E982</f>
        <v>152.840904</v>
      </c>
      <c r="F989" s="22" t="n">
        <f aca="false">a26_rev*F988*F982</f>
        <v>194.26605936</v>
      </c>
      <c r="G989" s="22" t="n">
        <f aca="false">a26_rev*G988*G982</f>
        <v>227.89105824</v>
      </c>
    </row>
    <row r="990" customFormat="false" ht="17.15" hidden="false" customHeight="false" outlineLevel="0" collapsed="false">
      <c r="A990" s="3" t="s">
        <v>511</v>
      </c>
      <c r="B990" s="0" t="s">
        <v>184</v>
      </c>
      <c r="C990" s="22" t="n">
        <f aca="false">a25_nai</f>
        <v>42.0028</v>
      </c>
      <c r="D990" s="22" t="n">
        <f aca="false">a26_nai</f>
        <v>50.40336</v>
      </c>
      <c r="E990" s="22" t="n">
        <f aca="false">D990*(1+g_nai27)</f>
        <v>52.923528</v>
      </c>
      <c r="F990" s="22" t="n">
        <f aca="false">E990*(1+g_nai28)</f>
        <v>54.51123384</v>
      </c>
      <c r="G990" s="22" t="n">
        <f aca="false">F990*(1+g_nai29)</f>
        <v>56.1465708552</v>
      </c>
    </row>
    <row r="991" customFormat="false" ht="17.15" hidden="false" customHeight="false" outlineLevel="0" collapsed="false">
      <c r="A991" s="0" t="s">
        <v>512</v>
      </c>
      <c r="B991" s="0" t="s">
        <v>184</v>
      </c>
      <c r="C991" s="22" t="n">
        <f aca="false">a25_ai</f>
        <v>18.0012</v>
      </c>
      <c r="D991" s="22" t="n">
        <f aca="false">D986</f>
        <v>55.00416</v>
      </c>
      <c r="E991" s="22" t="n">
        <f aca="false">MIN(E986,E989-E990)</f>
        <v>99.917376</v>
      </c>
      <c r="F991" s="22" t="n">
        <f aca="false">MIN(F986,F989-F990)</f>
        <v>139.75482552</v>
      </c>
      <c r="G991" s="22" t="n">
        <f aca="false">MIN(G986,G989-G990)</f>
        <v>171.7444873848</v>
      </c>
      <c r="K991" s="3" t="s">
        <v>513</v>
      </c>
    </row>
    <row r="992" customFormat="false" ht="15" hidden="false" customHeight="false" outlineLevel="0" collapsed="false">
      <c r="A992" s="3" t="s">
        <v>514</v>
      </c>
      <c r="E992" s="0" t="str">
        <f aca="false">IF(E986&gt;E989-E990+0.0001,"受限","未受限")</f>
        <v>受限</v>
      </c>
      <c r="F992" s="0" t="str">
        <f aca="false">IF(F986&gt;F989-F990+0.0001,"受限","未受限")</f>
        <v>受限</v>
      </c>
      <c r="G992" s="0" t="str">
        <f aca="false">IF(G986&gt;G989-G990+0.0001,"受限","未受限")</f>
        <v>受限</v>
      </c>
    </row>
    <row r="993" customFormat="false" ht="17.15" hidden="false" customHeight="false" outlineLevel="0" collapsed="false">
      <c r="A993" s="3" t="s">
        <v>387</v>
      </c>
      <c r="B993" s="0" t="s">
        <v>184</v>
      </c>
      <c r="C993" s="22" t="n">
        <f aca="false">C991+C990</f>
        <v>60.004</v>
      </c>
      <c r="D993" s="22" t="n">
        <f aca="false">D991+D990</f>
        <v>105.40752</v>
      </c>
      <c r="E993" s="22" t="n">
        <f aca="false">E991+E990</f>
        <v>152.840904</v>
      </c>
      <c r="F993" s="22" t="n">
        <f aca="false">F991+F990</f>
        <v>194.26605936</v>
      </c>
      <c r="G993" s="22" t="n">
        <f aca="false">G991+G990</f>
        <v>227.89105824</v>
      </c>
      <c r="H993" s="24" t="n">
        <f aca="false">G993*(1+H994)</f>
        <v>257.226313072804</v>
      </c>
      <c r="I993" s="24" t="n">
        <f aca="false">H993*(1+I994)</f>
        <v>278.92655569709</v>
      </c>
      <c r="J993" s="24" t="n">
        <f aca="false">I993*(1+J994)</f>
        <v>290.083617924974</v>
      </c>
      <c r="K993" s="7" t="s">
        <v>515</v>
      </c>
    </row>
    <row r="994" customFormat="false" ht="15" hidden="false" customHeight="false" outlineLevel="0" collapsed="false">
      <c r="A994" s="3" t="s">
        <v>516</v>
      </c>
      <c r="B994" s="0" t="s">
        <v>49</v>
      </c>
      <c r="D994" s="17" t="n">
        <f aca="false">D993/C993-1</f>
        <v>0.756674888340778</v>
      </c>
      <c r="E994" s="17" t="n">
        <f aca="false">E993/D993-1</f>
        <v>0.45</v>
      </c>
      <c r="F994" s="17" t="n">
        <f aca="false">F993/E993-1</f>
        <v>0.271034482758621</v>
      </c>
      <c r="G994" s="17" t="n">
        <f aca="false">G993/F993-1</f>
        <v>0.173087357569181</v>
      </c>
      <c r="H994" s="25" t="n">
        <f aca="false">$G994+(fade_gB-$G994)*1/3</f>
        <v>0.12872490504612</v>
      </c>
      <c r="I994" s="25" t="n">
        <f aca="false">$G994+(fade_gB-$G994)*2/3</f>
        <v>0.0843624525230602</v>
      </c>
      <c r="J994" s="25" t="n">
        <f aca="false">$G994+(fade_gB-$G994)*3/3</f>
        <v>0.04</v>
      </c>
    </row>
    <row r="995" customFormat="false" ht="17.15" hidden="false" customHeight="false" outlineLevel="0" collapsed="false">
      <c r="A995" s="0" t="s">
        <v>517</v>
      </c>
      <c r="B995" s="0" t="s">
        <v>49</v>
      </c>
      <c r="C995" s="17" t="n">
        <f aca="false">C991/C993</f>
        <v>0.3</v>
      </c>
      <c r="D995" s="17" t="n">
        <f aca="false">D991/D993</f>
        <v>0.521823869871903</v>
      </c>
      <c r="E995" s="17" t="n">
        <f aca="false">E991/E993</f>
        <v>0.653734526458964</v>
      </c>
      <c r="F995" s="17" t="n">
        <f aca="false">F991/F993</f>
        <v>0.71939908587437</v>
      </c>
      <c r="G995" s="17" t="n">
        <f aca="false">G991/G993</f>
        <v>0.753625388864226</v>
      </c>
    </row>
    <row r="996" customFormat="false" ht="17.15" hidden="false" customHeight="false" outlineLevel="0" collapsed="false">
      <c r="A996" s="3" t="s">
        <v>518</v>
      </c>
      <c r="B996" s="0" t="s">
        <v>49</v>
      </c>
      <c r="D996" s="17" t="n">
        <f aca="false">(D986+D990)/D989</f>
        <v>1</v>
      </c>
      <c r="E996" s="17" t="n">
        <f aca="false">(E986+E990)/E989</f>
        <v>1.29875034099137</v>
      </c>
      <c r="F996" s="17" t="n">
        <f aca="false">(F986+F990)/F989</f>
        <v>1.07506839756468</v>
      </c>
      <c r="G996" s="17" t="n">
        <f aca="false">(G986+G990)/G989</f>
        <v>1.07501617842306</v>
      </c>
      <c r="K996" s="3" t="s">
        <v>519</v>
      </c>
    </row>
    <row r="997" customFormat="false" ht="17.15" hidden="false" customHeight="false" outlineLevel="0" collapsed="false">
      <c r="A997" s="3" t="s">
        <v>458</v>
      </c>
      <c r="B997" s="0" t="s">
        <v>90</v>
      </c>
      <c r="D997" s="21" t="n">
        <f aca="false">D991/fx/D975*1000</f>
        <v>73.4578604462223</v>
      </c>
      <c r="E997" s="21" t="n">
        <f aca="false">E991/fx/E975*1000</f>
        <v>74.9738410190283</v>
      </c>
      <c r="F997" s="21" t="n">
        <f aca="false">F991/fx/F975*1000</f>
        <v>103.408822959553</v>
      </c>
      <c r="G997" s="21" t="n">
        <f aca="false">G991/fx/G975*1000</f>
        <v>104.993073222002</v>
      </c>
    </row>
    <row r="998" customFormat="false" ht="17.15" hidden="false" customHeight="false" outlineLevel="0" collapsed="false">
      <c r="A998" s="5" t="s">
        <v>520</v>
      </c>
    </row>
    <row r="999" customFormat="false" ht="17.15" hidden="false" customHeight="false" outlineLevel="0" collapsed="false">
      <c r="A999" s="3" t="s">
        <v>521</v>
      </c>
      <c r="B999" s="0" t="s">
        <v>49</v>
      </c>
      <c r="D999" s="17" t="n">
        <f aca="false">a26_gp/D993-d_ai*D995</f>
        <v>0.296655205435058</v>
      </c>
      <c r="K999" s="7" t="s">
        <v>522</v>
      </c>
    </row>
    <row r="1000" customFormat="false" ht="17.15" hidden="false" customHeight="false" outlineLevel="0" collapsed="false">
      <c r="A1000" s="0" t="s">
        <v>523</v>
      </c>
      <c r="B1000" s="0" t="s">
        <v>49</v>
      </c>
      <c r="D1000" s="17" t="n">
        <f aca="false">D999+d_ai</f>
        <v>0.396655205435058</v>
      </c>
      <c r="E1000" s="17" t="n">
        <f aca="false">1-(1-$D$1000)/E982+gmu_27</f>
        <v>0.406655205435058</v>
      </c>
      <c r="F1000" s="17" t="n">
        <f aca="false">1-(1-$D$1000)/F982+gmu_28</f>
        <v>0.392995057149545</v>
      </c>
      <c r="G1000" s="17" t="n">
        <f aca="false">1-(1-$D$1000)/G982+gmu_29</f>
        <v>0.378143835569211</v>
      </c>
      <c r="K1000" s="7" t="s">
        <v>524</v>
      </c>
    </row>
    <row r="1001" customFormat="false" ht="15" hidden="false" customHeight="false" outlineLevel="0" collapsed="false">
      <c r="A1001" s="3" t="s">
        <v>391</v>
      </c>
      <c r="B1001" s="0" t="s">
        <v>184</v>
      </c>
      <c r="C1001" s="22" t="n">
        <f aca="false">a25_gp</f>
        <v>19.683</v>
      </c>
      <c r="D1001" s="22" t="n">
        <f aca="false">a26_gp</f>
        <v>36.7701055</v>
      </c>
      <c r="E1001" s="22" t="n">
        <f aca="false">E991*E1000+E990*$D$999</f>
        <v>56.331961135</v>
      </c>
      <c r="F1001" s="22" t="n">
        <f aca="false">F991*F1000+F990*$D$999</f>
        <v>71.0939969154807</v>
      </c>
      <c r="G1001" s="22" t="n">
        <f aca="false">G991*G1000+G990*$D$999</f>
        <v>81.6002917090796</v>
      </c>
    </row>
    <row r="1002" customFormat="false" ht="15" hidden="false" customHeight="false" outlineLevel="0" collapsed="false">
      <c r="A1002" s="3" t="s">
        <v>394</v>
      </c>
      <c r="B1002" s="0" t="s">
        <v>49</v>
      </c>
      <c r="C1002" s="17" t="n">
        <f aca="false">C1001/C993</f>
        <v>0.328028131457903</v>
      </c>
      <c r="D1002" s="17" t="n">
        <f aca="false">D1001/D993</f>
        <v>0.348837592422248</v>
      </c>
      <c r="E1002" s="17" t="n">
        <f aca="false">E1001/E993</f>
        <v>0.368566003345544</v>
      </c>
      <c r="F1002" s="17" t="n">
        <f aca="false">F1001/F993</f>
        <v>0.365962006691732</v>
      </c>
      <c r="G1002" s="17" t="n">
        <f aca="false">G1001/G993</f>
        <v>0.358067106007922</v>
      </c>
    </row>
    <row r="1003" customFormat="false" ht="15" hidden="false" customHeight="false" outlineLevel="0" collapsed="false">
      <c r="A1003" s="3" t="s">
        <v>525</v>
      </c>
      <c r="B1003" s="0" t="s">
        <v>184</v>
      </c>
      <c r="C1003" s="22" t="n">
        <f aca="false">a25_opx</f>
        <v>5.64</v>
      </c>
      <c r="D1003" s="22" t="n">
        <f aca="false">a26_opx</f>
        <v>8.4779754</v>
      </c>
      <c r="E1003" s="22" t="n">
        <f aca="false">D1003*(1+MAX(0,phi*E994))</f>
        <v>10.767028758</v>
      </c>
      <c r="F1003" s="22" t="n">
        <f aca="false">E1003*(1+MAX(0,phi*F994))</f>
        <v>12.517970400163</v>
      </c>
      <c r="G1003" s="22" t="n">
        <f aca="false">F1003*(1+MAX(0,phi*G994))</f>
        <v>13.8179918513791</v>
      </c>
    </row>
    <row r="1004" customFormat="false" ht="15" hidden="false" customHeight="false" outlineLevel="0" collapsed="false">
      <c r="A1004" s="3" t="s">
        <v>396</v>
      </c>
      <c r="B1004" s="0" t="s">
        <v>184</v>
      </c>
      <c r="C1004" s="22" t="n">
        <f aca="false">C1003</f>
        <v>5.64</v>
      </c>
      <c r="D1004" s="22" t="n">
        <f aca="false">D1003</f>
        <v>8.4779754</v>
      </c>
      <c r="E1004" s="22" t="n">
        <f aca="false">E1003+0*E993</f>
        <v>10.767028758</v>
      </c>
      <c r="F1004" s="22" t="n">
        <f aca="false">F1003+0*F993</f>
        <v>12.517970400163</v>
      </c>
      <c r="G1004" s="22" t="n">
        <f aca="false">G1003+0*G993</f>
        <v>13.8179918513791</v>
      </c>
    </row>
    <row r="1005" customFormat="false" ht="15" hidden="false" customHeight="false" outlineLevel="0" collapsed="false">
      <c r="A1005" s="3" t="s">
        <v>526</v>
      </c>
      <c r="B1005" s="0" t="s">
        <v>184</v>
      </c>
      <c r="C1005" s="22" t="n">
        <f aca="false">C1001-C1004</f>
        <v>14.043</v>
      </c>
      <c r="D1005" s="22" t="n">
        <f aca="false">D1001-D1004</f>
        <v>28.2921301</v>
      </c>
      <c r="E1005" s="22" t="n">
        <f aca="false">E1001-E1004</f>
        <v>45.564932377</v>
      </c>
      <c r="F1005" s="22" t="n">
        <f aca="false">F1001-F1004</f>
        <v>58.5760265153177</v>
      </c>
      <c r="G1005" s="22" t="n">
        <f aca="false">G1001-G1004</f>
        <v>67.7822998577005</v>
      </c>
    </row>
    <row r="1006" customFormat="false" ht="15" hidden="false" customHeight="false" outlineLevel="0" collapsed="false">
      <c r="A1006" s="3" t="s">
        <v>402</v>
      </c>
      <c r="B1006" s="0" t="s">
        <v>49</v>
      </c>
      <c r="C1006" s="17" t="n">
        <f aca="false">C1005/C993</f>
        <v>0.23403439770682</v>
      </c>
      <c r="D1006" s="17" t="n">
        <f aca="false">D1005/D993</f>
        <v>0.268407131673338</v>
      </c>
      <c r="E1006" s="17" t="n">
        <f aca="false">E1005/E993</f>
        <v>0.298120013586154</v>
      </c>
      <c r="F1006" s="17" t="n">
        <f aca="false">F1005/F993</f>
        <v>0.301524757892828</v>
      </c>
      <c r="G1006" s="17" t="n">
        <f aca="false">G1005/G993</f>
        <v>0.297432906675595</v>
      </c>
    </row>
    <row r="1007" customFormat="false" ht="17.15" hidden="false" customHeight="false" outlineLevel="0" collapsed="false">
      <c r="A1007" s="3" t="s">
        <v>403</v>
      </c>
      <c r="B1007" s="0" t="s">
        <v>184</v>
      </c>
      <c r="E1007" s="22" t="n">
        <f aca="false">nop_f</f>
        <v>0</v>
      </c>
      <c r="F1007" s="22" t="n">
        <f aca="false">nop_f</f>
        <v>0</v>
      </c>
      <c r="G1007" s="22" t="n">
        <f aca="false">nop_f</f>
        <v>0</v>
      </c>
      <c r="K1007" s="7" t="s">
        <v>527</v>
      </c>
    </row>
    <row r="1008" customFormat="false" ht="15" hidden="false" customHeight="false" outlineLevel="0" collapsed="false">
      <c r="A1008" s="3" t="s">
        <v>408</v>
      </c>
      <c r="B1008" s="0" t="s">
        <v>184</v>
      </c>
      <c r="C1008" s="22" t="n">
        <f aca="false">a25_ni</f>
        <v>9.607</v>
      </c>
      <c r="D1008" s="22" t="n">
        <f aca="false">a26_ni</f>
        <v>19.6977289395284</v>
      </c>
      <c r="E1008" s="22" t="n">
        <f aca="false">(E1005+E1007)*nir_f_hi</f>
        <v>34.17369928275</v>
      </c>
      <c r="F1008" s="22" t="n">
        <f aca="false">(F1005+F1007)*nir_f_hi</f>
        <v>43.9320198864883</v>
      </c>
      <c r="G1008" s="22" t="n">
        <f aca="false">(G1005+G1007)*nir_f_hi</f>
        <v>50.8367248932754</v>
      </c>
      <c r="H1008" s="24" t="n">
        <f aca="false">H993*H1013</f>
        <v>52.3849443315757</v>
      </c>
      <c r="I1008" s="24" t="n">
        <f aca="false">I993*I1013</f>
        <v>51.3870812638446</v>
      </c>
      <c r="J1008" s="24" t="n">
        <f aca="false">J993*J1013</f>
        <v>47.8086916496984</v>
      </c>
    </row>
    <row r="1009" customFormat="false" ht="17.15" hidden="false" customHeight="false" outlineLevel="0" collapsed="false">
      <c r="A1009" s="3" t="s">
        <v>411</v>
      </c>
      <c r="B1009" s="0" t="s">
        <v>49</v>
      </c>
      <c r="C1009" s="17" t="n">
        <f aca="false">C1008/C1005</f>
        <v>0.684113081250445</v>
      </c>
      <c r="D1009" s="17" t="n">
        <f aca="false">D1008/D1005</f>
        <v>0.696226437171953</v>
      </c>
      <c r="E1009" s="17" t="n">
        <f aca="false">E1008/E1005</f>
        <v>0.75</v>
      </c>
      <c r="F1009" s="17" t="n">
        <f aca="false">F1008/F1005</f>
        <v>0.75</v>
      </c>
      <c r="G1009" s="17" t="n">
        <f aca="false">G1008/G1005</f>
        <v>0.75</v>
      </c>
    </row>
    <row r="1010" customFormat="false" ht="17.15" hidden="false" customHeight="false" outlineLevel="0" collapsed="false">
      <c r="A1010" s="3" t="s">
        <v>528</v>
      </c>
      <c r="B1010" s="3" t="s">
        <v>214</v>
      </c>
      <c r="C1010" s="27" t="n">
        <f aca="false">a25_sh</f>
        <v>0.493425783256292</v>
      </c>
      <c r="D1010" s="27" t="n">
        <f aca="false">a26_sh</f>
        <v>0.512980850061958</v>
      </c>
      <c r="E1010" s="27" t="n">
        <f aca="false">sh_h2*(1+sh_g)</f>
        <v>0.51889356</v>
      </c>
      <c r="F1010" s="27" t="n">
        <f aca="false">E1010*(1+sh_g)</f>
        <v>0.5240824956</v>
      </c>
      <c r="G1010" s="27" t="n">
        <f aca="false">F1010*(1+sh_g)</f>
        <v>0.529323320556</v>
      </c>
      <c r="H1010" s="28" t="n">
        <f aca="false">G1010*(1+sh_g)</f>
        <v>0.53461655376156</v>
      </c>
      <c r="I1010" s="28" t="n">
        <f aca="false">H1010*(1+sh_g)</f>
        <v>0.539962719299176</v>
      </c>
      <c r="J1010" s="28" t="n">
        <f aca="false">I1010*(1+sh_g)</f>
        <v>0.545362346492167</v>
      </c>
      <c r="K1010" s="7" t="s">
        <v>529</v>
      </c>
    </row>
    <row r="1011" customFormat="false" ht="15" hidden="false" customHeight="false" outlineLevel="0" collapsed="false">
      <c r="A1011" s="0" t="s">
        <v>414</v>
      </c>
      <c r="B1011" s="0" t="s">
        <v>252</v>
      </c>
      <c r="C1011" s="23" t="n">
        <f aca="false">C1008/C1010</f>
        <v>19.47</v>
      </c>
      <c r="D1011" s="23" t="n">
        <f aca="false">D1008/D1010</f>
        <v>38.3985658278458</v>
      </c>
      <c r="E1011" s="23" t="n">
        <f aca="false">E1008/E1010</f>
        <v>65.8587847626207</v>
      </c>
      <c r="F1011" s="23" t="n">
        <f aca="false">F1008/F1010</f>
        <v>83.8265354315876</v>
      </c>
      <c r="G1011" s="23" t="n">
        <f aca="false">G1008/G1010</f>
        <v>96.0409695153363</v>
      </c>
      <c r="H1011" s="29" t="n">
        <f aca="false">H1008/H1010</f>
        <v>97.9860125224247</v>
      </c>
      <c r="I1011" s="29" t="n">
        <f aca="false">I1008/I1010</f>
        <v>95.1678318283539</v>
      </c>
      <c r="J1011" s="29" t="n">
        <f aca="false">J1008/J1010</f>
        <v>87.664086010355</v>
      </c>
    </row>
    <row r="1012" customFormat="false" ht="17.15" hidden="false" customHeight="false" outlineLevel="0" collapsed="false">
      <c r="A1012" s="0" t="s">
        <v>530</v>
      </c>
      <c r="B1012" s="0" t="s">
        <v>49</v>
      </c>
      <c r="D1012" s="17" t="n">
        <f aca="false">D1011/C1011-1</f>
        <v>0.9721913624985</v>
      </c>
      <c r="E1012" s="17" t="n">
        <f aca="false">E1011/D1011-1</f>
        <v>0.715136577180738</v>
      </c>
      <c r="F1012" s="17" t="n">
        <f aca="false">F1011/E1011-1</f>
        <v>0.272822384040783</v>
      </c>
      <c r="G1012" s="17" t="n">
        <f aca="false">G1011/F1011-1</f>
        <v>0.145710830357735</v>
      </c>
      <c r="H1012" s="25" t="n">
        <f aca="false">H1011/G1011-1</f>
        <v>0.020252221701883</v>
      </c>
      <c r="I1012" s="25" t="n">
        <f aca="false">I1011/H1011-1</f>
        <v>-0.028761050904341</v>
      </c>
      <c r="J1012" s="25" t="n">
        <f aca="false">J1011/I1011-1</f>
        <v>-0.0788475020796176</v>
      </c>
    </row>
    <row r="1013" customFormat="false" ht="17.15" hidden="false" customHeight="false" outlineLevel="0" collapsed="false">
      <c r="A1013" s="3" t="s">
        <v>531</v>
      </c>
      <c r="B1013" s="0" t="s">
        <v>49</v>
      </c>
      <c r="C1013" s="17" t="n">
        <f aca="false">C1008/C993</f>
        <v>0.160105992933804</v>
      </c>
      <c r="D1013" s="17" t="n">
        <f aca="false">D1008/D993</f>
        <v>0.186872140996471</v>
      </c>
      <c r="E1013" s="17" t="n">
        <f aca="false">E1008/E993</f>
        <v>0.223590010189615</v>
      </c>
      <c r="F1013" s="17" t="n">
        <f aca="false">F1008/F993</f>
        <v>0.226143568419621</v>
      </c>
      <c r="G1013" s="17" t="n">
        <f aca="false">G1008/G993</f>
        <v>0.223074680006696</v>
      </c>
      <c r="H1013" s="25" t="n">
        <f aca="false">$G1013+(fade_mB-$G1013)*1/3</f>
        <v>0.203653132161285</v>
      </c>
      <c r="I1013" s="25" t="n">
        <f aca="false">$G1013+(fade_mB-$G1013)*2/3</f>
        <v>0.184231584315873</v>
      </c>
      <c r="J1013" s="25" t="n">
        <f aca="false">$G1013+(fade_mB-$G1013)*3/3</f>
        <v>0.164810036470462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843</v>
      </c>
    </row>
    <row r="2" customFormat="false" ht="17.15" hidden="false" customHeight="false" outlineLevel="0" collapsed="false">
      <c r="A2" s="3" t="s">
        <v>844</v>
      </c>
      <c r="B2" s="0" t="s">
        <v>845</v>
      </c>
    </row>
    <row r="3" customFormat="false" ht="17.15" hidden="false" customHeight="false" outlineLevel="0" collapsed="false">
      <c r="A3" s="3" t="s">
        <v>846</v>
      </c>
      <c r="B3" s="0" t="s">
        <v>847</v>
      </c>
    </row>
    <row r="4" customFormat="false" ht="17.15" hidden="false" customHeight="false" outlineLevel="0" collapsed="false">
      <c r="A4" s="3" t="s">
        <v>848</v>
      </c>
      <c r="B4" s="0" t="s">
        <v>849</v>
      </c>
    </row>
    <row r="5" customFormat="false" ht="17.15" hidden="false" customHeight="false" outlineLevel="0" collapsed="false">
      <c r="A5" s="3" t="s">
        <v>850</v>
      </c>
      <c r="B5" s="0" t="s">
        <v>851</v>
      </c>
    </row>
    <row r="6" customFormat="false" ht="17.15" hidden="false" customHeight="false" outlineLevel="0" collapsed="false">
      <c r="A6" s="3" t="s">
        <v>852</v>
      </c>
      <c r="B6" s="0" t="s">
        <v>853</v>
      </c>
    </row>
    <row r="7" customFormat="false" ht="17.15" hidden="false" customHeight="false" outlineLevel="0" collapsed="false">
      <c r="A7" s="3" t="s">
        <v>854</v>
      </c>
      <c r="B7" s="0" t="s">
        <v>855</v>
      </c>
    </row>
    <row r="8" customFormat="false" ht="17.15" hidden="false" customHeight="false" outlineLevel="0" collapsed="false">
      <c r="A8" s="3" t="s">
        <v>856</v>
      </c>
      <c r="B8" s="0" t="s">
        <v>857</v>
      </c>
    </row>
    <row r="9" customFormat="false" ht="17.15" hidden="false" customHeight="false" outlineLevel="0" collapsed="false">
      <c r="A9" s="3" t="s">
        <v>858</v>
      </c>
      <c r="B9" s="0" t="s">
        <v>859</v>
      </c>
    </row>
    <row r="10" customFormat="false" ht="17.15" hidden="false" customHeight="false" outlineLevel="0" collapsed="false">
      <c r="A10" s="3" t="s">
        <v>860</v>
      </c>
      <c r="B10" s="0" t="s">
        <v>861</v>
      </c>
    </row>
    <row r="11" customFormat="false" ht="17.15" hidden="false" customHeight="false" outlineLevel="0" collapsed="false">
      <c r="A11" s="3" t="s">
        <v>862</v>
      </c>
      <c r="B11" s="0" t="s">
        <v>863</v>
      </c>
    </row>
    <row r="12" customFormat="false" ht="17.15" hidden="false" customHeight="false" outlineLevel="0" collapsed="false">
      <c r="A12" s="3" t="s">
        <v>864</v>
      </c>
      <c r="B12" s="0" t="s">
        <v>865</v>
      </c>
    </row>
    <row r="13" customFormat="false" ht="17.15" hidden="false" customHeight="false" outlineLevel="0" collapsed="false">
      <c r="A13" s="3" t="s">
        <v>866</v>
      </c>
      <c r="B13" s="0" t="s">
        <v>273</v>
      </c>
    </row>
    <row r="14" customFormat="false" ht="17.15" hidden="false" customHeight="false" outlineLevel="0" collapsed="false">
      <c r="A14" s="3" t="s">
        <v>867</v>
      </c>
      <c r="B14" s="0" t="s">
        <v>321</v>
      </c>
    </row>
    <row r="15" customFormat="false" ht="17.15" hidden="false" customHeight="false" outlineLevel="0" collapsed="false">
      <c r="A15" s="3" t="s">
        <v>868</v>
      </c>
      <c r="B15" s="0" t="s">
        <v>869</v>
      </c>
    </row>
    <row r="16" customFormat="false" ht="17.15" hidden="false" customHeight="false" outlineLevel="0" collapsed="false">
      <c r="A16" s="3" t="s">
        <v>870</v>
      </c>
      <c r="B16" s="0" t="s">
        <v>253</v>
      </c>
    </row>
    <row r="17" customFormat="false" ht="17.15" hidden="false" customHeight="false" outlineLevel="0" collapsed="false">
      <c r="A17" s="3" t="s">
        <v>871</v>
      </c>
      <c r="B17" s="0" t="s">
        <v>872</v>
      </c>
    </row>
    <row r="18" customFormat="false" ht="17.15" hidden="false" customHeight="false" outlineLevel="0" collapsed="false">
      <c r="A18" s="3" t="s">
        <v>873</v>
      </c>
      <c r="B18" s="0" t="s">
        <v>874</v>
      </c>
    </row>
    <row r="19" customFormat="false" ht="17.15" hidden="false" customHeight="false" outlineLevel="0" collapsed="false">
      <c r="A19" s="3" t="s">
        <v>875</v>
      </c>
      <c r="B19" s="0" t="s">
        <v>876</v>
      </c>
    </row>
    <row r="20" customFormat="false" ht="17.15" hidden="false" customHeight="false" outlineLevel="0" collapsed="false">
      <c r="A20" s="3" t="s">
        <v>877</v>
      </c>
    </row>
    <row r="21" customFormat="false" ht="17.15" hidden="false" customHeight="false" outlineLevel="0" collapsed="false">
      <c r="A21" s="3" t="s">
        <v>878</v>
      </c>
      <c r="B21" s="3" t="s">
        <v>879</v>
      </c>
    </row>
    <row r="22" customFormat="false" ht="17.15" hidden="false" customHeight="false" outlineLevel="0" collapsed="false">
      <c r="A22" s="3" t="s">
        <v>880</v>
      </c>
      <c r="B22" s="3" t="s">
        <v>879</v>
      </c>
    </row>
    <row r="23" customFormat="false" ht="15" hidden="false" customHeight="false" outlineLevel="0" collapsed="false">
      <c r="A23" s="0" t="s">
        <v>881</v>
      </c>
      <c r="B23" s="3" t="s">
        <v>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2026-10-25T05:24:44Z</dcterms:created>
  <dc:creator>openpyxl</dc:creator>
  <dc:description/>
  <dc:language>en-US</dc:language>
  <cp:lastModifiedBy/>
  <dcterms:modified xsi:type="dcterms:W3CDTF">2026-10-25T05:24:45Z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