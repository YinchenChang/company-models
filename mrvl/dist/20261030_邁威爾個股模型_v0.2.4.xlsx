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aec" vbProcedure="false">Q!$B$11</definedName>
    <definedName function="false" hidden="false" name="a26_att" vbProcedure="false">Q!$B$8</definedName>
    <definedName function="false" hidden="false" name="a26_co" vbProcedure="false">Q!$B$6</definedName>
    <definedName function="false" hidden="false" name="a26_cus" vbProcedure="false">Q!$B$7</definedName>
    <definedName function="false" hidden="false" name="a26_dc" vbProcedure="false">Q!$B$5</definedName>
    <definedName function="false" hidden="false" name="a26_eps" vbProcedure="false">Q!$B$27</definedName>
    <definedName function="false" hidden="false" name="a26_gp" vbProcedure="false">Q!$B$15</definedName>
    <definedName function="false" hidden="false" name="a26_ic" vbProcedure="false">Q!$B$13</definedName>
    <definedName function="false" hidden="false" name="a26_ni" vbProcedure="false">Q!$B$24</definedName>
    <definedName function="false" hidden="false" name="a26_oi" vbProcedure="false">Q!$B$18</definedName>
    <definedName function="false" hidden="false" name="a26_opx" vbProcedure="false">Q!$B$17</definedName>
    <definedName function="false" hidden="false" name="a26_oth" vbProcedure="false">Q!$B$20</definedName>
    <definedName function="false" hidden="false" name="a26_rev" vbProcedure="false">Q!$B$4</definedName>
    <definedName function="false" hidden="false" name="a26_sh" vbProcedure="false">Q!$B$26</definedName>
    <definedName function="false" hidden="false" name="a26_sto" vbProcedure="false">Q!$B$12</definedName>
    <definedName function="false" hidden="false" name="a26_sw" vbProcedure="false">Q!$B$10</definedName>
    <definedName function="false" hidden="false" name="a26_tax" vbProcedure="false">Q!$B$23</definedName>
    <definedName function="false" hidden="false" name="a26_xpu" vbProcedure="false">Q!$B$9</definedName>
    <definedName function="false" hidden="false" name="a27_aec" vbProcedure="false">Q!$G$11</definedName>
    <definedName function="false" hidden="false" name="a27_att" vbProcedure="false">Q!$G$8</definedName>
    <definedName function="false" hidden="false" name="a27_co" vbProcedure="false">Q!$G$6</definedName>
    <definedName function="false" hidden="false" name="a27_cus" vbProcedure="false">Q!$G$7</definedName>
    <definedName function="false" hidden="false" name="a27_dc" vbProcedure="false">Q!$G$5</definedName>
    <definedName function="false" hidden="false" name="a27_eps" vbProcedure="false">Q!$G$27</definedName>
    <definedName function="false" hidden="false" name="a27_gp" vbProcedure="false">Q!$G$15</definedName>
    <definedName function="false" hidden="false" name="a27_ic" vbProcedure="false">Q!$G$13</definedName>
    <definedName function="false" hidden="false" name="a27_ni" vbProcedure="false">Q!$G$24</definedName>
    <definedName function="false" hidden="false" name="a27_oi" vbProcedure="false">Q!$G$18</definedName>
    <definedName function="false" hidden="false" name="a27_opx" vbProcedure="false">Q!$G$17</definedName>
    <definedName function="false" hidden="false" name="a27_oth" vbProcedure="false">Q!$G$20</definedName>
    <definedName function="false" hidden="false" name="a27_rev" vbProcedure="false">Q!$G$4</definedName>
    <definedName function="false" hidden="false" name="a27_sh" vbProcedure="false">Q!$G$26</definedName>
    <definedName function="false" hidden="false" name="a27_sto" vbProcedure="false">Q!$G$12</definedName>
    <definedName function="false" hidden="false" name="a27_sw" vbProcedure="false">Q!$G$10</definedName>
    <definedName function="false" hidden="false" name="a27_tax" vbProcedure="false">Q!$G$23</definedName>
    <definedName function="false" hidden="false" name="a27_xpu" vbProcedure="false">Q!$G$9</definedName>
    <definedName function="false" hidden="false" name="aec26" vbProcedure="false">In!$E$105</definedName>
    <definedName function="false" hidden="false" name="aec26_hi" vbProcedure="false">In!$F$105</definedName>
    <definedName function="false" hidden="false" name="aec26_lo" vbProcedure="false">In!$D$105</definedName>
    <definedName function="false" hidden="false" name="aec27" vbProcedure="false">In!$E$106</definedName>
    <definedName function="false" hidden="false" name="aec27_hi" vbProcedure="false">In!$F$106</definedName>
    <definedName function="false" hidden="false" name="aec27_lo" vbProcedure="false">In!$D$106</definedName>
    <definedName function="false" hidden="false" name="asp_26" vbProcedure="false">In!$E$75</definedName>
    <definedName function="false" hidden="false" name="asp_26_hi" vbProcedure="false">In!$F$75</definedName>
    <definedName function="false" hidden="false" name="asp_26_lo" vbProcedure="false">In!$D$75</definedName>
    <definedName function="false" hidden="false" name="asp_27" vbProcedure="false">In!$E$76</definedName>
    <definedName function="false" hidden="false" name="asp_27_hi" vbProcedure="false">In!$F$76</definedName>
    <definedName function="false" hidden="false" name="asp_27_lo" vbProcedure="false">In!$D$76</definedName>
    <definedName function="false" hidden="false" name="asp_28" vbProcedure="false">In!$E$77</definedName>
    <definedName function="false" hidden="false" name="asp_28_hi" vbProcedure="false">In!$F$77</definedName>
    <definedName function="false" hidden="false" name="asp_28_lo" vbProcedure="false">In!$D$77</definedName>
    <definedName function="false" hidden="false" name="asp_29" vbProcedure="false">In!$E$78</definedName>
    <definedName function="false" hidden="false" name="asp_29_hi" vbProcedure="false">In!$F$78</definedName>
    <definedName function="false" hidden="false" name="asp_29_lo" vbProcedure="false">In!$D$78</definedName>
    <definedName function="false" hidden="false" name="att26" vbProcedure="false">In!$E$97</definedName>
    <definedName function="false" hidden="false" name="att26_hi" vbProcedure="false">In!$F$97</definedName>
    <definedName function="false" hidden="false" name="att26_lo" vbProcedure="false">In!$D$97</definedName>
    <definedName function="false" hidden="false" name="att27" vbProcedure="false">In!$E$98</definedName>
    <definedName function="false" hidden="false" name="att27_hi" vbProcedure="false">In!$F$98</definedName>
    <definedName function="false" hidden="false" name="att27_lo" vbProcedure="false">In!$D$98</definedName>
    <definedName function="false" hidden="false" name="att28" vbProcedure="false">In!$E$99</definedName>
    <definedName function="false" hidden="false" name="att28_hi" vbProcedure="false">In!$F$99</definedName>
    <definedName function="false" hidden="false" name="att28_lo" vbProcedure="false">In!$D$99</definedName>
    <definedName function="false" hidden="false" name="av_oth_26" vbProcedure="false">In!$E$42</definedName>
    <definedName function="false" hidden="false" name="av_oth_27" vbProcedure="false">In!$E$43</definedName>
    <definedName function="false" hidden="false" name="av_oth_28" vbProcedure="false">In!$E$44</definedName>
    <definedName function="false" hidden="false" name="av_tpu_26" vbProcedure="false">In!$E$39</definedName>
    <definedName function="false" hidden="false" name="av_tpu_27" vbProcedure="false">In!$E$40</definedName>
    <definedName function="false" hidden="false" name="av_tpu_28" vbProcedure="false">In!$E$41</definedName>
    <definedName function="false" hidden="false" name="coh27" vbProcedure="false">In!$E$91</definedName>
    <definedName function="false" hidden="false" name="coh27_hi" vbProcedure="false">In!$F$91</definedName>
    <definedName function="false" hidden="false" name="coh27_lo" vbProcedure="false">In!$D$91</definedName>
    <definedName function="false" hidden="false" name="cons_eps27" vbProcedure="false">In!$E$146</definedName>
    <definedName function="false" hidden="false" name="cons_eps28" vbProcedure="false">In!$E$148</definedName>
    <definedName function="false" hidden="false" name="cons_rev27" vbProcedure="false">In!$E$145</definedName>
    <definedName function="false" hidden="false" name="cons_rev28" vbProcedure="false">In!$E$147</definedName>
    <definedName function="false" hidden="false" name="cons_tp" vbProcedure="false">In!$E$167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re_tpu" vbProcedure="false">In!$E$33</definedName>
    <definedName function="false" hidden="false" name="core_tpu_hi" vbProcedure="false">In!$F$33</definedName>
    <definedName function="false" hidden="false" name="core_tpu_lo" vbProcedure="false">In!$D$33</definedName>
    <definedName function="false" hidden="false" name="core_trn" vbProcedure="false">In!$E$38</definedName>
    <definedName function="false" hidden="false" name="core_trn_hi" vbProcedure="false">In!$F$38</definedName>
    <definedName function="false" hidden="false" name="core_trn_lo" vbProcedure="false">In!$D$38</definedName>
    <definedName function="false" hidden="false" name="co_cus29" vbProcedure="false">In!$E$141</definedName>
    <definedName function="false" hidden="false" name="co_dc28" vbProcedure="false">In!$E$140</definedName>
    <definedName function="false" hidden="false" name="co_dcg27" vbProcedure="false">In!$E$119</definedName>
    <definedName function="false" hidden="false" name="co_dcg27_hi" vbProcedure="false">In!$F$119</definedName>
    <definedName function="false" hidden="false" name="co_dcg27_lo" vbProcedure="false">In!$D$119</definedName>
    <definedName function="false" hidden="false" name="co_eps28" vbProcedure="false">In!$E$143</definedName>
    <definedName function="false" hidden="false" name="co_gm31" vbProcedure="false">In!$E$144</definedName>
    <definedName function="false" hidden="false" name="co_gm31_hi" vbProcedure="false">In!$F$144</definedName>
    <definedName function="false" hidden="false" name="co_gm31_lo" vbProcedure="false">In!$D$144</definedName>
    <definedName function="false" hidden="false" name="co_icg27" vbProcedure="false">In!$E$142</definedName>
    <definedName function="false" hidden="false" name="co_opx27" vbProcedure="false">In!$E$121</definedName>
    <definedName function="false" hidden="false" name="co_opx27_hi" vbProcedure="false">In!$F$121</definedName>
    <definedName function="false" hidden="false" name="co_opx27_lo" vbProcedure="false">In!$D$121</definedName>
    <definedName function="false" hidden="false" name="co_rev27" vbProcedure="false">In!$E$118</definedName>
    <definedName function="false" hidden="false" name="co_rev27_hi" vbProcedure="false">In!$F$118</definedName>
    <definedName function="false" hidden="false" name="co_rev27_lo" vbProcedure="false">In!$D$118</definedName>
    <definedName function="false" hidden="false" name="co_rev28" vbProcedure="false">In!$E$139</definedName>
    <definedName function="false" hidden="false" name="cus26" vbProcedure="false">In!$E$95</definedName>
    <definedName function="false" hidden="false" name="dsp_26" vbProcedure="false">In!$E$83</definedName>
    <definedName function="false" hidden="false" name="dsp_26_hi" vbProcedure="false">In!$F$83</definedName>
    <definedName function="false" hidden="false" name="dsp_26_lo" vbProcedure="false">In!$D$83</definedName>
    <definedName function="false" hidden="false" name="dsp_27" vbProcedure="false">In!$E$84</definedName>
    <definedName function="false" hidden="false" name="dsp_27_hi" vbProcedure="false">In!$F$84</definedName>
    <definedName function="false" hidden="false" name="dsp_27_lo" vbProcedure="false">In!$D$84</definedName>
    <definedName function="false" hidden="false" name="dsp_28" vbProcedure="false">In!$E$85</definedName>
    <definedName function="false" hidden="false" name="dsp_28_hi" vbProcedure="false">In!$F$85</definedName>
    <definedName function="false" hidden="false" name="dsp_28_lo" vbProcedure="false">In!$D$85</definedName>
    <definedName function="false" hidden="false" name="dsp_29" vbProcedure="false">In!$E$86</definedName>
    <definedName function="false" hidden="false" name="dsp_29_hi" vbProcedure="false">In!$F$86</definedName>
    <definedName function="false" hidden="false" name="dsp_29_lo" vbProcedure="false">In!$D$86</definedName>
    <definedName function="false" hidden="false" name="eps_q3_26" vbProcedure="false">In!$E$152</definedName>
    <definedName function="false" hidden="false" name="eps_q4_26" vbProcedure="false">In!$E$153</definedName>
    <definedName function="false" hidden="false" name="f_hbm" vbProcedure="false">In!$E$35</definedName>
    <definedName function="false" hidden="false" name="f_hbm_hi" vbProcedure="false">In!$F$35</definedName>
    <definedName function="false" hidden="false" name="f_hbm_lo" vbProcedure="false">In!$D$35</definedName>
    <definedName function="false" hidden="false" name="g29_oth" vbProcedure="false">In!$E$12</definedName>
    <definedName function="false" hidden="false" name="g29_tpu" vbProcedure="false">In!$E$16</definedName>
    <definedName function="false" hidden="false" name="g29_trn" vbProcedure="false">In!$E$8</definedName>
    <definedName function="false" hidden="false" name="gb_oth_26" vbProcedure="false">In!$E$26</definedName>
    <definedName function="false" hidden="false" name="gb_oth_27" vbProcedure="false">In!$E$27</definedName>
    <definedName function="false" hidden="false" name="gb_oth_28" vbProcedure="false">In!$E$28</definedName>
    <definedName function="false" hidden="false" name="gb_tpu_26" vbProcedure="false">In!$E$29</definedName>
    <definedName function="false" hidden="false" name="gb_tpu_27" vbProcedure="false">In!$E$30</definedName>
    <definedName function="false" hidden="false" name="gb_tpu_28" vbProcedure="false">In!$E$31</definedName>
    <definedName function="false" hidden="false" name="gb_trn_26" vbProcedure="false">In!$E$23</definedName>
    <definedName function="false" hidden="false" name="gb_trn_27" vbProcedure="false">In!$E$24</definedName>
    <definedName function="false" hidden="false" name="gb_trn_28" vbProcedure="false">In!$E$25</definedName>
    <definedName function="false" hidden="false" name="gm_att" vbProcedure="false">In!$E$136</definedName>
    <definedName function="false" hidden="false" name="gm_att_hi" vbProcedure="false">In!$F$136</definedName>
    <definedName function="false" hidden="false" name="gm_att_lo" vbProcedure="false">In!$D$136</definedName>
    <definedName function="false" hidden="false" name="gm_co" vbProcedure="false">In!$E$137</definedName>
    <definedName function="false" hidden="false" name="gm_co_hi" vbProcedure="false">In!$F$137</definedName>
    <definedName function="false" hidden="false" name="gm_co_lo" vbProcedure="false">In!$D$137</definedName>
    <definedName function="false" hidden="false" name="gm_opt" vbProcedure="false">In!$E$134</definedName>
    <definedName function="false" hidden="false" name="gm_opt_hi" vbProcedure="false">In!$F$134</definedName>
    <definedName function="false" hidden="false" name="gm_opt_lo" vbProcedure="false">In!$D$134</definedName>
    <definedName function="false" hidden="false" name="gm_oth" vbProcedure="false">In!$E$135</definedName>
    <definedName function="false" hidden="false" name="gm_oth_hi" vbProcedure="false">In!$F$135</definedName>
    <definedName function="false" hidden="false" name="gm_oth_lo" vbProcedure="false">In!$D$135</definedName>
    <definedName function="false" hidden="false" name="g_aec" vbProcedure="false">In!$E$107</definedName>
    <definedName function="false" hidden="false" name="g_aec_hi" vbProcedure="false">In!$F$107</definedName>
    <definedName function="false" hidden="false" name="g_aec_lo" vbProcedure="false">In!$D$107</definedName>
    <definedName function="false" hidden="false" name="g_att" vbProcedure="false">In!$E$100</definedName>
    <definedName function="false" hidden="false" name="g_att_hi" vbProcedure="false">In!$F$100</definedName>
    <definedName function="false" hidden="false" name="g_att_lo" vbProcedure="false">In!$D$100</definedName>
    <definedName function="false" hidden="false" name="g_co" vbProcedure="false">In!$E$133</definedName>
    <definedName function="false" hidden="false" name="g_co28" vbProcedure="false">In!$E$132</definedName>
    <definedName function="false" hidden="false" name="g_co28_hi" vbProcedure="false">In!$F$132</definedName>
    <definedName function="false" hidden="false" name="g_co28_lo" vbProcedure="false">In!$D$132</definedName>
    <definedName function="false" hidden="false" name="g_coh" vbProcedure="false">In!$E$92</definedName>
    <definedName function="false" hidden="false" name="g_coh_hi" vbProcedure="false">In!$F$92</definedName>
    <definedName function="false" hidden="false" name="g_coh_lo" vbProcedure="false">In!$D$92</definedName>
    <definedName function="false" hidden="false" name="g_co_hi" vbProcedure="false">In!$F$133</definedName>
    <definedName function="false" hidden="false" name="g_co_lo" vbProcedure="false">In!$D$133</definedName>
    <definedName function="false" hidden="false" name="g_cus27" vbProcedure="false">In!$E$96</definedName>
    <definedName function="false" hidden="false" name="g_cus27_hi" vbProcedure="false">In!$F$96</definedName>
    <definedName function="false" hidden="false" name="g_cus27_lo" vbProcedure="false">In!$D$96</definedName>
    <definedName function="false" hidden="false" name="g_opx_min" vbProcedure="false">In!$E$127</definedName>
    <definedName function="false" hidden="false" name="g_opx_min_hi" vbProcedure="false">In!$F$127</definedName>
    <definedName function="false" hidden="false" name="g_opx_min_lo" vbProcedure="false">In!$D$127</definedName>
    <definedName function="false" hidden="false" name="g_sto" vbProcedure="false">In!$E$109</definedName>
    <definedName function="false" hidden="false" name="g_sto_hi" vbProcedure="false">In!$F$109</definedName>
    <definedName function="false" hidden="false" name="g_sto_lo" vbProcedure="false">In!$D$109</definedName>
    <definedName function="false" hidden="false" name="g_sw" vbProcedure="false">In!$E$104</definedName>
    <definedName function="false" hidden="false" name="g_sw28" vbProcedure="false">In!$E$103</definedName>
    <definedName function="false" hidden="false" name="g_sw28_hi" vbProcedure="false">In!$F$103</definedName>
    <definedName function="false" hidden="false" name="g_sw28_lo" vbProcedure="false">In!$D$103</definedName>
    <definedName function="false" hidden="false" name="g_sw_hi" vbProcedure="false">In!$F$104</definedName>
    <definedName function="false" hidden="false" name="g_sw_lo" vbProcedure="false">In!$D$104</definedName>
    <definedName function="false" hidden="false" name="hbm_A_26" vbProcedure="false">In!$E$57</definedName>
    <definedName function="false" hidden="false" name="hbm_A_27" vbProcedure="false">In!$E$58</definedName>
    <definedName function="false" hidden="false" name="hbm_A_28" vbProcedure="false">In!$E$59</definedName>
    <definedName function="false" hidden="false" name="hbm_A_29" vbProcedure="false">In!$E$60</definedName>
    <definedName function="false" hidden="false" name="hbm_B_26" vbProcedure="false">In!$E$61</definedName>
    <definedName function="false" hidden="false" name="hbm_B_27" vbProcedure="false">In!$E$62</definedName>
    <definedName function="false" hidden="false" name="hbm_B_28" vbProcedure="false">In!$E$63</definedName>
    <definedName function="false" hidden="false" name="hbm_B_29" vbProcedure="false">In!$E$64</definedName>
    <definedName function="false" hidden="false" name="hbm_C_26" vbProcedure="false">In!$E$65</definedName>
    <definedName function="false" hidden="false" name="hbm_C_27" vbProcedure="false">In!$E$66</definedName>
    <definedName function="false" hidden="false" name="hbm_C_28" vbProcedure="false">In!$E$67</definedName>
    <definedName function="false" hidden="false" name="hbm_C_29" vbProcedure="false">In!$E$68</definedName>
    <definedName function="false" hidden="false" name="int_f" vbProcedure="false">In!$E$129</definedName>
    <definedName function="false" hidden="false" name="int_f_hi" vbProcedure="false">In!$F$129</definedName>
    <definedName function="false" hidden="false" name="int_f_lo" vbProcedure="false">In!$D$129</definedName>
    <definedName function="false" hidden="false" name="lpo_26" vbProcedure="false">In!$E$79</definedName>
    <definedName function="false" hidden="false" name="lpo_26_hi" vbProcedure="false">In!$F$79</definedName>
    <definedName function="false" hidden="false" name="lpo_26_lo" vbProcedure="false">In!$D$79</definedName>
    <definedName function="false" hidden="false" name="lpo_27" vbProcedure="false">In!$E$80</definedName>
    <definedName function="false" hidden="false" name="lpo_27_hi" vbProcedure="false">In!$F$80</definedName>
    <definedName function="false" hidden="false" name="lpo_27_lo" vbProcedure="false">In!$D$80</definedName>
    <definedName function="false" hidden="false" name="lpo_28" vbProcedure="false">In!$E$81</definedName>
    <definedName function="false" hidden="false" name="lpo_28_hi" vbProcedure="false">In!$F$81</definedName>
    <definedName function="false" hidden="false" name="lpo_28_lo" vbProcedure="false">In!$D$81</definedName>
    <definedName function="false" hidden="false" name="lpo_29" vbProcedure="false">In!$E$82</definedName>
    <definedName function="false" hidden="false" name="lpo_29_hi" vbProcedure="false">In!$F$82</definedName>
    <definedName function="false" hidden="false" name="lpo_29_lo" vbProcedure="false">In!$D$82</definedName>
    <definedName function="false" hidden="false" name="msh_dsp_26" vbProcedure="false">In!$E$87</definedName>
    <definedName function="false" hidden="false" name="msh_dsp_26_hi" vbProcedure="false">In!$F$87</definedName>
    <definedName function="false" hidden="false" name="msh_dsp_26_lo" vbProcedure="false">In!$D$87</definedName>
    <definedName function="false" hidden="false" name="msh_dsp_27" vbProcedure="false">In!$E$88</definedName>
    <definedName function="false" hidden="false" name="msh_dsp_27_hi" vbProcedure="false">In!$F$88</definedName>
    <definedName function="false" hidden="false" name="msh_dsp_27_lo" vbProcedure="false">In!$D$88</definedName>
    <definedName function="false" hidden="false" name="msh_dsp_28" vbProcedure="false">In!$E$89</definedName>
    <definedName function="false" hidden="false" name="msh_dsp_28_hi" vbProcedure="false">In!$F$89</definedName>
    <definedName function="false" hidden="false" name="msh_dsp_28_lo" vbProcedure="false">In!$D$89</definedName>
    <definedName function="false" hidden="false" name="msh_dsp_29" vbProcedure="false">In!$E$90</definedName>
    <definedName function="false" hidden="false" name="msh_dsp_29_hi" vbProcedure="false">In!$F$90</definedName>
    <definedName function="false" hidden="false" name="msh_dsp_29_lo" vbProcedure="false">In!$D$90</definedName>
    <definedName function="false" hidden="false" name="msh_oth_26" vbProcedure="false">In!$E$48</definedName>
    <definedName function="false" hidden="false" name="msh_oth_26_hi" vbProcedure="false">In!$F$48</definedName>
    <definedName function="false" hidden="false" name="msh_oth_26_lo" vbProcedure="false">In!$D$48</definedName>
    <definedName function="false" hidden="false" name="msh_oth_27" vbProcedure="false">In!$E$49</definedName>
    <definedName function="false" hidden="false" name="msh_oth_27_hi" vbProcedure="false">In!$F$49</definedName>
    <definedName function="false" hidden="false" name="msh_oth_27_lo" vbProcedure="false">In!$D$49</definedName>
    <definedName function="false" hidden="false" name="msh_oth_28" vbProcedure="false">In!$E$50</definedName>
    <definedName function="false" hidden="false" name="msh_oth_28_hi" vbProcedure="false">In!$F$50</definedName>
    <definedName function="false" hidden="false" name="msh_oth_28_lo" vbProcedure="false">In!$D$50</definedName>
    <definedName function="false" hidden="false" name="msh_tpu_26" vbProcedure="false">In!$E$51</definedName>
    <definedName function="false" hidden="false" name="msh_tpu_26_hi" vbProcedure="false">In!$F$51</definedName>
    <definedName function="false" hidden="false" name="msh_tpu_26_lo" vbProcedure="false">In!$D$51</definedName>
    <definedName function="false" hidden="false" name="msh_tpu_27" vbProcedure="false">In!$E$52</definedName>
    <definedName function="false" hidden="false" name="msh_tpu_27_hi" vbProcedure="false">In!$F$52</definedName>
    <definedName function="false" hidden="false" name="msh_tpu_27_lo" vbProcedure="false">In!$D$52</definedName>
    <definedName function="false" hidden="false" name="msh_tpu_28" vbProcedure="false">In!$E$53</definedName>
    <definedName function="false" hidden="false" name="msh_tpu_28_hi" vbProcedure="false">In!$F$53</definedName>
    <definedName function="false" hidden="false" name="msh_tpu_28_lo" vbProcedure="false">In!$D$53</definedName>
    <definedName function="false" hidden="false" name="msh_trn_26" vbProcedure="false">In!$E$45</definedName>
    <definedName function="false" hidden="false" name="msh_trn_26_hi" vbProcedure="false">In!$F$45</definedName>
    <definedName function="false" hidden="false" name="msh_trn_26_lo" vbProcedure="false">In!$D$45</definedName>
    <definedName function="false" hidden="false" name="msh_trn_27" vbProcedure="false">In!$E$46</definedName>
    <definedName function="false" hidden="false" name="msh_trn_27_hi" vbProcedure="false">In!$F$46</definedName>
    <definedName function="false" hidden="false" name="msh_trn_27_lo" vbProcedure="false">In!$D$46</definedName>
    <definedName function="false" hidden="false" name="msh_trn_28" vbProcedure="false">In!$E$47</definedName>
    <definedName function="false" hidden="false" name="msh_trn_28_hi" vbProcedure="false">In!$F$47</definedName>
    <definedName function="false" hidden="false" name="msh_trn_28_lo" vbProcedure="false">In!$D$47</definedName>
    <definedName function="false" hidden="false" name="m_hbm" vbProcedure="false">In!$E$36</definedName>
    <definedName function="false" hidden="false" name="m_hbm_hi" vbProcedure="false">In!$F$36</definedName>
    <definedName function="false" hidden="false" name="m_hbm_lo" vbProcedure="false">In!$D$36</definedName>
    <definedName function="false" hidden="false" name="nm10_k" vbProcedure="false">In!$E$166</definedName>
    <definedName function="false" hidden="false" name="of" vbProcedure="false">In!$E$93</definedName>
    <definedName function="false" hidden="false" name="of_hi" vbProcedure="false">In!$F$93</definedName>
    <definedName function="false" hidden="false" name="of_lo" vbProcedure="false">In!$D$93</definedName>
    <definedName function="false" hidden="false" name="opx_adj" vbProcedure="false">In!$E$128</definedName>
    <definedName function="false" hidden="false" name="opx_adj_hi" vbProcedure="false">In!$F$128</definedName>
    <definedName function="false" hidden="false" name="opx_adj_lo" vbProcedure="false">In!$D$128</definedName>
    <definedName function="false" hidden="false" name="pa_trn" vbProcedure="false">In!$E$37</definedName>
    <definedName function="false" hidden="false" name="pe_mid" vbProcedure="false">Val!$C$145</definedName>
    <definedName function="false" hidden="false" name="pe_peak" vbProcedure="false">Val!$C$144</definedName>
    <definedName function="false" hidden="false" name="pe_trough" vbProcedure="false">Val!$C$146</definedName>
    <definedName function="false" hidden="false" name="pe_ttm_gaap" vbProcedure="false">In!$E$151</definedName>
    <definedName function="false" hidden="false" name="pfc" vbProcedure="false">In!$E$54</definedName>
    <definedName function="false" hidden="false" name="pfc_hi" vbProcedure="false">In!$F$54</definedName>
    <definedName function="false" hidden="false" name="pfc_lo" vbProcedure="false">In!$D$54</definedName>
    <definedName function="false" hidden="false" name="phi" vbProcedure="false">In!$E$126</definedName>
    <definedName function="false" hidden="false" name="phi_hi" vbProcedure="false">In!$F$126</definedName>
    <definedName function="false" hidden="false" name="phi_lo" vbProcedure="false">In!$D$126</definedName>
    <definedName function="false" hidden="false" name="pk_A" vbProcedure="false">In!$E$157</definedName>
    <definedName function="false" hidden="false" name="pk_B" vbProcedure="false">In!$E$158</definedName>
    <definedName function="false" hidden="false" name="pk_C" vbProcedure="false">In!$E$159</definedName>
    <definedName function="false" hidden="false" name="plugB_26" vbProcedure="false">In!$E$170</definedName>
    <definedName function="false" hidden="false" name="plugB_27" vbProcedure="false">In!$E$171</definedName>
    <definedName function="false" hidden="false" name="plugB_28" vbProcedure="false">In!$E$172</definedName>
    <definedName function="false" hidden="false" name="plugB_29" vbProcedure="false">In!$E$173</definedName>
    <definedName function="false" hidden="false" name="plugC_26" vbProcedure="false">In!$E$174</definedName>
    <definedName function="false" hidden="false" name="plugC_27" vbProcedure="false">In!$E$175</definedName>
    <definedName function="false" hidden="false" name="plugC_28" vbProcedure="false">In!$E$176</definedName>
    <definedName function="false" hidden="false" name="plugC_29" vbProcedure="false">In!$E$177</definedName>
    <definedName function="false" hidden="false" name="plug_26" vbProcedure="false">In!$E$70</definedName>
    <definedName function="false" hidden="false" name="plug_27" vbProcedure="false">In!$E$71</definedName>
    <definedName function="false" hidden="false" name="plug_28" vbProcedure="false">In!$E$72</definedName>
    <definedName function="false" hidden="false" name="plug_29" vbProcedure="false">In!$E$73</definedName>
    <definedName function="false" hidden="false" name="px" vbProcedure="false">In!$E$150</definedName>
    <definedName function="false" hidden="false" name="q3_cog" vbProcedure="false">In!$E$112</definedName>
    <definedName function="false" hidden="false" name="q3_cog_hi" vbProcedure="false">In!$F$112</definedName>
    <definedName function="false" hidden="false" name="q3_cog_lo" vbProcedure="false">In!$D$112</definedName>
    <definedName function="false" hidden="false" name="q3_gm" vbProcedure="false">In!$E$113</definedName>
    <definedName function="false" hidden="false" name="q3_gm_hi" vbProcedure="false">In!$F$113</definedName>
    <definedName function="false" hidden="false" name="q3_gm_lo" vbProcedure="false">In!$D$113</definedName>
    <definedName function="false" hidden="false" name="q3_opx" vbProcedure="false">In!$E$114</definedName>
    <definedName function="false" hidden="false" name="q3_oth" vbProcedure="false">In!$E$115</definedName>
    <definedName function="false" hidden="false" name="q3_oth_hi" vbProcedure="false">In!$F$115</definedName>
    <definedName function="false" hidden="false" name="q3_oth_lo" vbProcedure="false">In!$D$115</definedName>
    <definedName function="false" hidden="false" name="q3_rev" vbProcedure="false">In!$E$111</definedName>
    <definedName function="false" hidden="false" name="q3_sh" vbProcedure="false">In!$E$117</definedName>
    <definedName function="false" hidden="false" name="q3_tx" vbProcedure="false">In!$E$116</definedName>
    <definedName function="false" hidden="false" name="q4_gm" vbProcedure="false">In!$E$120</definedName>
    <definedName function="false" hidden="false" name="q4_gm_hi" vbProcedure="false">In!$F$120</definedName>
    <definedName function="false" hidden="false" name="q4_gm_lo" vbProcedure="false">In!$D$120</definedName>
    <definedName function="false" hidden="false" name="q4_oth" vbProcedure="false">In!$E$122</definedName>
    <definedName function="false" hidden="false" name="q4_oth_hi" vbProcedure="false">In!$F$122</definedName>
    <definedName function="false" hidden="false" name="q4_oth_lo" vbProcedure="false">In!$D$122</definedName>
    <definedName function="false" hidden="false" name="q4_sh" vbProcedure="false">In!$E$124</definedName>
    <definedName function="false" hidden="false" name="q4_sh_hi" vbProcedure="false">In!$F$124</definedName>
    <definedName function="false" hidden="false" name="q4_sh_lo" vbProcedure="false">In!$D$124</definedName>
    <definedName function="false" hidden="false" name="q4_tx" vbProcedure="false">In!$E$123</definedName>
    <definedName function="false" hidden="false" name="q4_tx_hi" vbProcedure="false">In!$F$123</definedName>
    <definedName function="false" hidden="false" name="q4_tx_lo" vbProcedure="false">In!$D$123</definedName>
    <definedName function="false" hidden="false" name="rep_opt26" vbProcedure="false">In!$E$74</definedName>
    <definedName function="false" hidden="false" name="rm_factor" vbProcedure="false">Val!$B$170</definedName>
    <definedName function="false" hidden="false" name="sh_g" vbProcedure="false">In!$E$131</definedName>
    <definedName function="false" hidden="false" name="sh_g_hi" vbProcedure="false">In!$F$131</definedName>
    <definedName function="false" hidden="false" name="sh_g_lo" vbProcedure="false">In!$D$131</definedName>
    <definedName function="false" hidden="false" name="sto26" vbProcedure="false">In!$E$108</definedName>
    <definedName function="false" hidden="false" name="sto26_hi" vbProcedure="false">In!$F$108</definedName>
    <definedName function="false" hidden="false" name="sto26_lo" vbProcedure="false">In!$D$108</definedName>
    <definedName function="false" hidden="false" name="sw26" vbProcedure="false">In!$E$101</definedName>
    <definedName function="false" hidden="false" name="sw27" vbProcedure="false">In!$E$102</definedName>
    <definedName function="false" hidden="false" name="sw27_hi" vbProcedure="false">In!$F$102</definedName>
    <definedName function="false" hidden="false" name="sw27_lo" vbProcedure="false">In!$D$102</definedName>
    <definedName function="false" hidden="false" name="tp_comp_adj" vbProcedure="false">Val!$B$171</definedName>
    <definedName function="false" hidden="false" name="tp_g" vbProcedure="false">In!$E$162</definedName>
    <definedName function="false" hidden="false" name="tp_gd" vbProcedure="false">In!$E$163</definedName>
    <definedName function="false" hidden="false" name="tp_r" vbProcedure="false">In!$E$161</definedName>
    <definedName function="false" hidden="false" name="tp_roe" vbProcedure="false">In!$E$164</definedName>
    <definedName function="false" hidden="false" name="tp_wA" vbProcedure="false">In!$E$154</definedName>
    <definedName function="false" hidden="false" name="tp_wB" vbProcedure="false">In!$E$155</definedName>
    <definedName function="false" hidden="false" name="tp_wC" vbProcedure="false">In!$E$156</definedName>
    <definedName function="false" hidden="false" name="tp_w_dcf" vbProcedure="false">In!$E$165</definedName>
    <definedName function="false" hidden="false" name="tx_f" vbProcedure="false">In!$E$130</definedName>
    <definedName function="false" hidden="false" name="tx_f_hi" vbProcedure="false">In!$F$130</definedName>
    <definedName function="false" hidden="false" name="tx_f_lo" vbProcedure="false">In!$D$130</definedName>
    <definedName function="false" hidden="false" name="uk" vbProcedure="false">In!$E$55</definedName>
    <definedName function="false" hidden="false" name="uk_hi" vbProcedure="false">In!$F$55</definedName>
    <definedName function="false" hidden="false" name="uk_lo" vbProcedure="false">In!$D$55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In!$E$13</definedName>
    <definedName function="false" hidden="false" name="u_tpu_27" vbProcedure="false">In!$E$14</definedName>
    <definedName function="false" hidden="false" name="u_tpu_28" vbProcedure="false">In!$E$15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<sst xmlns="http://schemas.openxmlformats.org/spreadsheetml/2006/main" count="5288" uniqueCount="1226">
  <si>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：運算層，客製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＋光互連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＋交換器）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</si>
  <si>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 </t>
    </r>
    <r>
      <rPr>
        <sz val="11"/>
        <rFont val="Cambria"/>
        <family val="0"/>
        <charset val="1"/>
      </rPr>
      <t xml:space="preserve">avgo/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模型（本專案權威），本模型只加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份額與光晶片組。本版未做先驗。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</si>
  <si>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的資料中心營收＝客製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（市場層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每顆售價）＋光互連（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份額）＋交換器與其他；公司一年內把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營收展望從 </t>
    </r>
    <r>
      <rPr>
        <sz val="11"/>
        <rFont val="Cambria"/>
        <family val="0"/>
        <charset val="1"/>
      </rPr>
      <t xml:space="preserve">$13B </t>
    </r>
    <r>
      <rPr>
        <sz val="11"/>
        <rFont val="Noto Sans CJK SC"/>
        <family val="2"/>
      </rPr>
      <t xml:space="preserve">上修到 </t>
    </r>
    <r>
      <rPr>
        <sz val="11"/>
        <rFont val="Cambria"/>
        <family val="0"/>
        <charset val="1"/>
      </rPr>
      <t xml:space="preserve">$20B</t>
    </r>
    <r>
      <rPr>
        <sz val="11"/>
        <rFont val="Noto Sans CJK SC"/>
        <family val="2"/>
      </rPr>
      <t xml:space="preserve">，市場層顆數推得出多少？</t>
    </r>
  </si>
  <si>
    <r>
      <rPr>
        <sz val="11"/>
        <rFont val="Noto Sans CJK SC"/>
        <family val="2"/>
      </rPr>
      <t xml:space="preserve">核心問題：以市場層顆數與光模組市場往前推，</t>
    </r>
    <r>
      <rPr>
        <sz val="11"/>
        <rFont val="Cambria"/>
        <family val="0"/>
        <charset val="1"/>
      </rPr>
      <t xml:space="preserve">Marvell FY2028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 </t>
    </r>
    <r>
      <rPr>
        <sz val="11"/>
        <rFont val="Cambria"/>
        <family val="0"/>
        <charset val="1"/>
      </rPr>
      <t xml:space="preserve">$20B </t>
    </r>
    <r>
      <rPr>
        <sz val="11"/>
        <rFont val="Noto Sans CJK SC"/>
        <family val="2"/>
      </rPr>
      <t xml:space="preserve">展望與共識有多遠；差距要靠哪條產品線補上，現價隱含多少。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</si>
  <si>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月底，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（與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相同；不跨年加權）。</t>
    </r>
    <r>
      <rPr>
        <sz val="11"/>
        <rFont val="Cambria"/>
        <family val="0"/>
        <charset val="1"/>
      </rPr>
      <t xml:space="preserve">FY2026A </t>
    </r>
    <r>
      <rPr>
        <sz val="11"/>
        <rFont val="Noto Sans CJK SC"/>
        <family val="2"/>
      </rPr>
      <t xml:space="preserve">實績；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錨點；預測 </t>
    </r>
    <r>
      <rPr>
        <sz val="11"/>
        <rFont val="Cambria"/>
        <family val="0"/>
        <charset val="1"/>
      </rPr>
      <t xml:space="preserve">FY2028–FY2030</t>
    </r>
    <r>
      <rPr>
        <sz val="11"/>
        <rFont val="Noto Sans CJK SC"/>
        <family val="2"/>
      </rPr>
      <t xml:space="preserve">（≈</t>
    </r>
    <r>
      <rPr>
        <sz val="11"/>
        <rFont val="Cambria"/>
        <family val="0"/>
        <charset val="1"/>
      </rPr>
      <t xml:space="preserve">CY2027–29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（排除股票薪酬、攤銷、重組）。下次財報：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2026-11-30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月初。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</si>
  <si>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</si>
  <si>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的市場層顆數（</t>
    </r>
    <r>
      <rPr>
        <sz val="11"/>
        <rFont val="Cambria"/>
        <family val="0"/>
        <charset val="1"/>
      </rPr>
      <t xml:space="preserve">markets/memory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金額；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校準）＋ </t>
    </r>
    <r>
      <rPr>
        <sz val="11"/>
        <rFont val="Cambria"/>
        <family val="0"/>
        <charset val="1"/>
      </rPr>
      <t xml:space="preserve">XPU attach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</si>
  <si>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光互連：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後端可插拔光模組金額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平均單價 ＝ 模組數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線性直驅）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k_o </t>
    </r>
    <r>
      <rPr>
        <sz val="11"/>
        <rFont val="Noto Sans CJK SC"/>
        <family val="2"/>
      </rPr>
      <t xml:space="preserve">＋ 相干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。交換器、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retimer</t>
    </r>
    <r>
      <rPr>
        <sz val="11"/>
        <rFont val="Noto Sans CJK SC"/>
        <family val="2"/>
      </rPr>
      <t xml:space="preserve">、儲存：公司說法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成長；通訊與其他：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低個位數成長。</t>
    </r>
  </si>
  <si>
    <r>
      <rPr>
        <sz val="11"/>
        <rFont val="Noto Sans CJK SC"/>
        <family val="2"/>
      </rPr>
      <t xml:space="preserve">毛利率：光互連、其他資料中心、</t>
    </r>
    <r>
      <rPr>
        <sz val="11"/>
        <rFont val="Cambria"/>
        <family val="0"/>
        <charset val="1"/>
      </rPr>
      <t xml:space="preserve">attach</t>
    </r>
    <r>
      <rPr>
        <sz val="11"/>
        <rFont val="Noto Sans CJK SC"/>
        <family val="2"/>
      </rPr>
      <t xml:space="preserve">、通訊、代購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（公司說法）、稅率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（公司說法）。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</si>
  <si>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</t>
    </r>
    <r>
      <rPr>
        <sz val="11"/>
        <rFont val="Noto Sans CJK SC"/>
        <family val="2"/>
      </rPr>
      <t xml:space="preserve">（全年約 </t>
    </r>
    <r>
      <rPr>
        <sz val="11"/>
        <rFont val="Cambria"/>
        <family val="0"/>
        <charset val="1"/>
      </rPr>
      <t xml:space="preserve">$12B − </t>
    </r>
    <r>
      <rPr>
        <sz val="11"/>
        <rFont val="Noto Sans CJK SC"/>
        <family val="2"/>
      </rPr>
      <t xml:space="preserve">前三季；資料中心年增約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）。不用共識、不用公司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</si>
  <si>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估值：目標價＝三情境規則值隱含價的加權（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可改）；規則值＝十年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循環位置取分位 </t>
    </r>
    <r>
      <rPr>
        <sz val="11"/>
        <rFont val="Cambria"/>
        <family val="0"/>
        <charset val="1"/>
      </rPr>
      <t xml:space="preserve">× FY2028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</si>
  <si>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；法說與投資人日內容只經二手轉述（標二手）。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</si>
  <si>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k_o </t>
    </r>
    <r>
      <rPr>
        <sz val="11"/>
        <rFont val="Noto Sans CJK SC"/>
        <family val="2"/>
      </rPr>
      <t xml:space="preserve">是顆數、份額、單價的合併係數，無法分開識別；</t>
    </r>
    <r>
      <rPr>
        <sz val="11"/>
        <rFont val="Cambria"/>
        <family val="0"/>
        <charset val="1"/>
      </rPr>
      <t xml:space="preserve">(2) Marvell </t>
    </r>
    <r>
      <rPr>
        <sz val="11"/>
        <rFont val="Noto Sans CJK SC"/>
        <family val="2"/>
      </rPr>
      <t xml:space="preserve">各平台份額、光晶片組份額與每模組金額皆為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光互連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錨點為資料中心差額，產品線拆分取公司口頭說法；</t>
    </r>
    <r>
      <rPr>
        <sz val="11"/>
        <rFont val="Cambria"/>
        <family val="0"/>
        <charset val="1"/>
      </rPr>
      <t xml:space="preserve">(4) Google </t>
    </r>
    <r>
      <rPr>
        <sz val="11"/>
        <rFont val="Noto Sans CJK SC"/>
        <family val="2"/>
      </rPr>
      <t xml:space="preserve">認股權證案的平台未知（暫放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十年倍數含 </t>
    </r>
    <r>
      <rPr>
        <sz val="11"/>
        <rFont val="Cambria"/>
        <family val="0"/>
        <charset val="1"/>
      </rPr>
      <t xml:space="preserve">FY2020–FY2025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期的高倍數；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</si>
  <si>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</si>
  <si>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＝順利（市場層基準顆數）、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情境同字母（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三情境只差在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情境，顆數情境差從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</si>
  <si>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</si>
  <si>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：情境分歧主要從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只因網通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 → 可插拔模組少 → 光晶片組少）略有差異，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8.38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6.93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72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143</t>
    </r>
    <r>
      <rPr>
        <sz val="11"/>
        <color theme="1"/>
        <rFont val="Noto Sans CJK SC"/>
        <family val="2"/>
      </rPr>
      <t xml:space="preserve">；即使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FY2029 EPS 8.38 </t>
    </r>
    <r>
      <rPr>
        <sz val="11"/>
        <color theme="1"/>
        <rFont val="Noto Sans CJK SC"/>
        <family val="2"/>
      </rPr>
      <t xml:space="preserve">乘同業中位數 </t>
    </r>
    <r>
      <rPr>
        <sz val="11"/>
        <color theme="1"/>
        <rFont val="Calibri"/>
        <family val="2"/>
        <charset val="1"/>
      </rPr>
      <t xml:space="preserve">20.2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）也低於現價。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</si>
  <si>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最敏感的是光互連：每模組光晶片組金額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、光晶片組份額 −</t>
    </r>
    <r>
      <rPr>
        <sz val="11"/>
        <color theme="1"/>
        <rFont val="Calibri"/>
        <family val="2"/>
        <charset val="1"/>
      </rPr>
      <t xml:space="preserve">10pt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方面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 </t>
    </r>
    <r>
      <rPr>
        <sz val="11"/>
        <color theme="1"/>
        <rFont val="Noto Sans CJK SC"/>
        <family val="2"/>
      </rPr>
      <t xml:space="preserve">可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月初）的資料中心營收與光互連成長。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</si>
  <si>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</si>
  <si>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＝慢），本模型光互連的可插拔光模組市場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plug_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 → 可插拔模組數較少 → 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營收較少；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）三情境相同。其他輸入不變。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</si>
  <si>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</si>
  <si>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</si>
  <si>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）；每模組金額：美元；顆數與模組數：百萬。每個輸入附兩個來源（找不到者寫「未找到」）；公司原文算一個。【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</si>
  <si>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的展望與投資人日目標為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全年展望只用來推第四季（錨點），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</si>
  <si>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</si>
  <si>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</si>
  <si>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</si>
  <si>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</si>
  <si>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</si>
  <si>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</si>
  <si>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</si>
  <si>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</si>
  <si>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</si>
  <si>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；與台積電、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、網通、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</si>
  <si>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</si>
  <si>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</si>
  <si>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</si>
  <si>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</si>
  <si>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</si>
  <si>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</si>
  <si>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</si>
  <si>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</si>
  <si>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</si>
  <si>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</si>
  <si>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</si>
  <si>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</si>
  <si>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</si>
  <si>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</si>
  <si>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</si>
  <si>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</si>
  <si>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</si>
  <si>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</si>
  <si>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</si>
  <si>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</si>
  <si>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</si>
  <si>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</si>
  <si>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</si>
  <si>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</si>
  <si>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</si>
  <si>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</si>
  <si>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</si>
  <si>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</si>
  <si>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</si>
  <si>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</si>
  <si>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</si>
  <si>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</si>
  <si>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</si>
  <si>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</si>
  <si>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</si>
  <si>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</si>
  <si>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</si>
  <si>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</si>
  <si>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</si>
  <si>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</si>
  <si>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</si>
  <si>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</si>
  <si>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</si>
  <si>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</si>
  <si>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</si>
  <si>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</si>
  <si>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</si>
  <si>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</si>
  <si>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</si>
  <si>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</si>
  <si>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</si>
  <si>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</si>
  <si>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</si>
  <si>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</si>
  <si>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</si>
  <si>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</si>
  <si>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</si>
  <si>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</si>
  <si>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</si>
  <si>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</si>
  <si>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</si>
  <si>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</si>
  <si>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</si>
  <si>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</si>
  <si>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</si>
  <si>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</si>
  <si>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</si>
  <si>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</si>
  <si>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</si>
  <si>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</si>
  <si>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</si>
  <si>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</si>
  <si>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</si>
  <si>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</si>
  <si>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</si>
  <si>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</si>
  <si>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</si>
  <si>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</si>
  <si>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</si>
  <si>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</si>
  <si>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</si>
  <si>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</si>
  <si>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</si>
  <si>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</si>
  <si>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</si>
  <si>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份額）與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</si>
  <si>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</si>
  <si>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</si>
  <si>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</si>
  <si>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</si>
  <si>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條）；本模型不另訂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</si>
  <si>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</si>
  <si>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</si>
  <si>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</si>
  <si>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</si>
  <si>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</si>
  <si>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</si>
  <si>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</si>
  <si>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</si>
  <si>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</si>
  <si>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</si>
  <si>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</si>
  <si>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</si>
  <si>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</si>
  <si>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</si>
  <si>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</si>
  <si>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</si>
  <si>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</si>
  <si>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</si>
  <si>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</si>
  <si>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模型無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規格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</si>
  <si>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</si>
  <si>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</si>
  <si>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</si>
  <si>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</si>
  <si>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</si>
  <si>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</si>
  <si>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</si>
  <si>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</si>
  <si>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</si>
  <si>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</si>
  <si>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</si>
  <si>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</si>
  <si>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</si>
  <si>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</si>
  <si>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</si>
  <si>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</si>
  <si>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</si>
  <si>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</si>
  <si>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</si>
  <si>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</si>
  <si>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</si>
  <si>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</si>
  <si>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</si>
  <si>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</si>
  <si>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</si>
  <si>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</si>
  <si>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</si>
  <si>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</si>
  <si>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</si>
  <si>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</si>
  <si>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</si>
  <si>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</si>
  <si>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</si>
  <si>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</si>
  <si>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</si>
  <si>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</si>
  <si>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</si>
  <si>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</si>
  <si>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</si>
  <si>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</si>
  <si>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</si>
  <si>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</si>
  <si>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</si>
  <si>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</si>
  <si>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</si>
  <si>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</si>
  <si>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無：新世代核心單價變化未揭露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</si>
  <si>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</si>
  <si>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t xml:space="preserve">uk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</si>
  <si>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</si>
  <si>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</si>
  <si>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</si>
  <si>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</si>
  <si>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</si>
  <si>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</si>
  <si>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</si>
  <si>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</si>
  <si>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</si>
  <si>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</si>
  <si>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</si>
  <si>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</si>
  <si>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</si>
  <si>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</si>
  <si>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</si>
  <si>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</si>
  <si>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</si>
  <si>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</si>
  <si>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</si>
  <si>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</si>
  <si>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</si>
  <si>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</si>
  <si>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</si>
  <si>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</si>
  <si>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</si>
  <si>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</si>
  <si>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</si>
  <si>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</si>
  <si>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</si>
  <si>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</si>
  <si>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</si>
  <si>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</si>
  <si>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</si>
  <si>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</si>
  <si>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</si>
  <si>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</si>
  <si>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</si>
  <si>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</si>
  <si>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</si>
  <si>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</si>
  <si>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</si>
  <si>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</si>
  <si>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光互連：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每模組晶片組金額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</t>
    </r>
  </si>
  <si>
    <t xml:space="preserve">plug_26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</si>
  <si>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</si>
  <si>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</si>
  <si>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</si>
  <si>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光模組扣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LightCounting 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）高約 </t>
    </r>
    <r>
      <rPr>
        <sz val="11"/>
        <color theme="1"/>
        <rFont val="Calibri"/>
        <family val="2"/>
        <charset val="1"/>
      </rPr>
      <t xml:space="preserve">16%</t>
    </r>
  </si>
  <si>
    <t xml:space="preserve">plug_27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</si>
  <si>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</si>
  <si>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</si>
  <si>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</si>
  <si>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</si>
  <si>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</si>
  <si>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</si>
  <si>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；對照）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</si>
  <si>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In!E122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</si>
  <si>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</si>
  <si>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</si>
  <si>
    <t xml:space="preserve">US$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</si>
  <si>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$500–600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$1,000 </t>
    </r>
    <r>
      <rPr>
        <sz val="11"/>
        <color theme="1"/>
        <rFont val="Noto Sans CJK SC"/>
        <family val="2"/>
      </rPr>
      <t xml:space="preserve">的組合（市場轉述，二手）；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</t>
    </r>
  </si>
  <si>
    <t xml:space="preserve">市場別單價：未找到</t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</si>
  <si>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</si>
  <si>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</si>
  <si>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</si>
  <si>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</si>
  <si>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</si>
  <si>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</si>
  <si>
    <t xml:space="preserve">lpo_26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</si>
  <si>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</si>
  <si>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 2026-04</t>
    </r>
    <r>
      <rPr>
        <sz val="11"/>
        <color theme="1"/>
        <rFont val="Noto Sans CJK SC"/>
        <family val="2"/>
      </rPr>
      <t xml:space="preserve">：線性直驅 </t>
    </r>
    <r>
      <rPr>
        <sz val="11"/>
        <color theme="1"/>
        <rFont val="Calibri"/>
        <family val="2"/>
        <charset val="1"/>
      </rPr>
      <t xml:space="preserve">2027–2031 </t>
    </r>
    <r>
      <rPr>
        <sz val="11"/>
        <color theme="1"/>
        <rFont val="Noto Sans CJK SC"/>
        <family val="2"/>
      </rPr>
      <t xml:space="preserve">年壓抑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銷售（未量化，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</si>
  <si>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</si>
  <si>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lpo_27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</si>
  <si>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CY2027</t>
    </r>
  </si>
  <si>
    <t xml:space="preserve">lpo_28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</si>
  <si>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CY2028</t>
    </r>
  </si>
  <si>
    <t xml:space="preserve">lpo_29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</si>
  <si>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CY2029</t>
    </r>
  </si>
  <si>
    <t xml:space="preserve">dsp_26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</si>
  <si>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</si>
  <si>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800G PAM4 </t>
    </r>
    <r>
      <rPr>
        <sz val="11"/>
        <color theme="1"/>
        <rFont val="Noto Sans CJK SC"/>
        <family val="2"/>
      </rPr>
      <t xml:space="preserve">晶片組出貨近三倍、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晶片組 </t>
    </r>
    <r>
      <rPr>
        <sz val="11"/>
        <color theme="1"/>
        <rFont val="Calibri"/>
        <family val="2"/>
        <charset val="1"/>
      </rPr>
      <t xml:space="preserve">&gt;$2B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</si>
  <si>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約為模組單價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</si>
  <si>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dsp_27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</si>
  <si>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CY2027</t>
    </r>
  </si>
  <si>
    <t xml:space="preserve">dsp_28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</si>
  <si>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CY2028</t>
    </r>
  </si>
  <si>
    <t xml:space="preserve">dsp_29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</si>
  <si>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CY2029</t>
    </r>
  </si>
  <si>
    <t xml:space="preserve">msh_dsp_26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</si>
  <si>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</si>
  <si>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PAM4 DSP </t>
    </r>
    <r>
      <rPr>
        <sz val="11"/>
        <color theme="1"/>
        <rFont val="Noto Sans CJK SC"/>
        <family val="2"/>
      </rPr>
      <t xml:space="preserve">主要供應商：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MaxLinear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份額未揭露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</si>
  <si>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份額為付費資料）</t>
    </r>
  </si>
  <si>
    <t xml:space="preserve">msh_dsp_27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</si>
  <si>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</si>
  <si>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msh_dsp_28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</si>
  <si>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</si>
  <si>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msh_dsp_29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</si>
  <si>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</si>
  <si>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coh27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</si>
  <si>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</si>
  <si>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1.6T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 </t>
    </r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年相干 </t>
    </r>
    <r>
      <rPr>
        <sz val="11"/>
        <color theme="1"/>
        <rFont val="Calibri"/>
        <family val="2"/>
        <charset val="1"/>
      </rPr>
      <t xml:space="preserve">DSP +16%</t>
    </r>
  </si>
  <si>
    <t xml:space="preserve">金額未揭露：未找到</t>
  </si>
  <si>
    <t xml:space="preserve">g_coh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</si>
  <si>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</si>
  <si>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of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</si>
  <si>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</si>
  <si>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資料中心其他產品線（公司說法；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</si>
  <si>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cus26</t>
  </si>
  <si>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</si>
  <si>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逐字稿（二手）：「從零成長到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」；年增一倍</t>
    </r>
  </si>
  <si>
    <t xml:space="preserve">g_cus27</t>
  </si>
  <si>
    <r>
      <rPr>
        <sz val="11"/>
        <color theme="1"/>
        <rFont val="Noto Sans CJK SC"/>
        <family val="2"/>
      </rPr>
      <t xml:space="preserve">客製營收年增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</si>
  <si>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，偏高」；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：下半年顯著加速（二手）</t>
    </r>
  </si>
  <si>
    <t xml:space="preserve">共識無拆分：未找到</t>
  </si>
  <si>
    <t xml:space="preserve">att26</t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</si>
  <si>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</si>
  <si>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逐字稿（二手）：「去年約數億美元，今年倍增」</t>
    </r>
  </si>
  <si>
    <t xml:space="preserve">att27</t>
  </si>
  <si>
    <r>
      <rPr>
        <sz val="11"/>
        <color theme="1"/>
        <rFont val="Calibri"/>
        <family val="2"/>
        <charset val="1"/>
      </rPr>
      <t xml:space="preserve">XPU attach FY2027</t>
    </r>
    <r>
      <rPr>
        <sz val="11"/>
        <color theme="1"/>
        <rFont val="Noto Sans CJK SC"/>
        <family val="2"/>
      </rPr>
      <t xml:space="preserve">（倍增）</t>
    </r>
  </si>
  <si>
    <t xml:space="preserve">att28</t>
  </si>
  <si>
    <t xml:space="preserve">XPU attach FY2028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</si>
  <si>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逐字稿（二手）：「明年大概是十億美元級的業務」；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案放量</t>
    </r>
  </si>
  <si>
    <t xml:space="preserve">g_att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</si>
  <si>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</si>
  <si>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大致各半（二手）</t>
    </r>
  </si>
  <si>
    <t xml:space="preserve">sw26</t>
  </si>
  <si>
    <r>
      <rPr>
        <sz val="11"/>
        <color theme="1"/>
        <rFont val="Noto Sans CJK SC"/>
        <family val="2"/>
      </rPr>
      <t xml:space="preserve">資料中心交換器（</t>
    </r>
    <r>
      <rPr>
        <sz val="11"/>
        <color theme="1"/>
        <rFont val="Calibri"/>
        <family val="2"/>
        <charset val="1"/>
      </rPr>
      <t xml:space="preserve">Teralynx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</si>
  <si>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$300M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</si>
  <si>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$300M </t>
    </r>
    <r>
      <rPr>
        <sz val="11"/>
        <color theme="1"/>
        <rFont val="Noto Sans CJK SC"/>
        <family val="2"/>
      </rPr>
      <t xml:space="preserve">隱含</t>
    </r>
  </si>
  <si>
    <t xml:space="preserve">sw27</t>
  </si>
  <si>
    <r>
      <rPr>
        <sz val="11"/>
        <color theme="1"/>
        <rFont val="Noto Sans CJK SC"/>
        <family val="2"/>
      </rPr>
      <t xml:space="preserve">資料中心交換器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</si>
  <si>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$600M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：今年倍增以上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</si>
  <si>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（二手）同</t>
    </r>
  </si>
  <si>
    <t xml:space="preserve">g_sw28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</si>
  <si>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</si>
  <si>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法說：朝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年化營收（二手）</t>
    </r>
  </si>
  <si>
    <t xml:space="preserve">g_sw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</si>
  <si>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</si>
  <si>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交換器開發中</t>
    </r>
  </si>
  <si>
    <t xml:space="preserve">aec26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</si>
  <si>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</si>
  <si>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逐字稿（二手）：「大概 </t>
    </r>
    <r>
      <rPr>
        <sz val="11"/>
        <color theme="1"/>
        <rFont val="Calibri"/>
        <family val="2"/>
        <charset val="1"/>
      </rPr>
      <t xml:space="preserve">$200M </t>
    </r>
    <r>
      <rPr>
        <sz val="11"/>
        <color theme="1"/>
        <rFont val="Noto Sans CJK SC"/>
        <family val="2"/>
      </rPr>
      <t xml:space="preserve">範圍」</t>
    </r>
  </si>
  <si>
    <t xml:space="preserve">aec27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</si>
  <si>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FY2027</t>
    </r>
    <r>
      <rPr>
        <sz val="11"/>
        <color theme="1"/>
        <rFont val="Noto Sans CJK SC"/>
        <family val="2"/>
      </rPr>
      <t xml:space="preserve">（倍增以上）</t>
    </r>
  </si>
  <si>
    <r>
      <rPr>
        <sz val="11"/>
        <color theme="1"/>
        <rFont val="Noto Sans CJK SC"/>
        <family val="2"/>
      </rPr>
      <t xml:space="preserve">同上：「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倍增以上」</t>
    </r>
  </si>
  <si>
    <t xml:space="preserve">g_aec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</si>
  <si>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</si>
  <si>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t xml:space="preserve">sto26</t>
  </si>
  <si>
    <r>
      <rPr>
        <sz val="11"/>
        <color theme="1"/>
        <rFont val="Noto Sans CJK SC"/>
        <family val="2"/>
      </rPr>
      <t xml:space="preserve">儲存控制器與其他資料中心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</si>
  <si>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無：公司不揭露；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：資料中心含客製、光互連、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控制器（二手）</t>
    </r>
  </si>
  <si>
    <t xml:space="preserve">g_sto</t>
  </si>
  <si>
    <t xml:space="preserve">儲存與其他年增</t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</si>
  <si>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指引中點＋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由公司全年展望推得）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</si>
  <si>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</si>
  <si>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</si>
  <si>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$3,150M ± 5%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</si>
  <si>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（二手）同值</t>
    </r>
  </si>
  <si>
    <t xml:space="preserve">q3_cog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</si>
  <si>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通訊與其他年增（指引說法）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</si>
  <si>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摘要（二手）：季減與年減皆為「十幾個百分點低至中段」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</si>
  <si>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</si>
  <si>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</si>
  <si>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57.5%–58.5%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</si>
  <si>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</si>
  <si>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</si>
  <si>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$655M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</si>
  <si>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</si>
  <si>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</si>
  <si>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$36M</t>
    </r>
  </si>
  <si>
    <r>
      <rPr>
        <sz val="11"/>
        <color theme="1"/>
        <rFont val="Calibri"/>
        <family val="2"/>
        <charset val="1"/>
      </rPr>
      <t xml:space="preserve">Q1 0.040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0.030</t>
    </r>
    <r>
      <rPr>
        <sz val="11"/>
        <color theme="1"/>
        <rFont val="Noto Sans CJK SC"/>
        <family val="2"/>
      </rPr>
      <t xml:space="preserve">（公司）</t>
    </r>
  </si>
  <si>
    <t xml:space="preserve">q3_tx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</si>
  <si>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</si>
  <si>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</si>
  <si>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11.0%</t>
    </r>
    <r>
      <rPr>
        <sz val="11"/>
        <color theme="1"/>
        <rFont val="Noto Sans CJK SC"/>
        <family val="2"/>
      </rPr>
      <t xml:space="preserve">（公司）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</si>
  <si>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</si>
  <si>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</si>
  <si>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</si>
  <si>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921M</t>
    </r>
  </si>
  <si>
    <t xml:space="preserve">co_rev27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</si>
  <si>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</si>
  <si>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（年增約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</si>
  <si>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，二手）：仍約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12.07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Recon</t>
    </r>
  </si>
  <si>
    <t xml:space="preserve">co_dcg27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</si>
  <si>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資料中心營收年增展望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</si>
  <si>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</si>
  <si>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資料中心季增 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、年增約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（同上）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</si>
  <si>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</si>
  <si>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</si>
  <si>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同區間</t>
    </r>
  </si>
  <si>
    <t xml:space="preserve">co_opx27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</si>
  <si>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</si>
  <si>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$2.55B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$2.45B</t>
    </r>
    <r>
      <rPr>
        <sz val="11"/>
        <color theme="1"/>
        <rFont val="Noto Sans CJK SC"/>
        <family val="2"/>
      </rPr>
      <t xml:space="preserve">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</si>
  <si>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</si>
  <si>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</si>
  <si>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</si>
  <si>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</si>
  <si>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</si>
  <si>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</si>
  <si>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</si>
  <si>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</si>
  <si>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0.921 </t>
    </r>
    <r>
      <rPr>
        <sz val="11"/>
        <color theme="1"/>
        <rFont val="Noto Sans CJK SC"/>
        <family val="2"/>
      </rPr>
      <t xml:space="preserve">＋ 股票薪酬稀釋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</si>
  <si>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起）、通訊與其他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</si>
  <si>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</si>
  <si>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</si>
  <si>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營業費用成長約為營收成長的一半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</si>
  <si>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</si>
  <si>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</si>
  <si>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</si>
  <si>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</si>
  <si>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</si>
  <si>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</si>
  <si>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</si>
  <si>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</si>
  <si>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利息與其他淨損（每年）</t>
    </r>
  </si>
  <si>
    <r>
      <rPr>
        <sz val="11"/>
        <color theme="1"/>
        <rFont val="Calibri"/>
        <family val="2"/>
        <charset val="1"/>
      </rPr>
      <t xml:space="preserve">FY2026 0.151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$4.96B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</si>
  <si>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高端：產能預付約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以舉債支應（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</si>
  <si>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</si>
  <si>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</si>
  <si>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</si>
  <si>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FY2026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11%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</si>
  <si>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</si>
  <si>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</si>
  <si>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FY2026 0.870 → Q3 FY27 0.921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Celestial AI </t>
    </r>
    <r>
      <rPr>
        <sz val="11"/>
        <color theme="1"/>
        <rFont val="Noto Sans CJK SC"/>
        <family val="2"/>
      </rPr>
      <t xml:space="preserve">併購發股，公司）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</si>
  <si>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；買回 </t>
    </r>
    <r>
      <rPr>
        <sz val="11"/>
        <color theme="1"/>
        <rFont val="Calibri"/>
        <family val="2"/>
        <charset val="1"/>
      </rPr>
      <t xml:space="preserve">Q2 $200M</t>
    </r>
  </si>
  <si>
    <t xml:space="preserve">g_co28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</si>
  <si>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</si>
  <si>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Dolphin Research </t>
    </r>
    <r>
      <rPr>
        <sz val="11"/>
        <color theme="1"/>
        <rFont val="Noto Sans CJK SC"/>
        <family val="2"/>
      </rPr>
      <t xml:space="preserve">轉述公司：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低個位數（二手）</t>
    </r>
  </si>
  <si>
    <t xml:space="preserve">g_co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</si>
  <si>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</si>
  <si>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企業網通、電信、消費、車用／工業；車用乙太網路已於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售予 </t>
    </r>
    <r>
      <rPr>
        <sz val="11"/>
        <color theme="1"/>
        <rFont val="Calibri"/>
        <family val="2"/>
        <charset val="1"/>
      </rPr>
      <t xml:space="preserve">Infineon</t>
    </r>
  </si>
  <si>
    <t xml:space="preserve">gm_opt</t>
  </si>
  <si>
    <t xml:space="preserve">光互連毛利率</t>
  </si>
  <si>
    <t xml:space="preserve">無：公司不揭露產品別毛利率</t>
  </si>
  <si>
    <t xml:space="preserve">gm_oth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</si>
  <si>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、儲存與其他資料中心毛利率</t>
    </r>
  </si>
  <si>
    <t xml:space="preserve">gm_att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</si>
  <si>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毛利率</t>
    </r>
  </si>
  <si>
    <t xml:space="preserve">gm_co</t>
  </si>
  <si>
    <t xml:space="preserve">通訊與其他毛利率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</si>
  <si>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59.5%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</si>
  <si>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公司展望、投資人日與共識（只作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</si>
  <si>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co_rev28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</si>
  <si>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營收展望（投資人日）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</si>
  <si>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（二手）：約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</si>
  <si>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：資料中心約 </t>
    </r>
    <r>
      <rPr>
        <sz val="11"/>
        <color theme="1"/>
        <rFont val="Calibri"/>
        <family val="2"/>
        <charset val="1"/>
      </rPr>
      <t xml:space="preserve">$18B</t>
    </r>
  </si>
  <si>
    <t xml:space="preserve">co_dc28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</si>
  <si>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資料中心營收（投資人日）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</si>
  <si>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轉述投資人日（二手，單一來源）</t>
    </r>
  </si>
  <si>
    <t xml:space="preserve">co_cus29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</si>
  <si>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客製營收目標（下限）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</si>
  <si>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（二手）：超過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（原超過 </t>
    </r>
    <r>
      <rPr>
        <sz val="11"/>
        <color theme="1"/>
        <rFont val="Calibri"/>
        <family val="2"/>
        <charset val="1"/>
      </rPr>
      <t xml:space="preserve">$10B</t>
    </r>
    <r>
      <rPr>
        <sz val="11"/>
        <color theme="1"/>
        <rFont val="Noto Sans CJK SC"/>
        <family val="2"/>
      </rPr>
      <t xml:space="preserve">）；為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的三倍以上</t>
    </r>
  </si>
  <si>
    <t xml:space="preserve">co_icg27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</si>
  <si>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光互連（</t>
    </r>
    <r>
      <rPr>
        <sz val="11"/>
        <color theme="1"/>
        <rFont val="Calibri"/>
        <family val="2"/>
        <charset val="1"/>
      </rPr>
      <t xml:space="preserve">interconnect</t>
    </r>
    <r>
      <rPr>
        <sz val="11"/>
        <color theme="1"/>
        <rFont val="Noto Sans CJK SC"/>
        <family val="2"/>
      </rPr>
      <t xml:space="preserve">）年增（下限）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</si>
  <si>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</si>
  <si>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50%</t>
    </r>
  </si>
  <si>
    <t xml:space="preserve">co_eps28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</si>
  <si>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月說法：下限）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</si>
  <si>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</si>
  <si>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</si>
  <si>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t xml:space="preserve">co_gm31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</si>
  <si>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non-GAAP </t>
    </r>
    <r>
      <rPr>
        <sz val="11"/>
        <color theme="1"/>
        <rFont val="Noto Sans CJK SC"/>
        <family val="2"/>
      </rPr>
      <t xml:space="preserve">毛利率目標（中點）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</si>
  <si>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</t>
    </r>
    <r>
      <rPr>
        <sz val="11"/>
        <color theme="1"/>
        <rFont val="Calibri"/>
        <family val="2"/>
        <charset val="1"/>
      </rPr>
      <t xml:space="preserve">56%–59%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</si>
  <si>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</si>
  <si>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</si>
  <si>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</si>
  <si>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</si>
  <si>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</si>
  <si>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3.92–4.61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</si>
  <si>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</si>
  <si>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</si>
  <si>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同上（「明年」欄）</t>
  </si>
  <si>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：投資人日前共識 </t>
    </r>
    <r>
      <rPr>
        <sz val="11"/>
        <color theme="1"/>
        <rFont val="Calibri"/>
        <family val="2"/>
        <charset val="1"/>
      </rPr>
      <t xml:space="preserve">$18.2B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</si>
  <si>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</si>
  <si>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</si>
  <si>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價格、估值與目標價權重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</si>
  <si>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</si>
  <si>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</si>
  <si>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收盤；統計頁同值）</t>
    </r>
  </si>
  <si>
    <r>
      <rPr>
        <sz val="11"/>
        <color theme="1"/>
        <rFont val="Calibri"/>
        <family val="2"/>
        <charset val="1"/>
      </rPr>
      <t xml:space="preserve">digrin.com MRVL </t>
    </r>
    <r>
      <rPr>
        <sz val="11"/>
        <color theme="1"/>
        <rFont val="Noto Sans CJK SC"/>
        <family val="2"/>
      </rPr>
      <t xml:space="preserve">價格頁現價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頁面，即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收盤）；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227.70</t>
    </r>
    <r>
      <rPr>
        <sz val="11"/>
        <color theme="1"/>
        <rFont val="Noto Sans CJK SC"/>
        <family val="2"/>
      </rPr>
      <t xml:space="preserve">（盤後）；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投資人日後 </t>
    </r>
    <r>
      <rPr>
        <sz val="11"/>
        <color theme="1"/>
        <rFont val="Calibri"/>
        <family val="2"/>
        <charset val="1"/>
      </rPr>
      <t xml:space="preserve">$282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跌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</si>
  <si>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</si>
  <si>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</si>
  <si>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Trefis 2026-10-19</t>
  </si>
  <si>
    <t xml:space="preserve">eps_q3_26</t>
  </si>
  <si>
    <r>
      <rPr>
        <sz val="11"/>
        <color theme="1"/>
        <rFont val="Calibri"/>
        <family val="2"/>
        <charset val="1"/>
      </rPr>
      <t xml:space="preserve">Q3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</si>
  <si>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</si>
  <si>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https://investor.marvell.com/news-events/press-releases/detail/999/marvell-technology-inc-reports-third-quarter-of-fiscal-year-2026-financial-results</t>
  </si>
  <si>
    <t xml:space="preserve">eps_q4_26</t>
  </si>
  <si>
    <r>
      <rPr>
        <sz val="11"/>
        <color theme="1"/>
        <rFont val="Calibri"/>
        <family val="2"/>
        <charset val="1"/>
      </rPr>
      <t xml:space="preserve">Q4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</si>
  <si>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https://www.sec.gov/Archives/edgar/data/1835632/000183563226000006/q426_8kx1312026ex-991.htm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</si>
  <si>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</si>
  <si>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</si>
  <si>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</si>
  <si>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</si>
  <si>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</si>
  <si>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</si>
  <si>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</si>
  <si>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</si>
  <si>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</si>
  <si>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</si>
  <si>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</si>
  <si>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</si>
  <si>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</si>
  <si>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</si>
  <si>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</si>
  <si>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</si>
  <si>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</si>
  <si>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</si>
  <si>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</si>
  <si>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</si>
  <si>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</si>
  <si>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</si>
  <si>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</si>
  <si>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</si>
  <si>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</si>
  <si>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</si>
  <si>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</si>
  <si>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</si>
  <si>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</si>
  <si>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</si>
  <si>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</si>
  <si>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</si>
  <si>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）：同口徑近三年平均未找到，用工作單預設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</si>
  <si>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工作單：近三年平均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，找不到用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GAAP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stockalarm.io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FY2024 −6.29%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FY2025 −6.59%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18.66%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1.93%</t>
    </r>
    <r>
      <rPr>
        <sz val="11"/>
        <color theme="1"/>
        <rFont val="Noto Sans CJK SC"/>
        <family val="2"/>
      </rPr>
      <t xml:space="preserve">，受 </t>
    </r>
    <r>
      <rPr>
        <sz val="11"/>
        <color theme="1"/>
        <rFont val="Calibri"/>
        <family val="2"/>
        <charset val="1"/>
      </rPr>
      <t xml:space="preserve">Inphi </t>
    </r>
    <r>
      <rPr>
        <sz val="11"/>
        <color theme="1"/>
        <rFont val="Noto Sans CJK SC"/>
        <family val="2"/>
      </rPr>
      <t xml:space="preserve">等併購攤銷壓低，與本模型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不同口徑，不採</t>
    </r>
  </si>
  <si>
    <r>
      <rPr>
        <sz val="11"/>
        <color theme="1"/>
        <rFont val="Noto Sans CJK SC"/>
        <family val="2"/>
      </rPr>
      <t xml:space="preserve">若採 </t>
    </r>
    <r>
      <rPr>
        <sz val="11"/>
        <color theme="1"/>
        <rFont val="Calibri"/>
        <family val="2"/>
        <charset val="1"/>
      </rPr>
      <t xml:space="preserve">GAAP 1.93%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），再投資率達上限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，股東現金流只剩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16.52%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</si>
  <si>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</si>
  <si>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</si>
  <si>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</si>
  <si>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</si>
  <si>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</si>
  <si>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</si>
  <si>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</si>
  <si>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5.37%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FY2017–FY2026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21.62%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6.25%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58.70%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9.34%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9.44%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2.76%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16.95%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15.35%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32.58%</t>
    </r>
    <r>
      <rPr>
        <sz val="11"/>
        <color theme="1"/>
        <rFont val="Noto Sans CJK SC"/>
        <family val="2"/>
      </rPr>
      <t xml:space="preserve">），含攤銷與一次性處分利益，口徑不同不採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</si>
  <si>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</si>
  <si>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</si>
  <si>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</si>
  <si>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</si>
  <si>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</si>
  <si>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plugB_26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</si>
  <si>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</si>
  <si>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</si>
  <si>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</si>
  <si>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plugB_27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</si>
  <si>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</si>
  <si>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</si>
  <si>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</si>
  <si>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</si>
  <si>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</si>
  <si>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plugC_26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</si>
  <si>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</si>
  <si>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</si>
  <si>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</si>
  <si>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plugC_27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</si>
  <si>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</si>
  <si>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</si>
  <si>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</si>
  <si>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</si>
  <si>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</si>
  <si>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</si>
  <si>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</si>
  <si>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</si>
  <si>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</si>
  <si>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</si>
  <si>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</si>
  <si>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</si>
  <si>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</si>
  <si>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</si>
  <si>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</si>
  <si>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</si>
  <si>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</si>
  <si>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</si>
  <si>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</si>
  <si>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</si>
  <si>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</si>
  <si>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</si>
  <si>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</si>
  <si>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</si>
  <si>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</si>
  <si>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</si>
  <si>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</si>
  <si>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</si>
  <si>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</si>
  <si>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</si>
  <si>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</si>
  <si>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scn_plug_26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</si>
  <si>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plug_26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plugB_26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plugC_26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plug_26</t>
    </r>
  </si>
  <si>
    <t xml:space="preserve">scn_plug_27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</si>
  <si>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plug_27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plugB_27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plugC_27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plug_27</t>
    </r>
  </si>
  <si>
    <t xml:space="preserve">scn_plug_28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</si>
  <si>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plug_28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plugB_28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plugC_28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plug_28</t>
    </r>
  </si>
  <si>
    <t xml:space="preserve">scn_plug_29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</si>
  <si>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plug_29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plugB_29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plugC_29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plug_29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</si>
  <si>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</si>
  <si>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</si>
  <si>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</si>
  <si>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（排除股票薪酬、攤銷、重組、併購費用）。藍字＝輸入；黑字＝公式。實績取自 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</si>
  <si>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（＝公司全年營收展望約 </t>
    </r>
    <r>
      <rPr>
        <sz val="11"/>
        <color theme="1"/>
        <rFont val="Calibri"/>
        <family val="2"/>
        <charset val="1"/>
      </rPr>
      <t xml:space="preserve">$12B − </t>
    </r>
    <r>
      <rPr>
        <sz val="11"/>
        <color theme="1"/>
        <rFont val="Noto Sans CJK SC"/>
        <family val="2"/>
      </rPr>
      <t xml:space="preserve">前三季；資料中心依全年年增約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推得）；假設見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節。資料中心產品線拆分（客製、交換器、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、儲存）取公司法說說法，光互連為差額（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</si>
  <si>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2026-01-31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</si>
  <si>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2026-05-02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</si>
  <si>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</si>
  <si>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</si>
  <si>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（推得）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</si>
  <si>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</si>
  <si>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</si>
  <si>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</si>
  <si>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指引、全年展望）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</si>
  <si>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https://www.sec.gov/Archives/edgar/data/1835632/000183563226000006/q426_8kx1312026ex-991.htm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https://investor.marvell.com/sec-filings/all-sec-filings/content/0001835632-26-000014/q127_8kx522026ex-991.htm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</si>
  <si>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稿的六個月合計（營收 </t>
    </r>
    <r>
      <rPr>
        <sz val="11"/>
        <color theme="1"/>
        <rFont val="Calibri"/>
        <family val="2"/>
        <charset val="1"/>
      </rPr>
      <t xml:space="preserve">5.1571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1.8501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1.5839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（下方檢查列）；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資料中心＝四季加總（</t>
    </r>
    <r>
      <rPr>
        <sz val="11"/>
        <color theme="1"/>
        <rFont val="Calibri"/>
        <family val="2"/>
        <charset val="1"/>
      </rPr>
      <t xml:space="preserve">Q1 1.4406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1.4905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1.5179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1.6513</t>
    </r>
    <r>
      <rPr>
        <sz val="11"/>
        <color theme="1"/>
        <rFont val="Noto Sans CJK SC"/>
        <family val="2"/>
      </rPr>
      <t xml:space="preserve">）</t>
    </r>
  </si>
  <si>
    <t xml:space="preserve">  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</si>
  <si>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</si>
  <si>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比較欄）、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</si>
  <si>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通訊與其他（企業網通、電信、消費、車用／工業）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</si>
  <si>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</si>
  <si>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通訊與其他＝營收 </t>
    </r>
    <r>
      <rPr>
        <sz val="11"/>
        <color theme="1"/>
        <rFont val="Calibri"/>
        <family val="2"/>
        <charset val="1"/>
      </rPr>
      <t xml:space="preserve">2.0745 −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1.5179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起公司只揭露兩類</t>
    </r>
  </si>
  <si>
    <r>
      <rPr>
        <sz val="11"/>
        <color theme="1"/>
        <rFont val="Noto Sans CJK SC"/>
        <family val="2"/>
      </rPr>
      <t xml:space="preserve">  資料中心：客製（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</si>
  <si>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</si>
  <si>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g_cus27)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</si>
  <si>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 attach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</si>
  <si>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（＝客製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</si>
  <si>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資料中心：交換器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</si>
  <si>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</si>
  <si>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  資料中心：儲存與其他</t>
  </si>
  <si>
    <r>
      <rPr>
        <sz val="11"/>
        <color theme="1"/>
        <rFont val="Noto Sans CJK SC"/>
        <family val="2"/>
      </rPr>
      <t xml:space="preserve">  資料中心：光互連（＝資料中心 − 上列；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</si>
  <si>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／驅動器、相干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</si>
  <si>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Noto Sans CJK SC"/>
        <family val="2"/>
      </rPr>
      <t xml:space="preserve">    光互連年增（對照公司「超過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</si>
  <si>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</si>
  <si>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</si>
  <si>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</si>
  <si>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</si>
  <si>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FY2026 59.5%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57.5–58.5%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</si>
  <si>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</si>
  <si>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</si>
  <si>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</si>
  <si>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FY2026 2.8910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0.8469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1.0032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</si>
  <si>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</si>
  <si>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進入 </t>
    </r>
    <r>
      <rPr>
        <sz val="11"/>
        <color theme="1"/>
        <rFont val="Calibri"/>
        <family val="2"/>
        <charset val="1"/>
      </rPr>
      <t xml:space="preserve">38–40% </t>
    </r>
    <r>
      <rPr>
        <sz val="11"/>
        <color theme="1"/>
        <rFont val="Noto Sans CJK SC"/>
        <family val="2"/>
      </rPr>
      <t xml:space="preserve">目標區間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</si>
  <si>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</si>
  <si>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</si>
  <si>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</si>
  <si>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</si>
  <si>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</si>
  <si>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</si>
  <si>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</si>
  <si>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</si>
  <si>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</si>
  <si>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</si>
  <si>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</si>
  <si>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</si>
  <si>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Q2 − </t>
    </r>
    <r>
      <rPr>
        <sz val="11"/>
        <color theme="1"/>
        <rFont val="Noto Sans CJK SC"/>
        <family val="2"/>
      </rPr>
      <t xml:space="preserve">六個月合計（營收、營業利益、淨利；應約為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</si>
  <si>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（六個月欄）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</si>
  <si>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</si>
  <si>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</si>
  <si>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</si>
  <si>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</si>
  <si>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</si>
  <si>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</si>
  <si>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</si>
  <si>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</si>
  <si>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追加）：終端市場別（單一應報導部門）；分部宣告見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</si>
  <si>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與光晶片組規格（情境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</si>
  <si>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</si>
  <si>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</si>
  <si>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</si>
  <si>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</si>
  <si>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XPU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</si>
  <si>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</si>
  <si>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</si>
  <si>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</si>
  <si>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</si>
  <si>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</si>
  <si>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</si>
  <si>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</si>
  <si>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</si>
  <si>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</si>
  <si>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</si>
  <si>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</si>
  <si>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</si>
  <si>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</si>
  <si>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</si>
  <si>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</si>
  <si>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</si>
  <si>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模型份額＋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；其餘為 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、世芯、創意、華為等）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</si>
  <si>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</si>
  <si>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份額讀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</si>
  <si>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</si>
  <si>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光晶片組（情境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</si>
  <si>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光模組數量</t>
  </si>
  <si>
    <t xml:space="preserve">百萬個</t>
  </si>
  <si>
    <t xml:space="preserve">光晶片組市場</t>
  </si>
  <si>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光晶片組（未校準）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</si>
  <si>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光互連（校準後，含相干）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</si>
  <si>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</si>
  <si>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已發生的實績、當季指引與公司全年展望；不用共識、不用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</si>
  <si>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</si>
  <si>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</si>
  <si>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</si>
  <si>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光晶片組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</si>
  <si>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</si>
  <si>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</si>
  <si>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</si>
  <si>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Noto Sans CJK SC"/>
        <family val="2"/>
      </rPr>
      <t xml:space="preserve">客製 − </t>
    </r>
    <r>
      <rPr>
        <sz val="11"/>
        <color theme="1"/>
        <rFont val="Calibri"/>
        <family val="2"/>
        <charset val="1"/>
      </rPr>
      <t xml:space="preserve">attach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</si>
  <si>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錨點光互連</t>
    </r>
  </si>
  <si>
    <t xml:space="preserve">資料中心差額</t>
  </si>
  <si>
    <r>
      <rPr>
        <sz val="11"/>
        <color theme="1"/>
        <rFont val="Calibri"/>
        <family val="2"/>
        <charset val="1"/>
      </rPr>
      <t xml:space="preserve">PL — Marvell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由全年展望推得），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</t>
    </r>
  </si>
  <si>
    <t xml:space="preserve">情境／項目</t>
  </si>
  <si>
    <t xml:space="preserve">FY2026A</t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</si>
  <si>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</si>
  <si>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</si>
  <si>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</si>
  <si>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</si>
  <si>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</si>
  <si>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</si>
  <si>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  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</si>
  <si>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  光互連</t>
  </si>
  <si>
    <t xml:space="preserve">  通訊與其他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</si>
  <si>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</si>
  <si>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</si>
  <si>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</si>
  <si>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</si>
  <si>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</si>
  <si>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 − 錨點（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m_core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</si>
  <si>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</si>
  <si>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</si>
  <si>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</si>
  <si>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FY2027≈CY2026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FY2028–FY2030≈CY2027–CY2029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</si>
  <si>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</si>
  <si>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</si>
  <si>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</si>
  <si>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</si>
  <si>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</si>
  <si>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</si>
  <si>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</si>
  <si>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</si>
  <si>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</si>
  <si>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</si>
  <si>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</si>
  <si>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</si>
  <si>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</si>
  <si>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</si>
  <si>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</si>
  <si>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</si>
  <si>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</si>
  <si>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</si>
  <si>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</si>
  <si>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$1.5B × </t>
    </r>
    <r>
      <rPr>
        <sz val="11"/>
        <color theme="1"/>
        <rFont val="Noto Sans CJK SC"/>
        <family val="2"/>
      </rPr>
      <t xml:space="preserve">年增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）校準；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起沿用。顆數、份額、核心單價的合併係數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</si>
  <si>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</si>
  <si>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</si>
  <si>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</si>
  <si>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</si>
  <si>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</si>
  <si>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起乘情境顆數係數</t>
    </r>
  </si>
  <si>
    <r>
      <rPr>
        <sz val="11"/>
        <color theme="1"/>
        <rFont val="Noto Sans CJK SC"/>
        <family val="2"/>
      </rPr>
      <t xml:space="preserve">客製合計（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</si>
  <si>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光互連（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k_o</t>
    </r>
    <r>
      <rPr>
        <b val="true"/>
        <sz val="11"/>
        <rFont val="Noto Sans CJK SC"/>
        <family val="2"/>
      </rPr>
      <t xml:space="preserve">；另加相干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</si>
  <si>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後端可插拔光模組市場（</t>
    </r>
    <r>
      <rPr>
        <sz val="11"/>
        <color theme="1"/>
        <rFont val="Calibri"/>
        <family val="2"/>
        <charset val="1"/>
      </rPr>
      <t xml:space="preserve">markets/network × </t>
    </r>
    <r>
      <rPr>
        <sz val="11"/>
        <color theme="1"/>
        <rFont val="Noto Sans CJK SC"/>
        <family val="2"/>
      </rPr>
      <t xml:space="preserve">情境係數）</t>
    </r>
  </si>
  <si>
    <r>
      <rPr>
        <sz val="11"/>
        <color theme="1"/>
        <rFont val="Noto Sans CJK SC"/>
        <family val="2"/>
      </rPr>
      <t xml:space="preserve">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</t>
    </r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</si>
  <si>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的線性直驅占比</t>
    </r>
  </si>
  <si>
    <t xml:space="preserve">每模組光晶片組金額</t>
  </si>
  <si>
    <r>
      <rPr>
        <sz val="11"/>
        <color theme="1"/>
        <rFont val="Noto Sans CJK SC"/>
        <family val="2"/>
      </rPr>
      <t xml:space="preserve">光晶片組市場 ＝ 模組數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線性直驅）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每模組金額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</si>
  <si>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份額：光晶片組</t>
    </r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</si>
  <si>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</si>
  <si>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</si>
  <si>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：錨點光互連為資料中心差額；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光學、前端資料中心光學與份額、單價的合併誤差；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</t>
    </r>
  </si>
  <si>
    <t xml:space="preserve">光互連營收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</si>
  <si>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資料中心其他與通訊（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相關產品線乘情境顆數係數）</t>
    </r>
  </si>
  <si>
    <t xml:space="preserve">交換器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</si>
  <si>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</si>
  <si>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儲存與其他資料中心</t>
  </si>
  <si>
    <t xml:space="preserve">資料中心營收</t>
  </si>
  <si>
    <t xml:space="preserve">通訊與其他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</si>
  <si>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</si>
  <si>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</si>
  <si>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</si>
  <si>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</si>
  <si>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毛利：光互連＋其他資料中心＋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＋通訊＋代購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</si>
  <si>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</si>
  <si>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起毛利率變化來自營收組合（客製占比上升、代購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</si>
  <si>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</si>
  <si>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</si>
  <si>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</si>
  <si>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</si>
  <si>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</si>
  <si>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利息與其他淨損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</si>
  <si>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</si>
  <si>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</si>
  <si>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</si>
  <si>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</si>
  <si>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FY2029–30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</si>
  <si>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FY2026A–FY2030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FY2031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</si>
  <si>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</si>
  <si>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</si>
  <si>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FY2027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</si>
  <si>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</si>
  <si>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</si>
  <si>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</si>
  <si>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</si>
  <si>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</si>
  <si>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</si>
  <si>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</si>
  <si>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</si>
  <si>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</si>
  <si>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</si>
  <si>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</si>
  <si>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</si>
  <si>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多年為負（攤銷、併購），十年倍數改用「會計年度年底股價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</si>
  <si>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相同），見頂年度讀設備市場模型（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判定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</si>
  <si>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</si>
  <si>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</si>
  <si>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</si>
  <si>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</si>
  <si>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</si>
  <si>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</si>
  <si>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</si>
  <si>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</si>
  <si>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</si>
  <si>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</si>
  <si>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</si>
  <si>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</si>
  <si>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</si>
  <si>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</si>
  <si>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</si>
  <si>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</si>
  <si>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</si>
  <si>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</si>
  <si>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</si>
  <si>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</si>
  <si>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</si>
  <si>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</si>
  <si>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</si>
  <si>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</si>
  <si>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</si>
  <si>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</si>
  <si>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</si>
  <si>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</si>
  <si>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</si>
  <si>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</si>
  <si>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</si>
  <si>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</si>
  <si>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</si>
  <si>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</si>
  <si>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</si>
  <si>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Broadcom</t>
  </si>
  <si>
    <t xml:space="preserve">AVGO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</si>
  <si>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</si>
  <si>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</si>
  <si>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</si>
  <si>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NVIDIA</t>
  </si>
  <si>
    <t xml:space="preserve">NVDA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</si>
  <si>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</si>
  <si>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AMD</t>
  </si>
  <si>
    <t xml:space="preserve">Astera Labs</t>
  </si>
  <si>
    <t xml:space="preserve">ALAB</t>
  </si>
  <si>
    <t xml:space="preserve">Credo</t>
  </si>
  <si>
    <t xml:space="preserve">CRDO</t>
  </si>
  <si>
    <t xml:space="preserve">  同業選擇</t>
  </si>
  <si>
    <r>
      <rPr>
        <sz val="11"/>
        <color theme="1"/>
        <rFont val="Noto Sans CJK SC"/>
        <family val="2"/>
      </rPr>
      <t xml:space="preserve">券商常用的客製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互連同業（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為直接競爭者；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為互連）；不含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</si>
  <si>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</si>
  <si>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</si>
  <si>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</si>
  <si>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</si>
  <si>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</si>
  <si>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</si>
  <si>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</si>
  <si>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</si>
  <si>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</si>
  <si>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</si>
  <si>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</si>
  <si>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</si>
  <si>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</si>
  <si>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</si>
  <si>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</si>
  <si>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</si>
  <si>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FY2028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</si>
  <si>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</si>
  <si>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</si>
  <si>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</si>
  <si>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</si>
  <si>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</si>
  <si>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</si>
  <si>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Val!B121:B130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</si>
  <si>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</si>
  <si>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0.20</t>
    </r>
    <r>
      <rPr>
        <sz val="11"/>
        <color theme="1"/>
        <rFont val="Noto Sans CJK SC"/>
        <family val="2"/>
      </rPr>
      <t xml:space="preserve">（工作單預設；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受併購攤銷壓低不採）；基準日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FY2030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期高倍數）；永續價值占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</si>
  <si>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</si>
  <si>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</si>
  <si>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</si>
  <si>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</si>
  <si>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</si>
  <si>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</si>
  <si>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</si>
  <si>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</si>
  <si>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</si>
  <si>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</si>
  <si>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</si>
  <si>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</si>
  <si>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規則值：十年（</t>
    </r>
    <r>
      <rPr>
        <sz val="11"/>
        <color theme="1"/>
        <rFont val="Calibri"/>
        <family val="2"/>
        <charset val="1"/>
      </rPr>
      <t xml:space="preserve">CY2016–2025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FY2017–FY2026 </t>
    </r>
    <r>
      <rPr>
        <sz val="11"/>
        <color theme="1"/>
        <rFont val="Noto Sans CJK SC"/>
        <family val="2"/>
      </rPr>
      <t xml:space="preserve">會計年度年底）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循環位置取分位（中段＝中位數、見頂＝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；隱含約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的價格，未折現）。歷史倍數含 </t>
    </r>
    <r>
      <rPr>
        <sz val="11"/>
        <color theme="1"/>
        <rFont val="Calibri"/>
        <family val="2"/>
        <charset val="1"/>
      </rPr>
      <t xml:space="preserve">FY2020–FY2025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期的高倍數（偏高），也含 </t>
    </r>
    <r>
      <rPr>
        <sz val="11"/>
        <color theme="1"/>
        <rFont val="Calibri"/>
        <family val="2"/>
        <charset val="1"/>
      </rPr>
      <t xml:space="preserve">FY2018–FY2019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的低倍數；照算不換倍數。情境標籤沿用工作單（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下檔）；本模型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＝市場層基準顆數，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情境（約 </t>
    </r>
    <r>
      <rPr>
        <sz val="11"/>
        <color theme="1"/>
        <rFont val="Calibri"/>
        <family val="2"/>
        <charset val="1"/>
      </rPr>
      <t xml:space="preserve">±1%</t>
    </r>
    <r>
      <rPr>
        <sz val="11"/>
        <color theme="1"/>
        <rFont val="Noto Sans CJK SC"/>
        <family val="2"/>
      </rPr>
      <t xml:space="preserve">），隱含價差異主要來自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的循環位置（見頂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</si>
  <si>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  檢查：權重合計（應為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</si>
  <si>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</si>
  <si>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</si>
  <si>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</si>
  <si>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</si>
  <si>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實績＋指引），三情境相同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</si>
  <si>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</si>
  <si>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</si>
  <si>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</si>
  <si>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FY2030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</si>
  <si>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</si>
  <si>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</si>
  <si>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Q2 FY27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</si>
  <si>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</si>
  <si>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t−1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</si>
  <si>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</si>
  <si>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</si>
  <si>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</si>
  <si>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</si>
  <si>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</si>
  <si>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</si>
  <si>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</si>
  <si>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循環位置的規則倍數</t>
    </r>
  </si>
  <si>
    <t xml:space="preserve">FY2028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</si>
  <si>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</si>
  <si>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</si>
  <si>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</si>
  <si>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FY2028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</si>
  <si>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；約一年後的價格看當時進行中的會計年度）</t>
    </r>
  </si>
  <si>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</si>
  <si>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</si>
  <si>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</si>
  <si>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</si>
  <si>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</si>
  <si>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欄反映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情境的顆數下修。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</si>
  <si>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計算明細：會計年度年底股價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該年度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多年為負，不適用）</t>
    </r>
  </si>
  <si>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</si>
  <si>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</si>
  <si>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月月底收盤（</t>
    </r>
    <r>
      <rPr>
        <b val="true"/>
        <sz val="11"/>
        <rFont val="Cambria"/>
        <family val="0"/>
        <charset val="1"/>
      </rPr>
      <t xml:space="preserve">digrin</t>
    </r>
    <r>
      <rPr>
        <b val="true"/>
        <sz val="11"/>
        <rFont val="Noto Sans CJK SC"/>
        <family val="2"/>
      </rPr>
      <t xml:space="preserve">，未調整）</t>
    </r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</si>
  <si>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日股價（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，含息調整）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</si>
  <si>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（對照）</t>
    </r>
  </si>
  <si>
    <t xml:space="preserve">2016</t>
  </si>
  <si>
    <t xml:space="preserve">FY2017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</si>
  <si>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：各年第四季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FY2017–FY2019 </t>
    </r>
    <r>
      <rPr>
        <sz val="11"/>
        <color theme="1"/>
        <rFont val="Noto Sans CJK SC"/>
        <family val="2"/>
      </rPr>
      <t xml:space="preserve">為持續營業部門）</t>
    </r>
  </si>
  <si>
    <t xml:space="preserve">2017</t>
  </si>
  <si>
    <t xml:space="preserve">FY2018</t>
  </si>
  <si>
    <t xml:space="preserve">2018</t>
  </si>
  <si>
    <t xml:space="preserve">FY2019</t>
  </si>
  <si>
    <t xml:space="preserve">2019</t>
  </si>
  <si>
    <t xml:space="preserve">FY2020</t>
  </si>
  <si>
    <t xml:space="preserve">2020</t>
  </si>
  <si>
    <t xml:space="preserve">FY2021</t>
  </si>
  <si>
    <t xml:space="preserve">2021</t>
  </si>
  <si>
    <t xml:space="preserve">FY2022</t>
  </si>
  <si>
    <t xml:space="preserve">2022</t>
  </si>
  <si>
    <t xml:space="preserve">FY2023</t>
  </si>
  <si>
    <t xml:space="preserve">2023</t>
  </si>
  <si>
    <t xml:space="preserve">FY2024</t>
  </si>
  <si>
    <t xml:space="preserve">2024</t>
  </si>
  <si>
    <t xml:space="preserve">FY2025</t>
  </si>
  <si>
    <t xml:space="preserve">2025</t>
  </si>
  <si>
    <t xml:space="preserve">FY2026</t>
  </si>
  <si>
    <r>
      <rPr>
        <sz val="11"/>
        <color theme="1"/>
        <rFont val="Calibri"/>
        <family val="2"/>
        <charset val="1"/>
      </rPr>
      <t xml:space="preserve">Macrotrends 2026 </t>
    </r>
    <r>
      <rPr>
        <sz val="11"/>
        <color theme="1"/>
        <rFont val="Noto Sans CJK SC"/>
        <family val="2"/>
      </rPr>
      <t xml:space="preserve">年資料未找到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</si>
  <si>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EPS</t>
    </r>
    <r>
      <rPr>
        <i val="true"/>
        <sz val="11"/>
        <rFont val="Noto Sans CJK SC"/>
        <family val="2"/>
      </rPr>
      <t xml:space="preserve">＝</t>
    </r>
    <r>
      <rPr>
        <i val="true"/>
        <sz val="11"/>
        <rFont val="Cambria"/>
        <family val="0"/>
        <charset val="1"/>
      </rPr>
      <t xml:space="preserve">Marvell 8-K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FY2017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FY2019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FY2020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FY2022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FY2021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FY2023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FY2025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FY2026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Q4 FY26 </t>
    </r>
    <r>
      <rPr>
        <i val="true"/>
        <sz val="11"/>
        <rFont val="Noto Sans CJK SC"/>
        <family val="2"/>
      </rPr>
      <t xml:space="preserve">稿）。股價：</t>
    </r>
    <r>
      <rPr>
        <i val="true"/>
        <sz val="11"/>
        <rFont val="Cambria"/>
        <family val="0"/>
        <charset val="1"/>
      </rPr>
      <t xml:space="preserve">digrin.com</t>
    </r>
    <r>
      <rPr>
        <i val="true"/>
        <sz val="11"/>
        <rFont val="Noto Sans CJK SC"/>
        <family val="2"/>
      </rPr>
      <t xml:space="preserve">（月資料，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月；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年底實為 </t>
    </r>
    <r>
      <rPr>
        <i val="true"/>
        <sz val="11"/>
        <rFont val="Cambria"/>
        <family val="0"/>
        <charset val="1"/>
      </rPr>
      <t xml:space="preserve">2018-02-03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2024-02-03</t>
    </r>
    <r>
      <rPr>
        <i val="true"/>
        <sz val="11"/>
        <rFont val="Noto Sans CJK SC"/>
        <family val="2"/>
      </rPr>
      <t xml:space="preserve">，取 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月近似）；</t>
    </r>
    <r>
      <rPr>
        <i val="true"/>
        <sz val="11"/>
        <rFont val="Cambria"/>
        <family val="0"/>
        <charset val="1"/>
      </rPr>
      <t xml:space="preserve">Macrotrends 1 </t>
    </r>
    <r>
      <rPr>
        <i val="true"/>
        <sz val="11"/>
        <rFont val="Noto Sans CJK SC"/>
        <family val="2"/>
      </rPr>
      <t xml:space="preserve">月 </t>
    </r>
    <r>
      <rPr>
        <i val="true"/>
        <sz val="11"/>
        <rFont val="Cambria"/>
        <family val="0"/>
        <charset val="1"/>
      </rPr>
      <t xml:space="preserve">31 </t>
    </r>
    <r>
      <rPr>
        <i val="true"/>
        <sz val="11"/>
        <rFont val="Noto Sans CJK SC"/>
        <family val="2"/>
      </rPr>
      <t xml:space="preserve">日（含息調整，</t>
    </r>
    <r>
      <rPr>
        <i val="true"/>
        <sz val="11"/>
        <rFont val="Cambria"/>
        <family val="0"/>
        <charset val="1"/>
      </rPr>
      <t xml:space="preserve">Interested-party </t>
    </r>
    <r>
      <rPr>
        <i val="true"/>
        <sz val="11"/>
        <rFont val="Noto Sans CJK SC"/>
        <family val="2"/>
      </rPr>
      <t xml:space="preserve">資料商）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</si>
  <si>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</si>
  <si>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年底對應 </t>
    </r>
    <r>
      <rPr>
        <sz val="11"/>
        <color theme="1"/>
        <rFont val="Calibri"/>
        <family val="2"/>
        <charset val="1"/>
      </rPr>
      <t xml:space="preserve">FY(t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CJK SC"/>
        <family val="2"/>
      </rPr>
      <t xml:space="preserve">年底（約一個月差）；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多年為負（</t>
    </r>
    <r>
      <rPr>
        <sz val="11"/>
        <color theme="1"/>
        <rFont val="Calibri"/>
        <family val="2"/>
        <charset val="1"/>
      </rPr>
      <t xml:space="preserve">Macrotrends 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349.6x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21.6x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10.0x</t>
    </r>
    <r>
      <rPr>
        <sz val="11"/>
        <color theme="1"/>
        <rFont val="Noto Sans CJK SC"/>
        <family val="2"/>
      </rPr>
      <t xml:space="preserve">，其餘為負），改用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自算兩序列（股價來源不同）。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</si>
  <si>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</si>
  <si>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</si>
  <si>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digrin 1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÷ non-GAAP EPS</t>
    </r>
  </si>
  <si>
    <r>
      <rPr>
        <b val="true"/>
        <sz val="11"/>
        <rFont val="Cambria"/>
        <family val="0"/>
        <charset val="1"/>
      </rPr>
      <t xml:space="preserve">Macrotrends 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non-GAAP EPS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</si>
  <si>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</si>
  <si>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digrin 1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資料商；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 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（股價含息調整，略低；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</si>
  <si>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</si>
  <si>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</si>
  <si>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</si>
  <si>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</si>
  <si>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</si>
  <si>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</si>
  <si>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</si>
  <si>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</si>
  <si>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</si>
  <si>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</si>
  <si>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</si>
  <si>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</si>
  <si>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</si>
  <si>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</si>
  <si>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</si>
  <si>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</si>
  <si>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</si>
  <si>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</si>
  <si>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</si>
  <si>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</si>
  <si>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</si>
  <si>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</si>
  <si>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</si>
  <si>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</si>
  <si>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</si>
  <si>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</si>
  <si>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</si>
  <si>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</si>
  <si>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</si>
  <si>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</si>
  <si>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</si>
  <si>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</si>
  <si>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</si>
  <si>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</si>
  <si>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</si>
  <si>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</si>
  <si>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</si>
  <si>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</si>
  <si>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</si>
  <si>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</si>
  <si>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</si>
  <si>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</si>
  <si>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</si>
  <si>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</si>
  <si>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</si>
  <si>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Marvell</t>
  </si>
  <si>
    <t xml:space="preserve">MRVL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</si>
  <si>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</si>
  <si>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</si>
  <si>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</si>
  <si>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</si>
  <si>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NVDA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</si>
  <si>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AMD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</si>
  <si>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ALAB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</si>
  <si>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CRDO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</si>
  <si>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</si>
  <si>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</si>
  <si>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</si>
  <si>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</si>
  <si>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</si>
  <si>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</si>
  <si>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</si>
  <si>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</si>
  <si>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</si>
  <si>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</si>
  <si>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</si>
  <si>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</si>
  <si>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</si>
  <si>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</si>
  <si>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公司展望、投資人日目標、共識。只作事後對照，不為對上數字而調參數。公司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起的展望（營收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&gt;$12B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</si>
  <si>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</si>
  <si>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</si>
  <si>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</si>
  <si>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</si>
  <si>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</si>
  <si>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</si>
  <si>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</si>
  <si>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</si>
  <si>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</si>
  <si>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</si>
  <si>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法說）</t>
    </r>
  </si>
  <si>
    <t xml:space="preserve">錨點：第四季由全年展望推得，恆等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</si>
  <si>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</t>
    </r>
  </si>
  <si>
    <t xml:space="preserve">投資人日（二手）</t>
  </si>
  <si>
    <r>
      <rPr>
        <sz val="11"/>
        <color theme="1"/>
        <rFont val="Noto Sans CJK SC"/>
        <family val="2"/>
      </rPr>
      <t xml:space="preserve">公司展望一年內上修五次（</t>
    </r>
    <r>
      <rPr>
        <sz val="11"/>
        <color theme="1"/>
        <rFont val="Calibri"/>
        <family val="2"/>
        <charset val="1"/>
      </rPr>
      <t xml:space="preserve">$13B → 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</si>
  <si>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</si>
  <si>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轉述（單一來源）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</si>
  <si>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「至少倍增」（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</si>
  <si>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&gt;12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</si>
  <si>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認股權證案的機率加權部分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</si>
  <si>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</si>
  <si>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</si>
  <si>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$20B</t>
    </r>
    <r>
      <rPr>
        <b val="true"/>
        <sz val="11"/>
        <rFont val="Noto Sans CJK SC"/>
        <family val="2"/>
      </rPr>
      <t xml:space="preserve">，非通訊部分需要是模型資料中心的幾倍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</si>
  <si>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：所需資料中心倍數（＝</t>
    </r>
    <r>
      <rPr>
        <sz val="11"/>
        <color theme="1"/>
        <rFont val="Calibri"/>
        <family val="2"/>
        <charset val="1"/>
      </rPr>
      <t xml:space="preserve">(20 − </t>
    </r>
    <r>
      <rPr>
        <sz val="11"/>
        <color theme="1"/>
        <rFont val="Noto Sans CJK SC"/>
        <family val="2"/>
      </rPr>
      <t xml:space="preserve">模型通訊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模型資料中心）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</si>
  <si>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</si>
  <si>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：差額（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</si>
  <si>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若全由客製補上，所需客製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模型客製見下一列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</si>
  <si>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：所需客製倍數（差額全由客製補）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</si>
  <si>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</si>
  <si>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</si>
  <si>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StockAnalysis</t>
  </si>
  <si>
    <t xml:space="preserve">錨點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</si>
  <si>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</si>
  <si>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依全年展望與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</si>
  <si>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</si>
  <si>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</si>
  <si>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差距主要來自營收（共識已接近公司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</si>
  <si>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共識隱含毛利率（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</si>
  <si>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</si>
  <si>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t xml:space="preserve">以模型營業費用估算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</si>
  <si>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產品線（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錨點拆分的一致性）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</si>
  <si>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</si>
  <si>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</si>
  <si>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光互連為資料中心差額；差額含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光學、相干 </t>
    </r>
    <r>
      <rPr>
        <sz val="11"/>
        <color theme="1"/>
        <rFont val="Calibri"/>
        <family val="2"/>
        <charset val="1"/>
      </rPr>
      <t xml:space="preserve">DSP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</si>
  <si>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60%</t>
    </r>
  </si>
  <si>
    <t xml:space="preserve">錨點恆等</t>
  </si>
  <si>
    <r>
      <rPr>
        <sz val="11"/>
        <color theme="1"/>
        <rFont val="Calibri"/>
        <family val="2"/>
        <charset val="1"/>
      </rPr>
      <t xml:space="preserve">CY2026 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</si>
  <si>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sz val="11"/>
        <color theme="1"/>
        <rFont val="Noto Sans CJK SC"/>
        <family val="2"/>
      </rPr>
      <t xml:space="preserve">含相干與 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&gt;100% </t>
    </r>
    <r>
      <rPr>
        <sz val="11"/>
        <color theme="1"/>
        <rFont val="Noto Sans CJK SC"/>
        <family val="2"/>
      </rPr>
      <t xml:space="preserve">表示市場層光模組金額偏低或光互連含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後端以外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</si>
  <si>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光模組：本專案 </t>
    </r>
    <r>
      <rPr>
        <sz val="11"/>
        <color theme="1"/>
        <rFont val="Calibri"/>
        <family val="2"/>
        <charset val="1"/>
      </rPr>
      <t xml:space="preserve">vs LightCounting 26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</si>
  <si>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</si>
  <si>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資料中心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</si>
  <si>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 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$80B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</si>
  <si>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</si>
  <si>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</si>
  <si>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</si>
  <si>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模型單價與公司客製營收一致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</si>
  <si>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（光互連校準係數）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</si>
  <si>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</si>
  <si>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：光互連包含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後端可插拔以外的產品，或市場層光學偏低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</si>
  <si>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</si>
  <si>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毛利殘差</t>
    </r>
  </si>
  <si>
    <t xml:space="preserve">客製毛利率低於公司平均（公司說法：客製稀釋毛利率；二手）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</si>
  <si>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FY2027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</si>
  <si>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期末同區間（約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</si>
  <si>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56–59%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</si>
  <si>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模型偏低主要來自代購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模型的代購比例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）；代購比例低時見 </t>
    </r>
    <r>
      <rPr>
        <sz val="11"/>
        <color theme="1"/>
        <rFont val="Calibri"/>
        <family val="2"/>
        <charset val="1"/>
      </rPr>
      <t xml:space="preserve">Sens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</si>
  <si>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</si>
  <si>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</si>
  <si>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</si>
  <si>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的營收、資料中心、毛利率與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</si>
  <si>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</si>
  <si>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</si>
  <si>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</si>
  <si>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</si>
  <si>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</si>
  <si>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</si>
  <si>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</si>
  <si>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</si>
  <si>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</si>
  <si>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</si>
  <si>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</si>
  <si>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</si>
  <si>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</si>
  <si>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</si>
  <si>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</si>
  <si>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</si>
  <si>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</si>
  <si>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</si>
  <si>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−3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</si>
  <si>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+6pt</t>
    </r>
  </si>
  <si>
    <r>
      <rPr>
        <sz val="11"/>
        <color theme="1"/>
        <rFont val="Calibri"/>
        <family val="2"/>
        <charset val="1"/>
      </rPr>
      <t xml:space="preserve">+6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放量較快）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</si>
  <si>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</si>
  <si>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</si>
  <si>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</si>
  <si>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案提前）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</si>
  <si>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</si>
  <si>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</si>
  <si>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</si>
  <si>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</si>
  <si>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</si>
  <si>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</si>
  <si>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</si>
  <si>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Noto Sans CJK SC"/>
        <family val="2"/>
      </rPr>
      <t xml:space="preserve">光晶片組份額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</si>
  <si>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</si>
  <si>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光晶片組份額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</si>
  <si>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</si>
  <si>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每模組晶片組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</si>
  <si>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起每模組光晶片組金額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</si>
  <si>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線性直驅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</si>
  <si>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LPO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</si>
  <si>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</si>
  <si>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</si>
  <si>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低</t>
    </r>
  </si>
  <si>
    <t xml:space="preserve">FY2028 $0.6B</t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</si>
  <si>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高</t>
    </r>
  </si>
  <si>
    <t xml:space="preserve">FY2028 $1.4B</t>
  </si>
  <si>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年增 低</t>
    </r>
  </si>
  <si>
    <t xml:space="preserve">+40%</t>
  </si>
  <si>
    <r>
      <rPr>
        <sz val="11"/>
        <color theme="1"/>
        <rFont val="Noto Sans CJK SC"/>
        <family val="2"/>
      </rPr>
      <t xml:space="preserve">通訊與其他 </t>
    </r>
    <r>
      <rPr>
        <sz val="11"/>
        <color theme="1"/>
        <rFont val="Calibri"/>
        <family val="2"/>
        <charset val="1"/>
      </rPr>
      <t xml:space="preserve">FY2028 −5%</t>
    </r>
  </si>
  <si>
    <t xml:space="preserve">低值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</si>
  <si>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</si>
  <si>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</si>
  <si>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</si>
  <si>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</si>
  <si>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</si>
  <si>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</si>
  <si>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</si>
  <si>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</si>
  <si>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</si>
  <si>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</si>
  <si>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</si>
  <si>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</si>
  <si>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</si>
  <si>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</si>
  <si>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</si>
  <si>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</si>
  <si>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</si>
  <si>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</si>
  <si>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</si>
  <si>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</si>
  <si>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</si>
  <si>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</si>
  <si>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</si>
  <si>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</si>
  <si>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</si>
  <si>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</si>
  <si>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</si>
  <si>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</si>
  <si>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</si>
  <si>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</si>
  <si>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</si>
  <si>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</si>
  <si>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</si>
  <si>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案例區塊：每模組晶片組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</si>
  <si>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案例區塊：線性直驅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</si>
  <si>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案例區塊：光互連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</si>
  <si>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</si>
  <si>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</si>
  <si>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年增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</si>
  <si>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案例區塊：通訊與其他 </t>
    </r>
    <r>
      <rPr>
        <b val="true"/>
        <sz val="11"/>
        <rFont val="Cambria"/>
        <family val="0"/>
        <charset val="1"/>
      </rPr>
      <t xml:space="preserve">FY2028 −5%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</si>
  <si>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</si>
  <si>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Marvell 8-K </t>
    </r>
    <r>
      <rPr>
        <b val="true"/>
        <sz val="11"/>
        <rFont val="Noto Sans CJK SC"/>
        <family val="2"/>
      </rPr>
      <t xml:space="preserve">新聞稿，已逐份抓取；法說與投資人日內容只經二手轉述）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</si>
  <si>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</si>
  <si>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</si>
  <si>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https://investor.marvell.com/sec-filings/all-sec-filings/content/0001835632-26-000014/q127_8kx522026ex-991.htm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</si>
  <si>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指引、六個月合計）</t>
    </r>
  </si>
  <si>
    <t xml:space="preserve">https://investor.marvell.com/news-events/press-releases/detail/1031/marvell-technology-inc-reports-second-quarter-of-fiscal-year-2027-financial-results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</si>
  <si>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新聞稿（舊五類終端市場拆分）</t>
    </r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</si>
  <si>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FY2017–FY2025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</si>
  <si>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https://www.sec.gov/Archives/edgar/data/1835632/000183563224000004/q424_8kx232024ex-991.htm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https://www.sec.gov/Archives/edgar/data/1835632/000183563222000006/q422_8kx1292022ex-991.htm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https://www.sec.gov/Archives/edgar/data/1058057/000105805720000007/q4208k212020ex-991.htm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https://investor.marvell.com/sec-filings/all-sec-filings/content/0001058057-19-000007/q419_8kx222019ex-991.htm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https://investor.marvell.com/sec-filings/all-sec-filings/content/0001058057-18-000003/q418_8kx232018ex-991.htm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</si>
  <si>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FY2027 $12B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FY2028 $18B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+60%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倍增）</t>
    </r>
  </si>
  <si>
    <t xml:space="preserve">https://singjupost.com/transcript-marvell-tech-mrvl-q2-fy27-earnings-call-conference/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</si>
  <si>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法說逐字稿（客製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</si>
  <si>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t xml:space="preserve">https://www.roic.ai/quote/MRVL/transcripts/2026-year/4-quarter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</si>
  <si>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Q1 FY27 </t>
    </r>
    <r>
      <rPr>
        <sz val="11"/>
        <color theme="1"/>
        <rFont val="Noto Sans CJK SC"/>
        <family val="2"/>
      </rPr>
      <t xml:space="preserve">摘要（光互連 </t>
    </r>
    <r>
      <rPr>
        <sz val="11"/>
        <color theme="1"/>
        <rFont val="Calibri"/>
        <family val="2"/>
        <charset val="1"/>
      </rPr>
      <t xml:space="preserve">&gt;70%</t>
    </r>
    <r>
      <rPr>
        <sz val="11"/>
        <color theme="1"/>
        <rFont val="Noto Sans CJK SC"/>
        <family val="2"/>
      </rPr>
      <t xml:space="preserve">）</t>
    </r>
  </si>
  <si>
    <t xml:space="preserve">https://futurumgroup.com/insights/marvell-q1-fy-2027-raises-full-year-outlook-on-ai-data-center-demand/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</si>
  <si>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 Q2 FY27 </t>
    </r>
    <r>
      <rPr>
        <sz val="11"/>
        <color theme="1"/>
        <rFont val="Noto Sans CJK SC"/>
        <family val="2"/>
      </rPr>
      <t xml:space="preserve">摘要</t>
    </r>
  </si>
  <si>
    <t xml:space="preserve">https://www.zacks.com/stock/news/2981826/mrvl-q2-earnings-beat-on-data-center-strength-outlook-raised</t>
  </si>
  <si>
    <r>
      <rPr>
        <sz val="11"/>
        <color theme="1"/>
        <rFont val="Noto Sans CJK SC"/>
        <family val="2"/>
      </rPr>
      <t xml:space="preserve">二手：投資人日（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</si>
  <si>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https://futurumgroup.com/?p=96506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https://www.benzinga.com/node/62198187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https://stocktwits.com/news-articles/markets/equity/marvell-investor-day-mrvl-stock-rockets-as-firm-lays-out-path-to-up-to-90-b-in-annual-revenue-by-fiscal-2031/cZDtJMyRBlE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</si>
  <si>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主供應商為世芯）</t>
    </r>
  </si>
  <si>
    <t xml:space="preserve">https://longportapp.cn/topics/39096551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</si>
  <si>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設計、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</si>
  <si>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https://www.webull.com/news/15757166587814912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</si>
  <si>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LightCounting PAM4 </t>
    </r>
    <r>
      <rPr>
        <sz val="11"/>
        <color theme="1"/>
        <rFont val="Noto Sans CJK SC"/>
        <family val="2"/>
      </rPr>
      <t xml:space="preserve">與相干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</si>
  <si>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https://lightcounting.com/newsletter/en/february-2026-pam4-and-coherent-dsps-updated-april-2026-381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</si>
  <si>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共識與現價（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</si>
  <si>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https://stockanalysis.com/stocks/mrvl/forecast/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</si>
  <si>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、股價回落、下次財報約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）</t>
    </r>
  </si>
  <si>
    <t xml:space="preserve">https://www.trefis.com/articles/619152/what-just-happened-to-marvell-stock/2026-10-19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</si>
  <si>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月股價；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與股價</t>
    </r>
  </si>
  <si>
    <r>
      <rPr>
        <sz val="11"/>
        <color theme="1"/>
        <rFont val="Calibri"/>
        <family val="2"/>
        <charset val="1"/>
      </rPr>
      <t xml:space="preserve">https://www.digrin.com/stocks/detail/MRVL/price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https://www.macrotrends.net/stocks/charts/MRVL/marvell-technology/pe-ratio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</si>
  <si>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</si>
  <si>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待補（人工）：客製各客戶營收；光互連實際金額；光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付費）；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</si>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</sst>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"/>
    <numFmt numFmtId="174" formatCode="0%"/>
    <numFmt numFmtId="17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0" t="s">
        <v>13</v>
      </c>
    </row>
    <row r="17" customFormat="false" ht="17.15" hidden="false" customHeight="false" outlineLevel="0" collapsed="false">
      <c r="A17" s="4" t="s">
        <v>14</v>
      </c>
    </row>
    <row r="18" customFormat="false" ht="17.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1" t="str">
        <f aca="false">"投資建議："&amp;Val!B151&amp;"（依上檔空間固定規則）"</f>
        <v>投資建議：強力放空（依上檔空間固定規則）</v>
      </c>
    </row>
    <row r="20" customFormat="false" ht="17.15" hidden="false" customHeight="false" outlineLevel="0" collapsed="false">
      <c r="A20" s="0" t="str">
        <f aca="false">"重點觀察 1：目標價 US$"&amp;TEXT(Val!$B$40,"#,##0.00")&amp;"（DCF "&amp;TEXT(Val!$B$23,"#,##0.00")&amp;"、Comparable（相對倍數調整後）"&amp;TEXT(tp_comp_adj,"#,##0.00")&amp;"；DCF 權重 "&amp;TEXT(tp_w_dcf,"0%")&amp;"），比現價 "&amp;TEXT(px,"#,##0.00")&amp;"（2026-10-23）"&amp;IF(Val!$B$43&gt;=0,"高 "&amp;TEXT(Val!$B$43,"0.0%"),"低 "&amp;TEXT(-Val!$B$43,"0.0%"))&amp;"，級距 "&amp;Val!$B$150&amp;"、投資建議 "&amp;Val!$B$151&amp;"。相對倍數調整係數 "&amp;TEXT(rm_factor,"0.00")&amp;"（本公司 10 年前瞻倍數中位數 ÷ 同業的中位數，夾在 0.5–2.0；Val 第 0.5 節），調整前加權上檔空間 "&amp;TEXT((tp_w_dcf*Val!$B$23+(1-tp_w_dcf)*Val!$B$36)/px-1,"+0.0%;−0.0%")&amp;"；Comparable 單獨（市場主流同業法、未調整）為 "&amp;TEXT(Val!$B$44,"+0.0%;−0.0%")&amp;"。"&amp;"以下為 2026-10-29 相對倍數調整前撰寫的說明，其中數字為調整前：主因是倍數：本模型 FY2028 EPS（情境加權）6.50 比共識 7.33 低 11.3%，但現價隱含 31.2 倍共識 FY2028 EPS、共識目標價 341.44 隱含 46.6 倍，同業（Broadcom、NVIDIA、AMD、Astera Labs、Credo）前瞻 P/E 中位數 20.2 倍（共識隱含倍數高"&amp;" 130.7%）。"</f>
        <v>重點觀察 1：目標價 US$109.67（DCF 115.16、Comparable（相對倍數調整後）104.19；DCF 權重 50%），比現價 228.51（2026-10-23）低 52.0%，級距 小於 −50%、投資建議 強力放空。相對倍數調整係數 0.75（本公司 10 年前瞻倍數中位數 ÷ 同業的中位數，夾在 0.5–2.0；Val 第 0.5 節），調整前加權上檔空間 −44.4%；Comparable 單獨（市場主流同業法、未調整）為 −39.3%。以下為 2026-10-29 相對倍數調整前撰寫的說明，其中數字為調整前：主因是倍數：本模型 FY2028 EPS（情境加權）6.50 比共識 7.33 低 11.3%，但現價隱含 31.2 倍共識 FY2028 EPS、共識目標價 341.44 隱含 46.6 倍，同業（Broadcom、NVIDIA、AMD、Astera Labs、Credo）前瞻 P/E 中位數 20.2 倍（共識隱含倍數高 130.7%）。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0" t="s">
        <v>18</v>
      </c>
    </row>
    <row r="24" customFormat="false" ht="17.15" hidden="false" customHeight="false" outlineLevel="0" collapsed="false">
      <c r="A24" s="0" t="s">
        <v>19</v>
      </c>
    </row>
    <row r="26" customFormat="false" ht="17.15" hidden="false" customHeight="false" outlineLevel="0" collapsed="false">
      <c r="A26" s="0" t="s">
        <v>20</v>
      </c>
    </row>
    <row r="28" customFormat="false" ht="17.15" hidden="false" customHeight="false" outlineLevel="0" collapsed="false">
      <c r="A28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22</v>
      </c>
    </row>
    <row r="2" customFormat="false" ht="17.15" hidden="false" customHeight="false" outlineLevel="0" collapsed="false">
      <c r="A2" s="4" t="s">
        <v>23</v>
      </c>
    </row>
    <row r="3" customFormat="false" ht="17.15" hidden="false" customHeight="false" outlineLevel="0" collapsed="false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</row>
    <row r="4" customFormat="false" ht="17.15" hidden="false" customHeight="false" outlineLevel="0" collapsed="false">
      <c r="A4" s="1" t="s">
        <v>33</v>
      </c>
    </row>
    <row r="5" customFormat="false" ht="17.15" hidden="false" customHeight="false" outlineLevel="0" collapsed="false">
      <c r="A5" s="0" t="s">
        <v>34</v>
      </c>
      <c r="B5" s="0" t="s">
        <v>35</v>
      </c>
      <c r="C5" s="4" t="s">
        <v>36</v>
      </c>
      <c r="E5" s="6" t="n">
        <v>2</v>
      </c>
      <c r="G5" s="7" t="s">
        <v>37</v>
      </c>
      <c r="H5" s="7" t="s">
        <v>38</v>
      </c>
      <c r="I5" s="7" t="s">
        <v>39</v>
      </c>
    </row>
    <row r="6" customFormat="false" ht="17.15" hidden="false" customHeight="false" outlineLevel="0" collapsed="false">
      <c r="A6" s="0" t="s">
        <v>40</v>
      </c>
      <c r="B6" s="0" t="s">
        <v>41</v>
      </c>
      <c r="C6" s="4" t="s">
        <v>36</v>
      </c>
      <c r="E6" s="6" t="n">
        <v>2.5</v>
      </c>
      <c r="G6" s="7" t="s">
        <v>37</v>
      </c>
      <c r="H6" s="7" t="s">
        <v>42</v>
      </c>
      <c r="I6" s="4" t="s">
        <v>43</v>
      </c>
    </row>
    <row r="7" customFormat="false" ht="17.15" hidden="false" customHeight="false" outlineLevel="0" collapsed="false">
      <c r="A7" s="0" t="s">
        <v>44</v>
      </c>
      <c r="B7" s="0" t="s">
        <v>45</v>
      </c>
      <c r="C7" s="4" t="s">
        <v>36</v>
      </c>
      <c r="E7" s="6" t="n">
        <v>3</v>
      </c>
      <c r="G7" s="7" t="s">
        <v>37</v>
      </c>
      <c r="H7" s="7" t="s">
        <v>46</v>
      </c>
      <c r="I7" s="4" t="s">
        <v>43</v>
      </c>
    </row>
    <row r="8" customFormat="false" ht="17.15" hidden="false" customHeight="false" outlineLevel="0" collapsed="false">
      <c r="A8" s="0" t="s">
        <v>47</v>
      </c>
      <c r="B8" s="0" t="s">
        <v>48</v>
      </c>
      <c r="C8" s="0" t="s">
        <v>49</v>
      </c>
      <c r="E8" s="6" t="n">
        <v>0.15</v>
      </c>
      <c r="G8" s="7" t="s">
        <v>37</v>
      </c>
      <c r="H8" s="7" t="s">
        <v>50</v>
      </c>
      <c r="I8" s="7" t="s">
        <v>51</v>
      </c>
    </row>
    <row r="9" customFormat="false" ht="17.15" hidden="false" customHeight="false" outlineLevel="0" collapsed="false">
      <c r="A9" s="0" t="s">
        <v>52</v>
      </c>
      <c r="B9" s="4" t="s">
        <v>53</v>
      </c>
      <c r="C9" s="4" t="s">
        <v>36</v>
      </c>
      <c r="E9" s="6" t="n">
        <v>1</v>
      </c>
      <c r="G9" s="7" t="s">
        <v>54</v>
      </c>
      <c r="H9" s="7" t="s">
        <v>55</v>
      </c>
      <c r="I9" s="7" t="s">
        <v>39</v>
      </c>
    </row>
    <row r="10" customFormat="false" ht="17.15" hidden="false" customHeight="false" outlineLevel="0" collapsed="false">
      <c r="A10" s="0" t="s">
        <v>56</v>
      </c>
      <c r="B10" s="4" t="s">
        <v>57</v>
      </c>
      <c r="C10" s="4" t="s">
        <v>36</v>
      </c>
      <c r="E10" s="6" t="n">
        <v>4.5</v>
      </c>
      <c r="G10" s="7" t="s">
        <v>54</v>
      </c>
      <c r="H10" s="7" t="s">
        <v>58</v>
      </c>
      <c r="I10" s="4" t="s">
        <v>43</v>
      </c>
    </row>
    <row r="11" customFormat="false" ht="17.15" hidden="false" customHeight="false" outlineLevel="0" collapsed="false">
      <c r="A11" s="0" t="s">
        <v>59</v>
      </c>
      <c r="B11" s="4" t="s">
        <v>60</v>
      </c>
      <c r="C11" s="4" t="s">
        <v>36</v>
      </c>
      <c r="E11" s="6" t="n">
        <v>5</v>
      </c>
      <c r="G11" s="7" t="s">
        <v>54</v>
      </c>
      <c r="H11" s="7" t="s">
        <v>61</v>
      </c>
      <c r="I11" s="4" t="s">
        <v>43</v>
      </c>
    </row>
    <row r="12" customFormat="false" ht="17.15" hidden="false" customHeight="false" outlineLevel="0" collapsed="false">
      <c r="A12" s="0" t="s">
        <v>62</v>
      </c>
      <c r="B12" s="4" t="s">
        <v>63</v>
      </c>
      <c r="C12" s="0" t="s">
        <v>49</v>
      </c>
      <c r="E12" s="6" t="n">
        <v>0.15</v>
      </c>
      <c r="G12" s="7" t="s">
        <v>37</v>
      </c>
      <c r="H12" s="7" t="s">
        <v>64</v>
      </c>
      <c r="I12" s="7" t="s">
        <v>51</v>
      </c>
    </row>
    <row r="13" customFormat="false" ht="17.15" hidden="false" customHeight="false" outlineLevel="0" collapsed="false">
      <c r="A13" s="0" t="s">
        <v>65</v>
      </c>
      <c r="B13" s="0" t="s">
        <v>66</v>
      </c>
      <c r="C13" s="4" t="s">
        <v>36</v>
      </c>
      <c r="E13" s="6" t="n">
        <v>3.85</v>
      </c>
      <c r="G13" s="7" t="s">
        <v>67</v>
      </c>
      <c r="H13" s="7" t="s">
        <v>68</v>
      </c>
      <c r="I13" s="7" t="s">
        <v>39</v>
      </c>
    </row>
    <row r="14" customFormat="false" ht="17.15" hidden="false" customHeight="false" outlineLevel="0" collapsed="false">
      <c r="A14" s="0" t="s">
        <v>69</v>
      </c>
      <c r="B14" s="0" t="s">
        <v>70</v>
      </c>
      <c r="C14" s="4" t="s">
        <v>36</v>
      </c>
      <c r="E14" s="6" t="n">
        <v>5.5</v>
      </c>
      <c r="G14" s="7" t="s">
        <v>67</v>
      </c>
      <c r="H14" s="7" t="s">
        <v>71</v>
      </c>
      <c r="I14" s="4" t="s">
        <v>43</v>
      </c>
    </row>
    <row r="15" customFormat="false" ht="17.15" hidden="false" customHeight="false" outlineLevel="0" collapsed="false">
      <c r="A15" s="0" t="s">
        <v>72</v>
      </c>
      <c r="B15" s="0" t="s">
        <v>73</v>
      </c>
      <c r="C15" s="4" t="s">
        <v>36</v>
      </c>
      <c r="E15" s="6" t="n">
        <v>7</v>
      </c>
      <c r="G15" s="7" t="s">
        <v>67</v>
      </c>
      <c r="H15" s="7" t="s">
        <v>74</v>
      </c>
      <c r="I15" s="4" t="s">
        <v>43</v>
      </c>
    </row>
    <row r="16" customFormat="false" ht="17.15" hidden="false" customHeight="false" outlineLevel="0" collapsed="false">
      <c r="A16" s="0" t="s">
        <v>75</v>
      </c>
      <c r="B16" s="0" t="s">
        <v>76</v>
      </c>
      <c r="C16" s="0" t="s">
        <v>49</v>
      </c>
      <c r="E16" s="6" t="n">
        <v>0.15</v>
      </c>
      <c r="G16" s="7" t="s">
        <v>37</v>
      </c>
      <c r="H16" s="7" t="s">
        <v>77</v>
      </c>
      <c r="I16" s="7" t="s">
        <v>51</v>
      </c>
    </row>
    <row r="17" customFormat="false" ht="17.15" hidden="false" customHeight="false" outlineLevel="0" collapsed="false">
      <c r="A17" s="0" t="s">
        <v>78</v>
      </c>
      <c r="B17" s="4" t="s">
        <v>79</v>
      </c>
      <c r="C17" s="0" t="s">
        <v>80</v>
      </c>
      <c r="E17" s="6" t="n">
        <v>1</v>
      </c>
      <c r="G17" s="7" t="s">
        <v>37</v>
      </c>
      <c r="H17" s="7" t="s">
        <v>81</v>
      </c>
      <c r="I17" s="7" t="s">
        <v>82</v>
      </c>
    </row>
    <row r="18" customFormat="false" ht="17.15" hidden="false" customHeight="false" outlineLevel="0" collapsed="false">
      <c r="A18" s="0" t="s">
        <v>83</v>
      </c>
      <c r="B18" s="4" t="s">
        <v>84</v>
      </c>
      <c r="C18" s="0" t="s">
        <v>80</v>
      </c>
      <c r="E18" s="6" t="n">
        <v>1</v>
      </c>
      <c r="G18" s="7" t="s">
        <v>37</v>
      </c>
      <c r="H18" s="7" t="s">
        <v>85</v>
      </c>
      <c r="I18" s="4" t="s">
        <v>43</v>
      </c>
    </row>
    <row r="19" customFormat="false" ht="17.15" hidden="false" customHeight="false" outlineLevel="0" collapsed="false">
      <c r="A19" s="0" t="s">
        <v>86</v>
      </c>
      <c r="B19" s="4" t="s">
        <v>87</v>
      </c>
      <c r="C19" s="0" t="s">
        <v>80</v>
      </c>
      <c r="E19" s="6" t="n">
        <v>0.8</v>
      </c>
      <c r="G19" s="7" t="s">
        <v>37</v>
      </c>
      <c r="H19" s="7" t="s">
        <v>88</v>
      </c>
      <c r="I19" s="7" t="s">
        <v>82</v>
      </c>
    </row>
    <row r="20" customFormat="false" ht="17.15" hidden="false" customHeight="false" outlineLevel="0" collapsed="false">
      <c r="A20" s="0" t="s">
        <v>89</v>
      </c>
      <c r="B20" s="4" t="s">
        <v>90</v>
      </c>
      <c r="C20" s="0" t="s">
        <v>80</v>
      </c>
      <c r="E20" s="6" t="n">
        <v>0.85</v>
      </c>
      <c r="G20" s="7" t="s">
        <v>37</v>
      </c>
      <c r="H20" s="7" t="s">
        <v>91</v>
      </c>
      <c r="I20" s="4" t="s">
        <v>43</v>
      </c>
    </row>
    <row r="21" customFormat="false" ht="17.15" hidden="false" customHeight="false" outlineLevel="0" collapsed="false">
      <c r="A21" s="0" t="s">
        <v>92</v>
      </c>
      <c r="B21" s="4" t="s">
        <v>93</v>
      </c>
      <c r="C21" s="0" t="s">
        <v>80</v>
      </c>
      <c r="E21" s="6" t="n">
        <v>0.6</v>
      </c>
      <c r="G21" s="7" t="s">
        <v>37</v>
      </c>
      <c r="H21" s="7" t="s">
        <v>94</v>
      </c>
      <c r="I21" s="7" t="s">
        <v>82</v>
      </c>
    </row>
    <row r="22" customFormat="false" ht="17.15" hidden="false" customHeight="false" outlineLevel="0" collapsed="false">
      <c r="A22" s="0" t="s">
        <v>95</v>
      </c>
      <c r="B22" s="4" t="s">
        <v>96</v>
      </c>
      <c r="C22" s="0" t="s">
        <v>80</v>
      </c>
      <c r="E22" s="6" t="n">
        <v>0.6</v>
      </c>
      <c r="G22" s="7" t="s">
        <v>37</v>
      </c>
      <c r="H22" s="7" t="s">
        <v>97</v>
      </c>
      <c r="I22" s="4" t="s">
        <v>43</v>
      </c>
    </row>
    <row r="23" customFormat="false" ht="17.15" hidden="false" customHeight="false" outlineLevel="0" collapsed="false">
      <c r="A23" s="0" t="s">
        <v>98</v>
      </c>
      <c r="B23" s="0" t="s">
        <v>99</v>
      </c>
      <c r="C23" s="0" t="s">
        <v>100</v>
      </c>
      <c r="E23" s="6" t="n">
        <v>110</v>
      </c>
      <c r="G23" s="7" t="s">
        <v>54</v>
      </c>
      <c r="H23" s="7" t="s">
        <v>101</v>
      </c>
      <c r="I23" s="7" t="s">
        <v>102</v>
      </c>
    </row>
    <row r="24" customFormat="false" ht="17.15" hidden="false" customHeight="false" outlineLevel="0" collapsed="false">
      <c r="A24" s="0" t="s">
        <v>103</v>
      </c>
      <c r="B24" s="0" t="s">
        <v>104</v>
      </c>
      <c r="C24" s="0" t="s">
        <v>100</v>
      </c>
      <c r="E24" s="6" t="n">
        <v>144</v>
      </c>
      <c r="G24" s="7" t="s">
        <v>54</v>
      </c>
      <c r="H24" s="7" t="s">
        <v>101</v>
      </c>
      <c r="I24" s="4" t="s">
        <v>43</v>
      </c>
    </row>
    <row r="25" customFormat="false" ht="17.15" hidden="false" customHeight="false" outlineLevel="0" collapsed="false">
      <c r="A25" s="0" t="s">
        <v>105</v>
      </c>
      <c r="B25" s="0" t="s">
        <v>106</v>
      </c>
      <c r="C25" s="0" t="s">
        <v>100</v>
      </c>
      <c r="E25" s="6" t="n">
        <v>200</v>
      </c>
      <c r="G25" s="7" t="s">
        <v>54</v>
      </c>
      <c r="H25" s="7" t="s">
        <v>101</v>
      </c>
      <c r="I25" s="4" t="s">
        <v>43</v>
      </c>
    </row>
    <row r="26" customFormat="false" ht="17.15" hidden="false" customHeight="false" outlineLevel="0" collapsed="false">
      <c r="A26" s="0" t="s">
        <v>107</v>
      </c>
      <c r="B26" s="4" t="s">
        <v>108</v>
      </c>
      <c r="C26" s="0" t="s">
        <v>100</v>
      </c>
      <c r="E26" s="6" t="n">
        <v>150</v>
      </c>
      <c r="G26" s="7" t="s">
        <v>54</v>
      </c>
      <c r="H26" s="7" t="s">
        <v>101</v>
      </c>
      <c r="I26" s="7" t="s">
        <v>102</v>
      </c>
    </row>
    <row r="27" customFormat="false" ht="17.15" hidden="false" customHeight="false" outlineLevel="0" collapsed="false">
      <c r="A27" s="0" t="s">
        <v>109</v>
      </c>
      <c r="B27" s="4" t="s">
        <v>110</v>
      </c>
      <c r="C27" s="0" t="s">
        <v>100</v>
      </c>
      <c r="E27" s="6" t="n">
        <v>200</v>
      </c>
      <c r="G27" s="7" t="s">
        <v>54</v>
      </c>
      <c r="H27" s="7" t="s">
        <v>101</v>
      </c>
      <c r="I27" s="4" t="s">
        <v>43</v>
      </c>
    </row>
    <row r="28" customFormat="false" ht="17.15" hidden="false" customHeight="false" outlineLevel="0" collapsed="false">
      <c r="A28" s="0" t="s">
        <v>111</v>
      </c>
      <c r="B28" s="4" t="s">
        <v>112</v>
      </c>
      <c r="C28" s="0" t="s">
        <v>100</v>
      </c>
      <c r="E28" s="6" t="n">
        <v>250</v>
      </c>
      <c r="G28" s="7" t="s">
        <v>54</v>
      </c>
      <c r="H28" s="7" t="s">
        <v>101</v>
      </c>
      <c r="I28" s="4" t="s">
        <v>43</v>
      </c>
    </row>
    <row r="29" customFormat="false" ht="17.15" hidden="false" customHeight="false" outlineLevel="0" collapsed="false">
      <c r="A29" s="0" t="s">
        <v>113</v>
      </c>
      <c r="B29" s="0" t="s">
        <v>114</v>
      </c>
      <c r="C29" s="0" t="s">
        <v>100</v>
      </c>
      <c r="E29" s="6" t="n">
        <v>192</v>
      </c>
      <c r="G29" s="7" t="s">
        <v>54</v>
      </c>
      <c r="H29" s="7" t="s">
        <v>101</v>
      </c>
      <c r="I29" s="7" t="s">
        <v>102</v>
      </c>
    </row>
    <row r="30" customFormat="false" ht="17.15" hidden="false" customHeight="false" outlineLevel="0" collapsed="false">
      <c r="A30" s="0" t="s">
        <v>115</v>
      </c>
      <c r="B30" s="0" t="s">
        <v>116</v>
      </c>
      <c r="C30" s="0" t="s">
        <v>100</v>
      </c>
      <c r="E30" s="6" t="n">
        <v>250</v>
      </c>
      <c r="G30" s="7" t="s">
        <v>54</v>
      </c>
      <c r="H30" s="7" t="s">
        <v>101</v>
      </c>
      <c r="I30" s="4" t="s">
        <v>43</v>
      </c>
    </row>
    <row r="31" customFormat="false" ht="17.15" hidden="false" customHeight="false" outlineLevel="0" collapsed="false">
      <c r="A31" s="0" t="s">
        <v>117</v>
      </c>
      <c r="B31" s="0" t="s">
        <v>118</v>
      </c>
      <c r="C31" s="0" t="s">
        <v>100</v>
      </c>
      <c r="E31" s="6" t="n">
        <v>288</v>
      </c>
      <c r="G31" s="7" t="s">
        <v>54</v>
      </c>
      <c r="H31" s="7" t="s">
        <v>101</v>
      </c>
      <c r="I31" s="4" t="s">
        <v>43</v>
      </c>
    </row>
    <row r="32" customFormat="false" ht="17.15" hidden="false" customHeight="false" outlineLevel="0" collapsed="false">
      <c r="A32" s="1" t="s">
        <v>119</v>
      </c>
    </row>
    <row r="33" customFormat="false" ht="17.15" hidden="false" customHeight="false" outlineLevel="0" collapsed="false">
      <c r="A33" s="0" t="s">
        <v>120</v>
      </c>
      <c r="B33" s="0" t="s">
        <v>121</v>
      </c>
      <c r="C33" s="0" t="s">
        <v>122</v>
      </c>
      <c r="D33" s="6" t="n">
        <v>6</v>
      </c>
      <c r="E33" s="6" t="n">
        <v>8</v>
      </c>
      <c r="F33" s="6" t="n">
        <v>11</v>
      </c>
      <c r="G33" s="7" t="s">
        <v>37</v>
      </c>
      <c r="H33" s="7" t="s">
        <v>123</v>
      </c>
      <c r="I33" s="7" t="s">
        <v>124</v>
      </c>
    </row>
    <row r="34" customFormat="false" ht="17.15" hidden="false" customHeight="false" outlineLevel="0" collapsed="false">
      <c r="A34" s="0" t="s">
        <v>125</v>
      </c>
      <c r="B34" s="4" t="s">
        <v>126</v>
      </c>
      <c r="C34" s="0" t="s">
        <v>122</v>
      </c>
      <c r="D34" s="6" t="n">
        <v>4</v>
      </c>
      <c r="E34" s="6" t="n">
        <v>6</v>
      </c>
      <c r="F34" s="6" t="n">
        <v>9</v>
      </c>
      <c r="G34" s="7" t="s">
        <v>37</v>
      </c>
      <c r="H34" s="7" t="s">
        <v>127</v>
      </c>
      <c r="I34" s="7" t="s">
        <v>124</v>
      </c>
    </row>
    <row r="35" customFormat="false" ht="17.15" hidden="false" customHeight="false" outlineLevel="0" collapsed="false">
      <c r="A35" s="0" t="s">
        <v>128</v>
      </c>
      <c r="B35" s="0" t="s">
        <v>129</v>
      </c>
      <c r="C35" s="0" t="s">
        <v>80</v>
      </c>
      <c r="D35" s="6" t="n">
        <v>0.3</v>
      </c>
      <c r="E35" s="6" t="n">
        <v>0.6</v>
      </c>
      <c r="F35" s="6" t="n">
        <v>1</v>
      </c>
      <c r="G35" s="7" t="s">
        <v>37</v>
      </c>
      <c r="H35" s="7" t="s">
        <v>130</v>
      </c>
      <c r="I35" s="4" t="s">
        <v>131</v>
      </c>
    </row>
    <row r="36" customFormat="false" ht="17.15" hidden="false" customHeight="false" outlineLevel="0" collapsed="false">
      <c r="A36" s="0" t="s">
        <v>132</v>
      </c>
      <c r="B36" s="4" t="s">
        <v>133</v>
      </c>
      <c r="C36" s="0" t="s">
        <v>80</v>
      </c>
      <c r="D36" s="6" t="n">
        <v>0</v>
      </c>
      <c r="E36" s="6" t="n">
        <v>0.1</v>
      </c>
      <c r="F36" s="6" t="n">
        <v>0.2</v>
      </c>
      <c r="G36" s="7" t="s">
        <v>37</v>
      </c>
      <c r="H36" s="7" t="s">
        <v>134</v>
      </c>
      <c r="I36" s="4" t="s">
        <v>135</v>
      </c>
    </row>
    <row r="37" customFormat="false" ht="17.15" hidden="false" customHeight="false" outlineLevel="0" collapsed="false">
      <c r="A37" s="0" t="s">
        <v>136</v>
      </c>
      <c r="B37" s="0" t="s">
        <v>137</v>
      </c>
      <c r="C37" s="0" t="s">
        <v>122</v>
      </c>
      <c r="E37" s="6" t="n">
        <v>8</v>
      </c>
      <c r="G37" s="7" t="s">
        <v>138</v>
      </c>
      <c r="H37" s="7" t="s">
        <v>139</v>
      </c>
      <c r="I37" s="7" t="s">
        <v>140</v>
      </c>
    </row>
    <row r="38" customFormat="false" ht="17.15" hidden="false" customHeight="false" outlineLevel="0" collapsed="false">
      <c r="A38" s="0" t="s">
        <v>141</v>
      </c>
      <c r="B38" s="0" t="s">
        <v>142</v>
      </c>
      <c r="C38" s="0" t="s">
        <v>122</v>
      </c>
      <c r="D38" s="6" t="n">
        <v>4.5</v>
      </c>
      <c r="E38" s="7" t="n">
        <f aca="false">pa_trn-gb_trn_26*hbm_A_26/1000</f>
        <v>6.394</v>
      </c>
      <c r="F38" s="6" t="n">
        <v>8</v>
      </c>
      <c r="G38" s="7" t="s">
        <v>138</v>
      </c>
      <c r="H38" s="7" t="s">
        <v>143</v>
      </c>
      <c r="I38" s="4" t="s">
        <v>144</v>
      </c>
    </row>
    <row r="39" customFormat="false" ht="17.15" hidden="false" customHeight="false" outlineLevel="0" collapsed="false">
      <c r="A39" s="0" t="s">
        <v>145</v>
      </c>
      <c r="B39" s="0" t="s">
        <v>146</v>
      </c>
      <c r="C39" s="0" t="s">
        <v>49</v>
      </c>
      <c r="E39" s="6" t="n">
        <v>0.9</v>
      </c>
      <c r="G39" s="7" t="s">
        <v>37</v>
      </c>
      <c r="H39" s="7" t="s">
        <v>147</v>
      </c>
      <c r="I39" s="7" t="s">
        <v>148</v>
      </c>
    </row>
    <row r="40" customFormat="false" ht="17.15" hidden="false" customHeight="false" outlineLevel="0" collapsed="false">
      <c r="A40" s="0" t="s">
        <v>149</v>
      </c>
      <c r="B40" s="0" t="s">
        <v>150</v>
      </c>
      <c r="C40" s="0" t="s">
        <v>49</v>
      </c>
      <c r="E40" s="6" t="n">
        <v>0.8</v>
      </c>
      <c r="G40" s="7" t="s">
        <v>37</v>
      </c>
      <c r="H40" s="7" t="s">
        <v>151</v>
      </c>
      <c r="I40" s="7" t="s">
        <v>148</v>
      </c>
    </row>
    <row r="41" customFormat="false" ht="17.15" hidden="false" customHeight="false" outlineLevel="0" collapsed="false">
      <c r="A41" s="0" t="s">
        <v>152</v>
      </c>
      <c r="B41" s="0" t="s">
        <v>153</v>
      </c>
      <c r="C41" s="0" t="s">
        <v>49</v>
      </c>
      <c r="E41" s="6" t="n">
        <v>0.75</v>
      </c>
      <c r="G41" s="7" t="s">
        <v>37</v>
      </c>
      <c r="H41" s="7" t="s">
        <v>154</v>
      </c>
      <c r="I41" s="7" t="s">
        <v>148</v>
      </c>
    </row>
    <row r="42" customFormat="false" ht="17.15" hidden="false" customHeight="false" outlineLevel="0" collapsed="false">
      <c r="A42" s="0" t="s">
        <v>155</v>
      </c>
      <c r="B42" s="0" t="s">
        <v>156</v>
      </c>
      <c r="C42" s="0" t="s">
        <v>49</v>
      </c>
      <c r="E42" s="6" t="n">
        <v>0.35</v>
      </c>
      <c r="G42" s="7" t="s">
        <v>37</v>
      </c>
      <c r="H42" s="7" t="s">
        <v>157</v>
      </c>
      <c r="I42" s="7" t="s">
        <v>148</v>
      </c>
    </row>
    <row r="43" customFormat="false" ht="17.15" hidden="false" customHeight="false" outlineLevel="0" collapsed="false">
      <c r="A43" s="0" t="s">
        <v>158</v>
      </c>
      <c r="B43" s="0" t="s">
        <v>159</v>
      </c>
      <c r="C43" s="0" t="s">
        <v>49</v>
      </c>
      <c r="E43" s="6" t="n">
        <v>0.55</v>
      </c>
      <c r="G43" s="7" t="s">
        <v>37</v>
      </c>
      <c r="H43" s="7" t="s">
        <v>160</v>
      </c>
      <c r="I43" s="7" t="s">
        <v>148</v>
      </c>
    </row>
    <row r="44" customFormat="false" ht="17.15" hidden="false" customHeight="false" outlineLevel="0" collapsed="false">
      <c r="A44" s="0" t="s">
        <v>161</v>
      </c>
      <c r="B44" s="0" t="s">
        <v>162</v>
      </c>
      <c r="C44" s="0" t="s">
        <v>49</v>
      </c>
      <c r="E44" s="6" t="n">
        <v>0.55</v>
      </c>
      <c r="G44" s="7" t="s">
        <v>37</v>
      </c>
      <c r="H44" s="7" t="s">
        <v>163</v>
      </c>
      <c r="I44" s="7" t="s">
        <v>148</v>
      </c>
    </row>
    <row r="45" customFormat="false" ht="17.15" hidden="false" customHeight="false" outlineLevel="0" collapsed="false">
      <c r="A45" s="0" t="s">
        <v>164</v>
      </c>
      <c r="B45" s="0" t="s">
        <v>165</v>
      </c>
      <c r="C45" s="0" t="s">
        <v>49</v>
      </c>
      <c r="D45" s="6" t="n">
        <v>0.05</v>
      </c>
      <c r="E45" s="6" t="n">
        <v>0.1</v>
      </c>
      <c r="F45" s="6" t="n">
        <v>0.2</v>
      </c>
      <c r="G45" s="7" t="s">
        <v>37</v>
      </c>
      <c r="H45" s="7" t="s">
        <v>166</v>
      </c>
      <c r="I45" s="4" t="s">
        <v>167</v>
      </c>
    </row>
    <row r="46" customFormat="false" ht="17.15" hidden="false" customHeight="false" outlineLevel="0" collapsed="false">
      <c r="A46" s="0" t="s">
        <v>168</v>
      </c>
      <c r="B46" s="0" t="s">
        <v>169</v>
      </c>
      <c r="C46" s="0" t="s">
        <v>49</v>
      </c>
      <c r="D46" s="6" t="n">
        <v>0.05</v>
      </c>
      <c r="E46" s="6" t="n">
        <v>0.1</v>
      </c>
      <c r="F46" s="6" t="n">
        <v>0.2</v>
      </c>
      <c r="G46" s="7" t="s">
        <v>37</v>
      </c>
      <c r="H46" s="4" t="s">
        <v>43</v>
      </c>
      <c r="I46" s="7" t="s">
        <v>170</v>
      </c>
    </row>
    <row r="47" customFormat="false" ht="17.15" hidden="false" customHeight="false" outlineLevel="0" collapsed="false">
      <c r="A47" s="0" t="s">
        <v>171</v>
      </c>
      <c r="B47" s="0" t="s">
        <v>172</v>
      </c>
      <c r="C47" s="0" t="s">
        <v>49</v>
      </c>
      <c r="D47" s="6" t="n">
        <v>0</v>
      </c>
      <c r="E47" s="6" t="n">
        <v>0.08</v>
      </c>
      <c r="F47" s="6" t="n">
        <v>0.2</v>
      </c>
      <c r="G47" s="7" t="s">
        <v>37</v>
      </c>
      <c r="H47" s="4" t="s">
        <v>43</v>
      </c>
      <c r="I47" s="7" t="s">
        <v>170</v>
      </c>
    </row>
    <row r="48" customFormat="false" ht="17.15" hidden="false" customHeight="false" outlineLevel="0" collapsed="false">
      <c r="A48" s="0" t="s">
        <v>173</v>
      </c>
      <c r="B48" s="0" t="s">
        <v>174</v>
      </c>
      <c r="C48" s="0" t="s">
        <v>49</v>
      </c>
      <c r="D48" s="6" t="n">
        <v>0.02</v>
      </c>
      <c r="E48" s="6" t="n">
        <v>0.05</v>
      </c>
      <c r="F48" s="6" t="n">
        <v>0.1</v>
      </c>
      <c r="G48" s="7" t="s">
        <v>37</v>
      </c>
      <c r="H48" s="7" t="s">
        <v>175</v>
      </c>
      <c r="I48" s="4" t="s">
        <v>176</v>
      </c>
    </row>
    <row r="49" customFormat="false" ht="17.15" hidden="false" customHeight="false" outlineLevel="0" collapsed="false">
      <c r="A49" s="0" t="s">
        <v>177</v>
      </c>
      <c r="B49" s="0" t="s">
        <v>178</v>
      </c>
      <c r="C49" s="0" t="s">
        <v>49</v>
      </c>
      <c r="D49" s="6" t="n">
        <v>0.03</v>
      </c>
      <c r="E49" s="6" t="n">
        <v>0.06</v>
      </c>
      <c r="F49" s="6" t="n">
        <v>0.12</v>
      </c>
      <c r="G49" s="7" t="s">
        <v>37</v>
      </c>
      <c r="H49" s="4" t="s">
        <v>43</v>
      </c>
      <c r="I49" s="7" t="s">
        <v>170</v>
      </c>
    </row>
    <row r="50" customFormat="false" ht="17.15" hidden="false" customHeight="false" outlineLevel="0" collapsed="false">
      <c r="A50" s="0" t="s">
        <v>179</v>
      </c>
      <c r="B50" s="0" t="s">
        <v>180</v>
      </c>
      <c r="C50" s="0" t="s">
        <v>49</v>
      </c>
      <c r="D50" s="6" t="n">
        <v>0.08</v>
      </c>
      <c r="E50" s="6" t="n">
        <v>0.15</v>
      </c>
      <c r="F50" s="6" t="n">
        <v>0.25</v>
      </c>
      <c r="G50" s="7" t="s">
        <v>37</v>
      </c>
      <c r="H50" s="4" t="s">
        <v>43</v>
      </c>
      <c r="I50" s="7" t="s">
        <v>170</v>
      </c>
    </row>
    <row r="51" customFormat="false" ht="17.15" hidden="false" customHeight="false" outlineLevel="0" collapsed="false">
      <c r="A51" s="0" t="s">
        <v>181</v>
      </c>
      <c r="B51" s="0" t="s">
        <v>182</v>
      </c>
      <c r="C51" s="0" t="s">
        <v>49</v>
      </c>
      <c r="D51" s="6" t="n">
        <v>0</v>
      </c>
      <c r="E51" s="6" t="n">
        <v>0</v>
      </c>
      <c r="F51" s="6" t="n">
        <v>0.02</v>
      </c>
      <c r="G51" s="7" t="s">
        <v>37</v>
      </c>
      <c r="H51" s="7" t="s">
        <v>183</v>
      </c>
      <c r="I51" s="7" t="s">
        <v>184</v>
      </c>
    </row>
    <row r="52" customFormat="false" ht="17.15" hidden="false" customHeight="false" outlineLevel="0" collapsed="false">
      <c r="A52" s="0" t="s">
        <v>185</v>
      </c>
      <c r="B52" s="0" t="s">
        <v>186</v>
      </c>
      <c r="C52" s="0" t="s">
        <v>49</v>
      </c>
      <c r="D52" s="6" t="n">
        <v>0</v>
      </c>
      <c r="E52" s="6" t="n">
        <v>0</v>
      </c>
      <c r="F52" s="6" t="n">
        <v>0.05</v>
      </c>
      <c r="G52" s="7" t="s">
        <v>37</v>
      </c>
      <c r="H52" s="4" t="s">
        <v>43</v>
      </c>
      <c r="I52" s="7" t="s">
        <v>170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0" t="s">
        <v>49</v>
      </c>
      <c r="D53" s="6" t="n">
        <v>0</v>
      </c>
      <c r="E53" s="6" t="n">
        <v>0.05</v>
      </c>
      <c r="F53" s="6" t="n">
        <v>0.15</v>
      </c>
      <c r="G53" s="7" t="s">
        <v>37</v>
      </c>
      <c r="H53" s="4" t="s">
        <v>43</v>
      </c>
      <c r="I53" s="7" t="s">
        <v>170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0" t="s">
        <v>80</v>
      </c>
      <c r="D54" s="6" t="n">
        <v>0.8</v>
      </c>
      <c r="E54" s="6" t="n">
        <v>1</v>
      </c>
      <c r="F54" s="6" t="n">
        <v>1.2</v>
      </c>
      <c r="G54" s="7" t="s">
        <v>37</v>
      </c>
      <c r="H54" s="4" t="s">
        <v>191</v>
      </c>
      <c r="I54" s="7" t="s">
        <v>192</v>
      </c>
    </row>
    <row r="55" customFormat="false" ht="17.15" hidden="false" customHeight="false" outlineLevel="0" collapsed="false">
      <c r="A55" s="0" t="s">
        <v>193</v>
      </c>
      <c r="B55" s="0" t="s">
        <v>194</v>
      </c>
      <c r="C55" s="0" t="s">
        <v>80</v>
      </c>
      <c r="D55" s="6" t="n">
        <v>0.8</v>
      </c>
      <c r="E55" s="6" t="n">
        <v>1</v>
      </c>
      <c r="F55" s="6" t="n">
        <v>1.2</v>
      </c>
      <c r="G55" s="7" t="s">
        <v>37</v>
      </c>
      <c r="H55" s="4" t="s">
        <v>195</v>
      </c>
      <c r="I55" s="7" t="s">
        <v>196</v>
      </c>
    </row>
    <row r="56" customFormat="false" ht="17.15" hidden="false" customHeight="false" outlineLevel="0" collapsed="false">
      <c r="A56" s="1" t="s">
        <v>197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0" t="s">
        <v>200</v>
      </c>
      <c r="E57" s="6" t="n">
        <v>14.6</v>
      </c>
      <c r="G57" s="7" t="s">
        <v>138</v>
      </c>
      <c r="H57" s="7" t="s">
        <v>201</v>
      </c>
      <c r="I57" s="7" t="s">
        <v>202</v>
      </c>
    </row>
    <row r="58" customFormat="false" ht="17.15" hidden="false" customHeight="false" outlineLevel="0" collapsed="false">
      <c r="A58" s="0" t="s">
        <v>203</v>
      </c>
      <c r="B58" s="0" t="s">
        <v>204</v>
      </c>
      <c r="C58" s="0" t="s">
        <v>200</v>
      </c>
      <c r="E58" s="6" t="n">
        <v>26.28</v>
      </c>
      <c r="G58" s="7" t="s">
        <v>138</v>
      </c>
      <c r="H58" s="7" t="s">
        <v>205</v>
      </c>
      <c r="I58" s="4" t="s">
        <v>43</v>
      </c>
    </row>
    <row r="59" customFormat="false" ht="17.15" hidden="false" customHeight="false" outlineLevel="0" collapsed="false">
      <c r="A59" s="0" t="s">
        <v>206</v>
      </c>
      <c r="B59" s="0" t="s">
        <v>207</v>
      </c>
      <c r="C59" s="0" t="s">
        <v>200</v>
      </c>
      <c r="E59" s="6" t="n">
        <v>28.908</v>
      </c>
      <c r="G59" s="7" t="s">
        <v>138</v>
      </c>
      <c r="H59" s="7" t="s">
        <v>208</v>
      </c>
      <c r="I59" s="4" t="s">
        <v>43</v>
      </c>
    </row>
    <row r="60" customFormat="false" ht="17.15" hidden="false" customHeight="false" outlineLevel="0" collapsed="false">
      <c r="A60" s="0" t="s">
        <v>209</v>
      </c>
      <c r="B60" s="0" t="s">
        <v>210</v>
      </c>
      <c r="C60" s="0" t="s">
        <v>200</v>
      </c>
      <c r="E60" s="6" t="n">
        <v>27.4626</v>
      </c>
      <c r="G60" s="7" t="s">
        <v>138</v>
      </c>
      <c r="H60" s="7" t="s">
        <v>211</v>
      </c>
      <c r="I60" s="4" t="s">
        <v>43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0" t="s">
        <v>200</v>
      </c>
      <c r="E61" s="6" t="n">
        <v>14.6</v>
      </c>
      <c r="G61" s="7" t="s">
        <v>138</v>
      </c>
      <c r="H61" s="7" t="s">
        <v>214</v>
      </c>
      <c r="I61" s="4" t="s">
        <v>43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200</v>
      </c>
      <c r="E62" s="6" t="n">
        <v>26.28</v>
      </c>
      <c r="G62" s="7" t="s">
        <v>138</v>
      </c>
      <c r="H62" s="7" t="s">
        <v>217</v>
      </c>
      <c r="I62" s="4" t="s">
        <v>43</v>
      </c>
    </row>
    <row r="63" customFormat="false" ht="17.15" hidden="false" customHeight="false" outlineLevel="0" collapsed="false">
      <c r="A63" s="0" t="s">
        <v>218</v>
      </c>
      <c r="B63" s="0" t="s">
        <v>219</v>
      </c>
      <c r="C63" s="0" t="s">
        <v>200</v>
      </c>
      <c r="E63" s="6" t="n">
        <v>19.71</v>
      </c>
      <c r="G63" s="7" t="s">
        <v>138</v>
      </c>
      <c r="H63" s="7" t="s">
        <v>220</v>
      </c>
      <c r="I63" s="4" t="s">
        <v>43</v>
      </c>
    </row>
    <row r="64" customFormat="false" ht="17.15" hidden="false" customHeight="false" outlineLevel="0" collapsed="false">
      <c r="A64" s="0" t="s">
        <v>221</v>
      </c>
      <c r="B64" s="0" t="s">
        <v>222</v>
      </c>
      <c r="C64" s="0" t="s">
        <v>200</v>
      </c>
      <c r="E64" s="6" t="n">
        <v>19.71</v>
      </c>
      <c r="G64" s="7" t="s">
        <v>138</v>
      </c>
      <c r="H64" s="7" t="s">
        <v>223</v>
      </c>
      <c r="I64" s="4" t="s">
        <v>43</v>
      </c>
    </row>
    <row r="65" customFormat="false" ht="17.15" hidden="false" customHeight="false" outlineLevel="0" collapsed="false">
      <c r="A65" s="0" t="s">
        <v>224</v>
      </c>
      <c r="B65" s="0" t="s">
        <v>225</v>
      </c>
      <c r="C65" s="0" t="s">
        <v>200</v>
      </c>
      <c r="E65" s="6" t="n">
        <v>14.6</v>
      </c>
      <c r="G65" s="7" t="s">
        <v>138</v>
      </c>
      <c r="H65" s="7" t="s">
        <v>226</v>
      </c>
      <c r="I65" s="4" t="s">
        <v>43</v>
      </c>
    </row>
    <row r="66" customFormat="false" ht="17.15" hidden="false" customHeight="false" outlineLevel="0" collapsed="false">
      <c r="A66" s="0" t="s">
        <v>227</v>
      </c>
      <c r="B66" s="0" t="s">
        <v>228</v>
      </c>
      <c r="C66" s="0" t="s">
        <v>200</v>
      </c>
      <c r="E66" s="6" t="n">
        <v>26.28</v>
      </c>
      <c r="G66" s="7" t="s">
        <v>138</v>
      </c>
      <c r="H66" s="7" t="s">
        <v>229</v>
      </c>
      <c r="I66" s="4" t="s">
        <v>43</v>
      </c>
    </row>
    <row r="67" customFormat="false" ht="17.15" hidden="false" customHeight="false" outlineLevel="0" collapsed="false">
      <c r="A67" s="0" t="s">
        <v>230</v>
      </c>
      <c r="B67" s="0" t="s">
        <v>231</v>
      </c>
      <c r="C67" s="0" t="s">
        <v>200</v>
      </c>
      <c r="E67" s="6" t="n">
        <v>15.768</v>
      </c>
      <c r="G67" s="7" t="s">
        <v>138</v>
      </c>
      <c r="H67" s="7" t="s">
        <v>232</v>
      </c>
      <c r="I67" s="4" t="s">
        <v>43</v>
      </c>
    </row>
    <row r="68" customFormat="false" ht="17.15" hidden="false" customHeight="false" outlineLevel="0" collapsed="false">
      <c r="A68" s="0" t="s">
        <v>233</v>
      </c>
      <c r="B68" s="0" t="s">
        <v>234</v>
      </c>
      <c r="C68" s="0" t="s">
        <v>200</v>
      </c>
      <c r="E68" s="6" t="n">
        <v>16.5564</v>
      </c>
      <c r="G68" s="7" t="s">
        <v>138</v>
      </c>
      <c r="H68" s="7" t="s">
        <v>235</v>
      </c>
      <c r="I68" s="4" t="s">
        <v>43</v>
      </c>
    </row>
    <row r="69" customFormat="false" ht="17.15" hidden="false" customHeight="false" outlineLevel="0" collapsed="false">
      <c r="A69" s="1" t="s">
        <v>236</v>
      </c>
    </row>
    <row r="70" customFormat="false" ht="17.15" hidden="false" customHeight="false" outlineLevel="0" collapsed="false">
      <c r="A70" s="0" t="s">
        <v>237</v>
      </c>
      <c r="B70" s="0" t="s">
        <v>238</v>
      </c>
      <c r="C70" s="0" t="s">
        <v>239</v>
      </c>
      <c r="E70" s="6" t="n">
        <v>29.753262</v>
      </c>
      <c r="G70" s="7" t="s">
        <v>138</v>
      </c>
      <c r="H70" s="7" t="s">
        <v>240</v>
      </c>
      <c r="I70" s="7" t="s">
        <v>241</v>
      </c>
    </row>
    <row r="71" customFormat="false" ht="17.15" hidden="false" customHeight="false" outlineLevel="0" collapsed="false">
      <c r="A71" s="0" t="s">
        <v>242</v>
      </c>
      <c r="B71" s="0" t="s">
        <v>243</v>
      </c>
      <c r="C71" s="0" t="s">
        <v>239</v>
      </c>
      <c r="E71" s="6" t="n">
        <v>53.560715</v>
      </c>
      <c r="G71" s="7" t="s">
        <v>138</v>
      </c>
      <c r="H71" s="7" t="s">
        <v>240</v>
      </c>
      <c r="I71" s="4" t="s">
        <v>43</v>
      </c>
    </row>
    <row r="72" customFormat="false" ht="17.15" hidden="false" customHeight="false" outlineLevel="0" collapsed="false">
      <c r="A72" s="0" t="s">
        <v>244</v>
      </c>
      <c r="B72" s="0" t="s">
        <v>245</v>
      </c>
      <c r="C72" s="0" t="s">
        <v>239</v>
      </c>
      <c r="E72" s="6" t="n">
        <v>57.9915</v>
      </c>
      <c r="G72" s="7" t="s">
        <v>138</v>
      </c>
      <c r="H72" s="7" t="s">
        <v>240</v>
      </c>
      <c r="I72" s="4" t="s">
        <v>43</v>
      </c>
    </row>
    <row r="73" customFormat="false" ht="17.15" hidden="false" customHeight="false" outlineLevel="0" collapsed="false">
      <c r="A73" s="0" t="s">
        <v>246</v>
      </c>
      <c r="B73" s="0" t="s">
        <v>247</v>
      </c>
      <c r="C73" s="0" t="s">
        <v>239</v>
      </c>
      <c r="E73" s="6" t="n">
        <v>72.9348</v>
      </c>
      <c r="G73" s="7" t="s">
        <v>138</v>
      </c>
      <c r="H73" s="7" t="s">
        <v>240</v>
      </c>
      <c r="I73" s="4" t="s">
        <v>43</v>
      </c>
    </row>
    <row r="74" customFormat="false" ht="17.15" hidden="false" customHeight="false" outlineLevel="0" collapsed="false">
      <c r="A74" s="0" t="s">
        <v>248</v>
      </c>
      <c r="B74" s="0" t="s">
        <v>249</v>
      </c>
      <c r="C74" s="0" t="s">
        <v>239</v>
      </c>
      <c r="E74" s="6" t="n">
        <v>26</v>
      </c>
      <c r="G74" s="7" t="s">
        <v>67</v>
      </c>
      <c r="H74" s="7" t="s">
        <v>250</v>
      </c>
      <c r="I74" s="7" t="s">
        <v>170</v>
      </c>
    </row>
    <row r="75" customFormat="false" ht="17.15" hidden="false" customHeight="false" outlineLevel="0" collapsed="false">
      <c r="A75" s="0" t="s">
        <v>251</v>
      </c>
      <c r="B75" s="4" t="s">
        <v>252</v>
      </c>
      <c r="C75" s="0" t="s">
        <v>253</v>
      </c>
      <c r="D75" s="6" t="n">
        <v>550</v>
      </c>
      <c r="E75" s="6" t="n">
        <v>650</v>
      </c>
      <c r="F75" s="6" t="n">
        <v>750</v>
      </c>
      <c r="G75" s="7" t="s">
        <v>37</v>
      </c>
      <c r="H75" s="4" t="s">
        <v>254</v>
      </c>
      <c r="I75" s="4" t="s">
        <v>255</v>
      </c>
    </row>
    <row r="76" customFormat="false" ht="17.15" hidden="false" customHeight="false" outlineLevel="0" collapsed="false">
      <c r="A76" s="0" t="s">
        <v>256</v>
      </c>
      <c r="B76" s="4" t="s">
        <v>257</v>
      </c>
      <c r="C76" s="0" t="s">
        <v>253</v>
      </c>
      <c r="D76" s="6" t="n">
        <v>650</v>
      </c>
      <c r="E76" s="6" t="n">
        <v>800</v>
      </c>
      <c r="F76" s="6" t="n">
        <v>950</v>
      </c>
      <c r="G76" s="7" t="s">
        <v>37</v>
      </c>
      <c r="H76" s="4" t="s">
        <v>43</v>
      </c>
      <c r="I76" s="4" t="s">
        <v>255</v>
      </c>
    </row>
    <row r="77" customFormat="false" ht="17.15" hidden="false" customHeight="false" outlineLevel="0" collapsed="false">
      <c r="A77" s="0" t="s">
        <v>258</v>
      </c>
      <c r="B77" s="4" t="s">
        <v>259</v>
      </c>
      <c r="C77" s="0" t="s">
        <v>253</v>
      </c>
      <c r="D77" s="6" t="n">
        <v>700</v>
      </c>
      <c r="E77" s="6" t="n">
        <v>850</v>
      </c>
      <c r="F77" s="6" t="n">
        <v>1000</v>
      </c>
      <c r="G77" s="7" t="s">
        <v>37</v>
      </c>
      <c r="H77" s="4" t="s">
        <v>43</v>
      </c>
      <c r="I77" s="4" t="s">
        <v>255</v>
      </c>
    </row>
    <row r="78" customFormat="false" ht="17.15" hidden="false" customHeight="false" outlineLevel="0" collapsed="false">
      <c r="A78" s="0" t="s">
        <v>260</v>
      </c>
      <c r="B78" s="4" t="s">
        <v>261</v>
      </c>
      <c r="C78" s="0" t="s">
        <v>253</v>
      </c>
      <c r="D78" s="6" t="n">
        <v>700</v>
      </c>
      <c r="E78" s="6" t="n">
        <v>850</v>
      </c>
      <c r="F78" s="6" t="n">
        <v>1000</v>
      </c>
      <c r="G78" s="7" t="s">
        <v>37</v>
      </c>
      <c r="H78" s="4" t="s">
        <v>43</v>
      </c>
      <c r="I78" s="4" t="s">
        <v>255</v>
      </c>
    </row>
    <row r="79" customFormat="false" ht="17.15" hidden="false" customHeight="false" outlineLevel="0" collapsed="false">
      <c r="A79" s="0" t="s">
        <v>262</v>
      </c>
      <c r="B79" s="4" t="s">
        <v>263</v>
      </c>
      <c r="C79" s="0" t="s">
        <v>49</v>
      </c>
      <c r="D79" s="6" t="n">
        <v>0</v>
      </c>
      <c r="E79" s="6" t="n">
        <v>0.03</v>
      </c>
      <c r="F79" s="6" t="n">
        <v>0.08</v>
      </c>
      <c r="G79" s="7" t="s">
        <v>37</v>
      </c>
      <c r="H79" s="7" t="s">
        <v>264</v>
      </c>
      <c r="I79" s="4" t="s">
        <v>265</v>
      </c>
    </row>
    <row r="80" customFormat="false" ht="17.15" hidden="false" customHeight="false" outlineLevel="0" collapsed="false">
      <c r="A80" s="0" t="s">
        <v>266</v>
      </c>
      <c r="B80" s="4" t="s">
        <v>267</v>
      </c>
      <c r="C80" s="0" t="s">
        <v>49</v>
      </c>
      <c r="D80" s="6" t="n">
        <v>0.02</v>
      </c>
      <c r="E80" s="6" t="n">
        <v>0.06</v>
      </c>
      <c r="F80" s="6" t="n">
        <v>0.15</v>
      </c>
      <c r="G80" s="7" t="s">
        <v>37</v>
      </c>
      <c r="H80" s="4" t="s">
        <v>43</v>
      </c>
      <c r="I80" s="4" t="s">
        <v>265</v>
      </c>
    </row>
    <row r="81" customFormat="false" ht="17.15" hidden="false" customHeight="false" outlineLevel="0" collapsed="false">
      <c r="A81" s="0" t="s">
        <v>268</v>
      </c>
      <c r="B81" s="4" t="s">
        <v>269</v>
      </c>
      <c r="C81" s="0" t="s">
        <v>49</v>
      </c>
      <c r="D81" s="6" t="n">
        <v>0.04</v>
      </c>
      <c r="E81" s="6" t="n">
        <v>0.1</v>
      </c>
      <c r="F81" s="6" t="n">
        <v>0.25</v>
      </c>
      <c r="G81" s="7" t="s">
        <v>37</v>
      </c>
      <c r="H81" s="4" t="s">
        <v>43</v>
      </c>
      <c r="I81" s="4" t="s">
        <v>265</v>
      </c>
    </row>
    <row r="82" customFormat="false" ht="17.15" hidden="false" customHeight="false" outlineLevel="0" collapsed="false">
      <c r="A82" s="0" t="s">
        <v>270</v>
      </c>
      <c r="B82" s="4" t="s">
        <v>271</v>
      </c>
      <c r="C82" s="0" t="s">
        <v>49</v>
      </c>
      <c r="D82" s="6" t="n">
        <v>0.06</v>
      </c>
      <c r="E82" s="6" t="n">
        <v>0.15</v>
      </c>
      <c r="F82" s="6" t="n">
        <v>0.3</v>
      </c>
      <c r="G82" s="7" t="s">
        <v>37</v>
      </c>
      <c r="H82" s="4" t="s">
        <v>43</v>
      </c>
      <c r="I82" s="4" t="s">
        <v>265</v>
      </c>
    </row>
    <row r="83" customFormat="false" ht="17.15" hidden="false" customHeight="false" outlineLevel="0" collapsed="false">
      <c r="A83" s="0" t="s">
        <v>272</v>
      </c>
      <c r="B83" s="4" t="s">
        <v>273</v>
      </c>
      <c r="C83" s="0" t="s">
        <v>253</v>
      </c>
      <c r="D83" s="6" t="n">
        <v>100</v>
      </c>
      <c r="E83" s="6" t="n">
        <v>125</v>
      </c>
      <c r="F83" s="6" t="n">
        <v>160</v>
      </c>
      <c r="G83" s="7" t="s">
        <v>37</v>
      </c>
      <c r="H83" s="7" t="s">
        <v>274</v>
      </c>
      <c r="I83" s="4" t="s">
        <v>275</v>
      </c>
    </row>
    <row r="84" customFormat="false" ht="17.15" hidden="false" customHeight="false" outlineLevel="0" collapsed="false">
      <c r="A84" s="0" t="s">
        <v>276</v>
      </c>
      <c r="B84" s="4" t="s">
        <v>277</v>
      </c>
      <c r="C84" s="0" t="s">
        <v>253</v>
      </c>
      <c r="D84" s="6" t="n">
        <v>110</v>
      </c>
      <c r="E84" s="6" t="n">
        <v>135</v>
      </c>
      <c r="F84" s="6" t="n">
        <v>170</v>
      </c>
      <c r="G84" s="7" t="s">
        <v>37</v>
      </c>
      <c r="H84" s="4" t="s">
        <v>43</v>
      </c>
      <c r="I84" s="4" t="s">
        <v>275</v>
      </c>
    </row>
    <row r="85" customFormat="false" ht="17.15" hidden="false" customHeight="false" outlineLevel="0" collapsed="false">
      <c r="A85" s="0" t="s">
        <v>278</v>
      </c>
      <c r="B85" s="4" t="s">
        <v>279</v>
      </c>
      <c r="C85" s="0" t="s">
        <v>253</v>
      </c>
      <c r="D85" s="6" t="n">
        <v>110</v>
      </c>
      <c r="E85" s="6" t="n">
        <v>135</v>
      </c>
      <c r="F85" s="6" t="n">
        <v>170</v>
      </c>
      <c r="G85" s="7" t="s">
        <v>37</v>
      </c>
      <c r="H85" s="4" t="s">
        <v>43</v>
      </c>
      <c r="I85" s="4" t="s">
        <v>275</v>
      </c>
    </row>
    <row r="86" customFormat="false" ht="17.15" hidden="false" customHeight="false" outlineLevel="0" collapsed="false">
      <c r="A86" s="0" t="s">
        <v>280</v>
      </c>
      <c r="B86" s="4" t="s">
        <v>281</v>
      </c>
      <c r="C86" s="0" t="s">
        <v>253</v>
      </c>
      <c r="D86" s="6" t="n">
        <v>105</v>
      </c>
      <c r="E86" s="6" t="n">
        <v>130</v>
      </c>
      <c r="F86" s="6" t="n">
        <v>165</v>
      </c>
      <c r="G86" s="7" t="s">
        <v>37</v>
      </c>
      <c r="H86" s="4" t="s">
        <v>43</v>
      </c>
      <c r="I86" s="4" t="s">
        <v>275</v>
      </c>
    </row>
    <row r="87" customFormat="false" ht="17.15" hidden="false" customHeight="false" outlineLevel="0" collapsed="false">
      <c r="A87" s="0" t="s">
        <v>282</v>
      </c>
      <c r="B87" s="0" t="s">
        <v>283</v>
      </c>
      <c r="C87" s="0" t="s">
        <v>49</v>
      </c>
      <c r="D87" s="6" t="n">
        <v>0.5</v>
      </c>
      <c r="E87" s="6" t="n">
        <v>0.65</v>
      </c>
      <c r="F87" s="6" t="n">
        <v>0.75</v>
      </c>
      <c r="G87" s="7" t="s">
        <v>37</v>
      </c>
      <c r="H87" s="7" t="s">
        <v>284</v>
      </c>
      <c r="I87" s="4" t="s">
        <v>285</v>
      </c>
    </row>
    <row r="88" customFormat="false" ht="17.15" hidden="false" customHeight="false" outlineLevel="0" collapsed="false">
      <c r="A88" s="0" t="s">
        <v>286</v>
      </c>
      <c r="B88" s="0" t="s">
        <v>287</v>
      </c>
      <c r="C88" s="0" t="s">
        <v>49</v>
      </c>
      <c r="D88" s="6" t="n">
        <v>0.45</v>
      </c>
      <c r="E88" s="6" t="n">
        <v>0.63</v>
      </c>
      <c r="F88" s="6" t="n">
        <v>0.72</v>
      </c>
      <c r="G88" s="7" t="s">
        <v>37</v>
      </c>
      <c r="H88" s="4" t="s">
        <v>43</v>
      </c>
      <c r="I88" s="4" t="s">
        <v>285</v>
      </c>
    </row>
    <row r="89" customFormat="false" ht="17.15" hidden="false" customHeight="false" outlineLevel="0" collapsed="false">
      <c r="A89" s="0" t="s">
        <v>288</v>
      </c>
      <c r="B89" s="0" t="s">
        <v>289</v>
      </c>
      <c r="C89" s="0" t="s">
        <v>49</v>
      </c>
      <c r="D89" s="6" t="n">
        <v>0.4</v>
      </c>
      <c r="E89" s="6" t="n">
        <v>0.6</v>
      </c>
      <c r="F89" s="6" t="n">
        <v>0.7</v>
      </c>
      <c r="G89" s="7" t="s">
        <v>37</v>
      </c>
      <c r="H89" s="4" t="s">
        <v>43</v>
      </c>
      <c r="I89" s="4" t="s">
        <v>285</v>
      </c>
    </row>
    <row r="90" customFormat="false" ht="17.15" hidden="false" customHeight="false" outlineLevel="0" collapsed="false">
      <c r="A90" s="0" t="s">
        <v>290</v>
      </c>
      <c r="B90" s="0" t="s">
        <v>291</v>
      </c>
      <c r="C90" s="0" t="s">
        <v>49</v>
      </c>
      <c r="D90" s="6" t="n">
        <v>0.35</v>
      </c>
      <c r="E90" s="6" t="n">
        <v>0.58</v>
      </c>
      <c r="F90" s="6" t="n">
        <v>0.7</v>
      </c>
      <c r="G90" s="7" t="s">
        <v>37</v>
      </c>
      <c r="H90" s="4" t="s">
        <v>43</v>
      </c>
      <c r="I90" s="4" t="s">
        <v>285</v>
      </c>
    </row>
    <row r="91" customFormat="false" ht="17.15" hidden="false" customHeight="false" outlineLevel="0" collapsed="false">
      <c r="A91" s="0" t="s">
        <v>292</v>
      </c>
      <c r="B91" s="4" t="s">
        <v>293</v>
      </c>
      <c r="C91" s="0" t="s">
        <v>239</v>
      </c>
      <c r="D91" s="6" t="n">
        <v>0.6</v>
      </c>
      <c r="E91" s="6" t="n">
        <v>0.9</v>
      </c>
      <c r="F91" s="6" t="n">
        <v>1.2</v>
      </c>
      <c r="G91" s="7" t="s">
        <v>37</v>
      </c>
      <c r="H91" s="4" t="s">
        <v>294</v>
      </c>
      <c r="I91" s="4" t="s">
        <v>295</v>
      </c>
    </row>
    <row r="92" customFormat="false" ht="17.15" hidden="false" customHeight="false" outlineLevel="0" collapsed="false">
      <c r="A92" s="0" t="s">
        <v>296</v>
      </c>
      <c r="B92" s="4" t="s">
        <v>297</v>
      </c>
      <c r="C92" s="0" t="s">
        <v>49</v>
      </c>
      <c r="D92" s="6" t="n">
        <v>0.05</v>
      </c>
      <c r="E92" s="6" t="n">
        <v>0.15</v>
      </c>
      <c r="F92" s="6" t="n">
        <v>0.25</v>
      </c>
      <c r="G92" s="7" t="s">
        <v>37</v>
      </c>
      <c r="H92" s="4" t="s">
        <v>195</v>
      </c>
      <c r="I92" s="7" t="s">
        <v>170</v>
      </c>
    </row>
    <row r="93" customFormat="false" ht="17.15" hidden="false" customHeight="false" outlineLevel="0" collapsed="false">
      <c r="A93" s="0" t="s">
        <v>298</v>
      </c>
      <c r="B93" s="0" t="s">
        <v>299</v>
      </c>
      <c r="C93" s="0" t="s">
        <v>80</v>
      </c>
      <c r="D93" s="6" t="n">
        <v>0.8</v>
      </c>
      <c r="E93" s="6" t="n">
        <v>1</v>
      </c>
      <c r="F93" s="6" t="n">
        <v>1.2</v>
      </c>
      <c r="G93" s="7" t="s">
        <v>37</v>
      </c>
      <c r="H93" s="4" t="s">
        <v>195</v>
      </c>
      <c r="I93" s="7" t="s">
        <v>196</v>
      </c>
    </row>
    <row r="94" customFormat="false" ht="17.15" hidden="false" customHeight="false" outlineLevel="0" collapsed="false">
      <c r="A94" s="1" t="s">
        <v>300</v>
      </c>
    </row>
    <row r="95" customFormat="false" ht="17.15" hidden="false" customHeight="false" outlineLevel="0" collapsed="false">
      <c r="A95" s="0" t="s">
        <v>301</v>
      </c>
      <c r="B95" s="4" t="s">
        <v>302</v>
      </c>
      <c r="C95" s="0" t="s">
        <v>239</v>
      </c>
      <c r="E95" s="6" t="n">
        <v>1.5</v>
      </c>
      <c r="G95" s="7" t="s">
        <v>67</v>
      </c>
      <c r="H95" s="7" t="s">
        <v>303</v>
      </c>
      <c r="I95" s="4" t="s">
        <v>265</v>
      </c>
    </row>
    <row r="96" customFormat="false" ht="17.15" hidden="false" customHeight="false" outlineLevel="0" collapsed="false">
      <c r="A96" s="0" t="s">
        <v>304</v>
      </c>
      <c r="B96" s="4" t="s">
        <v>305</v>
      </c>
      <c r="C96" s="0" t="s">
        <v>49</v>
      </c>
      <c r="D96" s="6" t="n">
        <v>0.2</v>
      </c>
      <c r="E96" s="6" t="n">
        <v>0.25</v>
      </c>
      <c r="F96" s="6" t="n">
        <v>0.35</v>
      </c>
      <c r="G96" s="7" t="s">
        <v>67</v>
      </c>
      <c r="H96" s="7" t="s">
        <v>306</v>
      </c>
      <c r="I96" s="4" t="s">
        <v>307</v>
      </c>
    </row>
    <row r="97" customFormat="false" ht="17.15" hidden="false" customHeight="false" outlineLevel="0" collapsed="false">
      <c r="A97" s="0" t="s">
        <v>308</v>
      </c>
      <c r="B97" s="0" t="s">
        <v>309</v>
      </c>
      <c r="C97" s="0" t="s">
        <v>239</v>
      </c>
      <c r="D97" s="6" t="n">
        <v>0.15</v>
      </c>
      <c r="E97" s="6" t="n">
        <v>0.2</v>
      </c>
      <c r="F97" s="6" t="n">
        <v>0.3</v>
      </c>
      <c r="G97" s="7" t="s">
        <v>67</v>
      </c>
      <c r="H97" s="7" t="s">
        <v>310</v>
      </c>
      <c r="I97" s="7" t="s">
        <v>170</v>
      </c>
    </row>
    <row r="98" customFormat="false" ht="17.15" hidden="false" customHeight="false" outlineLevel="0" collapsed="false">
      <c r="A98" s="0" t="s">
        <v>311</v>
      </c>
      <c r="B98" s="0" t="s">
        <v>312</v>
      </c>
      <c r="C98" s="0" t="s">
        <v>239</v>
      </c>
      <c r="D98" s="6" t="n">
        <v>0.3</v>
      </c>
      <c r="E98" s="6" t="n">
        <v>0.4</v>
      </c>
      <c r="F98" s="6" t="n">
        <v>0.5</v>
      </c>
      <c r="G98" s="7" t="s">
        <v>67</v>
      </c>
      <c r="H98" s="4" t="s">
        <v>43</v>
      </c>
      <c r="I98" s="7" t="s">
        <v>170</v>
      </c>
    </row>
    <row r="99" customFormat="false" ht="17.15" hidden="false" customHeight="false" outlineLevel="0" collapsed="false">
      <c r="A99" s="0" t="s">
        <v>313</v>
      </c>
      <c r="B99" s="0" t="s">
        <v>314</v>
      </c>
      <c r="C99" s="0" t="s">
        <v>239</v>
      </c>
      <c r="D99" s="6" t="n">
        <v>0.6</v>
      </c>
      <c r="E99" s="6" t="n">
        <v>1</v>
      </c>
      <c r="F99" s="6" t="n">
        <v>1.4</v>
      </c>
      <c r="G99" s="7" t="s">
        <v>67</v>
      </c>
      <c r="H99" s="7" t="s">
        <v>315</v>
      </c>
      <c r="I99" s="7" t="s">
        <v>170</v>
      </c>
    </row>
    <row r="100" customFormat="false" ht="17.15" hidden="false" customHeight="false" outlineLevel="0" collapsed="false">
      <c r="A100" s="0" t="s">
        <v>316</v>
      </c>
      <c r="B100" s="0" t="s">
        <v>317</v>
      </c>
      <c r="C100" s="0" t="s">
        <v>49</v>
      </c>
      <c r="D100" s="6" t="n">
        <v>0.3</v>
      </c>
      <c r="E100" s="6" t="n">
        <v>0.5</v>
      </c>
      <c r="F100" s="6" t="n">
        <v>0.8</v>
      </c>
      <c r="G100" s="7" t="s">
        <v>37</v>
      </c>
      <c r="H100" s="4" t="s">
        <v>318</v>
      </c>
      <c r="I100" s="7" t="s">
        <v>170</v>
      </c>
    </row>
    <row r="101" customFormat="false" ht="17.15" hidden="false" customHeight="false" outlineLevel="0" collapsed="false">
      <c r="A101" s="0" t="s">
        <v>319</v>
      </c>
      <c r="B101" s="4" t="s">
        <v>320</v>
      </c>
      <c r="C101" s="0" t="s">
        <v>239</v>
      </c>
      <c r="E101" s="6" t="n">
        <v>0.3</v>
      </c>
      <c r="G101" s="7" t="s">
        <v>67</v>
      </c>
      <c r="H101" s="7" t="s">
        <v>321</v>
      </c>
      <c r="I101" s="7" t="s">
        <v>322</v>
      </c>
    </row>
    <row r="102" customFormat="false" ht="17.15" hidden="false" customHeight="false" outlineLevel="0" collapsed="false">
      <c r="A102" s="0" t="s">
        <v>323</v>
      </c>
      <c r="B102" s="4" t="s">
        <v>324</v>
      </c>
      <c r="C102" s="0" t="s">
        <v>239</v>
      </c>
      <c r="D102" s="6" t="n">
        <v>0.6</v>
      </c>
      <c r="E102" s="6" t="n">
        <v>0.65</v>
      </c>
      <c r="F102" s="6" t="n">
        <v>0.75</v>
      </c>
      <c r="G102" s="7" t="s">
        <v>67</v>
      </c>
      <c r="H102" s="7" t="s">
        <v>325</v>
      </c>
      <c r="I102" s="7" t="s">
        <v>326</v>
      </c>
    </row>
    <row r="103" customFormat="false" ht="17.15" hidden="false" customHeight="false" outlineLevel="0" collapsed="false">
      <c r="A103" s="0" t="s">
        <v>327</v>
      </c>
      <c r="B103" s="4" t="s">
        <v>328</v>
      </c>
      <c r="C103" s="0" t="s">
        <v>49</v>
      </c>
      <c r="D103" s="6" t="n">
        <v>0.4</v>
      </c>
      <c r="E103" s="6" t="n">
        <v>0.8</v>
      </c>
      <c r="F103" s="6" t="n">
        <v>1.2</v>
      </c>
      <c r="G103" s="7" t="s">
        <v>67</v>
      </c>
      <c r="H103" s="7" t="s">
        <v>329</v>
      </c>
      <c r="I103" s="7" t="s">
        <v>170</v>
      </c>
    </row>
    <row r="104" customFormat="false" ht="17.15" hidden="false" customHeight="false" outlineLevel="0" collapsed="false">
      <c r="A104" s="0" t="s">
        <v>330</v>
      </c>
      <c r="B104" s="4" t="s">
        <v>331</v>
      </c>
      <c r="C104" s="0" t="s">
        <v>49</v>
      </c>
      <c r="D104" s="6" t="n">
        <v>0.2</v>
      </c>
      <c r="E104" s="6" t="n">
        <v>0.4</v>
      </c>
      <c r="F104" s="6" t="n">
        <v>0.6</v>
      </c>
      <c r="G104" s="7" t="s">
        <v>37</v>
      </c>
      <c r="H104" s="7" t="s">
        <v>332</v>
      </c>
      <c r="I104" s="7" t="s">
        <v>170</v>
      </c>
    </row>
    <row r="105" customFormat="false" ht="17.15" hidden="false" customHeight="false" outlineLevel="0" collapsed="false">
      <c r="A105" s="0" t="s">
        <v>333</v>
      </c>
      <c r="B105" s="0" t="s">
        <v>334</v>
      </c>
      <c r="C105" s="0" t="s">
        <v>239</v>
      </c>
      <c r="D105" s="6" t="n">
        <v>0.15</v>
      </c>
      <c r="E105" s="6" t="n">
        <v>0.2</v>
      </c>
      <c r="F105" s="6" t="n">
        <v>0.25</v>
      </c>
      <c r="G105" s="7" t="s">
        <v>67</v>
      </c>
      <c r="H105" s="7" t="s">
        <v>335</v>
      </c>
      <c r="I105" s="7" t="s">
        <v>170</v>
      </c>
    </row>
    <row r="106" customFormat="false" ht="17.15" hidden="false" customHeight="false" outlineLevel="0" collapsed="false">
      <c r="A106" s="0" t="s">
        <v>336</v>
      </c>
      <c r="B106" s="0" t="s">
        <v>337</v>
      </c>
      <c r="C106" s="0" t="s">
        <v>239</v>
      </c>
      <c r="D106" s="6" t="n">
        <v>0.4</v>
      </c>
      <c r="E106" s="6" t="n">
        <v>0.45</v>
      </c>
      <c r="F106" s="6" t="n">
        <v>0.55</v>
      </c>
      <c r="G106" s="7" t="s">
        <v>67</v>
      </c>
      <c r="H106" s="4" t="s">
        <v>338</v>
      </c>
      <c r="I106" s="7" t="s">
        <v>170</v>
      </c>
    </row>
    <row r="107" customFormat="false" ht="17.15" hidden="false" customHeight="false" outlineLevel="0" collapsed="false">
      <c r="A107" s="0" t="s">
        <v>339</v>
      </c>
      <c r="B107" s="0" t="s">
        <v>340</v>
      </c>
      <c r="C107" s="0" t="s">
        <v>49</v>
      </c>
      <c r="D107" s="6" t="n">
        <v>0.2</v>
      </c>
      <c r="E107" s="6" t="n">
        <v>0.5</v>
      </c>
      <c r="F107" s="6" t="n">
        <v>0.8</v>
      </c>
      <c r="G107" s="7" t="s">
        <v>37</v>
      </c>
      <c r="H107" s="4" t="s">
        <v>195</v>
      </c>
      <c r="I107" s="7" t="s">
        <v>170</v>
      </c>
    </row>
    <row r="108" customFormat="false" ht="17.15" hidden="false" customHeight="false" outlineLevel="0" collapsed="false">
      <c r="A108" s="0" t="s">
        <v>341</v>
      </c>
      <c r="B108" s="4" t="s">
        <v>342</v>
      </c>
      <c r="C108" s="0" t="s">
        <v>239</v>
      </c>
      <c r="D108" s="6" t="n">
        <v>0.5</v>
      </c>
      <c r="E108" s="6" t="n">
        <v>0.65</v>
      </c>
      <c r="F108" s="6" t="n">
        <v>0.8</v>
      </c>
      <c r="G108" s="7" t="s">
        <v>37</v>
      </c>
      <c r="H108" s="4" t="s">
        <v>343</v>
      </c>
      <c r="I108" s="4" t="s">
        <v>265</v>
      </c>
    </row>
    <row r="109" customFormat="false" ht="15" hidden="false" customHeight="false" outlineLevel="0" collapsed="false">
      <c r="A109" s="0" t="s">
        <v>344</v>
      </c>
      <c r="B109" s="4" t="s">
        <v>345</v>
      </c>
      <c r="C109" s="0" t="s">
        <v>49</v>
      </c>
      <c r="D109" s="6" t="n">
        <v>-0.05</v>
      </c>
      <c r="E109" s="6" t="n">
        <v>0.05</v>
      </c>
      <c r="F109" s="6" t="n">
        <v>0.15</v>
      </c>
      <c r="G109" s="7" t="s">
        <v>37</v>
      </c>
      <c r="H109" s="4" t="s">
        <v>195</v>
      </c>
      <c r="I109" s="7" t="s">
        <v>170</v>
      </c>
    </row>
    <row r="110" customFormat="false" ht="17.15" hidden="false" customHeight="false" outlineLevel="0" collapsed="false">
      <c r="A110" s="1" t="s">
        <v>346</v>
      </c>
    </row>
    <row r="111" customFormat="false" ht="17.15" hidden="false" customHeight="false" outlineLevel="0" collapsed="false">
      <c r="A111" s="0" t="s">
        <v>347</v>
      </c>
      <c r="B111" s="0" t="s">
        <v>348</v>
      </c>
      <c r="C111" s="0" t="s">
        <v>239</v>
      </c>
      <c r="E111" s="6" t="n">
        <v>3.15</v>
      </c>
      <c r="G111" s="7" t="s">
        <v>67</v>
      </c>
      <c r="H111" s="7" t="s">
        <v>349</v>
      </c>
      <c r="I111" s="7" t="s">
        <v>350</v>
      </c>
    </row>
    <row r="112" customFormat="false" ht="17.15" hidden="false" customHeight="false" outlineLevel="0" collapsed="false">
      <c r="A112" s="0" t="s">
        <v>351</v>
      </c>
      <c r="B112" s="0" t="s">
        <v>352</v>
      </c>
      <c r="C112" s="0" t="s">
        <v>49</v>
      </c>
      <c r="D112" s="6" t="n">
        <v>-0.15</v>
      </c>
      <c r="E112" s="6" t="n">
        <v>-0.135</v>
      </c>
      <c r="F112" s="6" t="n">
        <v>-0.11</v>
      </c>
      <c r="G112" s="7" t="s">
        <v>67</v>
      </c>
      <c r="H112" s="7" t="s">
        <v>353</v>
      </c>
      <c r="I112" s="7" t="s">
        <v>170</v>
      </c>
    </row>
    <row r="113" customFormat="false" ht="17.15" hidden="false" customHeight="false" outlineLevel="0" collapsed="false">
      <c r="A113" s="0" t="s">
        <v>354</v>
      </c>
      <c r="B113" s="0" t="s">
        <v>355</v>
      </c>
      <c r="C113" s="0" t="s">
        <v>49</v>
      </c>
      <c r="D113" s="6" t="n">
        <v>0.575</v>
      </c>
      <c r="E113" s="6" t="n">
        <v>0.58</v>
      </c>
      <c r="F113" s="6" t="n">
        <v>0.585</v>
      </c>
      <c r="G113" s="7" t="s">
        <v>67</v>
      </c>
      <c r="H113" s="7" t="s">
        <v>356</v>
      </c>
      <c r="I113" s="7" t="s">
        <v>170</v>
      </c>
    </row>
    <row r="114" customFormat="false" ht="17.15" hidden="false" customHeight="false" outlineLevel="0" collapsed="false">
      <c r="A114" s="0" t="s">
        <v>357</v>
      </c>
      <c r="B114" s="0" t="s">
        <v>358</v>
      </c>
      <c r="C114" s="0" t="s">
        <v>239</v>
      </c>
      <c r="E114" s="6" t="n">
        <v>0.655</v>
      </c>
      <c r="G114" s="7" t="s">
        <v>67</v>
      </c>
      <c r="H114" s="7" t="s">
        <v>359</v>
      </c>
      <c r="I114" s="7" t="s">
        <v>170</v>
      </c>
    </row>
    <row r="115" customFormat="false" ht="17.15" hidden="false" customHeight="false" outlineLevel="0" collapsed="false">
      <c r="A115" s="0" t="s">
        <v>360</v>
      </c>
      <c r="B115" s="0" t="s">
        <v>361</v>
      </c>
      <c r="C115" s="0" t="s">
        <v>239</v>
      </c>
      <c r="D115" s="6" t="n">
        <v>0.03</v>
      </c>
      <c r="E115" s="6" t="n">
        <v>0.036</v>
      </c>
      <c r="F115" s="6" t="n">
        <v>0.045</v>
      </c>
      <c r="G115" s="7" t="s">
        <v>67</v>
      </c>
      <c r="H115" s="7" t="s">
        <v>362</v>
      </c>
      <c r="I115" s="7" t="s">
        <v>363</v>
      </c>
    </row>
    <row r="116" customFormat="false" ht="17.15" hidden="false" customHeight="false" outlineLevel="0" collapsed="false">
      <c r="A116" s="0" t="s">
        <v>364</v>
      </c>
      <c r="B116" s="0" t="s">
        <v>365</v>
      </c>
      <c r="C116" s="0" t="s">
        <v>49</v>
      </c>
      <c r="E116" s="6" t="n">
        <v>0.11</v>
      </c>
      <c r="G116" s="7" t="s">
        <v>67</v>
      </c>
      <c r="H116" s="7" t="s">
        <v>366</v>
      </c>
      <c r="I116" s="7" t="s">
        <v>367</v>
      </c>
    </row>
    <row r="117" customFormat="false" ht="17.15" hidden="false" customHeight="false" outlineLevel="0" collapsed="false">
      <c r="A117" s="0" t="s">
        <v>368</v>
      </c>
      <c r="B117" s="0" t="s">
        <v>369</v>
      </c>
      <c r="C117" s="4" t="s">
        <v>370</v>
      </c>
      <c r="E117" s="6" t="n">
        <v>0.921</v>
      </c>
      <c r="G117" s="7" t="s">
        <v>67</v>
      </c>
      <c r="H117" s="7" t="s">
        <v>371</v>
      </c>
      <c r="I117" s="7" t="s">
        <v>170</v>
      </c>
    </row>
    <row r="118" customFormat="false" ht="17.15" hidden="false" customHeight="false" outlineLevel="0" collapsed="false">
      <c r="A118" s="0" t="s">
        <v>372</v>
      </c>
      <c r="B118" s="4" t="s">
        <v>373</v>
      </c>
      <c r="C118" s="0" t="s">
        <v>239</v>
      </c>
      <c r="D118" s="6" t="n">
        <v>11.8</v>
      </c>
      <c r="E118" s="6" t="n">
        <v>12</v>
      </c>
      <c r="F118" s="6" t="n">
        <v>12.2</v>
      </c>
      <c r="G118" s="7" t="s">
        <v>67</v>
      </c>
      <c r="H118" s="7" t="s">
        <v>374</v>
      </c>
      <c r="I118" s="4" t="s">
        <v>375</v>
      </c>
    </row>
    <row r="119" customFormat="false" ht="17.15" hidden="false" customHeight="false" outlineLevel="0" collapsed="false">
      <c r="A119" s="0" t="s">
        <v>376</v>
      </c>
      <c r="B119" s="4" t="s">
        <v>377</v>
      </c>
      <c r="C119" s="0" t="s">
        <v>49</v>
      </c>
      <c r="D119" s="6" t="n">
        <v>0.55</v>
      </c>
      <c r="E119" s="6" t="n">
        <v>0.6</v>
      </c>
      <c r="F119" s="6" t="n">
        <v>0.65</v>
      </c>
      <c r="G119" s="7" t="s">
        <v>67</v>
      </c>
      <c r="H119" s="7" t="s">
        <v>378</v>
      </c>
      <c r="I119" s="7" t="s">
        <v>379</v>
      </c>
    </row>
    <row r="120" customFormat="false" ht="17.15" hidden="false" customHeight="false" outlineLevel="0" collapsed="false">
      <c r="A120" s="0" t="s">
        <v>380</v>
      </c>
      <c r="B120" s="0" t="s">
        <v>381</v>
      </c>
      <c r="C120" s="0" t="s">
        <v>49</v>
      </c>
      <c r="D120" s="6" t="n">
        <v>0.57</v>
      </c>
      <c r="E120" s="6" t="n">
        <v>0.58</v>
      </c>
      <c r="F120" s="6" t="n">
        <v>0.59</v>
      </c>
      <c r="G120" s="7" t="s">
        <v>67</v>
      </c>
      <c r="H120" s="7" t="s">
        <v>382</v>
      </c>
      <c r="I120" s="7" t="s">
        <v>170</v>
      </c>
    </row>
    <row r="121" customFormat="false" ht="17.15" hidden="false" customHeight="false" outlineLevel="0" collapsed="false">
      <c r="A121" s="0" t="s">
        <v>383</v>
      </c>
      <c r="B121" s="4" t="s">
        <v>384</v>
      </c>
      <c r="C121" s="0" t="s">
        <v>239</v>
      </c>
      <c r="D121" s="6" t="n">
        <v>2.5</v>
      </c>
      <c r="E121" s="6" t="n">
        <v>2.55</v>
      </c>
      <c r="F121" s="6" t="n">
        <v>2.6</v>
      </c>
      <c r="G121" s="7" t="s">
        <v>67</v>
      </c>
      <c r="H121" s="7" t="s">
        <v>385</v>
      </c>
      <c r="I121" s="7" t="s">
        <v>170</v>
      </c>
    </row>
    <row r="122" customFormat="false" ht="17.15" hidden="false" customHeight="false" outlineLevel="0" collapsed="false">
      <c r="A122" s="0" t="s">
        <v>386</v>
      </c>
      <c r="B122" s="0" t="s">
        <v>387</v>
      </c>
      <c r="C122" s="0" t="s">
        <v>239</v>
      </c>
      <c r="D122" s="6" t="n">
        <v>0.03</v>
      </c>
      <c r="E122" s="6" t="n">
        <v>0.036</v>
      </c>
      <c r="F122" s="6" t="n">
        <v>0.045</v>
      </c>
      <c r="G122" s="7" t="s">
        <v>37</v>
      </c>
      <c r="H122" s="4" t="s">
        <v>388</v>
      </c>
      <c r="I122" s="7" t="s">
        <v>170</v>
      </c>
    </row>
    <row r="123" customFormat="false" ht="17.15" hidden="false" customHeight="false" outlineLevel="0" collapsed="false">
      <c r="A123" s="0" t="s">
        <v>389</v>
      </c>
      <c r="B123" s="0" t="s">
        <v>390</v>
      </c>
      <c r="C123" s="0" t="s">
        <v>49</v>
      </c>
      <c r="D123" s="6" t="n">
        <v>0.1</v>
      </c>
      <c r="E123" s="6" t="n">
        <v>0.11</v>
      </c>
      <c r="F123" s="6" t="n">
        <v>0.12</v>
      </c>
      <c r="G123" s="7" t="s">
        <v>37</v>
      </c>
      <c r="H123" s="4" t="s">
        <v>391</v>
      </c>
      <c r="I123" s="7" t="s">
        <v>170</v>
      </c>
    </row>
    <row r="124" customFormat="false" ht="17.15" hidden="false" customHeight="false" outlineLevel="0" collapsed="false">
      <c r="A124" s="0" t="s">
        <v>392</v>
      </c>
      <c r="B124" s="0" t="s">
        <v>393</v>
      </c>
      <c r="C124" s="4" t="s">
        <v>370</v>
      </c>
      <c r="D124" s="6" t="n">
        <v>0.915</v>
      </c>
      <c r="E124" s="6" t="n">
        <v>0.925</v>
      </c>
      <c r="F124" s="6" t="n">
        <v>0.935</v>
      </c>
      <c r="G124" s="7" t="s">
        <v>37</v>
      </c>
      <c r="H124" s="7" t="s">
        <v>394</v>
      </c>
      <c r="I124" s="7" t="s">
        <v>170</v>
      </c>
    </row>
    <row r="125" customFormat="false" ht="17.15" hidden="false" customHeight="false" outlineLevel="0" collapsed="false">
      <c r="A125" s="1" t="s">
        <v>395</v>
      </c>
    </row>
    <row r="126" customFormat="false" ht="17.15" hidden="false" customHeight="false" outlineLevel="0" collapsed="false">
      <c r="A126" s="0" t="s">
        <v>396</v>
      </c>
      <c r="B126" s="4" t="s">
        <v>397</v>
      </c>
      <c r="C126" s="0" t="s">
        <v>80</v>
      </c>
      <c r="D126" s="6" t="n">
        <v>0.3</v>
      </c>
      <c r="E126" s="6" t="n">
        <v>0.5</v>
      </c>
      <c r="F126" s="6" t="n">
        <v>0.7</v>
      </c>
      <c r="G126" s="7" t="s">
        <v>67</v>
      </c>
      <c r="H126" s="7" t="s">
        <v>398</v>
      </c>
      <c r="I126" s="7" t="s">
        <v>399</v>
      </c>
    </row>
    <row r="127" customFormat="false" ht="15" hidden="false" customHeight="false" outlineLevel="0" collapsed="false">
      <c r="A127" s="0" t="s">
        <v>400</v>
      </c>
      <c r="B127" s="4" t="s">
        <v>401</v>
      </c>
      <c r="C127" s="0" t="s">
        <v>49</v>
      </c>
      <c r="D127" s="6" t="n">
        <v>0</v>
      </c>
      <c r="E127" s="6" t="n">
        <v>0.05</v>
      </c>
      <c r="F127" s="6" t="n">
        <v>0.1</v>
      </c>
      <c r="G127" s="7" t="s">
        <v>37</v>
      </c>
      <c r="H127" s="4" t="s">
        <v>195</v>
      </c>
      <c r="I127" s="7" t="s">
        <v>170</v>
      </c>
    </row>
    <row r="128" customFormat="false" ht="17.15" hidden="false" customHeight="false" outlineLevel="0" collapsed="false">
      <c r="A128" s="0" t="s">
        <v>402</v>
      </c>
      <c r="B128" s="4" t="s">
        <v>403</v>
      </c>
      <c r="C128" s="0" t="s">
        <v>404</v>
      </c>
      <c r="D128" s="6" t="n">
        <v>-0.02</v>
      </c>
      <c r="E128" s="6" t="n">
        <v>0</v>
      </c>
      <c r="F128" s="6" t="n">
        <v>0.02</v>
      </c>
      <c r="G128" s="7" t="s">
        <v>37</v>
      </c>
      <c r="H128" s="4" t="s">
        <v>195</v>
      </c>
      <c r="I128" s="7" t="s">
        <v>405</v>
      </c>
    </row>
    <row r="129" customFormat="false" ht="17.15" hidden="false" customHeight="false" outlineLevel="0" collapsed="false">
      <c r="A129" s="0" t="s">
        <v>406</v>
      </c>
      <c r="B129" s="0" t="s">
        <v>407</v>
      </c>
      <c r="C129" s="0" t="s">
        <v>239</v>
      </c>
      <c r="D129" s="6" t="n">
        <v>0.1</v>
      </c>
      <c r="E129" s="6" t="n">
        <v>0.15</v>
      </c>
      <c r="F129" s="6" t="n">
        <v>0.3</v>
      </c>
      <c r="G129" s="7" t="s">
        <v>138</v>
      </c>
      <c r="H129" s="7" t="s">
        <v>408</v>
      </c>
      <c r="I129" s="4" t="s">
        <v>409</v>
      </c>
    </row>
    <row r="130" customFormat="false" ht="17.15" hidden="false" customHeight="false" outlineLevel="0" collapsed="false">
      <c r="A130" s="0" t="s">
        <v>410</v>
      </c>
      <c r="B130" s="0" t="s">
        <v>411</v>
      </c>
      <c r="C130" s="0" t="s">
        <v>49</v>
      </c>
      <c r="D130" s="6" t="n">
        <v>0.11</v>
      </c>
      <c r="E130" s="6" t="n">
        <v>0.13</v>
      </c>
      <c r="F130" s="6" t="n">
        <v>0.15</v>
      </c>
      <c r="G130" s="7" t="s">
        <v>67</v>
      </c>
      <c r="H130" s="7" t="s">
        <v>412</v>
      </c>
      <c r="I130" s="7" t="s">
        <v>413</v>
      </c>
    </row>
    <row r="131" customFormat="false" ht="17.15" hidden="false" customHeight="false" outlineLevel="0" collapsed="false">
      <c r="A131" s="0" t="s">
        <v>414</v>
      </c>
      <c r="B131" s="4" t="s">
        <v>415</v>
      </c>
      <c r="C131" s="0" t="s">
        <v>49</v>
      </c>
      <c r="D131" s="6" t="n">
        <v>-0.01</v>
      </c>
      <c r="E131" s="6" t="n">
        <v>0.005</v>
      </c>
      <c r="F131" s="6" t="n">
        <v>0.015</v>
      </c>
      <c r="G131" s="7" t="s">
        <v>138</v>
      </c>
      <c r="H131" s="7" t="s">
        <v>416</v>
      </c>
      <c r="I131" s="4" t="s">
        <v>417</v>
      </c>
    </row>
    <row r="132" customFormat="false" ht="17.15" hidden="false" customHeight="false" outlineLevel="0" collapsed="false">
      <c r="A132" s="0" t="s">
        <v>418</v>
      </c>
      <c r="B132" s="4" t="s">
        <v>419</v>
      </c>
      <c r="C132" s="0" t="s">
        <v>49</v>
      </c>
      <c r="D132" s="6" t="n">
        <v>-0.05</v>
      </c>
      <c r="E132" s="6" t="n">
        <v>0.03</v>
      </c>
      <c r="F132" s="6" t="n">
        <v>0.08</v>
      </c>
      <c r="G132" s="7" t="s">
        <v>67</v>
      </c>
      <c r="H132" s="7" t="s">
        <v>420</v>
      </c>
      <c r="I132" s="4" t="s">
        <v>265</v>
      </c>
    </row>
    <row r="133" customFormat="false" ht="17.15" hidden="false" customHeight="false" outlineLevel="0" collapsed="false">
      <c r="A133" s="0" t="s">
        <v>421</v>
      </c>
      <c r="B133" s="4" t="s">
        <v>422</v>
      </c>
      <c r="C133" s="0" t="s">
        <v>49</v>
      </c>
      <c r="D133" s="6" t="n">
        <v>-0.05</v>
      </c>
      <c r="E133" s="6" t="n">
        <v>0.03</v>
      </c>
      <c r="F133" s="6" t="n">
        <v>0.08</v>
      </c>
      <c r="G133" s="7" t="s">
        <v>37</v>
      </c>
      <c r="H133" s="4" t="s">
        <v>423</v>
      </c>
      <c r="I133" s="7" t="s">
        <v>170</v>
      </c>
    </row>
    <row r="134" customFormat="false" ht="15" hidden="false" customHeight="false" outlineLevel="0" collapsed="false">
      <c r="A134" s="0" t="s">
        <v>424</v>
      </c>
      <c r="B134" s="4" t="s">
        <v>425</v>
      </c>
      <c r="C134" s="0" t="s">
        <v>80</v>
      </c>
      <c r="D134" s="6" t="n">
        <v>0.58</v>
      </c>
      <c r="E134" s="6" t="n">
        <v>0.63</v>
      </c>
      <c r="F134" s="6" t="n">
        <v>0.68</v>
      </c>
      <c r="G134" s="7" t="s">
        <v>37</v>
      </c>
      <c r="H134" s="4" t="s">
        <v>426</v>
      </c>
      <c r="I134" s="4" t="s">
        <v>265</v>
      </c>
    </row>
    <row r="135" customFormat="false" ht="17.15" hidden="false" customHeight="false" outlineLevel="0" collapsed="false">
      <c r="A135" s="0" t="s">
        <v>427</v>
      </c>
      <c r="B135" s="4" t="s">
        <v>428</v>
      </c>
      <c r="C135" s="0" t="s">
        <v>80</v>
      </c>
      <c r="D135" s="6" t="n">
        <v>0.55</v>
      </c>
      <c r="E135" s="6" t="n">
        <v>0.6</v>
      </c>
      <c r="F135" s="6" t="n">
        <v>0.65</v>
      </c>
      <c r="G135" s="7" t="s">
        <v>37</v>
      </c>
      <c r="H135" s="4" t="s">
        <v>195</v>
      </c>
      <c r="I135" s="7" t="s">
        <v>170</v>
      </c>
    </row>
    <row r="136" customFormat="false" ht="17.15" hidden="false" customHeight="false" outlineLevel="0" collapsed="false">
      <c r="A136" s="0" t="s">
        <v>429</v>
      </c>
      <c r="B136" s="0" t="s">
        <v>430</v>
      </c>
      <c r="C136" s="0" t="s">
        <v>80</v>
      </c>
      <c r="D136" s="6" t="n">
        <v>0.45</v>
      </c>
      <c r="E136" s="6" t="n">
        <v>0.55</v>
      </c>
      <c r="F136" s="6" t="n">
        <v>0.65</v>
      </c>
      <c r="G136" s="7" t="s">
        <v>37</v>
      </c>
      <c r="H136" s="4" t="s">
        <v>195</v>
      </c>
      <c r="I136" s="7" t="s">
        <v>170</v>
      </c>
    </row>
    <row r="137" customFormat="false" ht="17.15" hidden="false" customHeight="false" outlineLevel="0" collapsed="false">
      <c r="A137" s="0" t="s">
        <v>431</v>
      </c>
      <c r="B137" s="4" t="s">
        <v>432</v>
      </c>
      <c r="C137" s="0" t="s">
        <v>80</v>
      </c>
      <c r="D137" s="6" t="n">
        <v>0.53</v>
      </c>
      <c r="E137" s="6" t="n">
        <v>0.58</v>
      </c>
      <c r="F137" s="6" t="n">
        <v>0.63</v>
      </c>
      <c r="G137" s="7" t="s">
        <v>37</v>
      </c>
      <c r="H137" s="4" t="s">
        <v>433</v>
      </c>
      <c r="I137" s="7" t="s">
        <v>170</v>
      </c>
    </row>
    <row r="138" customFormat="false" ht="17.15" hidden="false" customHeight="false" outlineLevel="0" collapsed="false">
      <c r="A138" s="1" t="s">
        <v>434</v>
      </c>
    </row>
    <row r="139" customFormat="false" ht="17.15" hidden="false" customHeight="false" outlineLevel="0" collapsed="false">
      <c r="A139" s="0" t="s">
        <v>435</v>
      </c>
      <c r="B139" s="4" t="s">
        <v>436</v>
      </c>
      <c r="C139" s="0" t="s">
        <v>239</v>
      </c>
      <c r="E139" s="6" t="n">
        <v>20</v>
      </c>
      <c r="G139" s="7" t="s">
        <v>67</v>
      </c>
      <c r="H139" s="4" t="s">
        <v>437</v>
      </c>
      <c r="I139" s="7" t="s">
        <v>438</v>
      </c>
    </row>
    <row r="140" customFormat="false" ht="17.15" hidden="false" customHeight="false" outlineLevel="0" collapsed="false">
      <c r="A140" s="0" t="s">
        <v>439</v>
      </c>
      <c r="B140" s="4" t="s">
        <v>440</v>
      </c>
      <c r="C140" s="0" t="s">
        <v>239</v>
      </c>
      <c r="E140" s="6" t="n">
        <v>18</v>
      </c>
      <c r="G140" s="7" t="s">
        <v>67</v>
      </c>
      <c r="H140" s="7" t="s">
        <v>441</v>
      </c>
      <c r="I140" s="7" t="s">
        <v>170</v>
      </c>
    </row>
    <row r="141" customFormat="false" ht="17.15" hidden="false" customHeight="false" outlineLevel="0" collapsed="false">
      <c r="A141" s="0" t="s">
        <v>442</v>
      </c>
      <c r="B141" s="4" t="s">
        <v>443</v>
      </c>
      <c r="C141" s="0" t="s">
        <v>239</v>
      </c>
      <c r="E141" s="6" t="n">
        <v>12</v>
      </c>
      <c r="G141" s="7" t="s">
        <v>67</v>
      </c>
      <c r="H141" s="4" t="s">
        <v>444</v>
      </c>
      <c r="I141" s="7" t="s">
        <v>170</v>
      </c>
    </row>
    <row r="142" customFormat="false" ht="17.15" hidden="false" customHeight="false" outlineLevel="0" collapsed="false">
      <c r="A142" s="0" t="s">
        <v>445</v>
      </c>
      <c r="B142" s="4" t="s">
        <v>446</v>
      </c>
      <c r="C142" s="0" t="s">
        <v>49</v>
      </c>
      <c r="E142" s="6" t="n">
        <v>0.7</v>
      </c>
      <c r="G142" s="7" t="s">
        <v>67</v>
      </c>
      <c r="H142" s="7" t="s">
        <v>447</v>
      </c>
      <c r="I142" s="7" t="s">
        <v>448</v>
      </c>
    </row>
    <row r="143" customFormat="false" ht="17.15" hidden="false" customHeight="false" outlineLevel="0" collapsed="false">
      <c r="A143" s="0" t="s">
        <v>449</v>
      </c>
      <c r="B143" s="4" t="s">
        <v>450</v>
      </c>
      <c r="C143" s="0" t="s">
        <v>253</v>
      </c>
      <c r="E143" s="6" t="n">
        <v>5</v>
      </c>
      <c r="G143" s="7" t="s">
        <v>67</v>
      </c>
      <c r="H143" s="7" t="s">
        <v>451</v>
      </c>
      <c r="I143" s="4" t="s">
        <v>452</v>
      </c>
    </row>
    <row r="144" customFormat="false" ht="17.15" hidden="false" customHeight="false" outlineLevel="0" collapsed="false">
      <c r="A144" s="0" t="s">
        <v>453</v>
      </c>
      <c r="B144" s="4" t="s">
        <v>454</v>
      </c>
      <c r="C144" s="0" t="s">
        <v>49</v>
      </c>
      <c r="D144" s="6" t="n">
        <v>0.56</v>
      </c>
      <c r="E144" s="6" t="n">
        <v>0.575</v>
      </c>
      <c r="F144" s="6" t="n">
        <v>0.59</v>
      </c>
      <c r="G144" s="7" t="s">
        <v>67</v>
      </c>
      <c r="H144" s="4" t="s">
        <v>455</v>
      </c>
      <c r="I144" s="7" t="s">
        <v>170</v>
      </c>
    </row>
    <row r="145" customFormat="false" ht="17.15" hidden="false" customHeight="false" outlineLevel="0" collapsed="false">
      <c r="A145" s="0" t="s">
        <v>456</v>
      </c>
      <c r="B145" s="4" t="s">
        <v>457</v>
      </c>
      <c r="C145" s="0" t="s">
        <v>239</v>
      </c>
      <c r="E145" s="6" t="n">
        <v>12.07</v>
      </c>
      <c r="G145" s="7" t="s">
        <v>67</v>
      </c>
      <c r="H145" s="7" t="s">
        <v>458</v>
      </c>
      <c r="I145" s="7" t="s">
        <v>170</v>
      </c>
    </row>
    <row r="146" customFormat="false" ht="17.15" hidden="false" customHeight="false" outlineLevel="0" collapsed="false">
      <c r="A146" s="0" t="s">
        <v>459</v>
      </c>
      <c r="B146" s="4" t="s">
        <v>460</v>
      </c>
      <c r="C146" s="0" t="s">
        <v>253</v>
      </c>
      <c r="E146" s="6" t="n">
        <v>4.22</v>
      </c>
      <c r="G146" s="7" t="s">
        <v>67</v>
      </c>
      <c r="H146" s="4" t="s">
        <v>461</v>
      </c>
      <c r="I146" s="7" t="s">
        <v>170</v>
      </c>
    </row>
    <row r="147" customFormat="false" ht="17.15" hidden="false" customHeight="false" outlineLevel="0" collapsed="false">
      <c r="A147" s="0" t="s">
        <v>462</v>
      </c>
      <c r="B147" s="4" t="s">
        <v>463</v>
      </c>
      <c r="C147" s="0" t="s">
        <v>239</v>
      </c>
      <c r="E147" s="6" t="n">
        <v>19.71</v>
      </c>
      <c r="G147" s="7" t="s">
        <v>67</v>
      </c>
      <c r="H147" s="4" t="s">
        <v>464</v>
      </c>
      <c r="I147" s="7" t="s">
        <v>465</v>
      </c>
    </row>
    <row r="148" customFormat="false" ht="17.15" hidden="false" customHeight="false" outlineLevel="0" collapsed="false">
      <c r="A148" s="0" t="s">
        <v>466</v>
      </c>
      <c r="B148" s="4" t="s">
        <v>467</v>
      </c>
      <c r="C148" s="0" t="s">
        <v>253</v>
      </c>
      <c r="E148" s="6" t="n">
        <v>7.33</v>
      </c>
      <c r="G148" s="7" t="s">
        <v>67</v>
      </c>
      <c r="H148" s="4" t="s">
        <v>43</v>
      </c>
      <c r="I148" s="7" t="s">
        <v>170</v>
      </c>
    </row>
    <row r="149" customFormat="false" ht="17.15" hidden="false" customHeight="false" outlineLevel="0" collapsed="false">
      <c r="A149" s="1" t="s">
        <v>468</v>
      </c>
    </row>
    <row r="150" customFormat="false" ht="17.15" hidden="false" customHeight="false" outlineLevel="0" collapsed="false">
      <c r="A150" s="0" t="s">
        <v>469</v>
      </c>
      <c r="B150" s="4" t="s">
        <v>470</v>
      </c>
      <c r="C150" s="0" t="s">
        <v>253</v>
      </c>
      <c r="E150" s="6" t="n">
        <v>228.51</v>
      </c>
      <c r="G150" s="7" t="s">
        <v>67</v>
      </c>
      <c r="H150" s="7" t="s">
        <v>471</v>
      </c>
      <c r="I150" s="7" t="s">
        <v>472</v>
      </c>
    </row>
    <row r="151" customFormat="false" ht="17.15" hidden="false" customHeight="false" outlineLevel="0" collapsed="false">
      <c r="A151" s="0" t="s">
        <v>473</v>
      </c>
      <c r="B151" s="4" t="s">
        <v>474</v>
      </c>
      <c r="C151" s="0" t="s">
        <v>80</v>
      </c>
      <c r="E151" s="6" t="n">
        <v>77.4</v>
      </c>
      <c r="G151" s="7" t="s">
        <v>67</v>
      </c>
      <c r="H151" s="7" t="s">
        <v>475</v>
      </c>
      <c r="I151" s="4" t="s">
        <v>265</v>
      </c>
    </row>
    <row r="152" customFormat="false" ht="17.15" hidden="false" customHeight="false" outlineLevel="0" collapsed="false">
      <c r="A152" s="0" t="s">
        <v>476</v>
      </c>
      <c r="B152" s="0" t="s">
        <v>477</v>
      </c>
      <c r="C152" s="0" t="s">
        <v>253</v>
      </c>
      <c r="E152" s="6" t="n">
        <v>0.76</v>
      </c>
      <c r="G152" s="7" t="s">
        <v>478</v>
      </c>
      <c r="H152" s="7" t="s">
        <v>479</v>
      </c>
      <c r="I152" s="7" t="s">
        <v>170</v>
      </c>
    </row>
    <row r="153" customFormat="false" ht="17.15" hidden="false" customHeight="false" outlineLevel="0" collapsed="false">
      <c r="A153" s="0" t="s">
        <v>480</v>
      </c>
      <c r="B153" s="0" t="s">
        <v>481</v>
      </c>
      <c r="C153" s="0" t="s">
        <v>253</v>
      </c>
      <c r="E153" s="6" t="n">
        <v>0.8</v>
      </c>
      <c r="G153" s="7" t="s">
        <v>478</v>
      </c>
      <c r="H153" s="7" t="s">
        <v>482</v>
      </c>
      <c r="I153" s="7" t="s">
        <v>170</v>
      </c>
    </row>
    <row r="154" customFormat="false" ht="17.15" hidden="false" customHeight="false" outlineLevel="0" collapsed="false">
      <c r="A154" s="8" t="s">
        <v>483</v>
      </c>
      <c r="B154" s="9" t="s">
        <v>484</v>
      </c>
      <c r="C154" s="8" t="s">
        <v>80</v>
      </c>
      <c r="D154" s="8"/>
      <c r="E154" s="10" t="n">
        <v>0.3</v>
      </c>
      <c r="F154" s="8"/>
      <c r="G154" s="8" t="s">
        <v>37</v>
      </c>
      <c r="H154" s="8" t="s">
        <v>485</v>
      </c>
      <c r="I154" s="9" t="s">
        <v>486</v>
      </c>
    </row>
    <row r="155" customFormat="false" ht="17.15" hidden="false" customHeight="false" outlineLevel="0" collapsed="false">
      <c r="A155" s="8" t="s">
        <v>487</v>
      </c>
      <c r="B155" s="9" t="s">
        <v>488</v>
      </c>
      <c r="C155" s="8" t="s">
        <v>80</v>
      </c>
      <c r="D155" s="8"/>
      <c r="E155" s="10" t="n">
        <v>0.5</v>
      </c>
      <c r="F155" s="8"/>
      <c r="G155" s="8" t="s">
        <v>37</v>
      </c>
      <c r="H155" s="8" t="s">
        <v>485</v>
      </c>
      <c r="I155" s="8" t="s">
        <v>170</v>
      </c>
    </row>
    <row r="156" customFormat="false" ht="17.15" hidden="false" customHeight="false" outlineLevel="0" collapsed="false">
      <c r="A156" s="8" t="s">
        <v>489</v>
      </c>
      <c r="B156" s="9" t="s">
        <v>490</v>
      </c>
      <c r="C156" s="8" t="s">
        <v>80</v>
      </c>
      <c r="D156" s="8"/>
      <c r="E156" s="10" t="n">
        <v>0.2</v>
      </c>
      <c r="F156" s="8"/>
      <c r="G156" s="8" t="s">
        <v>37</v>
      </c>
      <c r="H156" s="8" t="s">
        <v>485</v>
      </c>
      <c r="I156" s="8" t="s">
        <v>170</v>
      </c>
    </row>
    <row r="157" customFormat="false" ht="17.15" hidden="false" customHeight="false" outlineLevel="0" collapsed="false">
      <c r="A157" s="0" t="s">
        <v>491</v>
      </c>
      <c r="B157" s="4" t="s">
        <v>492</v>
      </c>
      <c r="C157" s="4" t="s">
        <v>493</v>
      </c>
      <c r="E157" s="6" t="n">
        <v>2029</v>
      </c>
      <c r="G157" s="7" t="s">
        <v>138</v>
      </c>
      <c r="H157" s="7" t="s">
        <v>494</v>
      </c>
      <c r="I157" s="4" t="s">
        <v>495</v>
      </c>
    </row>
    <row r="158" customFormat="false" ht="17.15" hidden="false" customHeight="false" outlineLevel="0" collapsed="false">
      <c r="A158" s="0" t="s">
        <v>496</v>
      </c>
      <c r="B158" s="4" t="s">
        <v>497</v>
      </c>
      <c r="C158" s="4" t="s">
        <v>493</v>
      </c>
      <c r="E158" s="6" t="n">
        <v>2028</v>
      </c>
      <c r="G158" s="7" t="s">
        <v>138</v>
      </c>
      <c r="H158" s="7" t="s">
        <v>498</v>
      </c>
      <c r="I158" s="4" t="s">
        <v>43</v>
      </c>
    </row>
    <row r="159" customFormat="false" ht="17.15" hidden="false" customHeight="false" outlineLevel="0" collapsed="false">
      <c r="A159" s="0" t="s">
        <v>499</v>
      </c>
      <c r="B159" s="4" t="s">
        <v>500</v>
      </c>
      <c r="C159" s="4" t="s">
        <v>493</v>
      </c>
      <c r="E159" s="6" t="n">
        <v>2027</v>
      </c>
      <c r="G159" s="7" t="s">
        <v>138</v>
      </c>
      <c r="H159" s="7" t="s">
        <v>501</v>
      </c>
      <c r="I159" s="4" t="s">
        <v>43</v>
      </c>
    </row>
    <row r="160" customFormat="false" ht="17.15" hidden="false" customHeight="false" outlineLevel="0" collapsed="false">
      <c r="A160" s="1" t="s">
        <v>502</v>
      </c>
    </row>
    <row r="161" customFormat="false" ht="17.15" hidden="false" customHeight="false" outlineLevel="0" collapsed="false">
      <c r="A161" s="8" t="s">
        <v>503</v>
      </c>
      <c r="B161" s="8" t="s">
        <v>504</v>
      </c>
      <c r="C161" s="8" t="s">
        <v>49</v>
      </c>
      <c r="D161" s="8"/>
      <c r="E161" s="10" t="n">
        <v>0.1</v>
      </c>
      <c r="F161" s="8"/>
      <c r="G161" s="8" t="s">
        <v>37</v>
      </c>
      <c r="H161" s="8" t="s">
        <v>505</v>
      </c>
      <c r="I161" s="8" t="s">
        <v>506</v>
      </c>
    </row>
    <row r="162" customFormat="false" ht="17.15" hidden="false" customHeight="false" outlineLevel="0" collapsed="false">
      <c r="A162" s="8" t="s">
        <v>507</v>
      </c>
      <c r="B162" s="9" t="s">
        <v>508</v>
      </c>
      <c r="C162" s="8" t="s">
        <v>49</v>
      </c>
      <c r="D162" s="8"/>
      <c r="E162" s="10" t="n">
        <v>0.04</v>
      </c>
      <c r="F162" s="8"/>
      <c r="G162" s="8" t="s">
        <v>37</v>
      </c>
      <c r="H162" s="8" t="s">
        <v>509</v>
      </c>
      <c r="I162" s="8" t="s">
        <v>510</v>
      </c>
    </row>
    <row r="163" customFormat="false" ht="17.15" hidden="false" customHeight="false" outlineLevel="0" collapsed="false">
      <c r="A163" s="8" t="s">
        <v>511</v>
      </c>
      <c r="B163" s="9" t="s">
        <v>512</v>
      </c>
      <c r="C163" s="8" t="s">
        <v>404</v>
      </c>
      <c r="D163" s="8"/>
      <c r="E163" s="10" t="n">
        <v>0.02</v>
      </c>
      <c r="F163" s="8"/>
      <c r="G163" s="8" t="s">
        <v>37</v>
      </c>
      <c r="H163" s="9" t="s">
        <v>513</v>
      </c>
      <c r="I163" s="8" t="s">
        <v>170</v>
      </c>
    </row>
    <row r="164" customFormat="false" ht="17.15" hidden="false" customHeight="false" outlineLevel="0" collapsed="false">
      <c r="A164" s="8" t="s">
        <v>514</v>
      </c>
      <c r="B164" s="8" t="s">
        <v>515</v>
      </c>
      <c r="C164" s="8" t="s">
        <v>49</v>
      </c>
      <c r="D164" s="8"/>
      <c r="E164" s="10" t="n">
        <v>0.2</v>
      </c>
      <c r="F164" s="8"/>
      <c r="G164" s="8" t="s">
        <v>37</v>
      </c>
      <c r="H164" s="9" t="s">
        <v>516</v>
      </c>
      <c r="I164" s="9" t="s">
        <v>517</v>
      </c>
    </row>
    <row r="165" customFormat="false" ht="17.15" hidden="false" customHeight="false" outlineLevel="0" collapsed="false">
      <c r="A165" s="8" t="s">
        <v>518</v>
      </c>
      <c r="B165" s="9" t="s">
        <v>519</v>
      </c>
      <c r="C165" s="8" t="s">
        <v>49</v>
      </c>
      <c r="D165" s="8"/>
      <c r="E165" s="10" t="n">
        <v>0.5</v>
      </c>
      <c r="F165" s="8"/>
      <c r="G165" s="8" t="s">
        <v>37</v>
      </c>
      <c r="H165" s="8" t="s">
        <v>520</v>
      </c>
      <c r="I165" s="8" t="s">
        <v>521</v>
      </c>
    </row>
    <row r="166" customFormat="false" ht="17.15" hidden="false" customHeight="false" outlineLevel="0" collapsed="false">
      <c r="A166" s="8" t="s">
        <v>522</v>
      </c>
      <c r="B166" s="9" t="s">
        <v>523</v>
      </c>
      <c r="C166" s="8" t="s">
        <v>80</v>
      </c>
      <c r="D166" s="8"/>
      <c r="E166" s="10" t="n">
        <v>0.8</v>
      </c>
      <c r="F166" s="8"/>
      <c r="G166" s="8" t="s">
        <v>37</v>
      </c>
      <c r="H166" s="9" t="s">
        <v>524</v>
      </c>
      <c r="I166" s="9" t="s">
        <v>525</v>
      </c>
    </row>
    <row r="167" customFormat="false" ht="17.15" hidden="false" customHeight="false" outlineLevel="0" collapsed="false">
      <c r="A167" s="0" t="s">
        <v>526</v>
      </c>
      <c r="B167" s="4" t="s">
        <v>527</v>
      </c>
      <c r="C167" s="0" t="s">
        <v>253</v>
      </c>
      <c r="E167" s="6" t="n">
        <v>341.44</v>
      </c>
      <c r="G167" s="7" t="s">
        <v>67</v>
      </c>
      <c r="H167" s="7" t="s">
        <v>528</v>
      </c>
      <c r="I167" s="4" t="s">
        <v>529</v>
      </c>
    </row>
    <row r="169" customFormat="false" ht="17.15" hidden="false" customHeight="false" outlineLevel="0" collapsed="false">
      <c r="A169" s="3" t="s">
        <v>530</v>
      </c>
    </row>
    <row r="170" customFormat="false" ht="17.15" hidden="false" customHeight="false" outlineLevel="0" collapsed="false">
      <c r="A170" s="0" t="s">
        <v>531</v>
      </c>
      <c r="B170" s="4" t="s">
        <v>532</v>
      </c>
      <c r="C170" s="0" t="s">
        <v>239</v>
      </c>
      <c r="E170" s="6" t="n">
        <v>29.753262</v>
      </c>
      <c r="G170" s="7" t="s">
        <v>138</v>
      </c>
      <c r="H170" s="7" t="s">
        <v>533</v>
      </c>
      <c r="I170" s="4" t="s">
        <v>534</v>
      </c>
    </row>
    <row r="171" customFormat="false" ht="17.15" hidden="false" customHeight="false" outlineLevel="0" collapsed="false">
      <c r="A171" s="0" t="s">
        <v>535</v>
      </c>
      <c r="B171" s="4" t="s">
        <v>536</v>
      </c>
      <c r="C171" s="0" t="s">
        <v>239</v>
      </c>
      <c r="E171" s="6" t="n">
        <v>54.688309</v>
      </c>
      <c r="G171" s="7" t="s">
        <v>138</v>
      </c>
      <c r="H171" s="7" t="s">
        <v>533</v>
      </c>
      <c r="I171" s="4" t="s">
        <v>43</v>
      </c>
    </row>
    <row r="172" customFormat="false" ht="17.15" hidden="false" customHeight="false" outlineLevel="0" collapsed="false">
      <c r="A172" s="0" t="s">
        <v>537</v>
      </c>
      <c r="B172" s="4" t="s">
        <v>538</v>
      </c>
      <c r="C172" s="0" t="s">
        <v>239</v>
      </c>
      <c r="E172" s="6" t="n">
        <v>61.21325</v>
      </c>
      <c r="G172" s="7" t="s">
        <v>138</v>
      </c>
      <c r="H172" s="7" t="s">
        <v>533</v>
      </c>
      <c r="I172" s="4" t="s">
        <v>43</v>
      </c>
    </row>
    <row r="173" customFormat="false" ht="17.15" hidden="false" customHeight="false" outlineLevel="0" collapsed="false">
      <c r="A173" s="0" t="s">
        <v>539</v>
      </c>
      <c r="B173" s="4" t="s">
        <v>540</v>
      </c>
      <c r="C173" s="0" t="s">
        <v>239</v>
      </c>
      <c r="E173" s="6" t="n">
        <v>78.80848</v>
      </c>
      <c r="G173" s="7" t="s">
        <v>138</v>
      </c>
      <c r="H173" s="7" t="s">
        <v>533</v>
      </c>
      <c r="I173" s="4" t="s">
        <v>43</v>
      </c>
    </row>
    <row r="174" customFormat="false" ht="17.15" hidden="false" customHeight="false" outlineLevel="0" collapsed="false">
      <c r="A174" s="0" t="s">
        <v>541</v>
      </c>
      <c r="B174" s="4" t="s">
        <v>542</v>
      </c>
      <c r="C174" s="0" t="s">
        <v>239</v>
      </c>
      <c r="E174" s="6" t="n">
        <v>29.753262</v>
      </c>
      <c r="G174" s="7" t="s">
        <v>138</v>
      </c>
      <c r="H174" s="7" t="s">
        <v>543</v>
      </c>
      <c r="I174" s="4" t="s">
        <v>544</v>
      </c>
    </row>
    <row r="175" customFormat="false" ht="17.15" hidden="false" customHeight="false" outlineLevel="0" collapsed="false">
      <c r="A175" s="0" t="s">
        <v>545</v>
      </c>
      <c r="B175" s="4" t="s">
        <v>546</v>
      </c>
      <c r="C175" s="0" t="s">
        <v>239</v>
      </c>
      <c r="E175" s="6" t="n">
        <v>55.252106</v>
      </c>
      <c r="G175" s="7" t="s">
        <v>138</v>
      </c>
      <c r="H175" s="7" t="s">
        <v>543</v>
      </c>
      <c r="I175" s="4" t="s">
        <v>43</v>
      </c>
    </row>
    <row r="176" customFormat="false" ht="17.15" hidden="false" customHeight="false" outlineLevel="0" collapsed="false">
      <c r="A176" s="0" t="s">
        <v>547</v>
      </c>
      <c r="B176" s="4" t="s">
        <v>548</v>
      </c>
      <c r="C176" s="0" t="s">
        <v>239</v>
      </c>
      <c r="E176" s="6" t="n">
        <v>62.50195</v>
      </c>
      <c r="G176" s="7" t="s">
        <v>138</v>
      </c>
      <c r="H176" s="7" t="s">
        <v>543</v>
      </c>
      <c r="I176" s="4" t="s">
        <v>43</v>
      </c>
    </row>
    <row r="177" customFormat="false" ht="17.15" hidden="false" customHeight="false" outlineLevel="0" collapsed="false">
      <c r="A177" s="0" t="s">
        <v>549</v>
      </c>
      <c r="B177" s="4" t="s">
        <v>550</v>
      </c>
      <c r="C177" s="0" t="s">
        <v>239</v>
      </c>
      <c r="E177" s="6" t="n">
        <v>81.01111</v>
      </c>
      <c r="G177" s="7" t="s">
        <v>138</v>
      </c>
      <c r="H177" s="7" t="s">
        <v>543</v>
      </c>
      <c r="I177" s="4" t="s">
        <v>43</v>
      </c>
    </row>
    <row r="179" customFormat="false" ht="17.15" hidden="false" customHeight="false" outlineLevel="0" collapsed="false">
      <c r="A179" s="3" t="s">
        <v>551</v>
      </c>
    </row>
    <row r="180" customFormat="false" ht="17.15" hidden="false" customHeight="false" outlineLevel="0" collapsed="false">
      <c r="A180" s="3" t="s">
        <v>24</v>
      </c>
      <c r="B180" s="3" t="s">
        <v>25</v>
      </c>
      <c r="C180" s="3" t="s">
        <v>26</v>
      </c>
      <c r="D180" s="3" t="s">
        <v>552</v>
      </c>
      <c r="E180" s="3" t="s">
        <v>553</v>
      </c>
      <c r="F180" s="3" t="s">
        <v>554</v>
      </c>
      <c r="G180" s="3" t="s">
        <v>30</v>
      </c>
      <c r="H180" s="3" t="s">
        <v>555</v>
      </c>
    </row>
    <row r="181" customFormat="false" ht="17.15" hidden="false" customHeight="false" outlineLevel="0" collapsed="false">
      <c r="A181" s="0" t="s">
        <v>556</v>
      </c>
      <c r="B181" s="0" t="s">
        <v>557</v>
      </c>
      <c r="C181" s="0" t="s">
        <v>80</v>
      </c>
      <c r="D181" s="0" t="n">
        <f aca="false">E17</f>
        <v>1</v>
      </c>
      <c r="E181" s="0" t="n">
        <f aca="false">E19</f>
        <v>0.8</v>
      </c>
      <c r="F181" s="0" t="n">
        <f aca="false">E21</f>
        <v>0.6</v>
      </c>
      <c r="G181" s="0" t="s">
        <v>138</v>
      </c>
      <c r="H181" s="4" t="s">
        <v>558</v>
      </c>
    </row>
    <row r="182" customFormat="false" ht="17.15" hidden="false" customHeight="false" outlineLevel="0" collapsed="false">
      <c r="A182" s="0" t="s">
        <v>559</v>
      </c>
      <c r="B182" s="0" t="s">
        <v>560</v>
      </c>
      <c r="C182" s="0" t="s">
        <v>80</v>
      </c>
      <c r="D182" s="0" t="n">
        <f aca="false">E18</f>
        <v>1</v>
      </c>
      <c r="E182" s="0" t="n">
        <f aca="false">E20</f>
        <v>0.85</v>
      </c>
      <c r="F182" s="0" t="n">
        <f aca="false">E22</f>
        <v>0.6</v>
      </c>
      <c r="G182" s="0" t="s">
        <v>138</v>
      </c>
      <c r="H182" s="4" t="s">
        <v>561</v>
      </c>
    </row>
    <row r="183" customFormat="false" ht="17.15" hidden="false" customHeight="false" outlineLevel="0" collapsed="false">
      <c r="A183" s="0" t="s">
        <v>562</v>
      </c>
      <c r="B183" s="0" t="s">
        <v>563</v>
      </c>
      <c r="C183" s="0" t="s">
        <v>200</v>
      </c>
      <c r="D183" s="0" t="n">
        <f aca="false">E57</f>
        <v>14.6</v>
      </c>
      <c r="E183" s="0" t="n">
        <f aca="false">E61</f>
        <v>14.6</v>
      </c>
      <c r="F183" s="0" t="n">
        <f aca="false">E65</f>
        <v>14.6</v>
      </c>
      <c r="G183" s="0" t="s">
        <v>138</v>
      </c>
      <c r="H183" s="4" t="s">
        <v>564</v>
      </c>
    </row>
    <row r="184" customFormat="false" ht="17.15" hidden="false" customHeight="false" outlineLevel="0" collapsed="false">
      <c r="A184" s="0" t="s">
        <v>565</v>
      </c>
      <c r="B184" s="0" t="s">
        <v>566</v>
      </c>
      <c r="C184" s="0" t="s">
        <v>200</v>
      </c>
      <c r="D184" s="0" t="n">
        <f aca="false">E58</f>
        <v>26.28</v>
      </c>
      <c r="E184" s="0" t="n">
        <f aca="false">E62</f>
        <v>26.28</v>
      </c>
      <c r="F184" s="0" t="n">
        <f aca="false">E66</f>
        <v>26.28</v>
      </c>
      <c r="G184" s="0" t="s">
        <v>138</v>
      </c>
      <c r="H184" s="4" t="s">
        <v>567</v>
      </c>
    </row>
    <row r="185" customFormat="false" ht="17.15" hidden="false" customHeight="false" outlineLevel="0" collapsed="false">
      <c r="A185" s="0" t="s">
        <v>568</v>
      </c>
      <c r="B185" s="0" t="s">
        <v>569</v>
      </c>
      <c r="C185" s="0" t="s">
        <v>200</v>
      </c>
      <c r="D185" s="0" t="n">
        <f aca="false">E59</f>
        <v>28.908</v>
      </c>
      <c r="E185" s="0" t="n">
        <f aca="false">E63</f>
        <v>19.71</v>
      </c>
      <c r="F185" s="0" t="n">
        <f aca="false">E67</f>
        <v>15.768</v>
      </c>
      <c r="G185" s="0" t="s">
        <v>138</v>
      </c>
      <c r="H185" s="4" t="s">
        <v>570</v>
      </c>
    </row>
    <row r="186" customFormat="false" ht="17.15" hidden="false" customHeight="false" outlineLevel="0" collapsed="false">
      <c r="A186" s="0" t="s">
        <v>571</v>
      </c>
      <c r="B186" s="0" t="s">
        <v>572</v>
      </c>
      <c r="C186" s="0" t="s">
        <v>200</v>
      </c>
      <c r="D186" s="0" t="n">
        <f aca="false">E60</f>
        <v>27.4626</v>
      </c>
      <c r="E186" s="0" t="n">
        <f aca="false">E64</f>
        <v>19.71</v>
      </c>
      <c r="F186" s="0" t="n">
        <f aca="false">E68</f>
        <v>16.5564</v>
      </c>
      <c r="G186" s="0" t="s">
        <v>138</v>
      </c>
      <c r="H186" s="4" t="s">
        <v>573</v>
      </c>
    </row>
    <row r="187" customFormat="false" ht="17.15" hidden="false" customHeight="false" outlineLevel="0" collapsed="false">
      <c r="A187" s="0" t="s">
        <v>574</v>
      </c>
      <c r="B187" s="4" t="s">
        <v>575</v>
      </c>
      <c r="C187" s="4" t="s">
        <v>493</v>
      </c>
      <c r="D187" s="0" t="n">
        <f aca="false">E157</f>
        <v>2029</v>
      </c>
      <c r="E187" s="0" t="n">
        <f aca="false">E158</f>
        <v>2028</v>
      </c>
      <c r="F187" s="0" t="n">
        <f aca="false">E159</f>
        <v>2027</v>
      </c>
      <c r="G187" s="0" t="s">
        <v>138</v>
      </c>
      <c r="H187" s="4" t="s">
        <v>576</v>
      </c>
    </row>
    <row r="188" customFormat="false" ht="17.15" hidden="false" customHeight="false" outlineLevel="0" collapsed="false">
      <c r="A188" s="0" t="s">
        <v>577</v>
      </c>
      <c r="B188" s="0" t="s">
        <v>238</v>
      </c>
      <c r="C188" s="0" t="s">
        <v>239</v>
      </c>
      <c r="D188" s="0" t="n">
        <f aca="false">E70</f>
        <v>29.753262</v>
      </c>
      <c r="E188" s="0" t="n">
        <f aca="false">E170</f>
        <v>29.753262</v>
      </c>
      <c r="F188" s="0" t="n">
        <f aca="false">E174</f>
        <v>29.753262</v>
      </c>
      <c r="G188" s="0" t="s">
        <v>138</v>
      </c>
      <c r="H188" s="4" t="s">
        <v>578</v>
      </c>
    </row>
    <row r="189" customFormat="false" ht="17.15" hidden="false" customHeight="false" outlineLevel="0" collapsed="false">
      <c r="A189" s="0" t="s">
        <v>579</v>
      </c>
      <c r="B189" s="0" t="s">
        <v>243</v>
      </c>
      <c r="C189" s="0" t="s">
        <v>239</v>
      </c>
      <c r="D189" s="0" t="n">
        <f aca="false">E71</f>
        <v>53.560715</v>
      </c>
      <c r="E189" s="0" t="n">
        <f aca="false">E171</f>
        <v>54.688309</v>
      </c>
      <c r="F189" s="0" t="n">
        <f aca="false">E175</f>
        <v>55.252106</v>
      </c>
      <c r="G189" s="0" t="s">
        <v>138</v>
      </c>
      <c r="H189" s="4" t="s">
        <v>580</v>
      </c>
    </row>
    <row r="190" customFormat="false" ht="17.15" hidden="false" customHeight="false" outlineLevel="0" collapsed="false">
      <c r="A190" s="0" t="s">
        <v>581</v>
      </c>
      <c r="B190" s="0" t="s">
        <v>245</v>
      </c>
      <c r="C190" s="0" t="s">
        <v>239</v>
      </c>
      <c r="D190" s="0" t="n">
        <f aca="false">E72</f>
        <v>57.9915</v>
      </c>
      <c r="E190" s="0" t="n">
        <f aca="false">E172</f>
        <v>61.21325</v>
      </c>
      <c r="F190" s="0" t="n">
        <f aca="false">E176</f>
        <v>62.50195</v>
      </c>
      <c r="G190" s="0" t="s">
        <v>138</v>
      </c>
      <c r="H190" s="4" t="s">
        <v>582</v>
      </c>
    </row>
    <row r="191" customFormat="false" ht="17.15" hidden="false" customHeight="false" outlineLevel="0" collapsed="false">
      <c r="A191" s="0" t="s">
        <v>583</v>
      </c>
      <c r="B191" s="0" t="s">
        <v>247</v>
      </c>
      <c r="C191" s="0" t="s">
        <v>239</v>
      </c>
      <c r="D191" s="0" t="n">
        <f aca="false">E73</f>
        <v>72.9348</v>
      </c>
      <c r="E191" s="0" t="n">
        <f aca="false">E173</f>
        <v>78.80848</v>
      </c>
      <c r="F191" s="0" t="n">
        <f aca="false">E177</f>
        <v>81.01111</v>
      </c>
      <c r="G191" s="0" t="s">
        <v>138</v>
      </c>
      <c r="H191" s="4" t="s">
        <v>584</v>
      </c>
    </row>
    <row r="192" customFormat="false" ht="17.15" hidden="false" customHeight="false" outlineLevel="0" collapsed="false">
      <c r="A192" s="0" t="s">
        <v>585</v>
      </c>
      <c r="B192" s="4" t="s">
        <v>586</v>
      </c>
      <c r="C192" s="0" t="s">
        <v>80</v>
      </c>
      <c r="D192" s="0" t="n">
        <f aca="false">E154</f>
        <v>0.3</v>
      </c>
      <c r="E192" s="0" t="n">
        <f aca="false">E155</f>
        <v>0.5</v>
      </c>
      <c r="F192" s="0" t="n">
        <f aca="false">E156</f>
        <v>0.2</v>
      </c>
      <c r="G192" s="0" t="s">
        <v>138</v>
      </c>
      <c r="H192" s="4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588</v>
      </c>
    </row>
    <row r="2" customFormat="false" ht="17.15" hidden="false" customHeight="false" outlineLevel="0" collapsed="false">
      <c r="A2" s="0" t="s">
        <v>589</v>
      </c>
    </row>
    <row r="3" customFormat="false" ht="17.15" hidden="false" customHeight="false" outlineLevel="0" collapsed="false">
      <c r="A3" s="5" t="s">
        <v>25</v>
      </c>
      <c r="B3" s="11" t="s">
        <v>590</v>
      </c>
      <c r="C3" s="11" t="s">
        <v>591</v>
      </c>
      <c r="D3" s="11" t="s">
        <v>592</v>
      </c>
      <c r="E3" s="11" t="s">
        <v>593</v>
      </c>
      <c r="F3" s="11" t="s">
        <v>594</v>
      </c>
      <c r="G3" s="11" t="s">
        <v>595</v>
      </c>
      <c r="H3" s="5" t="s">
        <v>30</v>
      </c>
      <c r="I3" s="5" t="s">
        <v>596</v>
      </c>
      <c r="J3" s="5" t="s">
        <v>32</v>
      </c>
    </row>
    <row r="4" customFormat="false" ht="17.15" hidden="false" customHeight="false" outlineLevel="0" collapsed="false">
      <c r="A4" s="4" t="s">
        <v>597</v>
      </c>
      <c r="B4" s="12" t="n">
        <v>8.1946</v>
      </c>
      <c r="C4" s="12" t="n">
        <v>2.4178</v>
      </c>
      <c r="D4" s="12" t="n">
        <v>2.7393</v>
      </c>
      <c r="E4" s="13" t="n">
        <f aca="false">q3_rev</f>
        <v>3.15</v>
      </c>
      <c r="F4" s="13" t="n">
        <f aca="false">co_rev27-C4-D4-E4</f>
        <v>3.6929</v>
      </c>
      <c r="G4" s="13" t="n">
        <f aca="false">SUM(C4:F4)</f>
        <v>12</v>
      </c>
      <c r="H4" s="7" t="s">
        <v>598</v>
      </c>
      <c r="I4" s="7" t="s">
        <v>599</v>
      </c>
      <c r="J4" s="4" t="s">
        <v>600</v>
      </c>
    </row>
    <row r="5" customFormat="false" ht="17.15" hidden="false" customHeight="false" outlineLevel="0" collapsed="false">
      <c r="A5" s="4" t="s">
        <v>601</v>
      </c>
      <c r="B5" s="13" t="n">
        <f aca="false">1.4406+1.4905+1.5179+1.6513</f>
        <v>6.1003</v>
      </c>
      <c r="C5" s="12" t="n">
        <v>1.8327</v>
      </c>
      <c r="D5" s="12" t="n">
        <v>2.1715</v>
      </c>
      <c r="E5" s="13" t="n">
        <f aca="false">E4-E6</f>
        <v>2.668541</v>
      </c>
      <c r="F5" s="13" t="n">
        <f aca="false">B5*(1+co_dcg27)-C5-D5-E5</f>
        <v>3.087739</v>
      </c>
      <c r="G5" s="13" t="n">
        <f aca="false">SUM(C5:F5)</f>
        <v>9.76048</v>
      </c>
      <c r="H5" s="7" t="s">
        <v>602</v>
      </c>
      <c r="I5" s="7" t="s">
        <v>599</v>
      </c>
      <c r="J5" s="7" t="s">
        <v>603</v>
      </c>
    </row>
    <row r="6" customFormat="false" ht="17.15" hidden="false" customHeight="false" outlineLevel="0" collapsed="false">
      <c r="A6" s="4" t="s">
        <v>604</v>
      </c>
      <c r="B6" s="13" t="n">
        <f aca="false">B4-B5</f>
        <v>2.0943</v>
      </c>
      <c r="C6" s="12" t="n">
        <v>0.5851</v>
      </c>
      <c r="D6" s="12" t="n">
        <v>0.5678</v>
      </c>
      <c r="E6" s="13" t="n">
        <f aca="false">(2.0745-1.5179)*(1+q3_cog)</f>
        <v>0.481459</v>
      </c>
      <c r="F6" s="13" t="n">
        <f aca="false">F4-F5</f>
        <v>0.605160999999999</v>
      </c>
      <c r="G6" s="13" t="n">
        <f aca="false">SUM(C6:F6)</f>
        <v>2.23952</v>
      </c>
      <c r="H6" s="7" t="s">
        <v>605</v>
      </c>
      <c r="I6" s="7" t="s">
        <v>599</v>
      </c>
      <c r="J6" s="7" t="s">
        <v>606</v>
      </c>
    </row>
    <row r="7" customFormat="false" ht="17.15" hidden="false" customHeight="false" outlineLevel="0" collapsed="false">
      <c r="A7" s="4" t="s">
        <v>607</v>
      </c>
      <c r="B7" s="13" t="n">
        <f aca="false">cus26</f>
        <v>1.5</v>
      </c>
      <c r="G7" s="13" t="n">
        <f aca="false">cus26*(1+g_cus27)</f>
        <v>1.875</v>
      </c>
      <c r="H7" s="7" t="s">
        <v>67</v>
      </c>
      <c r="I7" s="7" t="s">
        <v>608</v>
      </c>
      <c r="J7" s="7" t="s">
        <v>609</v>
      </c>
    </row>
    <row r="8" customFormat="false" ht="17.15" hidden="false" customHeight="false" outlineLevel="0" collapsed="false">
      <c r="A8" s="4" t="s">
        <v>610</v>
      </c>
      <c r="B8" s="13" t="n">
        <f aca="false">att26</f>
        <v>0.2</v>
      </c>
      <c r="G8" s="13" t="n">
        <f aca="false">att27</f>
        <v>0.4</v>
      </c>
      <c r="H8" s="7" t="s">
        <v>67</v>
      </c>
      <c r="I8" s="7" t="s">
        <v>608</v>
      </c>
      <c r="J8" s="7" t="s">
        <v>170</v>
      </c>
    </row>
    <row r="9" customFormat="false" ht="17.15" hidden="false" customHeight="false" outlineLevel="0" collapsed="false">
      <c r="A9" s="4" t="s">
        <v>611</v>
      </c>
      <c r="B9" s="13" t="n">
        <f aca="false">B7-B8</f>
        <v>1.3</v>
      </c>
      <c r="G9" s="13" t="n">
        <f aca="false">G7-G8</f>
        <v>1.475</v>
      </c>
      <c r="H9" s="7" t="s">
        <v>138</v>
      </c>
      <c r="I9" s="7" t="s">
        <v>170</v>
      </c>
      <c r="J9" s="7" t="s">
        <v>170</v>
      </c>
    </row>
    <row r="10" customFormat="false" ht="17.15" hidden="false" customHeight="false" outlineLevel="0" collapsed="false">
      <c r="A10" s="4" t="s">
        <v>612</v>
      </c>
      <c r="B10" s="13" t="n">
        <f aca="false">sw26</f>
        <v>0.3</v>
      </c>
      <c r="G10" s="13" t="n">
        <f aca="false">sw27</f>
        <v>0.65</v>
      </c>
      <c r="H10" s="7" t="s">
        <v>67</v>
      </c>
      <c r="I10" s="7" t="s">
        <v>608</v>
      </c>
      <c r="J10" s="7" t="s">
        <v>170</v>
      </c>
    </row>
    <row r="11" customFormat="false" ht="17.15" hidden="false" customHeight="false" outlineLevel="0" collapsed="false">
      <c r="A11" s="4" t="s">
        <v>613</v>
      </c>
      <c r="B11" s="13" t="n">
        <f aca="false">aec26</f>
        <v>0.2</v>
      </c>
      <c r="G11" s="13" t="n">
        <f aca="false">aec27</f>
        <v>0.45</v>
      </c>
      <c r="H11" s="7" t="s">
        <v>67</v>
      </c>
      <c r="I11" s="7" t="s">
        <v>608</v>
      </c>
      <c r="J11" s="7" t="s">
        <v>170</v>
      </c>
    </row>
    <row r="12" customFormat="false" ht="15" hidden="false" customHeight="false" outlineLevel="0" collapsed="false">
      <c r="A12" s="4" t="s">
        <v>614</v>
      </c>
      <c r="B12" s="13" t="n">
        <f aca="false">sto26</f>
        <v>0.65</v>
      </c>
      <c r="G12" s="13" t="n">
        <f aca="false">sto26*(1+g_sto)</f>
        <v>0.6825</v>
      </c>
      <c r="H12" s="7" t="s">
        <v>37</v>
      </c>
      <c r="I12" s="7" t="s">
        <v>170</v>
      </c>
      <c r="J12" s="7" t="s">
        <v>170</v>
      </c>
    </row>
    <row r="13" customFormat="false" ht="17.15" hidden="false" customHeight="false" outlineLevel="0" collapsed="false">
      <c r="A13" s="4" t="s">
        <v>615</v>
      </c>
      <c r="B13" s="13" t="n">
        <f aca="false">B5-B7-B10-B11-B12</f>
        <v>3.4503</v>
      </c>
      <c r="G13" s="13" t="n">
        <f aca="false">G5-G7-G10-G11-G12</f>
        <v>6.10298</v>
      </c>
      <c r="H13" s="7" t="s">
        <v>138</v>
      </c>
      <c r="I13" s="7" t="s">
        <v>170</v>
      </c>
      <c r="J13" s="4" t="s">
        <v>616</v>
      </c>
    </row>
    <row r="14" customFormat="false" ht="17.15" hidden="false" customHeight="false" outlineLevel="0" collapsed="false">
      <c r="A14" s="4" t="s">
        <v>617</v>
      </c>
      <c r="G14" s="14" t="n">
        <f aca="false">G13/B13-1</f>
        <v>0.768825899197172</v>
      </c>
      <c r="H14" s="7" t="s">
        <v>138</v>
      </c>
      <c r="I14" s="7" t="s">
        <v>170</v>
      </c>
      <c r="J14" s="4" t="s">
        <v>618</v>
      </c>
    </row>
    <row r="15" customFormat="false" ht="17.15" hidden="false" customHeight="false" outlineLevel="0" collapsed="false">
      <c r="A15" s="0" t="s">
        <v>619</v>
      </c>
      <c r="B15" s="12" t="n">
        <v>4.8718</v>
      </c>
      <c r="C15" s="12" t="n">
        <v>1.4238</v>
      </c>
      <c r="D15" s="12" t="n">
        <v>1.614</v>
      </c>
      <c r="E15" s="13" t="n">
        <f aca="false">E4*q3_gm</f>
        <v>1.827</v>
      </c>
      <c r="F15" s="13" t="n">
        <f aca="false">F4*q4_gm</f>
        <v>2.141882</v>
      </c>
      <c r="G15" s="13" t="n">
        <f aca="false">SUM(C15:F15)</f>
        <v>7.006682</v>
      </c>
      <c r="H15" s="7" t="s">
        <v>620</v>
      </c>
      <c r="I15" s="7" t="s">
        <v>599</v>
      </c>
      <c r="J15" s="4" t="s">
        <v>600</v>
      </c>
    </row>
    <row r="16" customFormat="false" ht="17.15" hidden="false" customHeight="false" outlineLevel="0" collapsed="false">
      <c r="A16" s="4" t="s">
        <v>621</v>
      </c>
      <c r="B16" s="14" t="n">
        <f aca="false">B15/B4</f>
        <v>0.59451346008347</v>
      </c>
      <c r="C16" s="14" t="n">
        <f aca="false">C15/C4</f>
        <v>0.588882455124493</v>
      </c>
      <c r="D16" s="14" t="n">
        <f aca="false">D15/D4</f>
        <v>0.589201620852043</v>
      </c>
      <c r="E16" s="14" t="n">
        <f aca="false">E15/E4</f>
        <v>0.58</v>
      </c>
      <c r="F16" s="14" t="n">
        <f aca="false">F15/F4</f>
        <v>0.58</v>
      </c>
      <c r="G16" s="14" t="n">
        <f aca="false">G15/G4</f>
        <v>0.583890166666667</v>
      </c>
      <c r="H16" s="7" t="s">
        <v>138</v>
      </c>
      <c r="I16" s="7" t="s">
        <v>170</v>
      </c>
      <c r="J16" s="7" t="s">
        <v>622</v>
      </c>
    </row>
    <row r="17" customFormat="false" ht="17.15" hidden="false" customHeight="false" outlineLevel="0" collapsed="false">
      <c r="A17" s="0" t="s">
        <v>623</v>
      </c>
      <c r="B17" s="12" t="n">
        <v>1.9808</v>
      </c>
      <c r="C17" s="12" t="n">
        <v>0.5769</v>
      </c>
      <c r="D17" s="12" t="n">
        <v>0.6108</v>
      </c>
      <c r="E17" s="13" t="n">
        <f aca="false">q3_opx</f>
        <v>0.655</v>
      </c>
      <c r="F17" s="13" t="n">
        <f aca="false">co_opx27-C17-D17-E17</f>
        <v>0.7073</v>
      </c>
      <c r="G17" s="13" t="n">
        <f aca="false">SUM(C17:F17)</f>
        <v>2.55</v>
      </c>
      <c r="H17" s="7" t="s">
        <v>624</v>
      </c>
      <c r="I17" s="7" t="s">
        <v>599</v>
      </c>
      <c r="J17" s="4" t="s">
        <v>600</v>
      </c>
    </row>
    <row r="18" customFormat="false" ht="17.15" hidden="false" customHeight="false" outlineLevel="0" collapsed="false">
      <c r="A18" s="0" t="s">
        <v>625</v>
      </c>
      <c r="B18" s="13" t="n">
        <f aca="false">B15-B17</f>
        <v>2.891</v>
      </c>
      <c r="C18" s="13" t="n">
        <f aca="false">C15-C17</f>
        <v>0.8469</v>
      </c>
      <c r="D18" s="13" t="n">
        <f aca="false">D15-D17</f>
        <v>1.0032</v>
      </c>
      <c r="E18" s="13" t="n">
        <f aca="false">E15-E17</f>
        <v>1.172</v>
      </c>
      <c r="F18" s="13" t="n">
        <f aca="false">F15-F17</f>
        <v>1.434582</v>
      </c>
      <c r="G18" s="13" t="n">
        <f aca="false">SUM(C18:F18)</f>
        <v>4.456682</v>
      </c>
      <c r="H18" s="7" t="s">
        <v>138</v>
      </c>
      <c r="I18" s="7" t="s">
        <v>599</v>
      </c>
      <c r="J18" s="4" t="s">
        <v>626</v>
      </c>
    </row>
    <row r="19" customFormat="false" ht="17.15" hidden="false" customHeight="false" outlineLevel="0" collapsed="false">
      <c r="A19" s="4" t="s">
        <v>627</v>
      </c>
      <c r="B19" s="14" t="n">
        <f aca="false">B18/B4</f>
        <v>0.352793302906792</v>
      </c>
      <c r="C19" s="14" t="n">
        <f aca="false">C18/C4</f>
        <v>0.350277111423608</v>
      </c>
      <c r="D19" s="14" t="n">
        <f aca="false">D18/D4</f>
        <v>0.366224947979411</v>
      </c>
      <c r="E19" s="14" t="n">
        <f aca="false">E18/E4</f>
        <v>0.372063492063492</v>
      </c>
      <c r="F19" s="14" t="n">
        <f aca="false">F18/F4</f>
        <v>0.38847030788811</v>
      </c>
      <c r="G19" s="14" t="n">
        <f aca="false">G18/G4</f>
        <v>0.371390166666667</v>
      </c>
      <c r="H19" s="7" t="s">
        <v>138</v>
      </c>
      <c r="I19" s="7" t="s">
        <v>170</v>
      </c>
      <c r="J19" s="4" t="s">
        <v>628</v>
      </c>
    </row>
    <row r="20" customFormat="false" ht="17.15" hidden="false" customHeight="false" outlineLevel="0" collapsed="false">
      <c r="A20" s="0" t="s">
        <v>629</v>
      </c>
      <c r="B20" s="12" t="n">
        <v>0.1514</v>
      </c>
      <c r="C20" s="12" t="n">
        <v>0.0401</v>
      </c>
      <c r="D20" s="12" t="n">
        <v>0.0303</v>
      </c>
      <c r="E20" s="13" t="n">
        <f aca="false">q3_oth</f>
        <v>0.036</v>
      </c>
      <c r="F20" s="13" t="n">
        <f aca="false">q4_oth</f>
        <v>0.036</v>
      </c>
      <c r="G20" s="13" t="n">
        <f aca="false">SUM(C20:F20)</f>
        <v>0.1424</v>
      </c>
      <c r="H20" s="7" t="s">
        <v>624</v>
      </c>
      <c r="I20" s="7" t="s">
        <v>599</v>
      </c>
      <c r="J20" s="4" t="s">
        <v>600</v>
      </c>
    </row>
    <row r="21" customFormat="false" ht="17.15" hidden="false" customHeight="false" outlineLevel="0" collapsed="false">
      <c r="A21" s="4" t="s">
        <v>630</v>
      </c>
      <c r="B21" s="13" t="n">
        <f aca="false">B18-B20</f>
        <v>2.7396</v>
      </c>
      <c r="C21" s="13" t="n">
        <f aca="false">C18-C20</f>
        <v>0.8068</v>
      </c>
      <c r="D21" s="13" t="n">
        <f aca="false">D18-D20</f>
        <v>0.9729</v>
      </c>
      <c r="E21" s="13" t="n">
        <f aca="false">E18-E20</f>
        <v>1.136</v>
      </c>
      <c r="F21" s="13" t="n">
        <f aca="false">F18-F20</f>
        <v>1.398582</v>
      </c>
      <c r="G21" s="13" t="n">
        <f aca="false">SUM(C21:F21)</f>
        <v>4.314282</v>
      </c>
      <c r="H21" s="7" t="s">
        <v>138</v>
      </c>
      <c r="I21" s="7" t="s">
        <v>599</v>
      </c>
      <c r="J21" s="4" t="s">
        <v>600</v>
      </c>
    </row>
    <row r="22" customFormat="false" ht="17.15" hidden="false" customHeight="false" outlineLevel="0" collapsed="false">
      <c r="A22" s="0" t="s">
        <v>631</v>
      </c>
      <c r="B22" s="15" t="n">
        <v>0.1</v>
      </c>
      <c r="C22" s="15" t="n">
        <v>0.11</v>
      </c>
      <c r="D22" s="15" t="n">
        <v>0.11</v>
      </c>
      <c r="E22" s="14" t="n">
        <f aca="false">q3_tx</f>
        <v>0.11</v>
      </c>
      <c r="F22" s="14" t="n">
        <f aca="false">q4_tx</f>
        <v>0.11</v>
      </c>
      <c r="G22" s="14" t="n">
        <f aca="false">G23/G21</f>
        <v>0.11</v>
      </c>
      <c r="H22" s="7" t="s">
        <v>624</v>
      </c>
      <c r="I22" s="7" t="s">
        <v>599</v>
      </c>
      <c r="J22" s="4" t="s">
        <v>600</v>
      </c>
    </row>
    <row r="23" customFormat="false" ht="17.15" hidden="false" customHeight="false" outlineLevel="0" collapsed="false">
      <c r="A23" s="0" t="s">
        <v>632</v>
      </c>
      <c r="B23" s="13" t="n">
        <f aca="false">B21*B22</f>
        <v>0.27396</v>
      </c>
      <c r="C23" s="13" t="n">
        <f aca="false">C21*C22</f>
        <v>0.088748</v>
      </c>
      <c r="D23" s="13" t="n">
        <f aca="false">D21*D22</f>
        <v>0.107019</v>
      </c>
      <c r="E23" s="13" t="n">
        <f aca="false">E21*E22</f>
        <v>0.12496</v>
      </c>
      <c r="F23" s="13" t="n">
        <f aca="false">F21*F22</f>
        <v>0.15384402</v>
      </c>
      <c r="G23" s="13" t="n">
        <f aca="false">SUM(C23:F23)</f>
        <v>0.47457102</v>
      </c>
      <c r="H23" s="7" t="s">
        <v>138</v>
      </c>
      <c r="I23" s="7" t="s">
        <v>599</v>
      </c>
      <c r="J23" s="4" t="s">
        <v>600</v>
      </c>
    </row>
    <row r="24" customFormat="false" ht="17.15" hidden="false" customHeight="false" outlineLevel="0" collapsed="false">
      <c r="A24" s="0" t="s">
        <v>633</v>
      </c>
      <c r="B24" s="13" t="n">
        <f aca="false">B21-B23</f>
        <v>2.46564</v>
      </c>
      <c r="C24" s="13" t="n">
        <f aca="false">C21-C23</f>
        <v>0.718052</v>
      </c>
      <c r="D24" s="13" t="n">
        <f aca="false">D21-D23</f>
        <v>0.865881</v>
      </c>
      <c r="E24" s="13" t="n">
        <f aca="false">E21-E23</f>
        <v>1.01104</v>
      </c>
      <c r="F24" s="13" t="n">
        <f aca="false">F21-F23</f>
        <v>1.24473798</v>
      </c>
      <c r="G24" s="13" t="n">
        <f aca="false">SUM(C24:F24)</f>
        <v>3.83971098</v>
      </c>
      <c r="H24" s="7" t="s">
        <v>138</v>
      </c>
      <c r="I24" s="7" t="s">
        <v>599</v>
      </c>
      <c r="J24" s="4" t="s">
        <v>600</v>
      </c>
    </row>
    <row r="25" customFormat="false" ht="17.15" hidden="false" customHeight="false" outlineLevel="0" collapsed="false">
      <c r="A25" s="4" t="s">
        <v>634</v>
      </c>
      <c r="B25" s="12" t="n">
        <v>2.4656</v>
      </c>
      <c r="C25" s="12" t="n">
        <v>0.718</v>
      </c>
      <c r="D25" s="12" t="n">
        <v>0.8659</v>
      </c>
      <c r="H25" s="7" t="s">
        <v>478</v>
      </c>
      <c r="I25" s="7" t="s">
        <v>599</v>
      </c>
      <c r="J25" s="4" t="s">
        <v>600</v>
      </c>
    </row>
    <row r="26" customFormat="false" ht="17.15" hidden="false" customHeight="false" outlineLevel="0" collapsed="false">
      <c r="A26" s="0" t="s">
        <v>635</v>
      </c>
      <c r="B26" s="12" t="n">
        <v>0.8697</v>
      </c>
      <c r="C26" s="12" t="n">
        <v>0.8933</v>
      </c>
      <c r="D26" s="12" t="n">
        <v>0.9212</v>
      </c>
      <c r="E26" s="13" t="n">
        <f aca="false">q3_sh</f>
        <v>0.921</v>
      </c>
      <c r="F26" s="13" t="n">
        <f aca="false">q4_sh</f>
        <v>0.925</v>
      </c>
      <c r="G26" s="13" t="n">
        <f aca="false">AVERAGE(C26:F26)</f>
        <v>0.915125</v>
      </c>
      <c r="H26" s="7" t="s">
        <v>636</v>
      </c>
      <c r="I26" s="7" t="s">
        <v>599</v>
      </c>
      <c r="J26" s="4" t="s">
        <v>600</v>
      </c>
    </row>
    <row r="27" customFormat="false" ht="17.15" hidden="false" customHeight="false" outlineLevel="0" collapsed="false">
      <c r="A27" s="0" t="s">
        <v>637</v>
      </c>
      <c r="B27" s="16" t="n">
        <f aca="false">B24/B26</f>
        <v>2.83504656778199</v>
      </c>
      <c r="C27" s="16" t="n">
        <f aca="false">C24/C26</f>
        <v>0.803819545505429</v>
      </c>
      <c r="D27" s="16" t="n">
        <f aca="false">D24/D26</f>
        <v>0.939948979591837</v>
      </c>
      <c r="E27" s="16" t="n">
        <f aca="false">E24/E26</f>
        <v>1.09776330076004</v>
      </c>
      <c r="F27" s="16" t="n">
        <f aca="false">F24/F26</f>
        <v>1.34566268108108</v>
      </c>
      <c r="G27" s="16" t="n">
        <f aca="false">G24/G26</f>
        <v>4.19583224149706</v>
      </c>
      <c r="H27" s="7" t="s">
        <v>138</v>
      </c>
      <c r="I27" s="4" t="s">
        <v>638</v>
      </c>
      <c r="J27" s="7" t="s">
        <v>170</v>
      </c>
    </row>
    <row r="28" customFormat="false" ht="17.15" hidden="false" customHeight="false" outlineLevel="0" collapsed="false">
      <c r="A28" s="4" t="s">
        <v>639</v>
      </c>
      <c r="B28" s="17" t="n">
        <v>2.84</v>
      </c>
      <c r="C28" s="17" t="n">
        <v>0.8</v>
      </c>
      <c r="D28" s="17" t="n">
        <v>0.94</v>
      </c>
      <c r="H28" s="7" t="s">
        <v>478</v>
      </c>
      <c r="I28" s="7" t="s">
        <v>599</v>
      </c>
      <c r="J28" s="4" t="s">
        <v>600</v>
      </c>
    </row>
    <row r="29" customFormat="false" ht="17.15" hidden="false" customHeight="false" outlineLevel="0" collapsed="false">
      <c r="A29" s="4" t="s">
        <v>640</v>
      </c>
      <c r="B29" s="16" t="n">
        <f aca="false">B24-B25</f>
        <v>4.00000000002621E-005</v>
      </c>
      <c r="C29" s="16" t="n">
        <f aca="false">C24-C25</f>
        <v>5.1999999999941E-005</v>
      </c>
      <c r="D29" s="16" t="n">
        <f aca="false">D24-D25</f>
        <v>-1.89999999998802E-005</v>
      </c>
      <c r="H29" s="7" t="s">
        <v>170</v>
      </c>
      <c r="I29" s="7" t="s">
        <v>170</v>
      </c>
      <c r="J29" s="7" t="s">
        <v>170</v>
      </c>
    </row>
    <row r="30" customFormat="false" ht="17.15" hidden="false" customHeight="false" outlineLevel="0" collapsed="false">
      <c r="A30" s="4" t="s">
        <v>641</v>
      </c>
      <c r="G30" s="16" t="n">
        <f aca="false">(C4+D4-5.1571)+(C18+D18-1.8501)+(C24+D24-1.5839)</f>
        <v>3.29999999999497E-005</v>
      </c>
      <c r="H30" s="7" t="s">
        <v>170</v>
      </c>
      <c r="I30" s="7" t="s">
        <v>642</v>
      </c>
      <c r="J30" s="7" t="s">
        <v>170</v>
      </c>
    </row>
    <row r="32" customFormat="false" ht="17.15" hidden="false" customHeight="false" outlineLevel="0" collapsed="false">
      <c r="A32" s="1" t="s">
        <v>643</v>
      </c>
    </row>
    <row r="33" customFormat="false" ht="17.15" hidden="false" customHeight="false" outlineLevel="0" collapsed="false">
      <c r="A33" s="0" t="s">
        <v>644</v>
      </c>
      <c r="B33" s="14" t="n">
        <f aca="false">G4/cons_rev27-1</f>
        <v>-0.00579950289975151</v>
      </c>
    </row>
    <row r="34" customFormat="false" ht="17.15" hidden="false" customHeight="false" outlineLevel="0" collapsed="false">
      <c r="A34" s="0" t="s">
        <v>645</v>
      </c>
      <c r="B34" s="14" t="n">
        <f aca="false">G27/cons_eps27-1</f>
        <v>-0.00572695699121739</v>
      </c>
    </row>
    <row r="35" customFormat="false" ht="17.15" hidden="false" customHeight="false" outlineLevel="0" collapsed="false">
      <c r="A35" s="0" t="s">
        <v>646</v>
      </c>
      <c r="B35" s="14" t="n">
        <f aca="false">G5/B5-1</f>
        <v>0.6</v>
      </c>
    </row>
    <row r="36" customFormat="false" ht="17.15" hidden="false" customHeight="false" outlineLevel="0" collapsed="false">
      <c r="A36" s="0" t="s">
        <v>647</v>
      </c>
      <c r="B36" s="14" t="n">
        <f aca="false">G4/B4-1</f>
        <v>0.464378981280355</v>
      </c>
    </row>
    <row r="37" customFormat="false" ht="17.15" hidden="false" customHeight="false" outlineLevel="0" collapsed="false">
      <c r="A37" s="0" t="s">
        <v>648</v>
      </c>
      <c r="B37" s="14" t="n">
        <f aca="false">G17/B17-1</f>
        <v>0.287358642972536</v>
      </c>
    </row>
    <row r="38" customFormat="false" ht="17.15" hidden="false" customHeight="false" outlineLevel="0" collapsed="false">
      <c r="A38" s="4" t="s">
        <v>649</v>
      </c>
      <c r="B38" s="18" t="n">
        <f aca="false">B37/B36</f>
        <v>0.618802001288366</v>
      </c>
    </row>
    <row r="40" customFormat="false" ht="15" hidden="false" customHeight="false" outlineLevel="0" collapsed="false">
      <c r="A40" s="3" t="s">
        <v>650</v>
      </c>
      <c r="B40" s="16" t="n">
        <f aca="false">ROUND(B5+B6-B4,3)</f>
        <v>0</v>
      </c>
      <c r="C40" s="16" t="n">
        <f aca="false">ROUND(C5+C6-C4,3)</f>
        <v>0</v>
      </c>
      <c r="D40" s="16" t="n">
        <f aca="false">ROUND(D5+D6-D4,3)</f>
        <v>0</v>
      </c>
      <c r="E40" s="16" t="n">
        <f aca="false">ROUND(E5+E6-E4,3)</f>
        <v>0</v>
      </c>
      <c r="F40" s="16" t="n">
        <f aca="false">ROUND(F5+F6-F4,3)</f>
        <v>0</v>
      </c>
      <c r="G40" s="16" t="n">
        <f aca="false">ROUND(G5+G6-G4,3)</f>
        <v>0</v>
      </c>
    </row>
    <row r="41" customFormat="false" ht="17.15" hidden="false" customHeight="false" outlineLevel="0" collapsed="false">
      <c r="A41" s="4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652</v>
      </c>
    </row>
    <row r="3" customFormat="false" ht="17.15" hidden="false" customHeight="false" outlineLevel="0" collapsed="false">
      <c r="A3" s="5" t="s">
        <v>25</v>
      </c>
      <c r="B3" s="5" t="s">
        <v>26</v>
      </c>
      <c r="C3" s="11" t="s">
        <v>653</v>
      </c>
      <c r="D3" s="11" t="s">
        <v>654</v>
      </c>
      <c r="E3" s="11" t="s">
        <v>655</v>
      </c>
      <c r="F3" s="11" t="s">
        <v>656</v>
      </c>
      <c r="G3" s="5" t="s">
        <v>555</v>
      </c>
    </row>
    <row r="4" customFormat="false" ht="17.15" hidden="false" customHeight="false" outlineLevel="0" collapsed="false">
      <c r="A4" s="1" t="s">
        <v>657</v>
      </c>
    </row>
    <row r="5" customFormat="false" ht="17.15" hidden="false" customHeight="false" outlineLevel="0" collapsed="false">
      <c r="A5" s="0" t="s">
        <v>658</v>
      </c>
      <c r="B5" s="0" t="s">
        <v>49</v>
      </c>
      <c r="C5" s="14" t="n">
        <f aca="false">PL!D76</f>
        <v>0.1</v>
      </c>
      <c r="D5" s="14" t="n">
        <f aca="false">PL!E76</f>
        <v>0.1</v>
      </c>
      <c r="E5" s="14" t="n">
        <f aca="false">PL!F76</f>
        <v>0.08</v>
      </c>
      <c r="F5" s="14" t="n">
        <f aca="false">PL!G76</f>
        <v>0.08</v>
      </c>
      <c r="G5" s="7" t="s">
        <v>659</v>
      </c>
    </row>
    <row r="6" customFormat="false" ht="17.15" hidden="false" customHeight="false" outlineLevel="0" collapsed="false">
      <c r="A6" s="0" t="s">
        <v>660</v>
      </c>
      <c r="B6" s="4" t="s">
        <v>36</v>
      </c>
      <c r="C6" s="16" t="n">
        <f aca="false">PL!D79</f>
        <v>0.2</v>
      </c>
      <c r="D6" s="16" t="n">
        <f aca="false">PL!E79</f>
        <v>0.25</v>
      </c>
      <c r="E6" s="16" t="n">
        <f aca="false">PL!F79</f>
        <v>0.24</v>
      </c>
      <c r="F6" s="16" t="n">
        <f aca="false">PL!G79</f>
        <v>0.276</v>
      </c>
      <c r="G6" s="4" t="s">
        <v>661</v>
      </c>
    </row>
    <row r="7" customFormat="false" ht="17.15" hidden="false" customHeight="false" outlineLevel="0" collapsed="false">
      <c r="A7" s="4" t="s">
        <v>662</v>
      </c>
      <c r="B7" s="0" t="s">
        <v>122</v>
      </c>
      <c r="C7" s="18" t="n">
        <f aca="false">PL!D89</f>
        <v>1.606</v>
      </c>
      <c r="D7" s="18" t="n">
        <f aca="false">PL!E89</f>
        <v>3.78432</v>
      </c>
      <c r="E7" s="18" t="n">
        <f aca="false">PL!F89</f>
        <v>5.7816</v>
      </c>
      <c r="F7" s="18" t="n">
        <f aca="false">PL!G89</f>
        <v>5.49252</v>
      </c>
      <c r="G7" s="4" t="s">
        <v>663</v>
      </c>
    </row>
    <row r="8" customFormat="false" ht="17.15" hidden="false" customHeight="false" outlineLevel="0" collapsed="false">
      <c r="A8" s="4" t="s">
        <v>664</v>
      </c>
      <c r="B8" s="0" t="s">
        <v>122</v>
      </c>
      <c r="C8" s="18" t="n">
        <f aca="false">PL!D92*PL!$D$96</f>
        <v>5.90700079467892</v>
      </c>
      <c r="D8" s="18" t="n">
        <f aca="false">PL!E92*PL!$D$96</f>
        <v>6.95631073034258</v>
      </c>
      <c r="E8" s="18" t="n">
        <f aca="false">PL!F92*PL!$D$96</f>
        <v>7.91841260164814</v>
      </c>
      <c r="F8" s="18" t="n">
        <f aca="false">PL!G92*PL!$D$96</f>
        <v>7.77916101501181</v>
      </c>
      <c r="G8" s="4" t="s">
        <v>665</v>
      </c>
    </row>
    <row r="9" customFormat="false" ht="17.15" hidden="false" customHeight="false" outlineLevel="0" collapsed="false">
      <c r="A9" s="0" t="s">
        <v>666</v>
      </c>
      <c r="B9" s="0" t="s">
        <v>49</v>
      </c>
      <c r="C9" s="14" t="n">
        <f aca="false">PL!D77</f>
        <v>0.05</v>
      </c>
      <c r="D9" s="14" t="n">
        <f aca="false">PL!E77</f>
        <v>0.06</v>
      </c>
      <c r="E9" s="14" t="n">
        <f aca="false">PL!F77</f>
        <v>0.15</v>
      </c>
      <c r="F9" s="14" t="n">
        <f aca="false">PL!G77</f>
        <v>0.15</v>
      </c>
      <c r="G9" s="7" t="s">
        <v>659</v>
      </c>
    </row>
    <row r="10" customFormat="false" ht="17.15" hidden="false" customHeight="false" outlineLevel="0" collapsed="false">
      <c r="A10" s="0" t="s">
        <v>667</v>
      </c>
      <c r="B10" s="4" t="s">
        <v>36</v>
      </c>
      <c r="C10" s="16" t="n">
        <f aca="false">PL!D80</f>
        <v>0.05</v>
      </c>
      <c r="D10" s="16" t="n">
        <f aca="false">PL!E80</f>
        <v>0.27</v>
      </c>
      <c r="E10" s="16" t="n">
        <f aca="false">PL!F80</f>
        <v>0.75</v>
      </c>
      <c r="F10" s="16" t="n">
        <f aca="false">PL!G80</f>
        <v>0.8625</v>
      </c>
      <c r="G10" s="4" t="s">
        <v>661</v>
      </c>
    </row>
    <row r="11" customFormat="false" ht="17.15" hidden="false" customHeight="false" outlineLevel="0" collapsed="false">
      <c r="A11" s="4" t="s">
        <v>668</v>
      </c>
      <c r="B11" s="0" t="s">
        <v>122</v>
      </c>
      <c r="C11" s="18" t="n">
        <f aca="false">PL!D90</f>
        <v>2.19</v>
      </c>
      <c r="D11" s="18" t="n">
        <f aca="false">PL!E90</f>
        <v>5.256</v>
      </c>
      <c r="E11" s="18" t="n">
        <f aca="false">PL!F90</f>
        <v>7.227</v>
      </c>
      <c r="F11" s="18" t="n">
        <f aca="false">PL!G90</f>
        <v>6.86565</v>
      </c>
      <c r="G11" s="4" t="s">
        <v>663</v>
      </c>
    </row>
    <row r="12" customFormat="false" ht="17.15" hidden="false" customHeight="false" outlineLevel="0" collapsed="false">
      <c r="A12" s="4" t="s">
        <v>669</v>
      </c>
      <c r="B12" s="0" t="s">
        <v>122</v>
      </c>
      <c r="C12" s="18" t="n">
        <f aca="false">PL!D93*PL!$D$96</f>
        <v>5.87199682128433</v>
      </c>
      <c r="D12" s="18" t="n">
        <f aca="false">PL!E93*PL!$D$96</f>
        <v>7.34890758863936</v>
      </c>
      <c r="E12" s="18" t="n">
        <f aca="false">PL!F93*PL!$D$96</f>
        <v>8.29835022479616</v>
      </c>
      <c r="F12" s="18" t="n">
        <f aca="false">PL!G93*PL!$D$96</f>
        <v>8.12428574150075</v>
      </c>
      <c r="G12" s="4" t="s">
        <v>665</v>
      </c>
    </row>
    <row r="13" customFormat="false" ht="17.15" hidden="false" customHeight="false" outlineLevel="0" collapsed="false">
      <c r="A13" s="0" t="s">
        <v>670</v>
      </c>
      <c r="B13" s="0" t="s">
        <v>49</v>
      </c>
      <c r="C13" s="14" t="n">
        <f aca="false">PL!D78</f>
        <v>0</v>
      </c>
      <c r="D13" s="14" t="n">
        <f aca="false">PL!E78</f>
        <v>0</v>
      </c>
      <c r="E13" s="14" t="n">
        <f aca="false">PL!F78</f>
        <v>0.05</v>
      </c>
      <c r="F13" s="14" t="n">
        <f aca="false">PL!G78</f>
        <v>0.05</v>
      </c>
      <c r="G13" s="7" t="s">
        <v>659</v>
      </c>
    </row>
    <row r="14" customFormat="false" ht="17.15" hidden="false" customHeight="false" outlineLevel="0" collapsed="false">
      <c r="A14" s="0" t="s">
        <v>671</v>
      </c>
      <c r="B14" s="4" t="s">
        <v>36</v>
      </c>
      <c r="C14" s="16" t="n">
        <f aca="false">PL!D81</f>
        <v>0</v>
      </c>
      <c r="D14" s="16" t="n">
        <f aca="false">PL!E81</f>
        <v>0</v>
      </c>
      <c r="E14" s="16" t="n">
        <f aca="false">PL!F81</f>
        <v>0.35</v>
      </c>
      <c r="F14" s="16" t="n">
        <f aca="false">PL!G81</f>
        <v>0.4025</v>
      </c>
      <c r="G14" s="4" t="s">
        <v>661</v>
      </c>
    </row>
    <row r="15" customFormat="false" ht="17.15" hidden="false" customHeight="false" outlineLevel="0" collapsed="false">
      <c r="A15" s="4" t="s">
        <v>672</v>
      </c>
      <c r="B15" s="0" t="s">
        <v>122</v>
      </c>
      <c r="C15" s="18" t="n">
        <f aca="false">PL!D91</f>
        <v>2.8032</v>
      </c>
      <c r="D15" s="18" t="n">
        <f aca="false">PL!E91</f>
        <v>6.57</v>
      </c>
      <c r="E15" s="18" t="n">
        <f aca="false">PL!F91</f>
        <v>8.325504</v>
      </c>
      <c r="F15" s="18" t="n">
        <f aca="false">PL!G91</f>
        <v>7.9092288</v>
      </c>
      <c r="G15" s="4" t="s">
        <v>663</v>
      </c>
    </row>
    <row r="16" customFormat="false" ht="17.15" hidden="false" customHeight="false" outlineLevel="0" collapsed="false">
      <c r="A16" s="4" t="s">
        <v>673</v>
      </c>
      <c r="B16" s="0" t="s">
        <v>122</v>
      </c>
      <c r="C16" s="18" t="n">
        <f aca="false">PL!D94*PL!$D$96</f>
        <v>7.77306582771797</v>
      </c>
      <c r="D16" s="18" t="n">
        <f aca="false">PL!E94*PL!$D$96</f>
        <v>9.58755619903985</v>
      </c>
      <c r="E16" s="18" t="n">
        <f aca="false">PL!F94*PL!$D$96</f>
        <v>10.4331931069768</v>
      </c>
      <c r="F16" s="18" t="n">
        <f aca="false">PL!G94*PL!$D$96</f>
        <v>10.2326708222205</v>
      </c>
      <c r="G16" s="4" t="s">
        <v>665</v>
      </c>
    </row>
    <row r="18" customFormat="false" ht="17.15" hidden="false" customHeight="false" outlineLevel="0" collapsed="false">
      <c r="A18" s="1" t="s">
        <v>674</v>
      </c>
    </row>
    <row r="19" customFormat="false" ht="17.15" hidden="false" customHeight="false" outlineLevel="0" collapsed="false">
      <c r="A19" s="0" t="s">
        <v>675</v>
      </c>
      <c r="B19" s="0" t="s">
        <v>49</v>
      </c>
      <c r="C19" s="14" t="n">
        <f aca="false">av_tpu_26+PL!D78</f>
        <v>0.9</v>
      </c>
      <c r="D19" s="14" t="n">
        <f aca="false">av_tpu_27+PL!E78</f>
        <v>0.8</v>
      </c>
      <c r="E19" s="14" t="n">
        <f aca="false">av_tpu_28+PL!F78</f>
        <v>0.8</v>
      </c>
      <c r="F19" s="14" t="n">
        <f aca="false">av_tpu_28+PL!G78</f>
        <v>0.8</v>
      </c>
      <c r="G19" s="7" t="s">
        <v>676</v>
      </c>
    </row>
    <row r="20" customFormat="false" ht="17.15" hidden="false" customHeight="false" outlineLevel="0" collapsed="false">
      <c r="A20" s="0" t="s">
        <v>677</v>
      </c>
      <c r="B20" s="0" t="s">
        <v>49</v>
      </c>
      <c r="C20" s="14" t="n">
        <f aca="false">av_oth_26+PL!D77</f>
        <v>0.4</v>
      </c>
      <c r="D20" s="14" t="n">
        <f aca="false">av_oth_27+PL!E77</f>
        <v>0.61</v>
      </c>
      <c r="E20" s="14" t="n">
        <f aca="false">av_oth_28+PL!F77</f>
        <v>0.7</v>
      </c>
      <c r="F20" s="14" t="n">
        <f aca="false">av_oth_28+PL!G77</f>
        <v>0.7</v>
      </c>
      <c r="G20" s="7" t="s">
        <v>676</v>
      </c>
    </row>
    <row r="22" customFormat="false" ht="17.15" hidden="false" customHeight="false" outlineLevel="0" collapsed="false">
      <c r="A22" s="1" t="s">
        <v>678</v>
      </c>
    </row>
    <row r="23" customFormat="false" ht="15" hidden="false" customHeight="false" outlineLevel="0" collapsed="false">
      <c r="A23" s="4" t="s">
        <v>679</v>
      </c>
      <c r="B23" s="4" t="s">
        <v>680</v>
      </c>
      <c r="C23" s="19" t="n">
        <f aca="false">PL!D105</f>
        <v>45.7742492307692</v>
      </c>
      <c r="D23" s="19" t="n">
        <f aca="false">PL!E105</f>
        <v>66.95089375</v>
      </c>
      <c r="E23" s="19" t="n">
        <f aca="false">PL!F105</f>
        <v>68.2252941176471</v>
      </c>
      <c r="F23" s="19" t="n">
        <f aca="false">PL!G105</f>
        <v>85.8056470588235</v>
      </c>
    </row>
    <row r="24" customFormat="false" ht="15" hidden="false" customHeight="false" outlineLevel="0" collapsed="false">
      <c r="A24" s="4" t="s">
        <v>681</v>
      </c>
      <c r="B24" s="0" t="s">
        <v>239</v>
      </c>
      <c r="C24" s="18" t="n">
        <f aca="false">PL!D108</f>
        <v>5.55012771923077</v>
      </c>
      <c r="D24" s="18" t="n">
        <f aca="false">PL!E108</f>
        <v>8.496068416875</v>
      </c>
      <c r="E24" s="18" t="n">
        <f aca="false">PL!F108</f>
        <v>8.28937323529412</v>
      </c>
      <c r="F24" s="18" t="n">
        <f aca="false">PL!G108</f>
        <v>9.481524</v>
      </c>
    </row>
    <row r="25" customFormat="false" ht="17.15" hidden="false" customHeight="false" outlineLevel="0" collapsed="false">
      <c r="A25" s="0" t="s">
        <v>682</v>
      </c>
      <c r="B25" s="0" t="s">
        <v>239</v>
      </c>
      <c r="C25" s="18" t="n">
        <f aca="false">PL!D110</f>
        <v>3.6075830175</v>
      </c>
      <c r="D25" s="18" t="n">
        <f aca="false">PL!E110</f>
        <v>5.35252310263125</v>
      </c>
      <c r="E25" s="18" t="n">
        <f aca="false">PL!F110</f>
        <v>4.97362394117647</v>
      </c>
      <c r="F25" s="18" t="n">
        <f aca="false">PL!G110</f>
        <v>5.49928392</v>
      </c>
    </row>
    <row r="26" customFormat="false" ht="17.15" hidden="false" customHeight="false" outlineLevel="0" collapsed="false">
      <c r="A26" s="0" t="s">
        <v>683</v>
      </c>
      <c r="B26" s="0" t="s">
        <v>239</v>
      </c>
      <c r="C26" s="18" t="n">
        <f aca="false">PL!D113</f>
        <v>6.10298</v>
      </c>
      <c r="D26" s="18" t="n">
        <f aca="false">PL!E113</f>
        <v>8.75459245773014</v>
      </c>
      <c r="E26" s="18" t="n">
        <f aca="false">PL!F113</f>
        <v>8.36338108747118</v>
      </c>
      <c r="F26" s="18" t="n">
        <f aca="false">PL!G113</f>
        <v>9.30004344373979</v>
      </c>
    </row>
    <row r="27" customFormat="false" ht="17.15" hidden="false" customHeight="false" outlineLevel="0" collapsed="false">
      <c r="A27" s="0" t="s">
        <v>684</v>
      </c>
      <c r="B27" s="0" t="s">
        <v>49</v>
      </c>
      <c r="C27" s="14" t="n">
        <f aca="false">C26/C24</f>
        <v>1.09961073127266</v>
      </c>
      <c r="D27" s="14" t="n">
        <f aca="false">D26/D24</f>
        <v>1.03042866749303</v>
      </c>
      <c r="E27" s="14" t="n">
        <f aca="false">E26/E24</f>
        <v>1.00892803956057</v>
      </c>
      <c r="F27" s="14" t="n">
        <f aca="false">F26/F24</f>
        <v>0.980859558414849</v>
      </c>
    </row>
    <row r="29" customFormat="false" ht="17.15" hidden="false" customHeight="false" outlineLevel="0" collapsed="false">
      <c r="A29" s="1" t="s">
        <v>685</v>
      </c>
    </row>
    <row r="30" customFormat="false" ht="17.15" hidden="false" customHeight="false" outlineLevel="0" collapsed="false">
      <c r="A30" s="0" t="s">
        <v>686</v>
      </c>
      <c r="C30" s="16" t="n">
        <f aca="false">PL!D96</f>
        <v>0.802843426481314</v>
      </c>
      <c r="G30" s="7" t="s">
        <v>687</v>
      </c>
    </row>
    <row r="31" customFormat="false" ht="17.15" hidden="false" customHeight="false" outlineLevel="0" collapsed="false">
      <c r="A31" s="4" t="s">
        <v>688</v>
      </c>
      <c r="C31" s="16" t="n">
        <f aca="false">PL!D112</f>
        <v>1.44223430888795</v>
      </c>
      <c r="G31" s="4" t="s">
        <v>689</v>
      </c>
    </row>
    <row r="32" customFormat="false" ht="17.15" hidden="false" customHeight="false" outlineLevel="0" collapsed="false">
      <c r="A32" s="0" t="s">
        <v>690</v>
      </c>
      <c r="C32" s="14" t="n">
        <f aca="false">PL!D126</f>
        <v>0.435994625937743</v>
      </c>
      <c r="G32" s="4" t="s">
        <v>691</v>
      </c>
    </row>
    <row r="33" customFormat="false" ht="17.15" hidden="false" customHeight="false" outlineLevel="0" collapsed="false">
      <c r="A33" s="0" t="s">
        <v>692</v>
      </c>
      <c r="C33" s="18" t="n">
        <f aca="false">a27_xpu</f>
        <v>1.475</v>
      </c>
      <c r="G33" s="4" t="s">
        <v>693</v>
      </c>
    </row>
    <row r="34" customFormat="false" ht="17.15" hidden="false" customHeight="false" outlineLevel="0" collapsed="false">
      <c r="A34" s="0" t="s">
        <v>694</v>
      </c>
      <c r="C34" s="18" t="n">
        <f aca="false">a27_ic</f>
        <v>6.10298</v>
      </c>
      <c r="G34" s="4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696</v>
      </c>
    </row>
    <row r="3" customFormat="false" ht="17.15" hidden="false" customHeight="false" outlineLevel="0" collapsed="false">
      <c r="A3" s="5" t="s">
        <v>697</v>
      </c>
      <c r="B3" s="5" t="s">
        <v>26</v>
      </c>
      <c r="C3" s="11" t="s">
        <v>698</v>
      </c>
      <c r="D3" s="11" t="s">
        <v>699</v>
      </c>
      <c r="E3" s="11" t="s">
        <v>700</v>
      </c>
      <c r="F3" s="11" t="s">
        <v>701</v>
      </c>
      <c r="G3" s="11" t="s">
        <v>702</v>
      </c>
      <c r="H3" s="5" t="s">
        <v>555</v>
      </c>
    </row>
    <row r="4" customFormat="false" ht="17.15" hidden="false" customHeight="false" outlineLevel="0" collapsed="false">
      <c r="A4" s="3" t="s">
        <v>703</v>
      </c>
    </row>
    <row r="5" customFormat="false" ht="15" hidden="false" customHeight="false" outlineLevel="0" collapsed="false">
      <c r="A5" s="4" t="s">
        <v>597</v>
      </c>
      <c r="B5" s="0" t="s">
        <v>239</v>
      </c>
      <c r="C5" s="20" t="n">
        <f aca="false">C121</f>
        <v>8.1946</v>
      </c>
      <c r="D5" s="20" t="n">
        <f aca="false">D121</f>
        <v>12</v>
      </c>
      <c r="E5" s="20" t="n">
        <f aca="false">E121</f>
        <v>18.3462057892484</v>
      </c>
      <c r="F5" s="20" t="n">
        <f aca="false">F121</f>
        <v>27.4180433859058</v>
      </c>
      <c r="G5" s="20" t="n">
        <f aca="false">G121</f>
        <v>31.8721513754112</v>
      </c>
    </row>
    <row r="6" customFormat="false" ht="15" hidden="false" customHeight="false" outlineLevel="0" collapsed="false">
      <c r="A6" s="4" t="s">
        <v>704</v>
      </c>
      <c r="B6" s="0" t="s">
        <v>49</v>
      </c>
      <c r="D6" s="14" t="n">
        <f aca="false">D123</f>
        <v>0.464378981280355</v>
      </c>
      <c r="E6" s="14" t="n">
        <f aca="false">E123</f>
        <v>0.528850482437368</v>
      </c>
      <c r="F6" s="14" t="n">
        <f aca="false">F123</f>
        <v>0.494480313851804</v>
      </c>
      <c r="G6" s="14" t="n">
        <f aca="false">G123</f>
        <v>0.162451708417497</v>
      </c>
    </row>
    <row r="7" customFormat="false" ht="15" hidden="false" customHeight="false" outlineLevel="0" collapsed="false">
      <c r="A7" s="4" t="s">
        <v>601</v>
      </c>
      <c r="B7" s="0" t="s">
        <v>239</v>
      </c>
      <c r="C7" s="20" t="n">
        <f aca="false">C118</f>
        <v>6.1003</v>
      </c>
      <c r="D7" s="20" t="n">
        <f aca="false">D118</f>
        <v>9.76048</v>
      </c>
      <c r="E7" s="20" t="n">
        <f aca="false">E118</f>
        <v>16.0395001892484</v>
      </c>
      <c r="F7" s="20" t="n">
        <f aca="false">F118</f>
        <v>25.0421366179058</v>
      </c>
      <c r="G7" s="20" t="n">
        <f aca="false">G118</f>
        <v>29.4249674043712</v>
      </c>
    </row>
    <row r="8" customFormat="false" ht="17.15" hidden="false" customHeight="false" outlineLevel="0" collapsed="false">
      <c r="A8" s="4" t="s">
        <v>705</v>
      </c>
      <c r="B8" s="0" t="s">
        <v>239</v>
      </c>
      <c r="C8" s="20" t="n">
        <f aca="false">C102</f>
        <v>1.5</v>
      </c>
      <c r="D8" s="20" t="n">
        <f aca="false">D102</f>
        <v>1.875</v>
      </c>
      <c r="E8" s="20" t="n">
        <f aca="false">E102</f>
        <v>4.72328273151827</v>
      </c>
      <c r="F8" s="20" t="n">
        <f aca="false">F102</f>
        <v>13.2757992804346</v>
      </c>
      <c r="G8" s="20" t="n">
        <f aca="false">G102</f>
        <v>15.5228948981314</v>
      </c>
    </row>
    <row r="9" customFormat="false" ht="15" hidden="false" customHeight="false" outlineLevel="0" collapsed="false">
      <c r="A9" s="4" t="s">
        <v>706</v>
      </c>
      <c r="B9" s="0" t="s">
        <v>239</v>
      </c>
      <c r="C9" s="20" t="n">
        <f aca="false">C113</f>
        <v>3.4503</v>
      </c>
      <c r="D9" s="20" t="n">
        <f aca="false">D113</f>
        <v>6.10298</v>
      </c>
      <c r="E9" s="20" t="n">
        <f aca="false">E113</f>
        <v>8.75459245773014</v>
      </c>
      <c r="F9" s="20" t="n">
        <f aca="false">F113</f>
        <v>8.36338108747118</v>
      </c>
      <c r="G9" s="20" t="n">
        <f aca="false">G113</f>
        <v>9.30004344373979</v>
      </c>
    </row>
    <row r="10" customFormat="false" ht="15" hidden="false" customHeight="false" outlineLevel="0" collapsed="false">
      <c r="A10" s="4" t="s">
        <v>707</v>
      </c>
      <c r="B10" s="0" t="s">
        <v>239</v>
      </c>
      <c r="C10" s="20" t="n">
        <f aca="false">C119</f>
        <v>2.0943</v>
      </c>
      <c r="D10" s="20" t="n">
        <f aca="false">D119</f>
        <v>2.23952</v>
      </c>
      <c r="E10" s="20" t="n">
        <f aca="false">E119</f>
        <v>2.3067056</v>
      </c>
      <c r="F10" s="20" t="n">
        <f aca="false">F119</f>
        <v>2.375906768</v>
      </c>
      <c r="G10" s="20" t="n">
        <f aca="false">G119</f>
        <v>2.44718397104</v>
      </c>
    </row>
    <row r="11" customFormat="false" ht="15" hidden="false" customHeight="false" outlineLevel="0" collapsed="false">
      <c r="A11" s="4" t="s">
        <v>621</v>
      </c>
      <c r="B11" s="0" t="s">
        <v>49</v>
      </c>
      <c r="C11" s="14" t="n">
        <f aca="false">C128</f>
        <v>0.59451346008347</v>
      </c>
      <c r="D11" s="14" t="n">
        <f aca="false">D128</f>
        <v>0.583890166666667</v>
      </c>
      <c r="E11" s="14" t="n">
        <f aca="false">E128</f>
        <v>0.554925619337774</v>
      </c>
      <c r="F11" s="14" t="n">
        <f aca="false">F128</f>
        <v>0.476855389618186</v>
      </c>
      <c r="G11" s="14" t="n">
        <f aca="false">G128</f>
        <v>0.481454882132291</v>
      </c>
    </row>
    <row r="12" customFormat="false" ht="15" hidden="false" customHeight="false" outlineLevel="0" collapsed="false">
      <c r="A12" s="4" t="s">
        <v>627</v>
      </c>
      <c r="B12" s="0" t="s">
        <v>49</v>
      </c>
      <c r="C12" s="14" t="n">
        <f aca="false">C133</f>
        <v>0.352793302906792</v>
      </c>
      <c r="D12" s="14" t="n">
        <f aca="false">D133</f>
        <v>0.371390166666667</v>
      </c>
      <c r="E12" s="14" t="n">
        <f aca="false">E133</f>
        <v>0.379178960756347</v>
      </c>
      <c r="F12" s="14" t="n">
        <f aca="false">F133</f>
        <v>0.330183474306468</v>
      </c>
      <c r="G12" s="14" t="n">
        <f aca="false">G133</f>
        <v>0.345031608999306</v>
      </c>
    </row>
    <row r="13" customFormat="false" ht="17.15" hidden="false" customHeight="false" outlineLevel="0" collapsed="false">
      <c r="A13" s="4" t="s">
        <v>708</v>
      </c>
      <c r="B13" s="0" t="s">
        <v>239</v>
      </c>
      <c r="C13" s="20" t="n">
        <f aca="false">C136</f>
        <v>2.46564</v>
      </c>
      <c r="D13" s="20" t="n">
        <f aca="false">D136</f>
        <v>3.83971098</v>
      </c>
      <c r="E13" s="20" t="n">
        <f aca="false">E136</f>
        <v>5.92165086314068</v>
      </c>
      <c r="F13" s="20" t="n">
        <f aca="false">F136</f>
        <v>7.74559679674414</v>
      </c>
      <c r="G13" s="20" t="n">
        <f aca="false">G136</f>
        <v>9.43680271405498</v>
      </c>
    </row>
    <row r="14" customFormat="false" ht="17.15" hidden="false" customHeight="false" outlineLevel="0" collapsed="false">
      <c r="A14" s="0" t="s">
        <v>709</v>
      </c>
      <c r="B14" s="0" t="s">
        <v>253</v>
      </c>
      <c r="C14" s="18" t="n">
        <f aca="false">C138</f>
        <v>2.83504656778199</v>
      </c>
      <c r="D14" s="18" t="n">
        <f aca="false">D138</f>
        <v>4.19583224149706</v>
      </c>
      <c r="E14" s="18" t="n">
        <f aca="false">E138</f>
        <v>6.43867221808258</v>
      </c>
      <c r="F14" s="18" t="n">
        <f aca="false">F138</f>
        <v>8.37996765447197</v>
      </c>
      <c r="G14" s="18" t="n">
        <f aca="false">G138</f>
        <v>10.1588902997981</v>
      </c>
    </row>
    <row r="15" customFormat="false" ht="17.15" hidden="false" customHeight="false" outlineLevel="0" collapsed="false">
      <c r="A15" s="0" t="s">
        <v>710</v>
      </c>
      <c r="B15" s="0" t="s">
        <v>49</v>
      </c>
      <c r="D15" s="14" t="n">
        <f aca="false">D139</f>
        <v>0.479987062357033</v>
      </c>
      <c r="E15" s="14" t="n">
        <f aca="false">E139</f>
        <v>0.534539954768372</v>
      </c>
      <c r="F15" s="14" t="n">
        <f aca="false">F139</f>
        <v>0.30150555434976</v>
      </c>
      <c r="G15" s="14" t="n">
        <f aca="false">G139</f>
        <v>0.212282757962292</v>
      </c>
    </row>
    <row r="17" customFormat="false" ht="17.15" hidden="false" customHeight="false" outlineLevel="0" collapsed="false">
      <c r="A17" s="3" t="s">
        <v>711</v>
      </c>
    </row>
    <row r="18" customFormat="false" ht="15" hidden="false" customHeight="false" outlineLevel="0" collapsed="false">
      <c r="A18" s="4" t="s">
        <v>597</v>
      </c>
      <c r="B18" s="0" t="s">
        <v>239</v>
      </c>
      <c r="C18" s="20" t="n">
        <f aca="false">C193</f>
        <v>8.1946</v>
      </c>
      <c r="D18" s="20" t="n">
        <f aca="false">D193</f>
        <v>12</v>
      </c>
      <c r="E18" s="20" t="n">
        <f aca="false">E193</f>
        <v>18.5087235252006</v>
      </c>
      <c r="F18" s="20" t="n">
        <f aca="false">F193</f>
        <v>21.9249189198868</v>
      </c>
      <c r="G18" s="20" t="n">
        <f aca="false">G193</f>
        <v>27.0975110230466</v>
      </c>
    </row>
    <row r="19" customFormat="false" ht="15" hidden="false" customHeight="false" outlineLevel="0" collapsed="false">
      <c r="A19" s="4" t="s">
        <v>704</v>
      </c>
      <c r="B19" s="0" t="s">
        <v>49</v>
      </c>
      <c r="D19" s="14" t="n">
        <f aca="false">D195</f>
        <v>0.464378981280355</v>
      </c>
      <c r="E19" s="14" t="n">
        <f aca="false">E195</f>
        <v>0.542393627100052</v>
      </c>
      <c r="F19" s="14" t="n">
        <f aca="false">F195</f>
        <v>0.184572177008041</v>
      </c>
      <c r="G19" s="14" t="n">
        <f aca="false">G195</f>
        <v>0.235922975225601</v>
      </c>
    </row>
    <row r="20" customFormat="false" ht="15" hidden="false" customHeight="false" outlineLevel="0" collapsed="false">
      <c r="A20" s="4" t="s">
        <v>601</v>
      </c>
      <c r="B20" s="0" t="s">
        <v>239</v>
      </c>
      <c r="C20" s="20" t="n">
        <f aca="false">C190</f>
        <v>6.1003</v>
      </c>
      <c r="D20" s="20" t="n">
        <f aca="false">D190</f>
        <v>9.76048</v>
      </c>
      <c r="E20" s="20" t="n">
        <f aca="false">E190</f>
        <v>16.2020179252006</v>
      </c>
      <c r="F20" s="20" t="n">
        <f aca="false">F190</f>
        <v>19.5490121518868</v>
      </c>
      <c r="G20" s="20" t="n">
        <f aca="false">G190</f>
        <v>24.6503270520066</v>
      </c>
    </row>
    <row r="21" customFormat="false" ht="17.15" hidden="false" customHeight="false" outlineLevel="0" collapsed="false">
      <c r="A21" s="4" t="s">
        <v>705</v>
      </c>
      <c r="B21" s="0" t="s">
        <v>239</v>
      </c>
      <c r="C21" s="20" t="n">
        <f aca="false">C174</f>
        <v>1.5</v>
      </c>
      <c r="D21" s="20" t="n">
        <f aca="false">D174</f>
        <v>1.875</v>
      </c>
      <c r="E21" s="20" t="n">
        <f aca="false">E174</f>
        <v>4.72328273151827</v>
      </c>
      <c r="F21" s="20" t="n">
        <f aca="false">F174</f>
        <v>9.42859520580007</v>
      </c>
      <c r="G21" s="20" t="n">
        <f aca="false">G174</f>
        <v>11.966814767087</v>
      </c>
    </row>
    <row r="22" customFormat="false" ht="15" hidden="false" customHeight="false" outlineLevel="0" collapsed="false">
      <c r="A22" s="4" t="s">
        <v>706</v>
      </c>
      <c r="B22" s="0" t="s">
        <v>239</v>
      </c>
      <c r="C22" s="20" t="n">
        <f aca="false">C185</f>
        <v>3.4503</v>
      </c>
      <c r="D22" s="20" t="n">
        <f aca="false">D185</f>
        <v>6.10298</v>
      </c>
      <c r="E22" s="20" t="n">
        <f aca="false">E185</f>
        <v>8.91711019368235</v>
      </c>
      <c r="F22" s="20" t="n">
        <f aca="false">F185</f>
        <v>7.24756069608678</v>
      </c>
      <c r="G22" s="20" t="n">
        <f aca="false">G185</f>
        <v>8.65327572241966</v>
      </c>
    </row>
    <row r="23" customFormat="false" ht="15" hidden="false" customHeight="false" outlineLevel="0" collapsed="false">
      <c r="A23" s="4" t="s">
        <v>707</v>
      </c>
      <c r="B23" s="0" t="s">
        <v>239</v>
      </c>
      <c r="C23" s="20" t="n">
        <f aca="false">C191</f>
        <v>2.0943</v>
      </c>
      <c r="D23" s="20" t="n">
        <f aca="false">D191</f>
        <v>2.23952</v>
      </c>
      <c r="E23" s="20" t="n">
        <f aca="false">E191</f>
        <v>2.3067056</v>
      </c>
      <c r="F23" s="20" t="n">
        <f aca="false">F191</f>
        <v>2.375906768</v>
      </c>
      <c r="G23" s="20" t="n">
        <f aca="false">G191</f>
        <v>2.44718397104</v>
      </c>
    </row>
    <row r="24" customFormat="false" ht="15" hidden="false" customHeight="false" outlineLevel="0" collapsed="false">
      <c r="A24" s="4" t="s">
        <v>621</v>
      </c>
      <c r="B24" s="0" t="s">
        <v>49</v>
      </c>
      <c r="C24" s="14" t="n">
        <f aca="false">C200</f>
        <v>0.59451346008347</v>
      </c>
      <c r="D24" s="14" t="n">
        <f aca="false">D200</f>
        <v>0.583890166666667</v>
      </c>
      <c r="E24" s="14" t="n">
        <f aca="false">E200</f>
        <v>0.555584817599428</v>
      </c>
      <c r="F24" s="14" t="n">
        <f aca="false">F200</f>
        <v>0.504315118936962</v>
      </c>
      <c r="G24" s="14" t="n">
        <f aca="false">G200</f>
        <v>0.504691756081648</v>
      </c>
    </row>
    <row r="25" customFormat="false" ht="15" hidden="false" customHeight="false" outlineLevel="0" collapsed="false">
      <c r="A25" s="4" t="s">
        <v>627</v>
      </c>
      <c r="B25" s="0" t="s">
        <v>49</v>
      </c>
      <c r="C25" s="14" t="n">
        <f aca="false">C205</f>
        <v>0.352793302906792</v>
      </c>
      <c r="D25" s="14" t="n">
        <f aca="false">D205</f>
        <v>0.371390166666667</v>
      </c>
      <c r="E25" s="14" t="n">
        <f aca="false">E205</f>
        <v>0.38044838152165</v>
      </c>
      <c r="F25" s="14" t="n">
        <f aca="false">F205</f>
        <v>0.34282298158058</v>
      </c>
      <c r="G25" s="14" t="n">
        <f aca="false">G205</f>
        <v>0.358613081491303</v>
      </c>
    </row>
    <row r="26" customFormat="false" ht="17.15" hidden="false" customHeight="false" outlineLevel="0" collapsed="false">
      <c r="A26" s="4" t="s">
        <v>708</v>
      </c>
      <c r="B26" s="0" t="s">
        <v>239</v>
      </c>
      <c r="C26" s="20" t="n">
        <f aca="false">C208</f>
        <v>2.46564</v>
      </c>
      <c r="D26" s="20" t="n">
        <f aca="false">D208</f>
        <v>3.83971098</v>
      </c>
      <c r="E26" s="20" t="n">
        <f aca="false">E208</f>
        <v>5.99570410099901</v>
      </c>
      <c r="F26" s="20" t="n">
        <f aca="false">F208</f>
        <v>6.40873848527443</v>
      </c>
      <c r="G26" s="20" t="n">
        <f aca="false">G208</f>
        <v>8.3237440779858</v>
      </c>
    </row>
    <row r="27" customFormat="false" ht="17.15" hidden="false" customHeight="false" outlineLevel="0" collapsed="false">
      <c r="A27" s="0" t="s">
        <v>709</v>
      </c>
      <c r="B27" s="0" t="s">
        <v>253</v>
      </c>
      <c r="C27" s="18" t="n">
        <f aca="false">C210</f>
        <v>2.83504656778199</v>
      </c>
      <c r="D27" s="18" t="n">
        <f aca="false">D210</f>
        <v>4.19583224149706</v>
      </c>
      <c r="E27" s="18" t="n">
        <f aca="false">E210</f>
        <v>6.51919106937544</v>
      </c>
      <c r="F27" s="18" t="n">
        <f aca="false">F210</f>
        <v>6.93361952885855</v>
      </c>
      <c r="G27" s="18" t="n">
        <f aca="false">G210</f>
        <v>8.96066236988399</v>
      </c>
    </row>
    <row r="28" customFormat="false" ht="17.15" hidden="false" customHeight="false" outlineLevel="0" collapsed="false">
      <c r="A28" s="0" t="s">
        <v>710</v>
      </c>
      <c r="B28" s="0" t="s">
        <v>49</v>
      </c>
      <c r="D28" s="14" t="n">
        <f aca="false">D211</f>
        <v>0.479987062357033</v>
      </c>
      <c r="E28" s="14" t="n">
        <f aca="false">E211</f>
        <v>0.553730152721599</v>
      </c>
      <c r="F28" s="14" t="n">
        <f aca="false">F211</f>
        <v>0.063570534299866</v>
      </c>
      <c r="G28" s="14" t="n">
        <f aca="false">G211</f>
        <v>0.292349880547764</v>
      </c>
    </row>
    <row r="30" customFormat="false" ht="17.15" hidden="false" customHeight="false" outlineLevel="0" collapsed="false">
      <c r="A30" s="3" t="s">
        <v>712</v>
      </c>
    </row>
    <row r="31" customFormat="false" ht="15" hidden="false" customHeight="false" outlineLevel="0" collapsed="false">
      <c r="A31" s="4" t="s">
        <v>597</v>
      </c>
      <c r="B31" s="0" t="s">
        <v>239</v>
      </c>
      <c r="C31" s="20" t="n">
        <f aca="false">C265</f>
        <v>8.1946</v>
      </c>
      <c r="D31" s="20" t="n">
        <f aca="false">D265</f>
        <v>12</v>
      </c>
      <c r="E31" s="20" t="n">
        <f aca="false">E265</f>
        <v>18.5899823931767</v>
      </c>
      <c r="F31" s="20" t="n">
        <f aca="false">F265</f>
        <v>17.2358271220006</v>
      </c>
      <c r="G31" s="20" t="n">
        <f aca="false">G265</f>
        <v>20.2735853753925</v>
      </c>
    </row>
    <row r="32" customFormat="false" ht="15" hidden="false" customHeight="false" outlineLevel="0" collapsed="false">
      <c r="A32" s="4" t="s">
        <v>704</v>
      </c>
      <c r="B32" s="0" t="s">
        <v>49</v>
      </c>
      <c r="D32" s="14" t="n">
        <f aca="false">D267</f>
        <v>0.464378981280355</v>
      </c>
      <c r="E32" s="14" t="n">
        <f aca="false">E267</f>
        <v>0.549165199431394</v>
      </c>
      <c r="F32" s="14" t="n">
        <f aca="false">F267</f>
        <v>-0.072843278844262</v>
      </c>
      <c r="G32" s="14" t="n">
        <f aca="false">G267</f>
        <v>0.176246734890626</v>
      </c>
    </row>
    <row r="33" customFormat="false" ht="15" hidden="false" customHeight="false" outlineLevel="0" collapsed="false">
      <c r="A33" s="4" t="s">
        <v>601</v>
      </c>
      <c r="B33" s="0" t="s">
        <v>239</v>
      </c>
      <c r="C33" s="20" t="n">
        <f aca="false">C262</f>
        <v>6.1003</v>
      </c>
      <c r="D33" s="20" t="n">
        <f aca="false">D262</f>
        <v>9.76048</v>
      </c>
      <c r="E33" s="20" t="n">
        <f aca="false">E262</f>
        <v>16.2832767931767</v>
      </c>
      <c r="F33" s="20" t="n">
        <f aca="false">F262</f>
        <v>14.8599203540006</v>
      </c>
      <c r="G33" s="20" t="n">
        <f aca="false">G262</f>
        <v>17.8264014043525</v>
      </c>
    </row>
    <row r="34" customFormat="false" ht="17.15" hidden="false" customHeight="false" outlineLevel="0" collapsed="false">
      <c r="A34" s="4" t="s">
        <v>705</v>
      </c>
      <c r="B34" s="0" t="s">
        <v>239</v>
      </c>
      <c r="C34" s="20" t="n">
        <f aca="false">C246</f>
        <v>1.5</v>
      </c>
      <c r="D34" s="20" t="n">
        <f aca="false">D246</f>
        <v>1.875</v>
      </c>
      <c r="E34" s="20" t="n">
        <f aca="false">E246</f>
        <v>4.72328273151827</v>
      </c>
      <c r="F34" s="20" t="n">
        <f aca="false">F246</f>
        <v>6.68828933410261</v>
      </c>
      <c r="G34" s="20" t="n">
        <f aca="false">G246</f>
        <v>8.09465886037491</v>
      </c>
    </row>
    <row r="35" customFormat="false" ht="15" hidden="false" customHeight="false" outlineLevel="0" collapsed="false">
      <c r="A35" s="4" t="s">
        <v>706</v>
      </c>
      <c r="B35" s="0" t="s">
        <v>239</v>
      </c>
      <c r="C35" s="20" t="n">
        <f aca="false">C257</f>
        <v>3.4503</v>
      </c>
      <c r="D35" s="20" t="n">
        <f aca="false">D257</f>
        <v>6.10298</v>
      </c>
      <c r="E35" s="20" t="n">
        <f aca="false">E257</f>
        <v>8.99836906165846</v>
      </c>
      <c r="F35" s="20" t="n">
        <f aca="false">F257</f>
        <v>5.82887476989803</v>
      </c>
      <c r="G35" s="20" t="n">
        <f aca="false">G257</f>
        <v>6.65449348147763</v>
      </c>
    </row>
    <row r="36" customFormat="false" ht="15" hidden="false" customHeight="false" outlineLevel="0" collapsed="false">
      <c r="A36" s="4" t="s">
        <v>707</v>
      </c>
      <c r="B36" s="0" t="s">
        <v>239</v>
      </c>
      <c r="C36" s="20" t="n">
        <f aca="false">C263</f>
        <v>2.0943</v>
      </c>
      <c r="D36" s="20" t="n">
        <f aca="false">D263</f>
        <v>2.23952</v>
      </c>
      <c r="E36" s="20" t="n">
        <f aca="false">E263</f>
        <v>2.3067056</v>
      </c>
      <c r="F36" s="20" t="n">
        <f aca="false">F263</f>
        <v>2.375906768</v>
      </c>
      <c r="G36" s="20" t="n">
        <f aca="false">G263</f>
        <v>2.44718397104</v>
      </c>
    </row>
    <row r="37" customFormat="false" ht="15" hidden="false" customHeight="false" outlineLevel="0" collapsed="false">
      <c r="A37" s="4" t="s">
        <v>621</v>
      </c>
      <c r="B37" s="0" t="s">
        <v>49</v>
      </c>
      <c r="C37" s="14" t="n">
        <f aca="false">C272</f>
        <v>0.59451346008347</v>
      </c>
      <c r="D37" s="14" t="n">
        <f aca="false">D272</f>
        <v>0.583890166666667</v>
      </c>
      <c r="E37" s="14" t="n">
        <f aca="false">E272</f>
        <v>0.555910094587551</v>
      </c>
      <c r="F37" s="14" t="n">
        <f aca="false">F272</f>
        <v>0.519822976531719</v>
      </c>
      <c r="G37" s="14" t="n">
        <f aca="false">G272</f>
        <v>0.518870927638036</v>
      </c>
    </row>
    <row r="38" customFormat="false" ht="15" hidden="false" customHeight="false" outlineLevel="0" collapsed="false">
      <c r="A38" s="4" t="s">
        <v>627</v>
      </c>
      <c r="B38" s="0" t="s">
        <v>49</v>
      </c>
      <c r="C38" s="14" t="n">
        <f aca="false">C277</f>
        <v>0.352793302906792</v>
      </c>
      <c r="D38" s="14" t="n">
        <f aca="false">D277</f>
        <v>0.371390166666667</v>
      </c>
      <c r="E38" s="14" t="n">
        <f aca="false">E277</f>
        <v>0.381074768736571</v>
      </c>
      <c r="F38" s="14" t="n">
        <f aca="false">F277</f>
        <v>0.321822910356615</v>
      </c>
      <c r="G38" s="14" t="n">
        <f aca="false">G277</f>
        <v>0.335704851703396</v>
      </c>
    </row>
    <row r="39" customFormat="false" ht="17.15" hidden="false" customHeight="false" outlineLevel="0" collapsed="false">
      <c r="A39" s="4" t="s">
        <v>708</v>
      </c>
      <c r="B39" s="0" t="s">
        <v>239</v>
      </c>
      <c r="C39" s="20" t="n">
        <f aca="false">C280</f>
        <v>2.46564</v>
      </c>
      <c r="D39" s="20" t="n">
        <f aca="false">D280</f>
        <v>3.83971098</v>
      </c>
      <c r="E39" s="20" t="n">
        <f aca="false">E280</f>
        <v>6.03273071992817</v>
      </c>
      <c r="F39" s="20" t="n">
        <f aca="false">F280</f>
        <v>4.69528912072097</v>
      </c>
      <c r="G39" s="20" t="n">
        <f aca="false">G280</f>
        <v>5.79066864558978</v>
      </c>
    </row>
    <row r="40" customFormat="false" ht="17.15" hidden="false" customHeight="false" outlineLevel="0" collapsed="false">
      <c r="A40" s="0" t="s">
        <v>709</v>
      </c>
      <c r="B40" s="0" t="s">
        <v>253</v>
      </c>
      <c r="C40" s="18" t="n">
        <f aca="false">C282</f>
        <v>2.83504656778199</v>
      </c>
      <c r="D40" s="18" t="n">
        <f aca="false">D282</f>
        <v>4.19583224149706</v>
      </c>
      <c r="E40" s="18" t="n">
        <f aca="false">E282</f>
        <v>6.55945049502187</v>
      </c>
      <c r="F40" s="18" t="n">
        <f aca="false">F282</f>
        <v>5.07983722785249</v>
      </c>
      <c r="G40" s="18" t="n">
        <f aca="false">G282</f>
        <v>6.23376044996803</v>
      </c>
    </row>
    <row r="41" customFormat="false" ht="17.15" hidden="false" customHeight="false" outlineLevel="0" collapsed="false">
      <c r="A41" s="0" t="s">
        <v>710</v>
      </c>
      <c r="B41" s="0" t="s">
        <v>49</v>
      </c>
      <c r="D41" s="14" t="n">
        <f aca="false">D283</f>
        <v>0.479987062357033</v>
      </c>
      <c r="E41" s="14" t="n">
        <f aca="false">E283</f>
        <v>0.563325251698212</v>
      </c>
      <c r="F41" s="14" t="n">
        <f aca="false">F283</f>
        <v>-0.225569697994107</v>
      </c>
      <c r="G41" s="14" t="n">
        <f aca="false">G283</f>
        <v>0.227157519100934</v>
      </c>
    </row>
    <row r="43" customFormat="false" ht="17.15" hidden="false" customHeight="false" outlineLevel="0" collapsed="false">
      <c r="A43" s="3" t="s">
        <v>713</v>
      </c>
    </row>
    <row r="44" customFormat="false" ht="17.15" hidden="false" customHeight="false" outlineLevel="0" collapsed="false">
      <c r="A44" s="4" t="s">
        <v>714</v>
      </c>
      <c r="D44" s="21" t="n">
        <f aca="false">D122-a27_rev</f>
        <v>0</v>
      </c>
    </row>
    <row r="45" customFormat="false" ht="17.15" hidden="false" customHeight="false" outlineLevel="0" collapsed="false">
      <c r="A45" s="4" t="s">
        <v>715</v>
      </c>
      <c r="D45" s="21" t="n">
        <f aca="false">D125+D126*D99-a27_gp</f>
        <v>0</v>
      </c>
    </row>
    <row r="70" customFormat="false" ht="17.15" hidden="false" customHeight="false" outlineLevel="0" collapsed="false">
      <c r="A70" s="3" t="s">
        <v>716</v>
      </c>
    </row>
    <row r="71" customFormat="false" ht="17.15" hidden="false" customHeight="false" outlineLevel="0" collapsed="false">
      <c r="A71" s="5" t="s">
        <v>25</v>
      </c>
      <c r="B71" s="5" t="s">
        <v>26</v>
      </c>
      <c r="C71" s="11" t="s">
        <v>698</v>
      </c>
      <c r="D71" s="11" t="s">
        <v>699</v>
      </c>
      <c r="E71" s="11" t="s">
        <v>700</v>
      </c>
      <c r="F71" s="11" t="s">
        <v>701</v>
      </c>
      <c r="G71" s="11" t="s">
        <v>702</v>
      </c>
      <c r="H71" s="5" t="s">
        <v>555</v>
      </c>
    </row>
    <row r="72" customFormat="false" ht="17.15" hidden="false" customHeight="false" outlineLevel="0" collapsed="false">
      <c r="A72" s="1" t="s">
        <v>717</v>
      </c>
    </row>
    <row r="73" customFormat="false" ht="17.15" hidden="false" customHeight="false" outlineLevel="0" collapsed="false">
      <c r="A73" s="0" t="s">
        <v>718</v>
      </c>
      <c r="B73" s="4" t="s">
        <v>36</v>
      </c>
      <c r="D73" s="22" t="n">
        <f aca="false">u_trn_26</f>
        <v>2</v>
      </c>
      <c r="E73" s="22" t="n">
        <f aca="false">u_trn_27</f>
        <v>2.5</v>
      </c>
      <c r="F73" s="22" t="n">
        <f aca="false">u_trn_28*um28_A</f>
        <v>3</v>
      </c>
      <c r="G73" s="22" t="n">
        <f aca="false">u_trn_28*(1+g29_trn)*um29_A</f>
        <v>3.45</v>
      </c>
    </row>
    <row r="74" customFormat="false" ht="17.15" hidden="false" customHeight="false" outlineLevel="0" collapsed="false">
      <c r="A74" s="4" t="s">
        <v>719</v>
      </c>
      <c r="B74" s="4" t="s">
        <v>36</v>
      </c>
      <c r="D74" s="22" t="n">
        <f aca="false">u_oth_26</f>
        <v>1</v>
      </c>
      <c r="E74" s="22" t="n">
        <f aca="false">u_oth_27</f>
        <v>4.5</v>
      </c>
      <c r="F74" s="22" t="n">
        <f aca="false">u_oth_28*um28_A</f>
        <v>5</v>
      </c>
      <c r="G74" s="22" t="n">
        <f aca="false">u_oth_28*(1+g29_oth)*um29_A</f>
        <v>5.75</v>
      </c>
    </row>
    <row r="75" customFormat="false" ht="17.15" hidden="false" customHeight="false" outlineLevel="0" collapsed="false">
      <c r="A75" s="0" t="s">
        <v>720</v>
      </c>
      <c r="B75" s="4" t="s">
        <v>36</v>
      </c>
      <c r="D75" s="22" t="n">
        <f aca="false">u_tpu_26</f>
        <v>3.85</v>
      </c>
      <c r="E75" s="22" t="n">
        <f aca="false">u_tpu_27</f>
        <v>5.5</v>
      </c>
      <c r="F75" s="22" t="n">
        <f aca="false">u_tpu_28*um28_A</f>
        <v>7</v>
      </c>
      <c r="G75" s="22" t="n">
        <f aca="false">u_tpu_28*(1+g29_tpu)*um29_A</f>
        <v>8.05</v>
      </c>
    </row>
    <row r="76" customFormat="false" ht="17.15" hidden="false" customHeight="false" outlineLevel="0" collapsed="false">
      <c r="A76" s="0" t="s">
        <v>658</v>
      </c>
      <c r="B76" s="0" t="s">
        <v>49</v>
      </c>
      <c r="D76" s="14" t="n">
        <f aca="false">msh_trn_26</f>
        <v>0.1</v>
      </c>
      <c r="E76" s="14" t="n">
        <f aca="false">MIN(1,MAX(0,msh_trn_27+0))</f>
        <v>0.1</v>
      </c>
      <c r="F76" s="14" t="n">
        <f aca="false">MIN(1,MAX(0,msh_trn_28+0))</f>
        <v>0.08</v>
      </c>
      <c r="G76" s="14" t="n">
        <f aca="false">MIN(1,MAX(0,msh_trn_28+0))</f>
        <v>0.08</v>
      </c>
    </row>
    <row r="77" customFormat="false" ht="17.15" hidden="false" customHeight="false" outlineLevel="0" collapsed="false">
      <c r="A77" s="0" t="s">
        <v>666</v>
      </c>
      <c r="B77" s="0" t="s">
        <v>49</v>
      </c>
      <c r="D77" s="14" t="n">
        <f aca="false">msh_oth_26</f>
        <v>0.05</v>
      </c>
      <c r="E77" s="14" t="n">
        <f aca="false">MIN(1,MAX(0,msh_oth_27+0))</f>
        <v>0.06</v>
      </c>
      <c r="F77" s="14" t="n">
        <f aca="false">MIN(1,MAX(0,msh_oth_28+0))</f>
        <v>0.15</v>
      </c>
      <c r="G77" s="14" t="n">
        <f aca="false">MIN(1,MAX(0,msh_oth_28+0))</f>
        <v>0.15</v>
      </c>
    </row>
    <row r="78" customFormat="false" ht="17.15" hidden="false" customHeight="false" outlineLevel="0" collapsed="false">
      <c r="A78" s="0" t="s">
        <v>670</v>
      </c>
      <c r="B78" s="0" t="s">
        <v>49</v>
      </c>
      <c r="D78" s="14" t="n">
        <f aca="false">msh_tpu_26</f>
        <v>0</v>
      </c>
      <c r="E78" s="14" t="n">
        <f aca="false">MIN(1,MAX(0,msh_tpu_27+0))</f>
        <v>0</v>
      </c>
      <c r="F78" s="14" t="n">
        <f aca="false">MIN(1,MAX(0,msh_tpu_28+0))</f>
        <v>0.05</v>
      </c>
      <c r="G78" s="14" t="n">
        <f aca="false">MIN(1,MAX(0,msh_tpu_28+0))</f>
        <v>0.05</v>
      </c>
    </row>
    <row r="79" customFormat="false" ht="17.15" hidden="false" customHeight="false" outlineLevel="0" collapsed="false">
      <c r="A79" s="0" t="s">
        <v>660</v>
      </c>
      <c r="B79" s="4" t="s">
        <v>36</v>
      </c>
      <c r="D79" s="16" t="n">
        <f aca="false">D73*D76</f>
        <v>0.2</v>
      </c>
      <c r="E79" s="16" t="n">
        <f aca="false">E73*E76*1</f>
        <v>0.25</v>
      </c>
      <c r="F79" s="16" t="n">
        <f aca="false">F73*F76*1</f>
        <v>0.24</v>
      </c>
      <c r="G79" s="16" t="n">
        <f aca="false">G73*G76*1</f>
        <v>0.276</v>
      </c>
    </row>
    <row r="80" customFormat="false" ht="17.15" hidden="false" customHeight="false" outlineLevel="0" collapsed="false">
      <c r="A80" s="0" t="s">
        <v>667</v>
      </c>
      <c r="B80" s="4" t="s">
        <v>36</v>
      </c>
      <c r="D80" s="16" t="n">
        <f aca="false">D74*D77</f>
        <v>0.05</v>
      </c>
      <c r="E80" s="16" t="n">
        <f aca="false">E74*E77*1</f>
        <v>0.27</v>
      </c>
      <c r="F80" s="16" t="n">
        <f aca="false">F74*F77*1</f>
        <v>0.75</v>
      </c>
      <c r="G80" s="16" t="n">
        <f aca="false">G74*G77*1</f>
        <v>0.8625</v>
      </c>
    </row>
    <row r="81" customFormat="false" ht="17.15" hidden="false" customHeight="false" outlineLevel="0" collapsed="false">
      <c r="A81" s="0" t="s">
        <v>671</v>
      </c>
      <c r="B81" s="4" t="s">
        <v>36</v>
      </c>
      <c r="D81" s="16" t="n">
        <f aca="false">D75*D78</f>
        <v>0</v>
      </c>
      <c r="E81" s="16" t="n">
        <f aca="false">E75*E78*1</f>
        <v>0</v>
      </c>
      <c r="F81" s="16" t="n">
        <f aca="false">F75*F78*1</f>
        <v>0.35</v>
      </c>
      <c r="G81" s="16" t="n">
        <f aca="false">G75*G78*1</f>
        <v>0.4025</v>
      </c>
    </row>
    <row r="82" customFormat="false" ht="17.15" hidden="false" customHeight="false" outlineLevel="0" collapsed="false">
      <c r="A82" s="4" t="s">
        <v>721</v>
      </c>
      <c r="B82" s="0" t="s">
        <v>100</v>
      </c>
      <c r="D82" s="23" t="n">
        <f aca="false">gb_trn_26</f>
        <v>110</v>
      </c>
      <c r="E82" s="23" t="n">
        <f aca="false">gb_trn_27</f>
        <v>144</v>
      </c>
      <c r="F82" s="23" t="n">
        <f aca="false">gb_trn_28</f>
        <v>200</v>
      </c>
      <c r="G82" s="23" t="n">
        <f aca="false">gb_trn_28</f>
        <v>200</v>
      </c>
    </row>
    <row r="83" customFormat="false" ht="17.15" hidden="false" customHeight="false" outlineLevel="0" collapsed="false">
      <c r="A83" s="4" t="s">
        <v>722</v>
      </c>
      <c r="B83" s="0" t="s">
        <v>100</v>
      </c>
      <c r="D83" s="23" t="n">
        <f aca="false">gb_oth_26</f>
        <v>150</v>
      </c>
      <c r="E83" s="23" t="n">
        <f aca="false">gb_oth_27</f>
        <v>200</v>
      </c>
      <c r="F83" s="23" t="n">
        <f aca="false">gb_oth_28</f>
        <v>250</v>
      </c>
      <c r="G83" s="23" t="n">
        <f aca="false">gb_oth_28</f>
        <v>250</v>
      </c>
    </row>
    <row r="84" customFormat="false" ht="17.15" hidden="false" customHeight="false" outlineLevel="0" collapsed="false">
      <c r="A84" s="4" t="s">
        <v>723</v>
      </c>
      <c r="B84" s="0" t="s">
        <v>100</v>
      </c>
      <c r="D84" s="23" t="n">
        <f aca="false">gb_tpu_26</f>
        <v>192</v>
      </c>
      <c r="E84" s="23" t="n">
        <f aca="false">gb_tpu_27</f>
        <v>250</v>
      </c>
      <c r="F84" s="23" t="n">
        <f aca="false">gb_tpu_28</f>
        <v>288</v>
      </c>
      <c r="G84" s="23" t="n">
        <f aca="false">gb_tpu_28</f>
        <v>288</v>
      </c>
    </row>
    <row r="85" customFormat="false" ht="17.15" hidden="false" customHeight="false" outlineLevel="0" collapsed="false">
      <c r="A85" s="0" t="s">
        <v>724</v>
      </c>
      <c r="B85" s="0" t="s">
        <v>200</v>
      </c>
      <c r="D85" s="22" t="n">
        <f aca="false">hbm_A_26</f>
        <v>14.6</v>
      </c>
      <c r="E85" s="22" t="n">
        <f aca="false">hbm_A_27</f>
        <v>26.28</v>
      </c>
      <c r="F85" s="22" t="n">
        <f aca="false">hbm_A_28</f>
        <v>28.908</v>
      </c>
      <c r="G85" s="22" t="n">
        <f aca="false">hbm_A_29</f>
        <v>27.4626</v>
      </c>
    </row>
    <row r="86" customFormat="false" ht="17.15" hidden="false" customHeight="false" outlineLevel="0" collapsed="false">
      <c r="A86" s="4" t="s">
        <v>725</v>
      </c>
      <c r="B86" s="0" t="s">
        <v>122</v>
      </c>
      <c r="D86" s="22" t="n">
        <f aca="false">core_trn</f>
        <v>6.394</v>
      </c>
      <c r="E86" s="22" t="n">
        <f aca="false">core_trn*1</f>
        <v>6.394</v>
      </c>
      <c r="F86" s="22" t="n">
        <f aca="false">core_trn*1</f>
        <v>6.394</v>
      </c>
      <c r="G86" s="22" t="n">
        <f aca="false">core_trn*1</f>
        <v>6.394</v>
      </c>
    </row>
    <row r="87" customFormat="false" ht="17.15" hidden="false" customHeight="false" outlineLevel="0" collapsed="false">
      <c r="A87" s="4" t="s">
        <v>726</v>
      </c>
      <c r="B87" s="0" t="s">
        <v>122</v>
      </c>
      <c r="D87" s="22" t="n">
        <f aca="false">core_oth</f>
        <v>6</v>
      </c>
      <c r="E87" s="22" t="n">
        <f aca="false">core_oth*1</f>
        <v>6</v>
      </c>
      <c r="F87" s="22" t="n">
        <f aca="false">core_oth*1</f>
        <v>6</v>
      </c>
      <c r="G87" s="22" t="n">
        <f aca="false">core_oth*1</f>
        <v>6</v>
      </c>
    </row>
    <row r="88" customFormat="false" ht="17.15" hidden="false" customHeight="false" outlineLevel="0" collapsed="false">
      <c r="A88" s="4" t="s">
        <v>727</v>
      </c>
      <c r="B88" s="0" t="s">
        <v>122</v>
      </c>
      <c r="D88" s="22" t="n">
        <f aca="false">core_tpu</f>
        <v>8</v>
      </c>
      <c r="E88" s="22" t="n">
        <f aca="false">core_tpu*1</f>
        <v>8</v>
      </c>
      <c r="F88" s="22" t="n">
        <f aca="false">core_tpu*1</f>
        <v>8</v>
      </c>
      <c r="G88" s="22" t="n">
        <f aca="false">core_tpu*1</f>
        <v>8</v>
      </c>
    </row>
    <row r="89" customFormat="false" ht="17.15" hidden="false" customHeight="false" outlineLevel="0" collapsed="false">
      <c r="A89" s="4" t="s">
        <v>728</v>
      </c>
      <c r="B89" s="0" t="s">
        <v>122</v>
      </c>
      <c r="D89" s="22" t="n">
        <f aca="false">D82*D85/1000</f>
        <v>1.606</v>
      </c>
      <c r="E89" s="22" t="n">
        <f aca="false">E82*E85/1000</f>
        <v>3.78432</v>
      </c>
      <c r="F89" s="22" t="n">
        <f aca="false">F82*F85/1000</f>
        <v>5.7816</v>
      </c>
      <c r="G89" s="22" t="n">
        <f aca="false">G82*G85/1000</f>
        <v>5.49252</v>
      </c>
    </row>
    <row r="90" customFormat="false" ht="17.15" hidden="false" customHeight="false" outlineLevel="0" collapsed="false">
      <c r="A90" s="4" t="s">
        <v>729</v>
      </c>
      <c r="B90" s="0" t="s">
        <v>122</v>
      </c>
      <c r="D90" s="22" t="n">
        <f aca="false">D83*D85/1000</f>
        <v>2.19</v>
      </c>
      <c r="E90" s="22" t="n">
        <f aca="false">E83*E85/1000</f>
        <v>5.256</v>
      </c>
      <c r="F90" s="22" t="n">
        <f aca="false">F83*F85/1000</f>
        <v>7.227</v>
      </c>
      <c r="G90" s="22" t="n">
        <f aca="false">G83*G85/1000</f>
        <v>6.86565</v>
      </c>
    </row>
    <row r="91" customFormat="false" ht="17.15" hidden="false" customHeight="false" outlineLevel="0" collapsed="false">
      <c r="A91" s="4" t="s">
        <v>730</v>
      </c>
      <c r="B91" s="0" t="s">
        <v>122</v>
      </c>
      <c r="D91" s="22" t="n">
        <f aca="false">D84*D85/1000</f>
        <v>2.8032</v>
      </c>
      <c r="E91" s="22" t="n">
        <f aca="false">E84*E85/1000</f>
        <v>6.57</v>
      </c>
      <c r="F91" s="22" t="n">
        <f aca="false">F84*F85/1000</f>
        <v>8.325504</v>
      </c>
      <c r="G91" s="22" t="n">
        <f aca="false">G84*G85/1000</f>
        <v>7.9092288</v>
      </c>
    </row>
    <row r="92" customFormat="false" ht="17.15" hidden="false" customHeight="false" outlineLevel="0" collapsed="false">
      <c r="A92" s="4" t="s">
        <v>731</v>
      </c>
      <c r="B92" s="0" t="s">
        <v>122</v>
      </c>
      <c r="D92" s="22" t="n">
        <f aca="false">D86+f_hbm*D89</f>
        <v>7.3576</v>
      </c>
      <c r="E92" s="22" t="n">
        <f aca="false">E86+f_hbm*E89</f>
        <v>8.664592</v>
      </c>
      <c r="F92" s="22" t="n">
        <f aca="false">F86+f_hbm*F89</f>
        <v>9.86296</v>
      </c>
      <c r="G92" s="22" t="n">
        <f aca="false">G86+f_hbm*G89</f>
        <v>9.689512</v>
      </c>
      <c r="H92" s="4" t="s">
        <v>732</v>
      </c>
    </row>
    <row r="93" customFormat="false" ht="17.15" hidden="false" customHeight="false" outlineLevel="0" collapsed="false">
      <c r="A93" s="4" t="s">
        <v>733</v>
      </c>
      <c r="B93" s="0" t="s">
        <v>122</v>
      </c>
      <c r="D93" s="22" t="n">
        <f aca="false">D87+f_hbm*D90</f>
        <v>7.314</v>
      </c>
      <c r="E93" s="22" t="n">
        <f aca="false">E87+f_hbm*E90</f>
        <v>9.1536</v>
      </c>
      <c r="F93" s="22" t="n">
        <f aca="false">F87+f_hbm*F90</f>
        <v>10.3362</v>
      </c>
      <c r="G93" s="22" t="n">
        <f aca="false">G87+f_hbm*G90</f>
        <v>10.11939</v>
      </c>
    </row>
    <row r="94" customFormat="false" ht="17.15" hidden="false" customHeight="false" outlineLevel="0" collapsed="false">
      <c r="A94" s="4" t="s">
        <v>734</v>
      </c>
      <c r="B94" s="0" t="s">
        <v>122</v>
      </c>
      <c r="D94" s="22" t="n">
        <f aca="false">D88+f_hbm*D91</f>
        <v>9.68192</v>
      </c>
      <c r="E94" s="22" t="n">
        <f aca="false">E88+f_hbm*E91</f>
        <v>11.942</v>
      </c>
      <c r="F94" s="22" t="n">
        <f aca="false">F88+f_hbm*F91</f>
        <v>12.9953024</v>
      </c>
      <c r="G94" s="22" t="n">
        <f aca="false">G88+f_hbm*G91</f>
        <v>12.74553728</v>
      </c>
    </row>
    <row r="95" customFormat="false" ht="17.15" hidden="false" customHeight="false" outlineLevel="0" collapsed="false">
      <c r="A95" s="0" t="s">
        <v>735</v>
      </c>
      <c r="B95" s="0" t="s">
        <v>239</v>
      </c>
      <c r="D95" s="22" t="n">
        <f aca="false">D79*D92+D80*D93+D81*D94</f>
        <v>1.83722</v>
      </c>
      <c r="E95" s="22" t="n">
        <f aca="false">E79*E92+E80*E93+E81*E94</f>
        <v>4.63762</v>
      </c>
      <c r="F95" s="22" t="n">
        <f aca="false">F79*F92+F80*F93+F81*F94</f>
        <v>14.66761624</v>
      </c>
      <c r="G95" s="22" t="n">
        <f aca="false">G79*G92+G80*G93+G81*G94</f>
        <v>16.5323579422</v>
      </c>
    </row>
    <row r="96" customFormat="false" ht="17.15" hidden="false" customHeight="false" outlineLevel="0" collapsed="false">
      <c r="A96" s="0" t="s">
        <v>736</v>
      </c>
      <c r="B96" s="0" t="s">
        <v>80</v>
      </c>
      <c r="D96" s="16" t="n">
        <f aca="false">a27_xpu/D95</f>
        <v>0.802843426481314</v>
      </c>
      <c r="H96" s="7" t="s">
        <v>737</v>
      </c>
    </row>
    <row r="97" customFormat="false" ht="17.15" hidden="false" customHeight="false" outlineLevel="0" collapsed="false">
      <c r="A97" s="0" t="s">
        <v>738</v>
      </c>
      <c r="B97" s="0" t="s">
        <v>239</v>
      </c>
      <c r="D97" s="22" t="n">
        <f aca="false">D95*$D$96</f>
        <v>1.475</v>
      </c>
      <c r="E97" s="22" t="n">
        <f aca="false">E95*$D$96</f>
        <v>3.72328273151827</v>
      </c>
      <c r="F97" s="22" t="n">
        <f aca="false">F95*$D$96</f>
        <v>11.7757992804346</v>
      </c>
      <c r="G97" s="22" t="n">
        <f aca="false">G95*$D$96</f>
        <v>13.2728948981314</v>
      </c>
    </row>
    <row r="98" customFormat="false" ht="17.15" hidden="false" customHeight="false" outlineLevel="0" collapsed="false">
      <c r="A98" s="4" t="s">
        <v>739</v>
      </c>
      <c r="B98" s="0" t="s">
        <v>239</v>
      </c>
      <c r="D98" s="22" t="n">
        <f aca="false">$D$96*f_hbm*(D79*D89+D80*D90+D81*D91)</f>
        <v>0.207470798271301</v>
      </c>
      <c r="E98" s="22" t="n">
        <f aca="false">$D$96*f_hbm*(E79*E89+E80*E90+E81*E91)</f>
        <v>1.13933116338816</v>
      </c>
      <c r="F98" s="22" t="n">
        <f aca="false">$D$96*f_hbm*(F79*F89+F80*F90+F81*F91)</f>
        <v>4.68303085857981</v>
      </c>
      <c r="G98" s="22" t="n">
        <f aca="false">$D$96*f_hbm*(G79*G89+G80*G90+G81*G91)</f>
        <v>5.11621121299844</v>
      </c>
    </row>
    <row r="99" customFormat="false" ht="15" hidden="false" customHeight="false" outlineLevel="0" collapsed="false">
      <c r="A99" s="4" t="s">
        <v>740</v>
      </c>
      <c r="B99" s="0" t="s">
        <v>239</v>
      </c>
      <c r="D99" s="22" t="n">
        <f aca="false">D97-D98</f>
        <v>1.2675292017287</v>
      </c>
      <c r="E99" s="22" t="n">
        <f aca="false">E97-E98</f>
        <v>2.58395156813011</v>
      </c>
      <c r="F99" s="22" t="n">
        <f aca="false">F97-F98</f>
        <v>7.09276842185476</v>
      </c>
      <c r="G99" s="22" t="n">
        <f aca="false">G97-G98</f>
        <v>8.15668368513297</v>
      </c>
    </row>
    <row r="100" customFormat="false" ht="17.15" hidden="false" customHeight="false" outlineLevel="0" collapsed="false">
      <c r="A100" s="0" t="s">
        <v>741</v>
      </c>
      <c r="B100" s="4" t="s">
        <v>36</v>
      </c>
      <c r="D100" s="16" t="n">
        <f aca="false">D79+D80+D81</f>
        <v>0.25</v>
      </c>
      <c r="E100" s="16" t="n">
        <f aca="false">E79+E80+E81</f>
        <v>0.52</v>
      </c>
      <c r="F100" s="16" t="n">
        <f aca="false">F79+F80+F81</f>
        <v>1.34</v>
      </c>
      <c r="G100" s="16" t="n">
        <f aca="false">G79+G80+G81</f>
        <v>1.541</v>
      </c>
    </row>
    <row r="101" customFormat="false" ht="17.15" hidden="false" customHeight="false" outlineLevel="0" collapsed="false">
      <c r="A101" s="0" t="s">
        <v>742</v>
      </c>
      <c r="B101" s="0" t="s">
        <v>239</v>
      </c>
      <c r="C101" s="22" t="n">
        <f aca="false">a26_att</f>
        <v>0.2</v>
      </c>
      <c r="D101" s="22" t="n">
        <f aca="false">a27_att</f>
        <v>0.4</v>
      </c>
      <c r="E101" s="22" t="n">
        <f aca="false">att28</f>
        <v>1</v>
      </c>
      <c r="F101" s="22" t="n">
        <f aca="false">att28*(1+g_att)*um28_A</f>
        <v>1.5</v>
      </c>
      <c r="G101" s="22" t="n">
        <f aca="false">att28*(1+g_att)^2*um29_A</f>
        <v>2.25</v>
      </c>
      <c r="H101" s="7" t="s">
        <v>743</v>
      </c>
    </row>
    <row r="102" customFormat="false" ht="17.15" hidden="false" customHeight="false" outlineLevel="0" collapsed="false">
      <c r="A102" s="4" t="s">
        <v>744</v>
      </c>
      <c r="B102" s="0" t="s">
        <v>239</v>
      </c>
      <c r="C102" s="22" t="n">
        <f aca="false">a26_cus</f>
        <v>1.5</v>
      </c>
      <c r="D102" s="22" t="n">
        <f aca="false">D97+D101</f>
        <v>1.875</v>
      </c>
      <c r="E102" s="22" t="n">
        <f aca="false">E97+E101</f>
        <v>4.72328273151827</v>
      </c>
      <c r="F102" s="22" t="n">
        <f aca="false">F97+F101</f>
        <v>13.2757992804346</v>
      </c>
      <c r="G102" s="22" t="n">
        <f aca="false">G97+G101</f>
        <v>15.5228948981314</v>
      </c>
    </row>
    <row r="103" customFormat="false" ht="17.15" hidden="false" customHeight="false" outlineLevel="0" collapsed="false">
      <c r="A103" s="1" t="s">
        <v>745</v>
      </c>
    </row>
    <row r="104" customFormat="false" ht="17.15" hidden="false" customHeight="false" outlineLevel="0" collapsed="false">
      <c r="A104" s="0" t="s">
        <v>746</v>
      </c>
      <c r="B104" s="0" t="s">
        <v>239</v>
      </c>
      <c r="D104" s="22" t="n">
        <f aca="false">plug_26*1</f>
        <v>29.753262</v>
      </c>
      <c r="E104" s="22" t="n">
        <f aca="false">plug_27*1</f>
        <v>53.560715</v>
      </c>
      <c r="F104" s="22" t="n">
        <f aca="false">plug_28*um28_A</f>
        <v>57.9915</v>
      </c>
      <c r="G104" s="22" t="n">
        <f aca="false">plug_29*um29_A</f>
        <v>72.9348</v>
      </c>
    </row>
    <row r="105" customFormat="false" ht="17.15" hidden="false" customHeight="false" outlineLevel="0" collapsed="false">
      <c r="A105" s="4" t="s">
        <v>747</v>
      </c>
      <c r="B105" s="4" t="s">
        <v>680</v>
      </c>
      <c r="D105" s="19" t="n">
        <f aca="false">D104*1000/asp_26</f>
        <v>45.7742492307692</v>
      </c>
      <c r="E105" s="19" t="n">
        <f aca="false">E104*1000/asp_27</f>
        <v>66.95089375</v>
      </c>
      <c r="F105" s="19" t="n">
        <f aca="false">F104*1000/asp_28</f>
        <v>68.2252941176471</v>
      </c>
      <c r="G105" s="19" t="n">
        <f aca="false">G104*1000/asp_29</f>
        <v>85.8056470588235</v>
      </c>
    </row>
    <row r="106" customFormat="false" ht="17.15" hidden="false" customHeight="false" outlineLevel="0" collapsed="false">
      <c r="A106" s="4" t="s">
        <v>748</v>
      </c>
      <c r="B106" s="0" t="s">
        <v>49</v>
      </c>
      <c r="D106" s="14" t="n">
        <f aca="false">MIN(1,lpo_26)</f>
        <v>0.03</v>
      </c>
      <c r="E106" s="14" t="n">
        <f aca="false">MIN(1,lpo_27+0)</f>
        <v>0.06</v>
      </c>
      <c r="F106" s="14" t="n">
        <f aca="false">MIN(1,lpo_28+0)</f>
        <v>0.1</v>
      </c>
      <c r="G106" s="14" t="n">
        <f aca="false">MIN(1,lpo_29+0)</f>
        <v>0.15</v>
      </c>
    </row>
    <row r="107" customFormat="false" ht="15" hidden="false" customHeight="false" outlineLevel="0" collapsed="false">
      <c r="A107" s="4" t="s">
        <v>749</v>
      </c>
      <c r="B107" s="0" t="s">
        <v>253</v>
      </c>
      <c r="D107" s="23" t="n">
        <f aca="false">dsp_26</f>
        <v>125</v>
      </c>
      <c r="E107" s="23" t="n">
        <f aca="false">dsp_27*1</f>
        <v>135</v>
      </c>
      <c r="F107" s="23" t="n">
        <f aca="false">dsp_28*1</f>
        <v>135</v>
      </c>
      <c r="G107" s="23" t="n">
        <f aca="false">dsp_29*1</f>
        <v>130</v>
      </c>
    </row>
    <row r="108" customFormat="false" ht="17.15" hidden="false" customHeight="false" outlineLevel="0" collapsed="false">
      <c r="A108" s="4" t="s">
        <v>750</v>
      </c>
      <c r="B108" s="0" t="s">
        <v>239</v>
      </c>
      <c r="D108" s="22" t="n">
        <f aca="false">D105*(1-D106)*D107/1000</f>
        <v>5.55012771923077</v>
      </c>
      <c r="E108" s="22" t="n">
        <f aca="false">E105*(1-E106)*E107/1000</f>
        <v>8.496068416875</v>
      </c>
      <c r="F108" s="22" t="n">
        <f aca="false">F105*(1-F106)*F107/1000</f>
        <v>8.28937323529412</v>
      </c>
      <c r="G108" s="22" t="n">
        <f aca="false">G105*(1-G106)*G107/1000</f>
        <v>9.481524</v>
      </c>
    </row>
    <row r="109" customFormat="false" ht="17.15" hidden="false" customHeight="false" outlineLevel="0" collapsed="false">
      <c r="A109" s="0" t="s">
        <v>751</v>
      </c>
      <c r="B109" s="0" t="s">
        <v>49</v>
      </c>
      <c r="D109" s="14" t="n">
        <f aca="false">msh_dsp_26</f>
        <v>0.65</v>
      </c>
      <c r="E109" s="14" t="n">
        <f aca="false">msh_dsp_27+0</f>
        <v>0.63</v>
      </c>
      <c r="F109" s="14" t="n">
        <f aca="false">msh_dsp_28+0</f>
        <v>0.6</v>
      </c>
      <c r="G109" s="14" t="n">
        <f aca="false">msh_dsp_29+0</f>
        <v>0.58</v>
      </c>
    </row>
    <row r="110" customFormat="false" ht="17.15" hidden="false" customHeight="false" outlineLevel="0" collapsed="false">
      <c r="A110" s="0" t="s">
        <v>682</v>
      </c>
      <c r="B110" s="0" t="s">
        <v>239</v>
      </c>
      <c r="D110" s="22" t="n">
        <f aca="false">D108*D109</f>
        <v>3.6075830175</v>
      </c>
      <c r="E110" s="22" t="n">
        <f aca="false">E108*E109*1</f>
        <v>5.35252310263125</v>
      </c>
      <c r="F110" s="22" t="n">
        <f aca="false">F108*F109*1</f>
        <v>4.97362394117647</v>
      </c>
      <c r="G110" s="22" t="n">
        <f aca="false">G108*G109*1</f>
        <v>5.49928392</v>
      </c>
    </row>
    <row r="111" customFormat="false" ht="17.15" hidden="false" customHeight="false" outlineLevel="0" collapsed="false">
      <c r="A111" s="4" t="s">
        <v>752</v>
      </c>
      <c r="B111" s="0" t="s">
        <v>239</v>
      </c>
      <c r="D111" s="22" t="n">
        <f aca="false">coh27</f>
        <v>0.9</v>
      </c>
      <c r="E111" s="22" t="n">
        <f aca="false">D111*(1+g_coh)</f>
        <v>1.035</v>
      </c>
      <c r="F111" s="22" t="n">
        <f aca="false">E111*(1+g_coh)</f>
        <v>1.19025</v>
      </c>
      <c r="G111" s="22" t="n">
        <f aca="false">F111*(1+g_coh)</f>
        <v>1.3687875</v>
      </c>
    </row>
    <row r="112" customFormat="false" ht="17.15" hidden="false" customHeight="false" outlineLevel="0" collapsed="false">
      <c r="A112" s="4" t="s">
        <v>753</v>
      </c>
      <c r="B112" s="0" t="s">
        <v>80</v>
      </c>
      <c r="D112" s="16" t="n">
        <f aca="false">(a27_ic-D111)/D110</f>
        <v>1.44223430888795</v>
      </c>
      <c r="H112" s="7" t="s">
        <v>754</v>
      </c>
    </row>
    <row r="113" customFormat="false" ht="15" hidden="false" customHeight="false" outlineLevel="0" collapsed="false">
      <c r="A113" s="4" t="s">
        <v>755</v>
      </c>
      <c r="B113" s="0" t="s">
        <v>239</v>
      </c>
      <c r="C113" s="22" t="n">
        <f aca="false">a26_ic</f>
        <v>3.4503</v>
      </c>
      <c r="D113" s="22" t="n">
        <f aca="false">D110*$D$112+D111</f>
        <v>6.10298</v>
      </c>
      <c r="E113" s="22" t="n">
        <f aca="false">E110*$D$112+E111</f>
        <v>8.75459245773014</v>
      </c>
      <c r="F113" s="22" t="n">
        <f aca="false">F110*$D$112+F111</f>
        <v>8.36338108747118</v>
      </c>
      <c r="G113" s="22" t="n">
        <f aca="false">G110*$D$112+G111</f>
        <v>9.30004344373979</v>
      </c>
    </row>
    <row r="114" customFormat="false" ht="17.15" hidden="false" customHeight="false" outlineLevel="0" collapsed="false">
      <c r="A114" s="1" t="s">
        <v>756</v>
      </c>
    </row>
    <row r="115" customFormat="false" ht="15" hidden="false" customHeight="false" outlineLevel="0" collapsed="false">
      <c r="A115" s="4" t="s">
        <v>757</v>
      </c>
      <c r="B115" s="0" t="s">
        <v>239</v>
      </c>
      <c r="C115" s="22" t="n">
        <f aca="false">a26_sw</f>
        <v>0.3</v>
      </c>
      <c r="D115" s="22" t="n">
        <f aca="false">a27_sw</f>
        <v>0.65</v>
      </c>
      <c r="E115" s="22" t="n">
        <f aca="false">a27_sw*(1+g_sw28)</f>
        <v>1.17</v>
      </c>
      <c r="F115" s="22" t="n">
        <f aca="false">a27_sw*(1+g_sw28)*(1+g_sw)*um28_A</f>
        <v>1.638</v>
      </c>
      <c r="G115" s="22" t="n">
        <f aca="false">a27_sw*(1+g_sw28)*(1+g_sw)^2*um29_A</f>
        <v>2.2932</v>
      </c>
    </row>
    <row r="116" customFormat="false" ht="17.15" hidden="false" customHeight="false" outlineLevel="0" collapsed="false">
      <c r="A116" s="0" t="s">
        <v>758</v>
      </c>
      <c r="B116" s="0" t="s">
        <v>239</v>
      </c>
      <c r="C116" s="22" t="n">
        <f aca="false">a26_aec</f>
        <v>0.2</v>
      </c>
      <c r="D116" s="22" t="n">
        <f aca="false">a27_aec</f>
        <v>0.45</v>
      </c>
      <c r="E116" s="22" t="n">
        <f aca="false">a27_aec*(1+g_aec)</f>
        <v>0.675</v>
      </c>
      <c r="F116" s="22" t="n">
        <f aca="false">a27_aec*(1+g_aec)^2*um28_A</f>
        <v>1.0125</v>
      </c>
      <c r="G116" s="22" t="n">
        <f aca="false">a27_aec*(1+g_aec)^3*um29_A</f>
        <v>1.51875</v>
      </c>
    </row>
    <row r="117" customFormat="false" ht="15" hidden="false" customHeight="false" outlineLevel="0" collapsed="false">
      <c r="A117" s="4" t="s">
        <v>759</v>
      </c>
      <c r="B117" s="0" t="s">
        <v>239</v>
      </c>
      <c r="C117" s="22" t="n">
        <f aca="false">a26_sto</f>
        <v>0.65</v>
      </c>
      <c r="D117" s="22" t="n">
        <f aca="false">a27_sto</f>
        <v>0.6825</v>
      </c>
      <c r="E117" s="22" t="n">
        <f aca="false">D117*(1+g_sto)</f>
        <v>0.716625</v>
      </c>
      <c r="F117" s="22" t="n">
        <f aca="false">E117*(1+g_sto)</f>
        <v>0.75245625</v>
      </c>
      <c r="G117" s="22" t="n">
        <f aca="false">F117*(1+g_sto)</f>
        <v>0.7900790625</v>
      </c>
    </row>
    <row r="118" customFormat="false" ht="15" hidden="false" customHeight="false" outlineLevel="0" collapsed="false">
      <c r="A118" s="4" t="s">
        <v>760</v>
      </c>
      <c r="B118" s="0" t="s">
        <v>239</v>
      </c>
      <c r="C118" s="22" t="n">
        <f aca="false">a26_dc</f>
        <v>6.1003</v>
      </c>
      <c r="D118" s="22" t="n">
        <f aca="false">D102+D113+D115+D116+D117</f>
        <v>9.76048</v>
      </c>
      <c r="E118" s="22" t="n">
        <f aca="false">E102+E113+E115+E116+E117</f>
        <v>16.0395001892484</v>
      </c>
      <c r="F118" s="22" t="n">
        <f aca="false">F102+F113+F115+F116+F117</f>
        <v>25.0421366179058</v>
      </c>
      <c r="G118" s="22" t="n">
        <f aca="false">G102+G113+G115+G116+G117</f>
        <v>29.4249674043712</v>
      </c>
    </row>
    <row r="119" customFormat="false" ht="15" hidden="false" customHeight="false" outlineLevel="0" collapsed="false">
      <c r="A119" s="4" t="s">
        <v>761</v>
      </c>
      <c r="B119" s="0" t="s">
        <v>239</v>
      </c>
      <c r="C119" s="22" t="n">
        <f aca="false">a26_co</f>
        <v>2.0943</v>
      </c>
      <c r="D119" s="22" t="n">
        <f aca="false">a27_co</f>
        <v>2.23952</v>
      </c>
      <c r="E119" s="22" t="n">
        <f aca="false">D119*(1+g_co28)</f>
        <v>2.3067056</v>
      </c>
      <c r="F119" s="22" t="n">
        <f aca="false">E119*(1+g_co)</f>
        <v>2.375906768</v>
      </c>
      <c r="G119" s="22" t="n">
        <f aca="false">F119*(1+g_co)</f>
        <v>2.44718397104</v>
      </c>
    </row>
    <row r="120" customFormat="false" ht="17.15" hidden="false" customHeight="false" outlineLevel="0" collapsed="false">
      <c r="A120" s="1" t="s">
        <v>762</v>
      </c>
    </row>
    <row r="121" customFormat="false" ht="15" hidden="false" customHeight="false" outlineLevel="0" collapsed="false">
      <c r="A121" s="4" t="s">
        <v>597</v>
      </c>
      <c r="B121" s="0" t="s">
        <v>239</v>
      </c>
      <c r="C121" s="22" t="n">
        <f aca="false">a26_rev</f>
        <v>8.1946</v>
      </c>
      <c r="D121" s="22" t="n">
        <f aca="false">a27_rev</f>
        <v>12</v>
      </c>
      <c r="E121" s="22" t="n">
        <f aca="false">E118+E119</f>
        <v>18.3462057892484</v>
      </c>
      <c r="F121" s="22" t="n">
        <f aca="false">F118+F119</f>
        <v>27.4180433859058</v>
      </c>
      <c r="G121" s="22" t="n">
        <f aca="false">G118+G119</f>
        <v>31.8721513754112</v>
      </c>
    </row>
    <row r="122" customFormat="false" ht="17.15" hidden="false" customHeight="false" outlineLevel="0" collapsed="false">
      <c r="A122" s="4" t="s">
        <v>763</v>
      </c>
      <c r="B122" s="0" t="s">
        <v>239</v>
      </c>
      <c r="D122" s="22" t="n">
        <f aca="false">D118+D119</f>
        <v>12</v>
      </c>
      <c r="E122" s="22" t="n">
        <f aca="false">E118+E119</f>
        <v>18.3462057892484</v>
      </c>
      <c r="F122" s="22" t="n">
        <f aca="false">F118+F119</f>
        <v>27.4180433859058</v>
      </c>
      <c r="G122" s="22" t="n">
        <f aca="false">G118+G119</f>
        <v>31.8721513754112</v>
      </c>
    </row>
    <row r="123" customFormat="false" ht="15" hidden="false" customHeight="false" outlineLevel="0" collapsed="false">
      <c r="A123" s="4" t="s">
        <v>764</v>
      </c>
      <c r="B123" s="0" t="s">
        <v>49</v>
      </c>
      <c r="D123" s="14" t="n">
        <f aca="false">D121/C121-1</f>
        <v>0.464378981280355</v>
      </c>
      <c r="E123" s="14" t="n">
        <f aca="false">E121/D121-1</f>
        <v>0.528850482437368</v>
      </c>
      <c r="F123" s="14" t="n">
        <f aca="false">F121/E121-1</f>
        <v>0.494480313851804</v>
      </c>
      <c r="G123" s="14" t="n">
        <f aca="false">G121/F121-1</f>
        <v>0.162451708417497</v>
      </c>
    </row>
    <row r="124" customFormat="false" ht="17.15" hidden="false" customHeight="false" outlineLevel="0" collapsed="false">
      <c r="A124" s="4" t="s">
        <v>765</v>
      </c>
      <c r="B124" s="0" t="s">
        <v>49</v>
      </c>
      <c r="C124" s="14" t="n">
        <f aca="false">C118/C121</f>
        <v>0.744429258292046</v>
      </c>
      <c r="D124" s="14" t="n">
        <f aca="false">D118/D121</f>
        <v>0.813373333333333</v>
      </c>
      <c r="E124" s="14" t="n">
        <f aca="false">E118/E121</f>
        <v>0.874267975269752</v>
      </c>
      <c r="F124" s="14" t="n">
        <f aca="false">F118/F121</f>
        <v>0.91334513792398</v>
      </c>
      <c r="G124" s="14" t="n">
        <f aca="false">G118/G121</f>
        <v>0.923218739073637</v>
      </c>
    </row>
    <row r="125" customFormat="false" ht="17.15" hidden="false" customHeight="false" outlineLevel="0" collapsed="false">
      <c r="A125" s="4" t="s">
        <v>766</v>
      </c>
      <c r="B125" s="0" t="s">
        <v>239</v>
      </c>
      <c r="D125" s="22" t="n">
        <f aca="false">gm_opt*D113+gm_oth*(D115+D116+D117)+gm_att*D101+gm_co*D119+m_hbm*D98</f>
        <v>6.45404607982713</v>
      </c>
      <c r="E125" s="22" t="n">
        <f aca="false">gm_opt*E113+gm_oth*(E115+E116+E117)+gm_att*E101+gm_co*E119+m_hbm*E98</f>
        <v>9.05419061270881</v>
      </c>
      <c r="F125" s="22" t="n">
        <f aca="false">gm_opt*F113+gm_oth*(F115+F116+F117)+gm_att*F101+gm_co*F119+m_hbm*F98</f>
        <v>9.98203284640483</v>
      </c>
      <c r="G125" s="22" t="n">
        <f aca="false">gm_opt*G113+gm_oth*(G115+G116+G117)+gm_att*G101+gm_co*G119+m_hbm*G98</f>
        <v>11.7887326315591</v>
      </c>
    </row>
    <row r="126" customFormat="false" ht="17.15" hidden="false" customHeight="false" outlineLevel="0" collapsed="false">
      <c r="A126" s="0" t="s">
        <v>767</v>
      </c>
      <c r="B126" s="0" t="s">
        <v>80</v>
      </c>
      <c r="D126" s="16" t="n">
        <f aca="false">(a27_gp-D125)/D99</f>
        <v>0.435994625937743</v>
      </c>
      <c r="H126" s="7" t="s">
        <v>768</v>
      </c>
    </row>
    <row r="127" customFormat="false" ht="15" hidden="false" customHeight="false" outlineLevel="0" collapsed="false">
      <c r="A127" s="4" t="s">
        <v>769</v>
      </c>
      <c r="B127" s="0" t="s">
        <v>239</v>
      </c>
      <c r="C127" s="22" t="n">
        <f aca="false">a26_gp</f>
        <v>4.8718</v>
      </c>
      <c r="D127" s="22" t="n">
        <f aca="false">a27_gp</f>
        <v>7.006682</v>
      </c>
      <c r="E127" s="22" t="n">
        <f aca="false">E125+$D$126*E99</f>
        <v>10.1807796100969</v>
      </c>
      <c r="F127" s="22" t="n">
        <f aca="false">F125+$D$126*F99</f>
        <v>13.0744417613544</v>
      </c>
      <c r="G127" s="22" t="n">
        <f aca="false">G125+$D$126*G99</f>
        <v>15.3450028837512</v>
      </c>
    </row>
    <row r="128" customFormat="false" ht="15" hidden="false" customHeight="false" outlineLevel="0" collapsed="false">
      <c r="A128" s="4" t="s">
        <v>621</v>
      </c>
      <c r="B128" s="0" t="s">
        <v>49</v>
      </c>
      <c r="C128" s="14" t="n">
        <f aca="false">C127/C121</f>
        <v>0.59451346008347</v>
      </c>
      <c r="D128" s="14" t="n">
        <f aca="false">D127/D121</f>
        <v>0.583890166666667</v>
      </c>
      <c r="E128" s="14" t="n">
        <f aca="false">E127/E121</f>
        <v>0.554925619337774</v>
      </c>
      <c r="F128" s="14" t="n">
        <f aca="false">F127/F121</f>
        <v>0.476855389618186</v>
      </c>
      <c r="G128" s="14" t="n">
        <f aca="false">G127/G121</f>
        <v>0.481454882132291</v>
      </c>
    </row>
    <row r="129" customFormat="false" ht="17.15" hidden="false" customHeight="false" outlineLevel="0" collapsed="false">
      <c r="A129" s="4" t="s">
        <v>770</v>
      </c>
      <c r="B129" s="0" t="s">
        <v>49</v>
      </c>
      <c r="C129" s="14" t="n">
        <f aca="false">C102/C121</f>
        <v>0.183047372660044</v>
      </c>
      <c r="D129" s="14" t="n">
        <f aca="false">D102/D121</f>
        <v>0.15625</v>
      </c>
      <c r="E129" s="14" t="n">
        <f aca="false">E102/E121</f>
        <v>0.25745283715755</v>
      </c>
      <c r="F129" s="14" t="n">
        <f aca="false">F102/F121</f>
        <v>0.484199368043126</v>
      </c>
      <c r="G129" s="14" t="n">
        <f aca="false">G102/G121</f>
        <v>0.48703630687783</v>
      </c>
    </row>
    <row r="130" customFormat="false" ht="15" hidden="false" customHeight="false" outlineLevel="0" collapsed="false">
      <c r="A130" s="4" t="s">
        <v>771</v>
      </c>
      <c r="B130" s="0" t="s">
        <v>239</v>
      </c>
      <c r="C130" s="22" t="n">
        <f aca="false">a26_opx</f>
        <v>1.9808</v>
      </c>
      <c r="D130" s="22" t="n">
        <f aca="false">a27_opx</f>
        <v>2.55</v>
      </c>
      <c r="E130" s="22" t="n">
        <f aca="false">D130*(1+MAX(g_opx_min,phi*E123))</f>
        <v>3.22428436510764</v>
      </c>
      <c r="F130" s="22" t="n">
        <f aca="false">E130*(1+MAX(g_opx_min,phi*F123))</f>
        <v>4.02145693751059</v>
      </c>
      <c r="G130" s="22" t="n">
        <f aca="false">F130*(1+MAX(g_opx_min,phi*G123))</f>
        <v>4.34810321242359</v>
      </c>
    </row>
    <row r="131" customFormat="false" ht="15" hidden="false" customHeight="false" outlineLevel="0" collapsed="false">
      <c r="A131" s="4" t="s">
        <v>772</v>
      </c>
      <c r="B131" s="0" t="s">
        <v>239</v>
      </c>
      <c r="C131" s="22" t="n">
        <f aca="false">C130</f>
        <v>1.9808</v>
      </c>
      <c r="D131" s="22" t="n">
        <f aca="false">D130</f>
        <v>2.55</v>
      </c>
      <c r="E131" s="22" t="n">
        <f aca="false">E130+0*E121</f>
        <v>3.22428436510764</v>
      </c>
      <c r="F131" s="22" t="n">
        <f aca="false">F130+0*F121</f>
        <v>4.02145693751059</v>
      </c>
      <c r="G131" s="22" t="n">
        <f aca="false">G130+0*G121</f>
        <v>4.34810321242359</v>
      </c>
    </row>
    <row r="132" customFormat="false" ht="15" hidden="false" customHeight="false" outlineLevel="0" collapsed="false">
      <c r="A132" s="4" t="s">
        <v>773</v>
      </c>
      <c r="B132" s="0" t="s">
        <v>239</v>
      </c>
      <c r="C132" s="22" t="n">
        <f aca="false">C127-C131</f>
        <v>2.891</v>
      </c>
      <c r="D132" s="22" t="n">
        <f aca="false">D127-D131</f>
        <v>4.456682</v>
      </c>
      <c r="E132" s="22" t="n">
        <f aca="false">E127-E131</f>
        <v>6.95649524498929</v>
      </c>
      <c r="F132" s="22" t="n">
        <f aca="false">F127-F131</f>
        <v>9.05298482384384</v>
      </c>
      <c r="G132" s="22" t="n">
        <f aca="false">G127-G131</f>
        <v>10.9968996713276</v>
      </c>
    </row>
    <row r="133" customFormat="false" ht="15" hidden="false" customHeight="false" outlineLevel="0" collapsed="false">
      <c r="A133" s="4" t="s">
        <v>627</v>
      </c>
      <c r="B133" s="0" t="s">
        <v>49</v>
      </c>
      <c r="C133" s="14" t="n">
        <f aca="false">C132/C121</f>
        <v>0.352793302906792</v>
      </c>
      <c r="D133" s="14" t="n">
        <f aca="false">D132/D121</f>
        <v>0.371390166666667</v>
      </c>
      <c r="E133" s="14" t="n">
        <f aca="false">E132/E121</f>
        <v>0.379178960756347</v>
      </c>
      <c r="F133" s="14" t="n">
        <f aca="false">F132/F121</f>
        <v>0.330183474306468</v>
      </c>
      <c r="G133" s="14" t="n">
        <f aca="false">G132/G121</f>
        <v>0.345031608999306</v>
      </c>
    </row>
    <row r="134" customFormat="false" ht="15" hidden="false" customHeight="false" outlineLevel="0" collapsed="false">
      <c r="A134" s="4" t="s">
        <v>774</v>
      </c>
      <c r="B134" s="0" t="s">
        <v>239</v>
      </c>
      <c r="C134" s="22" t="n">
        <f aca="false">a26_oth</f>
        <v>0.1514</v>
      </c>
      <c r="D134" s="22" t="n">
        <f aca="false">a27_oth</f>
        <v>0.1424</v>
      </c>
      <c r="E134" s="22" t="n">
        <f aca="false">int_f</f>
        <v>0.15</v>
      </c>
      <c r="F134" s="22" t="n">
        <f aca="false">int_f</f>
        <v>0.15</v>
      </c>
      <c r="G134" s="22" t="n">
        <f aca="false">int_f</f>
        <v>0.15</v>
      </c>
    </row>
    <row r="135" customFormat="false" ht="15" hidden="false" customHeight="false" outlineLevel="0" collapsed="false">
      <c r="A135" s="4" t="s">
        <v>775</v>
      </c>
      <c r="B135" s="0" t="s">
        <v>49</v>
      </c>
      <c r="C135" s="14" t="n">
        <f aca="false">a26_tax/(a26_oi-a26_oth)</f>
        <v>0.1</v>
      </c>
      <c r="D135" s="14" t="n">
        <f aca="false">a27_tax/(a27_oi-a27_oth)</f>
        <v>0.11</v>
      </c>
      <c r="E135" s="14" t="n">
        <f aca="false">tx_f</f>
        <v>0.13</v>
      </c>
      <c r="F135" s="14" t="n">
        <f aca="false">tx_f</f>
        <v>0.13</v>
      </c>
      <c r="G135" s="14" t="n">
        <f aca="false">tx_f</f>
        <v>0.13</v>
      </c>
    </row>
    <row r="136" customFormat="false" ht="17.15" hidden="false" customHeight="false" outlineLevel="0" collapsed="false">
      <c r="A136" s="4" t="s">
        <v>708</v>
      </c>
      <c r="B136" s="0" t="s">
        <v>239</v>
      </c>
      <c r="C136" s="22" t="n">
        <f aca="false">a26_ni</f>
        <v>2.46564</v>
      </c>
      <c r="D136" s="22" t="n">
        <f aca="false">a27_ni</f>
        <v>3.83971098</v>
      </c>
      <c r="E136" s="22" t="n">
        <f aca="false">(E132-E134)*(1-E135)</f>
        <v>5.92165086314068</v>
      </c>
      <c r="F136" s="22" t="n">
        <f aca="false">(F132-F134)*(1-F135)</f>
        <v>7.74559679674414</v>
      </c>
      <c r="G136" s="22" t="n">
        <f aca="false">(G132-G134)*(1-G135)</f>
        <v>9.43680271405498</v>
      </c>
    </row>
    <row r="137" customFormat="false" ht="15" hidden="false" customHeight="false" outlineLevel="0" collapsed="false">
      <c r="A137" s="4" t="s">
        <v>776</v>
      </c>
      <c r="B137" s="4" t="s">
        <v>370</v>
      </c>
      <c r="C137" s="16" t="n">
        <f aca="false">a26_sh</f>
        <v>0.8697</v>
      </c>
      <c r="D137" s="16" t="n">
        <f aca="false">a27_sh</f>
        <v>0.915125</v>
      </c>
      <c r="E137" s="16" t="n">
        <f aca="false">D137*(1+sh_g)</f>
        <v>0.919700625</v>
      </c>
      <c r="F137" s="16" t="n">
        <f aca="false">E137*(1+sh_g)</f>
        <v>0.924299128125</v>
      </c>
      <c r="G137" s="16" t="n">
        <f aca="false">F137*(1+sh_g)</f>
        <v>0.928920623765625</v>
      </c>
    </row>
    <row r="138" customFormat="false" ht="17.15" hidden="false" customHeight="false" outlineLevel="0" collapsed="false">
      <c r="A138" s="0" t="s">
        <v>709</v>
      </c>
      <c r="B138" s="0" t="s">
        <v>253</v>
      </c>
      <c r="C138" s="22" t="n">
        <f aca="false">C136/C137</f>
        <v>2.83504656778199</v>
      </c>
      <c r="D138" s="22" t="n">
        <f aca="false">D136/D137</f>
        <v>4.19583224149706</v>
      </c>
      <c r="E138" s="22" t="n">
        <f aca="false">E136/E137</f>
        <v>6.43867221808258</v>
      </c>
      <c r="F138" s="22" t="n">
        <f aca="false">F136/F137</f>
        <v>8.37996765447197</v>
      </c>
      <c r="G138" s="22" t="n">
        <f aca="false">G136/G137</f>
        <v>10.1588902997981</v>
      </c>
    </row>
    <row r="139" customFormat="false" ht="17.15" hidden="false" customHeight="false" outlineLevel="0" collapsed="false">
      <c r="A139" s="0" t="s">
        <v>777</v>
      </c>
      <c r="B139" s="0" t="s">
        <v>49</v>
      </c>
      <c r="D139" s="14" t="n">
        <f aca="false">D138/C138-1</f>
        <v>0.479987062357033</v>
      </c>
      <c r="E139" s="14" t="n">
        <f aca="false">E138/D138-1</f>
        <v>0.534539954768372</v>
      </c>
      <c r="F139" s="14" t="n">
        <f aca="false">F138/E138-1</f>
        <v>0.30150555434976</v>
      </c>
      <c r="G139" s="14" t="n">
        <f aca="false">G138/F138-1</f>
        <v>0.212282757962292</v>
      </c>
    </row>
    <row r="142" customFormat="false" ht="17.15" hidden="false" customHeight="false" outlineLevel="0" collapsed="false">
      <c r="A142" s="3" t="s">
        <v>778</v>
      </c>
    </row>
    <row r="143" customFormat="false" ht="17.15" hidden="false" customHeight="false" outlineLevel="0" collapsed="false">
      <c r="A143" s="5" t="s">
        <v>25</v>
      </c>
      <c r="B143" s="5" t="s">
        <v>26</v>
      </c>
      <c r="C143" s="11" t="s">
        <v>698</v>
      </c>
      <c r="D143" s="11" t="s">
        <v>699</v>
      </c>
      <c r="E143" s="11" t="s">
        <v>700</v>
      </c>
      <c r="F143" s="11" t="s">
        <v>701</v>
      </c>
      <c r="G143" s="11" t="s">
        <v>702</v>
      </c>
      <c r="H143" s="5" t="s">
        <v>555</v>
      </c>
    </row>
    <row r="144" customFormat="false" ht="17.15" hidden="false" customHeight="false" outlineLevel="0" collapsed="false">
      <c r="A144" s="1" t="s">
        <v>717</v>
      </c>
    </row>
    <row r="145" customFormat="false" ht="17.15" hidden="false" customHeight="false" outlineLevel="0" collapsed="false">
      <c r="A145" s="0" t="s">
        <v>718</v>
      </c>
      <c r="B145" s="4" t="s">
        <v>36</v>
      </c>
      <c r="D145" s="22" t="n">
        <f aca="false">u_trn_26</f>
        <v>2</v>
      </c>
      <c r="E145" s="22" t="n">
        <f aca="false">u_trn_27</f>
        <v>2.5</v>
      </c>
      <c r="F145" s="22" t="n">
        <f aca="false">u_trn_28*um28_B</f>
        <v>2.4</v>
      </c>
      <c r="G145" s="22" t="n">
        <f aca="false">u_trn_28*(1+g29_trn)*um29_B</f>
        <v>2.9325</v>
      </c>
    </row>
    <row r="146" customFormat="false" ht="17.15" hidden="false" customHeight="false" outlineLevel="0" collapsed="false">
      <c r="A146" s="4" t="s">
        <v>719</v>
      </c>
      <c r="B146" s="4" t="s">
        <v>36</v>
      </c>
      <c r="D146" s="22" t="n">
        <f aca="false">u_oth_26</f>
        <v>1</v>
      </c>
      <c r="E146" s="22" t="n">
        <f aca="false">u_oth_27</f>
        <v>4.5</v>
      </c>
      <c r="F146" s="22" t="n">
        <f aca="false">u_oth_28*um28_B</f>
        <v>4</v>
      </c>
      <c r="G146" s="22" t="n">
        <f aca="false">u_oth_28*(1+g29_oth)*um29_B</f>
        <v>4.8875</v>
      </c>
    </row>
    <row r="147" customFormat="false" ht="17.15" hidden="false" customHeight="false" outlineLevel="0" collapsed="false">
      <c r="A147" s="0" t="s">
        <v>720</v>
      </c>
      <c r="B147" s="4" t="s">
        <v>36</v>
      </c>
      <c r="D147" s="22" t="n">
        <f aca="false">u_tpu_26</f>
        <v>3.85</v>
      </c>
      <c r="E147" s="22" t="n">
        <f aca="false">u_tpu_27</f>
        <v>5.5</v>
      </c>
      <c r="F147" s="22" t="n">
        <f aca="false">u_tpu_28*um28_B</f>
        <v>5.6</v>
      </c>
      <c r="G147" s="22" t="n">
        <f aca="false">u_tpu_28*(1+g29_tpu)*um29_B</f>
        <v>6.8425</v>
      </c>
    </row>
    <row r="148" customFormat="false" ht="17.15" hidden="false" customHeight="false" outlineLevel="0" collapsed="false">
      <c r="A148" s="0" t="s">
        <v>658</v>
      </c>
      <c r="B148" s="0" t="s">
        <v>49</v>
      </c>
      <c r="D148" s="14" t="n">
        <f aca="false">msh_trn_26</f>
        <v>0.1</v>
      </c>
      <c r="E148" s="14" t="n">
        <f aca="false">MIN(1,MAX(0,msh_trn_27+0))</f>
        <v>0.1</v>
      </c>
      <c r="F148" s="14" t="n">
        <f aca="false">MIN(1,MAX(0,msh_trn_28+0))</f>
        <v>0.08</v>
      </c>
      <c r="G148" s="14" t="n">
        <f aca="false">MIN(1,MAX(0,msh_trn_28+0))</f>
        <v>0.08</v>
      </c>
    </row>
    <row r="149" customFormat="false" ht="17.15" hidden="false" customHeight="false" outlineLevel="0" collapsed="false">
      <c r="A149" s="0" t="s">
        <v>666</v>
      </c>
      <c r="B149" s="0" t="s">
        <v>49</v>
      </c>
      <c r="D149" s="14" t="n">
        <f aca="false">msh_oth_26</f>
        <v>0.05</v>
      </c>
      <c r="E149" s="14" t="n">
        <f aca="false">MIN(1,MAX(0,msh_oth_27+0))</f>
        <v>0.06</v>
      </c>
      <c r="F149" s="14" t="n">
        <f aca="false">MIN(1,MAX(0,msh_oth_28+0))</f>
        <v>0.15</v>
      </c>
      <c r="G149" s="14" t="n">
        <f aca="false">MIN(1,MAX(0,msh_oth_28+0))</f>
        <v>0.15</v>
      </c>
    </row>
    <row r="150" customFormat="false" ht="17.15" hidden="false" customHeight="false" outlineLevel="0" collapsed="false">
      <c r="A150" s="0" t="s">
        <v>670</v>
      </c>
      <c r="B150" s="0" t="s">
        <v>49</v>
      </c>
      <c r="D150" s="14" t="n">
        <f aca="false">msh_tpu_26</f>
        <v>0</v>
      </c>
      <c r="E150" s="14" t="n">
        <f aca="false">MIN(1,MAX(0,msh_tpu_27+0))</f>
        <v>0</v>
      </c>
      <c r="F150" s="14" t="n">
        <f aca="false">MIN(1,MAX(0,msh_tpu_28+0))</f>
        <v>0.05</v>
      </c>
      <c r="G150" s="14" t="n">
        <f aca="false">MIN(1,MAX(0,msh_tpu_28+0))</f>
        <v>0.05</v>
      </c>
    </row>
    <row r="151" customFormat="false" ht="17.15" hidden="false" customHeight="false" outlineLevel="0" collapsed="false">
      <c r="A151" s="0" t="s">
        <v>660</v>
      </c>
      <c r="B151" s="4" t="s">
        <v>36</v>
      </c>
      <c r="D151" s="16" t="n">
        <f aca="false">D145*D148</f>
        <v>0.2</v>
      </c>
      <c r="E151" s="16" t="n">
        <f aca="false">E145*E148*1</f>
        <v>0.25</v>
      </c>
      <c r="F151" s="16" t="n">
        <f aca="false">F145*F148*1</f>
        <v>0.192</v>
      </c>
      <c r="G151" s="16" t="n">
        <f aca="false">G145*G148*1</f>
        <v>0.2346</v>
      </c>
    </row>
    <row r="152" customFormat="false" ht="17.15" hidden="false" customHeight="false" outlineLevel="0" collapsed="false">
      <c r="A152" s="0" t="s">
        <v>667</v>
      </c>
      <c r="B152" s="4" t="s">
        <v>36</v>
      </c>
      <c r="D152" s="16" t="n">
        <f aca="false">D146*D149</f>
        <v>0.05</v>
      </c>
      <c r="E152" s="16" t="n">
        <f aca="false">E146*E149*1</f>
        <v>0.27</v>
      </c>
      <c r="F152" s="16" t="n">
        <f aca="false">F146*F149*1</f>
        <v>0.6</v>
      </c>
      <c r="G152" s="16" t="n">
        <f aca="false">G146*G149*1</f>
        <v>0.733125</v>
      </c>
    </row>
    <row r="153" customFormat="false" ht="17.15" hidden="false" customHeight="false" outlineLevel="0" collapsed="false">
      <c r="A153" s="0" t="s">
        <v>671</v>
      </c>
      <c r="B153" s="4" t="s">
        <v>36</v>
      </c>
      <c r="D153" s="16" t="n">
        <f aca="false">D147*D150</f>
        <v>0</v>
      </c>
      <c r="E153" s="16" t="n">
        <f aca="false">E147*E150*1</f>
        <v>0</v>
      </c>
      <c r="F153" s="16" t="n">
        <f aca="false">F147*F150*1</f>
        <v>0.28</v>
      </c>
      <c r="G153" s="16" t="n">
        <f aca="false">G147*G150*1</f>
        <v>0.342125</v>
      </c>
    </row>
    <row r="154" customFormat="false" ht="17.15" hidden="false" customHeight="false" outlineLevel="0" collapsed="false">
      <c r="A154" s="4" t="s">
        <v>721</v>
      </c>
      <c r="B154" s="0" t="s">
        <v>100</v>
      </c>
      <c r="D154" s="23" t="n">
        <f aca="false">gb_trn_26</f>
        <v>110</v>
      </c>
      <c r="E154" s="23" t="n">
        <f aca="false">gb_trn_27</f>
        <v>144</v>
      </c>
      <c r="F154" s="23" t="n">
        <f aca="false">gb_trn_28</f>
        <v>200</v>
      </c>
      <c r="G154" s="23" t="n">
        <f aca="false">gb_trn_28</f>
        <v>200</v>
      </c>
    </row>
    <row r="155" customFormat="false" ht="17.15" hidden="false" customHeight="false" outlineLevel="0" collapsed="false">
      <c r="A155" s="4" t="s">
        <v>722</v>
      </c>
      <c r="B155" s="0" t="s">
        <v>100</v>
      </c>
      <c r="D155" s="23" t="n">
        <f aca="false">gb_oth_26</f>
        <v>150</v>
      </c>
      <c r="E155" s="23" t="n">
        <f aca="false">gb_oth_27</f>
        <v>200</v>
      </c>
      <c r="F155" s="23" t="n">
        <f aca="false">gb_oth_28</f>
        <v>250</v>
      </c>
      <c r="G155" s="23" t="n">
        <f aca="false">gb_oth_28</f>
        <v>250</v>
      </c>
    </row>
    <row r="156" customFormat="false" ht="17.15" hidden="false" customHeight="false" outlineLevel="0" collapsed="false">
      <c r="A156" s="4" t="s">
        <v>723</v>
      </c>
      <c r="B156" s="0" t="s">
        <v>100</v>
      </c>
      <c r="D156" s="23" t="n">
        <f aca="false">gb_tpu_26</f>
        <v>192</v>
      </c>
      <c r="E156" s="23" t="n">
        <f aca="false">gb_tpu_27</f>
        <v>250</v>
      </c>
      <c r="F156" s="23" t="n">
        <f aca="false">gb_tpu_28</f>
        <v>288</v>
      </c>
      <c r="G156" s="23" t="n">
        <f aca="false">gb_tpu_28</f>
        <v>288</v>
      </c>
    </row>
    <row r="157" customFormat="false" ht="17.15" hidden="false" customHeight="false" outlineLevel="0" collapsed="false">
      <c r="A157" s="0" t="s">
        <v>724</v>
      </c>
      <c r="B157" s="0" t="s">
        <v>200</v>
      </c>
      <c r="D157" s="22" t="n">
        <f aca="false">hbm_B_26</f>
        <v>14.6</v>
      </c>
      <c r="E157" s="22" t="n">
        <f aca="false">hbm_B_27</f>
        <v>26.28</v>
      </c>
      <c r="F157" s="22" t="n">
        <f aca="false">hbm_B_28</f>
        <v>19.71</v>
      </c>
      <c r="G157" s="22" t="n">
        <f aca="false">hbm_B_29</f>
        <v>19.71</v>
      </c>
    </row>
    <row r="158" customFormat="false" ht="17.15" hidden="false" customHeight="false" outlineLevel="0" collapsed="false">
      <c r="A158" s="4" t="s">
        <v>725</v>
      </c>
      <c r="B158" s="0" t="s">
        <v>122</v>
      </c>
      <c r="D158" s="22" t="n">
        <f aca="false">core_trn</f>
        <v>6.394</v>
      </c>
      <c r="E158" s="22" t="n">
        <f aca="false">core_trn*1</f>
        <v>6.394</v>
      </c>
      <c r="F158" s="22" t="n">
        <f aca="false">core_trn*1</f>
        <v>6.394</v>
      </c>
      <c r="G158" s="22" t="n">
        <f aca="false">core_trn*1</f>
        <v>6.394</v>
      </c>
    </row>
    <row r="159" customFormat="false" ht="17.15" hidden="false" customHeight="false" outlineLevel="0" collapsed="false">
      <c r="A159" s="4" t="s">
        <v>726</v>
      </c>
      <c r="B159" s="0" t="s">
        <v>122</v>
      </c>
      <c r="D159" s="22" t="n">
        <f aca="false">core_oth</f>
        <v>6</v>
      </c>
      <c r="E159" s="22" t="n">
        <f aca="false">core_oth*1</f>
        <v>6</v>
      </c>
      <c r="F159" s="22" t="n">
        <f aca="false">core_oth*1</f>
        <v>6</v>
      </c>
      <c r="G159" s="22" t="n">
        <f aca="false">core_oth*1</f>
        <v>6</v>
      </c>
    </row>
    <row r="160" customFormat="false" ht="17.15" hidden="false" customHeight="false" outlineLevel="0" collapsed="false">
      <c r="A160" s="4" t="s">
        <v>727</v>
      </c>
      <c r="B160" s="0" t="s">
        <v>122</v>
      </c>
      <c r="D160" s="22" t="n">
        <f aca="false">core_tpu</f>
        <v>8</v>
      </c>
      <c r="E160" s="22" t="n">
        <f aca="false">core_tpu*1</f>
        <v>8</v>
      </c>
      <c r="F160" s="22" t="n">
        <f aca="false">core_tpu*1</f>
        <v>8</v>
      </c>
      <c r="G160" s="22" t="n">
        <f aca="false">core_tpu*1</f>
        <v>8</v>
      </c>
    </row>
    <row r="161" customFormat="false" ht="17.15" hidden="false" customHeight="false" outlineLevel="0" collapsed="false">
      <c r="A161" s="4" t="s">
        <v>728</v>
      </c>
      <c r="B161" s="0" t="s">
        <v>122</v>
      </c>
      <c r="D161" s="22" t="n">
        <f aca="false">D154*D157/1000</f>
        <v>1.606</v>
      </c>
      <c r="E161" s="22" t="n">
        <f aca="false">E154*E157/1000</f>
        <v>3.78432</v>
      </c>
      <c r="F161" s="22" t="n">
        <f aca="false">F154*F157/1000</f>
        <v>3.942</v>
      </c>
      <c r="G161" s="22" t="n">
        <f aca="false">G154*G157/1000</f>
        <v>3.942</v>
      </c>
    </row>
    <row r="162" customFormat="false" ht="17.15" hidden="false" customHeight="false" outlineLevel="0" collapsed="false">
      <c r="A162" s="4" t="s">
        <v>729</v>
      </c>
      <c r="B162" s="0" t="s">
        <v>122</v>
      </c>
      <c r="D162" s="22" t="n">
        <f aca="false">D155*D157/1000</f>
        <v>2.19</v>
      </c>
      <c r="E162" s="22" t="n">
        <f aca="false">E155*E157/1000</f>
        <v>5.256</v>
      </c>
      <c r="F162" s="22" t="n">
        <f aca="false">F155*F157/1000</f>
        <v>4.9275</v>
      </c>
      <c r="G162" s="22" t="n">
        <f aca="false">G155*G157/1000</f>
        <v>4.9275</v>
      </c>
    </row>
    <row r="163" customFormat="false" ht="17.15" hidden="false" customHeight="false" outlineLevel="0" collapsed="false">
      <c r="A163" s="4" t="s">
        <v>730</v>
      </c>
      <c r="B163" s="0" t="s">
        <v>122</v>
      </c>
      <c r="D163" s="22" t="n">
        <f aca="false">D156*D157/1000</f>
        <v>2.8032</v>
      </c>
      <c r="E163" s="22" t="n">
        <f aca="false">E156*E157/1000</f>
        <v>6.57</v>
      </c>
      <c r="F163" s="22" t="n">
        <f aca="false">F156*F157/1000</f>
        <v>5.67648</v>
      </c>
      <c r="G163" s="22" t="n">
        <f aca="false">G156*G157/1000</f>
        <v>5.67648</v>
      </c>
    </row>
    <row r="164" customFormat="false" ht="17.15" hidden="false" customHeight="false" outlineLevel="0" collapsed="false">
      <c r="A164" s="4" t="s">
        <v>731</v>
      </c>
      <c r="B164" s="0" t="s">
        <v>122</v>
      </c>
      <c r="D164" s="22" t="n">
        <f aca="false">D158+f_hbm*D161</f>
        <v>7.3576</v>
      </c>
      <c r="E164" s="22" t="n">
        <f aca="false">E158+f_hbm*E161</f>
        <v>8.664592</v>
      </c>
      <c r="F164" s="22" t="n">
        <f aca="false">F158+f_hbm*F161</f>
        <v>8.7592</v>
      </c>
      <c r="G164" s="22" t="n">
        <f aca="false">G158+f_hbm*G161</f>
        <v>8.7592</v>
      </c>
      <c r="H164" s="4" t="s">
        <v>732</v>
      </c>
    </row>
    <row r="165" customFormat="false" ht="17.15" hidden="false" customHeight="false" outlineLevel="0" collapsed="false">
      <c r="A165" s="4" t="s">
        <v>733</v>
      </c>
      <c r="B165" s="0" t="s">
        <v>122</v>
      </c>
      <c r="D165" s="22" t="n">
        <f aca="false">D159+f_hbm*D162</f>
        <v>7.314</v>
      </c>
      <c r="E165" s="22" t="n">
        <f aca="false">E159+f_hbm*E162</f>
        <v>9.1536</v>
      </c>
      <c r="F165" s="22" t="n">
        <f aca="false">F159+f_hbm*F162</f>
        <v>8.9565</v>
      </c>
      <c r="G165" s="22" t="n">
        <f aca="false">G159+f_hbm*G162</f>
        <v>8.9565</v>
      </c>
    </row>
    <row r="166" customFormat="false" ht="17.15" hidden="false" customHeight="false" outlineLevel="0" collapsed="false">
      <c r="A166" s="4" t="s">
        <v>734</v>
      </c>
      <c r="B166" s="0" t="s">
        <v>122</v>
      </c>
      <c r="D166" s="22" t="n">
        <f aca="false">D160+f_hbm*D163</f>
        <v>9.68192</v>
      </c>
      <c r="E166" s="22" t="n">
        <f aca="false">E160+f_hbm*E163</f>
        <v>11.942</v>
      </c>
      <c r="F166" s="22" t="n">
        <f aca="false">F160+f_hbm*F163</f>
        <v>11.405888</v>
      </c>
      <c r="G166" s="22" t="n">
        <f aca="false">G160+f_hbm*G163</f>
        <v>11.405888</v>
      </c>
    </row>
    <row r="167" customFormat="false" ht="17.15" hidden="false" customHeight="false" outlineLevel="0" collapsed="false">
      <c r="A167" s="0" t="s">
        <v>735</v>
      </c>
      <c r="B167" s="0" t="s">
        <v>239</v>
      </c>
      <c r="D167" s="22" t="n">
        <f aca="false">D151*D164+D152*D165+D153*D166</f>
        <v>1.83722</v>
      </c>
      <c r="E167" s="22" t="n">
        <f aca="false">E151*E164+E152*E165+E153*E166</f>
        <v>4.63762</v>
      </c>
      <c r="F167" s="22" t="n">
        <f aca="false">F151*F164+F152*F165+F153*F166</f>
        <v>10.24931504</v>
      </c>
      <c r="G167" s="22" t="n">
        <f aca="false">G151*G164+G152*G165+G153*G166</f>
        <v>12.5233818145</v>
      </c>
    </row>
    <row r="168" customFormat="false" ht="17.15" hidden="false" customHeight="false" outlineLevel="0" collapsed="false">
      <c r="A168" s="0" t="s">
        <v>736</v>
      </c>
      <c r="B168" s="0" t="s">
        <v>80</v>
      </c>
      <c r="D168" s="16" t="n">
        <f aca="false">a27_xpu/D167</f>
        <v>0.802843426481314</v>
      </c>
      <c r="H168" s="7" t="s">
        <v>737</v>
      </c>
    </row>
    <row r="169" customFormat="false" ht="17.15" hidden="false" customHeight="false" outlineLevel="0" collapsed="false">
      <c r="A169" s="0" t="s">
        <v>738</v>
      </c>
      <c r="B169" s="0" t="s">
        <v>239</v>
      </c>
      <c r="D169" s="22" t="n">
        <f aca="false">D167*$D$168</f>
        <v>1.475</v>
      </c>
      <c r="E169" s="22" t="n">
        <f aca="false">E167*$D$168</f>
        <v>3.72328273151827</v>
      </c>
      <c r="F169" s="22" t="n">
        <f aca="false">F167*$D$168</f>
        <v>8.22859520580007</v>
      </c>
      <c r="G169" s="22" t="n">
        <f aca="false">G167*$D$168</f>
        <v>10.054314767087</v>
      </c>
    </row>
    <row r="170" customFormat="false" ht="17.15" hidden="false" customHeight="false" outlineLevel="0" collapsed="false">
      <c r="A170" s="4" t="s">
        <v>739</v>
      </c>
      <c r="B170" s="0" t="s">
        <v>239</v>
      </c>
      <c r="D170" s="22" t="n">
        <f aca="false">$D$168*f_hbm*(D151*D161+D152*D162+D153*D163)</f>
        <v>0.207470798271301</v>
      </c>
      <c r="E170" s="22" t="n">
        <f aca="false">$D$168*f_hbm*(E151*E161+E152*E162+E153*E163)</f>
        <v>1.13933116338816</v>
      </c>
      <c r="F170" s="22" t="n">
        <f aca="false">$D$168*f_hbm*(F151*F161+F152*F162+F153*F163)</f>
        <v>2.55438046831626</v>
      </c>
      <c r="G170" s="22" t="n">
        <f aca="false">$D$168*f_hbm*(G151*G161+G152*G162+G153*G163)</f>
        <v>3.12113363472393</v>
      </c>
    </row>
    <row r="171" customFormat="false" ht="15" hidden="false" customHeight="false" outlineLevel="0" collapsed="false">
      <c r="A171" s="4" t="s">
        <v>740</v>
      </c>
      <c r="B171" s="0" t="s">
        <v>239</v>
      </c>
      <c r="D171" s="22" t="n">
        <f aca="false">D169-D170</f>
        <v>1.2675292017287</v>
      </c>
      <c r="E171" s="22" t="n">
        <f aca="false">E169-E170</f>
        <v>2.58395156813011</v>
      </c>
      <c r="F171" s="22" t="n">
        <f aca="false">F169-F170</f>
        <v>5.67421473748381</v>
      </c>
      <c r="G171" s="22" t="n">
        <f aca="false">G169-G170</f>
        <v>6.93318113236303</v>
      </c>
    </row>
    <row r="172" customFormat="false" ht="17.15" hidden="false" customHeight="false" outlineLevel="0" collapsed="false">
      <c r="A172" s="0" t="s">
        <v>741</v>
      </c>
      <c r="B172" s="4" t="s">
        <v>36</v>
      </c>
      <c r="D172" s="16" t="n">
        <f aca="false">D151+D152+D153</f>
        <v>0.25</v>
      </c>
      <c r="E172" s="16" t="n">
        <f aca="false">E151+E152+E153</f>
        <v>0.52</v>
      </c>
      <c r="F172" s="16" t="n">
        <f aca="false">F151+F152+F153</f>
        <v>1.072</v>
      </c>
      <c r="G172" s="16" t="n">
        <f aca="false">G151+G152+G153</f>
        <v>1.30985</v>
      </c>
    </row>
    <row r="173" customFormat="false" ht="17.15" hidden="false" customHeight="false" outlineLevel="0" collapsed="false">
      <c r="A173" s="0" t="s">
        <v>742</v>
      </c>
      <c r="B173" s="0" t="s">
        <v>239</v>
      </c>
      <c r="C173" s="22" t="n">
        <f aca="false">a26_att</f>
        <v>0.2</v>
      </c>
      <c r="D173" s="22" t="n">
        <f aca="false">a27_att</f>
        <v>0.4</v>
      </c>
      <c r="E173" s="22" t="n">
        <f aca="false">att28</f>
        <v>1</v>
      </c>
      <c r="F173" s="22" t="n">
        <f aca="false">att28*(1+g_att)*um28_B</f>
        <v>1.2</v>
      </c>
      <c r="G173" s="22" t="n">
        <f aca="false">att28*(1+g_att)^2*um29_B</f>
        <v>1.9125</v>
      </c>
      <c r="H173" s="7" t="s">
        <v>743</v>
      </c>
    </row>
    <row r="174" customFormat="false" ht="17.15" hidden="false" customHeight="false" outlineLevel="0" collapsed="false">
      <c r="A174" s="4" t="s">
        <v>744</v>
      </c>
      <c r="B174" s="0" t="s">
        <v>239</v>
      </c>
      <c r="C174" s="22" t="n">
        <f aca="false">a26_cus</f>
        <v>1.5</v>
      </c>
      <c r="D174" s="22" t="n">
        <f aca="false">D169+D173</f>
        <v>1.875</v>
      </c>
      <c r="E174" s="22" t="n">
        <f aca="false">E169+E173</f>
        <v>4.72328273151827</v>
      </c>
      <c r="F174" s="22" t="n">
        <f aca="false">F169+F173</f>
        <v>9.42859520580007</v>
      </c>
      <c r="G174" s="22" t="n">
        <f aca="false">G169+G173</f>
        <v>11.966814767087</v>
      </c>
    </row>
    <row r="175" customFormat="false" ht="17.15" hidden="false" customHeight="false" outlineLevel="0" collapsed="false">
      <c r="A175" s="1" t="s">
        <v>745</v>
      </c>
    </row>
    <row r="176" customFormat="false" ht="17.15" hidden="false" customHeight="false" outlineLevel="0" collapsed="false">
      <c r="A176" s="0" t="s">
        <v>746</v>
      </c>
      <c r="B176" s="0" t="s">
        <v>239</v>
      </c>
      <c r="D176" s="22" t="n">
        <f aca="false">plugB_26*1</f>
        <v>29.753262</v>
      </c>
      <c r="E176" s="22" t="n">
        <f aca="false">plugB_27*1</f>
        <v>54.688309</v>
      </c>
      <c r="F176" s="22" t="n">
        <f aca="false">plugB_28*um28_B</f>
        <v>48.9706</v>
      </c>
      <c r="G176" s="22" t="n">
        <f aca="false">plugB_29*um29_B</f>
        <v>66.987208</v>
      </c>
    </row>
    <row r="177" customFormat="false" ht="17.15" hidden="false" customHeight="false" outlineLevel="0" collapsed="false">
      <c r="A177" s="4" t="s">
        <v>747</v>
      </c>
      <c r="B177" s="4" t="s">
        <v>680</v>
      </c>
      <c r="D177" s="19" t="n">
        <f aca="false">D176*1000/asp_26</f>
        <v>45.7742492307692</v>
      </c>
      <c r="E177" s="19" t="n">
        <f aca="false">E176*1000/asp_27</f>
        <v>68.36038625</v>
      </c>
      <c r="F177" s="19" t="n">
        <f aca="false">F176*1000/asp_28</f>
        <v>57.6124705882353</v>
      </c>
      <c r="G177" s="19" t="n">
        <f aca="false">G176*1000/asp_29</f>
        <v>78.80848</v>
      </c>
    </row>
    <row r="178" customFormat="false" ht="17.15" hidden="false" customHeight="false" outlineLevel="0" collapsed="false">
      <c r="A178" s="4" t="s">
        <v>748</v>
      </c>
      <c r="B178" s="0" t="s">
        <v>49</v>
      </c>
      <c r="D178" s="14" t="n">
        <f aca="false">MIN(1,lpo_26)</f>
        <v>0.03</v>
      </c>
      <c r="E178" s="14" t="n">
        <f aca="false">MIN(1,lpo_27+0)</f>
        <v>0.06</v>
      </c>
      <c r="F178" s="14" t="n">
        <f aca="false">MIN(1,lpo_28+0)</f>
        <v>0.1</v>
      </c>
      <c r="G178" s="14" t="n">
        <f aca="false">MIN(1,lpo_29+0)</f>
        <v>0.15</v>
      </c>
    </row>
    <row r="179" customFormat="false" ht="15" hidden="false" customHeight="false" outlineLevel="0" collapsed="false">
      <c r="A179" s="4" t="s">
        <v>749</v>
      </c>
      <c r="B179" s="0" t="s">
        <v>253</v>
      </c>
      <c r="D179" s="23" t="n">
        <f aca="false">dsp_26</f>
        <v>125</v>
      </c>
      <c r="E179" s="23" t="n">
        <f aca="false">dsp_27*1</f>
        <v>135</v>
      </c>
      <c r="F179" s="23" t="n">
        <f aca="false">dsp_28*1</f>
        <v>135</v>
      </c>
      <c r="G179" s="23" t="n">
        <f aca="false">dsp_29*1</f>
        <v>130</v>
      </c>
    </row>
    <row r="180" customFormat="false" ht="17.15" hidden="false" customHeight="false" outlineLevel="0" collapsed="false">
      <c r="A180" s="4" t="s">
        <v>750</v>
      </c>
      <c r="B180" s="0" t="s">
        <v>239</v>
      </c>
      <c r="D180" s="22" t="n">
        <f aca="false">D177*(1-D178)*D179/1000</f>
        <v>5.55012771923077</v>
      </c>
      <c r="E180" s="22" t="n">
        <f aca="false">E177*(1-E178)*E179/1000</f>
        <v>8.674933015125</v>
      </c>
      <c r="F180" s="22" t="n">
        <f aca="false">F177*(1-F178)*F179/1000</f>
        <v>6.99991517647059</v>
      </c>
      <c r="G180" s="22" t="n">
        <f aca="false">G177*(1-G178)*G179/1000</f>
        <v>8.70833704</v>
      </c>
    </row>
    <row r="181" customFormat="false" ht="17.15" hidden="false" customHeight="false" outlineLevel="0" collapsed="false">
      <c r="A181" s="0" t="s">
        <v>751</v>
      </c>
      <c r="B181" s="0" t="s">
        <v>49</v>
      </c>
      <c r="D181" s="14" t="n">
        <f aca="false">msh_dsp_26</f>
        <v>0.65</v>
      </c>
      <c r="E181" s="14" t="n">
        <f aca="false">msh_dsp_27+0</f>
        <v>0.63</v>
      </c>
      <c r="F181" s="14" t="n">
        <f aca="false">msh_dsp_28+0</f>
        <v>0.6</v>
      </c>
      <c r="G181" s="14" t="n">
        <f aca="false">msh_dsp_29+0</f>
        <v>0.58</v>
      </c>
    </row>
    <row r="182" customFormat="false" ht="17.15" hidden="false" customHeight="false" outlineLevel="0" collapsed="false">
      <c r="A182" s="0" t="s">
        <v>682</v>
      </c>
      <c r="B182" s="0" t="s">
        <v>239</v>
      </c>
      <c r="D182" s="22" t="n">
        <f aca="false">D180*D181</f>
        <v>3.6075830175</v>
      </c>
      <c r="E182" s="22" t="n">
        <f aca="false">E180*E181*1</f>
        <v>5.46520779952875</v>
      </c>
      <c r="F182" s="22" t="n">
        <f aca="false">F180*F181*1</f>
        <v>4.19994910588235</v>
      </c>
      <c r="G182" s="22" t="n">
        <f aca="false">G180*G181*1</f>
        <v>5.0508354832</v>
      </c>
    </row>
    <row r="183" customFormat="false" ht="17.15" hidden="false" customHeight="false" outlineLevel="0" collapsed="false">
      <c r="A183" s="4" t="s">
        <v>752</v>
      </c>
      <c r="B183" s="0" t="s">
        <v>239</v>
      </c>
      <c r="D183" s="22" t="n">
        <f aca="false">coh27</f>
        <v>0.9</v>
      </c>
      <c r="E183" s="22" t="n">
        <f aca="false">D183*(1+g_coh)</f>
        <v>1.035</v>
      </c>
      <c r="F183" s="22" t="n">
        <f aca="false">E183*(1+g_coh)</f>
        <v>1.19025</v>
      </c>
      <c r="G183" s="22" t="n">
        <f aca="false">F183*(1+g_coh)</f>
        <v>1.3687875</v>
      </c>
    </row>
    <row r="184" customFormat="false" ht="17.15" hidden="false" customHeight="false" outlineLevel="0" collapsed="false">
      <c r="A184" s="4" t="s">
        <v>753</v>
      </c>
      <c r="B184" s="0" t="s">
        <v>80</v>
      </c>
      <c r="D184" s="16" t="n">
        <f aca="false">(a27_ic-D183)/D182</f>
        <v>1.44223430888795</v>
      </c>
      <c r="H184" s="7" t="s">
        <v>754</v>
      </c>
    </row>
    <row r="185" customFormat="false" ht="15" hidden="false" customHeight="false" outlineLevel="0" collapsed="false">
      <c r="A185" s="4" t="s">
        <v>755</v>
      </c>
      <c r="B185" s="0" t="s">
        <v>239</v>
      </c>
      <c r="C185" s="22" t="n">
        <f aca="false">a26_ic</f>
        <v>3.4503</v>
      </c>
      <c r="D185" s="22" t="n">
        <f aca="false">D182*$D$184+D183</f>
        <v>6.10298</v>
      </c>
      <c r="E185" s="22" t="n">
        <f aca="false">E182*$D$184+E183</f>
        <v>8.91711019368235</v>
      </c>
      <c r="F185" s="22" t="n">
        <f aca="false">F182*$D$184+F183</f>
        <v>7.24756069608678</v>
      </c>
      <c r="G185" s="22" t="n">
        <f aca="false">G182*$D$184+G183</f>
        <v>8.65327572241966</v>
      </c>
    </row>
    <row r="186" customFormat="false" ht="17.15" hidden="false" customHeight="false" outlineLevel="0" collapsed="false">
      <c r="A186" s="1" t="s">
        <v>756</v>
      </c>
    </row>
    <row r="187" customFormat="false" ht="15" hidden="false" customHeight="false" outlineLevel="0" collapsed="false">
      <c r="A187" s="4" t="s">
        <v>757</v>
      </c>
      <c r="B187" s="0" t="s">
        <v>239</v>
      </c>
      <c r="C187" s="22" t="n">
        <f aca="false">a26_sw</f>
        <v>0.3</v>
      </c>
      <c r="D187" s="22" t="n">
        <f aca="false">a27_sw</f>
        <v>0.65</v>
      </c>
      <c r="E187" s="22" t="n">
        <f aca="false">a27_sw*(1+g_sw28)</f>
        <v>1.17</v>
      </c>
      <c r="F187" s="22" t="n">
        <f aca="false">a27_sw*(1+g_sw28)*(1+g_sw)*um28_B</f>
        <v>1.3104</v>
      </c>
      <c r="G187" s="22" t="n">
        <f aca="false">a27_sw*(1+g_sw28)*(1+g_sw)^2*um29_B</f>
        <v>1.94922</v>
      </c>
    </row>
    <row r="188" customFormat="false" ht="17.15" hidden="false" customHeight="false" outlineLevel="0" collapsed="false">
      <c r="A188" s="0" t="s">
        <v>758</v>
      </c>
      <c r="B188" s="0" t="s">
        <v>239</v>
      </c>
      <c r="C188" s="22" t="n">
        <f aca="false">a26_aec</f>
        <v>0.2</v>
      </c>
      <c r="D188" s="22" t="n">
        <f aca="false">a27_aec</f>
        <v>0.45</v>
      </c>
      <c r="E188" s="22" t="n">
        <f aca="false">a27_aec*(1+g_aec)</f>
        <v>0.675</v>
      </c>
      <c r="F188" s="22" t="n">
        <f aca="false">a27_aec*(1+g_aec)^2*um28_B</f>
        <v>0.81</v>
      </c>
      <c r="G188" s="22" t="n">
        <f aca="false">a27_aec*(1+g_aec)^3*um29_B</f>
        <v>1.2909375</v>
      </c>
    </row>
    <row r="189" customFormat="false" ht="15" hidden="false" customHeight="false" outlineLevel="0" collapsed="false">
      <c r="A189" s="4" t="s">
        <v>759</v>
      </c>
      <c r="B189" s="0" t="s">
        <v>239</v>
      </c>
      <c r="C189" s="22" t="n">
        <f aca="false">a26_sto</f>
        <v>0.65</v>
      </c>
      <c r="D189" s="22" t="n">
        <f aca="false">a27_sto</f>
        <v>0.6825</v>
      </c>
      <c r="E189" s="22" t="n">
        <f aca="false">D189*(1+g_sto)</f>
        <v>0.716625</v>
      </c>
      <c r="F189" s="22" t="n">
        <f aca="false">E189*(1+g_sto)</f>
        <v>0.75245625</v>
      </c>
      <c r="G189" s="22" t="n">
        <f aca="false">F189*(1+g_sto)</f>
        <v>0.7900790625</v>
      </c>
    </row>
    <row r="190" customFormat="false" ht="15" hidden="false" customHeight="false" outlineLevel="0" collapsed="false">
      <c r="A190" s="4" t="s">
        <v>760</v>
      </c>
      <c r="B190" s="0" t="s">
        <v>239</v>
      </c>
      <c r="C190" s="22" t="n">
        <f aca="false">a26_dc</f>
        <v>6.1003</v>
      </c>
      <c r="D190" s="22" t="n">
        <f aca="false">D174+D185+D187+D188+D189</f>
        <v>9.76048</v>
      </c>
      <c r="E190" s="22" t="n">
        <f aca="false">E174+E185+E187+E188+E189</f>
        <v>16.2020179252006</v>
      </c>
      <c r="F190" s="22" t="n">
        <f aca="false">F174+F185+F187+F188+F189</f>
        <v>19.5490121518868</v>
      </c>
      <c r="G190" s="22" t="n">
        <f aca="false">G174+G185+G187+G188+G189</f>
        <v>24.6503270520066</v>
      </c>
    </row>
    <row r="191" customFormat="false" ht="15" hidden="false" customHeight="false" outlineLevel="0" collapsed="false">
      <c r="A191" s="4" t="s">
        <v>761</v>
      </c>
      <c r="B191" s="0" t="s">
        <v>239</v>
      </c>
      <c r="C191" s="22" t="n">
        <f aca="false">a26_co</f>
        <v>2.0943</v>
      </c>
      <c r="D191" s="22" t="n">
        <f aca="false">a27_co</f>
        <v>2.23952</v>
      </c>
      <c r="E191" s="22" t="n">
        <f aca="false">D191*(1+g_co28)</f>
        <v>2.3067056</v>
      </c>
      <c r="F191" s="22" t="n">
        <f aca="false">E191*(1+g_co)</f>
        <v>2.375906768</v>
      </c>
      <c r="G191" s="22" t="n">
        <f aca="false">F191*(1+g_co)</f>
        <v>2.44718397104</v>
      </c>
    </row>
    <row r="192" customFormat="false" ht="17.15" hidden="false" customHeight="false" outlineLevel="0" collapsed="false">
      <c r="A192" s="1" t="s">
        <v>762</v>
      </c>
    </row>
    <row r="193" customFormat="false" ht="15" hidden="false" customHeight="false" outlineLevel="0" collapsed="false">
      <c r="A193" s="4" t="s">
        <v>597</v>
      </c>
      <c r="B193" s="0" t="s">
        <v>239</v>
      </c>
      <c r="C193" s="22" t="n">
        <f aca="false">a26_rev</f>
        <v>8.1946</v>
      </c>
      <c r="D193" s="22" t="n">
        <f aca="false">a27_rev</f>
        <v>12</v>
      </c>
      <c r="E193" s="22" t="n">
        <f aca="false">E190+E191</f>
        <v>18.5087235252006</v>
      </c>
      <c r="F193" s="22" t="n">
        <f aca="false">F190+F191</f>
        <v>21.9249189198868</v>
      </c>
      <c r="G193" s="22" t="n">
        <f aca="false">G190+G191</f>
        <v>27.0975110230466</v>
      </c>
    </row>
    <row r="194" customFormat="false" ht="17.15" hidden="false" customHeight="false" outlineLevel="0" collapsed="false">
      <c r="A194" s="4" t="s">
        <v>763</v>
      </c>
      <c r="B194" s="0" t="s">
        <v>239</v>
      </c>
      <c r="D194" s="22" t="n">
        <f aca="false">D190+D191</f>
        <v>12</v>
      </c>
      <c r="E194" s="22" t="n">
        <f aca="false">E190+E191</f>
        <v>18.5087235252006</v>
      </c>
      <c r="F194" s="22" t="n">
        <f aca="false">F190+F191</f>
        <v>21.9249189198868</v>
      </c>
      <c r="G194" s="22" t="n">
        <f aca="false">G190+G191</f>
        <v>27.0975110230466</v>
      </c>
    </row>
    <row r="195" customFormat="false" ht="15" hidden="false" customHeight="false" outlineLevel="0" collapsed="false">
      <c r="A195" s="4" t="s">
        <v>764</v>
      </c>
      <c r="B195" s="0" t="s">
        <v>49</v>
      </c>
      <c r="D195" s="14" t="n">
        <f aca="false">D193/C193-1</f>
        <v>0.464378981280355</v>
      </c>
      <c r="E195" s="14" t="n">
        <f aca="false">E193/D193-1</f>
        <v>0.542393627100052</v>
      </c>
      <c r="F195" s="14" t="n">
        <f aca="false">F193/E193-1</f>
        <v>0.184572177008041</v>
      </c>
      <c r="G195" s="14" t="n">
        <f aca="false">G193/F193-1</f>
        <v>0.235922975225601</v>
      </c>
    </row>
    <row r="196" customFormat="false" ht="17.15" hidden="false" customHeight="false" outlineLevel="0" collapsed="false">
      <c r="A196" s="4" t="s">
        <v>765</v>
      </c>
      <c r="B196" s="0" t="s">
        <v>49</v>
      </c>
      <c r="C196" s="14" t="n">
        <f aca="false">C190/C193</f>
        <v>0.744429258292046</v>
      </c>
      <c r="D196" s="14" t="n">
        <f aca="false">D190/D193</f>
        <v>0.813373333333333</v>
      </c>
      <c r="E196" s="14" t="n">
        <f aca="false">E190/E193</f>
        <v>0.875371978145371</v>
      </c>
      <c r="F196" s="14" t="n">
        <f aca="false">F190/F193</f>
        <v>0.891634410294446</v>
      </c>
      <c r="G196" s="14" t="n">
        <f aca="false">G190/G193</f>
        <v>0.909689713975625</v>
      </c>
    </row>
    <row r="197" customFormat="false" ht="17.15" hidden="false" customHeight="false" outlineLevel="0" collapsed="false">
      <c r="A197" s="4" t="s">
        <v>766</v>
      </c>
      <c r="B197" s="0" t="s">
        <v>239</v>
      </c>
      <c r="D197" s="22" t="n">
        <f aca="false">gm_opt*D185+gm_oth*(D187+D188+D189)+gm_att*D173+gm_co*D191+m_hbm*D170</f>
        <v>6.45404607982713</v>
      </c>
      <c r="E197" s="22" t="n">
        <f aca="false">gm_opt*E185+gm_oth*(E187+E188+E189)+gm_att*E173+gm_co*E191+m_hbm*E170</f>
        <v>9.1565767863587</v>
      </c>
      <c r="F197" s="22" t="n">
        <f aca="false">gm_opt*F185+gm_oth*(F187+F188+F189)+gm_att*F173+gm_co*F191+m_hbm*F170</f>
        <v>8.5831409608063</v>
      </c>
      <c r="G197" s="22" t="n">
        <f aca="false">gm_opt*G185+gm_oth*(G187+G188+G189)+gm_att*G173+gm_co*G191+m_hbm*G170</f>
        <v>10.6530607093</v>
      </c>
    </row>
    <row r="198" customFormat="false" ht="17.15" hidden="false" customHeight="false" outlineLevel="0" collapsed="false">
      <c r="A198" s="0" t="s">
        <v>767</v>
      </c>
      <c r="B198" s="0" t="s">
        <v>80</v>
      </c>
      <c r="D198" s="16" t="n">
        <f aca="false">(a27_gp-D197)/D171</f>
        <v>0.435994625937743</v>
      </c>
      <c r="H198" s="7" t="s">
        <v>768</v>
      </c>
    </row>
    <row r="199" customFormat="false" ht="15" hidden="false" customHeight="false" outlineLevel="0" collapsed="false">
      <c r="A199" s="4" t="s">
        <v>769</v>
      </c>
      <c r="B199" s="0" t="s">
        <v>239</v>
      </c>
      <c r="C199" s="22" t="n">
        <f aca="false">a26_gp</f>
        <v>4.8718</v>
      </c>
      <c r="D199" s="22" t="n">
        <f aca="false">a27_gp</f>
        <v>7.006682</v>
      </c>
      <c r="E199" s="22" t="n">
        <f aca="false">E197+$D$198*E171</f>
        <v>10.2831657837468</v>
      </c>
      <c r="F199" s="22" t="n">
        <f aca="false">F197+$D$198*F171</f>
        <v>11.057068092766</v>
      </c>
      <c r="G199" s="22" t="n">
        <f aca="false">G197+$D$198*G171</f>
        <v>13.6758904236632</v>
      </c>
    </row>
    <row r="200" customFormat="false" ht="15" hidden="false" customHeight="false" outlineLevel="0" collapsed="false">
      <c r="A200" s="4" t="s">
        <v>621</v>
      </c>
      <c r="B200" s="0" t="s">
        <v>49</v>
      </c>
      <c r="C200" s="14" t="n">
        <f aca="false">C199/C193</f>
        <v>0.59451346008347</v>
      </c>
      <c r="D200" s="14" t="n">
        <f aca="false">D199/D193</f>
        <v>0.583890166666667</v>
      </c>
      <c r="E200" s="14" t="n">
        <f aca="false">E199/E193</f>
        <v>0.555584817599428</v>
      </c>
      <c r="F200" s="14" t="n">
        <f aca="false">F199/F193</f>
        <v>0.504315118936962</v>
      </c>
      <c r="G200" s="14" t="n">
        <f aca="false">G199/G193</f>
        <v>0.504691756081648</v>
      </c>
    </row>
    <row r="201" customFormat="false" ht="17.15" hidden="false" customHeight="false" outlineLevel="0" collapsed="false">
      <c r="A201" s="4" t="s">
        <v>770</v>
      </c>
      <c r="B201" s="0" t="s">
        <v>49</v>
      </c>
      <c r="C201" s="14" t="n">
        <f aca="false">C174/C193</f>
        <v>0.183047372660044</v>
      </c>
      <c r="D201" s="14" t="n">
        <f aca="false">D174/D193</f>
        <v>0.15625</v>
      </c>
      <c r="E201" s="14" t="n">
        <f aca="false">E174/E193</f>
        <v>0.255192246244711</v>
      </c>
      <c r="F201" s="14" t="n">
        <f aca="false">F174/F193</f>
        <v>0.43004014018259</v>
      </c>
      <c r="G201" s="14" t="n">
        <f aca="false">G174/G193</f>
        <v>0.441620440966298</v>
      </c>
    </row>
    <row r="202" customFormat="false" ht="15" hidden="false" customHeight="false" outlineLevel="0" collapsed="false">
      <c r="A202" s="4" t="s">
        <v>771</v>
      </c>
      <c r="B202" s="0" t="s">
        <v>239</v>
      </c>
      <c r="C202" s="22" t="n">
        <f aca="false">a26_opx</f>
        <v>1.9808</v>
      </c>
      <c r="D202" s="22" t="n">
        <f aca="false">a27_opx</f>
        <v>2.55</v>
      </c>
      <c r="E202" s="22" t="n">
        <f aca="false">D202*(1+MAX(g_opx_min,phi*E195))</f>
        <v>3.24155187455257</v>
      </c>
      <c r="F202" s="22" t="n">
        <f aca="false">E202*(1+MAX(g_opx_min,phi*F195))</f>
        <v>3.5407020177379</v>
      </c>
      <c r="G202" s="22" t="n">
        <f aca="false">F202*(1+MAX(g_opx_min,phi*G195))</f>
        <v>3.9583684949439</v>
      </c>
    </row>
    <row r="203" customFormat="false" ht="15" hidden="false" customHeight="false" outlineLevel="0" collapsed="false">
      <c r="A203" s="4" t="s">
        <v>772</v>
      </c>
      <c r="B203" s="0" t="s">
        <v>239</v>
      </c>
      <c r="C203" s="22" t="n">
        <f aca="false">C202</f>
        <v>1.9808</v>
      </c>
      <c r="D203" s="22" t="n">
        <f aca="false">D202</f>
        <v>2.55</v>
      </c>
      <c r="E203" s="22" t="n">
        <f aca="false">E202+0*E193</f>
        <v>3.24155187455257</v>
      </c>
      <c r="F203" s="22" t="n">
        <f aca="false">F202+0*F193</f>
        <v>3.5407020177379</v>
      </c>
      <c r="G203" s="22" t="n">
        <f aca="false">G202+0*G193</f>
        <v>3.9583684949439</v>
      </c>
    </row>
    <row r="204" customFormat="false" ht="15" hidden="false" customHeight="false" outlineLevel="0" collapsed="false">
      <c r="A204" s="4" t="s">
        <v>773</v>
      </c>
      <c r="B204" s="0" t="s">
        <v>239</v>
      </c>
      <c r="C204" s="22" t="n">
        <f aca="false">C199-C203</f>
        <v>2.891</v>
      </c>
      <c r="D204" s="22" t="n">
        <f aca="false">D199-D203</f>
        <v>4.456682</v>
      </c>
      <c r="E204" s="22" t="n">
        <f aca="false">E199-E203</f>
        <v>7.04161390919426</v>
      </c>
      <c r="F204" s="22" t="n">
        <f aca="false">F199-F203</f>
        <v>7.51636607502808</v>
      </c>
      <c r="G204" s="22" t="n">
        <f aca="false">G199-G203</f>
        <v>9.71752192871931</v>
      </c>
    </row>
    <row r="205" customFormat="false" ht="15" hidden="false" customHeight="false" outlineLevel="0" collapsed="false">
      <c r="A205" s="4" t="s">
        <v>627</v>
      </c>
      <c r="B205" s="0" t="s">
        <v>49</v>
      </c>
      <c r="C205" s="14" t="n">
        <f aca="false">C204/C193</f>
        <v>0.352793302906792</v>
      </c>
      <c r="D205" s="14" t="n">
        <f aca="false">D204/D193</f>
        <v>0.371390166666667</v>
      </c>
      <c r="E205" s="14" t="n">
        <f aca="false">E204/E193</f>
        <v>0.38044838152165</v>
      </c>
      <c r="F205" s="14" t="n">
        <f aca="false">F204/F193</f>
        <v>0.34282298158058</v>
      </c>
      <c r="G205" s="14" t="n">
        <f aca="false">G204/G193</f>
        <v>0.358613081491303</v>
      </c>
    </row>
    <row r="206" customFormat="false" ht="15" hidden="false" customHeight="false" outlineLevel="0" collapsed="false">
      <c r="A206" s="4" t="s">
        <v>774</v>
      </c>
      <c r="B206" s="0" t="s">
        <v>239</v>
      </c>
      <c r="C206" s="22" t="n">
        <f aca="false">a26_oth</f>
        <v>0.1514</v>
      </c>
      <c r="D206" s="22" t="n">
        <f aca="false">a27_oth</f>
        <v>0.1424</v>
      </c>
      <c r="E206" s="22" t="n">
        <f aca="false">int_f</f>
        <v>0.15</v>
      </c>
      <c r="F206" s="22" t="n">
        <f aca="false">int_f</f>
        <v>0.15</v>
      </c>
      <c r="G206" s="22" t="n">
        <f aca="false">int_f</f>
        <v>0.15</v>
      </c>
    </row>
    <row r="207" customFormat="false" ht="15" hidden="false" customHeight="false" outlineLevel="0" collapsed="false">
      <c r="A207" s="4" t="s">
        <v>775</v>
      </c>
      <c r="B207" s="0" t="s">
        <v>49</v>
      </c>
      <c r="C207" s="14" t="n">
        <f aca="false">a26_tax/(a26_oi-a26_oth)</f>
        <v>0.1</v>
      </c>
      <c r="D207" s="14" t="n">
        <f aca="false">a27_tax/(a27_oi-a27_oth)</f>
        <v>0.11</v>
      </c>
      <c r="E207" s="14" t="n">
        <f aca="false">tx_f</f>
        <v>0.13</v>
      </c>
      <c r="F207" s="14" t="n">
        <f aca="false">tx_f</f>
        <v>0.13</v>
      </c>
      <c r="G207" s="14" t="n">
        <f aca="false">tx_f</f>
        <v>0.13</v>
      </c>
    </row>
    <row r="208" customFormat="false" ht="17.15" hidden="false" customHeight="false" outlineLevel="0" collapsed="false">
      <c r="A208" s="4" t="s">
        <v>708</v>
      </c>
      <c r="B208" s="0" t="s">
        <v>239</v>
      </c>
      <c r="C208" s="22" t="n">
        <f aca="false">a26_ni</f>
        <v>2.46564</v>
      </c>
      <c r="D208" s="22" t="n">
        <f aca="false">a27_ni</f>
        <v>3.83971098</v>
      </c>
      <c r="E208" s="22" t="n">
        <f aca="false">(E204-E206)*(1-E207)</f>
        <v>5.99570410099901</v>
      </c>
      <c r="F208" s="22" t="n">
        <f aca="false">(F204-F206)*(1-F207)</f>
        <v>6.40873848527443</v>
      </c>
      <c r="G208" s="22" t="n">
        <f aca="false">(G204-G206)*(1-G207)</f>
        <v>8.3237440779858</v>
      </c>
    </row>
    <row r="209" customFormat="false" ht="15" hidden="false" customHeight="false" outlineLevel="0" collapsed="false">
      <c r="A209" s="4" t="s">
        <v>776</v>
      </c>
      <c r="B209" s="4" t="s">
        <v>370</v>
      </c>
      <c r="C209" s="16" t="n">
        <f aca="false">a26_sh</f>
        <v>0.8697</v>
      </c>
      <c r="D209" s="16" t="n">
        <f aca="false">a27_sh</f>
        <v>0.915125</v>
      </c>
      <c r="E209" s="16" t="n">
        <f aca="false">D209*(1+sh_g)</f>
        <v>0.919700625</v>
      </c>
      <c r="F209" s="16" t="n">
        <f aca="false">E209*(1+sh_g)</f>
        <v>0.924299128125</v>
      </c>
      <c r="G209" s="16" t="n">
        <f aca="false">F209*(1+sh_g)</f>
        <v>0.928920623765625</v>
      </c>
    </row>
    <row r="210" customFormat="false" ht="17.15" hidden="false" customHeight="false" outlineLevel="0" collapsed="false">
      <c r="A210" s="0" t="s">
        <v>709</v>
      </c>
      <c r="B210" s="0" t="s">
        <v>253</v>
      </c>
      <c r="C210" s="22" t="n">
        <f aca="false">C208/C209</f>
        <v>2.83504656778199</v>
      </c>
      <c r="D210" s="22" t="n">
        <f aca="false">D208/D209</f>
        <v>4.19583224149706</v>
      </c>
      <c r="E210" s="22" t="n">
        <f aca="false">E208/E209</f>
        <v>6.51919106937544</v>
      </c>
      <c r="F210" s="22" t="n">
        <f aca="false">F208/F209</f>
        <v>6.93361952885855</v>
      </c>
      <c r="G210" s="22" t="n">
        <f aca="false">G208/G209</f>
        <v>8.96066236988399</v>
      </c>
    </row>
    <row r="211" customFormat="false" ht="17.15" hidden="false" customHeight="false" outlineLevel="0" collapsed="false">
      <c r="A211" s="0" t="s">
        <v>777</v>
      </c>
      <c r="B211" s="0" t="s">
        <v>49</v>
      </c>
      <c r="D211" s="14" t="n">
        <f aca="false">D210/C210-1</f>
        <v>0.479987062357033</v>
      </c>
      <c r="E211" s="14" t="n">
        <f aca="false">E210/D210-1</f>
        <v>0.553730152721599</v>
      </c>
      <c r="F211" s="14" t="n">
        <f aca="false">F210/E210-1</f>
        <v>0.063570534299866</v>
      </c>
      <c r="G211" s="14" t="n">
        <f aca="false">G210/F210-1</f>
        <v>0.292349880547764</v>
      </c>
    </row>
    <row r="214" customFormat="false" ht="17.15" hidden="false" customHeight="false" outlineLevel="0" collapsed="false">
      <c r="A214" s="3" t="s">
        <v>779</v>
      </c>
    </row>
    <row r="215" customFormat="false" ht="17.15" hidden="false" customHeight="false" outlineLevel="0" collapsed="false">
      <c r="A215" s="5" t="s">
        <v>25</v>
      </c>
      <c r="B215" s="5" t="s">
        <v>26</v>
      </c>
      <c r="C215" s="11" t="s">
        <v>698</v>
      </c>
      <c r="D215" s="11" t="s">
        <v>699</v>
      </c>
      <c r="E215" s="11" t="s">
        <v>700</v>
      </c>
      <c r="F215" s="11" t="s">
        <v>701</v>
      </c>
      <c r="G215" s="11" t="s">
        <v>702</v>
      </c>
      <c r="H215" s="5" t="s">
        <v>555</v>
      </c>
    </row>
    <row r="216" customFormat="false" ht="17.15" hidden="false" customHeight="false" outlineLevel="0" collapsed="false">
      <c r="A216" s="1" t="s">
        <v>717</v>
      </c>
    </row>
    <row r="217" customFormat="false" ht="17.15" hidden="false" customHeight="false" outlineLevel="0" collapsed="false">
      <c r="A217" s="0" t="s">
        <v>718</v>
      </c>
      <c r="B217" s="4" t="s">
        <v>36</v>
      </c>
      <c r="D217" s="22" t="n">
        <f aca="false">u_trn_26</f>
        <v>2</v>
      </c>
      <c r="E217" s="22" t="n">
        <f aca="false">u_trn_27</f>
        <v>2.5</v>
      </c>
      <c r="F217" s="22" t="n">
        <f aca="false">u_trn_28*um28_C</f>
        <v>1.8</v>
      </c>
      <c r="G217" s="22" t="n">
        <f aca="false">u_trn_28*(1+g29_trn)*um29_C</f>
        <v>2.07</v>
      </c>
    </row>
    <row r="218" customFormat="false" ht="17.15" hidden="false" customHeight="false" outlineLevel="0" collapsed="false">
      <c r="A218" s="4" t="s">
        <v>719</v>
      </c>
      <c r="B218" s="4" t="s">
        <v>36</v>
      </c>
      <c r="D218" s="22" t="n">
        <f aca="false">u_oth_26</f>
        <v>1</v>
      </c>
      <c r="E218" s="22" t="n">
        <f aca="false">u_oth_27</f>
        <v>4.5</v>
      </c>
      <c r="F218" s="22" t="n">
        <f aca="false">u_oth_28*um28_C</f>
        <v>3</v>
      </c>
      <c r="G218" s="22" t="n">
        <f aca="false">u_oth_28*(1+g29_oth)*um29_C</f>
        <v>3.45</v>
      </c>
    </row>
    <row r="219" customFormat="false" ht="17.15" hidden="false" customHeight="false" outlineLevel="0" collapsed="false">
      <c r="A219" s="0" t="s">
        <v>720</v>
      </c>
      <c r="B219" s="4" t="s">
        <v>36</v>
      </c>
      <c r="D219" s="22" t="n">
        <f aca="false">u_tpu_26</f>
        <v>3.85</v>
      </c>
      <c r="E219" s="22" t="n">
        <f aca="false">u_tpu_27</f>
        <v>5.5</v>
      </c>
      <c r="F219" s="22" t="n">
        <f aca="false">u_tpu_28*um28_C</f>
        <v>4.2</v>
      </c>
      <c r="G219" s="22" t="n">
        <f aca="false">u_tpu_28*(1+g29_tpu)*um29_C</f>
        <v>4.83</v>
      </c>
    </row>
    <row r="220" customFormat="false" ht="17.15" hidden="false" customHeight="false" outlineLevel="0" collapsed="false">
      <c r="A220" s="0" t="s">
        <v>658</v>
      </c>
      <c r="B220" s="0" t="s">
        <v>49</v>
      </c>
      <c r="D220" s="14" t="n">
        <f aca="false">msh_trn_26</f>
        <v>0.1</v>
      </c>
      <c r="E220" s="14" t="n">
        <f aca="false">MIN(1,MAX(0,msh_trn_27+0))</f>
        <v>0.1</v>
      </c>
      <c r="F220" s="14" t="n">
        <f aca="false">MIN(1,MAX(0,msh_trn_28+0))</f>
        <v>0.08</v>
      </c>
      <c r="G220" s="14" t="n">
        <f aca="false">MIN(1,MAX(0,msh_trn_28+0))</f>
        <v>0.08</v>
      </c>
    </row>
    <row r="221" customFormat="false" ht="17.15" hidden="false" customHeight="false" outlineLevel="0" collapsed="false">
      <c r="A221" s="0" t="s">
        <v>666</v>
      </c>
      <c r="B221" s="0" t="s">
        <v>49</v>
      </c>
      <c r="D221" s="14" t="n">
        <f aca="false">msh_oth_26</f>
        <v>0.05</v>
      </c>
      <c r="E221" s="14" t="n">
        <f aca="false">MIN(1,MAX(0,msh_oth_27+0))</f>
        <v>0.06</v>
      </c>
      <c r="F221" s="14" t="n">
        <f aca="false">MIN(1,MAX(0,msh_oth_28+0))</f>
        <v>0.15</v>
      </c>
      <c r="G221" s="14" t="n">
        <f aca="false">MIN(1,MAX(0,msh_oth_28+0))</f>
        <v>0.15</v>
      </c>
    </row>
    <row r="222" customFormat="false" ht="17.15" hidden="false" customHeight="false" outlineLevel="0" collapsed="false">
      <c r="A222" s="0" t="s">
        <v>670</v>
      </c>
      <c r="B222" s="0" t="s">
        <v>49</v>
      </c>
      <c r="D222" s="14" t="n">
        <f aca="false">msh_tpu_26</f>
        <v>0</v>
      </c>
      <c r="E222" s="14" t="n">
        <f aca="false">MIN(1,MAX(0,msh_tpu_27+0))</f>
        <v>0</v>
      </c>
      <c r="F222" s="14" t="n">
        <f aca="false">MIN(1,MAX(0,msh_tpu_28+0))</f>
        <v>0.05</v>
      </c>
      <c r="G222" s="14" t="n">
        <f aca="false">MIN(1,MAX(0,msh_tpu_28+0))</f>
        <v>0.05</v>
      </c>
    </row>
    <row r="223" customFormat="false" ht="17.15" hidden="false" customHeight="false" outlineLevel="0" collapsed="false">
      <c r="A223" s="0" t="s">
        <v>660</v>
      </c>
      <c r="B223" s="4" t="s">
        <v>36</v>
      </c>
      <c r="D223" s="16" t="n">
        <f aca="false">D217*D220</f>
        <v>0.2</v>
      </c>
      <c r="E223" s="16" t="n">
        <f aca="false">E217*E220*1</f>
        <v>0.25</v>
      </c>
      <c r="F223" s="16" t="n">
        <f aca="false">F217*F220*1</f>
        <v>0.144</v>
      </c>
      <c r="G223" s="16" t="n">
        <f aca="false">G217*G220*1</f>
        <v>0.1656</v>
      </c>
    </row>
    <row r="224" customFormat="false" ht="17.15" hidden="false" customHeight="false" outlineLevel="0" collapsed="false">
      <c r="A224" s="0" t="s">
        <v>667</v>
      </c>
      <c r="B224" s="4" t="s">
        <v>36</v>
      </c>
      <c r="D224" s="16" t="n">
        <f aca="false">D218*D221</f>
        <v>0.05</v>
      </c>
      <c r="E224" s="16" t="n">
        <f aca="false">E218*E221*1</f>
        <v>0.27</v>
      </c>
      <c r="F224" s="16" t="n">
        <f aca="false">F218*F221*1</f>
        <v>0.45</v>
      </c>
      <c r="G224" s="16" t="n">
        <f aca="false">G218*G221*1</f>
        <v>0.5175</v>
      </c>
    </row>
    <row r="225" customFormat="false" ht="17.15" hidden="false" customHeight="false" outlineLevel="0" collapsed="false">
      <c r="A225" s="0" t="s">
        <v>671</v>
      </c>
      <c r="B225" s="4" t="s">
        <v>36</v>
      </c>
      <c r="D225" s="16" t="n">
        <f aca="false">D219*D222</f>
        <v>0</v>
      </c>
      <c r="E225" s="16" t="n">
        <f aca="false">E219*E222*1</f>
        <v>0</v>
      </c>
      <c r="F225" s="16" t="n">
        <f aca="false">F219*F222*1</f>
        <v>0.21</v>
      </c>
      <c r="G225" s="16" t="n">
        <f aca="false">G219*G222*1</f>
        <v>0.2415</v>
      </c>
    </row>
    <row r="226" customFormat="false" ht="17.15" hidden="false" customHeight="false" outlineLevel="0" collapsed="false">
      <c r="A226" s="4" t="s">
        <v>721</v>
      </c>
      <c r="B226" s="0" t="s">
        <v>100</v>
      </c>
      <c r="D226" s="23" t="n">
        <f aca="false">gb_trn_26</f>
        <v>110</v>
      </c>
      <c r="E226" s="23" t="n">
        <f aca="false">gb_trn_27</f>
        <v>144</v>
      </c>
      <c r="F226" s="23" t="n">
        <f aca="false">gb_trn_28</f>
        <v>200</v>
      </c>
      <c r="G226" s="23" t="n">
        <f aca="false">gb_trn_28</f>
        <v>200</v>
      </c>
    </row>
    <row r="227" customFormat="false" ht="17.15" hidden="false" customHeight="false" outlineLevel="0" collapsed="false">
      <c r="A227" s="4" t="s">
        <v>722</v>
      </c>
      <c r="B227" s="0" t="s">
        <v>100</v>
      </c>
      <c r="D227" s="23" t="n">
        <f aca="false">gb_oth_26</f>
        <v>150</v>
      </c>
      <c r="E227" s="23" t="n">
        <f aca="false">gb_oth_27</f>
        <v>200</v>
      </c>
      <c r="F227" s="23" t="n">
        <f aca="false">gb_oth_28</f>
        <v>250</v>
      </c>
      <c r="G227" s="23" t="n">
        <f aca="false">gb_oth_28</f>
        <v>250</v>
      </c>
    </row>
    <row r="228" customFormat="false" ht="17.15" hidden="false" customHeight="false" outlineLevel="0" collapsed="false">
      <c r="A228" s="4" t="s">
        <v>723</v>
      </c>
      <c r="B228" s="0" t="s">
        <v>100</v>
      </c>
      <c r="D228" s="23" t="n">
        <f aca="false">gb_tpu_26</f>
        <v>192</v>
      </c>
      <c r="E228" s="23" t="n">
        <f aca="false">gb_tpu_27</f>
        <v>250</v>
      </c>
      <c r="F228" s="23" t="n">
        <f aca="false">gb_tpu_28</f>
        <v>288</v>
      </c>
      <c r="G228" s="23" t="n">
        <f aca="false">gb_tpu_28</f>
        <v>288</v>
      </c>
    </row>
    <row r="229" customFormat="false" ht="17.15" hidden="false" customHeight="false" outlineLevel="0" collapsed="false">
      <c r="A229" s="0" t="s">
        <v>724</v>
      </c>
      <c r="B229" s="0" t="s">
        <v>200</v>
      </c>
      <c r="D229" s="22" t="n">
        <f aca="false">hbm_C_26</f>
        <v>14.6</v>
      </c>
      <c r="E229" s="22" t="n">
        <f aca="false">hbm_C_27</f>
        <v>26.28</v>
      </c>
      <c r="F229" s="22" t="n">
        <f aca="false">hbm_C_28</f>
        <v>15.768</v>
      </c>
      <c r="G229" s="22" t="n">
        <f aca="false">hbm_C_29</f>
        <v>16.5564</v>
      </c>
    </row>
    <row r="230" customFormat="false" ht="17.15" hidden="false" customHeight="false" outlineLevel="0" collapsed="false">
      <c r="A230" s="4" t="s">
        <v>725</v>
      </c>
      <c r="B230" s="0" t="s">
        <v>122</v>
      </c>
      <c r="D230" s="22" t="n">
        <f aca="false">core_trn</f>
        <v>6.394</v>
      </c>
      <c r="E230" s="22" t="n">
        <f aca="false">core_trn*1</f>
        <v>6.394</v>
      </c>
      <c r="F230" s="22" t="n">
        <f aca="false">core_trn*1</f>
        <v>6.394</v>
      </c>
      <c r="G230" s="22" t="n">
        <f aca="false">core_trn*1</f>
        <v>6.394</v>
      </c>
    </row>
    <row r="231" customFormat="false" ht="17.15" hidden="false" customHeight="false" outlineLevel="0" collapsed="false">
      <c r="A231" s="4" t="s">
        <v>726</v>
      </c>
      <c r="B231" s="0" t="s">
        <v>122</v>
      </c>
      <c r="D231" s="22" t="n">
        <f aca="false">core_oth</f>
        <v>6</v>
      </c>
      <c r="E231" s="22" t="n">
        <f aca="false">core_oth*1</f>
        <v>6</v>
      </c>
      <c r="F231" s="22" t="n">
        <f aca="false">core_oth*1</f>
        <v>6</v>
      </c>
      <c r="G231" s="22" t="n">
        <f aca="false">core_oth*1</f>
        <v>6</v>
      </c>
    </row>
    <row r="232" customFormat="false" ht="17.15" hidden="false" customHeight="false" outlineLevel="0" collapsed="false">
      <c r="A232" s="4" t="s">
        <v>727</v>
      </c>
      <c r="B232" s="0" t="s">
        <v>122</v>
      </c>
      <c r="D232" s="22" t="n">
        <f aca="false">core_tpu</f>
        <v>8</v>
      </c>
      <c r="E232" s="22" t="n">
        <f aca="false">core_tpu*1</f>
        <v>8</v>
      </c>
      <c r="F232" s="22" t="n">
        <f aca="false">core_tpu*1</f>
        <v>8</v>
      </c>
      <c r="G232" s="22" t="n">
        <f aca="false">core_tpu*1</f>
        <v>8</v>
      </c>
    </row>
    <row r="233" customFormat="false" ht="17.15" hidden="false" customHeight="false" outlineLevel="0" collapsed="false">
      <c r="A233" s="4" t="s">
        <v>728</v>
      </c>
      <c r="B233" s="0" t="s">
        <v>122</v>
      </c>
      <c r="D233" s="22" t="n">
        <f aca="false">D226*D229/1000</f>
        <v>1.606</v>
      </c>
      <c r="E233" s="22" t="n">
        <f aca="false">E226*E229/1000</f>
        <v>3.78432</v>
      </c>
      <c r="F233" s="22" t="n">
        <f aca="false">F226*F229/1000</f>
        <v>3.1536</v>
      </c>
      <c r="G233" s="22" t="n">
        <f aca="false">G226*G229/1000</f>
        <v>3.31128</v>
      </c>
    </row>
    <row r="234" customFormat="false" ht="17.15" hidden="false" customHeight="false" outlineLevel="0" collapsed="false">
      <c r="A234" s="4" t="s">
        <v>729</v>
      </c>
      <c r="B234" s="0" t="s">
        <v>122</v>
      </c>
      <c r="D234" s="22" t="n">
        <f aca="false">D227*D229/1000</f>
        <v>2.19</v>
      </c>
      <c r="E234" s="22" t="n">
        <f aca="false">E227*E229/1000</f>
        <v>5.256</v>
      </c>
      <c r="F234" s="22" t="n">
        <f aca="false">F227*F229/1000</f>
        <v>3.942</v>
      </c>
      <c r="G234" s="22" t="n">
        <f aca="false">G227*G229/1000</f>
        <v>4.1391</v>
      </c>
    </row>
    <row r="235" customFormat="false" ht="17.15" hidden="false" customHeight="false" outlineLevel="0" collapsed="false">
      <c r="A235" s="4" t="s">
        <v>730</v>
      </c>
      <c r="B235" s="0" t="s">
        <v>122</v>
      </c>
      <c r="D235" s="22" t="n">
        <f aca="false">D228*D229/1000</f>
        <v>2.8032</v>
      </c>
      <c r="E235" s="22" t="n">
        <f aca="false">E228*E229/1000</f>
        <v>6.57</v>
      </c>
      <c r="F235" s="22" t="n">
        <f aca="false">F228*F229/1000</f>
        <v>4.541184</v>
      </c>
      <c r="G235" s="22" t="n">
        <f aca="false">G228*G229/1000</f>
        <v>4.7682432</v>
      </c>
    </row>
    <row r="236" customFormat="false" ht="17.15" hidden="false" customHeight="false" outlineLevel="0" collapsed="false">
      <c r="A236" s="4" t="s">
        <v>731</v>
      </c>
      <c r="B236" s="0" t="s">
        <v>122</v>
      </c>
      <c r="D236" s="22" t="n">
        <f aca="false">D230+f_hbm*D233</f>
        <v>7.3576</v>
      </c>
      <c r="E236" s="22" t="n">
        <f aca="false">E230+f_hbm*E233</f>
        <v>8.664592</v>
      </c>
      <c r="F236" s="22" t="n">
        <f aca="false">F230+f_hbm*F233</f>
        <v>8.28616</v>
      </c>
      <c r="G236" s="22" t="n">
        <f aca="false">G230+f_hbm*G233</f>
        <v>8.380768</v>
      </c>
      <c r="H236" s="4" t="s">
        <v>732</v>
      </c>
    </row>
    <row r="237" customFormat="false" ht="17.15" hidden="false" customHeight="false" outlineLevel="0" collapsed="false">
      <c r="A237" s="4" t="s">
        <v>733</v>
      </c>
      <c r="B237" s="0" t="s">
        <v>122</v>
      </c>
      <c r="D237" s="22" t="n">
        <f aca="false">D231+f_hbm*D234</f>
        <v>7.314</v>
      </c>
      <c r="E237" s="22" t="n">
        <f aca="false">E231+f_hbm*E234</f>
        <v>9.1536</v>
      </c>
      <c r="F237" s="22" t="n">
        <f aca="false">F231+f_hbm*F234</f>
        <v>8.3652</v>
      </c>
      <c r="G237" s="22" t="n">
        <f aca="false">G231+f_hbm*G234</f>
        <v>8.48346</v>
      </c>
    </row>
    <row r="238" customFormat="false" ht="17.15" hidden="false" customHeight="false" outlineLevel="0" collapsed="false">
      <c r="A238" s="4" t="s">
        <v>734</v>
      </c>
      <c r="B238" s="0" t="s">
        <v>122</v>
      </c>
      <c r="D238" s="22" t="n">
        <f aca="false">D232+f_hbm*D235</f>
        <v>9.68192</v>
      </c>
      <c r="E238" s="22" t="n">
        <f aca="false">E232+f_hbm*E235</f>
        <v>11.942</v>
      </c>
      <c r="F238" s="22" t="n">
        <f aca="false">F232+f_hbm*F235</f>
        <v>10.7247104</v>
      </c>
      <c r="G238" s="22" t="n">
        <f aca="false">G232+f_hbm*G235</f>
        <v>10.86094592</v>
      </c>
    </row>
    <row r="239" customFormat="false" ht="17.15" hidden="false" customHeight="false" outlineLevel="0" collapsed="false">
      <c r="A239" s="0" t="s">
        <v>735</v>
      </c>
      <c r="B239" s="0" t="s">
        <v>239</v>
      </c>
      <c r="D239" s="22" t="n">
        <f aca="false">D223*D236+D224*D237+D225*D238</f>
        <v>1.83722</v>
      </c>
      <c r="E239" s="22" t="n">
        <f aca="false">E223*E236+E224*E237+E225*E238</f>
        <v>4.63762</v>
      </c>
      <c r="F239" s="22" t="n">
        <f aca="false">F223*F236+F224*F237+F225*F238</f>
        <v>7.209736224</v>
      </c>
      <c r="G239" s="22" t="n">
        <f aca="false">G223*G236+G224*G237+G225*G238</f>
        <v>8.40096417048</v>
      </c>
    </row>
    <row r="240" customFormat="false" ht="17.15" hidden="false" customHeight="false" outlineLevel="0" collapsed="false">
      <c r="A240" s="0" t="s">
        <v>736</v>
      </c>
      <c r="B240" s="0" t="s">
        <v>80</v>
      </c>
      <c r="D240" s="16" t="n">
        <f aca="false">a27_xpu/D239</f>
        <v>0.802843426481314</v>
      </c>
      <c r="H240" s="7" t="s">
        <v>737</v>
      </c>
    </row>
    <row r="241" customFormat="false" ht="17.15" hidden="false" customHeight="false" outlineLevel="0" collapsed="false">
      <c r="A241" s="0" t="s">
        <v>738</v>
      </c>
      <c r="B241" s="0" t="s">
        <v>239</v>
      </c>
      <c r="D241" s="22" t="n">
        <f aca="false">D239*$D$240</f>
        <v>1.475</v>
      </c>
      <c r="E241" s="22" t="n">
        <f aca="false">E239*$D$240</f>
        <v>3.72328273151827</v>
      </c>
      <c r="F241" s="22" t="n">
        <f aca="false">F239*$D$240</f>
        <v>5.78828933410261</v>
      </c>
      <c r="G241" s="22" t="n">
        <f aca="false">G239*$D$240</f>
        <v>6.74465886037491</v>
      </c>
    </row>
    <row r="242" customFormat="false" ht="17.15" hidden="false" customHeight="false" outlineLevel="0" collapsed="false">
      <c r="A242" s="4" t="s">
        <v>739</v>
      </c>
      <c r="B242" s="0" t="s">
        <v>239</v>
      </c>
      <c r="D242" s="22" t="n">
        <f aca="false">$D$240*f_hbm*(D223*D233+D224*D234+D225*D235)</f>
        <v>0.207470798271301</v>
      </c>
      <c r="E242" s="22" t="n">
        <f aca="false">$D$240*f_hbm*(E223*E233+E224*E234+E225*E235)</f>
        <v>1.13933116338816</v>
      </c>
      <c r="F242" s="22" t="n">
        <f aca="false">$D$240*f_hbm*(F223*F233+F224*F234+F225*F235)</f>
        <v>1.53262828098976</v>
      </c>
      <c r="G242" s="22" t="n">
        <f aca="false">$D$240*f_hbm*(G223*G233+G224*G234+G225*G235)</f>
        <v>1.85064864929513</v>
      </c>
    </row>
    <row r="243" customFormat="false" ht="15" hidden="false" customHeight="false" outlineLevel="0" collapsed="false">
      <c r="A243" s="4" t="s">
        <v>740</v>
      </c>
      <c r="B243" s="0" t="s">
        <v>239</v>
      </c>
      <c r="D243" s="22" t="n">
        <f aca="false">D241-D242</f>
        <v>1.2675292017287</v>
      </c>
      <c r="E243" s="22" t="n">
        <f aca="false">E241-E242</f>
        <v>2.58395156813011</v>
      </c>
      <c r="F243" s="22" t="n">
        <f aca="false">F241-F242</f>
        <v>4.25566105311286</v>
      </c>
      <c r="G243" s="22" t="n">
        <f aca="false">G241-G242</f>
        <v>4.89401021107978</v>
      </c>
    </row>
    <row r="244" customFormat="false" ht="17.15" hidden="false" customHeight="false" outlineLevel="0" collapsed="false">
      <c r="A244" s="0" t="s">
        <v>741</v>
      </c>
      <c r="B244" s="4" t="s">
        <v>36</v>
      </c>
      <c r="D244" s="16" t="n">
        <f aca="false">D223+D224+D225</f>
        <v>0.25</v>
      </c>
      <c r="E244" s="16" t="n">
        <f aca="false">E223+E224+E225</f>
        <v>0.52</v>
      </c>
      <c r="F244" s="16" t="n">
        <f aca="false">F223+F224+F225</f>
        <v>0.804</v>
      </c>
      <c r="G244" s="16" t="n">
        <f aca="false">G223+G224+G225</f>
        <v>0.9246</v>
      </c>
    </row>
    <row r="245" customFormat="false" ht="17.15" hidden="false" customHeight="false" outlineLevel="0" collapsed="false">
      <c r="A245" s="0" t="s">
        <v>742</v>
      </c>
      <c r="B245" s="0" t="s">
        <v>239</v>
      </c>
      <c r="C245" s="22" t="n">
        <f aca="false">a26_att</f>
        <v>0.2</v>
      </c>
      <c r="D245" s="22" t="n">
        <f aca="false">a27_att</f>
        <v>0.4</v>
      </c>
      <c r="E245" s="22" t="n">
        <f aca="false">att28</f>
        <v>1</v>
      </c>
      <c r="F245" s="22" t="n">
        <f aca="false">att28*(1+g_att)*um28_C</f>
        <v>0.9</v>
      </c>
      <c r="G245" s="22" t="n">
        <f aca="false">att28*(1+g_att)^2*um29_C</f>
        <v>1.35</v>
      </c>
      <c r="H245" s="7" t="s">
        <v>743</v>
      </c>
    </row>
    <row r="246" customFormat="false" ht="17.15" hidden="false" customHeight="false" outlineLevel="0" collapsed="false">
      <c r="A246" s="4" t="s">
        <v>744</v>
      </c>
      <c r="B246" s="0" t="s">
        <v>239</v>
      </c>
      <c r="C246" s="22" t="n">
        <f aca="false">a26_cus</f>
        <v>1.5</v>
      </c>
      <c r="D246" s="22" t="n">
        <f aca="false">D241+D245</f>
        <v>1.875</v>
      </c>
      <c r="E246" s="22" t="n">
        <f aca="false">E241+E245</f>
        <v>4.72328273151827</v>
      </c>
      <c r="F246" s="22" t="n">
        <f aca="false">F241+F245</f>
        <v>6.68828933410261</v>
      </c>
      <c r="G246" s="22" t="n">
        <f aca="false">G241+G245</f>
        <v>8.09465886037491</v>
      </c>
    </row>
    <row r="247" customFormat="false" ht="17.15" hidden="false" customHeight="false" outlineLevel="0" collapsed="false">
      <c r="A247" s="1" t="s">
        <v>745</v>
      </c>
    </row>
    <row r="248" customFormat="false" ht="17.15" hidden="false" customHeight="false" outlineLevel="0" collapsed="false">
      <c r="A248" s="0" t="s">
        <v>746</v>
      </c>
      <c r="B248" s="0" t="s">
        <v>239</v>
      </c>
      <c r="D248" s="22" t="n">
        <f aca="false">plugC_26*1</f>
        <v>29.753262</v>
      </c>
      <c r="E248" s="22" t="n">
        <f aca="false">plugC_27*1</f>
        <v>55.252106</v>
      </c>
      <c r="F248" s="22" t="n">
        <f aca="false">plugC_28*um28_C</f>
        <v>37.50117</v>
      </c>
      <c r="G248" s="22" t="n">
        <f aca="false">plugC_29*um29_C</f>
        <v>48.606666</v>
      </c>
    </row>
    <row r="249" customFormat="false" ht="17.15" hidden="false" customHeight="false" outlineLevel="0" collapsed="false">
      <c r="A249" s="4" t="s">
        <v>747</v>
      </c>
      <c r="B249" s="4" t="s">
        <v>680</v>
      </c>
      <c r="D249" s="19" t="n">
        <f aca="false">D248*1000/asp_26</f>
        <v>45.7742492307692</v>
      </c>
      <c r="E249" s="19" t="n">
        <f aca="false">E248*1000/asp_27</f>
        <v>69.0651325</v>
      </c>
      <c r="F249" s="19" t="n">
        <f aca="false">F248*1000/asp_28</f>
        <v>44.1190235294118</v>
      </c>
      <c r="G249" s="19" t="n">
        <f aca="false">G248*1000/asp_29</f>
        <v>57.1843129411765</v>
      </c>
    </row>
    <row r="250" customFormat="false" ht="17.15" hidden="false" customHeight="false" outlineLevel="0" collapsed="false">
      <c r="A250" s="4" t="s">
        <v>748</v>
      </c>
      <c r="B250" s="0" t="s">
        <v>49</v>
      </c>
      <c r="D250" s="14" t="n">
        <f aca="false">MIN(1,lpo_26)</f>
        <v>0.03</v>
      </c>
      <c r="E250" s="14" t="n">
        <f aca="false">MIN(1,lpo_27+0)</f>
        <v>0.06</v>
      </c>
      <c r="F250" s="14" t="n">
        <f aca="false">MIN(1,lpo_28+0)</f>
        <v>0.1</v>
      </c>
      <c r="G250" s="14" t="n">
        <f aca="false">MIN(1,lpo_29+0)</f>
        <v>0.15</v>
      </c>
    </row>
    <row r="251" customFormat="false" ht="15" hidden="false" customHeight="false" outlineLevel="0" collapsed="false">
      <c r="A251" s="4" t="s">
        <v>749</v>
      </c>
      <c r="B251" s="0" t="s">
        <v>253</v>
      </c>
      <c r="D251" s="23" t="n">
        <f aca="false">dsp_26</f>
        <v>125</v>
      </c>
      <c r="E251" s="23" t="n">
        <f aca="false">dsp_27*1</f>
        <v>135</v>
      </c>
      <c r="F251" s="23" t="n">
        <f aca="false">dsp_28*1</f>
        <v>135</v>
      </c>
      <c r="G251" s="23" t="n">
        <f aca="false">dsp_29*1</f>
        <v>130</v>
      </c>
    </row>
    <row r="252" customFormat="false" ht="17.15" hidden="false" customHeight="false" outlineLevel="0" collapsed="false">
      <c r="A252" s="4" t="s">
        <v>750</v>
      </c>
      <c r="B252" s="0" t="s">
        <v>239</v>
      </c>
      <c r="D252" s="22" t="n">
        <f aca="false">D249*(1-D250)*D251/1000</f>
        <v>5.55012771923077</v>
      </c>
      <c r="E252" s="22" t="n">
        <f aca="false">E249*(1-E250)*E251/1000</f>
        <v>8.76436531425</v>
      </c>
      <c r="F252" s="22" t="n">
        <f aca="false">F249*(1-F250)*F251/1000</f>
        <v>5.36046135882353</v>
      </c>
      <c r="G252" s="22" t="n">
        <f aca="false">G249*(1-G250)*G251/1000</f>
        <v>6.31886658</v>
      </c>
    </row>
    <row r="253" customFormat="false" ht="17.15" hidden="false" customHeight="false" outlineLevel="0" collapsed="false">
      <c r="A253" s="0" t="s">
        <v>751</v>
      </c>
      <c r="B253" s="0" t="s">
        <v>49</v>
      </c>
      <c r="D253" s="14" t="n">
        <f aca="false">msh_dsp_26</f>
        <v>0.65</v>
      </c>
      <c r="E253" s="14" t="n">
        <f aca="false">msh_dsp_27+0</f>
        <v>0.63</v>
      </c>
      <c r="F253" s="14" t="n">
        <f aca="false">msh_dsp_28+0</f>
        <v>0.6</v>
      </c>
      <c r="G253" s="14" t="n">
        <f aca="false">msh_dsp_29+0</f>
        <v>0.58</v>
      </c>
    </row>
    <row r="254" customFormat="false" ht="17.15" hidden="false" customHeight="false" outlineLevel="0" collapsed="false">
      <c r="A254" s="0" t="s">
        <v>682</v>
      </c>
      <c r="B254" s="0" t="s">
        <v>239</v>
      </c>
      <c r="D254" s="22" t="n">
        <f aca="false">D252*D253</f>
        <v>3.6075830175</v>
      </c>
      <c r="E254" s="22" t="n">
        <f aca="false">E252*E253*1</f>
        <v>5.5215501479775</v>
      </c>
      <c r="F254" s="22" t="n">
        <f aca="false">F252*F253*1</f>
        <v>3.21627681529412</v>
      </c>
      <c r="G254" s="22" t="n">
        <f aca="false">G252*G253*1</f>
        <v>3.6649426164</v>
      </c>
    </row>
    <row r="255" customFormat="false" ht="17.15" hidden="false" customHeight="false" outlineLevel="0" collapsed="false">
      <c r="A255" s="4" t="s">
        <v>752</v>
      </c>
      <c r="B255" s="0" t="s">
        <v>239</v>
      </c>
      <c r="D255" s="22" t="n">
        <f aca="false">coh27</f>
        <v>0.9</v>
      </c>
      <c r="E255" s="22" t="n">
        <f aca="false">D255*(1+g_coh)</f>
        <v>1.035</v>
      </c>
      <c r="F255" s="22" t="n">
        <f aca="false">E255*(1+g_coh)</f>
        <v>1.19025</v>
      </c>
      <c r="G255" s="22" t="n">
        <f aca="false">F255*(1+g_coh)</f>
        <v>1.3687875</v>
      </c>
    </row>
    <row r="256" customFormat="false" ht="17.15" hidden="false" customHeight="false" outlineLevel="0" collapsed="false">
      <c r="A256" s="4" t="s">
        <v>753</v>
      </c>
      <c r="B256" s="0" t="s">
        <v>80</v>
      </c>
      <c r="D256" s="16" t="n">
        <f aca="false">(a27_ic-D255)/D254</f>
        <v>1.44223430888795</v>
      </c>
      <c r="H256" s="7" t="s">
        <v>754</v>
      </c>
    </row>
    <row r="257" customFormat="false" ht="15" hidden="false" customHeight="false" outlineLevel="0" collapsed="false">
      <c r="A257" s="4" t="s">
        <v>755</v>
      </c>
      <c r="B257" s="0" t="s">
        <v>239</v>
      </c>
      <c r="C257" s="22" t="n">
        <f aca="false">a26_ic</f>
        <v>3.4503</v>
      </c>
      <c r="D257" s="22" t="n">
        <f aca="false">D254*$D$256+D255</f>
        <v>6.10298</v>
      </c>
      <c r="E257" s="22" t="n">
        <f aca="false">E254*$D$256+E255</f>
        <v>8.99836906165846</v>
      </c>
      <c r="F257" s="22" t="n">
        <f aca="false">F254*$D$256+F255</f>
        <v>5.82887476989803</v>
      </c>
      <c r="G257" s="22" t="n">
        <f aca="false">G254*$D$256+G255</f>
        <v>6.65449348147763</v>
      </c>
    </row>
    <row r="258" customFormat="false" ht="17.15" hidden="false" customHeight="false" outlineLevel="0" collapsed="false">
      <c r="A258" s="1" t="s">
        <v>756</v>
      </c>
    </row>
    <row r="259" customFormat="false" ht="15" hidden="false" customHeight="false" outlineLevel="0" collapsed="false">
      <c r="A259" s="4" t="s">
        <v>757</v>
      </c>
      <c r="B259" s="0" t="s">
        <v>239</v>
      </c>
      <c r="C259" s="22" t="n">
        <f aca="false">a26_sw</f>
        <v>0.3</v>
      </c>
      <c r="D259" s="22" t="n">
        <f aca="false">a27_sw</f>
        <v>0.65</v>
      </c>
      <c r="E259" s="22" t="n">
        <f aca="false">a27_sw*(1+g_sw28)</f>
        <v>1.17</v>
      </c>
      <c r="F259" s="22" t="n">
        <f aca="false">a27_sw*(1+g_sw28)*(1+g_sw)*um28_C</f>
        <v>0.9828</v>
      </c>
      <c r="G259" s="22" t="n">
        <f aca="false">a27_sw*(1+g_sw28)*(1+g_sw)^2*um29_C</f>
        <v>1.37592</v>
      </c>
    </row>
    <row r="260" customFormat="false" ht="17.15" hidden="false" customHeight="false" outlineLevel="0" collapsed="false">
      <c r="A260" s="0" t="s">
        <v>758</v>
      </c>
      <c r="B260" s="0" t="s">
        <v>239</v>
      </c>
      <c r="C260" s="22" t="n">
        <f aca="false">a26_aec</f>
        <v>0.2</v>
      </c>
      <c r="D260" s="22" t="n">
        <f aca="false">a27_aec</f>
        <v>0.45</v>
      </c>
      <c r="E260" s="22" t="n">
        <f aca="false">a27_aec*(1+g_aec)</f>
        <v>0.675</v>
      </c>
      <c r="F260" s="22" t="n">
        <f aca="false">a27_aec*(1+g_aec)^2*um28_C</f>
        <v>0.6075</v>
      </c>
      <c r="G260" s="22" t="n">
        <f aca="false">a27_aec*(1+g_aec)^3*um29_C</f>
        <v>0.91125</v>
      </c>
    </row>
    <row r="261" customFormat="false" ht="15" hidden="false" customHeight="false" outlineLevel="0" collapsed="false">
      <c r="A261" s="4" t="s">
        <v>759</v>
      </c>
      <c r="B261" s="0" t="s">
        <v>239</v>
      </c>
      <c r="C261" s="22" t="n">
        <f aca="false">a26_sto</f>
        <v>0.65</v>
      </c>
      <c r="D261" s="22" t="n">
        <f aca="false">a27_sto</f>
        <v>0.6825</v>
      </c>
      <c r="E261" s="22" t="n">
        <f aca="false">D261*(1+g_sto)</f>
        <v>0.716625</v>
      </c>
      <c r="F261" s="22" t="n">
        <f aca="false">E261*(1+g_sto)</f>
        <v>0.75245625</v>
      </c>
      <c r="G261" s="22" t="n">
        <f aca="false">F261*(1+g_sto)</f>
        <v>0.7900790625</v>
      </c>
    </row>
    <row r="262" customFormat="false" ht="15" hidden="false" customHeight="false" outlineLevel="0" collapsed="false">
      <c r="A262" s="4" t="s">
        <v>760</v>
      </c>
      <c r="B262" s="0" t="s">
        <v>239</v>
      </c>
      <c r="C262" s="22" t="n">
        <f aca="false">a26_dc</f>
        <v>6.1003</v>
      </c>
      <c r="D262" s="22" t="n">
        <f aca="false">D246+D257+D259+D260+D261</f>
        <v>9.76048</v>
      </c>
      <c r="E262" s="22" t="n">
        <f aca="false">E246+E257+E259+E260+E261</f>
        <v>16.2832767931767</v>
      </c>
      <c r="F262" s="22" t="n">
        <f aca="false">F246+F257+F259+F260+F261</f>
        <v>14.8599203540006</v>
      </c>
      <c r="G262" s="22" t="n">
        <f aca="false">G246+G257+G259+G260+G261</f>
        <v>17.8264014043525</v>
      </c>
    </row>
    <row r="263" customFormat="false" ht="15" hidden="false" customHeight="false" outlineLevel="0" collapsed="false">
      <c r="A263" s="4" t="s">
        <v>761</v>
      </c>
      <c r="B263" s="0" t="s">
        <v>239</v>
      </c>
      <c r="C263" s="22" t="n">
        <f aca="false">a26_co</f>
        <v>2.0943</v>
      </c>
      <c r="D263" s="22" t="n">
        <f aca="false">a27_co</f>
        <v>2.23952</v>
      </c>
      <c r="E263" s="22" t="n">
        <f aca="false">D263*(1+g_co28)</f>
        <v>2.3067056</v>
      </c>
      <c r="F263" s="22" t="n">
        <f aca="false">E263*(1+g_co)</f>
        <v>2.375906768</v>
      </c>
      <c r="G263" s="22" t="n">
        <f aca="false">F263*(1+g_co)</f>
        <v>2.44718397104</v>
      </c>
    </row>
    <row r="264" customFormat="false" ht="17.15" hidden="false" customHeight="false" outlineLevel="0" collapsed="false">
      <c r="A264" s="1" t="s">
        <v>762</v>
      </c>
    </row>
    <row r="265" customFormat="false" ht="15" hidden="false" customHeight="false" outlineLevel="0" collapsed="false">
      <c r="A265" s="4" t="s">
        <v>597</v>
      </c>
      <c r="B265" s="0" t="s">
        <v>239</v>
      </c>
      <c r="C265" s="22" t="n">
        <f aca="false">a26_rev</f>
        <v>8.1946</v>
      </c>
      <c r="D265" s="22" t="n">
        <f aca="false">a27_rev</f>
        <v>12</v>
      </c>
      <c r="E265" s="22" t="n">
        <f aca="false">E262+E263</f>
        <v>18.5899823931767</v>
      </c>
      <c r="F265" s="22" t="n">
        <f aca="false">F262+F263</f>
        <v>17.2358271220006</v>
      </c>
      <c r="G265" s="22" t="n">
        <f aca="false">G262+G263</f>
        <v>20.2735853753925</v>
      </c>
    </row>
    <row r="266" customFormat="false" ht="17.15" hidden="false" customHeight="false" outlineLevel="0" collapsed="false">
      <c r="A266" s="4" t="s">
        <v>763</v>
      </c>
      <c r="B266" s="0" t="s">
        <v>239</v>
      </c>
      <c r="D266" s="22" t="n">
        <f aca="false">D262+D263</f>
        <v>12</v>
      </c>
      <c r="E266" s="22" t="n">
        <f aca="false">E262+E263</f>
        <v>18.5899823931767</v>
      </c>
      <c r="F266" s="22" t="n">
        <f aca="false">F262+F263</f>
        <v>17.2358271220006</v>
      </c>
      <c r="G266" s="22" t="n">
        <f aca="false">G262+G263</f>
        <v>20.2735853753925</v>
      </c>
    </row>
    <row r="267" customFormat="false" ht="15" hidden="false" customHeight="false" outlineLevel="0" collapsed="false">
      <c r="A267" s="4" t="s">
        <v>764</v>
      </c>
      <c r="B267" s="0" t="s">
        <v>49</v>
      </c>
      <c r="D267" s="14" t="n">
        <f aca="false">D265/C265-1</f>
        <v>0.464378981280355</v>
      </c>
      <c r="E267" s="14" t="n">
        <f aca="false">E265/D265-1</f>
        <v>0.549165199431394</v>
      </c>
      <c r="F267" s="14" t="n">
        <f aca="false">F265/E265-1</f>
        <v>-0.072843278844262</v>
      </c>
      <c r="G267" s="14" t="n">
        <f aca="false">G265/F265-1</f>
        <v>0.176246734890626</v>
      </c>
    </row>
    <row r="268" customFormat="false" ht="17.15" hidden="false" customHeight="false" outlineLevel="0" collapsed="false">
      <c r="A268" s="4" t="s">
        <v>765</v>
      </c>
      <c r="B268" s="0" t="s">
        <v>49</v>
      </c>
      <c r="C268" s="14" t="n">
        <f aca="false">C262/C265</f>
        <v>0.744429258292046</v>
      </c>
      <c r="D268" s="14" t="n">
        <f aca="false">D262/D265</f>
        <v>0.813373333333333</v>
      </c>
      <c r="E268" s="14" t="n">
        <f aca="false">E262/E265</f>
        <v>0.875916741005271</v>
      </c>
      <c r="F268" s="14" t="n">
        <f aca="false">F262/F265</f>
        <v>0.862153017016092</v>
      </c>
      <c r="G268" s="14" t="n">
        <f aca="false">G262/G265</f>
        <v>0.879291998641231</v>
      </c>
    </row>
    <row r="269" customFormat="false" ht="17.15" hidden="false" customHeight="false" outlineLevel="0" collapsed="false">
      <c r="A269" s="4" t="s">
        <v>766</v>
      </c>
      <c r="B269" s="0" t="s">
        <v>239</v>
      </c>
      <c r="D269" s="22" t="n">
        <f aca="false">gm_opt*D257+gm_oth*(D259+D260+D261)+gm_att*D245+gm_co*D263+m_hbm*D242</f>
        <v>6.45404607982713</v>
      </c>
      <c r="E269" s="22" t="n">
        <f aca="false">gm_opt*E257+gm_oth*(E259+E260+E261)+gm_att*E245+gm_co*E263+m_hbm*E242</f>
        <v>9.20776987318365</v>
      </c>
      <c r="F269" s="22" t="n">
        <f aca="false">gm_opt*F257+gm_oth*(F259+F260+F261)+gm_att*F245+gm_co*F263+m_hbm*F242</f>
        <v>7.10413360857474</v>
      </c>
      <c r="G269" s="22" t="n">
        <f aca="false">gm_opt*G257+gm_oth*(G259+G260+G261)+gm_att*G245+gm_co*G263+m_hbm*G242</f>
        <v>8.38561189896362</v>
      </c>
    </row>
    <row r="270" customFormat="false" ht="17.15" hidden="false" customHeight="false" outlineLevel="0" collapsed="false">
      <c r="A270" s="0" t="s">
        <v>767</v>
      </c>
      <c r="B270" s="0" t="s">
        <v>80</v>
      </c>
      <c r="D270" s="16" t="n">
        <f aca="false">(a27_gp-D269)/D243</f>
        <v>0.435994625937743</v>
      </c>
      <c r="H270" s="7" t="s">
        <v>768</v>
      </c>
    </row>
    <row r="271" customFormat="false" ht="15" hidden="false" customHeight="false" outlineLevel="0" collapsed="false">
      <c r="A271" s="4" t="s">
        <v>769</v>
      </c>
      <c r="B271" s="0" t="s">
        <v>239</v>
      </c>
      <c r="C271" s="22" t="n">
        <f aca="false">a26_gp</f>
        <v>4.8718</v>
      </c>
      <c r="D271" s="22" t="n">
        <f aca="false">a27_gp</f>
        <v>7.006682</v>
      </c>
      <c r="E271" s="22" t="n">
        <f aca="false">E269+$D$270*E243</f>
        <v>10.3343588705718</v>
      </c>
      <c r="F271" s="22" t="n">
        <f aca="false">F269+$D$270*F243</f>
        <v>8.9595789575445</v>
      </c>
      <c r="G271" s="22" t="n">
        <f aca="false">G269+$D$270*G243</f>
        <v>10.5193740502788</v>
      </c>
    </row>
    <row r="272" customFormat="false" ht="15" hidden="false" customHeight="false" outlineLevel="0" collapsed="false">
      <c r="A272" s="4" t="s">
        <v>621</v>
      </c>
      <c r="B272" s="0" t="s">
        <v>49</v>
      </c>
      <c r="C272" s="14" t="n">
        <f aca="false">C271/C265</f>
        <v>0.59451346008347</v>
      </c>
      <c r="D272" s="14" t="n">
        <f aca="false">D271/D265</f>
        <v>0.583890166666667</v>
      </c>
      <c r="E272" s="14" t="n">
        <f aca="false">E271/E265</f>
        <v>0.555910094587551</v>
      </c>
      <c r="F272" s="14" t="n">
        <f aca="false">F271/F265</f>
        <v>0.519822976531719</v>
      </c>
      <c r="G272" s="14" t="n">
        <f aca="false">G271/G265</f>
        <v>0.518870927638036</v>
      </c>
    </row>
    <row r="273" customFormat="false" ht="17.15" hidden="false" customHeight="false" outlineLevel="0" collapsed="false">
      <c r="A273" s="4" t="s">
        <v>770</v>
      </c>
      <c r="B273" s="0" t="s">
        <v>49</v>
      </c>
      <c r="C273" s="14" t="n">
        <f aca="false">C246/C265</f>
        <v>0.183047372660044</v>
      </c>
      <c r="D273" s="14" t="n">
        <f aca="false">D246/D265</f>
        <v>0.15625</v>
      </c>
      <c r="E273" s="14" t="n">
        <f aca="false">E246/E265</f>
        <v>0.25407677272744</v>
      </c>
      <c r="F273" s="14" t="n">
        <f aca="false">F246/F265</f>
        <v>0.388045742554783</v>
      </c>
      <c r="G273" s="14" t="n">
        <f aca="false">G246/G265</f>
        <v>0.399271204895014</v>
      </c>
    </row>
    <row r="274" customFormat="false" ht="15" hidden="false" customHeight="false" outlineLevel="0" collapsed="false">
      <c r="A274" s="4" t="s">
        <v>771</v>
      </c>
      <c r="B274" s="0" t="s">
        <v>239</v>
      </c>
      <c r="C274" s="22" t="n">
        <f aca="false">a26_opx</f>
        <v>1.9808</v>
      </c>
      <c r="D274" s="22" t="n">
        <f aca="false">a27_opx</f>
        <v>2.55</v>
      </c>
      <c r="E274" s="22" t="n">
        <f aca="false">D274*(1+MAX(g_opx_min,phi*E267))</f>
        <v>3.25018562927503</v>
      </c>
      <c r="F274" s="22" t="n">
        <f aca="false">E274*(1+MAX(g_opx_min,phi*F267))</f>
        <v>3.41269491073878</v>
      </c>
      <c r="G274" s="22" t="n">
        <f aca="false">F274*(1+MAX(g_opx_min,phi*G267))</f>
        <v>3.71343307833656</v>
      </c>
    </row>
    <row r="275" customFormat="false" ht="15" hidden="false" customHeight="false" outlineLevel="0" collapsed="false">
      <c r="A275" s="4" t="s">
        <v>772</v>
      </c>
      <c r="B275" s="0" t="s">
        <v>239</v>
      </c>
      <c r="C275" s="22" t="n">
        <f aca="false">C274</f>
        <v>1.9808</v>
      </c>
      <c r="D275" s="22" t="n">
        <f aca="false">D274</f>
        <v>2.55</v>
      </c>
      <c r="E275" s="22" t="n">
        <f aca="false">E274+0*E265</f>
        <v>3.25018562927503</v>
      </c>
      <c r="F275" s="22" t="n">
        <f aca="false">F274+0*F265</f>
        <v>3.41269491073878</v>
      </c>
      <c r="G275" s="22" t="n">
        <f aca="false">G274+0*G265</f>
        <v>3.71343307833656</v>
      </c>
    </row>
    <row r="276" customFormat="false" ht="15" hidden="false" customHeight="false" outlineLevel="0" collapsed="false">
      <c r="A276" s="4" t="s">
        <v>773</v>
      </c>
      <c r="B276" s="0" t="s">
        <v>239</v>
      </c>
      <c r="C276" s="22" t="n">
        <f aca="false">C271-C275</f>
        <v>2.891</v>
      </c>
      <c r="D276" s="22" t="n">
        <f aca="false">D271-D275</f>
        <v>4.456682</v>
      </c>
      <c r="E276" s="22" t="n">
        <f aca="false">E271-E275</f>
        <v>7.08417324129675</v>
      </c>
      <c r="F276" s="22" t="n">
        <f aca="false">F271-F275</f>
        <v>5.54688404680572</v>
      </c>
      <c r="G276" s="22" t="n">
        <f aca="false">G271-G275</f>
        <v>6.80594097194228</v>
      </c>
    </row>
    <row r="277" customFormat="false" ht="15" hidden="false" customHeight="false" outlineLevel="0" collapsed="false">
      <c r="A277" s="4" t="s">
        <v>627</v>
      </c>
      <c r="B277" s="0" t="s">
        <v>49</v>
      </c>
      <c r="C277" s="14" t="n">
        <f aca="false">C276/C265</f>
        <v>0.352793302906792</v>
      </c>
      <c r="D277" s="14" t="n">
        <f aca="false">D276/D265</f>
        <v>0.371390166666667</v>
      </c>
      <c r="E277" s="14" t="n">
        <f aca="false">E276/E265</f>
        <v>0.381074768736571</v>
      </c>
      <c r="F277" s="14" t="n">
        <f aca="false">F276/F265</f>
        <v>0.321822910356615</v>
      </c>
      <c r="G277" s="14" t="n">
        <f aca="false">G276/G265</f>
        <v>0.335704851703396</v>
      </c>
    </row>
    <row r="278" customFormat="false" ht="15" hidden="false" customHeight="false" outlineLevel="0" collapsed="false">
      <c r="A278" s="4" t="s">
        <v>774</v>
      </c>
      <c r="B278" s="0" t="s">
        <v>239</v>
      </c>
      <c r="C278" s="22" t="n">
        <f aca="false">a26_oth</f>
        <v>0.1514</v>
      </c>
      <c r="D278" s="22" t="n">
        <f aca="false">a27_oth</f>
        <v>0.1424</v>
      </c>
      <c r="E278" s="22" t="n">
        <f aca="false">int_f</f>
        <v>0.15</v>
      </c>
      <c r="F278" s="22" t="n">
        <f aca="false">int_f</f>
        <v>0.15</v>
      </c>
      <c r="G278" s="22" t="n">
        <f aca="false">int_f</f>
        <v>0.15</v>
      </c>
    </row>
    <row r="279" customFormat="false" ht="15" hidden="false" customHeight="false" outlineLevel="0" collapsed="false">
      <c r="A279" s="4" t="s">
        <v>775</v>
      </c>
      <c r="B279" s="0" t="s">
        <v>49</v>
      </c>
      <c r="C279" s="14" t="n">
        <f aca="false">a26_tax/(a26_oi-a26_oth)</f>
        <v>0.1</v>
      </c>
      <c r="D279" s="14" t="n">
        <f aca="false">a27_tax/(a27_oi-a27_oth)</f>
        <v>0.11</v>
      </c>
      <c r="E279" s="14" t="n">
        <f aca="false">tx_f</f>
        <v>0.13</v>
      </c>
      <c r="F279" s="14" t="n">
        <f aca="false">tx_f</f>
        <v>0.13</v>
      </c>
      <c r="G279" s="14" t="n">
        <f aca="false">tx_f</f>
        <v>0.13</v>
      </c>
    </row>
    <row r="280" customFormat="false" ht="17.15" hidden="false" customHeight="false" outlineLevel="0" collapsed="false">
      <c r="A280" s="4" t="s">
        <v>708</v>
      </c>
      <c r="B280" s="0" t="s">
        <v>239</v>
      </c>
      <c r="C280" s="22" t="n">
        <f aca="false">a26_ni</f>
        <v>2.46564</v>
      </c>
      <c r="D280" s="22" t="n">
        <f aca="false">a27_ni</f>
        <v>3.83971098</v>
      </c>
      <c r="E280" s="22" t="n">
        <f aca="false">(E276-E278)*(1-E279)</f>
        <v>6.03273071992817</v>
      </c>
      <c r="F280" s="22" t="n">
        <f aca="false">(F276-F278)*(1-F279)</f>
        <v>4.69528912072097</v>
      </c>
      <c r="G280" s="22" t="n">
        <f aca="false">(G276-G278)*(1-G279)</f>
        <v>5.79066864558978</v>
      </c>
    </row>
    <row r="281" customFormat="false" ht="15" hidden="false" customHeight="false" outlineLevel="0" collapsed="false">
      <c r="A281" s="4" t="s">
        <v>776</v>
      </c>
      <c r="B281" s="4" t="s">
        <v>370</v>
      </c>
      <c r="C281" s="16" t="n">
        <f aca="false">a26_sh</f>
        <v>0.8697</v>
      </c>
      <c r="D281" s="16" t="n">
        <f aca="false">a27_sh</f>
        <v>0.915125</v>
      </c>
      <c r="E281" s="16" t="n">
        <f aca="false">D281*(1+sh_g)</f>
        <v>0.919700625</v>
      </c>
      <c r="F281" s="16" t="n">
        <f aca="false">E281*(1+sh_g)</f>
        <v>0.924299128125</v>
      </c>
      <c r="G281" s="16" t="n">
        <f aca="false">F281*(1+sh_g)</f>
        <v>0.928920623765625</v>
      </c>
    </row>
    <row r="282" customFormat="false" ht="17.15" hidden="false" customHeight="false" outlineLevel="0" collapsed="false">
      <c r="A282" s="0" t="s">
        <v>709</v>
      </c>
      <c r="B282" s="0" t="s">
        <v>253</v>
      </c>
      <c r="C282" s="22" t="n">
        <f aca="false">C280/C281</f>
        <v>2.83504656778199</v>
      </c>
      <c r="D282" s="22" t="n">
        <f aca="false">D280/D281</f>
        <v>4.19583224149706</v>
      </c>
      <c r="E282" s="22" t="n">
        <f aca="false">E280/E281</f>
        <v>6.55945049502187</v>
      </c>
      <c r="F282" s="22" t="n">
        <f aca="false">F280/F281</f>
        <v>5.07983722785249</v>
      </c>
      <c r="G282" s="22" t="n">
        <f aca="false">G280/G281</f>
        <v>6.23376044996803</v>
      </c>
    </row>
    <row r="283" customFormat="false" ht="17.15" hidden="false" customHeight="false" outlineLevel="0" collapsed="false">
      <c r="A283" s="0" t="s">
        <v>777</v>
      </c>
      <c r="B283" s="0" t="s">
        <v>49</v>
      </c>
      <c r="D283" s="14" t="n">
        <f aca="false">D282/C282-1</f>
        <v>0.479987062357033</v>
      </c>
      <c r="E283" s="14" t="n">
        <f aca="false">E282/D282-1</f>
        <v>0.563325251698212</v>
      </c>
      <c r="F283" s="14" t="n">
        <f aca="false">F282/E282-1</f>
        <v>-0.225569697994107</v>
      </c>
      <c r="G283" s="14" t="n">
        <f aca="false">G282/F282-1</f>
        <v>0.227157519100934</v>
      </c>
    </row>
    <row r="286" customFormat="false" ht="17.15" hidden="false" customHeight="false" outlineLevel="0" collapsed="false">
      <c r="A286" s="3" t="s">
        <v>780</v>
      </c>
    </row>
    <row r="287" customFormat="false" ht="17.15" hidden="false" customHeight="false" outlineLevel="0" collapsed="false">
      <c r="A287" s="4" t="s">
        <v>781</v>
      </c>
    </row>
    <row r="288" customFormat="false" ht="15" hidden="false" customHeight="false" outlineLevel="0" collapsed="false">
      <c r="A288" s="5" t="s">
        <v>782</v>
      </c>
      <c r="B288" s="5" t="s">
        <v>26</v>
      </c>
      <c r="C288" s="11" t="s">
        <v>698</v>
      </c>
      <c r="D288" s="11" t="s">
        <v>783</v>
      </c>
      <c r="E288" s="11" t="s">
        <v>700</v>
      </c>
      <c r="F288" s="11" t="s">
        <v>701</v>
      </c>
      <c r="G288" s="11" t="s">
        <v>702</v>
      </c>
      <c r="H288" s="11" t="s">
        <v>784</v>
      </c>
      <c r="I288" s="11" t="s">
        <v>785</v>
      </c>
      <c r="J288" s="5" t="s">
        <v>555</v>
      </c>
    </row>
    <row r="289" customFormat="false" ht="17.15" hidden="false" customHeight="false" outlineLevel="0" collapsed="false">
      <c r="A289" s="3" t="s">
        <v>703</v>
      </c>
    </row>
    <row r="290" customFormat="false" ht="15" hidden="false" customHeight="false" outlineLevel="0" collapsed="false">
      <c r="A290" s="4" t="s">
        <v>597</v>
      </c>
      <c r="B290" s="0" t="s">
        <v>239</v>
      </c>
      <c r="C290" s="20" t="n">
        <f aca="false">C121</f>
        <v>8.1946</v>
      </c>
      <c r="D290" s="20" t="n">
        <f aca="false">D121</f>
        <v>12</v>
      </c>
      <c r="E290" s="20" t="n">
        <f aca="false">E121</f>
        <v>18.3462057892484</v>
      </c>
      <c r="F290" s="20" t="n">
        <f aca="false">F121</f>
        <v>27.4180433859058</v>
      </c>
      <c r="G290" s="20" t="n">
        <f aca="false">G121</f>
        <v>31.8721513754112</v>
      </c>
      <c r="H290" s="24" t="n">
        <f aca="false">G290*(1+H291)</f>
        <v>35.4171586376119</v>
      </c>
      <c r="I290" s="24" t="n">
        <f aca="false">H290*(1+I291)</f>
        <v>37.5421881558686</v>
      </c>
    </row>
    <row r="291" customFormat="false" ht="17.15" hidden="false" customHeight="false" outlineLevel="0" collapsed="false">
      <c r="A291" s="4" t="s">
        <v>704</v>
      </c>
      <c r="B291" s="0" t="s">
        <v>49</v>
      </c>
      <c r="C291" s="14"/>
      <c r="D291" s="14" t="n">
        <f aca="false">D290/C290-1</f>
        <v>0.464378981280355</v>
      </c>
      <c r="E291" s="14" t="n">
        <f aca="false">E290/D290-1</f>
        <v>0.528850482437368</v>
      </c>
      <c r="F291" s="14" t="n">
        <f aca="false">F290/E290-1</f>
        <v>0.494480313851804</v>
      </c>
      <c r="G291" s="14" t="n">
        <f aca="false">G290/F290-1</f>
        <v>0.162451708417497</v>
      </c>
      <c r="H291" s="25" t="n">
        <f aca="false">$G$291+((tp_g+tp_gd)-$G$291)*1/2</f>
        <v>0.111225854208749</v>
      </c>
      <c r="I291" s="25" t="n">
        <f aca="false">$G$291+((tp_g+tp_gd)-$G$291)*2/2</f>
        <v>0.06</v>
      </c>
      <c r="J291" s="7" t="s">
        <v>786</v>
      </c>
    </row>
    <row r="292" customFormat="false" ht="17.15" hidden="false" customHeight="false" outlineLevel="0" collapsed="false">
      <c r="A292" s="4" t="s">
        <v>787</v>
      </c>
      <c r="B292" s="0" t="s">
        <v>49</v>
      </c>
      <c r="C292" s="14" t="n">
        <f aca="false">C293/C290</f>
        <v>0.300885949283675</v>
      </c>
      <c r="D292" s="14" t="n">
        <f aca="false">D293/D290</f>
        <v>0.319975915</v>
      </c>
      <c r="E292" s="14" t="n">
        <f aca="false">E293/E290</f>
        <v>0.322772508450276</v>
      </c>
      <c r="F292" s="14" t="n">
        <f aca="false">F293/F290</f>
        <v>0.282499983230961</v>
      </c>
      <c r="G292" s="14" t="n">
        <f aca="false">G293/G290</f>
        <v>0.296083016264014</v>
      </c>
      <c r="H292" s="25" t="n">
        <f aca="false">$G$292+($G$292-$G$292)*1/2</f>
        <v>0.296083016264014</v>
      </c>
      <c r="I292" s="25" t="n">
        <f aca="false">$G$292+($G$292-$G$292)*2/2</f>
        <v>0.296083016264014</v>
      </c>
      <c r="J292" s="7" t="s">
        <v>788</v>
      </c>
    </row>
    <row r="293" customFormat="false" ht="15" hidden="false" customHeight="false" outlineLevel="0" collapsed="false">
      <c r="A293" s="4" t="s">
        <v>789</v>
      </c>
      <c r="B293" s="0" t="s">
        <v>239</v>
      </c>
      <c r="C293" s="20" t="n">
        <f aca="false">C136</f>
        <v>2.46564</v>
      </c>
      <c r="D293" s="20" t="n">
        <f aca="false">D136</f>
        <v>3.83971098</v>
      </c>
      <c r="E293" s="20" t="n">
        <f aca="false">E136</f>
        <v>5.92165086314068</v>
      </c>
      <c r="F293" s="20" t="n">
        <f aca="false">F136</f>
        <v>7.74559679674414</v>
      </c>
      <c r="G293" s="20" t="n">
        <f aca="false">G136</f>
        <v>9.43680271405498</v>
      </c>
      <c r="H293" s="24" t="n">
        <f aca="false">H290*H292</f>
        <v>10.4864191569252</v>
      </c>
      <c r="I293" s="24" t="n">
        <f aca="false">I290*I292</f>
        <v>11.1156043063407</v>
      </c>
    </row>
    <row r="294" customFormat="false" ht="17.15" hidden="false" customHeight="false" outlineLevel="0" collapsed="false">
      <c r="A294" s="4" t="s">
        <v>776</v>
      </c>
      <c r="B294" s="4" t="s">
        <v>370</v>
      </c>
      <c r="C294" s="16" t="n">
        <f aca="false">C137</f>
        <v>0.8697</v>
      </c>
      <c r="D294" s="16" t="n">
        <f aca="false">D137</f>
        <v>0.915125</v>
      </c>
      <c r="E294" s="16" t="n">
        <f aca="false">E137</f>
        <v>0.919700625</v>
      </c>
      <c r="F294" s="16" t="n">
        <f aca="false">F137</f>
        <v>0.924299128125</v>
      </c>
      <c r="G294" s="16" t="n">
        <f aca="false">G137</f>
        <v>0.928920623765625</v>
      </c>
      <c r="H294" s="26" t="n">
        <f aca="false">G294*(1+$G$294/$F$294-1)</f>
        <v>0.933565226884453</v>
      </c>
      <c r="I294" s="26" t="n">
        <f aca="false">H294*(1+$G$294/$F$294-1)</f>
        <v>0.938233053018875</v>
      </c>
      <c r="J294" s="7" t="s">
        <v>790</v>
      </c>
    </row>
    <row r="295" customFormat="false" ht="17.15" hidden="false" customHeight="false" outlineLevel="0" collapsed="false">
      <c r="A295" s="0" t="s">
        <v>791</v>
      </c>
      <c r="B295" s="0" t="s">
        <v>253</v>
      </c>
      <c r="C295" s="22" t="n">
        <f aca="false">C138</f>
        <v>2.83504656778199</v>
      </c>
      <c r="D295" s="22" t="n">
        <f aca="false">D138</f>
        <v>4.19583224149706</v>
      </c>
      <c r="E295" s="22" t="n">
        <f aca="false">E138</f>
        <v>6.43867221808258</v>
      </c>
      <c r="F295" s="22" t="n">
        <f aca="false">F138</f>
        <v>8.37996765447197</v>
      </c>
      <c r="G295" s="22" t="n">
        <f aca="false">G138</f>
        <v>10.1588902997981</v>
      </c>
      <c r="H295" s="27" t="n">
        <f aca="false">H293/H294</f>
        <v>11.2326582599066</v>
      </c>
      <c r="I295" s="27" t="n">
        <f aca="false">I293/I294</f>
        <v>11.8473808512447</v>
      </c>
    </row>
    <row r="296" customFormat="false" ht="17.15" hidden="false" customHeight="false" outlineLevel="0" collapsed="false">
      <c r="A296" s="0" t="s">
        <v>710</v>
      </c>
      <c r="B296" s="0" t="s">
        <v>49</v>
      </c>
      <c r="C296" s="14"/>
      <c r="D296" s="14" t="n">
        <f aca="false">D295/C295-1</f>
        <v>0.479987062357033</v>
      </c>
      <c r="E296" s="14" t="n">
        <f aca="false">E295/D295-1</f>
        <v>0.534539954768372</v>
      </c>
      <c r="F296" s="14" t="n">
        <f aca="false">F295/E295-1</f>
        <v>0.30150555434976</v>
      </c>
      <c r="G296" s="14" t="n">
        <f aca="false">G295/F295-1</f>
        <v>0.212282757962292</v>
      </c>
      <c r="H296" s="25" t="n">
        <f aca="false">H295/G295-1</f>
        <v>0.105697367371889</v>
      </c>
      <c r="I296" s="25" t="n">
        <f aca="false">I295/H295-1</f>
        <v>0.0547263681592038</v>
      </c>
    </row>
    <row r="298" customFormat="false" ht="17.15" hidden="false" customHeight="false" outlineLevel="0" collapsed="false">
      <c r="A298" s="3" t="s">
        <v>711</v>
      </c>
    </row>
    <row r="299" customFormat="false" ht="15" hidden="false" customHeight="false" outlineLevel="0" collapsed="false">
      <c r="A299" s="4" t="s">
        <v>597</v>
      </c>
      <c r="B299" s="0" t="s">
        <v>239</v>
      </c>
      <c r="C299" s="20" t="n">
        <f aca="false">C193</f>
        <v>8.1946</v>
      </c>
      <c r="D299" s="20" t="n">
        <f aca="false">D193</f>
        <v>12</v>
      </c>
      <c r="E299" s="20" t="n">
        <f aca="false">E193</f>
        <v>18.5087235252006</v>
      </c>
      <c r="F299" s="20" t="n">
        <f aca="false">F193</f>
        <v>21.9249189198868</v>
      </c>
      <c r="G299" s="20" t="n">
        <f aca="false">G193</f>
        <v>27.0975110230466</v>
      </c>
      <c r="H299" s="24" t="n">
        <f aca="false">G299*(1+H300)</f>
        <v>30.8359239543904</v>
      </c>
      <c r="I299" s="24" t="n">
        <f aca="false">H299*(1+I300)</f>
        <v>32.069360912566</v>
      </c>
    </row>
    <row r="300" customFormat="false" ht="17.15" hidden="false" customHeight="false" outlineLevel="0" collapsed="false">
      <c r="A300" s="4" t="s">
        <v>704</v>
      </c>
      <c r="B300" s="0" t="s">
        <v>49</v>
      </c>
      <c r="C300" s="14"/>
      <c r="D300" s="14" t="n">
        <f aca="false">D299/C299-1</f>
        <v>0.464378981280355</v>
      </c>
      <c r="E300" s="14" t="n">
        <f aca="false">E299/D299-1</f>
        <v>0.542393627100052</v>
      </c>
      <c r="F300" s="14" t="n">
        <f aca="false">F299/E299-1</f>
        <v>0.184572177008041</v>
      </c>
      <c r="G300" s="14" t="n">
        <f aca="false">G299/F299-1</f>
        <v>0.235922975225601</v>
      </c>
      <c r="H300" s="25" t="n">
        <f aca="false">$G$300+(tp_g-$G$300)*1/2</f>
        <v>0.137961487612801</v>
      </c>
      <c r="I300" s="25" t="n">
        <f aca="false">$G$300+(tp_g-$G$300)*2/2</f>
        <v>0.04</v>
      </c>
      <c r="J300" s="7" t="s">
        <v>792</v>
      </c>
    </row>
    <row r="301" customFormat="false" ht="17.15" hidden="false" customHeight="false" outlineLevel="0" collapsed="false">
      <c r="A301" s="4" t="s">
        <v>787</v>
      </c>
      <c r="B301" s="0" t="s">
        <v>49</v>
      </c>
      <c r="C301" s="14" t="n">
        <f aca="false">C302/C299</f>
        <v>0.300885949283675</v>
      </c>
      <c r="D301" s="14" t="n">
        <f aca="false">D302/D299</f>
        <v>0.319975915</v>
      </c>
      <c r="E301" s="14" t="n">
        <f aca="false">E302/E299</f>
        <v>0.32393936258411</v>
      </c>
      <c r="F301" s="14" t="n">
        <f aca="false">F302/F299</f>
        <v>0.292303862499643</v>
      </c>
      <c r="G301" s="14" t="n">
        <f aca="false">G302/G299</f>
        <v>0.307177440426407</v>
      </c>
      <c r="H301" s="25" t="n">
        <f aca="false">$G$301+(($G$301+$G$301*nm10_k)/2-$G$301)*1/2</f>
        <v>0.291818568405086</v>
      </c>
      <c r="I301" s="25" t="n">
        <f aca="false">$G$301+(($G$301+$G$301*nm10_k)/2-$G$301)*2/2</f>
        <v>0.276459696383766</v>
      </c>
      <c r="J301" s="7" t="s">
        <v>793</v>
      </c>
    </row>
    <row r="302" customFormat="false" ht="15" hidden="false" customHeight="false" outlineLevel="0" collapsed="false">
      <c r="A302" s="4" t="s">
        <v>789</v>
      </c>
      <c r="B302" s="0" t="s">
        <v>239</v>
      </c>
      <c r="C302" s="20" t="n">
        <f aca="false">C208</f>
        <v>2.46564</v>
      </c>
      <c r="D302" s="20" t="n">
        <f aca="false">D208</f>
        <v>3.83971098</v>
      </c>
      <c r="E302" s="20" t="n">
        <f aca="false">E208</f>
        <v>5.99570410099901</v>
      </c>
      <c r="F302" s="20" t="n">
        <f aca="false">F208</f>
        <v>6.40873848527443</v>
      </c>
      <c r="G302" s="20" t="n">
        <f aca="false">G208</f>
        <v>8.3237440779858</v>
      </c>
      <c r="H302" s="24" t="n">
        <f aca="false">H299*H301</f>
        <v>8.99849518381831</v>
      </c>
      <c r="I302" s="24" t="n">
        <f aca="false">I299*I301</f>
        <v>8.86588578110941</v>
      </c>
    </row>
    <row r="303" customFormat="false" ht="17.15" hidden="false" customHeight="false" outlineLevel="0" collapsed="false">
      <c r="A303" s="4" t="s">
        <v>776</v>
      </c>
      <c r="B303" s="4" t="s">
        <v>370</v>
      </c>
      <c r="C303" s="16" t="n">
        <f aca="false">C209</f>
        <v>0.8697</v>
      </c>
      <c r="D303" s="16" t="n">
        <f aca="false">D209</f>
        <v>0.915125</v>
      </c>
      <c r="E303" s="16" t="n">
        <f aca="false">E209</f>
        <v>0.919700625</v>
      </c>
      <c r="F303" s="16" t="n">
        <f aca="false">F209</f>
        <v>0.924299128125</v>
      </c>
      <c r="G303" s="16" t="n">
        <f aca="false">G209</f>
        <v>0.928920623765625</v>
      </c>
      <c r="H303" s="26" t="n">
        <f aca="false">G303*(1+$G$303/$F$303-1)</f>
        <v>0.933565226884453</v>
      </c>
      <c r="I303" s="26" t="n">
        <f aca="false">H303*(1+$G$303/$F$303-1)</f>
        <v>0.938233053018875</v>
      </c>
      <c r="J303" s="7" t="s">
        <v>790</v>
      </c>
    </row>
    <row r="304" customFormat="false" ht="17.15" hidden="false" customHeight="false" outlineLevel="0" collapsed="false">
      <c r="A304" s="0" t="s">
        <v>791</v>
      </c>
      <c r="B304" s="0" t="s">
        <v>253</v>
      </c>
      <c r="C304" s="22" t="n">
        <f aca="false">C210</f>
        <v>2.83504656778199</v>
      </c>
      <c r="D304" s="22" t="n">
        <f aca="false">D210</f>
        <v>4.19583224149706</v>
      </c>
      <c r="E304" s="22" t="n">
        <f aca="false">E210</f>
        <v>6.51919106937544</v>
      </c>
      <c r="F304" s="22" t="n">
        <f aca="false">F210</f>
        <v>6.93361952885855</v>
      </c>
      <c r="G304" s="22" t="n">
        <f aca="false">G210</f>
        <v>8.96066236988399</v>
      </c>
      <c r="H304" s="27" t="n">
        <f aca="false">H302/H303</f>
        <v>9.63884999642565</v>
      </c>
      <c r="I304" s="27" t="n">
        <f aca="false">I302/I303</f>
        <v>9.44955600592239</v>
      </c>
    </row>
    <row r="305" customFormat="false" ht="17.15" hidden="false" customHeight="false" outlineLevel="0" collapsed="false">
      <c r="A305" s="0" t="s">
        <v>710</v>
      </c>
      <c r="B305" s="0" t="s">
        <v>49</v>
      </c>
      <c r="C305" s="14"/>
      <c r="D305" s="14" t="n">
        <f aca="false">D304/C304-1</f>
        <v>0.479987062357033</v>
      </c>
      <c r="E305" s="14" t="n">
        <f aca="false">E304/D304-1</f>
        <v>0.553730152721599</v>
      </c>
      <c r="F305" s="14" t="n">
        <f aca="false">F304/E304-1</f>
        <v>0.063570534299866</v>
      </c>
      <c r="G305" s="14" t="n">
        <f aca="false">G304/F304-1</f>
        <v>0.292349880547764</v>
      </c>
      <c r="H305" s="25" t="n">
        <f aca="false">H304/G304-1</f>
        <v>0.0756849882907074</v>
      </c>
      <c r="I305" s="25" t="n">
        <f aca="false">I304/H304-1</f>
        <v>-0.0196386488609585</v>
      </c>
    </row>
    <row r="307" customFormat="false" ht="17.15" hidden="false" customHeight="false" outlineLevel="0" collapsed="false">
      <c r="A307" s="3" t="s">
        <v>712</v>
      </c>
    </row>
    <row r="308" customFormat="false" ht="15" hidden="false" customHeight="false" outlineLevel="0" collapsed="false">
      <c r="A308" s="4" t="s">
        <v>597</v>
      </c>
      <c r="B308" s="0" t="s">
        <v>239</v>
      </c>
      <c r="C308" s="20" t="n">
        <f aca="false">C265</f>
        <v>8.1946</v>
      </c>
      <c r="D308" s="20" t="n">
        <f aca="false">D265</f>
        <v>12</v>
      </c>
      <c r="E308" s="20" t="n">
        <f aca="false">E265</f>
        <v>18.5899823931767</v>
      </c>
      <c r="F308" s="20" t="n">
        <f aca="false">F265</f>
        <v>17.2358271220006</v>
      </c>
      <c r="G308" s="20" t="n">
        <f aca="false">G265</f>
        <v>20.2735853753925</v>
      </c>
      <c r="H308" s="24" t="n">
        <f aca="false">G308*(1+H309)</f>
        <v>22.2628978426161</v>
      </c>
      <c r="I308" s="24" t="n">
        <f aca="false">H308*(1+I309)</f>
        <v>22.7081557994684</v>
      </c>
    </row>
    <row r="309" customFormat="false" ht="17.15" hidden="false" customHeight="false" outlineLevel="0" collapsed="false">
      <c r="A309" s="4" t="s">
        <v>704</v>
      </c>
      <c r="B309" s="0" t="s">
        <v>49</v>
      </c>
      <c r="C309" s="14"/>
      <c r="D309" s="14" t="n">
        <f aca="false">D308/C308-1</f>
        <v>0.464378981280355</v>
      </c>
      <c r="E309" s="14" t="n">
        <f aca="false">E308/D308-1</f>
        <v>0.549165199431394</v>
      </c>
      <c r="F309" s="14" t="n">
        <f aca="false">F308/E308-1</f>
        <v>-0.072843278844262</v>
      </c>
      <c r="G309" s="14" t="n">
        <f aca="false">G308/F308-1</f>
        <v>0.176246734890626</v>
      </c>
      <c r="H309" s="25" t="n">
        <f aca="false">$G$309+((tp_g-tp_gd)-$G$309)*1/2</f>
        <v>0.0981233674453129</v>
      </c>
      <c r="I309" s="25" t="n">
        <f aca="false">$G$309+((tp_g-tp_gd)-$G$309)*2/2</f>
        <v>0.02</v>
      </c>
      <c r="J309" s="7" t="s">
        <v>794</v>
      </c>
    </row>
    <row r="310" customFormat="false" ht="17.15" hidden="false" customHeight="false" outlineLevel="0" collapsed="false">
      <c r="A310" s="4" t="s">
        <v>787</v>
      </c>
      <c r="B310" s="0" t="s">
        <v>49</v>
      </c>
      <c r="C310" s="14" t="n">
        <f aca="false">C311/C308</f>
        <v>0.300885949283675</v>
      </c>
      <c r="D310" s="14" t="n">
        <f aca="false">D311/D308</f>
        <v>0.319975915</v>
      </c>
      <c r="E310" s="14" t="n">
        <f aca="false">E311/E308</f>
        <v>0.324515138978422</v>
      </c>
      <c r="F310" s="14" t="n">
        <f aca="false">F311/F308</f>
        <v>0.272414493803299</v>
      </c>
      <c r="G310" s="14" t="n">
        <f aca="false">G311/G308</f>
        <v>0.285626273713693</v>
      </c>
      <c r="H310" s="25" t="n">
        <f aca="false">$G$310+($G$310*nm10_k-$G$310)*1/2</f>
        <v>0.257063646342323</v>
      </c>
      <c r="I310" s="25" t="n">
        <f aca="false">$G$310+($G$310*nm10_k-$G$310)*2/2</f>
        <v>0.228501018970954</v>
      </c>
      <c r="J310" s="7" t="s">
        <v>795</v>
      </c>
    </row>
    <row r="311" customFormat="false" ht="15" hidden="false" customHeight="false" outlineLevel="0" collapsed="false">
      <c r="A311" s="4" t="s">
        <v>789</v>
      </c>
      <c r="B311" s="0" t="s">
        <v>239</v>
      </c>
      <c r="C311" s="20" t="n">
        <f aca="false">C280</f>
        <v>2.46564</v>
      </c>
      <c r="D311" s="20" t="n">
        <f aca="false">D280</f>
        <v>3.83971098</v>
      </c>
      <c r="E311" s="20" t="n">
        <f aca="false">E280</f>
        <v>6.03273071992817</v>
      </c>
      <c r="F311" s="20" t="n">
        <f aca="false">F280</f>
        <v>4.69528912072097</v>
      </c>
      <c r="G311" s="20" t="n">
        <f aca="false">G280</f>
        <v>5.79066864558978</v>
      </c>
      <c r="H311" s="24" t="n">
        <f aca="false">H308*H310</f>
        <v>5.72298169756954</v>
      </c>
      <c r="I311" s="24" t="n">
        <f aca="false">I308*I310</f>
        <v>5.18883673912972</v>
      </c>
    </row>
    <row r="312" customFormat="false" ht="17.15" hidden="false" customHeight="false" outlineLevel="0" collapsed="false">
      <c r="A312" s="4" t="s">
        <v>776</v>
      </c>
      <c r="B312" s="4" t="s">
        <v>370</v>
      </c>
      <c r="C312" s="16" t="n">
        <f aca="false">C281</f>
        <v>0.8697</v>
      </c>
      <c r="D312" s="16" t="n">
        <f aca="false">D281</f>
        <v>0.915125</v>
      </c>
      <c r="E312" s="16" t="n">
        <f aca="false">E281</f>
        <v>0.919700625</v>
      </c>
      <c r="F312" s="16" t="n">
        <f aca="false">F281</f>
        <v>0.924299128125</v>
      </c>
      <c r="G312" s="16" t="n">
        <f aca="false">G281</f>
        <v>0.928920623765625</v>
      </c>
      <c r="H312" s="26" t="n">
        <f aca="false">G312*(1+$G$312/$F$312-1)</f>
        <v>0.933565226884453</v>
      </c>
      <c r="I312" s="26" t="n">
        <f aca="false">H312*(1+$G$312/$F$312-1)</f>
        <v>0.938233053018875</v>
      </c>
      <c r="J312" s="7" t="s">
        <v>790</v>
      </c>
    </row>
    <row r="313" customFormat="false" ht="17.15" hidden="false" customHeight="false" outlineLevel="0" collapsed="false">
      <c r="A313" s="0" t="s">
        <v>791</v>
      </c>
      <c r="B313" s="0" t="s">
        <v>253</v>
      </c>
      <c r="C313" s="22" t="n">
        <f aca="false">C282</f>
        <v>2.83504656778199</v>
      </c>
      <c r="D313" s="22" t="n">
        <f aca="false">D282</f>
        <v>4.19583224149706</v>
      </c>
      <c r="E313" s="22" t="n">
        <f aca="false">E282</f>
        <v>6.55945049502187</v>
      </c>
      <c r="F313" s="22" t="n">
        <f aca="false">F282</f>
        <v>5.07983722785249</v>
      </c>
      <c r="G313" s="22" t="n">
        <f aca="false">G282</f>
        <v>6.23376044996803</v>
      </c>
      <c r="H313" s="27" t="n">
        <f aca="false">H311/H312</f>
        <v>6.13024300044744</v>
      </c>
      <c r="I313" s="27" t="n">
        <f aca="false">I311/I312</f>
        <v>5.53043481300731</v>
      </c>
    </row>
    <row r="314" customFormat="false" ht="17.15" hidden="false" customHeight="false" outlineLevel="0" collapsed="false">
      <c r="A314" s="0" t="s">
        <v>710</v>
      </c>
      <c r="B314" s="0" t="s">
        <v>49</v>
      </c>
      <c r="C314" s="14"/>
      <c r="D314" s="14" t="n">
        <f aca="false">D313/C313-1</f>
        <v>0.479987062357033</v>
      </c>
      <c r="E314" s="14" t="n">
        <f aca="false">E313/D313-1</f>
        <v>0.563325251698212</v>
      </c>
      <c r="F314" s="14" t="n">
        <f aca="false">F313/E313-1</f>
        <v>-0.225569697994107</v>
      </c>
      <c r="G314" s="14" t="n">
        <f aca="false">G313/F313-1</f>
        <v>0.227157519100934</v>
      </c>
      <c r="H314" s="25" t="n">
        <f aca="false">H313/G313-1</f>
        <v>-0.0166059396012124</v>
      </c>
      <c r="I314" s="25" t="n">
        <f aca="false">I313/H313-1</f>
        <v>-0.0978441127694856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796</v>
      </c>
    </row>
    <row r="2" customFormat="false" ht="17.15" hidden="false" customHeight="false" outlineLevel="0" collapsed="false">
      <c r="A2" s="4" t="s">
        <v>797</v>
      </c>
    </row>
    <row r="3" customFormat="false" ht="17.15" hidden="false" customHeight="false" outlineLevel="0" collapsed="false">
      <c r="A3" s="1" t="s">
        <v>798</v>
      </c>
    </row>
    <row r="4" customFormat="false" ht="17.15" hidden="false" customHeight="false" outlineLevel="0" collapsed="false">
      <c r="A4" s="1" t="s">
        <v>799</v>
      </c>
    </row>
    <row r="5" customFormat="false" ht="17.15" hidden="false" customHeight="false" outlineLevel="0" collapsed="false">
      <c r="A5" s="5" t="s">
        <v>25</v>
      </c>
      <c r="B5" s="11" t="s">
        <v>800</v>
      </c>
      <c r="C5" s="11" t="s">
        <v>801</v>
      </c>
      <c r="D5" s="11" t="s">
        <v>802</v>
      </c>
      <c r="E5" s="5" t="s">
        <v>555</v>
      </c>
      <c r="F5" s="5" t="s">
        <v>803</v>
      </c>
      <c r="G5" s="5" t="s">
        <v>804</v>
      </c>
    </row>
    <row r="6" customFormat="false" ht="17.15" hidden="false" customHeight="false" outlineLevel="0" collapsed="false">
      <c r="A6" s="4" t="s">
        <v>805</v>
      </c>
      <c r="E6" s="4" t="s">
        <v>806</v>
      </c>
    </row>
    <row r="7" customFormat="false" ht="15" hidden="false" customHeight="false" outlineLevel="0" collapsed="false">
      <c r="A7" s="0" t="s">
        <v>807</v>
      </c>
      <c r="B7" s="22" t="n">
        <f aca="false">PL!D295</f>
        <v>4.19583224149706</v>
      </c>
      <c r="C7" s="22" t="n">
        <f aca="false">PL!D304</f>
        <v>4.19583224149706</v>
      </c>
      <c r="D7" s="22" t="n">
        <f aca="false">PL!D313</f>
        <v>4.19583224149706</v>
      </c>
      <c r="F7" s="16" t="n">
        <v>0.083333</v>
      </c>
      <c r="G7" s="16" t="n">
        <v>0.083333</v>
      </c>
    </row>
    <row r="8" customFormat="false" ht="15" hidden="false" customHeight="false" outlineLevel="0" collapsed="false">
      <c r="A8" s="0" t="s">
        <v>808</v>
      </c>
      <c r="B8" s="22" t="n">
        <f aca="false">PL!E295</f>
        <v>6.43867221808258</v>
      </c>
      <c r="C8" s="22" t="n">
        <f aca="false">PL!E304</f>
        <v>6.51919106937544</v>
      </c>
      <c r="D8" s="22" t="n">
        <f aca="false">PL!E313</f>
        <v>6.55945049502187</v>
      </c>
      <c r="F8" s="16" t="n">
        <v>1.083333</v>
      </c>
      <c r="G8" s="16" t="n">
        <v>1</v>
      </c>
    </row>
    <row r="9" customFormat="false" ht="15" hidden="false" customHeight="false" outlineLevel="0" collapsed="false">
      <c r="A9" s="0" t="s">
        <v>809</v>
      </c>
      <c r="B9" s="22" t="n">
        <f aca="false">PL!F295</f>
        <v>8.37996765447197</v>
      </c>
      <c r="C9" s="22" t="n">
        <f aca="false">PL!F304</f>
        <v>6.93361952885855</v>
      </c>
      <c r="D9" s="22" t="n">
        <f aca="false">PL!F313</f>
        <v>5.07983722785249</v>
      </c>
      <c r="F9" s="16" t="n">
        <v>2.083333</v>
      </c>
      <c r="G9" s="16" t="n">
        <v>1</v>
      </c>
    </row>
    <row r="10" customFormat="false" ht="15" hidden="false" customHeight="false" outlineLevel="0" collapsed="false">
      <c r="A10" s="0" t="s">
        <v>810</v>
      </c>
      <c r="B10" s="22" t="n">
        <f aca="false">PL!G295</f>
        <v>10.1588902997981</v>
      </c>
      <c r="C10" s="22" t="n">
        <f aca="false">PL!G304</f>
        <v>8.96066236988399</v>
      </c>
      <c r="D10" s="22" t="n">
        <f aca="false">PL!G313</f>
        <v>6.23376044996803</v>
      </c>
      <c r="F10" s="16" t="n">
        <v>3.083333</v>
      </c>
      <c r="G10" s="16" t="n">
        <v>1</v>
      </c>
    </row>
    <row r="11" customFormat="false" ht="15" hidden="false" customHeight="false" outlineLevel="0" collapsed="false">
      <c r="A11" s="0" t="s">
        <v>811</v>
      </c>
      <c r="B11" s="22" t="n">
        <f aca="false">PL!H295</f>
        <v>11.2326582599066</v>
      </c>
      <c r="C11" s="22" t="n">
        <f aca="false">PL!H304</f>
        <v>9.63884999642565</v>
      </c>
      <c r="D11" s="22" t="n">
        <f aca="false">PL!H313</f>
        <v>6.13024300044744</v>
      </c>
      <c r="F11" s="16" t="n">
        <v>4.083333</v>
      </c>
      <c r="G11" s="16" t="n">
        <v>1</v>
      </c>
    </row>
    <row r="12" customFormat="false" ht="15" hidden="false" customHeight="false" outlineLevel="0" collapsed="false">
      <c r="A12" s="0" t="s">
        <v>812</v>
      </c>
      <c r="B12" s="22" t="n">
        <f aca="false">PL!I295</f>
        <v>11.8473808512447</v>
      </c>
      <c r="C12" s="22" t="n">
        <f aca="false">PL!I304</f>
        <v>9.44955600592239</v>
      </c>
      <c r="D12" s="22" t="n">
        <f aca="false">PL!I313</f>
        <v>5.53043481300731</v>
      </c>
      <c r="F12" s="16" t="n">
        <v>5.083333</v>
      </c>
      <c r="G12" s="16" t="n">
        <v>1</v>
      </c>
    </row>
    <row r="13" customFormat="false" ht="17.15" hidden="false" customHeight="false" outlineLevel="0" collapsed="false">
      <c r="A13" s="4" t="s">
        <v>813</v>
      </c>
      <c r="B13" s="14" t="n">
        <f aca="false">1-MIN(0.8,tp_g/tp_roe)</f>
        <v>0.8</v>
      </c>
      <c r="E13" s="7" t="s">
        <v>814</v>
      </c>
    </row>
    <row r="14" customFormat="false" ht="17.15" hidden="false" customHeight="false" outlineLevel="0" collapsed="false">
      <c r="A14" s="0" t="s">
        <v>815</v>
      </c>
      <c r="B14" s="22" t="n">
        <f aca="false">B7*$B$13*$G$7</f>
        <v>0.27972103054454</v>
      </c>
      <c r="C14" s="22" t="n">
        <f aca="false">C7*$B$13*$G$7</f>
        <v>0.27972103054454</v>
      </c>
      <c r="D14" s="22" t="n">
        <f aca="false">D7*$B$13*$G$7</f>
        <v>0.27972103054454</v>
      </c>
    </row>
    <row r="15" customFormat="false" ht="17.15" hidden="false" customHeight="false" outlineLevel="0" collapsed="false">
      <c r="A15" s="0" t="s">
        <v>816</v>
      </c>
      <c r="B15" s="22" t="n">
        <f aca="false">B8*$B$13*$G$8</f>
        <v>5.15093777446606</v>
      </c>
      <c r="C15" s="22" t="n">
        <f aca="false">C8*$B$13*$G$8</f>
        <v>5.21535285550035</v>
      </c>
      <c r="D15" s="22" t="n">
        <f aca="false">D8*$B$13*$G$8</f>
        <v>5.2475603960175</v>
      </c>
    </row>
    <row r="16" customFormat="false" ht="17.15" hidden="false" customHeight="false" outlineLevel="0" collapsed="false">
      <c r="A16" s="0" t="s">
        <v>817</v>
      </c>
      <c r="B16" s="22" t="n">
        <f aca="false">B9*$B$13*$G$9</f>
        <v>6.70397412357757</v>
      </c>
      <c r="C16" s="22" t="n">
        <f aca="false">C9*$B$13*$G$9</f>
        <v>5.54689562308684</v>
      </c>
      <c r="D16" s="22" t="n">
        <f aca="false">D9*$B$13*$G$9</f>
        <v>4.06386978228199</v>
      </c>
    </row>
    <row r="17" customFormat="false" ht="17.15" hidden="false" customHeight="false" outlineLevel="0" collapsed="false">
      <c r="A17" s="0" t="s">
        <v>818</v>
      </c>
      <c r="B17" s="22" t="n">
        <f aca="false">B10*$B$13*$G$10</f>
        <v>8.12711223983846</v>
      </c>
      <c r="C17" s="22" t="n">
        <f aca="false">C10*$B$13*$G$10</f>
        <v>7.1685298959072</v>
      </c>
      <c r="D17" s="22" t="n">
        <f aca="false">D10*$B$13*$G$10</f>
        <v>4.98700835997443</v>
      </c>
    </row>
    <row r="18" customFormat="false" ht="17.15" hidden="false" customHeight="false" outlineLevel="0" collapsed="false">
      <c r="A18" s="0" t="s">
        <v>819</v>
      </c>
      <c r="B18" s="22" t="n">
        <f aca="false">B11*$B$13*$G$11</f>
        <v>8.98612660792524</v>
      </c>
      <c r="C18" s="22" t="n">
        <f aca="false">C11*$B$13*$G$11</f>
        <v>7.71107999714052</v>
      </c>
      <c r="D18" s="22" t="n">
        <f aca="false">D11*$B$13*$G$11</f>
        <v>4.90419440035795</v>
      </c>
    </row>
    <row r="19" customFormat="false" ht="17.15" hidden="false" customHeight="false" outlineLevel="0" collapsed="false">
      <c r="A19" s="0" t="s">
        <v>820</v>
      </c>
      <c r="B19" s="22" t="n">
        <f aca="false">B12*$B$13*$G$12</f>
        <v>9.47790468099578</v>
      </c>
      <c r="C19" s="22" t="n">
        <f aca="false">C12*$B$13*$G$12</f>
        <v>7.55964480473791</v>
      </c>
      <c r="D19" s="22" t="n">
        <f aca="false">D12*$B$13*$G$12</f>
        <v>4.42434785040585</v>
      </c>
    </row>
    <row r="20" customFormat="false" ht="17.15" hidden="false" customHeight="false" outlineLevel="0" collapsed="false">
      <c r="A20" s="4" t="s">
        <v>821</v>
      </c>
      <c r="B20" s="22" t="n">
        <f aca="false">B19*(1+tp_g)/(tp_r-tp_g)</f>
        <v>164.28368113726</v>
      </c>
      <c r="C20" s="22" t="n">
        <f aca="false">C19*(1+tp_g)/(tp_r-tp_g)</f>
        <v>131.033843282124</v>
      </c>
      <c r="D20" s="22" t="n">
        <f aca="false">D19*(1+tp_g)/(tp_r-tp_g)</f>
        <v>76.6886960737013</v>
      </c>
    </row>
    <row r="21" customFormat="false" ht="17.15" hidden="false" customHeight="false" outlineLevel="0" collapsed="false">
      <c r="A21" s="8" t="s">
        <v>822</v>
      </c>
      <c r="B21" s="28" t="n">
        <f aca="false">MAX(0,B14/(1+tp_r)^$F$7+B15/(1+tp_r)^$F$8+B16/(1+tp_r)^$F$9+B17/(1+tp_r)^$F$10+B18/(1+tp_r)^$F$11+B19/(1+tp_r)^$F$12+B20/(1+tp_r)^$F$12)</f>
        <v>129.605318221804</v>
      </c>
      <c r="C21" s="28" t="n">
        <f aca="false">MAX(0,C14/(1+tp_r)^$F$7+C15/(1+tp_r)^$F$8+C16/(1+tp_r)^$F$9+C17/(1+tp_r)^$F$10+C18/(1+tp_r)^$F$11+C19/(1+tp_r)^$F$12+C20/(1+tp_r)^$F$12)</f>
        <v>105.472360119772</v>
      </c>
      <c r="D21" s="28" t="n">
        <f aca="false">MAX(0,D14/(1+tp_r)^$F$7+D15/(1+tp_r)^$F$8+D16/(1+tp_r)^$F$9+D17/(1+tp_r)^$F$10+D18/(1+tp_r)^$F$11+D19/(1+tp_r)^$F$12+D20/(1+tp_r)^$F$12)</f>
        <v>65.3489633385732</v>
      </c>
      <c r="E21" s="9" t="s">
        <v>823</v>
      </c>
    </row>
    <row r="22" customFormat="false" ht="15" hidden="false" customHeight="false" outlineLevel="0" collapsed="false">
      <c r="A22" s="4" t="s">
        <v>824</v>
      </c>
      <c r="B22" s="14" t="n">
        <f aca="false">B20/(1+tp_r)^$F$12/B21</f>
        <v>0.780834152508567</v>
      </c>
      <c r="C22" s="14" t="n">
        <f aca="false">C20/(1+tp_r)^$F$12/C21</f>
        <v>0.7653005274655</v>
      </c>
      <c r="D22" s="14" t="n">
        <f aca="false">D20/(1+tp_r)^$F$12/D21</f>
        <v>0.722902702992347</v>
      </c>
    </row>
    <row r="23" customFormat="false" ht="17.15" hidden="false" customHeight="false" outlineLevel="0" collapsed="false">
      <c r="A23" s="8" t="s">
        <v>825</v>
      </c>
      <c r="B23" s="28" t="n">
        <f aca="false">(tp_wA*B21+tp_wB*C21+tp_wC*D21)*(1+tp_r)</f>
        <v>115.156325013556</v>
      </c>
      <c r="C23" s="8"/>
      <c r="D23" s="8"/>
      <c r="E23" s="8" t="s">
        <v>826</v>
      </c>
    </row>
    <row r="25" customFormat="false" ht="17.15" hidden="false" customHeight="false" outlineLevel="0" collapsed="false">
      <c r="A25" s="1" t="s">
        <v>827</v>
      </c>
    </row>
    <row r="26" customFormat="false" ht="17.15" hidden="false" customHeight="false" outlineLevel="0" collapsed="false">
      <c r="A26" s="5" t="s">
        <v>828</v>
      </c>
      <c r="B26" s="5" t="s">
        <v>829</v>
      </c>
      <c r="C26" s="5" t="s">
        <v>830</v>
      </c>
      <c r="D26" s="5" t="s">
        <v>831</v>
      </c>
      <c r="E26" s="5" t="s">
        <v>832</v>
      </c>
      <c r="F26" s="5" t="s">
        <v>30</v>
      </c>
    </row>
    <row r="27" customFormat="false" ht="17.15" hidden="false" customHeight="false" outlineLevel="0" collapsed="false">
      <c r="A27" s="0" t="s">
        <v>833</v>
      </c>
      <c r="B27" s="0" t="s">
        <v>834</v>
      </c>
      <c r="C27" s="29" t="n">
        <v>18.52</v>
      </c>
      <c r="D27" s="7" t="s">
        <v>835</v>
      </c>
      <c r="E27" s="7" t="s">
        <v>836</v>
      </c>
      <c r="F27" s="7" t="s">
        <v>837</v>
      </c>
    </row>
    <row r="28" customFormat="false" ht="17.15" hidden="false" customHeight="false" outlineLevel="0" collapsed="false">
      <c r="A28" s="0" t="s">
        <v>838</v>
      </c>
      <c r="B28" s="0" t="s">
        <v>839</v>
      </c>
      <c r="C28" s="29" t="n">
        <v>17.44</v>
      </c>
      <c r="D28" s="7" t="s">
        <v>835</v>
      </c>
      <c r="E28" s="4" t="s">
        <v>43</v>
      </c>
      <c r="F28" s="7" t="s">
        <v>840</v>
      </c>
    </row>
    <row r="29" customFormat="false" ht="17.15" hidden="false" customHeight="false" outlineLevel="0" collapsed="false">
      <c r="A29" s="0" t="s">
        <v>841</v>
      </c>
      <c r="B29" s="0" t="s">
        <v>841</v>
      </c>
      <c r="C29" s="29" t="n">
        <v>46.49</v>
      </c>
      <c r="D29" s="7" t="s">
        <v>835</v>
      </c>
      <c r="E29" s="4" t="s">
        <v>43</v>
      </c>
      <c r="F29" s="7" t="s">
        <v>840</v>
      </c>
    </row>
    <row r="30" customFormat="false" ht="17.15" hidden="false" customHeight="false" outlineLevel="0" collapsed="false">
      <c r="A30" s="0" t="s">
        <v>842</v>
      </c>
      <c r="B30" s="0" t="s">
        <v>843</v>
      </c>
      <c r="C30" s="29" t="n">
        <v>45.77</v>
      </c>
      <c r="D30" s="7" t="s">
        <v>835</v>
      </c>
      <c r="E30" s="4" t="s">
        <v>43</v>
      </c>
      <c r="F30" s="7" t="s">
        <v>840</v>
      </c>
    </row>
    <row r="31" customFormat="false" ht="17.15" hidden="false" customHeight="false" outlineLevel="0" collapsed="false">
      <c r="A31" s="0" t="s">
        <v>844</v>
      </c>
      <c r="B31" s="0" t="s">
        <v>845</v>
      </c>
      <c r="C31" s="29" t="n">
        <v>20.19</v>
      </c>
      <c r="D31" s="7" t="s">
        <v>835</v>
      </c>
      <c r="E31" s="4" t="s">
        <v>43</v>
      </c>
      <c r="F31" s="7" t="s">
        <v>840</v>
      </c>
    </row>
    <row r="32" customFormat="false" ht="17.15" hidden="false" customHeight="false" outlineLevel="0" collapsed="false">
      <c r="A32" s="4" t="s">
        <v>846</v>
      </c>
      <c r="E32" s="4" t="s">
        <v>847</v>
      </c>
    </row>
    <row r="33" customFormat="false" ht="17.15" hidden="false" customHeight="false" outlineLevel="0" collapsed="false">
      <c r="A33" s="9" t="s">
        <v>848</v>
      </c>
      <c r="B33" s="30" t="n">
        <f aca="false">MEDIAN(C27:C31)</f>
        <v>20.19</v>
      </c>
      <c r="C33" s="8"/>
      <c r="D33" s="8"/>
      <c r="E33" s="8"/>
    </row>
    <row r="34" customFormat="false" ht="17.15" hidden="false" customHeight="false" outlineLevel="0" collapsed="false">
      <c r="A34" s="4" t="s">
        <v>849</v>
      </c>
      <c r="B34" s="22" t="n">
        <f aca="false">0.25*PL!E295+0.75*PL!F295</f>
        <v>7.89464379537462</v>
      </c>
      <c r="C34" s="22" t="n">
        <f aca="false">0.25*PL!E304+0.75*PL!F304</f>
        <v>6.83001241398777</v>
      </c>
      <c r="D34" s="22" t="n">
        <f aca="false">0.25*PL!E313+0.75*PL!F313</f>
        <v>5.44974054464484</v>
      </c>
      <c r="E34" s="4" t="s">
        <v>850</v>
      </c>
    </row>
    <row r="35" customFormat="false" ht="17.15" hidden="false" customHeight="false" outlineLevel="0" collapsed="false">
      <c r="A35" s="0" t="s">
        <v>851</v>
      </c>
      <c r="B35" s="22" t="n">
        <f aca="false">tp_wA*B34+tp_wB*C34+tp_wC*D34</f>
        <v>6.87334745453524</v>
      </c>
    </row>
    <row r="36" customFormat="false" ht="17.15" hidden="false" customHeight="false" outlineLevel="0" collapsed="false">
      <c r="A36" s="8" t="s">
        <v>852</v>
      </c>
      <c r="B36" s="28" t="n">
        <f aca="false">B33*B35</f>
        <v>138.772885107067</v>
      </c>
      <c r="C36" s="8"/>
      <c r="D36" s="8"/>
      <c r="E36" s="9" t="s">
        <v>853</v>
      </c>
    </row>
    <row r="38" customFormat="false" ht="17.15" hidden="false" customHeight="false" outlineLevel="0" collapsed="false">
      <c r="A38" s="1" t="s">
        <v>854</v>
      </c>
    </row>
    <row r="39" customFormat="false" ht="15" hidden="false" customHeight="false" outlineLevel="0" collapsed="false">
      <c r="A39" s="5" t="s">
        <v>25</v>
      </c>
      <c r="B39" s="5" t="s">
        <v>855</v>
      </c>
      <c r="C39" s="5" t="s">
        <v>856</v>
      </c>
      <c r="D39" s="5" t="s">
        <v>856</v>
      </c>
      <c r="E39" s="5" t="s">
        <v>555</v>
      </c>
    </row>
    <row r="40" customFormat="false" ht="17.15" hidden="false" customHeight="false" outlineLevel="0" collapsed="false">
      <c r="A40" s="9" t="s">
        <v>857</v>
      </c>
      <c r="B40" s="28" t="n">
        <f aca="false">tp_w_dcf*B23+(1-tp_w_dcf)*tp_comp_adj</f>
        <v>109.670951970983</v>
      </c>
      <c r="C40" s="8"/>
      <c r="D40" s="8"/>
      <c r="E40" s="8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858</v>
      </c>
      <c r="B41" s="22" t="n">
        <f aca="false">B36</f>
        <v>138.772885107067</v>
      </c>
    </row>
    <row r="42" customFormat="false" ht="17.15" hidden="false" customHeight="false" outlineLevel="0" collapsed="false">
      <c r="A42" s="4" t="s">
        <v>859</v>
      </c>
      <c r="B42" s="22" t="n">
        <f aca="false">cons_tp</f>
        <v>341.44</v>
      </c>
      <c r="E42" s="7" t="s">
        <v>860</v>
      </c>
    </row>
    <row r="43" customFormat="false" ht="15" hidden="false" customHeight="false" outlineLevel="0" collapsed="false">
      <c r="A43" s="4" t="s">
        <v>861</v>
      </c>
      <c r="B43" s="14" t="n">
        <f aca="false">B40/px-1</f>
        <v>-0.520060601413581</v>
      </c>
    </row>
    <row r="44" customFormat="false" ht="17.15" hidden="false" customHeight="false" outlineLevel="0" collapsed="false">
      <c r="A44" s="4" t="s">
        <v>862</v>
      </c>
      <c r="B44" s="14" t="n">
        <f aca="false">B41/px-1</f>
        <v>-0.392705417237467</v>
      </c>
    </row>
    <row r="45" customFormat="false" ht="17.15" hidden="false" customHeight="false" outlineLevel="0" collapsed="false">
      <c r="A45" s="4" t="s">
        <v>863</v>
      </c>
      <c r="B45" s="14" t="n">
        <f aca="false">(tp_wA*PL!E295+tp_wB*PL!E304+tp_wC*PL!E313)/C45-1</f>
        <v>-0.112812101075461</v>
      </c>
      <c r="C45" s="22" t="n">
        <f aca="false">cons_eps28</f>
        <v>7.33</v>
      </c>
      <c r="E45" s="7" t="s">
        <v>864</v>
      </c>
    </row>
    <row r="46" customFormat="false" ht="17.15" hidden="false" customHeight="false" outlineLevel="0" collapsed="false">
      <c r="A46" s="4" t="s">
        <v>865</v>
      </c>
      <c r="B46" s="14" t="n">
        <f aca="false">C46/B33-1</f>
        <v>1.30714082518935</v>
      </c>
      <c r="C46" s="19" t="n">
        <f aca="false">B42/C45</f>
        <v>46.581173260573</v>
      </c>
      <c r="D46" s="19" t="n">
        <f aca="false">B33</f>
        <v>20.19</v>
      </c>
      <c r="E46" s="7" t="s">
        <v>866</v>
      </c>
    </row>
    <row r="47" customFormat="false" ht="17.15" hidden="false" customHeight="false" outlineLevel="0" collapsed="false">
      <c r="A47" s="4" t="s">
        <v>867</v>
      </c>
      <c r="B47" s="22" t="n">
        <f aca="false">D21*(1+tp_r)</f>
        <v>71.8838596724305</v>
      </c>
      <c r="C47" s="22" t="n">
        <f aca="false">B21*(1+tp_r)</f>
        <v>142.565850043984</v>
      </c>
      <c r="E47" s="7" t="s">
        <v>868</v>
      </c>
    </row>
    <row r="48" customFormat="false" ht="17.15" hidden="false" customHeight="false" outlineLevel="0" collapsed="false">
      <c r="A48" s="4" t="s">
        <v>869</v>
      </c>
      <c r="B48" s="19" t="n">
        <f aca="false">px/PL!E295</f>
        <v>35.4902365363848</v>
      </c>
      <c r="C48" s="19" t="n">
        <f aca="false">px/PL!E304</f>
        <v>35.0518948698173</v>
      </c>
      <c r="D48" s="19" t="n">
        <f aca="false">px/PL!E313</f>
        <v>34.8367595995155</v>
      </c>
    </row>
    <row r="49" customFormat="false" ht="17.15" hidden="false" customHeight="false" outlineLevel="0" collapsed="false">
      <c r="A49" s="4" t="s">
        <v>870</v>
      </c>
      <c r="B49" s="31" t="n">
        <f aca="false">IF(B48&lt;MIN(B121:B130),0,IF(B48&gt;MAX(B121:B130),1,PERCENTRANK(B121:B130,B48)))</f>
        <v>0.544</v>
      </c>
      <c r="C49" s="31" t="n">
        <f aca="false">IF(C48&lt;MIN(B121:B130),0,IF(C48&gt;MAX(B121:B130),1,PERCENTRANK(B121:B130,C48)))</f>
        <v>0.538</v>
      </c>
      <c r="D49" s="31" t="n">
        <f aca="false">IF(D48&lt;MIN(B121:B130),0,IF(D48&gt;MAX(B121:B130),1,PERCENTRANK(B121:B130,D48)))</f>
        <v>0.535</v>
      </c>
      <c r="E49" s="4" t="s">
        <v>871</v>
      </c>
    </row>
    <row r="50" customFormat="false" ht="17.15" hidden="false" customHeight="false" outlineLevel="0" collapsed="false">
      <c r="A50" s="4" t="s">
        <v>872</v>
      </c>
      <c r="B50" s="0" t="s">
        <v>873</v>
      </c>
    </row>
    <row r="51" customFormat="false" ht="17.15" hidden="false" customHeight="false" outlineLevel="0" collapsed="false">
      <c r="A51" s="4" t="s">
        <v>874</v>
      </c>
      <c r="B51" s="16" t="n">
        <f aca="false">ROUND(tp_wA+tp_wB+tp_wC,6)</f>
        <v>1</v>
      </c>
    </row>
    <row r="55" customFormat="false" ht="15" hidden="false" customHeight="false" outlineLevel="0" collapsed="false">
      <c r="A55" s="3" t="s">
        <v>875</v>
      </c>
    </row>
    <row r="56" customFormat="false" ht="15" hidden="false" customHeight="false" outlineLevel="0" collapsed="false">
      <c r="A56" s="5" t="s">
        <v>25</v>
      </c>
      <c r="B56" s="5" t="s">
        <v>876</v>
      </c>
      <c r="C56" s="11"/>
      <c r="D56" s="11"/>
      <c r="E56" s="5" t="s">
        <v>555</v>
      </c>
    </row>
    <row r="57" customFormat="false" ht="17.15" hidden="false" customHeight="false" outlineLevel="0" collapsed="false">
      <c r="A57" s="9" t="s">
        <v>877</v>
      </c>
      <c r="B57" s="32" t="n">
        <f aca="false">tp_wA*B59+tp_wB*B60+tp_wC*B61</f>
        <v>202.512511941354</v>
      </c>
      <c r="E57" s="4" t="s">
        <v>878</v>
      </c>
    </row>
    <row r="58" customFormat="false" ht="15" hidden="false" customHeight="false" outlineLevel="0" collapsed="false">
      <c r="A58" s="9" t="s">
        <v>879</v>
      </c>
      <c r="B58" s="33" t="n">
        <f aca="false">B57/px-1</f>
        <v>-0.113769585832767</v>
      </c>
    </row>
    <row r="59" customFormat="false" ht="17.15" hidden="false" customHeight="false" outlineLevel="0" collapsed="false">
      <c r="A59" s="9" t="s">
        <v>880</v>
      </c>
      <c r="B59" s="32" t="n">
        <f aca="false">D87</f>
        <v>217.755894415553</v>
      </c>
    </row>
    <row r="60" customFormat="false" ht="17.15" hidden="false" customHeight="false" outlineLevel="0" collapsed="false">
      <c r="A60" s="9" t="s">
        <v>881</v>
      </c>
      <c r="B60" s="32" t="n">
        <f aca="false">D88</f>
        <v>220.479041966277</v>
      </c>
    </row>
    <row r="61" customFormat="false" ht="17.15" hidden="false" customHeight="false" outlineLevel="0" collapsed="false">
      <c r="A61" s="9" t="s">
        <v>882</v>
      </c>
      <c r="B61" s="32" t="n">
        <f aca="false">D89</f>
        <v>134.731113167749</v>
      </c>
    </row>
    <row r="62" customFormat="false" ht="17.15" hidden="false" customHeight="false" outlineLevel="0" collapsed="false">
      <c r="A62" s="9" t="s">
        <v>883</v>
      </c>
      <c r="B62" s="34" t="n">
        <f aca="false">tp_wA</f>
        <v>0.3</v>
      </c>
      <c r="C62" s="18" t="n">
        <f aca="false">tp_wB</f>
        <v>0.5</v>
      </c>
      <c r="D62" s="18" t="n">
        <f aca="false">tp_wC</f>
        <v>0.2</v>
      </c>
      <c r="E62" s="7" t="s">
        <v>884</v>
      </c>
    </row>
    <row r="63" customFormat="false" ht="17.15" hidden="false" customHeight="false" outlineLevel="0" collapsed="false">
      <c r="A63" s="9" t="s">
        <v>885</v>
      </c>
      <c r="B63" s="8" t="s">
        <v>886</v>
      </c>
    </row>
    <row r="64" customFormat="false" ht="17.15" hidden="false" customHeight="false" outlineLevel="0" collapsed="false">
      <c r="A64" s="4" t="s">
        <v>887</v>
      </c>
      <c r="B64" s="0" t="n">
        <f aca="false">ROUND(tp_wA+tp_wB+tp_wC,6)</f>
        <v>1</v>
      </c>
    </row>
    <row r="66" customFormat="false" ht="17.15" hidden="false" customHeight="false" outlineLevel="0" collapsed="false">
      <c r="A66" s="1" t="s">
        <v>888</v>
      </c>
    </row>
    <row r="67" customFormat="false" ht="15" hidden="false" customHeight="false" outlineLevel="0" collapsed="false">
      <c r="A67" s="5" t="s">
        <v>25</v>
      </c>
      <c r="B67" s="11" t="s">
        <v>800</v>
      </c>
      <c r="C67" s="11" t="s">
        <v>801</v>
      </c>
      <c r="D67" s="11" t="s">
        <v>802</v>
      </c>
      <c r="E67" s="5" t="s">
        <v>555</v>
      </c>
    </row>
    <row r="68" customFormat="false" ht="17.15" hidden="false" customHeight="false" outlineLevel="0" collapsed="false">
      <c r="A68" s="4" t="s">
        <v>889</v>
      </c>
      <c r="B68" s="18" t="n">
        <f aca="false">px</f>
        <v>228.51</v>
      </c>
    </row>
    <row r="69" customFormat="false" ht="17.15" hidden="false" customHeight="false" outlineLevel="0" collapsed="false">
      <c r="A69" s="4" t="s">
        <v>890</v>
      </c>
      <c r="B69" s="19" t="n">
        <f aca="false">px/PL!C14</f>
        <v>80.6018506351292</v>
      </c>
      <c r="C69" s="19" t="n">
        <f aca="false">px/PL!C27</f>
        <v>80.6018506351292</v>
      </c>
      <c r="D69" s="19" t="n">
        <f aca="false">px/PL!C40</f>
        <v>80.6018506351292</v>
      </c>
    </row>
    <row r="70" customFormat="false" ht="17.15" hidden="false" customHeight="false" outlineLevel="0" collapsed="false">
      <c r="A70" s="4" t="s">
        <v>891</v>
      </c>
      <c r="B70" s="19" t="n">
        <f aca="false">px/PL!D14</f>
        <v>54.4611859692627</v>
      </c>
      <c r="C70" s="19" t="n">
        <f aca="false">px/PL!D27</f>
        <v>54.4611859692627</v>
      </c>
      <c r="D70" s="19" t="n">
        <f aca="false">px/PL!D40</f>
        <v>54.4611859692627</v>
      </c>
      <c r="E70" s="7" t="s">
        <v>892</v>
      </c>
    </row>
    <row r="71" customFormat="false" ht="17.15" hidden="false" customHeight="false" outlineLevel="0" collapsed="false">
      <c r="A71" s="4" t="s">
        <v>893</v>
      </c>
      <c r="B71" s="19" t="n">
        <f aca="false">px/PL!E14</f>
        <v>35.4902365363848</v>
      </c>
      <c r="C71" s="19" t="n">
        <f aca="false">px/PL!E27</f>
        <v>35.0518948698173</v>
      </c>
      <c r="D71" s="19" t="n">
        <f aca="false">px/PL!E40</f>
        <v>34.8367595995155</v>
      </c>
      <c r="E71" s="7" t="s">
        <v>894</v>
      </c>
    </row>
    <row r="72" customFormat="false" ht="17.15" hidden="false" customHeight="false" outlineLevel="0" collapsed="false">
      <c r="A72" s="4" t="s">
        <v>895</v>
      </c>
      <c r="B72" s="19" t="n">
        <f aca="false">px/PL!F14</f>
        <v>27.2686016727112</v>
      </c>
      <c r="C72" s="19" t="n">
        <f aca="false">px/PL!F27</f>
        <v>32.9568126789932</v>
      </c>
      <c r="D72" s="19" t="n">
        <f aca="false">px/PL!F40</f>
        <v>44.983724822341</v>
      </c>
    </row>
    <row r="73" customFormat="false" ht="17.15" hidden="false" customHeight="false" outlineLevel="0" collapsed="false">
      <c r="A73" s="4" t="s">
        <v>896</v>
      </c>
      <c r="B73" s="19" t="n">
        <f aca="false">px/PL!G14</f>
        <v>22.4935985384685</v>
      </c>
      <c r="C73" s="19" t="n">
        <f aca="false">px/PL!G27</f>
        <v>25.5014630132703</v>
      </c>
      <c r="D73" s="19" t="n">
        <f aca="false">px/PL!G40</f>
        <v>36.6568465108684</v>
      </c>
    </row>
    <row r="74" customFormat="false" ht="17.15" hidden="false" customHeight="false" outlineLevel="0" collapsed="false">
      <c r="A74" s="4" t="s">
        <v>897</v>
      </c>
      <c r="B74" s="19" t="n">
        <f aca="false">px/cons_eps27</f>
        <v>54.1492890995261</v>
      </c>
    </row>
    <row r="75" customFormat="false" ht="17.15" hidden="false" customHeight="false" outlineLevel="0" collapsed="false">
      <c r="A75" s="4" t="s">
        <v>898</v>
      </c>
      <c r="B75" s="19" t="n">
        <f aca="false">px/cons_eps28</f>
        <v>31.1746248294679</v>
      </c>
    </row>
    <row r="76" customFormat="false" ht="17.15" hidden="false" customHeight="false" outlineLevel="0" collapsed="false">
      <c r="A76" s="4" t="s">
        <v>899</v>
      </c>
      <c r="B76" s="19" t="n">
        <f aca="false">px/(eps_q3_26+eps_q4_26+Q!C28+Q!D28)</f>
        <v>69.2454545454545</v>
      </c>
    </row>
    <row r="77" customFormat="false" ht="17.15" hidden="false" customHeight="false" outlineLevel="0" collapsed="false">
      <c r="A77" s="4" t="s">
        <v>900</v>
      </c>
      <c r="B77" s="19" t="n">
        <f aca="false">pe_ttm_gaap</f>
        <v>77.4</v>
      </c>
    </row>
    <row r="79" customFormat="false" ht="17.15" hidden="false" customHeight="false" outlineLevel="0" collapsed="false">
      <c r="A79" s="1" t="s">
        <v>901</v>
      </c>
    </row>
    <row r="80" customFormat="false" ht="17.15" hidden="false" customHeight="false" outlineLevel="0" collapsed="false">
      <c r="A80" s="5" t="s">
        <v>902</v>
      </c>
      <c r="B80" s="5" t="s">
        <v>903</v>
      </c>
      <c r="C80" s="11" t="s">
        <v>904</v>
      </c>
      <c r="D80" s="11" t="s">
        <v>905</v>
      </c>
      <c r="E80" s="11" t="s">
        <v>906</v>
      </c>
      <c r="F80" s="5" t="s">
        <v>907</v>
      </c>
    </row>
    <row r="81" customFormat="false" ht="17.15" hidden="false" customHeight="false" outlineLevel="0" collapsed="false">
      <c r="A81" s="0" t="s">
        <v>800</v>
      </c>
      <c r="B81" s="0" t="n">
        <f aca="false">pk_A</f>
        <v>2029</v>
      </c>
      <c r="C81" s="0" t="str">
        <f aca="false">IF((2028-1)&lt;pk_A,"中段",IF((2028-1)=pk_A,"見頂","谷底"))</f>
        <v>中段</v>
      </c>
      <c r="D81" s="0" t="str">
        <f aca="false">IF((2029-1)&lt;pk_A,"中段",IF((2029-1)=pk_A,"見頂","谷底"))</f>
        <v>中段</v>
      </c>
      <c r="E81" s="0" t="str">
        <f aca="false">IF((2030-1)&lt;pk_A,"中段",IF((2030-1)=pk_A,"見頂","谷底"))</f>
        <v>見頂</v>
      </c>
      <c r="F81" s="0" t="s">
        <v>908</v>
      </c>
    </row>
    <row r="82" customFormat="false" ht="17.15" hidden="false" customHeight="false" outlineLevel="0" collapsed="false">
      <c r="A82" s="0" t="s">
        <v>801</v>
      </c>
      <c r="B82" s="0" t="n">
        <f aca="false">pk_B</f>
        <v>2028</v>
      </c>
      <c r="C82" s="0" t="str">
        <f aca="false">IF((2028-1)&lt;pk_B,"中段",IF((2028-1)=pk_B,"見頂","谷底"))</f>
        <v>中段</v>
      </c>
      <c r="D82" s="0" t="str">
        <f aca="false">IF((2029-1)&lt;pk_B,"中段",IF((2029-1)=pk_B,"見頂","谷底"))</f>
        <v>見頂</v>
      </c>
      <c r="E82" s="0" t="str">
        <f aca="false">IF((2030-1)&lt;pk_B,"中段",IF((2030-1)=pk_B,"見頂","谷底"))</f>
        <v>谷底</v>
      </c>
      <c r="F82" s="0" t="s">
        <v>908</v>
      </c>
    </row>
    <row r="83" customFormat="false" ht="17.15" hidden="false" customHeight="false" outlineLevel="0" collapsed="false">
      <c r="A83" s="0" t="s">
        <v>802</v>
      </c>
      <c r="B83" s="0" t="n">
        <f aca="false">pk_C</f>
        <v>2027</v>
      </c>
      <c r="C83" s="0" t="str">
        <f aca="false">IF((2028-1)&lt;pk_C,"中段",IF((2028-1)=pk_C,"見頂","谷底"))</f>
        <v>見頂</v>
      </c>
      <c r="D83" s="0" t="str">
        <f aca="false">IF((2029-1)&lt;pk_C,"中段",IF((2029-1)=pk_C,"見頂","谷底"))</f>
        <v>谷底</v>
      </c>
      <c r="E83" s="0" t="str">
        <f aca="false">IF((2030-1)&lt;pk_C,"中段",IF((2030-1)=pk_C,"見頂","谷底"))</f>
        <v>谷底</v>
      </c>
      <c r="F83" s="0" t="s">
        <v>908</v>
      </c>
    </row>
    <row r="85" customFormat="false" ht="17.15" hidden="false" customHeight="false" outlineLevel="0" collapsed="false">
      <c r="A85" s="1" t="s">
        <v>909</v>
      </c>
    </row>
    <row r="86" customFormat="false" ht="17.15" hidden="false" customHeight="false" outlineLevel="0" collapsed="false">
      <c r="A86" s="5" t="s">
        <v>902</v>
      </c>
      <c r="B86" s="11" t="s">
        <v>910</v>
      </c>
      <c r="C86" s="5" t="s">
        <v>911</v>
      </c>
      <c r="D86" s="5" t="s">
        <v>912</v>
      </c>
      <c r="E86" s="5" t="s">
        <v>913</v>
      </c>
      <c r="F86" s="5" t="s">
        <v>914</v>
      </c>
    </row>
    <row r="87" customFormat="false" ht="15" hidden="false" customHeight="false" outlineLevel="0" collapsed="false">
      <c r="A87" s="8" t="s">
        <v>800</v>
      </c>
      <c r="B87" s="34" t="n">
        <f aca="false">PL!E14</f>
        <v>6.43867221808258</v>
      </c>
      <c r="C87" s="30" t="n">
        <f aca="false">IF(C81="見頂",pe_peak,IF(C81="谷底",pe_trough,pe_mid))</f>
        <v>33.82</v>
      </c>
      <c r="D87" s="35" t="n">
        <f aca="false">B87*C87</f>
        <v>217.755894415553</v>
      </c>
      <c r="E87" s="36" t="n">
        <f aca="false">D87/px-1</f>
        <v>-0.0470618598067792</v>
      </c>
      <c r="F87" s="30" t="n">
        <f aca="false">px/B87</f>
        <v>35.4902365363848</v>
      </c>
    </row>
    <row r="88" customFormat="false" ht="15" hidden="false" customHeight="false" outlineLevel="0" collapsed="false">
      <c r="A88" s="8" t="s">
        <v>801</v>
      </c>
      <c r="B88" s="34" t="n">
        <f aca="false">PL!E27</f>
        <v>6.51919106937544</v>
      </c>
      <c r="C88" s="30" t="n">
        <f aca="false">IF(C82="見頂",pe_peak,IF(C82="谷底",pe_trough,pe_mid))</f>
        <v>33.82</v>
      </c>
      <c r="D88" s="35" t="n">
        <f aca="false">B88*C88</f>
        <v>220.479041966277</v>
      </c>
      <c r="E88" s="36" t="n">
        <f aca="false">D88/px-1</f>
        <v>-0.0351448865858065</v>
      </c>
      <c r="F88" s="30" t="n">
        <f aca="false">px/B88</f>
        <v>35.0518948698173</v>
      </c>
    </row>
    <row r="89" customFormat="false" ht="15" hidden="false" customHeight="false" outlineLevel="0" collapsed="false">
      <c r="A89" s="8" t="s">
        <v>802</v>
      </c>
      <c r="B89" s="34" t="n">
        <f aca="false">PL!E40</f>
        <v>6.55945049502187</v>
      </c>
      <c r="C89" s="30" t="n">
        <f aca="false">IF(C83="見頂",pe_peak,IF(C83="谷底",pe_trough,pe_mid))</f>
        <v>20.54</v>
      </c>
      <c r="D89" s="35" t="n">
        <f aca="false">B89*C89</f>
        <v>134.731113167749</v>
      </c>
      <c r="E89" s="36" t="n">
        <f aca="false">D89/px-1</f>
        <v>-0.410392922989151</v>
      </c>
      <c r="F89" s="30" t="n">
        <f aca="false">px/B89</f>
        <v>34.8367595995155</v>
      </c>
    </row>
    <row r="91" customFormat="false" ht="17.15" hidden="false" customHeight="false" outlineLevel="0" collapsed="false">
      <c r="A91" s="1" t="s">
        <v>915</v>
      </c>
    </row>
    <row r="92" customFormat="false" ht="17.15" hidden="false" customHeight="false" outlineLevel="0" collapsed="false">
      <c r="A92" s="11" t="s">
        <v>916</v>
      </c>
      <c r="B92" s="5" t="s">
        <v>917</v>
      </c>
      <c r="C92" s="5" t="s">
        <v>918</v>
      </c>
      <c r="D92" s="5" t="s">
        <v>919</v>
      </c>
      <c r="E92" s="5" t="s">
        <v>920</v>
      </c>
    </row>
    <row r="93" customFormat="false" ht="15" hidden="false" customHeight="false" outlineLevel="0" collapsed="false">
      <c r="A93" s="17" t="n">
        <v>1</v>
      </c>
      <c r="B93" s="19" t="n">
        <f aca="false">px*A93/PL!E14</f>
        <v>35.4902365363848</v>
      </c>
      <c r="C93" s="19" t="n">
        <f aca="false">px*A93/PL!F14</f>
        <v>27.2686016727112</v>
      </c>
      <c r="D93" s="19" t="n">
        <f aca="false">px*A93/PL!F40</f>
        <v>44.983724822341</v>
      </c>
      <c r="E93" s="19" t="n">
        <f aca="false">pe_mid</f>
        <v>33.82</v>
      </c>
    </row>
    <row r="94" customFormat="false" ht="15" hidden="false" customHeight="false" outlineLevel="0" collapsed="false">
      <c r="A94" s="17" t="n">
        <v>1.1</v>
      </c>
      <c r="B94" s="19" t="n">
        <f aca="false">px*A94/PL!E14</f>
        <v>39.0392601900233</v>
      </c>
      <c r="C94" s="19" t="n">
        <f aca="false">px*A94/PL!F14</f>
        <v>29.9954618399823</v>
      </c>
      <c r="D94" s="19" t="n">
        <f aca="false">px*A94/PL!F40</f>
        <v>49.4820973045751</v>
      </c>
      <c r="E94" s="19" t="n">
        <f aca="false">pe_mid</f>
        <v>33.82</v>
      </c>
    </row>
    <row r="95" customFormat="false" ht="15" hidden="false" customHeight="false" outlineLevel="0" collapsed="false">
      <c r="A95" s="17" t="n">
        <v>1.21</v>
      </c>
      <c r="B95" s="19" t="n">
        <f aca="false">px*A95/PL!E14</f>
        <v>42.9431862090256</v>
      </c>
      <c r="C95" s="19" t="n">
        <f aca="false">px*A95/PL!F14</f>
        <v>32.9950080239805</v>
      </c>
      <c r="D95" s="19" t="n">
        <f aca="false">px*A95/PL!F40</f>
        <v>54.4303070350326</v>
      </c>
      <c r="E95" s="19" t="n">
        <f aca="false">pe_mid</f>
        <v>33.82</v>
      </c>
    </row>
    <row r="96" customFormat="false" ht="15" hidden="false" customHeight="false" outlineLevel="0" collapsed="false">
      <c r="A96" s="17" t="n">
        <v>1.5</v>
      </c>
      <c r="B96" s="19" t="n">
        <f aca="false">px*A96/PL!E14</f>
        <v>53.2353548045772</v>
      </c>
      <c r="C96" s="19" t="n">
        <f aca="false">px*A96/PL!F14</f>
        <v>40.9029025090668</v>
      </c>
      <c r="D96" s="19" t="n">
        <f aca="false">px*A96/PL!F40</f>
        <v>67.4755872335115</v>
      </c>
      <c r="E96" s="19" t="n">
        <f aca="false">pe_mid</f>
        <v>33.82</v>
      </c>
    </row>
    <row r="97" customFormat="false" ht="15" hidden="false" customHeight="false" outlineLevel="0" collapsed="false">
      <c r="A97" s="17" t="n">
        <v>2</v>
      </c>
      <c r="B97" s="19" t="n">
        <f aca="false">px*A97/PL!E14</f>
        <v>70.9804730727696</v>
      </c>
      <c r="C97" s="19" t="n">
        <f aca="false">px*A97/PL!F14</f>
        <v>54.5372033454224</v>
      </c>
      <c r="D97" s="19" t="n">
        <f aca="false">px*A97/PL!F40</f>
        <v>89.967449644682</v>
      </c>
      <c r="E97" s="19" t="n">
        <f aca="false">pe_mid</f>
        <v>33.82</v>
      </c>
    </row>
    <row r="98" customFormat="false" ht="17.15" hidden="false" customHeight="false" outlineLevel="0" collapsed="false">
      <c r="A98" s="4" t="s">
        <v>921</v>
      </c>
    </row>
    <row r="101" customFormat="false" ht="17.15" hidden="false" customHeight="false" outlineLevel="0" collapsed="false">
      <c r="A101" s="1" t="s">
        <v>922</v>
      </c>
    </row>
    <row r="102" customFormat="false" ht="17.15" hidden="false" customHeight="false" outlineLevel="0" collapsed="false">
      <c r="A102" s="5" t="s">
        <v>923</v>
      </c>
      <c r="B102" s="5" t="s">
        <v>924</v>
      </c>
      <c r="C102" s="11" t="s">
        <v>637</v>
      </c>
      <c r="D102" s="11" t="s">
        <v>925</v>
      </c>
      <c r="E102" s="11" t="s">
        <v>926</v>
      </c>
      <c r="F102" s="11" t="s">
        <v>927</v>
      </c>
      <c r="G102" s="5" t="s">
        <v>832</v>
      </c>
    </row>
    <row r="103" customFormat="false" ht="17.15" hidden="false" customHeight="false" outlineLevel="0" collapsed="false">
      <c r="A103" s="0" t="s">
        <v>928</v>
      </c>
      <c r="B103" s="0" t="s">
        <v>929</v>
      </c>
      <c r="C103" s="17" t="n">
        <v>0.66</v>
      </c>
      <c r="D103" s="17" t="n">
        <v>14.87</v>
      </c>
      <c r="E103" s="17" t="n">
        <v>13.98</v>
      </c>
      <c r="F103" s="17" t="n">
        <v>0.04</v>
      </c>
      <c r="G103" s="7" t="s">
        <v>930</v>
      </c>
    </row>
    <row r="104" customFormat="false" ht="15" hidden="false" customHeight="false" outlineLevel="0" collapsed="false">
      <c r="A104" s="0" t="s">
        <v>931</v>
      </c>
      <c r="B104" s="0" t="s">
        <v>932</v>
      </c>
      <c r="C104" s="17" t="n">
        <v>1.19</v>
      </c>
      <c r="D104" s="17" t="n">
        <v>23.33</v>
      </c>
      <c r="E104" s="17" t="n">
        <v>22.24</v>
      </c>
      <c r="F104" s="17" t="n">
        <v>1.02</v>
      </c>
    </row>
    <row r="105" customFormat="false" ht="15" hidden="false" customHeight="false" outlineLevel="0" collapsed="false">
      <c r="A105" s="0" t="s">
        <v>933</v>
      </c>
      <c r="B105" s="0" t="s">
        <v>934</v>
      </c>
      <c r="C105" s="17" t="n">
        <v>1.19</v>
      </c>
      <c r="D105" s="17" t="n">
        <v>18.53</v>
      </c>
      <c r="E105" s="17" t="n">
        <v>17.89</v>
      </c>
      <c r="F105" s="17" t="n">
        <v>-0.3</v>
      </c>
    </row>
    <row r="106" customFormat="false" ht="15" hidden="false" customHeight="false" outlineLevel="0" collapsed="false">
      <c r="A106" s="0" t="s">
        <v>935</v>
      </c>
      <c r="B106" s="0" t="s">
        <v>936</v>
      </c>
      <c r="C106" s="17" t="n">
        <v>0.66</v>
      </c>
      <c r="D106" s="17" t="n">
        <v>24.04</v>
      </c>
      <c r="E106" s="17" t="n">
        <v>23.45</v>
      </c>
      <c r="F106" s="17" t="n">
        <v>2.34</v>
      </c>
    </row>
    <row r="107" customFormat="false" ht="15" hidden="false" customHeight="false" outlineLevel="0" collapsed="false">
      <c r="A107" s="0" t="s">
        <v>937</v>
      </c>
      <c r="B107" s="0" t="s">
        <v>938</v>
      </c>
      <c r="C107" s="17" t="n">
        <v>0.92</v>
      </c>
      <c r="D107" s="17" t="n">
        <v>51.46</v>
      </c>
      <c r="E107" s="17" t="n">
        <v>50.55</v>
      </c>
      <c r="F107" s="17" t="n">
        <v>-0.41</v>
      </c>
    </row>
    <row r="108" customFormat="false" ht="15" hidden="false" customHeight="false" outlineLevel="0" collapsed="false">
      <c r="A108" s="0" t="s">
        <v>939</v>
      </c>
      <c r="B108" s="0" t="s">
        <v>940</v>
      </c>
      <c r="C108" s="17" t="n">
        <v>1.57</v>
      </c>
      <c r="D108" s="17" t="n">
        <v>71.4</v>
      </c>
      <c r="E108" s="17" t="n">
        <v>70.41</v>
      </c>
      <c r="F108" s="17" t="n">
        <v>-0.53</v>
      </c>
    </row>
    <row r="109" customFormat="false" ht="15" hidden="false" customHeight="false" outlineLevel="0" collapsed="false">
      <c r="A109" s="0" t="s">
        <v>941</v>
      </c>
      <c r="B109" s="0" t="s">
        <v>942</v>
      </c>
      <c r="C109" s="17" t="n">
        <v>2.12</v>
      </c>
      <c r="D109" s="17" t="n">
        <v>43.15</v>
      </c>
      <c r="E109" s="17" t="n">
        <v>42.77</v>
      </c>
      <c r="F109" s="17" t="n">
        <v>-0.19</v>
      </c>
    </row>
    <row r="110" customFormat="false" ht="15" hidden="false" customHeight="false" outlineLevel="0" collapsed="false">
      <c r="A110" s="0" t="s">
        <v>943</v>
      </c>
      <c r="B110" s="0" t="s">
        <v>944</v>
      </c>
      <c r="C110" s="17" t="n">
        <v>1.51</v>
      </c>
      <c r="D110" s="17" t="n">
        <v>67.7</v>
      </c>
      <c r="E110" s="17" t="n">
        <v>67.42</v>
      </c>
      <c r="F110" s="17" t="n">
        <v>-1.08</v>
      </c>
    </row>
    <row r="111" customFormat="false" ht="15" hidden="false" customHeight="false" outlineLevel="0" collapsed="false">
      <c r="A111" s="0" t="s">
        <v>945</v>
      </c>
      <c r="B111" s="0" t="s">
        <v>946</v>
      </c>
      <c r="C111" s="17" t="n">
        <v>1.57</v>
      </c>
      <c r="D111" s="17" t="n">
        <v>112.86</v>
      </c>
      <c r="E111" s="17" t="n">
        <v>112.73</v>
      </c>
      <c r="F111" s="17" t="n">
        <v>-1.02</v>
      </c>
    </row>
    <row r="112" customFormat="false" ht="17.15" hidden="false" customHeight="false" outlineLevel="0" collapsed="false">
      <c r="A112" s="0" t="s">
        <v>947</v>
      </c>
      <c r="B112" s="0" t="s">
        <v>948</v>
      </c>
      <c r="C112" s="17" t="n">
        <v>2.84</v>
      </c>
      <c r="D112" s="17" t="n">
        <v>78.92</v>
      </c>
      <c r="F112" s="17" t="n">
        <v>3.07</v>
      </c>
      <c r="G112" s="7" t="s">
        <v>949</v>
      </c>
    </row>
    <row r="113" customFormat="false" ht="17.15" hidden="false" customHeight="false" outlineLevel="0" collapsed="false">
      <c r="A113" s="37" t="s">
        <v>950</v>
      </c>
    </row>
    <row r="116" customFormat="false" ht="17.15" hidden="false" customHeight="false" outlineLevel="0" collapsed="false">
      <c r="A116" s="1" t="s">
        <v>951</v>
      </c>
    </row>
    <row r="117" customFormat="false" ht="17.15" hidden="false" customHeight="false" outlineLevel="0" collapsed="false">
      <c r="A117" s="4" t="s">
        <v>952</v>
      </c>
    </row>
    <row r="119" customFormat="false" ht="17.15" hidden="false" customHeight="false" outlineLevel="0" collapsed="false">
      <c r="A119" s="1" t="s">
        <v>953</v>
      </c>
    </row>
    <row r="120" customFormat="false" ht="17.15" hidden="false" customHeight="false" outlineLevel="0" collapsed="false">
      <c r="A120" s="5" t="s">
        <v>954</v>
      </c>
      <c r="B120" s="11" t="s">
        <v>955</v>
      </c>
      <c r="C120" s="11" t="s">
        <v>956</v>
      </c>
      <c r="D120" s="5" t="s">
        <v>957</v>
      </c>
    </row>
    <row r="121" customFormat="false" ht="17.15" hidden="false" customHeight="false" outlineLevel="0" collapsed="false">
      <c r="A121" s="0" t="s">
        <v>928</v>
      </c>
      <c r="B121" s="18" t="n">
        <f aca="false">D103/C103</f>
        <v>22.530303030303</v>
      </c>
      <c r="C121" s="18" t="n">
        <f aca="false">E103/C103</f>
        <v>21.1818181818182</v>
      </c>
      <c r="D121" s="7" t="s">
        <v>958</v>
      </c>
    </row>
    <row r="122" customFormat="false" ht="15" hidden="false" customHeight="false" outlineLevel="0" collapsed="false">
      <c r="A122" s="0" t="s">
        <v>931</v>
      </c>
      <c r="B122" s="18" t="n">
        <f aca="false">D104/C104</f>
        <v>19.6050420168067</v>
      </c>
      <c r="C122" s="18" t="n">
        <f aca="false">E104/C104</f>
        <v>18.6890756302521</v>
      </c>
    </row>
    <row r="123" customFormat="false" ht="15" hidden="false" customHeight="false" outlineLevel="0" collapsed="false">
      <c r="A123" s="0" t="s">
        <v>933</v>
      </c>
      <c r="B123" s="18" t="n">
        <f aca="false">D105/C105</f>
        <v>15.5714285714286</v>
      </c>
      <c r="C123" s="18" t="n">
        <f aca="false">E105/C105</f>
        <v>15.0336134453782</v>
      </c>
    </row>
    <row r="124" customFormat="false" ht="15" hidden="false" customHeight="false" outlineLevel="0" collapsed="false">
      <c r="A124" s="0" t="s">
        <v>935</v>
      </c>
      <c r="B124" s="18" t="n">
        <f aca="false">D106/C106</f>
        <v>36.4242424242424</v>
      </c>
      <c r="C124" s="18" t="n">
        <f aca="false">E106/C106</f>
        <v>35.530303030303</v>
      </c>
    </row>
    <row r="125" customFormat="false" ht="15" hidden="false" customHeight="false" outlineLevel="0" collapsed="false">
      <c r="A125" s="0" t="s">
        <v>937</v>
      </c>
      <c r="B125" s="18" t="n">
        <f aca="false">D107/C107</f>
        <v>55.9347826086957</v>
      </c>
      <c r="C125" s="18" t="n">
        <f aca="false">E107/C107</f>
        <v>54.945652173913</v>
      </c>
    </row>
    <row r="126" customFormat="false" ht="15" hidden="false" customHeight="false" outlineLevel="0" collapsed="false">
      <c r="A126" s="0" t="s">
        <v>939</v>
      </c>
      <c r="B126" s="18" t="n">
        <f aca="false">D108/C108</f>
        <v>45.4777070063694</v>
      </c>
      <c r="C126" s="18" t="n">
        <f aca="false">E108/C108</f>
        <v>44.8471337579618</v>
      </c>
    </row>
    <row r="127" customFormat="false" ht="15" hidden="false" customHeight="false" outlineLevel="0" collapsed="false">
      <c r="A127" s="0" t="s">
        <v>941</v>
      </c>
      <c r="B127" s="18" t="n">
        <f aca="false">D109/C109</f>
        <v>20.3537735849057</v>
      </c>
      <c r="C127" s="18" t="n">
        <f aca="false">E109/C109</f>
        <v>20.1745283018868</v>
      </c>
    </row>
    <row r="128" customFormat="false" ht="15" hidden="false" customHeight="false" outlineLevel="0" collapsed="false">
      <c r="A128" s="0" t="s">
        <v>943</v>
      </c>
      <c r="B128" s="18" t="n">
        <f aca="false">D110/C110</f>
        <v>44.8344370860927</v>
      </c>
      <c r="C128" s="18" t="n">
        <f aca="false">E110/C110</f>
        <v>44.6490066225166</v>
      </c>
    </row>
    <row r="129" customFormat="false" ht="15" hidden="false" customHeight="false" outlineLevel="0" collapsed="false">
      <c r="A129" s="0" t="s">
        <v>945</v>
      </c>
      <c r="B129" s="18" t="n">
        <f aca="false">D111/C111</f>
        <v>71.8853503184713</v>
      </c>
      <c r="C129" s="18" t="n">
        <f aca="false">E111/C111</f>
        <v>71.8025477707006</v>
      </c>
    </row>
    <row r="130" customFormat="false" ht="15" hidden="false" customHeight="false" outlineLevel="0" collapsed="false">
      <c r="A130" s="0" t="s">
        <v>947</v>
      </c>
      <c r="B130" s="18" t="n">
        <f aca="false">D112/C112</f>
        <v>27.7887323943662</v>
      </c>
    </row>
    <row r="131" customFormat="false" ht="17.15" hidden="false" customHeight="false" outlineLevel="0" collapsed="false">
      <c r="A131" s="0" t="s">
        <v>959</v>
      </c>
      <c r="B131" s="18" t="n">
        <f aca="false">PERCENTILE(B121:B130,0.25)</f>
        <v>20.897905946255</v>
      </c>
      <c r="C131" s="18" t="n">
        <f aca="false">PERCENTILE(C121:C130,0.25)</f>
        <v>20.1745283018868</v>
      </c>
    </row>
    <row r="132" customFormat="false" ht="15" hidden="false" customHeight="false" outlineLevel="0" collapsed="false">
      <c r="A132" s="4" t="s">
        <v>960</v>
      </c>
      <c r="B132" s="18" t="n">
        <f aca="false">MEDIAN(B121:B130)</f>
        <v>32.1064874093043</v>
      </c>
      <c r="C132" s="18" t="n">
        <f aca="false">MEDIAN(C121:C130)</f>
        <v>35.530303030303</v>
      </c>
    </row>
    <row r="133" customFormat="false" ht="17.15" hidden="false" customHeight="false" outlineLevel="0" collapsed="false">
      <c r="A133" s="0" t="s">
        <v>961</v>
      </c>
      <c r="B133" s="18" t="n">
        <f aca="false">PERCENTILE(B121:B130,0.75)</f>
        <v>45.3168895263003</v>
      </c>
      <c r="C133" s="18" t="n">
        <f aca="false">PERCENTILE(C121:C130,0.75)</f>
        <v>44.8471337579618</v>
      </c>
    </row>
    <row r="134" customFormat="false" ht="15" hidden="false" customHeight="false" outlineLevel="0" collapsed="false">
      <c r="A134" s="4" t="s">
        <v>962</v>
      </c>
      <c r="B134" s="18" t="n">
        <f aca="false">MIN(B121:B130)</f>
        <v>15.5714285714286</v>
      </c>
      <c r="C134" s="18" t="n">
        <f aca="false">MIN(C121:C130)</f>
        <v>15.0336134453782</v>
      </c>
    </row>
    <row r="135" customFormat="false" ht="15" hidden="false" customHeight="false" outlineLevel="0" collapsed="false">
      <c r="A135" s="4" t="s">
        <v>963</v>
      </c>
      <c r="B135" s="18" t="n">
        <f aca="false">MAX(B121:B130)</f>
        <v>71.8853503184713</v>
      </c>
      <c r="C135" s="18" t="n">
        <f aca="false">MAX(C121:C130)</f>
        <v>71.8025477707006</v>
      </c>
    </row>
    <row r="136" customFormat="false" ht="17.15" hidden="false" customHeight="false" outlineLevel="0" collapsed="false">
      <c r="A136" s="3" t="s">
        <v>964</v>
      </c>
      <c r="B136" s="18" t="n">
        <f aca="false">ROUND(AVERAGE(B131,C131),2)</f>
        <v>20.54</v>
      </c>
    </row>
    <row r="137" customFormat="false" ht="17.15" hidden="false" customHeight="false" outlineLevel="0" collapsed="false">
      <c r="A137" s="3" t="s">
        <v>965</v>
      </c>
      <c r="B137" s="18" t="n">
        <f aca="false">ROUND(AVERAGE(B132,C132),2)</f>
        <v>33.82</v>
      </c>
    </row>
    <row r="138" customFormat="false" ht="17.15" hidden="false" customHeight="false" outlineLevel="0" collapsed="false">
      <c r="A138" s="3" t="s">
        <v>966</v>
      </c>
      <c r="B138" s="18" t="n">
        <f aca="false">ROUND(AVERAGE(B133,C133),2)</f>
        <v>45.08</v>
      </c>
    </row>
    <row r="139" customFormat="false" ht="17.15" hidden="false" customHeight="false" outlineLevel="0" collapsed="false">
      <c r="A139" s="3" t="s">
        <v>967</v>
      </c>
      <c r="B139" s="18" t="n">
        <f aca="false">ROUND(MIN(B134,C134),2)</f>
        <v>15.03</v>
      </c>
    </row>
    <row r="140" customFormat="false" ht="17.15" hidden="false" customHeight="false" outlineLevel="0" collapsed="false">
      <c r="A140" s="3" t="s">
        <v>968</v>
      </c>
      <c r="B140" s="18" t="n">
        <f aca="false">ROUND(MAX(B135,C135),2)</f>
        <v>71.89</v>
      </c>
    </row>
    <row r="142" customFormat="false" ht="17.15" hidden="false" customHeight="false" outlineLevel="0" collapsed="false">
      <c r="A142" s="1" t="s">
        <v>969</v>
      </c>
    </row>
    <row r="143" customFormat="false" ht="17.15" hidden="false" customHeight="false" outlineLevel="0" collapsed="false">
      <c r="A143" s="5" t="s">
        <v>970</v>
      </c>
      <c r="B143" s="5" t="s">
        <v>971</v>
      </c>
      <c r="C143" s="5" t="s">
        <v>972</v>
      </c>
      <c r="D143" s="5" t="s">
        <v>28</v>
      </c>
      <c r="E143" s="5" t="s">
        <v>973</v>
      </c>
      <c r="F143" s="5" t="s">
        <v>912</v>
      </c>
      <c r="G143" s="5" t="s">
        <v>974</v>
      </c>
      <c r="H143" s="5" t="s">
        <v>975</v>
      </c>
    </row>
    <row r="144" customFormat="false" ht="17.15" hidden="false" customHeight="false" outlineLevel="0" collapsed="false">
      <c r="A144" s="4" t="s">
        <v>976</v>
      </c>
      <c r="B144" s="0" t="s">
        <v>977</v>
      </c>
      <c r="C144" s="18" t="n">
        <f aca="false">B136</f>
        <v>20.54</v>
      </c>
      <c r="D144" s="7" t="s">
        <v>978</v>
      </c>
      <c r="E144" s="18" t="n">
        <f aca="false">PL!E14</f>
        <v>6.43867221808258</v>
      </c>
      <c r="F144" s="20" t="n">
        <f aca="false">C144*E144</f>
        <v>132.250327359416</v>
      </c>
      <c r="G144" s="14" t="n">
        <f aca="false">F144/px-1</f>
        <v>-0.421249278546163</v>
      </c>
      <c r="H144" s="18" t="n">
        <f aca="false">px/E144</f>
        <v>35.4902365363848</v>
      </c>
    </row>
    <row r="145" customFormat="false" ht="17.15" hidden="false" customHeight="false" outlineLevel="0" collapsed="false">
      <c r="A145" s="4" t="s">
        <v>979</v>
      </c>
      <c r="B145" s="4" t="s">
        <v>980</v>
      </c>
      <c r="C145" s="18" t="n">
        <f aca="false">B137</f>
        <v>33.82</v>
      </c>
      <c r="D145" s="7" t="s">
        <v>978</v>
      </c>
      <c r="E145" s="18" t="n">
        <f aca="false">PL!E14</f>
        <v>6.43867221808258</v>
      </c>
      <c r="F145" s="20" t="n">
        <f aca="false">C145*E145</f>
        <v>217.755894415553</v>
      </c>
      <c r="G145" s="14" t="n">
        <f aca="false">F145/px-1</f>
        <v>-0.0470618598067792</v>
      </c>
      <c r="H145" s="18" t="n">
        <f aca="false">px/E145</f>
        <v>35.4902365363848</v>
      </c>
    </row>
    <row r="146" customFormat="false" ht="17.15" hidden="false" customHeight="false" outlineLevel="0" collapsed="false">
      <c r="A146" s="4" t="s">
        <v>981</v>
      </c>
      <c r="B146" s="0" t="s">
        <v>982</v>
      </c>
      <c r="C146" s="18" t="n">
        <f aca="false">B138</f>
        <v>45.08</v>
      </c>
      <c r="D146" s="7" t="s">
        <v>978</v>
      </c>
      <c r="E146" s="18" t="n">
        <f aca="false">PL!E14</f>
        <v>6.43867221808258</v>
      </c>
      <c r="F146" s="20" t="n">
        <f aca="false">C146*E146</f>
        <v>290.255343591163</v>
      </c>
      <c r="G146" s="14" t="n">
        <f aca="false">F146/px-1</f>
        <v>0.270208496744837</v>
      </c>
      <c r="H146" s="18" t="n">
        <f aca="false">px/E146</f>
        <v>35.4902365363848</v>
      </c>
    </row>
    <row r="150" customFormat="false" ht="17.15" hidden="false" customHeight="false" outlineLevel="0" collapsed="false">
      <c r="A150" s="4" t="s">
        <v>983</v>
      </c>
      <c r="B150" s="0" t="str">
        <f aca="false">IF(B43&gt;0.5,"大於 50%",IF(B43&gt;0.25,"25%–50%",IF(B43&gt;=0,"0%–25%",IF(B43&gt;=-0.25,"0%～−25%",IF(B43&gt;=-0.5,"−25%～−50%","小於 −50%")))))</f>
        <v>小於 −50%</v>
      </c>
      <c r="E150" s="4" t="s">
        <v>984</v>
      </c>
    </row>
    <row r="151" customFormat="false" ht="17.15" hidden="false" customHeight="false" outlineLevel="0" collapsed="false">
      <c r="A151" s="4" t="s">
        <v>985</v>
      </c>
      <c r="B151" s="0" t="str">
        <f aca="false">IF(B43&gt;0.5,"強力買進",IF(B43&gt;0.25,"買進",IF(B43&gt;=-0.25,"中立",IF(B43&gt;=-0.5,"放空","強力放空"))))</f>
        <v>強力放空</v>
      </c>
      <c r="E151" s="4" t="s">
        <v>986</v>
      </c>
    </row>
    <row r="154" customFormat="false" ht="17.15" hidden="false" customHeight="false" outlineLevel="0" collapsed="false">
      <c r="A154" s="1" t="s">
        <v>987</v>
      </c>
    </row>
    <row r="155" customFormat="false" ht="17.15" hidden="false" customHeight="false" outlineLevel="0" collapsed="false">
      <c r="A155" s="4" t="s">
        <v>988</v>
      </c>
    </row>
    <row r="156" customFormat="false" ht="17.15" hidden="false" customHeight="false" outlineLevel="0" collapsed="false">
      <c r="A156" s="5" t="s">
        <v>989</v>
      </c>
      <c r="B156" s="5" t="s">
        <v>829</v>
      </c>
      <c r="C156" s="5" t="s">
        <v>990</v>
      </c>
      <c r="D156" s="11" t="s">
        <v>991</v>
      </c>
      <c r="E156" s="11" t="s">
        <v>992</v>
      </c>
      <c r="F156" s="11" t="s">
        <v>993</v>
      </c>
      <c r="G156" s="11" t="s">
        <v>994</v>
      </c>
      <c r="H156" s="11" t="s">
        <v>995</v>
      </c>
      <c r="I156" s="11" t="s">
        <v>996</v>
      </c>
      <c r="J156" s="11" t="s">
        <v>997</v>
      </c>
      <c r="K156" s="11" t="s">
        <v>998</v>
      </c>
      <c r="L156" s="11" t="s">
        <v>999</v>
      </c>
      <c r="M156" s="11" t="s">
        <v>1000</v>
      </c>
      <c r="N156" s="5" t="s">
        <v>1001</v>
      </c>
      <c r="O156" s="11" t="s">
        <v>1002</v>
      </c>
      <c r="P156" s="5" t="s">
        <v>1003</v>
      </c>
      <c r="Q156" s="5" t="s">
        <v>832</v>
      </c>
    </row>
    <row r="157" customFormat="false" ht="17.15" hidden="false" customHeight="false" outlineLevel="0" collapsed="false">
      <c r="A157" s="0" t="s">
        <v>1004</v>
      </c>
      <c r="B157" s="0" t="s">
        <v>1005</v>
      </c>
      <c r="C157" s="4" t="s">
        <v>1006</v>
      </c>
      <c r="D157" s="17" t="n">
        <v>15.149</v>
      </c>
      <c r="E157" s="17" t="n">
        <v>15.2585</v>
      </c>
      <c r="F157" s="17" t="n">
        <v>23.416</v>
      </c>
      <c r="G157" s="17" t="n">
        <v>29.4115</v>
      </c>
      <c r="H157" s="17" t="n">
        <v>35.586</v>
      </c>
      <c r="I157" s="17" t="n">
        <v>23.5535</v>
      </c>
      <c r="J157" s="17" t="n">
        <v>24.969</v>
      </c>
      <c r="K157" s="17" t="n">
        <v>35.5045</v>
      </c>
      <c r="L157" s="17" t="n">
        <v>25.813</v>
      </c>
      <c r="M157" s="17" t="n">
        <v>36.897</v>
      </c>
      <c r="N157" s="7" t="n">
        <f aca="false">COUNT(D157:M157)</f>
        <v>10</v>
      </c>
      <c r="O157" s="18" t="n">
        <f aca="false">IF(N157&gt;0,MEDIAN(D157:M157),"")</f>
        <v>25.391</v>
      </c>
      <c r="P157" s="18" t="n">
        <f aca="false">IF(N157&gt;=7,O157,"")</f>
        <v>25.391</v>
      </c>
      <c r="Q157" s="7" t="s">
        <v>1007</v>
      </c>
    </row>
    <row r="158" customFormat="false" ht="17.15" hidden="false" customHeight="false" outlineLevel="0" collapsed="false">
      <c r="A158" s="0" t="s">
        <v>833</v>
      </c>
      <c r="B158" s="0" t="s">
        <v>834</v>
      </c>
      <c r="C158" s="4" t="s">
        <v>1008</v>
      </c>
      <c r="D158" s="17" t="n">
        <v>14.324</v>
      </c>
      <c r="E158" s="17" t="n">
        <v>11.8025</v>
      </c>
      <c r="F158" s="17" t="n">
        <v>12.0165</v>
      </c>
      <c r="G158" s="17" t="n">
        <v>13.4005</v>
      </c>
      <c r="H158" s="17" t="n">
        <v>16.6275</v>
      </c>
      <c r="I158" s="17" t="n">
        <v>14.926</v>
      </c>
      <c r="J158" s="17" t="n">
        <v>16.6365</v>
      </c>
      <c r="K158" s="17" t="n">
        <v>26.099</v>
      </c>
      <c r="L158" s="17" t="n">
        <v>34.256</v>
      </c>
      <c r="M158" s="17" t="n">
        <v>25.1125</v>
      </c>
      <c r="N158" s="7" t="n">
        <f aca="false">COUNT(D158:M158)</f>
        <v>10</v>
      </c>
      <c r="O158" s="18" t="n">
        <f aca="false">IF(N158&gt;0,MEDIAN(D158:M158),"")</f>
        <v>15.77675</v>
      </c>
      <c r="P158" s="18" t="n">
        <f aca="false">IF(N158&gt;=7,O158,"")</f>
        <v>15.77675</v>
      </c>
      <c r="Q158" s="7" t="s">
        <v>1009</v>
      </c>
    </row>
    <row r="159" customFormat="false" ht="17.15" hidden="false" customHeight="false" outlineLevel="0" collapsed="false">
      <c r="A159" s="0" t="s">
        <v>838</v>
      </c>
      <c r="B159" s="0" t="s">
        <v>839</v>
      </c>
      <c r="C159" s="4" t="s">
        <v>1008</v>
      </c>
      <c r="D159" s="17" t="n">
        <v>36.406</v>
      </c>
      <c r="E159" s="17" t="n">
        <v>32.434</v>
      </c>
      <c r="F159" s="17" t="n">
        <v>27.088</v>
      </c>
      <c r="G159" s="17" t="n">
        <v>39.8175</v>
      </c>
      <c r="H159" s="17" t="n">
        <v>45.9255</v>
      </c>
      <c r="I159" s="17" t="n">
        <v>33.9085</v>
      </c>
      <c r="J159" s="17" t="n">
        <v>45.874</v>
      </c>
      <c r="K159" s="17" t="n">
        <v>33.732</v>
      </c>
      <c r="L159" s="17" t="n">
        <v>31.3375</v>
      </c>
      <c r="M159" s="17" t="n">
        <v>20.4225</v>
      </c>
      <c r="N159" s="7" t="n">
        <f aca="false">COUNT(D159:M159)</f>
        <v>10</v>
      </c>
      <c r="O159" s="18" t="n">
        <f aca="false">IF(N159&gt;0,MEDIAN(D159:M159),"")</f>
        <v>33.82025</v>
      </c>
      <c r="P159" s="18" t="n">
        <f aca="false">IF(N159&gt;=7,O159,"")</f>
        <v>33.82025</v>
      </c>
      <c r="Q159" s="7" t="s">
        <v>1010</v>
      </c>
    </row>
    <row r="160" customFormat="false" ht="17.15" hidden="false" customHeight="false" outlineLevel="0" collapsed="false">
      <c r="A160" s="0" t="s">
        <v>841</v>
      </c>
      <c r="B160" s="0" t="s">
        <v>841</v>
      </c>
      <c r="C160" s="4" t="s">
        <v>1008</v>
      </c>
      <c r="D160" s="17" t="n">
        <v>67.164</v>
      </c>
      <c r="E160" s="17" t="n">
        <v>30.236</v>
      </c>
      <c r="F160" s="17" t="n">
        <v>34.807</v>
      </c>
      <c r="G160" s="17" t="n">
        <v>42.762</v>
      </c>
      <c r="H160" s="17" t="n">
        <v>38.533</v>
      </c>
      <c r="I160" s="17" t="n">
        <v>21.509</v>
      </c>
      <c r="J160" s="17" t="n">
        <v>26.518</v>
      </c>
      <c r="K160" s="17" t="n">
        <v>36.7975</v>
      </c>
      <c r="L160" s="17" t="n">
        <v>25.938</v>
      </c>
      <c r="M160" s="17" t="n">
        <v>38.5445</v>
      </c>
      <c r="N160" s="7" t="n">
        <f aca="false">COUNT(D160:M160)</f>
        <v>10</v>
      </c>
      <c r="O160" s="18" t="n">
        <f aca="false">IF(N160&gt;0,MEDIAN(D160:M160),"")</f>
        <v>35.80225</v>
      </c>
      <c r="P160" s="18" t="n">
        <f aca="false">IF(N160&gt;=7,O160,"")</f>
        <v>35.80225</v>
      </c>
      <c r="Q160" s="7" t="s">
        <v>1011</v>
      </c>
    </row>
    <row r="161" customFormat="false" ht="17.15" hidden="false" customHeight="false" outlineLevel="0" collapsed="false">
      <c r="A161" s="0" t="s">
        <v>842</v>
      </c>
      <c r="B161" s="0" t="s">
        <v>843</v>
      </c>
      <c r="C161" s="4" t="s">
        <v>1008</v>
      </c>
      <c r="K161" s="17" t="n">
        <v>87.118</v>
      </c>
      <c r="L161" s="17" t="n">
        <v>90.0335</v>
      </c>
      <c r="M161" s="17" t="n">
        <v>65.9275</v>
      </c>
      <c r="N161" s="7" t="n">
        <f aca="false">COUNT(D161:M161)</f>
        <v>3</v>
      </c>
      <c r="O161" s="18" t="n">
        <f aca="false">IF(N161&gt;0,MEDIAN(D161:M161),"")</f>
        <v>87.118</v>
      </c>
      <c r="P161" s="18" t="str">
        <f aca="false">IF(N161&gt;=7,O161,"")</f>
        <v/>
      </c>
      <c r="Q161" s="7" t="s">
        <v>1012</v>
      </c>
    </row>
    <row r="162" customFormat="false" ht="17.15" hidden="false" customHeight="false" outlineLevel="0" collapsed="false">
      <c r="A162" s="0" t="s">
        <v>844</v>
      </c>
      <c r="B162" s="0" t="s">
        <v>845</v>
      </c>
      <c r="C162" s="4" t="s">
        <v>1008</v>
      </c>
      <c r="I162" s="17" t="n">
        <v>59.289</v>
      </c>
      <c r="J162" s="17" t="n">
        <v>66.363</v>
      </c>
      <c r="K162" s="17" t="n">
        <v>70.005</v>
      </c>
      <c r="L162" s="17" t="n">
        <v>64.678</v>
      </c>
      <c r="M162" s="17" t="n">
        <v>32.985</v>
      </c>
      <c r="N162" s="7" t="n">
        <f aca="false">COUNT(D162:M162)</f>
        <v>5</v>
      </c>
      <c r="O162" s="18" t="n">
        <f aca="false">IF(N162&gt;0,MEDIAN(D162:M162),"")</f>
        <v>64.678</v>
      </c>
      <c r="P162" s="18" t="str">
        <f aca="false">IF(N162&gt;=7,O162,"")</f>
        <v/>
      </c>
      <c r="Q162" s="7" t="s">
        <v>1013</v>
      </c>
    </row>
    <row r="164" customFormat="false" ht="17.15" hidden="false" customHeight="false" outlineLevel="0" collapsed="false">
      <c r="A164" s="4" t="s">
        <v>1014</v>
      </c>
      <c r="B164" s="18" t="n">
        <f aca="false">P157</f>
        <v>25.391</v>
      </c>
      <c r="E164" s="4" t="s">
        <v>1015</v>
      </c>
    </row>
    <row r="165" customFormat="false" ht="15" hidden="false" customHeight="false" outlineLevel="0" collapsed="false">
      <c r="A165" s="4" t="s">
        <v>1016</v>
      </c>
      <c r="B165" s="23" t="n">
        <f aca="false">COUNT(P158:P162)</f>
        <v>3</v>
      </c>
    </row>
    <row r="166" customFormat="false" ht="17.15" hidden="false" customHeight="false" outlineLevel="0" collapsed="false">
      <c r="A166" s="4" t="s">
        <v>1017</v>
      </c>
      <c r="B166" s="18" t="n">
        <f aca="false">IF(B165&gt;0,MEDIAN(P158:P162),"")</f>
        <v>33.82025</v>
      </c>
    </row>
    <row r="167" customFormat="false" ht="17.15" hidden="false" customHeight="false" outlineLevel="0" collapsed="false">
      <c r="A167" s="4" t="s">
        <v>1018</v>
      </c>
      <c r="B167" s="18" t="n">
        <f aca="false">IF(AND(ISNUMBER(B164),B165&gt;=2),B164/B166,"")</f>
        <v>0.750763226173668</v>
      </c>
      <c r="E167" s="4" t="s">
        <v>1019</v>
      </c>
    </row>
    <row r="168" customFormat="false" ht="17.15" hidden="false" customHeight="false" outlineLevel="0" collapsed="false">
      <c r="A168" s="4" t="s">
        <v>1020</v>
      </c>
      <c r="B168" s="17" t="n">
        <v>0.5</v>
      </c>
      <c r="E168" s="7" t="s">
        <v>1021</v>
      </c>
    </row>
    <row r="169" customFormat="false" ht="17.15" hidden="false" customHeight="false" outlineLevel="0" collapsed="false">
      <c r="A169" s="4" t="s">
        <v>1022</v>
      </c>
      <c r="B169" s="17" t="n">
        <v>2</v>
      </c>
      <c r="E169" s="7" t="s">
        <v>1023</v>
      </c>
    </row>
    <row r="170" customFormat="false" ht="17.15" hidden="false" customHeight="false" outlineLevel="0" collapsed="false">
      <c r="A170" s="3" t="s">
        <v>1024</v>
      </c>
      <c r="B170" s="34" t="n">
        <f aca="false">IF(ISNUMBER(B167),MIN(MAX(B167,B168),B169),1)</f>
        <v>0.750763226173668</v>
      </c>
      <c r="E170" s="4" t="s">
        <v>1025</v>
      </c>
    </row>
    <row r="171" customFormat="false" ht="17.15" hidden="false" customHeight="false" outlineLevel="0" collapsed="false">
      <c r="A171" s="1" t="s">
        <v>1026</v>
      </c>
      <c r="B171" s="28" t="n">
        <f aca="false">Val!$B$36*B170</f>
        <v>104.185578928409</v>
      </c>
      <c r="E171" s="4" t="s">
        <v>1027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1028</v>
      </c>
    </row>
    <row r="3" customFormat="false" ht="17.15" hidden="false" customHeight="false" outlineLevel="0" collapsed="false">
      <c r="A3" s="5" t="s">
        <v>25</v>
      </c>
      <c r="B3" s="5" t="s">
        <v>1029</v>
      </c>
      <c r="C3" s="5" t="s">
        <v>1030</v>
      </c>
      <c r="D3" s="5" t="s">
        <v>1031</v>
      </c>
      <c r="E3" s="5" t="s">
        <v>1032</v>
      </c>
      <c r="F3" s="5" t="s">
        <v>1033</v>
      </c>
      <c r="G3" s="5" t="s">
        <v>1034</v>
      </c>
      <c r="H3" s="5" t="s">
        <v>1035</v>
      </c>
      <c r="I3" s="5" t="s">
        <v>1036</v>
      </c>
      <c r="J3" s="5" t="s">
        <v>555</v>
      </c>
    </row>
    <row r="4" customFormat="false" ht="17.15" hidden="false" customHeight="false" outlineLevel="0" collapsed="false">
      <c r="A4" s="1" t="s">
        <v>1037</v>
      </c>
    </row>
    <row r="5" customFormat="false" ht="17.15" hidden="false" customHeight="false" outlineLevel="0" collapsed="false">
      <c r="A5" s="0" t="s">
        <v>1038</v>
      </c>
      <c r="B5" s="20" t="n">
        <f aca="false">co_rev27</f>
        <v>12</v>
      </c>
      <c r="C5" s="20" t="n">
        <f aca="false">PL!D121</f>
        <v>12</v>
      </c>
      <c r="D5" s="14" t="n">
        <f aca="false">C5/B5-1</f>
        <v>0</v>
      </c>
      <c r="E5" s="20" t="n">
        <f aca="false">PL!D193</f>
        <v>12</v>
      </c>
      <c r="F5" s="14" t="n">
        <f aca="false">E5/B5-1</f>
        <v>0</v>
      </c>
      <c r="G5" s="20" t="n">
        <f aca="false">PL!D265</f>
        <v>12</v>
      </c>
      <c r="H5" s="14" t="n">
        <f aca="false">G5/B5-1</f>
        <v>0</v>
      </c>
      <c r="I5" s="4" t="s">
        <v>1039</v>
      </c>
      <c r="J5" s="4" t="s">
        <v>1040</v>
      </c>
    </row>
    <row r="6" customFormat="false" ht="17.15" hidden="false" customHeight="false" outlineLevel="0" collapsed="false">
      <c r="A6" s="0" t="s">
        <v>1041</v>
      </c>
      <c r="B6" s="20" t="n">
        <f aca="false">co_rev28</f>
        <v>20</v>
      </c>
      <c r="C6" s="20" t="n">
        <f aca="false">PL!E121</f>
        <v>18.3462057892484</v>
      </c>
      <c r="D6" s="14" t="n">
        <f aca="false">C6/B6-1</f>
        <v>-0.0826897105375792</v>
      </c>
      <c r="E6" s="20" t="n">
        <f aca="false">PL!E193</f>
        <v>18.5087235252006</v>
      </c>
      <c r="F6" s="14" t="n">
        <f aca="false">E6/B6-1</f>
        <v>-0.0745638237399688</v>
      </c>
      <c r="G6" s="20" t="n">
        <f aca="false">PL!E265</f>
        <v>18.5899823931767</v>
      </c>
      <c r="H6" s="14" t="n">
        <f aca="false">G6/B6-1</f>
        <v>-0.0705008803411633</v>
      </c>
      <c r="I6" s="4" t="s">
        <v>1042</v>
      </c>
      <c r="J6" s="4" t="s">
        <v>1043</v>
      </c>
    </row>
    <row r="7" customFormat="false" ht="17.15" hidden="false" customHeight="false" outlineLevel="0" collapsed="false">
      <c r="A7" s="0" t="s">
        <v>1044</v>
      </c>
      <c r="B7" s="20" t="n">
        <f aca="false">co_dc28</f>
        <v>18</v>
      </c>
      <c r="C7" s="20" t="n">
        <f aca="false">PL!E118</f>
        <v>16.0395001892484</v>
      </c>
      <c r="D7" s="14" t="n">
        <f aca="false">C7/B7-1</f>
        <v>-0.108916656152866</v>
      </c>
      <c r="E7" s="20" t="n">
        <f aca="false">PL!E190</f>
        <v>16.2020179252006</v>
      </c>
      <c r="F7" s="14" t="n">
        <f aca="false">E7/B7-1</f>
        <v>-0.0998878930444097</v>
      </c>
      <c r="G7" s="20" t="n">
        <f aca="false">PL!E262</f>
        <v>16.2832767931767</v>
      </c>
      <c r="H7" s="14" t="n">
        <f aca="false">G7/B7-1</f>
        <v>-0.0953735114901816</v>
      </c>
      <c r="I7" s="7" t="s">
        <v>1045</v>
      </c>
    </row>
    <row r="8" customFormat="false" ht="17.15" hidden="false" customHeight="false" outlineLevel="0" collapsed="false">
      <c r="A8" s="0" t="s">
        <v>1046</v>
      </c>
      <c r="B8" s="20" t="n">
        <f aca="false">2*a27_cus</f>
        <v>3.75</v>
      </c>
      <c r="C8" s="20" t="n">
        <f aca="false">PL!E102</f>
        <v>4.72328273151827</v>
      </c>
      <c r="D8" s="14" t="n">
        <f aca="false">C8/B8-1</f>
        <v>0.259542061738206</v>
      </c>
      <c r="E8" s="20" t="n">
        <f aca="false">PL!E174</f>
        <v>4.72328273151827</v>
      </c>
      <c r="F8" s="14" t="n">
        <f aca="false">E8/B8-1</f>
        <v>0.259542061738206</v>
      </c>
      <c r="G8" s="20" t="n">
        <f aca="false">PL!E246</f>
        <v>4.72328273151827</v>
      </c>
      <c r="H8" s="14" t="n">
        <f aca="false">G8/B8-1</f>
        <v>0.259542061738206</v>
      </c>
      <c r="I8" s="4" t="s">
        <v>1039</v>
      </c>
    </row>
    <row r="9" customFormat="false" ht="17.15" hidden="false" customHeight="false" outlineLevel="0" collapsed="false">
      <c r="A9" s="0" t="s">
        <v>1047</v>
      </c>
      <c r="B9" s="20" t="n">
        <f aca="false">co_cus29</f>
        <v>12</v>
      </c>
      <c r="C9" s="20" t="n">
        <f aca="false">PL!F102</f>
        <v>13.2757992804346</v>
      </c>
      <c r="D9" s="14" t="n">
        <f aca="false">C9/B9-1</f>
        <v>0.106316606702881</v>
      </c>
      <c r="E9" s="20" t="n">
        <f aca="false">PL!F174</f>
        <v>9.42859520580007</v>
      </c>
      <c r="F9" s="14" t="n">
        <f aca="false">E9/B9-1</f>
        <v>-0.214283732849994</v>
      </c>
      <c r="G9" s="20" t="n">
        <f aca="false">PL!F246</f>
        <v>6.68828933410261</v>
      </c>
      <c r="H9" s="14" t="n">
        <f aca="false">G9/B9-1</f>
        <v>-0.442642555491449</v>
      </c>
      <c r="I9" s="4" t="s">
        <v>1042</v>
      </c>
      <c r="J9" s="4" t="s">
        <v>1048</v>
      </c>
    </row>
    <row r="10" customFormat="false" ht="17.15" hidden="false" customHeight="false" outlineLevel="0" collapsed="false">
      <c r="A10" s="0" t="s">
        <v>1049</v>
      </c>
      <c r="B10" s="18" t="n">
        <f aca="false">co_eps28</f>
        <v>5</v>
      </c>
      <c r="C10" s="18" t="n">
        <f aca="false">PL!E138</f>
        <v>6.43867221808258</v>
      </c>
      <c r="D10" s="14" t="n">
        <f aca="false">C10/B10-1</f>
        <v>0.287734443616516</v>
      </c>
      <c r="E10" s="18" t="n">
        <f aca="false">PL!E210</f>
        <v>6.51919106937544</v>
      </c>
      <c r="F10" s="14" t="n">
        <f aca="false">E10/B10-1</f>
        <v>0.303838213875088</v>
      </c>
      <c r="G10" s="18" t="n">
        <f aca="false">PL!E282</f>
        <v>6.55945049502187</v>
      </c>
      <c r="H10" s="14" t="n">
        <f aca="false">G10/B10-1</f>
        <v>0.311890099004374</v>
      </c>
      <c r="I10" s="7" t="s">
        <v>1050</v>
      </c>
    </row>
    <row r="11" customFormat="false" ht="17.15" hidden="false" customHeight="false" outlineLevel="0" collapsed="false">
      <c r="A11" s="1" t="s">
        <v>1051</v>
      </c>
    </row>
    <row r="12" customFormat="false" ht="17.15" hidden="false" customHeight="false" outlineLevel="0" collapsed="false">
      <c r="A12" s="0" t="s">
        <v>1052</v>
      </c>
      <c r="C12" s="18" t="n">
        <f aca="false">(co_rev28-PL!E119)/PL!E118</f>
        <v>1.10310759008938</v>
      </c>
      <c r="E12" s="18" t="n">
        <f aca="false">(co_rev28-PL!E191)/PL!E190</f>
        <v>1.09204263824939</v>
      </c>
      <c r="G12" s="18" t="n">
        <f aca="false">(co_rev28-PL!E263)/PL!E262</f>
        <v>1.08659298891327</v>
      </c>
      <c r="I12" s="7" t="s">
        <v>170</v>
      </c>
      <c r="J12" s="4" t="s">
        <v>1053</v>
      </c>
    </row>
    <row r="13" customFormat="false" ht="17.15" hidden="false" customHeight="false" outlineLevel="0" collapsed="false">
      <c r="A13" s="0" t="s">
        <v>1054</v>
      </c>
      <c r="C13" s="20" t="n">
        <f aca="false">co_rev28-PL!E121</f>
        <v>1.65379421075158</v>
      </c>
      <c r="E13" s="20" t="n">
        <f aca="false">co_rev28-PL!E193</f>
        <v>1.49127647479938</v>
      </c>
      <c r="G13" s="20" t="n">
        <f aca="false">co_rev28-PL!E265</f>
        <v>1.41001760682327</v>
      </c>
      <c r="I13" s="7" t="s">
        <v>170</v>
      </c>
      <c r="J13" s="4" t="s">
        <v>1055</v>
      </c>
    </row>
    <row r="14" customFormat="false" ht="17.15" hidden="false" customHeight="false" outlineLevel="0" collapsed="false">
      <c r="A14" s="0" t="s">
        <v>1056</v>
      </c>
      <c r="C14" s="18" t="n">
        <f aca="false">(co_rev28-PL!E121+PL!E102)/PL!E102</f>
        <v>1.35013661149604</v>
      </c>
      <c r="E14" s="18" t="n">
        <f aca="false">(co_rev28-PL!E193+PL!E174)/PL!E174</f>
        <v>1.31572881818997</v>
      </c>
      <c r="G14" s="18" t="n">
        <f aca="false">(co_rev28-PL!E265+PL!E246)/PL!E246</f>
        <v>1.29852492153694</v>
      </c>
      <c r="I14" s="7" t="s">
        <v>170</v>
      </c>
    </row>
    <row r="15" customFormat="false" ht="17.15" hidden="false" customHeight="false" outlineLevel="0" collapsed="false">
      <c r="A15" s="1" t="s">
        <v>1057</v>
      </c>
    </row>
    <row r="16" customFormat="false" ht="17.15" hidden="false" customHeight="false" outlineLevel="0" collapsed="false">
      <c r="A16" s="0" t="s">
        <v>1058</v>
      </c>
      <c r="B16" s="20" t="n">
        <f aca="false">cons_rev27</f>
        <v>12.07</v>
      </c>
      <c r="C16" s="20" t="n">
        <f aca="false">PL!D121</f>
        <v>12</v>
      </c>
      <c r="D16" s="14" t="n">
        <f aca="false">C16/B16-1</f>
        <v>-0.00579950289975151</v>
      </c>
      <c r="E16" s="20" t="n">
        <f aca="false">PL!D193</f>
        <v>12</v>
      </c>
      <c r="F16" s="14" t="n">
        <f aca="false">E16/B16-1</f>
        <v>-0.00579950289975151</v>
      </c>
      <c r="G16" s="20" t="n">
        <f aca="false">PL!D265</f>
        <v>12</v>
      </c>
      <c r="H16" s="14" t="n">
        <f aca="false">G16/B16-1</f>
        <v>-0.00579950289975151</v>
      </c>
      <c r="I16" s="7" t="s">
        <v>1059</v>
      </c>
      <c r="J16" s="4" t="s">
        <v>1060</v>
      </c>
    </row>
    <row r="17" customFormat="false" ht="17.15" hidden="false" customHeight="false" outlineLevel="0" collapsed="false">
      <c r="A17" s="0" t="s">
        <v>1061</v>
      </c>
      <c r="B17" s="18" t="n">
        <f aca="false">cons_eps27</f>
        <v>4.22</v>
      </c>
      <c r="C17" s="18" t="n">
        <f aca="false">PL!D138</f>
        <v>4.19583224149706</v>
      </c>
      <c r="D17" s="14" t="n">
        <f aca="false">C17/B17-1</f>
        <v>-0.00572695699121739</v>
      </c>
      <c r="E17" s="18" t="n">
        <f aca="false">PL!D210</f>
        <v>4.19583224149706</v>
      </c>
      <c r="F17" s="14" t="n">
        <f aca="false">E17/B17-1</f>
        <v>-0.00572695699121739</v>
      </c>
      <c r="G17" s="18" t="n">
        <f aca="false">PL!D282</f>
        <v>4.19583224149706</v>
      </c>
      <c r="H17" s="14" t="n">
        <f aca="false">G17/B17-1</f>
        <v>-0.00572695699121739</v>
      </c>
      <c r="I17" s="7" t="s">
        <v>1059</v>
      </c>
      <c r="J17" s="4" t="s">
        <v>1062</v>
      </c>
    </row>
    <row r="18" customFormat="false" ht="17.15" hidden="false" customHeight="false" outlineLevel="0" collapsed="false">
      <c r="A18" s="0" t="s">
        <v>1063</v>
      </c>
      <c r="B18" s="20" t="n">
        <f aca="false">cons_rev28</f>
        <v>19.71</v>
      </c>
      <c r="C18" s="20" t="n">
        <f aca="false">PL!E121</f>
        <v>18.3462057892484</v>
      </c>
      <c r="D18" s="14" t="n">
        <f aca="false">C18/B18-1</f>
        <v>-0.0691930091705523</v>
      </c>
      <c r="E18" s="20" t="n">
        <f aca="false">PL!E193</f>
        <v>18.5087235252006</v>
      </c>
      <c r="F18" s="14" t="n">
        <f aca="false">E18/B18-1</f>
        <v>-0.0609475634094053</v>
      </c>
      <c r="G18" s="20" t="n">
        <f aca="false">PL!E265</f>
        <v>18.5899823931767</v>
      </c>
      <c r="H18" s="14" t="n">
        <f aca="false">G18/B18-1</f>
        <v>-0.0568248405288314</v>
      </c>
      <c r="I18" s="7" t="s">
        <v>1059</v>
      </c>
    </row>
    <row r="19" customFormat="false" ht="17.15" hidden="false" customHeight="false" outlineLevel="0" collapsed="false">
      <c r="A19" s="0" t="s">
        <v>1064</v>
      </c>
      <c r="B19" s="18" t="n">
        <f aca="false">cons_eps28</f>
        <v>7.33</v>
      </c>
      <c r="C19" s="18" t="n">
        <f aca="false">PL!E138</f>
        <v>6.43867221808258</v>
      </c>
      <c r="D19" s="14" t="n">
        <f aca="false">C19/B19-1</f>
        <v>-0.121599970247943</v>
      </c>
      <c r="E19" s="18" t="n">
        <f aca="false">PL!E210</f>
        <v>6.51919106937544</v>
      </c>
      <c r="F19" s="14" t="n">
        <f aca="false">E19/B19-1</f>
        <v>-0.110615133782341</v>
      </c>
      <c r="G19" s="18" t="n">
        <f aca="false">PL!E282</f>
        <v>6.55945049502187</v>
      </c>
      <c r="H19" s="14" t="n">
        <f aca="false">G19/B19-1</f>
        <v>-0.10512271554954</v>
      </c>
      <c r="I19" s="7" t="s">
        <v>1059</v>
      </c>
      <c r="J19" s="4" t="s">
        <v>1065</v>
      </c>
    </row>
    <row r="20" customFormat="false" ht="17.15" hidden="false" customHeight="false" outlineLevel="0" collapsed="false">
      <c r="A20" s="0" t="s">
        <v>1066</v>
      </c>
      <c r="B20" s="14" t="n">
        <f aca="false">(cons_eps28*PL!E137/(1-tx_f)+int_f+PL!E131)/cons_rev28</f>
        <v>0.564334166033559</v>
      </c>
      <c r="C20" s="14" t="n">
        <f aca="false">PL!E128</f>
        <v>0.554925619337774</v>
      </c>
      <c r="D20" s="14" t="n">
        <f aca="false">C20-B20</f>
        <v>-0.00940854669578428</v>
      </c>
      <c r="E20" s="14" t="n">
        <f aca="false">PL!E200</f>
        <v>0.555584817599428</v>
      </c>
      <c r="F20" s="14" t="n">
        <f aca="false">E20-B20</f>
        <v>-0.00874934843413056</v>
      </c>
      <c r="G20" s="14" t="n">
        <f aca="false">PL!E272</f>
        <v>0.555910094587551</v>
      </c>
      <c r="H20" s="14" t="n">
        <f aca="false">G20-B20</f>
        <v>-0.00842407144600799</v>
      </c>
      <c r="I20" s="4" t="s">
        <v>1067</v>
      </c>
      <c r="J20" s="4" t="s">
        <v>1068</v>
      </c>
    </row>
    <row r="21" customFormat="false" ht="17.15" hidden="false" customHeight="false" outlineLevel="0" collapsed="false">
      <c r="A21" s="1" t="s">
        <v>1069</v>
      </c>
    </row>
    <row r="22" customFormat="false" ht="17.15" hidden="false" customHeight="false" outlineLevel="0" collapsed="false">
      <c r="A22" s="0" t="s">
        <v>1070</v>
      </c>
      <c r="B22" s="14" t="n">
        <f aca="false">co_icg27</f>
        <v>0.7</v>
      </c>
      <c r="C22" s="14" t="n">
        <f aca="false">Q!G14</f>
        <v>0.768825899197172</v>
      </c>
      <c r="D22" s="14" t="n">
        <f aca="false">C22-B22</f>
        <v>0.0688258991971715</v>
      </c>
      <c r="E22" s="14" t="n">
        <f aca="false">Q!G14</f>
        <v>0.768825899197172</v>
      </c>
      <c r="F22" s="14" t="n">
        <f aca="false">E22-B22</f>
        <v>0.0688258991971715</v>
      </c>
      <c r="G22" s="14" t="n">
        <f aca="false">Q!G14</f>
        <v>0.768825899197172</v>
      </c>
      <c r="H22" s="14" t="n">
        <f aca="false">G22-B22</f>
        <v>0.0688258991971715</v>
      </c>
      <c r="I22" s="4" t="s">
        <v>1071</v>
      </c>
      <c r="J22" s="4" t="s">
        <v>1072</v>
      </c>
    </row>
    <row r="23" customFormat="false" ht="17.15" hidden="false" customHeight="false" outlineLevel="0" collapsed="false">
      <c r="A23" s="0" t="s">
        <v>1073</v>
      </c>
      <c r="B23" s="14" t="n">
        <f aca="false">co_dcg27</f>
        <v>0.6</v>
      </c>
      <c r="C23" s="14" t="n">
        <f aca="false">Q!B35</f>
        <v>0.6</v>
      </c>
      <c r="D23" s="14" t="n">
        <f aca="false">C23-B23</f>
        <v>0</v>
      </c>
      <c r="E23" s="14" t="n">
        <f aca="false">Q!B35</f>
        <v>0.6</v>
      </c>
      <c r="F23" s="14" t="n">
        <f aca="false">E23-B23</f>
        <v>0</v>
      </c>
      <c r="G23" s="14" t="n">
        <f aca="false">Q!B35</f>
        <v>0.6</v>
      </c>
      <c r="H23" s="14" t="n">
        <f aca="false">G23-B23</f>
        <v>0</v>
      </c>
      <c r="I23" s="4" t="s">
        <v>1039</v>
      </c>
      <c r="J23" s="4" t="s">
        <v>1074</v>
      </c>
    </row>
    <row r="24" customFormat="false" ht="17.15" hidden="false" customHeight="false" outlineLevel="0" collapsed="false">
      <c r="A24" s="0" t="s">
        <v>1075</v>
      </c>
      <c r="C24" s="14" t="n">
        <f aca="false">Units!C27</f>
        <v>1.09961073127266</v>
      </c>
      <c r="E24" s="14" t="n">
        <f aca="false">Units!C27</f>
        <v>1.09961073127266</v>
      </c>
      <c r="G24" s="14" t="n">
        <f aca="false">Units!C27</f>
        <v>1.09961073127266</v>
      </c>
      <c r="I24" s="7" t="s">
        <v>170</v>
      </c>
      <c r="J24" s="4" t="s">
        <v>1076</v>
      </c>
    </row>
    <row r="25" customFormat="false" ht="17.15" hidden="false" customHeight="false" outlineLevel="0" collapsed="false">
      <c r="A25" s="0" t="s">
        <v>1077</v>
      </c>
      <c r="B25" s="20" t="n">
        <f aca="false">rep_opt26</f>
        <v>26</v>
      </c>
      <c r="C25" s="20" t="n">
        <f aca="false">plug_26</f>
        <v>29.753262</v>
      </c>
      <c r="D25" s="14" t="n">
        <f aca="false">C25/B25-1</f>
        <v>0.144356230769231</v>
      </c>
      <c r="E25" s="20" t="n">
        <f aca="false">plug_26</f>
        <v>29.753262</v>
      </c>
      <c r="F25" s="14" t="n">
        <f aca="false">E25/B25-1</f>
        <v>0.144356230769231</v>
      </c>
      <c r="G25" s="20" t="n">
        <f aca="false">plug_26</f>
        <v>29.753262</v>
      </c>
      <c r="H25" s="14" t="n">
        <f aca="false">G25/B25-1</f>
        <v>0.144356230769231</v>
      </c>
      <c r="I25" s="7" t="s">
        <v>1078</v>
      </c>
    </row>
    <row r="26" customFormat="false" ht="17.15" hidden="false" customHeight="false" outlineLevel="0" collapsed="false">
      <c r="A26" s="0" t="s">
        <v>1079</v>
      </c>
      <c r="C26" s="14" t="n">
        <f aca="false">PL!E102/PL!E118</f>
        <v>0.294478174244131</v>
      </c>
      <c r="E26" s="14" t="n">
        <f aca="false">PL!E174/PL!E190</f>
        <v>0.291524349209099</v>
      </c>
      <c r="G26" s="14" t="n">
        <f aca="false">PL!E246/PL!E262</f>
        <v>0.290069547518685</v>
      </c>
      <c r="I26" s="7" t="s">
        <v>170</v>
      </c>
      <c r="J26" s="4" t="s">
        <v>1080</v>
      </c>
    </row>
    <row r="27" customFormat="false" ht="17.15" hidden="false" customHeight="false" outlineLevel="0" collapsed="false">
      <c r="A27" s="1" t="s">
        <v>1081</v>
      </c>
    </row>
    <row r="28" customFormat="false" ht="17.15" hidden="false" customHeight="false" outlineLevel="0" collapsed="false">
      <c r="A28" s="0" t="s">
        <v>1082</v>
      </c>
      <c r="C28" s="16" t="n">
        <f aca="false">PL!D96</f>
        <v>0.802843426481314</v>
      </c>
      <c r="E28" s="16" t="n">
        <f aca="false">PL!D168</f>
        <v>0.802843426481314</v>
      </c>
      <c r="G28" s="16" t="n">
        <f aca="false">PL!D240</f>
        <v>0.802843426481314</v>
      </c>
      <c r="I28" s="7" t="s">
        <v>1083</v>
      </c>
      <c r="J28" s="4" t="s">
        <v>1084</v>
      </c>
    </row>
    <row r="29" customFormat="false" ht="17.15" hidden="false" customHeight="false" outlineLevel="0" collapsed="false">
      <c r="A29" s="0" t="s">
        <v>1085</v>
      </c>
      <c r="C29" s="16" t="n">
        <f aca="false">PL!D112</f>
        <v>1.44223430888795</v>
      </c>
      <c r="E29" s="16" t="n">
        <f aca="false">PL!D184</f>
        <v>1.44223430888795</v>
      </c>
      <c r="G29" s="16" t="n">
        <f aca="false">PL!D256</f>
        <v>1.44223430888795</v>
      </c>
      <c r="I29" s="4" t="s">
        <v>1086</v>
      </c>
      <c r="J29" s="4" t="s">
        <v>1087</v>
      </c>
    </row>
    <row r="30" customFormat="false" ht="17.15" hidden="false" customHeight="false" outlineLevel="0" collapsed="false">
      <c r="A30" s="0" t="s">
        <v>1088</v>
      </c>
      <c r="C30" s="14" t="n">
        <f aca="false">PL!D126</f>
        <v>0.435994625937743</v>
      </c>
      <c r="E30" s="14" t="n">
        <f aca="false">PL!D198</f>
        <v>0.435994625937743</v>
      </c>
      <c r="G30" s="14" t="n">
        <f aca="false">PL!D270</f>
        <v>0.435994625937743</v>
      </c>
      <c r="I30" s="7" t="s">
        <v>1089</v>
      </c>
      <c r="J30" s="4" t="s">
        <v>1090</v>
      </c>
    </row>
    <row r="31" customFormat="false" ht="17.15" hidden="false" customHeight="false" outlineLevel="0" collapsed="false">
      <c r="A31" s="0" t="s">
        <v>1091</v>
      </c>
      <c r="B31" s="14" t="n">
        <f aca="false">a27_gp/a27_rev</f>
        <v>0.583890166666667</v>
      </c>
      <c r="C31" s="14" t="n">
        <f aca="false">PL!E128</f>
        <v>0.554925619337774</v>
      </c>
      <c r="D31" s="14" t="n">
        <f aca="false">C31-B31</f>
        <v>-0.0289645473288924</v>
      </c>
      <c r="E31" s="14" t="n">
        <f aca="false">PL!E200</f>
        <v>0.555584817599428</v>
      </c>
      <c r="F31" s="14" t="n">
        <f aca="false">E31-B31</f>
        <v>-0.0283053490672387</v>
      </c>
      <c r="G31" s="14" t="n">
        <f aca="false">PL!E272</f>
        <v>0.555910094587551</v>
      </c>
      <c r="H31" s="14" t="n">
        <f aca="false">G31-B31</f>
        <v>-0.0279800720791161</v>
      </c>
      <c r="I31" s="4" t="s">
        <v>1060</v>
      </c>
      <c r="J31" s="4" t="s">
        <v>1092</v>
      </c>
    </row>
    <row r="32" customFormat="false" ht="17.15" hidden="false" customHeight="false" outlineLevel="0" collapsed="false">
      <c r="A32" s="0" t="s">
        <v>1093</v>
      </c>
      <c r="B32" s="14" t="n">
        <f aca="false">co_gm31</f>
        <v>0.575</v>
      </c>
      <c r="C32" s="14" t="n">
        <f aca="false">PL!G128</f>
        <v>0.481454882132291</v>
      </c>
      <c r="D32" s="14" t="n">
        <f aca="false">C32-B32</f>
        <v>-0.0935451178677085</v>
      </c>
      <c r="E32" s="14" t="n">
        <f aca="false">PL!G200</f>
        <v>0.504691756081648</v>
      </c>
      <c r="F32" s="14" t="n">
        <f aca="false">E32-B32</f>
        <v>-0.070308243918352</v>
      </c>
      <c r="G32" s="14" t="n">
        <f aca="false">PL!G272</f>
        <v>0.518870927638036</v>
      </c>
      <c r="H32" s="14" t="n">
        <f aca="false">G32-B32</f>
        <v>-0.0561290723619642</v>
      </c>
      <c r="I32" s="4" t="s">
        <v>1042</v>
      </c>
      <c r="J32" s="4" t="s">
        <v>1094</v>
      </c>
    </row>
    <row r="33" customFormat="false" ht="17.15" hidden="false" customHeight="false" outlineLevel="0" collapsed="false">
      <c r="A33" s="1" t="s">
        <v>1095</v>
      </c>
    </row>
    <row r="34" customFormat="false" ht="17.15" hidden="false" customHeight="false" outlineLevel="0" collapsed="false">
      <c r="A34" s="0" t="s">
        <v>1096</v>
      </c>
      <c r="J34" s="4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1098</v>
      </c>
    </row>
    <row r="3" customFormat="false" ht="17.15" hidden="false" customHeight="false" outlineLevel="0" collapsed="false">
      <c r="A3" s="5" t="s">
        <v>1099</v>
      </c>
      <c r="B3" s="5" t="s">
        <v>1100</v>
      </c>
      <c r="C3" s="11" t="s">
        <v>1101</v>
      </c>
      <c r="D3" s="11" t="s">
        <v>1102</v>
      </c>
      <c r="E3" s="11" t="s">
        <v>1103</v>
      </c>
      <c r="F3" s="11" t="s">
        <v>910</v>
      </c>
      <c r="G3" s="11" t="s">
        <v>1104</v>
      </c>
      <c r="H3" s="11" t="s">
        <v>1105</v>
      </c>
      <c r="I3" s="11" t="s">
        <v>1106</v>
      </c>
      <c r="J3" s="11" t="s">
        <v>1107</v>
      </c>
      <c r="K3" s="11" t="s">
        <v>1108</v>
      </c>
      <c r="L3" s="11" t="s">
        <v>1109</v>
      </c>
    </row>
    <row r="4" customFormat="false" ht="17.15" hidden="false" customHeight="false" outlineLevel="0" collapsed="false">
      <c r="A4" s="4" t="s">
        <v>1110</v>
      </c>
      <c r="B4" s="0" t="s">
        <v>1111</v>
      </c>
      <c r="C4" s="20" t="n">
        <f aca="false">PL!E121</f>
        <v>18.3462057892484</v>
      </c>
      <c r="D4" s="20" t="n">
        <f aca="false">PL!E118</f>
        <v>16.0395001892484</v>
      </c>
      <c r="E4" s="14" t="n">
        <f aca="false">PL!E128</f>
        <v>0.554925619337774</v>
      </c>
      <c r="F4" s="18" t="n">
        <f aca="false">PL!E138</f>
        <v>6.43867221808258</v>
      </c>
      <c r="G4" s="14" t="n">
        <f aca="false">F4/F$4-1</f>
        <v>0</v>
      </c>
      <c r="H4" s="20" t="n">
        <f aca="false">PL!F121</f>
        <v>27.4180433859058</v>
      </c>
      <c r="I4" s="20" t="n">
        <f aca="false">PL!F118</f>
        <v>25.0421366179058</v>
      </c>
      <c r="J4" s="14" t="n">
        <f aca="false">PL!F128</f>
        <v>0.476855389618186</v>
      </c>
      <c r="K4" s="18" t="n">
        <f aca="false">PL!F138</f>
        <v>8.37996765447197</v>
      </c>
      <c r="L4" s="14" t="n">
        <f aca="false">K4/K$4-1</f>
        <v>0</v>
      </c>
    </row>
    <row r="5" customFormat="false" ht="17.15" hidden="false" customHeight="false" outlineLevel="0" collapsed="false">
      <c r="A5" s="0" t="s">
        <v>1112</v>
      </c>
      <c r="B5" s="0" t="s">
        <v>1113</v>
      </c>
      <c r="C5" s="20" t="n">
        <f aca="false">E91</f>
        <v>17.6015492429448</v>
      </c>
      <c r="D5" s="20" t="n">
        <f aca="false">E88</f>
        <v>15.2948436429448</v>
      </c>
      <c r="E5" s="14" t="n">
        <f aca="false">E98</f>
        <v>0.564306871529099</v>
      </c>
      <c r="F5" s="18" t="n">
        <f aca="false">E108</f>
        <v>6.27881948525493</v>
      </c>
      <c r="G5" s="14" t="n">
        <f aca="false">F5/F$4-1</f>
        <v>-0.0248269716819428</v>
      </c>
      <c r="H5" s="20" t="n">
        <f aca="false">F91</f>
        <v>25.0628835298188</v>
      </c>
      <c r="I5" s="20" t="n">
        <f aca="false">F88</f>
        <v>22.6869767618188</v>
      </c>
      <c r="J5" s="14" t="n">
        <f aca="false">F98</f>
        <v>0.493251279186799</v>
      </c>
      <c r="K5" s="18" t="n">
        <f aca="false">F108</f>
        <v>7.90701489218476</v>
      </c>
      <c r="L5" s="14" t="n">
        <f aca="false">K5/K$4-1</f>
        <v>-0.0564384949666019</v>
      </c>
    </row>
    <row r="6" customFormat="false" ht="17.15" hidden="false" customHeight="false" outlineLevel="0" collapsed="false">
      <c r="A6" s="0" t="s">
        <v>1114</v>
      </c>
      <c r="B6" s="0" t="s">
        <v>1115</v>
      </c>
      <c r="C6" s="20" t="n">
        <f aca="false">E163</f>
        <v>19.0908623355521</v>
      </c>
      <c r="D6" s="20" t="n">
        <f aca="false">E160</f>
        <v>16.7841567355521</v>
      </c>
      <c r="E6" s="14" t="n">
        <f aca="false">E170</f>
        <v>0.546276215790477</v>
      </c>
      <c r="F6" s="18" t="n">
        <f aca="false">E180</f>
        <v>6.59852495091023</v>
      </c>
      <c r="G6" s="14" t="n">
        <f aca="false">F6/F$4-1</f>
        <v>0.0248269716819425</v>
      </c>
      <c r="H6" s="20" t="n">
        <f aca="false">F163</f>
        <v>29.7732032419927</v>
      </c>
      <c r="I6" s="20" t="n">
        <f aca="false">F160</f>
        <v>27.3972964739927</v>
      </c>
      <c r="J6" s="14" t="n">
        <f aca="false">F170</f>
        <v>0.463053439344783</v>
      </c>
      <c r="K6" s="18" t="n">
        <f aca="false">F180</f>
        <v>8.85622424768068</v>
      </c>
      <c r="L6" s="14" t="n">
        <f aca="false">K6/K$4-1</f>
        <v>0.0568327483883013</v>
      </c>
    </row>
    <row r="7" customFormat="false" ht="17.15" hidden="false" customHeight="false" outlineLevel="0" collapsed="false">
      <c r="A7" s="4" t="s">
        <v>1116</v>
      </c>
      <c r="B7" s="0" t="s">
        <v>1117</v>
      </c>
      <c r="C7" s="20" t="n">
        <f aca="false">E235</f>
        <v>17.3541032647821</v>
      </c>
      <c r="D7" s="20" t="n">
        <f aca="false">E232</f>
        <v>15.0473976647821</v>
      </c>
      <c r="E7" s="14" t="n">
        <f aca="false">E242</f>
        <v>0.568342301240348</v>
      </c>
      <c r="F7" s="18" t="n">
        <f aca="false">E252</f>
        <v>6.23784705682857</v>
      </c>
      <c r="G7" s="14" t="n">
        <f aca="false">F7/F$4-1</f>
        <v>-0.0311904620163773</v>
      </c>
      <c r="H7" s="20" t="n">
        <f aca="false">F235</f>
        <v>26.1732908521863</v>
      </c>
      <c r="I7" s="20" t="n">
        <f aca="false">F232</f>
        <v>23.7973840841863</v>
      </c>
      <c r="J7" s="14" t="n">
        <f aca="false">F242</f>
        <v>0.485502209510294</v>
      </c>
      <c r="K7" s="18" t="n">
        <f aca="false">F252</f>
        <v>8.13791631672563</v>
      </c>
      <c r="L7" s="14" t="n">
        <f aca="false">K7/K$4-1</f>
        <v>-0.028884519335485</v>
      </c>
    </row>
    <row r="8" customFormat="false" ht="17.15" hidden="false" customHeight="false" outlineLevel="0" collapsed="false">
      <c r="A8" s="4" t="s">
        <v>1118</v>
      </c>
      <c r="B8" s="0" t="s">
        <v>1119</v>
      </c>
      <c r="C8" s="20" t="n">
        <f aca="false">E307</f>
        <v>20.330410838181</v>
      </c>
      <c r="D8" s="20" t="n">
        <f aca="false">E304</f>
        <v>18.023705238181</v>
      </c>
      <c r="E8" s="14" t="n">
        <f aca="false">E314</f>
        <v>0.532020574765755</v>
      </c>
      <c r="F8" s="18" t="n">
        <f aca="false">E324</f>
        <v>6.84032254059059</v>
      </c>
      <c r="G8" s="14" t="n">
        <f aca="false">F8/F$4-1</f>
        <v>0.0623809240327535</v>
      </c>
      <c r="H8" s="20" t="n">
        <f aca="false">F307</f>
        <v>29.9075484533446</v>
      </c>
      <c r="I8" s="20" t="n">
        <f aca="false">F304</f>
        <v>27.5316416853446</v>
      </c>
      <c r="J8" s="14" t="n">
        <f aca="false">F314</f>
        <v>0.461721034334225</v>
      </c>
      <c r="K8" s="18" t="n">
        <f aca="false">F324</f>
        <v>8.86166160763747</v>
      </c>
      <c r="L8" s="14" t="n">
        <f aca="false">K8/K$4-1</f>
        <v>0.0574816005296206</v>
      </c>
    </row>
    <row r="9" customFormat="false" ht="17.15" hidden="false" customHeight="false" outlineLevel="0" collapsed="false">
      <c r="A9" s="0" t="s">
        <v>1120</v>
      </c>
      <c r="B9" s="0" t="s">
        <v>1121</v>
      </c>
      <c r="C9" s="20" t="n">
        <f aca="false">E379</f>
        <v>17.4766669479556</v>
      </c>
      <c r="D9" s="20" t="n">
        <f aca="false">E376</f>
        <v>15.1699613479556</v>
      </c>
      <c r="E9" s="14" t="n">
        <f aca="false">E386</f>
        <v>0.56522374702672</v>
      </c>
      <c r="F9" s="18" t="n">
        <f aca="false">E396</f>
        <v>6.23986554726747</v>
      </c>
      <c r="G9" s="14" t="n">
        <f aca="false">F9/F$4-1</f>
        <v>-0.0308769671884797</v>
      </c>
      <c r="H9" s="20" t="n">
        <f aca="false">F379</f>
        <v>26.2302814956585</v>
      </c>
      <c r="I9" s="20" t="n">
        <f aca="false">F376</f>
        <v>23.8543747276585</v>
      </c>
      <c r="J9" s="14" t="n">
        <f aca="false">F386</f>
        <v>0.484056845394657</v>
      </c>
      <c r="K9" s="18" t="n">
        <f aca="false">F396</f>
        <v>8.12368633094163</v>
      </c>
      <c r="L9" s="14" t="n">
        <f aca="false">K9/K$4-1</f>
        <v>-0.0305826148855806</v>
      </c>
    </row>
    <row r="10" customFormat="false" ht="17.15" hidden="false" customHeight="false" outlineLevel="0" collapsed="false">
      <c r="A10" s="0" t="s">
        <v>1122</v>
      </c>
      <c r="B10" s="0" t="s">
        <v>1123</v>
      </c>
      <c r="C10" s="20" t="n">
        <f aca="false">E451</f>
        <v>20.9827837439844</v>
      </c>
      <c r="D10" s="20" t="n">
        <f aca="false">E448</f>
        <v>18.6760781439844</v>
      </c>
      <c r="E10" s="14" t="n">
        <f aca="false">E458</f>
        <v>0.526045061948598</v>
      </c>
      <c r="F10" s="18" t="n">
        <f aca="false">E468</f>
        <v>6.98446631091956</v>
      </c>
      <c r="G10" s="14" t="n">
        <f aca="false">F10/F$4-1</f>
        <v>0.0847681127957018</v>
      </c>
      <c r="H10" s="20" t="n">
        <f aca="false">F451</f>
        <v>31.0696609733477</v>
      </c>
      <c r="I10" s="20" t="n">
        <f aca="false">F448</f>
        <v>28.6937542053477</v>
      </c>
      <c r="J10" s="14" t="n">
        <f aca="false">F458</f>
        <v>0.456873557365928</v>
      </c>
      <c r="K10" s="18" t="n">
        <f aca="false">F468</f>
        <v>9.12842962401866</v>
      </c>
      <c r="L10" s="14" t="n">
        <f aca="false">K10/K$4-1</f>
        <v>0.0893156155736805</v>
      </c>
    </row>
    <row r="11" customFormat="false" ht="17.15" hidden="false" customHeight="false" outlineLevel="0" collapsed="false">
      <c r="A11" s="4" t="s">
        <v>1124</v>
      </c>
      <c r="B11" s="0" t="s">
        <v>1125</v>
      </c>
      <c r="C11" s="20" t="n">
        <f aca="false">E523</f>
        <v>17.8294154756224</v>
      </c>
      <c r="D11" s="20" t="n">
        <f aca="false">E520</f>
        <v>15.5227098756224</v>
      </c>
      <c r="E11" s="14" t="n">
        <f aca="false">E530</f>
        <v>0.558372865573249</v>
      </c>
      <c r="F11" s="18" t="n">
        <f aca="false">E540</f>
        <v>6.27747228312578</v>
      </c>
      <c r="G11" s="14" t="n">
        <f aca="false">F11/F$4-1</f>
        <v>-0.0250362076988608</v>
      </c>
      <c r="H11" s="20" t="n">
        <f aca="false">F523</f>
        <v>25.9994897015348</v>
      </c>
      <c r="I11" s="20" t="n">
        <f aca="false">F520</f>
        <v>23.6235829335348</v>
      </c>
      <c r="J11" s="14" t="n">
        <f aca="false">F530</f>
        <v>0.479084786715226</v>
      </c>
      <c r="K11" s="18" t="n">
        <f aca="false">F540</f>
        <v>7.91634308247107</v>
      </c>
      <c r="L11" s="14" t="n">
        <f aca="false">K11/K$4-1</f>
        <v>-0.0553253414711553</v>
      </c>
    </row>
    <row r="12" customFormat="false" ht="17.15" hidden="false" customHeight="false" outlineLevel="0" collapsed="false">
      <c r="A12" s="4" t="s">
        <v>1126</v>
      </c>
      <c r="B12" s="0" t="s">
        <v>1115</v>
      </c>
      <c r="C12" s="20" t="n">
        <f aca="false">E595</f>
        <v>18.8629961028744</v>
      </c>
      <c r="D12" s="20" t="n">
        <f aca="false">E592</f>
        <v>16.5562905028744</v>
      </c>
      <c r="E12" s="14" t="n">
        <f aca="false">E602</f>
        <v>0.551667261808363</v>
      </c>
      <c r="F12" s="18" t="n">
        <f aca="false">E612</f>
        <v>6.59987215303938</v>
      </c>
      <c r="G12" s="14" t="n">
        <f aca="false">F12/F$4-1</f>
        <v>0.0250362076988608</v>
      </c>
      <c r="H12" s="20" t="n">
        <f aca="false">F595</f>
        <v>28.8365970702767</v>
      </c>
      <c r="I12" s="20" t="n">
        <f aca="false">F592</f>
        <v>26.4606903022767</v>
      </c>
      <c r="J12" s="14" t="n">
        <f aca="false">F602</f>
        <v>0.474845333205363</v>
      </c>
      <c r="K12" s="18" t="n">
        <f aca="false">F612</f>
        <v>8.84478391941434</v>
      </c>
      <c r="L12" s="14" t="n">
        <f aca="false">K12/K$4-1</f>
        <v>0.055467548814979</v>
      </c>
    </row>
    <row r="13" customFormat="false" ht="17.15" hidden="false" customHeight="false" outlineLevel="0" collapsed="false">
      <c r="A13" s="0" t="s">
        <v>1127</v>
      </c>
      <c r="B13" s="4" t="s">
        <v>1128</v>
      </c>
      <c r="C13" s="20" t="n">
        <f aca="false">E667</f>
        <v>18.0151095788863</v>
      </c>
      <c r="D13" s="20" t="n">
        <f aca="false">E664</f>
        <v>15.7084039788863</v>
      </c>
      <c r="E13" s="14" t="n">
        <f aca="false">E674</f>
        <v>0.563286609200189</v>
      </c>
      <c r="F13" s="18" t="n">
        <f aca="false">E684</f>
        <v>6.44062974164504</v>
      </c>
      <c r="G13" s="14" t="n">
        <f aca="false">F13/F$4-1</f>
        <v>0.000304025969354083</v>
      </c>
      <c r="H13" s="20" t="n">
        <f aca="false">F667</f>
        <v>25.7902262466764</v>
      </c>
      <c r="I13" s="20" t="n">
        <f aca="false">F664</f>
        <v>23.4143194786764</v>
      </c>
      <c r="J13" s="14" t="n">
        <f aca="false">F674</f>
        <v>0.500641596701596</v>
      </c>
      <c r="K13" s="18" t="n">
        <f aca="false">F684</f>
        <v>8.36244056782982</v>
      </c>
      <c r="L13" s="14" t="n">
        <f aca="false">K13/K$4-1</f>
        <v>-0.00209154585850901</v>
      </c>
    </row>
    <row r="14" customFormat="false" ht="17.15" hidden="false" customHeight="false" outlineLevel="0" collapsed="false">
      <c r="A14" s="0" t="s">
        <v>1129</v>
      </c>
      <c r="B14" s="4" t="s">
        <v>1130</v>
      </c>
      <c r="C14" s="20" t="n">
        <f aca="false">E739</f>
        <v>18.7214338813181</v>
      </c>
      <c r="D14" s="20" t="n">
        <f aca="false">E736</f>
        <v>16.4147282813181</v>
      </c>
      <c r="E14" s="14" t="n">
        <f aca="false">E746</f>
        <v>0.545807681403112</v>
      </c>
      <c r="F14" s="18" t="n">
        <f aca="false">E756</f>
        <v>6.43645377580346</v>
      </c>
      <c r="G14" s="14" t="n">
        <f aca="false">F14/F$4-1</f>
        <v>-0.000344549653092607</v>
      </c>
      <c r="H14" s="20" t="n">
        <f aca="false">F739</f>
        <v>29.262832605098</v>
      </c>
      <c r="I14" s="20" t="n">
        <f aca="false">F736</f>
        <v>26.886925837098</v>
      </c>
      <c r="J14" s="14" t="n">
        <f aca="false">F746</f>
        <v>0.453097649916631</v>
      </c>
      <c r="K14" s="18" t="n">
        <f aca="false">F756</f>
        <v>8.40144449416629</v>
      </c>
      <c r="L14" s="14" t="n">
        <f aca="false">K14/K$4-1</f>
        <v>0.00256287859092841</v>
      </c>
    </row>
    <row r="15" customFormat="false" ht="17.15" hidden="false" customHeight="false" outlineLevel="0" collapsed="false">
      <c r="A15" s="4" t="s">
        <v>1131</v>
      </c>
      <c r="B15" s="0" t="s">
        <v>1132</v>
      </c>
      <c r="C15" s="20" t="n">
        <f aca="false">E811</f>
        <v>17.1208736531008</v>
      </c>
      <c r="D15" s="20" t="n">
        <f aca="false">E808</f>
        <v>14.8141680531008</v>
      </c>
      <c r="E15" s="14" t="n">
        <f aca="false">E818</f>
        <v>0.549552584462878</v>
      </c>
      <c r="F15" s="18" t="n">
        <f aca="false">E828</f>
        <v>5.83158564087451</v>
      </c>
      <c r="G15" s="14" t="n">
        <f aca="false">F15/F$4-1</f>
        <v>-0.0942875420033202</v>
      </c>
      <c r="H15" s="20" t="n">
        <f aca="false">F811</f>
        <v>26.2225215379939</v>
      </c>
      <c r="I15" s="20" t="n">
        <f aca="false">F808</f>
        <v>23.8466147699939</v>
      </c>
      <c r="J15" s="14" t="n">
        <f aca="false">F818</f>
        <v>0.469873310212278</v>
      </c>
      <c r="K15" s="18" t="n">
        <f aca="false">F828</f>
        <v>7.76980762021224</v>
      </c>
      <c r="L15" s="14" t="n">
        <f aca="false">K15/K$4-1</f>
        <v>-0.0728117409777964</v>
      </c>
    </row>
    <row r="16" customFormat="false" ht="17.15" hidden="false" customHeight="false" outlineLevel="0" collapsed="false">
      <c r="A16" s="4" t="s">
        <v>1133</v>
      </c>
      <c r="B16" s="0" t="s">
        <v>1134</v>
      </c>
      <c r="C16" s="20" t="n">
        <f aca="false">E883</f>
        <v>18.9588718573222</v>
      </c>
      <c r="D16" s="20" t="n">
        <f aca="false">E880</f>
        <v>16.6521662573222</v>
      </c>
      <c r="E16" s="14" t="n">
        <f aca="false">E890</f>
        <v>0.557351688038462</v>
      </c>
      <c r="F16" s="18" t="n">
        <f aca="false">E900</f>
        <v>6.74221550668662</v>
      </c>
      <c r="G16" s="14" t="n">
        <f aca="false">F16/F$4-1</f>
        <v>0.0471437710016605</v>
      </c>
      <c r="H16" s="20" t="n">
        <f aca="false">F883</f>
        <v>28.0158043098617</v>
      </c>
      <c r="I16" s="20" t="n">
        <f aca="false">F880</f>
        <v>25.6398975418617</v>
      </c>
      <c r="J16" s="14" t="n">
        <f aca="false">F890</f>
        <v>0.480122968974046</v>
      </c>
      <c r="K16" s="18" t="n">
        <f aca="false">F900</f>
        <v>8.6839676694984</v>
      </c>
      <c r="L16" s="14" t="n">
        <f aca="false">K16/K$4-1</f>
        <v>0.0362769914588159</v>
      </c>
    </row>
    <row r="17" customFormat="false" ht="17.15" hidden="false" customHeight="false" outlineLevel="0" collapsed="false">
      <c r="A17" s="4" t="s">
        <v>1135</v>
      </c>
      <c r="B17" s="0" t="s">
        <v>1136</v>
      </c>
      <c r="C17" s="20" t="n">
        <f aca="false">E955</f>
        <v>16.8022872977024</v>
      </c>
      <c r="D17" s="20" t="n">
        <f aca="false">E952</f>
        <v>14.4955816977024</v>
      </c>
      <c r="E17" s="14" t="n">
        <f aca="false">E962</f>
        <v>0.548027229702357</v>
      </c>
      <c r="F17" s="18" t="n">
        <f aca="false">E972</f>
        <v>5.67374313080041</v>
      </c>
      <c r="G17" s="14" t="n">
        <f aca="false">F17/F$4-1</f>
        <v>-0.118802302924183</v>
      </c>
      <c r="H17" s="20" t="n">
        <f aca="false">F955</f>
        <v>25.9834171684115</v>
      </c>
      <c r="I17" s="20" t="n">
        <f aca="false">F952</f>
        <v>23.6075104004115</v>
      </c>
      <c r="J17" s="14" t="n">
        <f aca="false">F962</f>
        <v>0.468399793816538</v>
      </c>
      <c r="K17" s="18" t="n">
        <f aca="false">F972</f>
        <v>7.64702110278877</v>
      </c>
      <c r="L17" s="14" t="n">
        <f aca="false">K17/K$4-1</f>
        <v>-0.0874641265819282</v>
      </c>
    </row>
    <row r="18" customFormat="false" ht="17.15" hidden="false" customHeight="false" outlineLevel="0" collapsed="false">
      <c r="A18" s="4" t="s">
        <v>1137</v>
      </c>
      <c r="B18" s="0" t="s">
        <v>1138</v>
      </c>
      <c r="C18" s="20" t="n">
        <f aca="false">E1027</f>
        <v>17.5249725490644</v>
      </c>
      <c r="D18" s="20" t="n">
        <f aca="false">E1024</f>
        <v>15.2182669490644</v>
      </c>
      <c r="E18" s="14" t="n">
        <f aca="false">E1034</f>
        <v>0.551407578056201</v>
      </c>
      <c r="F18" s="18" t="n">
        <f aca="false">E1044</f>
        <v>6.03179504399632</v>
      </c>
      <c r="G18" s="14" t="n">
        <f aca="false">F18/F$4-1</f>
        <v>-0.0631927143213741</v>
      </c>
      <c r="H18" s="20" t="n">
        <f aca="false">F1027</f>
        <v>26.6210288206312</v>
      </c>
      <c r="I18" s="20" t="n">
        <f aca="false">F1024</f>
        <v>24.2451220526312</v>
      </c>
      <c r="J18" s="14" t="n">
        <f aca="false">F1034</f>
        <v>0.472270349502343</v>
      </c>
      <c r="K18" s="18" t="n">
        <f aca="false">F1044</f>
        <v>7.97353173047404</v>
      </c>
      <c r="L18" s="14" t="n">
        <f aca="false">K18/K$4-1</f>
        <v>-0.0485008941270834</v>
      </c>
    </row>
    <row r="19" customFormat="false" ht="17.15" hidden="false" customHeight="false" outlineLevel="0" collapsed="false">
      <c r="A19" s="4" t="s">
        <v>1139</v>
      </c>
      <c r="B19" s="0" t="s">
        <v>1140</v>
      </c>
      <c r="C19" s="20" t="n">
        <f aca="false">E1099</f>
        <v>19.8901242807944</v>
      </c>
      <c r="D19" s="20" t="n">
        <f aca="false">E1096</f>
        <v>17.5834186807944</v>
      </c>
      <c r="E19" s="14" t="n">
        <f aca="false">E1106</f>
        <v>0.560753070333528</v>
      </c>
      <c r="F19" s="18" t="n">
        <f aca="false">E1116</f>
        <v>7.20360130536475</v>
      </c>
      <c r="G19" s="14" t="n">
        <f aca="false">F19/F$4-1</f>
        <v>0.118802302924184</v>
      </c>
      <c r="H19" s="20" t="n">
        <f aca="false">F1099</f>
        <v>28.8526696034</v>
      </c>
      <c r="I19" s="20" t="n">
        <f aca="false">F1096</f>
        <v>26.4767628354</v>
      </c>
      <c r="J19" s="14" t="n">
        <f aca="false">F1106</f>
        <v>0.484470119074479</v>
      </c>
      <c r="K19" s="18" t="n">
        <f aca="false">F1116</f>
        <v>9.10807565816421</v>
      </c>
      <c r="L19" s="14" t="n">
        <f aca="false">K19/K$4-1</f>
        <v>0.0868867319915836</v>
      </c>
    </row>
    <row r="20" customFormat="false" ht="17.15" hidden="false" customHeight="false" outlineLevel="0" collapsed="false">
      <c r="A20" s="0" t="s">
        <v>1141</v>
      </c>
      <c r="B20" s="0" t="s">
        <v>1142</v>
      </c>
      <c r="C20" s="20" t="n">
        <f aca="false">E1171</f>
        <v>17.9462057892484</v>
      </c>
      <c r="D20" s="20" t="n">
        <f aca="false">E1168</f>
        <v>15.6395001892484</v>
      </c>
      <c r="E20" s="14" t="n">
        <f aca="false">E1178</f>
        <v>0.555035405649056</v>
      </c>
      <c r="F20" s="18" t="n">
        <f aca="false">E1188</f>
        <v>6.270764318705</v>
      </c>
      <c r="G20" s="14" t="n">
        <f aca="false">F20/F$4-1</f>
        <v>-0.0260780318814838</v>
      </c>
      <c r="H20" s="20" t="n">
        <f aca="false">F1171</f>
        <v>26.8180433859058</v>
      </c>
      <c r="I20" s="20" t="n">
        <f aca="false">F1168</f>
        <v>24.4421366179058</v>
      </c>
      <c r="J20" s="14" t="n">
        <f aca="false">F1178</f>
        <v>0.475218925481054</v>
      </c>
      <c r="K20" s="18" t="n">
        <f aca="false">F1188</f>
        <v>8.11943185105228</v>
      </c>
      <c r="L20" s="14" t="n">
        <f aca="false">K20/K$4-1</f>
        <v>-0.0310903113427475</v>
      </c>
    </row>
    <row r="21" customFormat="false" ht="17.15" hidden="false" customHeight="false" outlineLevel="0" collapsed="false">
      <c r="A21" s="0" t="s">
        <v>1143</v>
      </c>
      <c r="B21" s="0" t="s">
        <v>1144</v>
      </c>
      <c r="C21" s="20" t="n">
        <f aca="false">E1243</f>
        <v>18.7462057892484</v>
      </c>
      <c r="D21" s="20" t="n">
        <f aca="false">E1240</f>
        <v>16.4395001892484</v>
      </c>
      <c r="E21" s="14" t="n">
        <f aca="false">E1250</f>
        <v>0.55482051819052</v>
      </c>
      <c r="F21" s="18" t="n">
        <f aca="false">E1260</f>
        <v>6.60658011746016</v>
      </c>
      <c r="G21" s="14" t="n">
        <f aca="false">F21/F$4-1</f>
        <v>0.0260780318814842</v>
      </c>
      <c r="H21" s="20" t="n">
        <f aca="false">F1243</f>
        <v>28.0180433859058</v>
      </c>
      <c r="I21" s="20" t="n">
        <f aca="false">F1240</f>
        <v>25.6421366179058</v>
      </c>
      <c r="J21" s="14" t="n">
        <f aca="false">F1250</f>
        <v>0.478421764743837</v>
      </c>
      <c r="K21" s="18" t="n">
        <f aca="false">F1260</f>
        <v>8.64050660828831</v>
      </c>
      <c r="L21" s="14" t="n">
        <f aca="false">K21/K$4-1</f>
        <v>0.0310906872865198</v>
      </c>
    </row>
    <row r="22" customFormat="false" ht="17.15" hidden="false" customHeight="false" outlineLevel="0" collapsed="false">
      <c r="A22" s="4" t="s">
        <v>1145</v>
      </c>
      <c r="B22" s="0" t="s">
        <v>1146</v>
      </c>
      <c r="C22" s="20" t="n">
        <f aca="false">E1315</f>
        <v>18.0862057892484</v>
      </c>
      <c r="D22" s="20" t="n">
        <f aca="false">E1312</f>
        <v>15.7795001892484</v>
      </c>
      <c r="E22" s="14" t="n">
        <f aca="false">E1322</f>
        <v>0.554277648220519</v>
      </c>
      <c r="F22" s="18" t="n">
        <f aca="false">E1332</f>
        <v>6.31723460353274</v>
      </c>
      <c r="G22" s="14" t="n">
        <f aca="false">F22/F$4-1</f>
        <v>-0.0188606610861154</v>
      </c>
      <c r="H22" s="20" t="n">
        <f aca="false">F1315</f>
        <v>27.0540433859058</v>
      </c>
      <c r="I22" s="20" t="n">
        <f aca="false">F1312</f>
        <v>24.6781366179058</v>
      </c>
      <c r="J22" s="14" t="n">
        <f aca="false">F1322</f>
        <v>0.475198534206979</v>
      </c>
      <c r="K22" s="18" t="n">
        <f aca="false">F1332</f>
        <v>8.20478540796105</v>
      </c>
      <c r="L22" s="14" t="n">
        <f aca="false">K22/K$4-1</f>
        <v>-0.0209048833759437</v>
      </c>
    </row>
    <row r="23" customFormat="false" ht="17.15" hidden="false" customHeight="false" outlineLevel="0" collapsed="false">
      <c r="A23" s="4" t="s">
        <v>1147</v>
      </c>
      <c r="B23" s="4" t="s">
        <v>1148</v>
      </c>
      <c r="C23" s="20" t="n">
        <f aca="false">E1387</f>
        <v>18.1670441892484</v>
      </c>
      <c r="D23" s="20" t="n">
        <f aca="false">E1384</f>
        <v>16.0395001892484</v>
      </c>
      <c r="E23" s="14" t="n">
        <f aca="false">E1394</f>
        <v>0.55467833826598</v>
      </c>
      <c r="F23" s="18" t="n">
        <f aca="false">E1404</f>
        <v>6.35838120712453</v>
      </c>
      <c r="G23" s="14" t="n">
        <f aca="false">F23/F$4-1</f>
        <v>-0.0124701193411519</v>
      </c>
      <c r="H23" s="20" t="n">
        <f aca="false">F1387</f>
        <v>27.2335069379058</v>
      </c>
      <c r="I23" s="20" t="n">
        <f aca="false">F1384</f>
        <v>25.0421366179058</v>
      </c>
      <c r="J23" s="14" t="n">
        <f aca="false">F1394</f>
        <v>0.47615647338703</v>
      </c>
      <c r="K23" s="18" t="n">
        <f aca="false">F1404</f>
        <v>8.29466196916269</v>
      </c>
      <c r="L23" s="14" t="n">
        <f aca="false">K23/K$4-1</f>
        <v>-0.0101797153433824</v>
      </c>
    </row>
    <row r="24" customFormat="false" ht="17.15" hidden="false" customHeight="false" outlineLevel="0" collapsed="false">
      <c r="A24" s="4" t="s">
        <v>1149</v>
      </c>
      <c r="B24" s="4" t="s">
        <v>1150</v>
      </c>
      <c r="C24" s="20" t="n">
        <f aca="false">E1459</f>
        <v>18.3462057892484</v>
      </c>
      <c r="D24" s="20" t="n">
        <f aca="false">E1456</f>
        <v>16.0395001892484</v>
      </c>
      <c r="E24" s="14" t="n">
        <f aca="false">E1466</f>
        <v>0.554925619337774</v>
      </c>
      <c r="F24" s="18" t="n">
        <f aca="false">E1476</f>
        <v>6.09157668280128</v>
      </c>
      <c r="G24" s="14" t="n">
        <f aca="false">F24/F$4-1</f>
        <v>-0.0539079368423985</v>
      </c>
      <c r="H24" s="20" t="n">
        <f aca="false">F1459</f>
        <v>27.4180433859058</v>
      </c>
      <c r="I24" s="20" t="n">
        <f aca="false">F1456</f>
        <v>25.0421366179058</v>
      </c>
      <c r="J24" s="14" t="n">
        <f aca="false">F1466</f>
        <v>0.476855389618186</v>
      </c>
      <c r="K24" s="18" t="n">
        <f aca="false">F1476</f>
        <v>7.86382094352295</v>
      </c>
      <c r="L24" s="14" t="n">
        <f aca="false">K24/K$4-1</f>
        <v>-0.0615929240101033</v>
      </c>
    </row>
    <row r="25" customFormat="false" ht="17.15" hidden="false" customHeight="false" outlineLevel="0" collapsed="false">
      <c r="A25" s="4" t="s">
        <v>1151</v>
      </c>
      <c r="B25" s="0" t="s">
        <v>1152</v>
      </c>
      <c r="C25" s="20" t="n">
        <f aca="false">PL!E193</f>
        <v>18.5087235252006</v>
      </c>
      <c r="D25" s="20" t="n">
        <f aca="false">PL!E190</f>
        <v>16.2020179252006</v>
      </c>
      <c r="E25" s="14" t="n">
        <f aca="false">PL!E200</f>
        <v>0.555584817599428</v>
      </c>
      <c r="F25" s="18" t="n">
        <f aca="false">PL!E210</f>
        <v>6.51919106937544</v>
      </c>
      <c r="G25" s="14" t="n">
        <f aca="false">F25/F$4-1</f>
        <v>0.0125055055709664</v>
      </c>
      <c r="H25" s="20" t="n">
        <f aca="false">PL!F193</f>
        <v>21.9249189198868</v>
      </c>
      <c r="I25" s="20" t="n">
        <f aca="false">PL!F190</f>
        <v>19.5490121518868</v>
      </c>
      <c r="J25" s="14" t="n">
        <f aca="false">PL!F200</f>
        <v>0.504315118936962</v>
      </c>
      <c r="K25" s="18" t="n">
        <f aca="false">PL!F210</f>
        <v>6.93361952885855</v>
      </c>
      <c r="L25" s="14" t="n">
        <f aca="false">K25/K$4-1</f>
        <v>-0.172595907913985</v>
      </c>
    </row>
    <row r="26" customFormat="false" ht="17.15" hidden="false" customHeight="false" outlineLevel="0" collapsed="false">
      <c r="A26" s="4" t="s">
        <v>1153</v>
      </c>
      <c r="B26" s="0" t="s">
        <v>1154</v>
      </c>
      <c r="C26" s="20" t="n">
        <f aca="false">PL!E265</f>
        <v>18.5899823931767</v>
      </c>
      <c r="D26" s="20" t="n">
        <f aca="false">PL!E262</f>
        <v>16.2832767931767</v>
      </c>
      <c r="E26" s="14" t="n">
        <f aca="false">PL!E272</f>
        <v>0.555910094587551</v>
      </c>
      <c r="F26" s="18" t="n">
        <f aca="false">PL!E282</f>
        <v>6.55945049502187</v>
      </c>
      <c r="G26" s="14" t="n">
        <f aca="false">F26/F$4-1</f>
        <v>0.0187582583564498</v>
      </c>
      <c r="H26" s="20" t="n">
        <f aca="false">PL!F265</f>
        <v>17.2358271220006</v>
      </c>
      <c r="I26" s="20" t="n">
        <f aca="false">PL!F262</f>
        <v>14.8599203540006</v>
      </c>
      <c r="J26" s="14" t="n">
        <f aca="false">PL!F272</f>
        <v>0.519822976531719</v>
      </c>
      <c r="K26" s="18" t="n">
        <f aca="false">PL!F282</f>
        <v>5.07983722785249</v>
      </c>
      <c r="L26" s="14" t="n">
        <f aca="false">K26/K$4-1</f>
        <v>-0.39381183349298</v>
      </c>
    </row>
    <row r="28" customFormat="false" ht="17.15" hidden="false" customHeight="false" outlineLevel="0" collapsed="false">
      <c r="A28" s="4" t="s">
        <v>1155</v>
      </c>
    </row>
    <row r="30" customFormat="false" ht="17.15" hidden="false" customHeight="false" outlineLevel="0" collapsed="false">
      <c r="A30" s="3" t="s">
        <v>1156</v>
      </c>
    </row>
    <row r="31" customFormat="false" ht="15" hidden="false" customHeight="false" outlineLevel="0" collapsed="false">
      <c r="A31" s="5" t="s">
        <v>1157</v>
      </c>
      <c r="B31" s="5" t="s">
        <v>1158</v>
      </c>
      <c r="C31" s="5" t="s">
        <v>1159</v>
      </c>
      <c r="D31" s="5" t="s">
        <v>1160</v>
      </c>
      <c r="E31" s="5" t="s">
        <v>1161</v>
      </c>
      <c r="F31" s="5" t="s">
        <v>1162</v>
      </c>
      <c r="G31" s="5" t="s">
        <v>1163</v>
      </c>
    </row>
    <row r="32" customFormat="false" ht="17.15" hidden="false" customHeight="false" outlineLevel="0" collapsed="false">
      <c r="A32" s="0" t="s">
        <v>1164</v>
      </c>
      <c r="B32" s="4" t="s">
        <v>1165</v>
      </c>
      <c r="C32" s="22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tp_comp_adj</f>
        <v>120.757570669972</v>
      </c>
      <c r="D32" s="14" t="n">
        <f aca="false">C32/G32-1</f>
        <v>0.101089837370269</v>
      </c>
      <c r="E32" s="22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tp_comp_adj</f>
        <v>101.752412269881</v>
      </c>
      <c r="F32" s="14" t="n">
        <f aca="false">E32/G32-1</f>
        <v>-0.072202707816351</v>
      </c>
      <c r="G32" s="22" t="n">
        <f aca="false">Val!$B$40</f>
        <v>109.670951970983</v>
      </c>
    </row>
    <row r="33" customFormat="false" ht="17.15" hidden="false" customHeight="false" outlineLevel="0" collapsed="false">
      <c r="A33" s="0" t="s">
        <v>1166</v>
      </c>
      <c r="B33" s="4" t="s">
        <v>1167</v>
      </c>
      <c r="C33" s="22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tp_comp_adj</f>
        <v>106.190941837121</v>
      </c>
      <c r="D33" s="14" t="n">
        <f aca="false">C33/G33-1</f>
        <v>-0.0317313752759463</v>
      </c>
      <c r="E33" s="22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tp_comp_adj</f>
        <v>114.816525702617</v>
      </c>
      <c r="F33" s="14" t="n">
        <f aca="false">E33/G33-1</f>
        <v>0.0469182918462856</v>
      </c>
      <c r="G33" s="22" t="n">
        <f aca="false">Val!$B$40</f>
        <v>109.670951970983</v>
      </c>
    </row>
    <row r="34" customFormat="false" ht="17.15" hidden="false" customHeight="false" outlineLevel="0" collapsed="false">
      <c r="A34" s="0" t="s">
        <v>1168</v>
      </c>
      <c r="B34" s="0" t="s">
        <v>1169</v>
      </c>
      <c r="C34" s="22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tp_comp_adj</f>
        <v>107.476802753953</v>
      </c>
      <c r="D34" s="14" t="n">
        <f aca="false">C34/G34-1</f>
        <v>-0.0200066578943344</v>
      </c>
      <c r="E34" s="22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tp_comp_adj</f>
        <v>111.865101188012</v>
      </c>
      <c r="F34" s="14" t="n">
        <f aca="false">E34/G34-1</f>
        <v>0.0200066578943345</v>
      </c>
      <c r="G34" s="22" t="n">
        <f aca="false">Val!$B$40</f>
        <v>109.670951970983</v>
      </c>
    </row>
    <row r="40" customFormat="false" ht="17.15" hidden="false" customHeight="false" outlineLevel="0" collapsed="false">
      <c r="A40" s="3" t="s">
        <v>1170</v>
      </c>
    </row>
    <row r="41" customFormat="false" ht="17.15" hidden="false" customHeight="false" outlineLevel="0" collapsed="false">
      <c r="A41" s="5" t="s">
        <v>25</v>
      </c>
      <c r="B41" s="5" t="s">
        <v>26</v>
      </c>
      <c r="C41" s="11" t="s">
        <v>698</v>
      </c>
      <c r="D41" s="11" t="s">
        <v>699</v>
      </c>
      <c r="E41" s="11" t="s">
        <v>700</v>
      </c>
      <c r="F41" s="11" t="s">
        <v>701</v>
      </c>
      <c r="G41" s="11" t="s">
        <v>702</v>
      </c>
      <c r="H41" s="5" t="s">
        <v>555</v>
      </c>
    </row>
    <row r="42" customFormat="false" ht="17.15" hidden="false" customHeight="false" outlineLevel="0" collapsed="false">
      <c r="A42" s="1" t="s">
        <v>717</v>
      </c>
    </row>
    <row r="43" customFormat="false" ht="17.15" hidden="false" customHeight="false" outlineLevel="0" collapsed="false">
      <c r="A43" s="0" t="s">
        <v>718</v>
      </c>
      <c r="B43" s="4" t="s">
        <v>36</v>
      </c>
      <c r="D43" s="22" t="n">
        <f aca="false">u_trn_26</f>
        <v>2</v>
      </c>
      <c r="E43" s="22" t="n">
        <f aca="false">u_trn_27</f>
        <v>2.5</v>
      </c>
      <c r="F43" s="22" t="n">
        <f aca="false">u_trn_28*um28_A</f>
        <v>3</v>
      </c>
      <c r="G43" s="22" t="n">
        <f aca="false">u_trn_28*(1+g29_trn)*um29_A</f>
        <v>3.45</v>
      </c>
    </row>
    <row r="44" customFormat="false" ht="17.15" hidden="false" customHeight="false" outlineLevel="0" collapsed="false">
      <c r="A44" s="4" t="s">
        <v>719</v>
      </c>
      <c r="B44" s="4" t="s">
        <v>36</v>
      </c>
      <c r="D44" s="22" t="n">
        <f aca="false">u_oth_26</f>
        <v>1</v>
      </c>
      <c r="E44" s="22" t="n">
        <f aca="false">u_oth_27</f>
        <v>4.5</v>
      </c>
      <c r="F44" s="22" t="n">
        <f aca="false">u_oth_28*um28_A</f>
        <v>5</v>
      </c>
      <c r="G44" s="22" t="n">
        <f aca="false">u_oth_28*(1+g29_oth)*um29_A</f>
        <v>5.75</v>
      </c>
    </row>
    <row r="45" customFormat="false" ht="17.15" hidden="false" customHeight="false" outlineLevel="0" collapsed="false">
      <c r="A45" s="0" t="s">
        <v>720</v>
      </c>
      <c r="B45" s="4" t="s">
        <v>36</v>
      </c>
      <c r="D45" s="22" t="n">
        <f aca="false">u_tpu_26</f>
        <v>3.85</v>
      </c>
      <c r="E45" s="22" t="n">
        <f aca="false">u_tpu_27</f>
        <v>5.5</v>
      </c>
      <c r="F45" s="22" t="n">
        <f aca="false">u_tpu_28*um28_A</f>
        <v>7</v>
      </c>
      <c r="G45" s="22" t="n">
        <f aca="false">u_tpu_28*(1+g29_tpu)*um29_A</f>
        <v>8.05</v>
      </c>
    </row>
    <row r="46" customFormat="false" ht="17.15" hidden="false" customHeight="false" outlineLevel="0" collapsed="false">
      <c r="A46" s="0" t="s">
        <v>658</v>
      </c>
      <c r="B46" s="0" t="s">
        <v>49</v>
      </c>
      <c r="D46" s="14" t="n">
        <f aca="false">msh_trn_26</f>
        <v>0.1</v>
      </c>
      <c r="E46" s="14" t="n">
        <f aca="false">MIN(1,MAX(0,msh_trn_27+0))</f>
        <v>0.1</v>
      </c>
      <c r="F46" s="14" t="n">
        <f aca="false">MIN(1,MAX(0,msh_trn_28+0))</f>
        <v>0.08</v>
      </c>
      <c r="G46" s="14" t="n">
        <f aca="false">MIN(1,MAX(0,msh_trn_28+0))</f>
        <v>0.08</v>
      </c>
    </row>
    <row r="47" customFormat="false" ht="17.15" hidden="false" customHeight="false" outlineLevel="0" collapsed="false">
      <c r="A47" s="0" t="s">
        <v>666</v>
      </c>
      <c r="B47" s="0" t="s">
        <v>49</v>
      </c>
      <c r="D47" s="14" t="n">
        <f aca="false">msh_oth_26</f>
        <v>0.05</v>
      </c>
      <c r="E47" s="14" t="n">
        <f aca="false">MIN(1,MAX(0,msh_oth_27+0))</f>
        <v>0.06</v>
      </c>
      <c r="F47" s="14" t="n">
        <f aca="false">MIN(1,MAX(0,msh_oth_28+0))</f>
        <v>0.15</v>
      </c>
      <c r="G47" s="14" t="n">
        <f aca="false">MIN(1,MAX(0,msh_oth_28+0))</f>
        <v>0.15</v>
      </c>
    </row>
    <row r="48" customFormat="false" ht="17.15" hidden="false" customHeight="false" outlineLevel="0" collapsed="false">
      <c r="A48" s="0" t="s">
        <v>670</v>
      </c>
      <c r="B48" s="0" t="s">
        <v>49</v>
      </c>
      <c r="D48" s="14" t="n">
        <f aca="false">msh_tpu_26</f>
        <v>0</v>
      </c>
      <c r="E48" s="14" t="n">
        <f aca="false">MIN(1,MAX(0,msh_tpu_27+0))</f>
        <v>0</v>
      </c>
      <c r="F48" s="14" t="n">
        <f aca="false">MIN(1,MAX(0,msh_tpu_28+0))</f>
        <v>0.05</v>
      </c>
      <c r="G48" s="14" t="n">
        <f aca="false">MIN(1,MAX(0,msh_tpu_28+0))</f>
        <v>0.05</v>
      </c>
    </row>
    <row r="49" customFormat="false" ht="17.15" hidden="false" customHeight="false" outlineLevel="0" collapsed="false">
      <c r="A49" s="0" t="s">
        <v>660</v>
      </c>
      <c r="B49" s="4" t="s">
        <v>36</v>
      </c>
      <c r="D49" s="16" t="n">
        <f aca="false">D43*D46</f>
        <v>0.2</v>
      </c>
      <c r="E49" s="16" t="n">
        <f aca="false">E43*E46*uk_lo</f>
        <v>0.2</v>
      </c>
      <c r="F49" s="16" t="n">
        <f aca="false">F43*F46*uk_lo</f>
        <v>0.192</v>
      </c>
      <c r="G49" s="16" t="n">
        <f aca="false">G43*G46*uk_lo</f>
        <v>0.2208</v>
      </c>
    </row>
    <row r="50" customFormat="false" ht="17.15" hidden="false" customHeight="false" outlineLevel="0" collapsed="false">
      <c r="A50" s="0" t="s">
        <v>667</v>
      </c>
      <c r="B50" s="4" t="s">
        <v>36</v>
      </c>
      <c r="D50" s="16" t="n">
        <f aca="false">D44*D47</f>
        <v>0.05</v>
      </c>
      <c r="E50" s="16" t="n">
        <f aca="false">E44*E47*uk_lo</f>
        <v>0.216</v>
      </c>
      <c r="F50" s="16" t="n">
        <f aca="false">F44*F47*uk_lo</f>
        <v>0.6</v>
      </c>
      <c r="G50" s="16" t="n">
        <f aca="false">G44*G47*uk_lo</f>
        <v>0.69</v>
      </c>
    </row>
    <row r="51" customFormat="false" ht="17.15" hidden="false" customHeight="false" outlineLevel="0" collapsed="false">
      <c r="A51" s="0" t="s">
        <v>671</v>
      </c>
      <c r="B51" s="4" t="s">
        <v>36</v>
      </c>
      <c r="D51" s="16" t="n">
        <f aca="false">D45*D48</f>
        <v>0</v>
      </c>
      <c r="E51" s="16" t="n">
        <f aca="false">E45*E48*uk_lo</f>
        <v>0</v>
      </c>
      <c r="F51" s="16" t="n">
        <f aca="false">F45*F48*uk_lo</f>
        <v>0.28</v>
      </c>
      <c r="G51" s="16" t="n">
        <f aca="false">G45*G48*uk_lo</f>
        <v>0.322</v>
      </c>
    </row>
    <row r="52" customFormat="false" ht="17.15" hidden="false" customHeight="false" outlineLevel="0" collapsed="false">
      <c r="A52" s="4" t="s">
        <v>721</v>
      </c>
      <c r="B52" s="0" t="s">
        <v>100</v>
      </c>
      <c r="D52" s="23" t="n">
        <f aca="false">gb_trn_26</f>
        <v>110</v>
      </c>
      <c r="E52" s="23" t="n">
        <f aca="false">gb_trn_27</f>
        <v>144</v>
      </c>
      <c r="F52" s="23" t="n">
        <f aca="false">gb_trn_28</f>
        <v>200</v>
      </c>
      <c r="G52" s="23" t="n">
        <f aca="false">gb_trn_28</f>
        <v>200</v>
      </c>
    </row>
    <row r="53" customFormat="false" ht="17.15" hidden="false" customHeight="false" outlineLevel="0" collapsed="false">
      <c r="A53" s="4" t="s">
        <v>722</v>
      </c>
      <c r="B53" s="0" t="s">
        <v>100</v>
      </c>
      <c r="D53" s="23" t="n">
        <f aca="false">gb_oth_26</f>
        <v>150</v>
      </c>
      <c r="E53" s="23" t="n">
        <f aca="false">gb_oth_27</f>
        <v>200</v>
      </c>
      <c r="F53" s="23" t="n">
        <f aca="false">gb_oth_28</f>
        <v>250</v>
      </c>
      <c r="G53" s="23" t="n">
        <f aca="false">gb_oth_28</f>
        <v>250</v>
      </c>
    </row>
    <row r="54" customFormat="false" ht="17.15" hidden="false" customHeight="false" outlineLevel="0" collapsed="false">
      <c r="A54" s="4" t="s">
        <v>723</v>
      </c>
      <c r="B54" s="0" t="s">
        <v>100</v>
      </c>
      <c r="D54" s="23" t="n">
        <f aca="false">gb_tpu_26</f>
        <v>192</v>
      </c>
      <c r="E54" s="23" t="n">
        <f aca="false">gb_tpu_27</f>
        <v>250</v>
      </c>
      <c r="F54" s="23" t="n">
        <f aca="false">gb_tpu_28</f>
        <v>288</v>
      </c>
      <c r="G54" s="23" t="n">
        <f aca="false">gb_tpu_28</f>
        <v>288</v>
      </c>
    </row>
    <row r="55" customFormat="false" ht="17.15" hidden="false" customHeight="false" outlineLevel="0" collapsed="false">
      <c r="A55" s="0" t="s">
        <v>724</v>
      </c>
      <c r="B55" s="0" t="s">
        <v>200</v>
      </c>
      <c r="D55" s="22" t="n">
        <f aca="false">hbm_A_26</f>
        <v>14.6</v>
      </c>
      <c r="E55" s="22" t="n">
        <f aca="false">hbm_A_27</f>
        <v>26.28</v>
      </c>
      <c r="F55" s="22" t="n">
        <f aca="false">hbm_A_28</f>
        <v>28.908</v>
      </c>
      <c r="G55" s="22" t="n">
        <f aca="false">hbm_A_29</f>
        <v>27.4626</v>
      </c>
    </row>
    <row r="56" customFormat="false" ht="17.15" hidden="false" customHeight="false" outlineLevel="0" collapsed="false">
      <c r="A56" s="4" t="s">
        <v>725</v>
      </c>
      <c r="B56" s="0" t="s">
        <v>122</v>
      </c>
      <c r="D56" s="22" t="n">
        <f aca="false">core_trn</f>
        <v>6.394</v>
      </c>
      <c r="E56" s="22" t="n">
        <f aca="false">core_trn*1</f>
        <v>6.394</v>
      </c>
      <c r="F56" s="22" t="n">
        <f aca="false">core_trn*1</f>
        <v>6.394</v>
      </c>
      <c r="G56" s="22" t="n">
        <f aca="false">core_trn*1</f>
        <v>6.394</v>
      </c>
    </row>
    <row r="57" customFormat="false" ht="17.15" hidden="false" customHeight="false" outlineLevel="0" collapsed="false">
      <c r="A57" s="4" t="s">
        <v>726</v>
      </c>
      <c r="B57" s="0" t="s">
        <v>122</v>
      </c>
      <c r="D57" s="22" t="n">
        <f aca="false">core_oth</f>
        <v>6</v>
      </c>
      <c r="E57" s="22" t="n">
        <f aca="false">core_oth*1</f>
        <v>6</v>
      </c>
      <c r="F57" s="22" t="n">
        <f aca="false">core_oth*1</f>
        <v>6</v>
      </c>
      <c r="G57" s="22" t="n">
        <f aca="false">core_oth*1</f>
        <v>6</v>
      </c>
    </row>
    <row r="58" customFormat="false" ht="17.15" hidden="false" customHeight="false" outlineLevel="0" collapsed="false">
      <c r="A58" s="4" t="s">
        <v>727</v>
      </c>
      <c r="B58" s="0" t="s">
        <v>122</v>
      </c>
      <c r="D58" s="22" t="n">
        <f aca="false">core_tpu</f>
        <v>8</v>
      </c>
      <c r="E58" s="22" t="n">
        <f aca="false">core_tpu*1</f>
        <v>8</v>
      </c>
      <c r="F58" s="22" t="n">
        <f aca="false">core_tpu*1</f>
        <v>8</v>
      </c>
      <c r="G58" s="22" t="n">
        <f aca="false">core_tpu*1</f>
        <v>8</v>
      </c>
    </row>
    <row r="59" customFormat="false" ht="17.15" hidden="false" customHeight="false" outlineLevel="0" collapsed="false">
      <c r="A59" s="4" t="s">
        <v>728</v>
      </c>
      <c r="B59" s="0" t="s">
        <v>122</v>
      </c>
      <c r="D59" s="22" t="n">
        <f aca="false">D52*D55/1000</f>
        <v>1.606</v>
      </c>
      <c r="E59" s="22" t="n">
        <f aca="false">E52*E55/1000</f>
        <v>3.78432</v>
      </c>
      <c r="F59" s="22" t="n">
        <f aca="false">F52*F55/1000</f>
        <v>5.7816</v>
      </c>
      <c r="G59" s="22" t="n">
        <f aca="false">G52*G55/1000</f>
        <v>5.49252</v>
      </c>
    </row>
    <row r="60" customFormat="false" ht="17.15" hidden="false" customHeight="false" outlineLevel="0" collapsed="false">
      <c r="A60" s="4" t="s">
        <v>729</v>
      </c>
      <c r="B60" s="0" t="s">
        <v>122</v>
      </c>
      <c r="D60" s="22" t="n">
        <f aca="false">D53*D55/1000</f>
        <v>2.19</v>
      </c>
      <c r="E60" s="22" t="n">
        <f aca="false">E53*E55/1000</f>
        <v>5.256</v>
      </c>
      <c r="F60" s="22" t="n">
        <f aca="false">F53*F55/1000</f>
        <v>7.227</v>
      </c>
      <c r="G60" s="22" t="n">
        <f aca="false">G53*G55/1000</f>
        <v>6.86565</v>
      </c>
    </row>
    <row r="61" customFormat="false" ht="17.15" hidden="false" customHeight="false" outlineLevel="0" collapsed="false">
      <c r="A61" s="4" t="s">
        <v>730</v>
      </c>
      <c r="B61" s="0" t="s">
        <v>122</v>
      </c>
      <c r="D61" s="22" t="n">
        <f aca="false">D54*D55/1000</f>
        <v>2.8032</v>
      </c>
      <c r="E61" s="22" t="n">
        <f aca="false">E54*E55/1000</f>
        <v>6.57</v>
      </c>
      <c r="F61" s="22" t="n">
        <f aca="false">F54*F55/1000</f>
        <v>8.325504</v>
      </c>
      <c r="G61" s="22" t="n">
        <f aca="false">G54*G55/1000</f>
        <v>7.9092288</v>
      </c>
    </row>
    <row r="62" customFormat="false" ht="17.15" hidden="false" customHeight="false" outlineLevel="0" collapsed="false">
      <c r="A62" s="4" t="s">
        <v>731</v>
      </c>
      <c r="B62" s="0" t="s">
        <v>122</v>
      </c>
      <c r="D62" s="22" t="n">
        <f aca="false">D56+f_hbm*D59</f>
        <v>7.3576</v>
      </c>
      <c r="E62" s="22" t="n">
        <f aca="false">E56+f_hbm*E59</f>
        <v>8.664592</v>
      </c>
      <c r="F62" s="22" t="n">
        <f aca="false">F56+f_hbm*F59</f>
        <v>9.86296</v>
      </c>
      <c r="G62" s="22" t="n">
        <f aca="false">G56+f_hbm*G59</f>
        <v>9.689512</v>
      </c>
      <c r="H62" s="4" t="s">
        <v>732</v>
      </c>
    </row>
    <row r="63" customFormat="false" ht="17.15" hidden="false" customHeight="false" outlineLevel="0" collapsed="false">
      <c r="A63" s="4" t="s">
        <v>733</v>
      </c>
      <c r="B63" s="0" t="s">
        <v>122</v>
      </c>
      <c r="D63" s="22" t="n">
        <f aca="false">D57+f_hbm*D60</f>
        <v>7.314</v>
      </c>
      <c r="E63" s="22" t="n">
        <f aca="false">E57+f_hbm*E60</f>
        <v>9.1536</v>
      </c>
      <c r="F63" s="22" t="n">
        <f aca="false">F57+f_hbm*F60</f>
        <v>10.3362</v>
      </c>
      <c r="G63" s="22" t="n">
        <f aca="false">G57+f_hbm*G60</f>
        <v>10.11939</v>
      </c>
    </row>
    <row r="64" customFormat="false" ht="17.15" hidden="false" customHeight="false" outlineLevel="0" collapsed="false">
      <c r="A64" s="4" t="s">
        <v>734</v>
      </c>
      <c r="B64" s="0" t="s">
        <v>122</v>
      </c>
      <c r="D64" s="22" t="n">
        <f aca="false">D58+f_hbm*D61</f>
        <v>9.68192</v>
      </c>
      <c r="E64" s="22" t="n">
        <f aca="false">E58+f_hbm*E61</f>
        <v>11.942</v>
      </c>
      <c r="F64" s="22" t="n">
        <f aca="false">F58+f_hbm*F61</f>
        <v>12.9953024</v>
      </c>
      <c r="G64" s="22" t="n">
        <f aca="false">G58+f_hbm*G61</f>
        <v>12.74553728</v>
      </c>
    </row>
    <row r="65" customFormat="false" ht="17.15" hidden="false" customHeight="false" outlineLevel="0" collapsed="false">
      <c r="A65" s="0" t="s">
        <v>735</v>
      </c>
      <c r="B65" s="0" t="s">
        <v>239</v>
      </c>
      <c r="D65" s="22" t="n">
        <f aca="false">D49*D62+D50*D63+D51*D64</f>
        <v>1.83722</v>
      </c>
      <c r="E65" s="22" t="n">
        <f aca="false">E49*E62+E50*E63+E51*E64</f>
        <v>3.710096</v>
      </c>
      <c r="F65" s="22" t="n">
        <f aca="false">F49*F62+F50*F63+F51*F64</f>
        <v>11.734092992</v>
      </c>
      <c r="G65" s="22" t="n">
        <f aca="false">G49*G62+G50*G63+G51*G64</f>
        <v>13.22588635376</v>
      </c>
    </row>
    <row r="66" customFormat="false" ht="17.15" hidden="false" customHeight="false" outlineLevel="0" collapsed="false">
      <c r="A66" s="0" t="s">
        <v>736</v>
      </c>
      <c r="B66" s="0" t="s">
        <v>80</v>
      </c>
      <c r="D66" s="16" t="n">
        <f aca="false">a27_xpu/D65</f>
        <v>0.802843426481314</v>
      </c>
      <c r="H66" s="7" t="s">
        <v>737</v>
      </c>
    </row>
    <row r="67" customFormat="false" ht="17.15" hidden="false" customHeight="false" outlineLevel="0" collapsed="false">
      <c r="A67" s="0" t="s">
        <v>738</v>
      </c>
      <c r="B67" s="0" t="s">
        <v>239</v>
      </c>
      <c r="D67" s="22" t="n">
        <f aca="false">D65*$D$66</f>
        <v>1.475</v>
      </c>
      <c r="E67" s="22" t="n">
        <f aca="false">E65*$D$66</f>
        <v>2.97862618521462</v>
      </c>
      <c r="F67" s="22" t="n">
        <f aca="false">F65*$D$66</f>
        <v>9.42063942434766</v>
      </c>
      <c r="G67" s="22" t="n">
        <f aca="false">G65*$D$66</f>
        <v>10.6183159185051</v>
      </c>
    </row>
    <row r="68" customFormat="false" ht="17.15" hidden="false" customHeight="false" outlineLevel="0" collapsed="false">
      <c r="A68" s="4" t="s">
        <v>739</v>
      </c>
      <c r="B68" s="0" t="s">
        <v>239</v>
      </c>
      <c r="D68" s="22" t="n">
        <f aca="false">$D$66*f_hbm*(D49*D59+D50*D60+D51*D61)</f>
        <v>0.207470798271301</v>
      </c>
      <c r="E68" s="22" t="n">
        <f aca="false">$D$66*f_hbm*(E49*E59+E50*E60+E51*E61)</f>
        <v>0.91146493071053</v>
      </c>
      <c r="F68" s="22" t="n">
        <f aca="false">$D$66*f_hbm*(F49*F59+F50*F60+F51*F61)</f>
        <v>3.74642468686385</v>
      </c>
      <c r="G68" s="22" t="n">
        <f aca="false">$D$66*f_hbm*(G49*G59+G50*G60+G51*G61)</f>
        <v>4.09296897039876</v>
      </c>
    </row>
    <row r="69" customFormat="false" ht="15" hidden="false" customHeight="false" outlineLevel="0" collapsed="false">
      <c r="A69" s="4" t="s">
        <v>740</v>
      </c>
      <c r="B69" s="0" t="s">
        <v>239</v>
      </c>
      <c r="D69" s="22" t="n">
        <f aca="false">D67-D68</f>
        <v>1.2675292017287</v>
      </c>
      <c r="E69" s="22" t="n">
        <f aca="false">E67-E68</f>
        <v>2.06716125450409</v>
      </c>
      <c r="F69" s="22" t="n">
        <f aca="false">F67-F68</f>
        <v>5.67421473748381</v>
      </c>
      <c r="G69" s="22" t="n">
        <f aca="false">G67-G68</f>
        <v>6.52534694810638</v>
      </c>
    </row>
    <row r="70" customFormat="false" ht="17.15" hidden="false" customHeight="false" outlineLevel="0" collapsed="false">
      <c r="A70" s="0" t="s">
        <v>741</v>
      </c>
      <c r="B70" s="4" t="s">
        <v>36</v>
      </c>
      <c r="D70" s="16" t="n">
        <f aca="false">D49+D50+D51</f>
        <v>0.25</v>
      </c>
      <c r="E70" s="16" t="n">
        <f aca="false">E49+E50+E51</f>
        <v>0.416</v>
      </c>
      <c r="F70" s="16" t="n">
        <f aca="false">F49+F50+F51</f>
        <v>1.072</v>
      </c>
      <c r="G70" s="16" t="n">
        <f aca="false">G49+G50+G51</f>
        <v>1.2328</v>
      </c>
    </row>
    <row r="71" customFormat="false" ht="17.15" hidden="false" customHeight="false" outlineLevel="0" collapsed="false">
      <c r="A71" s="0" t="s">
        <v>742</v>
      </c>
      <c r="B71" s="0" t="s">
        <v>239</v>
      </c>
      <c r="C71" s="22" t="n">
        <f aca="false">a26_att</f>
        <v>0.2</v>
      </c>
      <c r="D71" s="22" t="n">
        <f aca="false">a27_att</f>
        <v>0.4</v>
      </c>
      <c r="E71" s="22" t="n">
        <f aca="false">att28</f>
        <v>1</v>
      </c>
      <c r="F71" s="22" t="n">
        <f aca="false">att28*(1+g_att)*um28_A</f>
        <v>1.5</v>
      </c>
      <c r="G71" s="22" t="n">
        <f aca="false">att28*(1+g_att)^2*um29_A</f>
        <v>2.25</v>
      </c>
      <c r="H71" s="7" t="s">
        <v>743</v>
      </c>
    </row>
    <row r="72" customFormat="false" ht="17.15" hidden="false" customHeight="false" outlineLevel="0" collapsed="false">
      <c r="A72" s="4" t="s">
        <v>744</v>
      </c>
      <c r="B72" s="0" t="s">
        <v>239</v>
      </c>
      <c r="C72" s="22" t="n">
        <f aca="false">a26_cus</f>
        <v>1.5</v>
      </c>
      <c r="D72" s="22" t="n">
        <f aca="false">D67+D71</f>
        <v>1.875</v>
      </c>
      <c r="E72" s="22" t="n">
        <f aca="false">E67+E71</f>
        <v>3.97862618521462</v>
      </c>
      <c r="F72" s="22" t="n">
        <f aca="false">F67+F71</f>
        <v>10.9206394243477</v>
      </c>
      <c r="G72" s="22" t="n">
        <f aca="false">G67+G71</f>
        <v>12.8683159185051</v>
      </c>
    </row>
    <row r="73" customFormat="false" ht="17.15" hidden="false" customHeight="false" outlineLevel="0" collapsed="false">
      <c r="A73" s="1" t="s">
        <v>745</v>
      </c>
    </row>
    <row r="74" customFormat="false" ht="17.15" hidden="false" customHeight="false" outlineLevel="0" collapsed="false">
      <c r="A74" s="0" t="s">
        <v>746</v>
      </c>
      <c r="B74" s="0" t="s">
        <v>239</v>
      </c>
      <c r="D74" s="22" t="n">
        <f aca="false">plug_26*1</f>
        <v>29.753262</v>
      </c>
      <c r="E74" s="22" t="n">
        <f aca="false">plug_27*1</f>
        <v>53.560715</v>
      </c>
      <c r="F74" s="22" t="n">
        <f aca="false">plug_28*um28_A</f>
        <v>57.9915</v>
      </c>
      <c r="G74" s="22" t="n">
        <f aca="false">plug_29*um29_A</f>
        <v>72.9348</v>
      </c>
    </row>
    <row r="75" customFormat="false" ht="17.15" hidden="false" customHeight="false" outlineLevel="0" collapsed="false">
      <c r="A75" s="4" t="s">
        <v>747</v>
      </c>
      <c r="B75" s="4" t="s">
        <v>680</v>
      </c>
      <c r="D75" s="19" t="n">
        <f aca="false">D74*1000/asp_26</f>
        <v>45.7742492307692</v>
      </c>
      <c r="E75" s="19" t="n">
        <f aca="false">E74*1000/asp_27</f>
        <v>66.95089375</v>
      </c>
      <c r="F75" s="19" t="n">
        <f aca="false">F74*1000/asp_28</f>
        <v>68.2252941176471</v>
      </c>
      <c r="G75" s="19" t="n">
        <f aca="false">G74*1000/asp_29</f>
        <v>85.8056470588235</v>
      </c>
    </row>
    <row r="76" customFormat="false" ht="17.15" hidden="false" customHeight="false" outlineLevel="0" collapsed="false">
      <c r="A76" s="4" t="s">
        <v>748</v>
      </c>
      <c r="B76" s="0" t="s">
        <v>49</v>
      </c>
      <c r="D76" s="14" t="n">
        <f aca="false">MIN(1,lpo_26)</f>
        <v>0.03</v>
      </c>
      <c r="E76" s="14" t="n">
        <f aca="false">MIN(1,lpo_27+0)</f>
        <v>0.06</v>
      </c>
      <c r="F76" s="14" t="n">
        <f aca="false">MIN(1,lpo_28+0)</f>
        <v>0.1</v>
      </c>
      <c r="G76" s="14" t="n">
        <f aca="false">MIN(1,lpo_29+0)</f>
        <v>0.15</v>
      </c>
    </row>
    <row r="77" customFormat="false" ht="15" hidden="false" customHeight="false" outlineLevel="0" collapsed="false">
      <c r="A77" s="4" t="s">
        <v>749</v>
      </c>
      <c r="B77" s="0" t="s">
        <v>253</v>
      </c>
      <c r="D77" s="23" t="n">
        <f aca="false">dsp_26</f>
        <v>125</v>
      </c>
      <c r="E77" s="23" t="n">
        <f aca="false">dsp_27*1</f>
        <v>135</v>
      </c>
      <c r="F77" s="23" t="n">
        <f aca="false">dsp_28*1</f>
        <v>135</v>
      </c>
      <c r="G77" s="23" t="n">
        <f aca="false">dsp_29*1</f>
        <v>130</v>
      </c>
    </row>
    <row r="78" customFormat="false" ht="17.15" hidden="false" customHeight="false" outlineLevel="0" collapsed="false">
      <c r="A78" s="4" t="s">
        <v>750</v>
      </c>
      <c r="B78" s="0" t="s">
        <v>239</v>
      </c>
      <c r="D78" s="22" t="n">
        <f aca="false">D75*(1-D76)*D77/1000</f>
        <v>5.55012771923077</v>
      </c>
      <c r="E78" s="22" t="n">
        <f aca="false">E75*(1-E76)*E77/1000</f>
        <v>8.496068416875</v>
      </c>
      <c r="F78" s="22" t="n">
        <f aca="false">F75*(1-F76)*F77/1000</f>
        <v>8.28937323529412</v>
      </c>
      <c r="G78" s="22" t="n">
        <f aca="false">G75*(1-G76)*G77/1000</f>
        <v>9.481524</v>
      </c>
    </row>
    <row r="79" customFormat="false" ht="17.15" hidden="false" customHeight="false" outlineLevel="0" collapsed="false">
      <c r="A79" s="0" t="s">
        <v>751</v>
      </c>
      <c r="B79" s="0" t="s">
        <v>49</v>
      </c>
      <c r="D79" s="14" t="n">
        <f aca="false">msh_dsp_26</f>
        <v>0.65</v>
      </c>
      <c r="E79" s="14" t="n">
        <f aca="false">msh_dsp_27+0</f>
        <v>0.63</v>
      </c>
      <c r="F79" s="14" t="n">
        <f aca="false">msh_dsp_28+0</f>
        <v>0.6</v>
      </c>
      <c r="G79" s="14" t="n">
        <f aca="false">msh_dsp_29+0</f>
        <v>0.58</v>
      </c>
    </row>
    <row r="80" customFormat="false" ht="17.15" hidden="false" customHeight="false" outlineLevel="0" collapsed="false">
      <c r="A80" s="0" t="s">
        <v>682</v>
      </c>
      <c r="B80" s="0" t="s">
        <v>239</v>
      </c>
      <c r="D80" s="22" t="n">
        <f aca="false">D78*D79</f>
        <v>3.6075830175</v>
      </c>
      <c r="E80" s="22" t="n">
        <f aca="false">E78*E79*1</f>
        <v>5.35252310263125</v>
      </c>
      <c r="F80" s="22" t="n">
        <f aca="false">F78*F79*1</f>
        <v>4.97362394117647</v>
      </c>
      <c r="G80" s="22" t="n">
        <f aca="false">G78*G79*1</f>
        <v>5.49928392</v>
      </c>
    </row>
    <row r="81" customFormat="false" ht="17.15" hidden="false" customHeight="false" outlineLevel="0" collapsed="false">
      <c r="A81" s="4" t="s">
        <v>752</v>
      </c>
      <c r="B81" s="0" t="s">
        <v>239</v>
      </c>
      <c r="D81" s="22" t="n">
        <f aca="false">coh27</f>
        <v>0.9</v>
      </c>
      <c r="E81" s="22" t="n">
        <f aca="false">D81*(1+g_coh)</f>
        <v>1.035</v>
      </c>
      <c r="F81" s="22" t="n">
        <f aca="false">E81*(1+g_coh)</f>
        <v>1.19025</v>
      </c>
      <c r="G81" s="22" t="n">
        <f aca="false">F81*(1+g_coh)</f>
        <v>1.3687875</v>
      </c>
    </row>
    <row r="82" customFormat="false" ht="17.15" hidden="false" customHeight="false" outlineLevel="0" collapsed="false">
      <c r="A82" s="4" t="s">
        <v>753</v>
      </c>
      <c r="B82" s="0" t="s">
        <v>80</v>
      </c>
      <c r="D82" s="16" t="n">
        <f aca="false">(a27_ic-D81)/D80</f>
        <v>1.44223430888795</v>
      </c>
      <c r="H82" s="7" t="s">
        <v>754</v>
      </c>
    </row>
    <row r="83" customFormat="false" ht="15" hidden="false" customHeight="false" outlineLevel="0" collapsed="false">
      <c r="A83" s="4" t="s">
        <v>755</v>
      </c>
      <c r="B83" s="0" t="s">
        <v>239</v>
      </c>
      <c r="C83" s="22" t="n">
        <f aca="false">a26_ic</f>
        <v>3.4503</v>
      </c>
      <c r="D83" s="22" t="n">
        <f aca="false">D80*$D$82+D81</f>
        <v>6.10298</v>
      </c>
      <c r="E83" s="22" t="n">
        <f aca="false">E80*$D$82+E81</f>
        <v>8.75459245773014</v>
      </c>
      <c r="F83" s="22" t="n">
        <f aca="false">F80*$D$82+F81</f>
        <v>8.36338108747118</v>
      </c>
      <c r="G83" s="22" t="n">
        <f aca="false">G80*$D$82+G81</f>
        <v>9.30004344373979</v>
      </c>
    </row>
    <row r="84" customFormat="false" ht="17.15" hidden="false" customHeight="false" outlineLevel="0" collapsed="false">
      <c r="A84" s="1" t="s">
        <v>756</v>
      </c>
    </row>
    <row r="85" customFormat="false" ht="15" hidden="false" customHeight="false" outlineLevel="0" collapsed="false">
      <c r="A85" s="4" t="s">
        <v>757</v>
      </c>
      <c r="B85" s="0" t="s">
        <v>239</v>
      </c>
      <c r="C85" s="22" t="n">
        <f aca="false">a26_sw</f>
        <v>0.3</v>
      </c>
      <c r="D85" s="22" t="n">
        <f aca="false">a27_sw</f>
        <v>0.65</v>
      </c>
      <c r="E85" s="22" t="n">
        <f aca="false">a27_sw*(1+g_sw28)</f>
        <v>1.17</v>
      </c>
      <c r="F85" s="22" t="n">
        <f aca="false">a27_sw*(1+g_sw28)*(1+g_sw)*um28_A</f>
        <v>1.638</v>
      </c>
      <c r="G85" s="22" t="n">
        <f aca="false">a27_sw*(1+g_sw28)*(1+g_sw)^2*um29_A</f>
        <v>2.2932</v>
      </c>
    </row>
    <row r="86" customFormat="false" ht="17.15" hidden="false" customHeight="false" outlineLevel="0" collapsed="false">
      <c r="A86" s="0" t="s">
        <v>758</v>
      </c>
      <c r="B86" s="0" t="s">
        <v>239</v>
      </c>
      <c r="C86" s="22" t="n">
        <f aca="false">a26_aec</f>
        <v>0.2</v>
      </c>
      <c r="D86" s="22" t="n">
        <f aca="false">a27_aec</f>
        <v>0.45</v>
      </c>
      <c r="E86" s="22" t="n">
        <f aca="false">a27_aec*(1+g_aec)</f>
        <v>0.675</v>
      </c>
      <c r="F86" s="22" t="n">
        <f aca="false">a27_aec*(1+g_aec)^2*um28_A</f>
        <v>1.0125</v>
      </c>
      <c r="G86" s="22" t="n">
        <f aca="false">a27_aec*(1+g_aec)^3*um29_A</f>
        <v>1.51875</v>
      </c>
    </row>
    <row r="87" customFormat="false" ht="15" hidden="false" customHeight="false" outlineLevel="0" collapsed="false">
      <c r="A87" s="4" t="s">
        <v>759</v>
      </c>
      <c r="B87" s="0" t="s">
        <v>239</v>
      </c>
      <c r="C87" s="22" t="n">
        <f aca="false">a26_sto</f>
        <v>0.65</v>
      </c>
      <c r="D87" s="22" t="n">
        <f aca="false">a27_sto</f>
        <v>0.6825</v>
      </c>
      <c r="E87" s="22" t="n">
        <f aca="false">D87*(1+g_sto)</f>
        <v>0.716625</v>
      </c>
      <c r="F87" s="22" t="n">
        <f aca="false">E87*(1+g_sto)</f>
        <v>0.75245625</v>
      </c>
      <c r="G87" s="22" t="n">
        <f aca="false">F87*(1+g_sto)</f>
        <v>0.7900790625</v>
      </c>
    </row>
    <row r="88" customFormat="false" ht="15" hidden="false" customHeight="false" outlineLevel="0" collapsed="false">
      <c r="A88" s="4" t="s">
        <v>760</v>
      </c>
      <c r="B88" s="0" t="s">
        <v>239</v>
      </c>
      <c r="C88" s="22" t="n">
        <f aca="false">a26_dc</f>
        <v>6.1003</v>
      </c>
      <c r="D88" s="22" t="n">
        <f aca="false">D72+D83+D85+D86+D87</f>
        <v>9.76048</v>
      </c>
      <c r="E88" s="22" t="n">
        <f aca="false">E72+E83+E85+E86+E87</f>
        <v>15.2948436429448</v>
      </c>
      <c r="F88" s="22" t="n">
        <f aca="false">F72+F83+F85+F86+F87</f>
        <v>22.6869767618188</v>
      </c>
      <c r="G88" s="22" t="n">
        <f aca="false">G72+G83+G85+G86+G87</f>
        <v>26.7703884247449</v>
      </c>
    </row>
    <row r="89" customFormat="false" ht="15" hidden="false" customHeight="false" outlineLevel="0" collapsed="false">
      <c r="A89" s="4" t="s">
        <v>761</v>
      </c>
      <c r="B89" s="0" t="s">
        <v>239</v>
      </c>
      <c r="C89" s="22" t="n">
        <f aca="false">a26_co</f>
        <v>2.0943</v>
      </c>
      <c r="D89" s="22" t="n">
        <f aca="false">a27_co</f>
        <v>2.23952</v>
      </c>
      <c r="E89" s="22" t="n">
        <f aca="false">D89*(1+g_co28)</f>
        <v>2.3067056</v>
      </c>
      <c r="F89" s="22" t="n">
        <f aca="false">E89*(1+g_co)</f>
        <v>2.375906768</v>
      </c>
      <c r="G89" s="22" t="n">
        <f aca="false">F89*(1+g_co)</f>
        <v>2.44718397104</v>
      </c>
    </row>
    <row r="90" customFormat="false" ht="17.15" hidden="false" customHeight="false" outlineLevel="0" collapsed="false">
      <c r="A90" s="1" t="s">
        <v>762</v>
      </c>
    </row>
    <row r="91" customFormat="false" ht="15" hidden="false" customHeight="false" outlineLevel="0" collapsed="false">
      <c r="A91" s="4" t="s">
        <v>597</v>
      </c>
      <c r="B91" s="0" t="s">
        <v>239</v>
      </c>
      <c r="C91" s="22" t="n">
        <f aca="false">a26_rev</f>
        <v>8.1946</v>
      </c>
      <c r="D91" s="22" t="n">
        <f aca="false">a27_rev</f>
        <v>12</v>
      </c>
      <c r="E91" s="22" t="n">
        <f aca="false">E88+E89</f>
        <v>17.6015492429448</v>
      </c>
      <c r="F91" s="22" t="n">
        <f aca="false">F88+F89</f>
        <v>25.0628835298188</v>
      </c>
      <c r="G91" s="22" t="n">
        <f aca="false">G88+G89</f>
        <v>29.2175723957849</v>
      </c>
    </row>
    <row r="92" customFormat="false" ht="17.15" hidden="false" customHeight="false" outlineLevel="0" collapsed="false">
      <c r="A92" s="4" t="s">
        <v>763</v>
      </c>
      <c r="B92" s="0" t="s">
        <v>239</v>
      </c>
      <c r="D92" s="22" t="n">
        <f aca="false">D88+D89</f>
        <v>12</v>
      </c>
      <c r="E92" s="22" t="n">
        <f aca="false">E88+E89</f>
        <v>17.6015492429448</v>
      </c>
      <c r="F92" s="22" t="n">
        <f aca="false">F88+F89</f>
        <v>25.0628835298188</v>
      </c>
      <c r="G92" s="22" t="n">
        <f aca="false">G88+G89</f>
        <v>29.2175723957849</v>
      </c>
    </row>
    <row r="93" customFormat="false" ht="15" hidden="false" customHeight="false" outlineLevel="0" collapsed="false">
      <c r="A93" s="4" t="s">
        <v>764</v>
      </c>
      <c r="B93" s="0" t="s">
        <v>49</v>
      </c>
      <c r="D93" s="14" t="n">
        <f aca="false">D91/C91-1</f>
        <v>0.464378981280355</v>
      </c>
      <c r="E93" s="14" t="n">
        <f aca="false">E91/D91-1</f>
        <v>0.466795770245397</v>
      </c>
      <c r="F93" s="14" t="n">
        <f aca="false">F91/E91-1</f>
        <v>0.423902134061569</v>
      </c>
      <c r="G93" s="14" t="n">
        <f aca="false">G91/F91-1</f>
        <v>0.165770585057501</v>
      </c>
    </row>
    <row r="94" customFormat="false" ht="17.15" hidden="false" customHeight="false" outlineLevel="0" collapsed="false">
      <c r="A94" s="4" t="s">
        <v>765</v>
      </c>
      <c r="B94" s="0" t="s">
        <v>49</v>
      </c>
      <c r="C94" s="14" t="n">
        <f aca="false">C88/C91</f>
        <v>0.744429258292046</v>
      </c>
      <c r="D94" s="14" t="n">
        <f aca="false">D88/D91</f>
        <v>0.813373333333333</v>
      </c>
      <c r="E94" s="14" t="n">
        <f aca="false">E88/E91</f>
        <v>0.86894871762924</v>
      </c>
      <c r="F94" s="14" t="n">
        <f aca="false">F88/F91</f>
        <v>0.905202178146292</v>
      </c>
      <c r="G94" s="14" t="n">
        <f aca="false">G88/G91</f>
        <v>0.916242734410302</v>
      </c>
    </row>
    <row r="95" customFormat="false" ht="17.15" hidden="false" customHeight="false" outlineLevel="0" collapsed="false">
      <c r="A95" s="4" t="s">
        <v>766</v>
      </c>
      <c r="B95" s="0" t="s">
        <v>239</v>
      </c>
      <c r="D95" s="22" t="n">
        <f aca="false">gm_opt*D83+gm_oth*(D85+D86+D87)+gm_att*D71+gm_co*D89+m_hbm*D68</f>
        <v>6.45404607982713</v>
      </c>
      <c r="E95" s="22" t="n">
        <f aca="false">gm_opt*E83+gm_oth*(E85+E86+E87)+gm_att*E71+gm_co*E89+m_hbm*E68</f>
        <v>9.03140398944104</v>
      </c>
      <c r="F95" s="22" t="n">
        <f aca="false">gm_opt*F83+gm_oth*(F85+F86+F87)+gm_att*F71+gm_co*F89+m_hbm*F68</f>
        <v>9.88837222923323</v>
      </c>
      <c r="G95" s="22" t="n">
        <f aca="false">gm_opt*G83+gm_oth*(G85+G86+G87)+gm_att*G71+gm_co*G89+m_hbm*G68</f>
        <v>11.6864084072991</v>
      </c>
    </row>
    <row r="96" customFormat="false" ht="17.15" hidden="false" customHeight="false" outlineLevel="0" collapsed="false">
      <c r="A96" s="0" t="s">
        <v>767</v>
      </c>
      <c r="B96" s="0" t="s">
        <v>80</v>
      </c>
      <c r="D96" s="16" t="n">
        <f aca="false">(a27_gp-D95)/D69</f>
        <v>0.435994625937743</v>
      </c>
      <c r="H96" s="7" t="s">
        <v>768</v>
      </c>
    </row>
    <row r="97" customFormat="false" ht="15" hidden="false" customHeight="false" outlineLevel="0" collapsed="false">
      <c r="A97" s="4" t="s">
        <v>769</v>
      </c>
      <c r="B97" s="0" t="s">
        <v>239</v>
      </c>
      <c r="C97" s="22" t="n">
        <f aca="false">a26_gp</f>
        <v>4.8718</v>
      </c>
      <c r="D97" s="22" t="n">
        <f aca="false">a27_gp</f>
        <v>7.006682</v>
      </c>
      <c r="E97" s="22" t="n">
        <f aca="false">E95+$D$96*E69</f>
        <v>9.93267518735155</v>
      </c>
      <c r="F97" s="22" t="n">
        <f aca="false">F95+$D$96*F69</f>
        <v>12.3622993611929</v>
      </c>
      <c r="G97" s="22" t="n">
        <f aca="false">G95+$D$96*G69</f>
        <v>14.5314246090528</v>
      </c>
    </row>
    <row r="98" customFormat="false" ht="15" hidden="false" customHeight="false" outlineLevel="0" collapsed="false">
      <c r="A98" s="4" t="s">
        <v>621</v>
      </c>
      <c r="B98" s="0" t="s">
        <v>49</v>
      </c>
      <c r="C98" s="14" t="n">
        <f aca="false">C97/C91</f>
        <v>0.59451346008347</v>
      </c>
      <c r="D98" s="14" t="n">
        <f aca="false">D97/D91</f>
        <v>0.583890166666667</v>
      </c>
      <c r="E98" s="14" t="n">
        <f aca="false">E97/E91</f>
        <v>0.564306871529099</v>
      </c>
      <c r="F98" s="14" t="n">
        <f aca="false">F97/F91</f>
        <v>0.493251279186799</v>
      </c>
      <c r="G98" s="14" t="n">
        <f aca="false">G97/G91</f>
        <v>0.497352223935934</v>
      </c>
    </row>
    <row r="99" customFormat="false" ht="17.15" hidden="false" customHeight="false" outlineLevel="0" collapsed="false">
      <c r="A99" s="4" t="s">
        <v>770</v>
      </c>
      <c r="B99" s="0" t="s">
        <v>49</v>
      </c>
      <c r="C99" s="14" t="n">
        <f aca="false">C72/C91</f>
        <v>0.183047372660044</v>
      </c>
      <c r="D99" s="14" t="n">
        <f aca="false">D72/D91</f>
        <v>0.15625</v>
      </c>
      <c r="E99" s="14" t="n">
        <f aca="false">E72/E91</f>
        <v>0.226038408909339</v>
      </c>
      <c r="F99" s="14" t="n">
        <f aca="false">F72/F91</f>
        <v>0.435729568441505</v>
      </c>
      <c r="G99" s="14" t="n">
        <f aca="false">G72/G91</f>
        <v>0.440430701914221</v>
      </c>
    </row>
    <row r="100" customFormat="false" ht="15" hidden="false" customHeight="false" outlineLevel="0" collapsed="false">
      <c r="A100" s="4" t="s">
        <v>771</v>
      </c>
      <c r="B100" s="0" t="s">
        <v>239</v>
      </c>
      <c r="C100" s="22" t="n">
        <f aca="false">a26_opx</f>
        <v>1.9808</v>
      </c>
      <c r="D100" s="22" t="n">
        <f aca="false">a27_opx</f>
        <v>2.55</v>
      </c>
      <c r="E100" s="22" t="n">
        <f aca="false">D100*(1+MAX(g_opx_min,phi*E93))</f>
        <v>3.14516460706288</v>
      </c>
      <c r="F100" s="22" t="n">
        <f aca="false">E100*(1+MAX(g_opx_min,phi*F93))</f>
        <v>3.81178560151732</v>
      </c>
      <c r="G100" s="22" t="n">
        <f aca="false">F100*(1+MAX(g_opx_min,phi*G93))</f>
        <v>4.12772656615596</v>
      </c>
    </row>
    <row r="101" customFormat="false" ht="15" hidden="false" customHeight="false" outlineLevel="0" collapsed="false">
      <c r="A101" s="4" t="s">
        <v>772</v>
      </c>
      <c r="B101" s="0" t="s">
        <v>239</v>
      </c>
      <c r="C101" s="22" t="n">
        <f aca="false">C100</f>
        <v>1.9808</v>
      </c>
      <c r="D101" s="22" t="n">
        <f aca="false">D100</f>
        <v>2.55</v>
      </c>
      <c r="E101" s="22" t="n">
        <f aca="false">E100+0*E91</f>
        <v>3.14516460706288</v>
      </c>
      <c r="F101" s="22" t="n">
        <f aca="false">F100+0*F91</f>
        <v>3.81178560151732</v>
      </c>
      <c r="G101" s="22" t="n">
        <f aca="false">G100+0*G91</f>
        <v>4.12772656615596</v>
      </c>
    </row>
    <row r="102" customFormat="false" ht="15" hidden="false" customHeight="false" outlineLevel="0" collapsed="false">
      <c r="A102" s="4" t="s">
        <v>773</v>
      </c>
      <c r="B102" s="0" t="s">
        <v>239</v>
      </c>
      <c r="C102" s="22" t="n">
        <f aca="false">C97-C101</f>
        <v>2.891</v>
      </c>
      <c r="D102" s="22" t="n">
        <f aca="false">D97-D101</f>
        <v>4.456682</v>
      </c>
      <c r="E102" s="22" t="n">
        <f aca="false">E97-E101</f>
        <v>6.78751058028866</v>
      </c>
      <c r="F102" s="22" t="n">
        <f aca="false">F97-F101</f>
        <v>8.55051375967559</v>
      </c>
      <c r="G102" s="22" t="n">
        <f aca="false">G97-G101</f>
        <v>10.4036980428968</v>
      </c>
    </row>
    <row r="103" customFormat="false" ht="15" hidden="false" customHeight="false" outlineLevel="0" collapsed="false">
      <c r="A103" s="4" t="s">
        <v>627</v>
      </c>
      <c r="B103" s="0" t="s">
        <v>49</v>
      </c>
      <c r="C103" s="14" t="n">
        <f aca="false">C102/C91</f>
        <v>0.352793302906792</v>
      </c>
      <c r="D103" s="14" t="n">
        <f aca="false">D102/D91</f>
        <v>0.371390166666667</v>
      </c>
      <c r="E103" s="14" t="n">
        <f aca="false">E102/E91</f>
        <v>0.385620065972847</v>
      </c>
      <c r="F103" s="14" t="n">
        <f aca="false">F102/F91</f>
        <v>0.341162410522418</v>
      </c>
      <c r="G103" s="14" t="n">
        <f aca="false">G102/G91</f>
        <v>0.356076743884366</v>
      </c>
    </row>
    <row r="104" customFormat="false" ht="15" hidden="false" customHeight="false" outlineLevel="0" collapsed="false">
      <c r="A104" s="4" t="s">
        <v>774</v>
      </c>
      <c r="B104" s="0" t="s">
        <v>239</v>
      </c>
      <c r="C104" s="22" t="n">
        <f aca="false">a26_oth</f>
        <v>0.1514</v>
      </c>
      <c r="D104" s="22" t="n">
        <f aca="false">a27_oth</f>
        <v>0.1424</v>
      </c>
      <c r="E104" s="22" t="n">
        <f aca="false">int_f</f>
        <v>0.15</v>
      </c>
      <c r="F104" s="22" t="n">
        <f aca="false">int_f</f>
        <v>0.15</v>
      </c>
      <c r="G104" s="22" t="n">
        <f aca="false">int_f</f>
        <v>0.15</v>
      </c>
    </row>
    <row r="105" customFormat="false" ht="15" hidden="false" customHeight="false" outlineLevel="0" collapsed="false">
      <c r="A105" s="4" t="s">
        <v>775</v>
      </c>
      <c r="B105" s="0" t="s">
        <v>49</v>
      </c>
      <c r="C105" s="14" t="n">
        <f aca="false">a26_tax/(a26_oi-a26_oth)</f>
        <v>0.1</v>
      </c>
      <c r="D105" s="14" t="n">
        <f aca="false">a27_tax/(a27_oi-a27_oth)</f>
        <v>0.11</v>
      </c>
      <c r="E105" s="14" t="n">
        <f aca="false">tx_f</f>
        <v>0.13</v>
      </c>
      <c r="F105" s="14" t="n">
        <f aca="false">tx_f</f>
        <v>0.13</v>
      </c>
      <c r="G105" s="14" t="n">
        <f aca="false">tx_f</f>
        <v>0.13</v>
      </c>
    </row>
    <row r="106" customFormat="false" ht="17.15" hidden="false" customHeight="false" outlineLevel="0" collapsed="false">
      <c r="A106" s="4" t="s">
        <v>708</v>
      </c>
      <c r="B106" s="0" t="s">
        <v>239</v>
      </c>
      <c r="C106" s="22" t="n">
        <f aca="false">a26_ni</f>
        <v>2.46564</v>
      </c>
      <c r="D106" s="22" t="n">
        <f aca="false">a27_ni</f>
        <v>3.83971098</v>
      </c>
      <c r="E106" s="22" t="n">
        <f aca="false">(E102-E104)*(1-E105)</f>
        <v>5.77463420485114</v>
      </c>
      <c r="F106" s="22" t="n">
        <f aca="false">(F102-F104)*(1-F105)</f>
        <v>7.30844697091777</v>
      </c>
      <c r="G106" s="22" t="n">
        <f aca="false">(G102-G104)*(1-G105)</f>
        <v>8.92071729732023</v>
      </c>
    </row>
    <row r="107" customFormat="false" ht="15" hidden="false" customHeight="false" outlineLevel="0" collapsed="false">
      <c r="A107" s="4" t="s">
        <v>776</v>
      </c>
      <c r="B107" s="4" t="s">
        <v>370</v>
      </c>
      <c r="C107" s="16" t="n">
        <f aca="false">a26_sh</f>
        <v>0.8697</v>
      </c>
      <c r="D107" s="16" t="n">
        <f aca="false">a27_sh</f>
        <v>0.915125</v>
      </c>
      <c r="E107" s="16" t="n">
        <f aca="false">D107*(1+sh_g)</f>
        <v>0.919700625</v>
      </c>
      <c r="F107" s="16" t="n">
        <f aca="false">E107*(1+sh_g)</f>
        <v>0.924299128125</v>
      </c>
      <c r="G107" s="16" t="n">
        <f aca="false">F107*(1+sh_g)</f>
        <v>0.928920623765625</v>
      </c>
    </row>
    <row r="108" customFormat="false" ht="17.15" hidden="false" customHeight="false" outlineLevel="0" collapsed="false">
      <c r="A108" s="0" t="s">
        <v>709</v>
      </c>
      <c r="B108" s="0" t="s">
        <v>253</v>
      </c>
      <c r="C108" s="22" t="n">
        <f aca="false">C106/C107</f>
        <v>2.83504656778199</v>
      </c>
      <c r="D108" s="22" t="n">
        <f aca="false">D106/D107</f>
        <v>4.19583224149706</v>
      </c>
      <c r="E108" s="22" t="n">
        <f aca="false">E106/E107</f>
        <v>6.27881948525493</v>
      </c>
      <c r="F108" s="22" t="n">
        <f aca="false">F106/F107</f>
        <v>7.90701489218476</v>
      </c>
      <c r="G108" s="22" t="n">
        <f aca="false">G106/G107</f>
        <v>9.60331493250494</v>
      </c>
    </row>
    <row r="109" customFormat="false" ht="17.15" hidden="false" customHeight="false" outlineLevel="0" collapsed="false">
      <c r="A109" s="0" t="s">
        <v>777</v>
      </c>
      <c r="B109" s="0" t="s">
        <v>49</v>
      </c>
      <c r="D109" s="14" t="n">
        <f aca="false">D108/C108-1</f>
        <v>0.479987062357033</v>
      </c>
      <c r="E109" s="14" t="n">
        <f aca="false">E108/D108-1</f>
        <v>0.496441974766528</v>
      </c>
      <c r="F109" s="14" t="n">
        <f aca="false">F108/E108-1</f>
        <v>0.259315530690675</v>
      </c>
      <c r="G109" s="14" t="n">
        <f aca="false">G108/F108-1</f>
        <v>0.214531028896479</v>
      </c>
    </row>
    <row r="112" customFormat="false" ht="17.15" hidden="false" customHeight="false" outlineLevel="0" collapsed="false">
      <c r="A112" s="3" t="s">
        <v>1171</v>
      </c>
    </row>
    <row r="113" customFormat="false" ht="17.15" hidden="false" customHeight="false" outlineLevel="0" collapsed="false">
      <c r="A113" s="5" t="s">
        <v>25</v>
      </c>
      <c r="B113" s="5" t="s">
        <v>26</v>
      </c>
      <c r="C113" s="11" t="s">
        <v>698</v>
      </c>
      <c r="D113" s="11" t="s">
        <v>699</v>
      </c>
      <c r="E113" s="11" t="s">
        <v>700</v>
      </c>
      <c r="F113" s="11" t="s">
        <v>701</v>
      </c>
      <c r="G113" s="11" t="s">
        <v>702</v>
      </c>
      <c r="H113" s="5" t="s">
        <v>555</v>
      </c>
    </row>
    <row r="114" customFormat="false" ht="17.15" hidden="false" customHeight="false" outlineLevel="0" collapsed="false">
      <c r="A114" s="1" t="s">
        <v>717</v>
      </c>
    </row>
    <row r="115" customFormat="false" ht="17.15" hidden="false" customHeight="false" outlineLevel="0" collapsed="false">
      <c r="A115" s="0" t="s">
        <v>718</v>
      </c>
      <c r="B115" s="4" t="s">
        <v>36</v>
      </c>
      <c r="D115" s="22" t="n">
        <f aca="false">u_trn_26</f>
        <v>2</v>
      </c>
      <c r="E115" s="22" t="n">
        <f aca="false">u_trn_27</f>
        <v>2.5</v>
      </c>
      <c r="F115" s="22" t="n">
        <f aca="false">u_trn_28*um28_A</f>
        <v>3</v>
      </c>
      <c r="G115" s="22" t="n">
        <f aca="false">u_trn_28*(1+g29_trn)*um29_A</f>
        <v>3.45</v>
      </c>
    </row>
    <row r="116" customFormat="false" ht="17.15" hidden="false" customHeight="false" outlineLevel="0" collapsed="false">
      <c r="A116" s="4" t="s">
        <v>719</v>
      </c>
      <c r="B116" s="4" t="s">
        <v>36</v>
      </c>
      <c r="D116" s="22" t="n">
        <f aca="false">u_oth_26</f>
        <v>1</v>
      </c>
      <c r="E116" s="22" t="n">
        <f aca="false">u_oth_27</f>
        <v>4.5</v>
      </c>
      <c r="F116" s="22" t="n">
        <f aca="false">u_oth_28*um28_A</f>
        <v>5</v>
      </c>
      <c r="G116" s="22" t="n">
        <f aca="false">u_oth_28*(1+g29_oth)*um29_A</f>
        <v>5.75</v>
      </c>
    </row>
    <row r="117" customFormat="false" ht="17.15" hidden="false" customHeight="false" outlineLevel="0" collapsed="false">
      <c r="A117" s="0" t="s">
        <v>720</v>
      </c>
      <c r="B117" s="4" t="s">
        <v>36</v>
      </c>
      <c r="D117" s="22" t="n">
        <f aca="false">u_tpu_26</f>
        <v>3.85</v>
      </c>
      <c r="E117" s="22" t="n">
        <f aca="false">u_tpu_27</f>
        <v>5.5</v>
      </c>
      <c r="F117" s="22" t="n">
        <f aca="false">u_tpu_28*um28_A</f>
        <v>7</v>
      </c>
      <c r="G117" s="22" t="n">
        <f aca="false">u_tpu_28*(1+g29_tpu)*um29_A</f>
        <v>8.05</v>
      </c>
    </row>
    <row r="118" customFormat="false" ht="17.15" hidden="false" customHeight="false" outlineLevel="0" collapsed="false">
      <c r="A118" s="0" t="s">
        <v>658</v>
      </c>
      <c r="B118" s="0" t="s">
        <v>49</v>
      </c>
      <c r="D118" s="14" t="n">
        <f aca="false">msh_trn_26</f>
        <v>0.1</v>
      </c>
      <c r="E118" s="14" t="n">
        <f aca="false">MIN(1,MAX(0,msh_trn_27+0))</f>
        <v>0.1</v>
      </c>
      <c r="F118" s="14" t="n">
        <f aca="false">MIN(1,MAX(0,msh_trn_28+0))</f>
        <v>0.08</v>
      </c>
      <c r="G118" s="14" t="n">
        <f aca="false">MIN(1,MAX(0,msh_trn_28+0))</f>
        <v>0.08</v>
      </c>
    </row>
    <row r="119" customFormat="false" ht="17.15" hidden="false" customHeight="false" outlineLevel="0" collapsed="false">
      <c r="A119" s="0" t="s">
        <v>666</v>
      </c>
      <c r="B119" s="0" t="s">
        <v>49</v>
      </c>
      <c r="D119" s="14" t="n">
        <f aca="false">msh_oth_26</f>
        <v>0.05</v>
      </c>
      <c r="E119" s="14" t="n">
        <f aca="false">MIN(1,MAX(0,msh_oth_27+0))</f>
        <v>0.06</v>
      </c>
      <c r="F119" s="14" t="n">
        <f aca="false">MIN(1,MAX(0,msh_oth_28+0))</f>
        <v>0.15</v>
      </c>
      <c r="G119" s="14" t="n">
        <f aca="false">MIN(1,MAX(0,msh_oth_28+0))</f>
        <v>0.15</v>
      </c>
    </row>
    <row r="120" customFormat="false" ht="17.15" hidden="false" customHeight="false" outlineLevel="0" collapsed="false">
      <c r="A120" s="0" t="s">
        <v>670</v>
      </c>
      <c r="B120" s="0" t="s">
        <v>49</v>
      </c>
      <c r="D120" s="14" t="n">
        <f aca="false">msh_tpu_26</f>
        <v>0</v>
      </c>
      <c r="E120" s="14" t="n">
        <f aca="false">MIN(1,MAX(0,msh_tpu_27+0))</f>
        <v>0</v>
      </c>
      <c r="F120" s="14" t="n">
        <f aca="false">MIN(1,MAX(0,msh_tpu_28+0))</f>
        <v>0.05</v>
      </c>
      <c r="G120" s="14" t="n">
        <f aca="false">MIN(1,MAX(0,msh_tpu_28+0))</f>
        <v>0.05</v>
      </c>
    </row>
    <row r="121" customFormat="false" ht="17.15" hidden="false" customHeight="false" outlineLevel="0" collapsed="false">
      <c r="A121" s="0" t="s">
        <v>660</v>
      </c>
      <c r="B121" s="4" t="s">
        <v>36</v>
      </c>
      <c r="D121" s="16" t="n">
        <f aca="false">D115*D118</f>
        <v>0.2</v>
      </c>
      <c r="E121" s="16" t="n">
        <f aca="false">E115*E118*uk_hi</f>
        <v>0.3</v>
      </c>
      <c r="F121" s="16" t="n">
        <f aca="false">F115*F118*uk_hi</f>
        <v>0.288</v>
      </c>
      <c r="G121" s="16" t="n">
        <f aca="false">G115*G118*uk_hi</f>
        <v>0.3312</v>
      </c>
    </row>
    <row r="122" customFormat="false" ht="17.15" hidden="false" customHeight="false" outlineLevel="0" collapsed="false">
      <c r="A122" s="0" t="s">
        <v>667</v>
      </c>
      <c r="B122" s="4" t="s">
        <v>36</v>
      </c>
      <c r="D122" s="16" t="n">
        <f aca="false">D116*D119</f>
        <v>0.05</v>
      </c>
      <c r="E122" s="16" t="n">
        <f aca="false">E116*E119*uk_hi</f>
        <v>0.324</v>
      </c>
      <c r="F122" s="16" t="n">
        <f aca="false">F116*F119*uk_hi</f>
        <v>0.9</v>
      </c>
      <c r="G122" s="16" t="n">
        <f aca="false">G116*G119*uk_hi</f>
        <v>1.035</v>
      </c>
    </row>
    <row r="123" customFormat="false" ht="17.15" hidden="false" customHeight="false" outlineLevel="0" collapsed="false">
      <c r="A123" s="0" t="s">
        <v>671</v>
      </c>
      <c r="B123" s="4" t="s">
        <v>36</v>
      </c>
      <c r="D123" s="16" t="n">
        <f aca="false">D117*D120</f>
        <v>0</v>
      </c>
      <c r="E123" s="16" t="n">
        <f aca="false">E117*E120*uk_hi</f>
        <v>0</v>
      </c>
      <c r="F123" s="16" t="n">
        <f aca="false">F117*F120*uk_hi</f>
        <v>0.42</v>
      </c>
      <c r="G123" s="16" t="n">
        <f aca="false">G117*G120*uk_hi</f>
        <v>0.483</v>
      </c>
    </row>
    <row r="124" customFormat="false" ht="17.15" hidden="false" customHeight="false" outlineLevel="0" collapsed="false">
      <c r="A124" s="4" t="s">
        <v>721</v>
      </c>
      <c r="B124" s="0" t="s">
        <v>100</v>
      </c>
      <c r="D124" s="23" t="n">
        <f aca="false">gb_trn_26</f>
        <v>110</v>
      </c>
      <c r="E124" s="23" t="n">
        <f aca="false">gb_trn_27</f>
        <v>144</v>
      </c>
      <c r="F124" s="23" t="n">
        <f aca="false">gb_trn_28</f>
        <v>200</v>
      </c>
      <c r="G124" s="23" t="n">
        <f aca="false">gb_trn_28</f>
        <v>200</v>
      </c>
    </row>
    <row r="125" customFormat="false" ht="17.15" hidden="false" customHeight="false" outlineLevel="0" collapsed="false">
      <c r="A125" s="4" t="s">
        <v>722</v>
      </c>
      <c r="B125" s="0" t="s">
        <v>100</v>
      </c>
      <c r="D125" s="23" t="n">
        <f aca="false">gb_oth_26</f>
        <v>150</v>
      </c>
      <c r="E125" s="23" t="n">
        <f aca="false">gb_oth_27</f>
        <v>200</v>
      </c>
      <c r="F125" s="23" t="n">
        <f aca="false">gb_oth_28</f>
        <v>250</v>
      </c>
      <c r="G125" s="23" t="n">
        <f aca="false">gb_oth_28</f>
        <v>250</v>
      </c>
    </row>
    <row r="126" customFormat="false" ht="17.15" hidden="false" customHeight="false" outlineLevel="0" collapsed="false">
      <c r="A126" s="4" t="s">
        <v>723</v>
      </c>
      <c r="B126" s="0" t="s">
        <v>100</v>
      </c>
      <c r="D126" s="23" t="n">
        <f aca="false">gb_tpu_26</f>
        <v>192</v>
      </c>
      <c r="E126" s="23" t="n">
        <f aca="false">gb_tpu_27</f>
        <v>250</v>
      </c>
      <c r="F126" s="23" t="n">
        <f aca="false">gb_tpu_28</f>
        <v>288</v>
      </c>
      <c r="G126" s="23" t="n">
        <f aca="false">gb_tpu_28</f>
        <v>288</v>
      </c>
    </row>
    <row r="127" customFormat="false" ht="17.15" hidden="false" customHeight="false" outlineLevel="0" collapsed="false">
      <c r="A127" s="0" t="s">
        <v>724</v>
      </c>
      <c r="B127" s="0" t="s">
        <v>200</v>
      </c>
      <c r="D127" s="22" t="n">
        <f aca="false">hbm_A_26</f>
        <v>14.6</v>
      </c>
      <c r="E127" s="22" t="n">
        <f aca="false">hbm_A_27</f>
        <v>26.28</v>
      </c>
      <c r="F127" s="22" t="n">
        <f aca="false">hbm_A_28</f>
        <v>28.908</v>
      </c>
      <c r="G127" s="22" t="n">
        <f aca="false">hbm_A_29</f>
        <v>27.4626</v>
      </c>
    </row>
    <row r="128" customFormat="false" ht="17.15" hidden="false" customHeight="false" outlineLevel="0" collapsed="false">
      <c r="A128" s="4" t="s">
        <v>725</v>
      </c>
      <c r="B128" s="0" t="s">
        <v>122</v>
      </c>
      <c r="D128" s="22" t="n">
        <f aca="false">core_trn</f>
        <v>6.394</v>
      </c>
      <c r="E128" s="22" t="n">
        <f aca="false">core_trn*1</f>
        <v>6.394</v>
      </c>
      <c r="F128" s="22" t="n">
        <f aca="false">core_trn*1</f>
        <v>6.394</v>
      </c>
      <c r="G128" s="22" t="n">
        <f aca="false">core_trn*1</f>
        <v>6.394</v>
      </c>
    </row>
    <row r="129" customFormat="false" ht="17.15" hidden="false" customHeight="false" outlineLevel="0" collapsed="false">
      <c r="A129" s="4" t="s">
        <v>726</v>
      </c>
      <c r="B129" s="0" t="s">
        <v>122</v>
      </c>
      <c r="D129" s="22" t="n">
        <f aca="false">core_oth</f>
        <v>6</v>
      </c>
      <c r="E129" s="22" t="n">
        <f aca="false">core_oth*1</f>
        <v>6</v>
      </c>
      <c r="F129" s="22" t="n">
        <f aca="false">core_oth*1</f>
        <v>6</v>
      </c>
      <c r="G129" s="22" t="n">
        <f aca="false">core_oth*1</f>
        <v>6</v>
      </c>
    </row>
    <row r="130" customFormat="false" ht="17.15" hidden="false" customHeight="false" outlineLevel="0" collapsed="false">
      <c r="A130" s="4" t="s">
        <v>727</v>
      </c>
      <c r="B130" s="0" t="s">
        <v>122</v>
      </c>
      <c r="D130" s="22" t="n">
        <f aca="false">core_tpu</f>
        <v>8</v>
      </c>
      <c r="E130" s="22" t="n">
        <f aca="false">core_tpu*1</f>
        <v>8</v>
      </c>
      <c r="F130" s="22" t="n">
        <f aca="false">core_tpu*1</f>
        <v>8</v>
      </c>
      <c r="G130" s="22" t="n">
        <f aca="false">core_tpu*1</f>
        <v>8</v>
      </c>
    </row>
    <row r="131" customFormat="false" ht="17.15" hidden="false" customHeight="false" outlineLevel="0" collapsed="false">
      <c r="A131" s="4" t="s">
        <v>728</v>
      </c>
      <c r="B131" s="0" t="s">
        <v>122</v>
      </c>
      <c r="D131" s="22" t="n">
        <f aca="false">D124*D127/1000</f>
        <v>1.606</v>
      </c>
      <c r="E131" s="22" t="n">
        <f aca="false">E124*E127/1000</f>
        <v>3.78432</v>
      </c>
      <c r="F131" s="22" t="n">
        <f aca="false">F124*F127/1000</f>
        <v>5.7816</v>
      </c>
      <c r="G131" s="22" t="n">
        <f aca="false">G124*G127/1000</f>
        <v>5.49252</v>
      </c>
    </row>
    <row r="132" customFormat="false" ht="17.15" hidden="false" customHeight="false" outlineLevel="0" collapsed="false">
      <c r="A132" s="4" t="s">
        <v>729</v>
      </c>
      <c r="B132" s="0" t="s">
        <v>122</v>
      </c>
      <c r="D132" s="22" t="n">
        <f aca="false">D125*D127/1000</f>
        <v>2.19</v>
      </c>
      <c r="E132" s="22" t="n">
        <f aca="false">E125*E127/1000</f>
        <v>5.256</v>
      </c>
      <c r="F132" s="22" t="n">
        <f aca="false">F125*F127/1000</f>
        <v>7.227</v>
      </c>
      <c r="G132" s="22" t="n">
        <f aca="false">G125*G127/1000</f>
        <v>6.86565</v>
      </c>
    </row>
    <row r="133" customFormat="false" ht="17.15" hidden="false" customHeight="false" outlineLevel="0" collapsed="false">
      <c r="A133" s="4" t="s">
        <v>730</v>
      </c>
      <c r="B133" s="0" t="s">
        <v>122</v>
      </c>
      <c r="D133" s="22" t="n">
        <f aca="false">D126*D127/1000</f>
        <v>2.8032</v>
      </c>
      <c r="E133" s="22" t="n">
        <f aca="false">E126*E127/1000</f>
        <v>6.57</v>
      </c>
      <c r="F133" s="22" t="n">
        <f aca="false">F126*F127/1000</f>
        <v>8.325504</v>
      </c>
      <c r="G133" s="22" t="n">
        <f aca="false">G126*G127/1000</f>
        <v>7.9092288</v>
      </c>
    </row>
    <row r="134" customFormat="false" ht="17.15" hidden="false" customHeight="false" outlineLevel="0" collapsed="false">
      <c r="A134" s="4" t="s">
        <v>731</v>
      </c>
      <c r="B134" s="0" t="s">
        <v>122</v>
      </c>
      <c r="D134" s="22" t="n">
        <f aca="false">D128+f_hbm*D131</f>
        <v>7.3576</v>
      </c>
      <c r="E134" s="22" t="n">
        <f aca="false">E128+f_hbm*E131</f>
        <v>8.664592</v>
      </c>
      <c r="F134" s="22" t="n">
        <f aca="false">F128+f_hbm*F131</f>
        <v>9.86296</v>
      </c>
      <c r="G134" s="22" t="n">
        <f aca="false">G128+f_hbm*G131</f>
        <v>9.689512</v>
      </c>
      <c r="H134" s="4" t="s">
        <v>732</v>
      </c>
    </row>
    <row r="135" customFormat="false" ht="17.15" hidden="false" customHeight="false" outlineLevel="0" collapsed="false">
      <c r="A135" s="4" t="s">
        <v>733</v>
      </c>
      <c r="B135" s="0" t="s">
        <v>122</v>
      </c>
      <c r="D135" s="22" t="n">
        <f aca="false">D129+f_hbm*D132</f>
        <v>7.314</v>
      </c>
      <c r="E135" s="22" t="n">
        <f aca="false">E129+f_hbm*E132</f>
        <v>9.1536</v>
      </c>
      <c r="F135" s="22" t="n">
        <f aca="false">F129+f_hbm*F132</f>
        <v>10.3362</v>
      </c>
      <c r="G135" s="22" t="n">
        <f aca="false">G129+f_hbm*G132</f>
        <v>10.11939</v>
      </c>
    </row>
    <row r="136" customFormat="false" ht="17.15" hidden="false" customHeight="false" outlineLevel="0" collapsed="false">
      <c r="A136" s="4" t="s">
        <v>734</v>
      </c>
      <c r="B136" s="0" t="s">
        <v>122</v>
      </c>
      <c r="D136" s="22" t="n">
        <f aca="false">D130+f_hbm*D133</f>
        <v>9.68192</v>
      </c>
      <c r="E136" s="22" t="n">
        <f aca="false">E130+f_hbm*E133</f>
        <v>11.942</v>
      </c>
      <c r="F136" s="22" t="n">
        <f aca="false">F130+f_hbm*F133</f>
        <v>12.9953024</v>
      </c>
      <c r="G136" s="22" t="n">
        <f aca="false">G130+f_hbm*G133</f>
        <v>12.74553728</v>
      </c>
    </row>
    <row r="137" customFormat="false" ht="17.15" hidden="false" customHeight="false" outlineLevel="0" collapsed="false">
      <c r="A137" s="0" t="s">
        <v>735</v>
      </c>
      <c r="B137" s="0" t="s">
        <v>239</v>
      </c>
      <c r="D137" s="22" t="n">
        <f aca="false">D121*D134+D122*D135+D123*D136</f>
        <v>1.83722</v>
      </c>
      <c r="E137" s="22" t="n">
        <f aca="false">E121*E134+E122*E135+E123*E136</f>
        <v>5.565144</v>
      </c>
      <c r="F137" s="22" t="n">
        <f aca="false">F121*F134+F122*F135+F123*F136</f>
        <v>17.601139488</v>
      </c>
      <c r="G137" s="22" t="n">
        <f aca="false">G121*G134+G122*G135+G123*G136</f>
        <v>19.83882953064</v>
      </c>
    </row>
    <row r="138" customFormat="false" ht="17.15" hidden="false" customHeight="false" outlineLevel="0" collapsed="false">
      <c r="A138" s="0" t="s">
        <v>736</v>
      </c>
      <c r="B138" s="0" t="s">
        <v>80</v>
      </c>
      <c r="D138" s="16" t="n">
        <f aca="false">a27_xpu/D137</f>
        <v>0.802843426481314</v>
      </c>
      <c r="H138" s="7" t="s">
        <v>737</v>
      </c>
    </row>
    <row r="139" customFormat="false" ht="17.15" hidden="false" customHeight="false" outlineLevel="0" collapsed="false">
      <c r="A139" s="0" t="s">
        <v>738</v>
      </c>
      <c r="B139" s="0" t="s">
        <v>239</v>
      </c>
      <c r="D139" s="22" t="n">
        <f aca="false">D137*$D$138</f>
        <v>1.475</v>
      </c>
      <c r="E139" s="22" t="n">
        <f aca="false">E137*$D$138</f>
        <v>4.46793927782193</v>
      </c>
      <c r="F139" s="22" t="n">
        <f aca="false">F137*$D$138</f>
        <v>14.1309591365215</v>
      </c>
      <c r="G139" s="22" t="n">
        <f aca="false">G137*$D$138</f>
        <v>15.9274738777577</v>
      </c>
    </row>
    <row r="140" customFormat="false" ht="17.15" hidden="false" customHeight="false" outlineLevel="0" collapsed="false">
      <c r="A140" s="4" t="s">
        <v>739</v>
      </c>
      <c r="B140" s="0" t="s">
        <v>239</v>
      </c>
      <c r="D140" s="22" t="n">
        <f aca="false">$D$138*f_hbm*(D121*D131+D122*D132+D123*D133)</f>
        <v>0.207470798271301</v>
      </c>
      <c r="E140" s="22" t="n">
        <f aca="false">$D$138*f_hbm*(E121*E131+E122*E132+E123*E133)</f>
        <v>1.3671973960658</v>
      </c>
      <c r="F140" s="22" t="n">
        <f aca="false">$D$138*f_hbm*(F121*F131+F122*F132+F123*F133)</f>
        <v>5.61963703029577</v>
      </c>
      <c r="G140" s="22" t="n">
        <f aca="false">$D$138*f_hbm*(G121*G131+G122*G132+G123*G133)</f>
        <v>6.13945345559813</v>
      </c>
    </row>
    <row r="141" customFormat="false" ht="15" hidden="false" customHeight="false" outlineLevel="0" collapsed="false">
      <c r="A141" s="4" t="s">
        <v>740</v>
      </c>
      <c r="B141" s="0" t="s">
        <v>239</v>
      </c>
      <c r="D141" s="22" t="n">
        <f aca="false">D139-D140</f>
        <v>1.2675292017287</v>
      </c>
      <c r="E141" s="22" t="n">
        <f aca="false">E139-E140</f>
        <v>3.10074188175613</v>
      </c>
      <c r="F141" s="22" t="n">
        <f aca="false">F139-F140</f>
        <v>8.51132210622571</v>
      </c>
      <c r="G141" s="22" t="n">
        <f aca="false">G139-G140</f>
        <v>9.78802042215957</v>
      </c>
    </row>
    <row r="142" customFormat="false" ht="17.15" hidden="false" customHeight="false" outlineLevel="0" collapsed="false">
      <c r="A142" s="0" t="s">
        <v>741</v>
      </c>
      <c r="B142" s="4" t="s">
        <v>36</v>
      </c>
      <c r="D142" s="16" t="n">
        <f aca="false">D121+D122+D123</f>
        <v>0.25</v>
      </c>
      <c r="E142" s="16" t="n">
        <f aca="false">E121+E122+E123</f>
        <v>0.624</v>
      </c>
      <c r="F142" s="16" t="n">
        <f aca="false">F121+F122+F123</f>
        <v>1.608</v>
      </c>
      <c r="G142" s="16" t="n">
        <f aca="false">G121+G122+G123</f>
        <v>1.8492</v>
      </c>
    </row>
    <row r="143" customFormat="false" ht="17.15" hidden="false" customHeight="false" outlineLevel="0" collapsed="false">
      <c r="A143" s="0" t="s">
        <v>742</v>
      </c>
      <c r="B143" s="0" t="s">
        <v>239</v>
      </c>
      <c r="C143" s="22" t="n">
        <f aca="false">a26_att</f>
        <v>0.2</v>
      </c>
      <c r="D143" s="22" t="n">
        <f aca="false">a27_att</f>
        <v>0.4</v>
      </c>
      <c r="E143" s="22" t="n">
        <f aca="false">att28</f>
        <v>1</v>
      </c>
      <c r="F143" s="22" t="n">
        <f aca="false">att28*(1+g_att)*um28_A</f>
        <v>1.5</v>
      </c>
      <c r="G143" s="22" t="n">
        <f aca="false">att28*(1+g_att)^2*um29_A</f>
        <v>2.25</v>
      </c>
      <c r="H143" s="7" t="s">
        <v>743</v>
      </c>
    </row>
    <row r="144" customFormat="false" ht="17.15" hidden="false" customHeight="false" outlineLevel="0" collapsed="false">
      <c r="A144" s="4" t="s">
        <v>744</v>
      </c>
      <c r="B144" s="0" t="s">
        <v>239</v>
      </c>
      <c r="C144" s="22" t="n">
        <f aca="false">a26_cus</f>
        <v>1.5</v>
      </c>
      <c r="D144" s="22" t="n">
        <f aca="false">D139+D143</f>
        <v>1.875</v>
      </c>
      <c r="E144" s="22" t="n">
        <f aca="false">E139+E143</f>
        <v>5.46793927782193</v>
      </c>
      <c r="F144" s="22" t="n">
        <f aca="false">F139+F143</f>
        <v>15.6309591365215</v>
      </c>
      <c r="G144" s="22" t="n">
        <f aca="false">G139+G143</f>
        <v>18.1774738777577</v>
      </c>
    </row>
    <row r="145" customFormat="false" ht="17.15" hidden="false" customHeight="false" outlineLevel="0" collapsed="false">
      <c r="A145" s="1" t="s">
        <v>745</v>
      </c>
    </row>
    <row r="146" customFormat="false" ht="17.15" hidden="false" customHeight="false" outlineLevel="0" collapsed="false">
      <c r="A146" s="0" t="s">
        <v>746</v>
      </c>
      <c r="B146" s="0" t="s">
        <v>239</v>
      </c>
      <c r="D146" s="22" t="n">
        <f aca="false">plug_26*1</f>
        <v>29.753262</v>
      </c>
      <c r="E146" s="22" t="n">
        <f aca="false">plug_27*1</f>
        <v>53.560715</v>
      </c>
      <c r="F146" s="22" t="n">
        <f aca="false">plug_28*um28_A</f>
        <v>57.9915</v>
      </c>
      <c r="G146" s="22" t="n">
        <f aca="false">plug_29*um29_A</f>
        <v>72.9348</v>
      </c>
    </row>
    <row r="147" customFormat="false" ht="17.15" hidden="false" customHeight="false" outlineLevel="0" collapsed="false">
      <c r="A147" s="4" t="s">
        <v>747</v>
      </c>
      <c r="B147" s="4" t="s">
        <v>680</v>
      </c>
      <c r="D147" s="19" t="n">
        <f aca="false">D146*1000/asp_26</f>
        <v>45.7742492307692</v>
      </c>
      <c r="E147" s="19" t="n">
        <f aca="false">E146*1000/asp_27</f>
        <v>66.95089375</v>
      </c>
      <c r="F147" s="19" t="n">
        <f aca="false">F146*1000/asp_28</f>
        <v>68.2252941176471</v>
      </c>
      <c r="G147" s="19" t="n">
        <f aca="false">G146*1000/asp_29</f>
        <v>85.8056470588235</v>
      </c>
    </row>
    <row r="148" customFormat="false" ht="17.15" hidden="false" customHeight="false" outlineLevel="0" collapsed="false">
      <c r="A148" s="4" t="s">
        <v>748</v>
      </c>
      <c r="B148" s="0" t="s">
        <v>49</v>
      </c>
      <c r="D148" s="14" t="n">
        <f aca="false">MIN(1,lpo_26)</f>
        <v>0.03</v>
      </c>
      <c r="E148" s="14" t="n">
        <f aca="false">MIN(1,lpo_27+0)</f>
        <v>0.06</v>
      </c>
      <c r="F148" s="14" t="n">
        <f aca="false">MIN(1,lpo_28+0)</f>
        <v>0.1</v>
      </c>
      <c r="G148" s="14" t="n">
        <f aca="false">MIN(1,lpo_29+0)</f>
        <v>0.15</v>
      </c>
    </row>
    <row r="149" customFormat="false" ht="15" hidden="false" customHeight="false" outlineLevel="0" collapsed="false">
      <c r="A149" s="4" t="s">
        <v>749</v>
      </c>
      <c r="B149" s="0" t="s">
        <v>253</v>
      </c>
      <c r="D149" s="23" t="n">
        <f aca="false">dsp_26</f>
        <v>125</v>
      </c>
      <c r="E149" s="23" t="n">
        <f aca="false">dsp_27*1</f>
        <v>135</v>
      </c>
      <c r="F149" s="23" t="n">
        <f aca="false">dsp_28*1</f>
        <v>135</v>
      </c>
      <c r="G149" s="23" t="n">
        <f aca="false">dsp_29*1</f>
        <v>130</v>
      </c>
    </row>
    <row r="150" customFormat="false" ht="17.15" hidden="false" customHeight="false" outlineLevel="0" collapsed="false">
      <c r="A150" s="4" t="s">
        <v>750</v>
      </c>
      <c r="B150" s="0" t="s">
        <v>239</v>
      </c>
      <c r="D150" s="22" t="n">
        <f aca="false">D147*(1-D148)*D149/1000</f>
        <v>5.55012771923077</v>
      </c>
      <c r="E150" s="22" t="n">
        <f aca="false">E147*(1-E148)*E149/1000</f>
        <v>8.496068416875</v>
      </c>
      <c r="F150" s="22" t="n">
        <f aca="false">F147*(1-F148)*F149/1000</f>
        <v>8.28937323529412</v>
      </c>
      <c r="G150" s="22" t="n">
        <f aca="false">G147*(1-G148)*G149/1000</f>
        <v>9.481524</v>
      </c>
    </row>
    <row r="151" customFormat="false" ht="17.15" hidden="false" customHeight="false" outlineLevel="0" collapsed="false">
      <c r="A151" s="0" t="s">
        <v>751</v>
      </c>
      <c r="B151" s="0" t="s">
        <v>49</v>
      </c>
      <c r="D151" s="14" t="n">
        <f aca="false">msh_dsp_26</f>
        <v>0.65</v>
      </c>
      <c r="E151" s="14" t="n">
        <f aca="false">msh_dsp_27+0</f>
        <v>0.63</v>
      </c>
      <c r="F151" s="14" t="n">
        <f aca="false">msh_dsp_28+0</f>
        <v>0.6</v>
      </c>
      <c r="G151" s="14" t="n">
        <f aca="false">msh_dsp_29+0</f>
        <v>0.58</v>
      </c>
    </row>
    <row r="152" customFormat="false" ht="17.15" hidden="false" customHeight="false" outlineLevel="0" collapsed="false">
      <c r="A152" s="0" t="s">
        <v>682</v>
      </c>
      <c r="B152" s="0" t="s">
        <v>239</v>
      </c>
      <c r="D152" s="22" t="n">
        <f aca="false">D150*D151</f>
        <v>3.6075830175</v>
      </c>
      <c r="E152" s="22" t="n">
        <f aca="false">E150*E151*1</f>
        <v>5.35252310263125</v>
      </c>
      <c r="F152" s="22" t="n">
        <f aca="false">F150*F151*1</f>
        <v>4.97362394117647</v>
      </c>
      <c r="G152" s="22" t="n">
        <f aca="false">G150*G151*1</f>
        <v>5.49928392</v>
      </c>
    </row>
    <row r="153" customFormat="false" ht="17.15" hidden="false" customHeight="false" outlineLevel="0" collapsed="false">
      <c r="A153" s="4" t="s">
        <v>752</v>
      </c>
      <c r="B153" s="0" t="s">
        <v>239</v>
      </c>
      <c r="D153" s="22" t="n">
        <f aca="false">coh27</f>
        <v>0.9</v>
      </c>
      <c r="E153" s="22" t="n">
        <f aca="false">D153*(1+g_coh)</f>
        <v>1.035</v>
      </c>
      <c r="F153" s="22" t="n">
        <f aca="false">E153*(1+g_coh)</f>
        <v>1.19025</v>
      </c>
      <c r="G153" s="22" t="n">
        <f aca="false">F153*(1+g_coh)</f>
        <v>1.3687875</v>
      </c>
    </row>
    <row r="154" customFormat="false" ht="17.15" hidden="false" customHeight="false" outlineLevel="0" collapsed="false">
      <c r="A154" s="4" t="s">
        <v>753</v>
      </c>
      <c r="B154" s="0" t="s">
        <v>80</v>
      </c>
      <c r="D154" s="16" t="n">
        <f aca="false">(a27_ic-D153)/D152</f>
        <v>1.44223430888795</v>
      </c>
      <c r="H154" s="7" t="s">
        <v>754</v>
      </c>
    </row>
    <row r="155" customFormat="false" ht="15" hidden="false" customHeight="false" outlineLevel="0" collapsed="false">
      <c r="A155" s="4" t="s">
        <v>755</v>
      </c>
      <c r="B155" s="0" t="s">
        <v>239</v>
      </c>
      <c r="C155" s="22" t="n">
        <f aca="false">a26_ic</f>
        <v>3.4503</v>
      </c>
      <c r="D155" s="22" t="n">
        <f aca="false">D152*$D$154+D153</f>
        <v>6.10298</v>
      </c>
      <c r="E155" s="22" t="n">
        <f aca="false">E152*$D$154+E153</f>
        <v>8.75459245773014</v>
      </c>
      <c r="F155" s="22" t="n">
        <f aca="false">F152*$D$154+F153</f>
        <v>8.36338108747118</v>
      </c>
      <c r="G155" s="22" t="n">
        <f aca="false">G152*$D$154+G153</f>
        <v>9.30004344373979</v>
      </c>
    </row>
    <row r="156" customFormat="false" ht="17.15" hidden="false" customHeight="false" outlineLevel="0" collapsed="false">
      <c r="A156" s="1" t="s">
        <v>756</v>
      </c>
    </row>
    <row r="157" customFormat="false" ht="15" hidden="false" customHeight="false" outlineLevel="0" collapsed="false">
      <c r="A157" s="4" t="s">
        <v>757</v>
      </c>
      <c r="B157" s="0" t="s">
        <v>239</v>
      </c>
      <c r="C157" s="22" t="n">
        <f aca="false">a26_sw</f>
        <v>0.3</v>
      </c>
      <c r="D157" s="22" t="n">
        <f aca="false">a27_sw</f>
        <v>0.65</v>
      </c>
      <c r="E157" s="22" t="n">
        <f aca="false">a27_sw*(1+g_sw28)</f>
        <v>1.17</v>
      </c>
      <c r="F157" s="22" t="n">
        <f aca="false">a27_sw*(1+g_sw28)*(1+g_sw)*um28_A</f>
        <v>1.638</v>
      </c>
      <c r="G157" s="22" t="n">
        <f aca="false">a27_sw*(1+g_sw28)*(1+g_sw)^2*um29_A</f>
        <v>2.2932</v>
      </c>
    </row>
    <row r="158" customFormat="false" ht="17.15" hidden="false" customHeight="false" outlineLevel="0" collapsed="false">
      <c r="A158" s="0" t="s">
        <v>758</v>
      </c>
      <c r="B158" s="0" t="s">
        <v>239</v>
      </c>
      <c r="C158" s="22" t="n">
        <f aca="false">a26_aec</f>
        <v>0.2</v>
      </c>
      <c r="D158" s="22" t="n">
        <f aca="false">a27_aec</f>
        <v>0.45</v>
      </c>
      <c r="E158" s="22" t="n">
        <f aca="false">a27_aec*(1+g_aec)</f>
        <v>0.675</v>
      </c>
      <c r="F158" s="22" t="n">
        <f aca="false">a27_aec*(1+g_aec)^2*um28_A</f>
        <v>1.0125</v>
      </c>
      <c r="G158" s="22" t="n">
        <f aca="false">a27_aec*(1+g_aec)^3*um29_A</f>
        <v>1.51875</v>
      </c>
    </row>
    <row r="159" customFormat="false" ht="15" hidden="false" customHeight="false" outlineLevel="0" collapsed="false">
      <c r="A159" s="4" t="s">
        <v>759</v>
      </c>
      <c r="B159" s="0" t="s">
        <v>239</v>
      </c>
      <c r="C159" s="22" t="n">
        <f aca="false">a26_sto</f>
        <v>0.65</v>
      </c>
      <c r="D159" s="22" t="n">
        <f aca="false">a27_sto</f>
        <v>0.6825</v>
      </c>
      <c r="E159" s="22" t="n">
        <f aca="false">D159*(1+g_sto)</f>
        <v>0.716625</v>
      </c>
      <c r="F159" s="22" t="n">
        <f aca="false">E159*(1+g_sto)</f>
        <v>0.75245625</v>
      </c>
      <c r="G159" s="22" t="n">
        <f aca="false">F159*(1+g_sto)</f>
        <v>0.7900790625</v>
      </c>
    </row>
    <row r="160" customFormat="false" ht="15" hidden="false" customHeight="false" outlineLevel="0" collapsed="false">
      <c r="A160" s="4" t="s">
        <v>760</v>
      </c>
      <c r="B160" s="0" t="s">
        <v>239</v>
      </c>
      <c r="C160" s="22" t="n">
        <f aca="false">a26_dc</f>
        <v>6.1003</v>
      </c>
      <c r="D160" s="22" t="n">
        <f aca="false">D144+D155+D157+D158+D159</f>
        <v>9.76048</v>
      </c>
      <c r="E160" s="22" t="n">
        <f aca="false">E144+E155+E157+E158+E159</f>
        <v>16.7841567355521</v>
      </c>
      <c r="F160" s="22" t="n">
        <f aca="false">F144+F155+F157+F158+F159</f>
        <v>27.3972964739927</v>
      </c>
      <c r="G160" s="22" t="n">
        <f aca="false">G144+G155+G157+G158+G159</f>
        <v>32.0795463839975</v>
      </c>
    </row>
    <row r="161" customFormat="false" ht="15" hidden="false" customHeight="false" outlineLevel="0" collapsed="false">
      <c r="A161" s="4" t="s">
        <v>761</v>
      </c>
      <c r="B161" s="0" t="s">
        <v>239</v>
      </c>
      <c r="C161" s="22" t="n">
        <f aca="false">a26_co</f>
        <v>2.0943</v>
      </c>
      <c r="D161" s="22" t="n">
        <f aca="false">a27_co</f>
        <v>2.23952</v>
      </c>
      <c r="E161" s="22" t="n">
        <f aca="false">D161*(1+g_co28)</f>
        <v>2.3067056</v>
      </c>
      <c r="F161" s="22" t="n">
        <f aca="false">E161*(1+g_co)</f>
        <v>2.375906768</v>
      </c>
      <c r="G161" s="22" t="n">
        <f aca="false">F161*(1+g_co)</f>
        <v>2.44718397104</v>
      </c>
    </row>
    <row r="162" customFormat="false" ht="17.15" hidden="false" customHeight="false" outlineLevel="0" collapsed="false">
      <c r="A162" s="1" t="s">
        <v>762</v>
      </c>
    </row>
    <row r="163" customFormat="false" ht="15" hidden="false" customHeight="false" outlineLevel="0" collapsed="false">
      <c r="A163" s="4" t="s">
        <v>597</v>
      </c>
      <c r="B163" s="0" t="s">
        <v>239</v>
      </c>
      <c r="C163" s="22" t="n">
        <f aca="false">a26_rev</f>
        <v>8.1946</v>
      </c>
      <c r="D163" s="22" t="n">
        <f aca="false">a27_rev</f>
        <v>12</v>
      </c>
      <c r="E163" s="22" t="n">
        <f aca="false">E160+E161</f>
        <v>19.0908623355521</v>
      </c>
      <c r="F163" s="22" t="n">
        <f aca="false">F160+F161</f>
        <v>29.7732032419927</v>
      </c>
      <c r="G163" s="22" t="n">
        <f aca="false">G160+G161</f>
        <v>34.5267303550375</v>
      </c>
    </row>
    <row r="164" customFormat="false" ht="17.15" hidden="false" customHeight="false" outlineLevel="0" collapsed="false">
      <c r="A164" s="4" t="s">
        <v>763</v>
      </c>
      <c r="B164" s="0" t="s">
        <v>239</v>
      </c>
      <c r="D164" s="22" t="n">
        <f aca="false">D160+D161</f>
        <v>12</v>
      </c>
      <c r="E164" s="22" t="n">
        <f aca="false">E160+E161</f>
        <v>19.0908623355521</v>
      </c>
      <c r="F164" s="22" t="n">
        <f aca="false">F160+F161</f>
        <v>29.7732032419927</v>
      </c>
      <c r="G164" s="22" t="n">
        <f aca="false">G160+G161</f>
        <v>34.5267303550375</v>
      </c>
    </row>
    <row r="165" customFormat="false" ht="15" hidden="false" customHeight="false" outlineLevel="0" collapsed="false">
      <c r="A165" s="4" t="s">
        <v>764</v>
      </c>
      <c r="B165" s="0" t="s">
        <v>49</v>
      </c>
      <c r="D165" s="14" t="n">
        <f aca="false">D163/C163-1</f>
        <v>0.464378981280355</v>
      </c>
      <c r="E165" s="14" t="n">
        <f aca="false">E163/D163-1</f>
        <v>0.590905194629339</v>
      </c>
      <c r="F165" s="14" t="n">
        <f aca="false">F163/E163-1</f>
        <v>0.559552560732019</v>
      </c>
      <c r="G165" s="14" t="n">
        <f aca="false">G163/F163-1</f>
        <v>0.159657900240319</v>
      </c>
    </row>
    <row r="166" customFormat="false" ht="17.15" hidden="false" customHeight="false" outlineLevel="0" collapsed="false">
      <c r="A166" s="4" t="s">
        <v>765</v>
      </c>
      <c r="B166" s="0" t="s">
        <v>49</v>
      </c>
      <c r="C166" s="14" t="n">
        <f aca="false">C160/C163</f>
        <v>0.744429258292046</v>
      </c>
      <c r="D166" s="14" t="n">
        <f aca="false">D160/D163</f>
        <v>0.813373333333333</v>
      </c>
      <c r="E166" s="14" t="n">
        <f aca="false">E160/E163</f>
        <v>0.879172267891518</v>
      </c>
      <c r="F166" s="14" t="n">
        <f aca="false">F160/F163</f>
        <v>0.920199827049547</v>
      </c>
      <c r="G166" s="14" t="n">
        <f aca="false">G160/G163</f>
        <v>0.929122047008921</v>
      </c>
    </row>
    <row r="167" customFormat="false" ht="17.15" hidden="false" customHeight="false" outlineLevel="0" collapsed="false">
      <c r="A167" s="4" t="s">
        <v>766</v>
      </c>
      <c r="B167" s="0" t="s">
        <v>239</v>
      </c>
      <c r="D167" s="22" t="n">
        <f aca="false">gm_opt*D155+gm_oth*(D157+D158+D159)+gm_att*D143+gm_co*D161+m_hbm*D140</f>
        <v>6.45404607982713</v>
      </c>
      <c r="E167" s="22" t="n">
        <f aca="false">gm_opt*E155+gm_oth*(E157+E158+E159)+gm_att*E143+gm_co*E161+m_hbm*E140</f>
        <v>9.07697723597657</v>
      </c>
      <c r="F167" s="22" t="n">
        <f aca="false">gm_opt*F155+gm_oth*(F157+F158+F159)+gm_att*F143+gm_co*F161+m_hbm*F140</f>
        <v>10.0756934635764</v>
      </c>
      <c r="G167" s="22" t="n">
        <f aca="false">gm_opt*G155+gm_oth*(G157+G158+G159)+gm_att*G143+gm_co*G161+m_hbm*G140</f>
        <v>11.8910568558191</v>
      </c>
    </row>
    <row r="168" customFormat="false" ht="17.15" hidden="false" customHeight="false" outlineLevel="0" collapsed="false">
      <c r="A168" s="0" t="s">
        <v>767</v>
      </c>
      <c r="B168" s="0" t="s">
        <v>80</v>
      </c>
      <c r="D168" s="16" t="n">
        <f aca="false">(a27_gp-D167)/D141</f>
        <v>0.435994625937743</v>
      </c>
      <c r="H168" s="7" t="s">
        <v>768</v>
      </c>
    </row>
    <row r="169" customFormat="false" ht="15" hidden="false" customHeight="false" outlineLevel="0" collapsed="false">
      <c r="A169" s="4" t="s">
        <v>769</v>
      </c>
      <c r="B169" s="0" t="s">
        <v>239</v>
      </c>
      <c r="C169" s="22" t="n">
        <f aca="false">a26_gp</f>
        <v>4.8718</v>
      </c>
      <c r="D169" s="22" t="n">
        <f aca="false">a27_gp</f>
        <v>7.006682</v>
      </c>
      <c r="E169" s="22" t="n">
        <f aca="false">E167+$D$168*E141</f>
        <v>10.4288840328423</v>
      </c>
      <c r="F169" s="22" t="n">
        <f aca="false">F167+$D$168*F141</f>
        <v>13.7865841615159</v>
      </c>
      <c r="G169" s="22" t="n">
        <f aca="false">G167+$D$168*G141</f>
        <v>16.1585811584495</v>
      </c>
    </row>
    <row r="170" customFormat="false" ht="15" hidden="false" customHeight="false" outlineLevel="0" collapsed="false">
      <c r="A170" s="4" t="s">
        <v>621</v>
      </c>
      <c r="B170" s="0" t="s">
        <v>49</v>
      </c>
      <c r="C170" s="14" t="n">
        <f aca="false">C169/C163</f>
        <v>0.59451346008347</v>
      </c>
      <c r="D170" s="14" t="n">
        <f aca="false">D169/D163</f>
        <v>0.583890166666667</v>
      </c>
      <c r="E170" s="14" t="n">
        <f aca="false">E169/E163</f>
        <v>0.546276215790477</v>
      </c>
      <c r="F170" s="14" t="n">
        <f aca="false">F169/F163</f>
        <v>0.463053439344783</v>
      </c>
      <c r="G170" s="14" t="n">
        <f aca="false">G169/G163</f>
        <v>0.468002066581204</v>
      </c>
    </row>
    <row r="171" customFormat="false" ht="17.15" hidden="false" customHeight="false" outlineLevel="0" collapsed="false">
      <c r="A171" s="4" t="s">
        <v>770</v>
      </c>
      <c r="B171" s="0" t="s">
        <v>49</v>
      </c>
      <c r="C171" s="14" t="n">
        <f aca="false">C144/C163</f>
        <v>0.183047372660044</v>
      </c>
      <c r="D171" s="14" t="n">
        <f aca="false">D144/D163</f>
        <v>0.15625</v>
      </c>
      <c r="E171" s="14" t="n">
        <f aca="false">E144/E163</f>
        <v>0.28641656839352</v>
      </c>
      <c r="F171" s="14" t="n">
        <f aca="false">F144/F163</f>
        <v>0.525000921448563</v>
      </c>
      <c r="G171" s="14" t="n">
        <f aca="false">G144/G163</f>
        <v>0.526475391409473</v>
      </c>
    </row>
    <row r="172" customFormat="false" ht="15" hidden="false" customHeight="false" outlineLevel="0" collapsed="false">
      <c r="A172" s="4" t="s">
        <v>771</v>
      </c>
      <c r="B172" s="0" t="s">
        <v>239</v>
      </c>
      <c r="C172" s="22" t="n">
        <f aca="false">a26_opx</f>
        <v>1.9808</v>
      </c>
      <c r="D172" s="22" t="n">
        <f aca="false">a27_opx</f>
        <v>2.55</v>
      </c>
      <c r="E172" s="22" t="n">
        <f aca="false">D172*(1+MAX(g_opx_min,phi*E165))</f>
        <v>3.30340412315241</v>
      </c>
      <c r="F172" s="22" t="n">
        <f aca="false">E172*(1+MAX(g_opx_min,phi*F165))</f>
        <v>4.22761824127373</v>
      </c>
      <c r="G172" s="22" t="n">
        <f aca="false">F172*(1+MAX(g_opx_min,phi*G165))</f>
        <v>4.56510456698344</v>
      </c>
    </row>
    <row r="173" customFormat="false" ht="15" hidden="false" customHeight="false" outlineLevel="0" collapsed="false">
      <c r="A173" s="4" t="s">
        <v>772</v>
      </c>
      <c r="B173" s="0" t="s">
        <v>239</v>
      </c>
      <c r="C173" s="22" t="n">
        <f aca="false">C172</f>
        <v>1.9808</v>
      </c>
      <c r="D173" s="22" t="n">
        <f aca="false">D172</f>
        <v>2.55</v>
      </c>
      <c r="E173" s="22" t="n">
        <f aca="false">E172+0*E163</f>
        <v>3.30340412315241</v>
      </c>
      <c r="F173" s="22" t="n">
        <f aca="false">F172+0*F163</f>
        <v>4.22761824127373</v>
      </c>
      <c r="G173" s="22" t="n">
        <f aca="false">G172+0*G163</f>
        <v>4.56510456698344</v>
      </c>
    </row>
    <row r="174" customFormat="false" ht="15" hidden="false" customHeight="false" outlineLevel="0" collapsed="false">
      <c r="A174" s="4" t="s">
        <v>773</v>
      </c>
      <c r="B174" s="0" t="s">
        <v>239</v>
      </c>
      <c r="C174" s="22" t="n">
        <f aca="false">C169-C173</f>
        <v>2.891</v>
      </c>
      <c r="D174" s="22" t="n">
        <f aca="false">D169-D173</f>
        <v>4.456682</v>
      </c>
      <c r="E174" s="22" t="n">
        <f aca="false">E169-E173</f>
        <v>7.12547990968992</v>
      </c>
      <c r="F174" s="22" t="n">
        <f aca="false">F169-F173</f>
        <v>9.55896592024222</v>
      </c>
      <c r="G174" s="22" t="n">
        <f aca="false">G169-G173</f>
        <v>11.5934765914661</v>
      </c>
    </row>
    <row r="175" customFormat="false" ht="15" hidden="false" customHeight="false" outlineLevel="0" collapsed="false">
      <c r="A175" s="4" t="s">
        <v>627</v>
      </c>
      <c r="B175" s="0" t="s">
        <v>49</v>
      </c>
      <c r="C175" s="14" t="n">
        <f aca="false">C174/C163</f>
        <v>0.352793302906792</v>
      </c>
      <c r="D175" s="14" t="n">
        <f aca="false">D174/D163</f>
        <v>0.371390166666667</v>
      </c>
      <c r="E175" s="14" t="n">
        <f aca="false">E174/E163</f>
        <v>0.373240337940128</v>
      </c>
      <c r="F175" s="14" t="n">
        <f aca="false">F174/F163</f>
        <v>0.321059371494166</v>
      </c>
      <c r="G175" s="14" t="n">
        <f aca="false">G174/G163</f>
        <v>0.335782637749091</v>
      </c>
    </row>
    <row r="176" customFormat="false" ht="15" hidden="false" customHeight="false" outlineLevel="0" collapsed="false">
      <c r="A176" s="4" t="s">
        <v>774</v>
      </c>
      <c r="B176" s="0" t="s">
        <v>239</v>
      </c>
      <c r="C176" s="22" t="n">
        <f aca="false">a26_oth</f>
        <v>0.1514</v>
      </c>
      <c r="D176" s="22" t="n">
        <f aca="false">a27_oth</f>
        <v>0.1424</v>
      </c>
      <c r="E176" s="22" t="n">
        <f aca="false">int_f</f>
        <v>0.15</v>
      </c>
      <c r="F176" s="22" t="n">
        <f aca="false">int_f</f>
        <v>0.15</v>
      </c>
      <c r="G176" s="22" t="n">
        <f aca="false">int_f</f>
        <v>0.15</v>
      </c>
    </row>
    <row r="177" customFormat="false" ht="15" hidden="false" customHeight="false" outlineLevel="0" collapsed="false">
      <c r="A177" s="4" t="s">
        <v>775</v>
      </c>
      <c r="B177" s="0" t="s">
        <v>49</v>
      </c>
      <c r="C177" s="14" t="n">
        <f aca="false">a26_tax/(a26_oi-a26_oth)</f>
        <v>0.1</v>
      </c>
      <c r="D177" s="14" t="n">
        <f aca="false">a27_tax/(a27_oi-a27_oth)</f>
        <v>0.11</v>
      </c>
      <c r="E177" s="14" t="n">
        <f aca="false">tx_f</f>
        <v>0.13</v>
      </c>
      <c r="F177" s="14" t="n">
        <f aca="false">tx_f</f>
        <v>0.13</v>
      </c>
      <c r="G177" s="14" t="n">
        <f aca="false">tx_f</f>
        <v>0.13</v>
      </c>
    </row>
    <row r="178" customFormat="false" ht="17.15" hidden="false" customHeight="false" outlineLevel="0" collapsed="false">
      <c r="A178" s="4" t="s">
        <v>708</v>
      </c>
      <c r="B178" s="0" t="s">
        <v>239</v>
      </c>
      <c r="C178" s="22" t="n">
        <f aca="false">a26_ni</f>
        <v>2.46564</v>
      </c>
      <c r="D178" s="22" t="n">
        <f aca="false">a27_ni</f>
        <v>3.83971098</v>
      </c>
      <c r="E178" s="22" t="n">
        <f aca="false">(E174-E176)*(1-E177)</f>
        <v>6.06866752143023</v>
      </c>
      <c r="F178" s="22" t="n">
        <f aca="false">(F174-F176)*(1-F177)</f>
        <v>8.18580035061073</v>
      </c>
      <c r="G178" s="22" t="n">
        <f aca="false">(G174-G176)*(1-G177)</f>
        <v>9.95582463457549</v>
      </c>
    </row>
    <row r="179" customFormat="false" ht="15" hidden="false" customHeight="false" outlineLevel="0" collapsed="false">
      <c r="A179" s="4" t="s">
        <v>776</v>
      </c>
      <c r="B179" s="4" t="s">
        <v>370</v>
      </c>
      <c r="C179" s="16" t="n">
        <f aca="false">a26_sh</f>
        <v>0.8697</v>
      </c>
      <c r="D179" s="16" t="n">
        <f aca="false">a27_sh</f>
        <v>0.915125</v>
      </c>
      <c r="E179" s="16" t="n">
        <f aca="false">D179*(1+sh_g)</f>
        <v>0.919700625</v>
      </c>
      <c r="F179" s="16" t="n">
        <f aca="false">E179*(1+sh_g)</f>
        <v>0.924299128125</v>
      </c>
      <c r="G179" s="16" t="n">
        <f aca="false">F179*(1+sh_g)</f>
        <v>0.928920623765625</v>
      </c>
    </row>
    <row r="180" customFormat="false" ht="17.15" hidden="false" customHeight="false" outlineLevel="0" collapsed="false">
      <c r="A180" s="0" t="s">
        <v>709</v>
      </c>
      <c r="B180" s="0" t="s">
        <v>253</v>
      </c>
      <c r="C180" s="22" t="n">
        <f aca="false">C178/C179</f>
        <v>2.83504656778199</v>
      </c>
      <c r="D180" s="22" t="n">
        <f aca="false">D178/D179</f>
        <v>4.19583224149706</v>
      </c>
      <c r="E180" s="22" t="n">
        <f aca="false">E178/E179</f>
        <v>6.59852495091023</v>
      </c>
      <c r="F180" s="22" t="n">
        <f aca="false">F178/F179</f>
        <v>8.85622424768068</v>
      </c>
      <c r="G180" s="22" t="n">
        <f aca="false">G178/G179</f>
        <v>10.7176268669942</v>
      </c>
    </row>
    <row r="181" customFormat="false" ht="17.15" hidden="false" customHeight="false" outlineLevel="0" collapsed="false">
      <c r="A181" s="0" t="s">
        <v>777</v>
      </c>
      <c r="B181" s="0" t="s">
        <v>49</v>
      </c>
      <c r="D181" s="14" t="n">
        <f aca="false">D180/C180-1</f>
        <v>0.479987062357033</v>
      </c>
      <c r="E181" s="14" t="n">
        <f aca="false">E180/D180-1</f>
        <v>0.572637934770216</v>
      </c>
      <c r="F181" s="14" t="n">
        <f aca="false">F180/E180-1</f>
        <v>0.342152119385259</v>
      </c>
      <c r="G181" s="14" t="n">
        <f aca="false">G180/F180-1</f>
        <v>0.210180158864092</v>
      </c>
    </row>
    <row r="184" customFormat="false" ht="17.15" hidden="false" customHeight="false" outlineLevel="0" collapsed="false">
      <c r="A184" s="3" t="s">
        <v>1172</v>
      </c>
    </row>
    <row r="185" customFormat="false" ht="17.15" hidden="false" customHeight="false" outlineLevel="0" collapsed="false">
      <c r="A185" s="5" t="s">
        <v>25</v>
      </c>
      <c r="B185" s="5" t="s">
        <v>26</v>
      </c>
      <c r="C185" s="11" t="s">
        <v>698</v>
      </c>
      <c r="D185" s="11" t="s">
        <v>699</v>
      </c>
      <c r="E185" s="11" t="s">
        <v>700</v>
      </c>
      <c r="F185" s="11" t="s">
        <v>701</v>
      </c>
      <c r="G185" s="11" t="s">
        <v>702</v>
      </c>
      <c r="H185" s="5" t="s">
        <v>555</v>
      </c>
    </row>
    <row r="186" customFormat="false" ht="17.15" hidden="false" customHeight="false" outlineLevel="0" collapsed="false">
      <c r="A186" s="1" t="s">
        <v>717</v>
      </c>
    </row>
    <row r="187" customFormat="false" ht="17.15" hidden="false" customHeight="false" outlineLevel="0" collapsed="false">
      <c r="A187" s="0" t="s">
        <v>718</v>
      </c>
      <c r="B187" s="4" t="s">
        <v>36</v>
      </c>
      <c r="D187" s="22" t="n">
        <f aca="false">u_trn_26</f>
        <v>2</v>
      </c>
      <c r="E187" s="22" t="n">
        <f aca="false">u_trn_27</f>
        <v>2.5</v>
      </c>
      <c r="F187" s="22" t="n">
        <f aca="false">u_trn_28*um28_A</f>
        <v>3</v>
      </c>
      <c r="G187" s="22" t="n">
        <f aca="false">u_trn_28*(1+g29_trn)*um29_A</f>
        <v>3.45</v>
      </c>
    </row>
    <row r="188" customFormat="false" ht="17.15" hidden="false" customHeight="false" outlineLevel="0" collapsed="false">
      <c r="A188" s="4" t="s">
        <v>719</v>
      </c>
      <c r="B188" s="4" t="s">
        <v>36</v>
      </c>
      <c r="D188" s="22" t="n">
        <f aca="false">u_oth_26</f>
        <v>1</v>
      </c>
      <c r="E188" s="22" t="n">
        <f aca="false">u_oth_27</f>
        <v>4.5</v>
      </c>
      <c r="F188" s="22" t="n">
        <f aca="false">u_oth_28*um28_A</f>
        <v>5</v>
      </c>
      <c r="G188" s="22" t="n">
        <f aca="false">u_oth_28*(1+g29_oth)*um29_A</f>
        <v>5.75</v>
      </c>
    </row>
    <row r="189" customFormat="false" ht="17.15" hidden="false" customHeight="false" outlineLevel="0" collapsed="false">
      <c r="A189" s="0" t="s">
        <v>720</v>
      </c>
      <c r="B189" s="4" t="s">
        <v>36</v>
      </c>
      <c r="D189" s="22" t="n">
        <f aca="false">u_tpu_26</f>
        <v>3.85</v>
      </c>
      <c r="E189" s="22" t="n">
        <f aca="false">u_tpu_27</f>
        <v>5.5</v>
      </c>
      <c r="F189" s="22" t="n">
        <f aca="false">u_tpu_28*um28_A</f>
        <v>7</v>
      </c>
      <c r="G189" s="22" t="n">
        <f aca="false">u_tpu_28*(1+g29_tpu)*um29_A</f>
        <v>8.05</v>
      </c>
    </row>
    <row r="190" customFormat="false" ht="17.15" hidden="false" customHeight="false" outlineLevel="0" collapsed="false">
      <c r="A190" s="0" t="s">
        <v>658</v>
      </c>
      <c r="B190" s="0" t="s">
        <v>49</v>
      </c>
      <c r="D190" s="14" t="n">
        <f aca="false">msh_trn_26</f>
        <v>0.1</v>
      </c>
      <c r="E190" s="14" t="n">
        <f aca="false">MIN(1,MAX(0,msh_trn_27+0))</f>
        <v>0.1</v>
      </c>
      <c r="F190" s="14" t="n">
        <f aca="false">MIN(1,MAX(0,msh_trn_28+0))</f>
        <v>0.08</v>
      </c>
      <c r="G190" s="14" t="n">
        <f aca="false">MIN(1,MAX(0,msh_trn_28+0))</f>
        <v>0.08</v>
      </c>
    </row>
    <row r="191" customFormat="false" ht="17.15" hidden="false" customHeight="false" outlineLevel="0" collapsed="false">
      <c r="A191" s="0" t="s">
        <v>666</v>
      </c>
      <c r="B191" s="0" t="s">
        <v>49</v>
      </c>
      <c r="D191" s="14" t="n">
        <f aca="false">msh_oth_26</f>
        <v>0.05</v>
      </c>
      <c r="E191" s="14" t="n">
        <f aca="false">MIN(1,MAX(0,msh_oth_27+(-0.03)))</f>
        <v>0.03</v>
      </c>
      <c r="F191" s="14" t="n">
        <f aca="false">MIN(1,MAX(0,msh_oth_28+(-0.03)))</f>
        <v>0.12</v>
      </c>
      <c r="G191" s="14" t="n">
        <f aca="false">MIN(1,MAX(0,msh_oth_28+(-0.03)))</f>
        <v>0.12</v>
      </c>
    </row>
    <row r="192" customFormat="false" ht="17.15" hidden="false" customHeight="false" outlineLevel="0" collapsed="false">
      <c r="A192" s="0" t="s">
        <v>670</v>
      </c>
      <c r="B192" s="0" t="s">
        <v>49</v>
      </c>
      <c r="D192" s="14" t="n">
        <f aca="false">msh_tpu_26</f>
        <v>0</v>
      </c>
      <c r="E192" s="14" t="n">
        <f aca="false">MIN(1,MAX(0,msh_tpu_27+0))</f>
        <v>0</v>
      </c>
      <c r="F192" s="14" t="n">
        <f aca="false">MIN(1,MAX(0,msh_tpu_28+0))</f>
        <v>0.05</v>
      </c>
      <c r="G192" s="14" t="n">
        <f aca="false">MIN(1,MAX(0,msh_tpu_28+0))</f>
        <v>0.05</v>
      </c>
    </row>
    <row r="193" customFormat="false" ht="17.15" hidden="false" customHeight="false" outlineLevel="0" collapsed="false">
      <c r="A193" s="0" t="s">
        <v>660</v>
      </c>
      <c r="B193" s="4" t="s">
        <v>36</v>
      </c>
      <c r="D193" s="16" t="n">
        <f aca="false">D187*D190</f>
        <v>0.2</v>
      </c>
      <c r="E193" s="16" t="n">
        <f aca="false">E187*E190*1</f>
        <v>0.25</v>
      </c>
      <c r="F193" s="16" t="n">
        <f aca="false">F187*F190*1</f>
        <v>0.24</v>
      </c>
      <c r="G193" s="16" t="n">
        <f aca="false">G187*G190*1</f>
        <v>0.276</v>
      </c>
    </row>
    <row r="194" customFormat="false" ht="17.15" hidden="false" customHeight="false" outlineLevel="0" collapsed="false">
      <c r="A194" s="0" t="s">
        <v>667</v>
      </c>
      <c r="B194" s="4" t="s">
        <v>36</v>
      </c>
      <c r="D194" s="16" t="n">
        <f aca="false">D188*D191</f>
        <v>0.05</v>
      </c>
      <c r="E194" s="16" t="n">
        <f aca="false">E188*E191*1</f>
        <v>0.135</v>
      </c>
      <c r="F194" s="16" t="n">
        <f aca="false">F188*F191*1</f>
        <v>0.6</v>
      </c>
      <c r="G194" s="16" t="n">
        <f aca="false">G188*G191*1</f>
        <v>0.69</v>
      </c>
    </row>
    <row r="195" customFormat="false" ht="17.15" hidden="false" customHeight="false" outlineLevel="0" collapsed="false">
      <c r="A195" s="0" t="s">
        <v>671</v>
      </c>
      <c r="B195" s="4" t="s">
        <v>36</v>
      </c>
      <c r="D195" s="16" t="n">
        <f aca="false">D189*D192</f>
        <v>0</v>
      </c>
      <c r="E195" s="16" t="n">
        <f aca="false">E189*E192*1</f>
        <v>0</v>
      </c>
      <c r="F195" s="16" t="n">
        <f aca="false">F189*F192*1</f>
        <v>0.35</v>
      </c>
      <c r="G195" s="16" t="n">
        <f aca="false">G189*G192*1</f>
        <v>0.4025</v>
      </c>
    </row>
    <row r="196" customFormat="false" ht="17.15" hidden="false" customHeight="false" outlineLevel="0" collapsed="false">
      <c r="A196" s="4" t="s">
        <v>721</v>
      </c>
      <c r="B196" s="0" t="s">
        <v>100</v>
      </c>
      <c r="D196" s="23" t="n">
        <f aca="false">gb_trn_26</f>
        <v>110</v>
      </c>
      <c r="E196" s="23" t="n">
        <f aca="false">gb_trn_27</f>
        <v>144</v>
      </c>
      <c r="F196" s="23" t="n">
        <f aca="false">gb_trn_28</f>
        <v>200</v>
      </c>
      <c r="G196" s="23" t="n">
        <f aca="false">gb_trn_28</f>
        <v>200</v>
      </c>
    </row>
    <row r="197" customFormat="false" ht="17.15" hidden="false" customHeight="false" outlineLevel="0" collapsed="false">
      <c r="A197" s="4" t="s">
        <v>722</v>
      </c>
      <c r="B197" s="0" t="s">
        <v>100</v>
      </c>
      <c r="D197" s="23" t="n">
        <f aca="false">gb_oth_26</f>
        <v>150</v>
      </c>
      <c r="E197" s="23" t="n">
        <f aca="false">gb_oth_27</f>
        <v>200</v>
      </c>
      <c r="F197" s="23" t="n">
        <f aca="false">gb_oth_28</f>
        <v>250</v>
      </c>
      <c r="G197" s="23" t="n">
        <f aca="false">gb_oth_28</f>
        <v>250</v>
      </c>
    </row>
    <row r="198" customFormat="false" ht="17.15" hidden="false" customHeight="false" outlineLevel="0" collapsed="false">
      <c r="A198" s="4" t="s">
        <v>723</v>
      </c>
      <c r="B198" s="0" t="s">
        <v>100</v>
      </c>
      <c r="D198" s="23" t="n">
        <f aca="false">gb_tpu_26</f>
        <v>192</v>
      </c>
      <c r="E198" s="23" t="n">
        <f aca="false">gb_tpu_27</f>
        <v>250</v>
      </c>
      <c r="F198" s="23" t="n">
        <f aca="false">gb_tpu_28</f>
        <v>288</v>
      </c>
      <c r="G198" s="23" t="n">
        <f aca="false">gb_tpu_28</f>
        <v>288</v>
      </c>
    </row>
    <row r="199" customFormat="false" ht="17.15" hidden="false" customHeight="false" outlineLevel="0" collapsed="false">
      <c r="A199" s="0" t="s">
        <v>724</v>
      </c>
      <c r="B199" s="0" t="s">
        <v>200</v>
      </c>
      <c r="D199" s="22" t="n">
        <f aca="false">hbm_A_26</f>
        <v>14.6</v>
      </c>
      <c r="E199" s="22" t="n">
        <f aca="false">hbm_A_27</f>
        <v>26.28</v>
      </c>
      <c r="F199" s="22" t="n">
        <f aca="false">hbm_A_28</f>
        <v>28.908</v>
      </c>
      <c r="G199" s="22" t="n">
        <f aca="false">hbm_A_29</f>
        <v>27.4626</v>
      </c>
    </row>
    <row r="200" customFormat="false" ht="17.15" hidden="false" customHeight="false" outlineLevel="0" collapsed="false">
      <c r="A200" s="4" t="s">
        <v>725</v>
      </c>
      <c r="B200" s="0" t="s">
        <v>122</v>
      </c>
      <c r="D200" s="22" t="n">
        <f aca="false">core_trn</f>
        <v>6.394</v>
      </c>
      <c r="E200" s="22" t="n">
        <f aca="false">core_trn*1</f>
        <v>6.394</v>
      </c>
      <c r="F200" s="22" t="n">
        <f aca="false">core_trn*1</f>
        <v>6.394</v>
      </c>
      <c r="G200" s="22" t="n">
        <f aca="false">core_trn*1</f>
        <v>6.394</v>
      </c>
    </row>
    <row r="201" customFormat="false" ht="17.15" hidden="false" customHeight="false" outlineLevel="0" collapsed="false">
      <c r="A201" s="4" t="s">
        <v>726</v>
      </c>
      <c r="B201" s="0" t="s">
        <v>122</v>
      </c>
      <c r="D201" s="22" t="n">
        <f aca="false">core_oth</f>
        <v>6</v>
      </c>
      <c r="E201" s="22" t="n">
        <f aca="false">core_oth*1</f>
        <v>6</v>
      </c>
      <c r="F201" s="22" t="n">
        <f aca="false">core_oth*1</f>
        <v>6</v>
      </c>
      <c r="G201" s="22" t="n">
        <f aca="false">core_oth*1</f>
        <v>6</v>
      </c>
    </row>
    <row r="202" customFormat="false" ht="17.15" hidden="false" customHeight="false" outlineLevel="0" collapsed="false">
      <c r="A202" s="4" t="s">
        <v>727</v>
      </c>
      <c r="B202" s="0" t="s">
        <v>122</v>
      </c>
      <c r="D202" s="22" t="n">
        <f aca="false">core_tpu</f>
        <v>8</v>
      </c>
      <c r="E202" s="22" t="n">
        <f aca="false">core_tpu*1</f>
        <v>8</v>
      </c>
      <c r="F202" s="22" t="n">
        <f aca="false">core_tpu*1</f>
        <v>8</v>
      </c>
      <c r="G202" s="22" t="n">
        <f aca="false">core_tpu*1</f>
        <v>8</v>
      </c>
    </row>
    <row r="203" customFormat="false" ht="17.15" hidden="false" customHeight="false" outlineLevel="0" collapsed="false">
      <c r="A203" s="4" t="s">
        <v>728</v>
      </c>
      <c r="B203" s="0" t="s">
        <v>122</v>
      </c>
      <c r="D203" s="22" t="n">
        <f aca="false">D196*D199/1000</f>
        <v>1.606</v>
      </c>
      <c r="E203" s="22" t="n">
        <f aca="false">E196*E199/1000</f>
        <v>3.78432</v>
      </c>
      <c r="F203" s="22" t="n">
        <f aca="false">F196*F199/1000</f>
        <v>5.7816</v>
      </c>
      <c r="G203" s="22" t="n">
        <f aca="false">G196*G199/1000</f>
        <v>5.49252</v>
      </c>
    </row>
    <row r="204" customFormat="false" ht="17.15" hidden="false" customHeight="false" outlineLevel="0" collapsed="false">
      <c r="A204" s="4" t="s">
        <v>729</v>
      </c>
      <c r="B204" s="0" t="s">
        <v>122</v>
      </c>
      <c r="D204" s="22" t="n">
        <f aca="false">D197*D199/1000</f>
        <v>2.19</v>
      </c>
      <c r="E204" s="22" t="n">
        <f aca="false">E197*E199/1000</f>
        <v>5.256</v>
      </c>
      <c r="F204" s="22" t="n">
        <f aca="false">F197*F199/1000</f>
        <v>7.227</v>
      </c>
      <c r="G204" s="22" t="n">
        <f aca="false">G197*G199/1000</f>
        <v>6.86565</v>
      </c>
    </row>
    <row r="205" customFormat="false" ht="17.15" hidden="false" customHeight="false" outlineLevel="0" collapsed="false">
      <c r="A205" s="4" t="s">
        <v>730</v>
      </c>
      <c r="B205" s="0" t="s">
        <v>122</v>
      </c>
      <c r="D205" s="22" t="n">
        <f aca="false">D198*D199/1000</f>
        <v>2.8032</v>
      </c>
      <c r="E205" s="22" t="n">
        <f aca="false">E198*E199/1000</f>
        <v>6.57</v>
      </c>
      <c r="F205" s="22" t="n">
        <f aca="false">F198*F199/1000</f>
        <v>8.325504</v>
      </c>
      <c r="G205" s="22" t="n">
        <f aca="false">G198*G199/1000</f>
        <v>7.9092288</v>
      </c>
    </row>
    <row r="206" customFormat="false" ht="17.15" hidden="false" customHeight="false" outlineLevel="0" collapsed="false">
      <c r="A206" s="4" t="s">
        <v>731</v>
      </c>
      <c r="B206" s="0" t="s">
        <v>122</v>
      </c>
      <c r="D206" s="22" t="n">
        <f aca="false">D200+f_hbm*D203</f>
        <v>7.3576</v>
      </c>
      <c r="E206" s="22" t="n">
        <f aca="false">E200+f_hbm*E203</f>
        <v>8.664592</v>
      </c>
      <c r="F206" s="22" t="n">
        <f aca="false">F200+f_hbm*F203</f>
        <v>9.86296</v>
      </c>
      <c r="G206" s="22" t="n">
        <f aca="false">G200+f_hbm*G203</f>
        <v>9.689512</v>
      </c>
      <c r="H206" s="4" t="s">
        <v>732</v>
      </c>
    </row>
    <row r="207" customFormat="false" ht="17.15" hidden="false" customHeight="false" outlineLevel="0" collapsed="false">
      <c r="A207" s="4" t="s">
        <v>733</v>
      </c>
      <c r="B207" s="0" t="s">
        <v>122</v>
      </c>
      <c r="D207" s="22" t="n">
        <f aca="false">D201+f_hbm*D204</f>
        <v>7.314</v>
      </c>
      <c r="E207" s="22" t="n">
        <f aca="false">E201+f_hbm*E204</f>
        <v>9.1536</v>
      </c>
      <c r="F207" s="22" t="n">
        <f aca="false">F201+f_hbm*F204</f>
        <v>10.3362</v>
      </c>
      <c r="G207" s="22" t="n">
        <f aca="false">G201+f_hbm*G204</f>
        <v>10.11939</v>
      </c>
    </row>
    <row r="208" customFormat="false" ht="17.15" hidden="false" customHeight="false" outlineLevel="0" collapsed="false">
      <c r="A208" s="4" t="s">
        <v>734</v>
      </c>
      <c r="B208" s="0" t="s">
        <v>122</v>
      </c>
      <c r="D208" s="22" t="n">
        <f aca="false">D202+f_hbm*D205</f>
        <v>9.68192</v>
      </c>
      <c r="E208" s="22" t="n">
        <f aca="false">E202+f_hbm*E205</f>
        <v>11.942</v>
      </c>
      <c r="F208" s="22" t="n">
        <f aca="false">F202+f_hbm*F205</f>
        <v>12.9953024</v>
      </c>
      <c r="G208" s="22" t="n">
        <f aca="false">G202+f_hbm*G205</f>
        <v>12.74553728</v>
      </c>
    </row>
    <row r="209" customFormat="false" ht="17.15" hidden="false" customHeight="false" outlineLevel="0" collapsed="false">
      <c r="A209" s="0" t="s">
        <v>735</v>
      </c>
      <c r="B209" s="0" t="s">
        <v>239</v>
      </c>
      <c r="D209" s="22" t="n">
        <f aca="false">D193*D206+D194*D207+D195*D208</f>
        <v>1.83722</v>
      </c>
      <c r="E209" s="22" t="n">
        <f aca="false">E193*E206+E194*E207+E195*E208</f>
        <v>3.401884</v>
      </c>
      <c r="F209" s="22" t="n">
        <f aca="false">F193*F206+F194*F207+F195*F208</f>
        <v>13.11718624</v>
      </c>
      <c r="G209" s="22" t="n">
        <f aca="false">G193*G206+G194*G207+G195*G208</f>
        <v>14.7867631672</v>
      </c>
    </row>
    <row r="210" customFormat="false" ht="17.15" hidden="false" customHeight="false" outlineLevel="0" collapsed="false">
      <c r="A210" s="0" t="s">
        <v>736</v>
      </c>
      <c r="B210" s="0" t="s">
        <v>80</v>
      </c>
      <c r="D210" s="16" t="n">
        <f aca="false">a27_xpu/D209</f>
        <v>0.802843426481314</v>
      </c>
      <c r="H210" s="7" t="s">
        <v>737</v>
      </c>
    </row>
    <row r="211" customFormat="false" ht="17.15" hidden="false" customHeight="false" outlineLevel="0" collapsed="false">
      <c r="A211" s="0" t="s">
        <v>738</v>
      </c>
      <c r="B211" s="0" t="s">
        <v>239</v>
      </c>
      <c r="D211" s="22" t="n">
        <f aca="false">D209*$D$210</f>
        <v>1.475</v>
      </c>
      <c r="E211" s="22" t="n">
        <f aca="false">E209*$D$210</f>
        <v>2.73118020705196</v>
      </c>
      <c r="F211" s="22" t="n">
        <f aca="false">F209*$D$210</f>
        <v>10.5310467467151</v>
      </c>
      <c r="G211" s="22" t="n">
        <f aca="false">G209*$D$210</f>
        <v>11.8714556077225</v>
      </c>
    </row>
    <row r="212" customFormat="false" ht="17.15" hidden="false" customHeight="false" outlineLevel="0" collapsed="false">
      <c r="A212" s="4" t="s">
        <v>739</v>
      </c>
      <c r="B212" s="0" t="s">
        <v>239</v>
      </c>
      <c r="D212" s="22" t="n">
        <f aca="false">$D$210*f_hbm*(D193*D203+D194*D204+D195*D205)</f>
        <v>0.207470798271301</v>
      </c>
      <c r="E212" s="22" t="n">
        <f aca="false">$D$210*f_hbm*(E193*E203+E194*E204+E195*E205)</f>
        <v>0.797531814371714</v>
      </c>
      <c r="F212" s="22" t="n">
        <f aca="false">$D$210*f_hbm*(F193*F203+F194*F204+F195*F205)</f>
        <v>4.16083740869357</v>
      </c>
      <c r="G212" s="22" t="n">
        <f aca="false">$D$210*f_hbm*(G193*G203+G194*G204+G195*G205)</f>
        <v>4.54571486899773</v>
      </c>
    </row>
    <row r="213" customFormat="false" ht="15" hidden="false" customHeight="false" outlineLevel="0" collapsed="false">
      <c r="A213" s="4" t="s">
        <v>740</v>
      </c>
      <c r="B213" s="0" t="s">
        <v>239</v>
      </c>
      <c r="D213" s="22" t="n">
        <f aca="false">D211-D212</f>
        <v>1.2675292017287</v>
      </c>
      <c r="E213" s="22" t="n">
        <f aca="false">E211-E212</f>
        <v>1.93364839268025</v>
      </c>
      <c r="F213" s="22" t="n">
        <f aca="false">F211-F212</f>
        <v>6.37020933802158</v>
      </c>
      <c r="G213" s="22" t="n">
        <f aca="false">G211-G212</f>
        <v>7.32574073872481</v>
      </c>
    </row>
    <row r="214" customFormat="false" ht="17.15" hidden="false" customHeight="false" outlineLevel="0" collapsed="false">
      <c r="A214" s="0" t="s">
        <v>741</v>
      </c>
      <c r="B214" s="4" t="s">
        <v>36</v>
      </c>
      <c r="D214" s="16" t="n">
        <f aca="false">D193+D194+D195</f>
        <v>0.25</v>
      </c>
      <c r="E214" s="16" t="n">
        <f aca="false">E193+E194+E195</f>
        <v>0.385</v>
      </c>
      <c r="F214" s="16" t="n">
        <f aca="false">F193+F194+F195</f>
        <v>1.19</v>
      </c>
      <c r="G214" s="16" t="n">
        <f aca="false">G193+G194+G195</f>
        <v>1.3685</v>
      </c>
    </row>
    <row r="215" customFormat="false" ht="17.15" hidden="false" customHeight="false" outlineLevel="0" collapsed="false">
      <c r="A215" s="0" t="s">
        <v>742</v>
      </c>
      <c r="B215" s="0" t="s">
        <v>239</v>
      </c>
      <c r="C215" s="22" t="n">
        <f aca="false">a26_att</f>
        <v>0.2</v>
      </c>
      <c r="D215" s="22" t="n">
        <f aca="false">a27_att</f>
        <v>0.4</v>
      </c>
      <c r="E215" s="22" t="n">
        <f aca="false">att28</f>
        <v>1</v>
      </c>
      <c r="F215" s="22" t="n">
        <f aca="false">att28*(1+g_att)*um28_A</f>
        <v>1.5</v>
      </c>
      <c r="G215" s="22" t="n">
        <f aca="false">att28*(1+g_att)^2*um29_A</f>
        <v>2.25</v>
      </c>
      <c r="H215" s="7" t="s">
        <v>743</v>
      </c>
    </row>
    <row r="216" customFormat="false" ht="17.15" hidden="false" customHeight="false" outlineLevel="0" collapsed="false">
      <c r="A216" s="4" t="s">
        <v>744</v>
      </c>
      <c r="B216" s="0" t="s">
        <v>239</v>
      </c>
      <c r="C216" s="22" t="n">
        <f aca="false">a26_cus</f>
        <v>1.5</v>
      </c>
      <c r="D216" s="22" t="n">
        <f aca="false">D211+D215</f>
        <v>1.875</v>
      </c>
      <c r="E216" s="22" t="n">
        <f aca="false">E211+E215</f>
        <v>3.73118020705196</v>
      </c>
      <c r="F216" s="22" t="n">
        <f aca="false">F211+F215</f>
        <v>12.0310467467151</v>
      </c>
      <c r="G216" s="22" t="n">
        <f aca="false">G211+G215</f>
        <v>14.1214556077225</v>
      </c>
    </row>
    <row r="217" customFormat="false" ht="17.15" hidden="false" customHeight="false" outlineLevel="0" collapsed="false">
      <c r="A217" s="1" t="s">
        <v>745</v>
      </c>
    </row>
    <row r="218" customFormat="false" ht="17.15" hidden="false" customHeight="false" outlineLevel="0" collapsed="false">
      <c r="A218" s="0" t="s">
        <v>746</v>
      </c>
      <c r="B218" s="0" t="s">
        <v>239</v>
      </c>
      <c r="D218" s="22" t="n">
        <f aca="false">plug_26*1</f>
        <v>29.753262</v>
      </c>
      <c r="E218" s="22" t="n">
        <f aca="false">plug_27*1</f>
        <v>53.560715</v>
      </c>
      <c r="F218" s="22" t="n">
        <f aca="false">plug_28*um28_A</f>
        <v>57.9915</v>
      </c>
      <c r="G218" s="22" t="n">
        <f aca="false">plug_29*um29_A</f>
        <v>72.9348</v>
      </c>
    </row>
    <row r="219" customFormat="false" ht="17.15" hidden="false" customHeight="false" outlineLevel="0" collapsed="false">
      <c r="A219" s="4" t="s">
        <v>747</v>
      </c>
      <c r="B219" s="4" t="s">
        <v>680</v>
      </c>
      <c r="D219" s="19" t="n">
        <f aca="false">D218*1000/asp_26</f>
        <v>45.7742492307692</v>
      </c>
      <c r="E219" s="19" t="n">
        <f aca="false">E218*1000/asp_27</f>
        <v>66.95089375</v>
      </c>
      <c r="F219" s="19" t="n">
        <f aca="false">F218*1000/asp_28</f>
        <v>68.2252941176471</v>
      </c>
      <c r="G219" s="19" t="n">
        <f aca="false">G218*1000/asp_29</f>
        <v>85.8056470588235</v>
      </c>
    </row>
    <row r="220" customFormat="false" ht="17.15" hidden="false" customHeight="false" outlineLevel="0" collapsed="false">
      <c r="A220" s="4" t="s">
        <v>748</v>
      </c>
      <c r="B220" s="0" t="s">
        <v>49</v>
      </c>
      <c r="D220" s="14" t="n">
        <f aca="false">MIN(1,lpo_26)</f>
        <v>0.03</v>
      </c>
      <c r="E220" s="14" t="n">
        <f aca="false">MIN(1,lpo_27+0)</f>
        <v>0.06</v>
      </c>
      <c r="F220" s="14" t="n">
        <f aca="false">MIN(1,lpo_28+0)</f>
        <v>0.1</v>
      </c>
      <c r="G220" s="14" t="n">
        <f aca="false">MIN(1,lpo_29+0)</f>
        <v>0.15</v>
      </c>
    </row>
    <row r="221" customFormat="false" ht="15" hidden="false" customHeight="false" outlineLevel="0" collapsed="false">
      <c r="A221" s="4" t="s">
        <v>749</v>
      </c>
      <c r="B221" s="0" t="s">
        <v>253</v>
      </c>
      <c r="D221" s="23" t="n">
        <f aca="false">dsp_26</f>
        <v>125</v>
      </c>
      <c r="E221" s="23" t="n">
        <f aca="false">dsp_27*1</f>
        <v>135</v>
      </c>
      <c r="F221" s="23" t="n">
        <f aca="false">dsp_28*1</f>
        <v>135</v>
      </c>
      <c r="G221" s="23" t="n">
        <f aca="false">dsp_29*1</f>
        <v>130</v>
      </c>
    </row>
    <row r="222" customFormat="false" ht="17.15" hidden="false" customHeight="false" outlineLevel="0" collapsed="false">
      <c r="A222" s="4" t="s">
        <v>750</v>
      </c>
      <c r="B222" s="0" t="s">
        <v>239</v>
      </c>
      <c r="D222" s="22" t="n">
        <f aca="false">D219*(1-D220)*D221/1000</f>
        <v>5.55012771923077</v>
      </c>
      <c r="E222" s="22" t="n">
        <f aca="false">E219*(1-E220)*E221/1000</f>
        <v>8.496068416875</v>
      </c>
      <c r="F222" s="22" t="n">
        <f aca="false">F219*(1-F220)*F221/1000</f>
        <v>8.28937323529412</v>
      </c>
      <c r="G222" s="22" t="n">
        <f aca="false">G219*(1-G220)*G221/1000</f>
        <v>9.481524</v>
      </c>
    </row>
    <row r="223" customFormat="false" ht="17.15" hidden="false" customHeight="false" outlineLevel="0" collapsed="false">
      <c r="A223" s="0" t="s">
        <v>751</v>
      </c>
      <c r="B223" s="0" t="s">
        <v>49</v>
      </c>
      <c r="D223" s="14" t="n">
        <f aca="false">msh_dsp_26</f>
        <v>0.65</v>
      </c>
      <c r="E223" s="14" t="n">
        <f aca="false">msh_dsp_27+0</f>
        <v>0.63</v>
      </c>
      <c r="F223" s="14" t="n">
        <f aca="false">msh_dsp_28+0</f>
        <v>0.6</v>
      </c>
      <c r="G223" s="14" t="n">
        <f aca="false">msh_dsp_29+0</f>
        <v>0.58</v>
      </c>
    </row>
    <row r="224" customFormat="false" ht="17.15" hidden="false" customHeight="false" outlineLevel="0" collapsed="false">
      <c r="A224" s="0" t="s">
        <v>682</v>
      </c>
      <c r="B224" s="0" t="s">
        <v>239</v>
      </c>
      <c r="D224" s="22" t="n">
        <f aca="false">D222*D223</f>
        <v>3.6075830175</v>
      </c>
      <c r="E224" s="22" t="n">
        <f aca="false">E222*E223*1</f>
        <v>5.35252310263125</v>
      </c>
      <c r="F224" s="22" t="n">
        <f aca="false">F222*F223*1</f>
        <v>4.97362394117647</v>
      </c>
      <c r="G224" s="22" t="n">
        <f aca="false">G222*G223*1</f>
        <v>5.49928392</v>
      </c>
    </row>
    <row r="225" customFormat="false" ht="17.15" hidden="false" customHeight="false" outlineLevel="0" collapsed="false">
      <c r="A225" s="4" t="s">
        <v>752</v>
      </c>
      <c r="B225" s="0" t="s">
        <v>239</v>
      </c>
      <c r="D225" s="22" t="n">
        <f aca="false">coh27</f>
        <v>0.9</v>
      </c>
      <c r="E225" s="22" t="n">
        <f aca="false">D225*(1+g_coh)</f>
        <v>1.035</v>
      </c>
      <c r="F225" s="22" t="n">
        <f aca="false">E225*(1+g_coh)</f>
        <v>1.19025</v>
      </c>
      <c r="G225" s="22" t="n">
        <f aca="false">F225*(1+g_coh)</f>
        <v>1.3687875</v>
      </c>
    </row>
    <row r="226" customFormat="false" ht="17.15" hidden="false" customHeight="false" outlineLevel="0" collapsed="false">
      <c r="A226" s="4" t="s">
        <v>753</v>
      </c>
      <c r="B226" s="0" t="s">
        <v>80</v>
      </c>
      <c r="D226" s="16" t="n">
        <f aca="false">(a27_ic-D225)/D224</f>
        <v>1.44223430888795</v>
      </c>
      <c r="H226" s="7" t="s">
        <v>754</v>
      </c>
    </row>
    <row r="227" customFormat="false" ht="15" hidden="false" customHeight="false" outlineLevel="0" collapsed="false">
      <c r="A227" s="4" t="s">
        <v>755</v>
      </c>
      <c r="B227" s="0" t="s">
        <v>239</v>
      </c>
      <c r="C227" s="22" t="n">
        <f aca="false">a26_ic</f>
        <v>3.4503</v>
      </c>
      <c r="D227" s="22" t="n">
        <f aca="false">D224*$D$226+D225</f>
        <v>6.10298</v>
      </c>
      <c r="E227" s="22" t="n">
        <f aca="false">E224*$D$226+E225</f>
        <v>8.75459245773014</v>
      </c>
      <c r="F227" s="22" t="n">
        <f aca="false">F224*$D$226+F225</f>
        <v>8.36338108747118</v>
      </c>
      <c r="G227" s="22" t="n">
        <f aca="false">G224*$D$226+G225</f>
        <v>9.30004344373979</v>
      </c>
    </row>
    <row r="228" customFormat="false" ht="17.15" hidden="false" customHeight="false" outlineLevel="0" collapsed="false">
      <c r="A228" s="1" t="s">
        <v>756</v>
      </c>
    </row>
    <row r="229" customFormat="false" ht="15" hidden="false" customHeight="false" outlineLevel="0" collapsed="false">
      <c r="A229" s="4" t="s">
        <v>757</v>
      </c>
      <c r="B229" s="0" t="s">
        <v>239</v>
      </c>
      <c r="C229" s="22" t="n">
        <f aca="false">a26_sw</f>
        <v>0.3</v>
      </c>
      <c r="D229" s="22" t="n">
        <f aca="false">a27_sw</f>
        <v>0.65</v>
      </c>
      <c r="E229" s="22" t="n">
        <f aca="false">a27_sw*(1+g_sw28)</f>
        <v>1.17</v>
      </c>
      <c r="F229" s="22" t="n">
        <f aca="false">a27_sw*(1+g_sw28)*(1+g_sw)*um28_A</f>
        <v>1.638</v>
      </c>
      <c r="G229" s="22" t="n">
        <f aca="false">a27_sw*(1+g_sw28)*(1+g_sw)^2*um29_A</f>
        <v>2.2932</v>
      </c>
    </row>
    <row r="230" customFormat="false" ht="17.15" hidden="false" customHeight="false" outlineLevel="0" collapsed="false">
      <c r="A230" s="0" t="s">
        <v>758</v>
      </c>
      <c r="B230" s="0" t="s">
        <v>239</v>
      </c>
      <c r="C230" s="22" t="n">
        <f aca="false">a26_aec</f>
        <v>0.2</v>
      </c>
      <c r="D230" s="22" t="n">
        <f aca="false">a27_aec</f>
        <v>0.45</v>
      </c>
      <c r="E230" s="22" t="n">
        <f aca="false">a27_aec*(1+g_aec)</f>
        <v>0.675</v>
      </c>
      <c r="F230" s="22" t="n">
        <f aca="false">a27_aec*(1+g_aec)^2*um28_A</f>
        <v>1.0125</v>
      </c>
      <c r="G230" s="22" t="n">
        <f aca="false">a27_aec*(1+g_aec)^3*um29_A</f>
        <v>1.51875</v>
      </c>
    </row>
    <row r="231" customFormat="false" ht="15" hidden="false" customHeight="false" outlineLevel="0" collapsed="false">
      <c r="A231" s="4" t="s">
        <v>759</v>
      </c>
      <c r="B231" s="0" t="s">
        <v>239</v>
      </c>
      <c r="C231" s="22" t="n">
        <f aca="false">a26_sto</f>
        <v>0.65</v>
      </c>
      <c r="D231" s="22" t="n">
        <f aca="false">a27_sto</f>
        <v>0.6825</v>
      </c>
      <c r="E231" s="22" t="n">
        <f aca="false">D231*(1+g_sto)</f>
        <v>0.716625</v>
      </c>
      <c r="F231" s="22" t="n">
        <f aca="false">E231*(1+g_sto)</f>
        <v>0.75245625</v>
      </c>
      <c r="G231" s="22" t="n">
        <f aca="false">F231*(1+g_sto)</f>
        <v>0.7900790625</v>
      </c>
    </row>
    <row r="232" customFormat="false" ht="15" hidden="false" customHeight="false" outlineLevel="0" collapsed="false">
      <c r="A232" s="4" t="s">
        <v>760</v>
      </c>
      <c r="B232" s="0" t="s">
        <v>239</v>
      </c>
      <c r="C232" s="22" t="n">
        <f aca="false">a26_dc</f>
        <v>6.1003</v>
      </c>
      <c r="D232" s="22" t="n">
        <f aca="false">D216+D227+D229+D230+D231</f>
        <v>9.76048</v>
      </c>
      <c r="E232" s="22" t="n">
        <f aca="false">E216+E227+E229+E230+E231</f>
        <v>15.0473976647821</v>
      </c>
      <c r="F232" s="22" t="n">
        <f aca="false">F216+F227+F229+F230+F231</f>
        <v>23.7973840841863</v>
      </c>
      <c r="G232" s="22" t="n">
        <f aca="false">G216+G227+G229+G230+G231</f>
        <v>28.0235281139623</v>
      </c>
    </row>
    <row r="233" customFormat="false" ht="15" hidden="false" customHeight="false" outlineLevel="0" collapsed="false">
      <c r="A233" s="4" t="s">
        <v>761</v>
      </c>
      <c r="B233" s="0" t="s">
        <v>239</v>
      </c>
      <c r="C233" s="22" t="n">
        <f aca="false">a26_co</f>
        <v>2.0943</v>
      </c>
      <c r="D233" s="22" t="n">
        <f aca="false">a27_co</f>
        <v>2.23952</v>
      </c>
      <c r="E233" s="22" t="n">
        <f aca="false">D233*(1+g_co28)</f>
        <v>2.3067056</v>
      </c>
      <c r="F233" s="22" t="n">
        <f aca="false">E233*(1+g_co)</f>
        <v>2.375906768</v>
      </c>
      <c r="G233" s="22" t="n">
        <f aca="false">F233*(1+g_co)</f>
        <v>2.44718397104</v>
      </c>
    </row>
    <row r="234" customFormat="false" ht="17.15" hidden="false" customHeight="false" outlineLevel="0" collapsed="false">
      <c r="A234" s="1" t="s">
        <v>762</v>
      </c>
    </row>
    <row r="235" customFormat="false" ht="15" hidden="false" customHeight="false" outlineLevel="0" collapsed="false">
      <c r="A235" s="4" t="s">
        <v>597</v>
      </c>
      <c r="B235" s="0" t="s">
        <v>239</v>
      </c>
      <c r="C235" s="22" t="n">
        <f aca="false">a26_rev</f>
        <v>8.1946</v>
      </c>
      <c r="D235" s="22" t="n">
        <f aca="false">a27_rev</f>
        <v>12</v>
      </c>
      <c r="E235" s="22" t="n">
        <f aca="false">E232+E233</f>
        <v>17.3541032647821</v>
      </c>
      <c r="F235" s="22" t="n">
        <f aca="false">F232+F233</f>
        <v>26.1732908521863</v>
      </c>
      <c r="G235" s="22" t="n">
        <f aca="false">G232+G233</f>
        <v>30.4707120850023</v>
      </c>
    </row>
    <row r="236" customFormat="false" ht="17.15" hidden="false" customHeight="false" outlineLevel="0" collapsed="false">
      <c r="A236" s="4" t="s">
        <v>763</v>
      </c>
      <c r="B236" s="0" t="s">
        <v>239</v>
      </c>
      <c r="D236" s="22" t="n">
        <f aca="false">D232+D233</f>
        <v>12</v>
      </c>
      <c r="E236" s="22" t="n">
        <f aca="false">E232+E233</f>
        <v>17.3541032647821</v>
      </c>
      <c r="F236" s="22" t="n">
        <f aca="false">F232+F233</f>
        <v>26.1732908521863</v>
      </c>
      <c r="G236" s="22" t="n">
        <f aca="false">G232+G233</f>
        <v>30.4707120850023</v>
      </c>
    </row>
    <row r="237" customFormat="false" ht="15" hidden="false" customHeight="false" outlineLevel="0" collapsed="false">
      <c r="A237" s="4" t="s">
        <v>764</v>
      </c>
      <c r="B237" s="0" t="s">
        <v>49</v>
      </c>
      <c r="D237" s="14" t="n">
        <f aca="false">D235/C235-1</f>
        <v>0.464378981280355</v>
      </c>
      <c r="E237" s="14" t="n">
        <f aca="false">E235/D235-1</f>
        <v>0.446175272065175</v>
      </c>
      <c r="F237" s="14" t="n">
        <f aca="false">F235/E235-1</f>
        <v>0.508190337054271</v>
      </c>
      <c r="G237" s="14" t="n">
        <f aca="false">G235/F235-1</f>
        <v>0.164191093014848</v>
      </c>
    </row>
    <row r="238" customFormat="false" ht="17.15" hidden="false" customHeight="false" outlineLevel="0" collapsed="false">
      <c r="A238" s="4" t="s">
        <v>765</v>
      </c>
      <c r="B238" s="0" t="s">
        <v>49</v>
      </c>
      <c r="C238" s="14" t="n">
        <f aca="false">C232/C235</f>
        <v>0.744429258292046</v>
      </c>
      <c r="D238" s="14" t="n">
        <f aca="false">D232/D235</f>
        <v>0.813373333333333</v>
      </c>
      <c r="E238" s="14" t="n">
        <f aca="false">E232/E235</f>
        <v>0.867080104065005</v>
      </c>
      <c r="F238" s="14" t="n">
        <f aca="false">F232/F235</f>
        <v>0.909223995506796</v>
      </c>
      <c r="G238" s="14" t="n">
        <f aca="false">G232/G235</f>
        <v>0.919687338969525</v>
      </c>
    </row>
    <row r="239" customFormat="false" ht="17.15" hidden="false" customHeight="false" outlineLevel="0" collapsed="false">
      <c r="A239" s="4" t="s">
        <v>766</v>
      </c>
      <c r="B239" s="0" t="s">
        <v>239</v>
      </c>
      <c r="D239" s="22" t="n">
        <f aca="false">gm_opt*D227+gm_oth*(D229+D230+D231)+gm_att*D215+gm_co*D233+m_hbm*D212</f>
        <v>6.45404607982713</v>
      </c>
      <c r="E239" s="22" t="n">
        <f aca="false">gm_opt*E227+gm_oth*(E229+E230+E231)+gm_att*E215+gm_co*E233+m_hbm*E212</f>
        <v>9.02001067780716</v>
      </c>
      <c r="F239" s="22" t="n">
        <f aca="false">gm_opt*F227+gm_oth*(F229+F230+F231)+gm_att*F215+gm_co*F233+m_hbm*F212</f>
        <v>9.9298135014162</v>
      </c>
      <c r="G239" s="22" t="n">
        <f aca="false">gm_opt*G227+gm_oth*(G229+G230+G231)+gm_att*G215+gm_co*G233+m_hbm*G212</f>
        <v>11.731682997159</v>
      </c>
    </row>
    <row r="240" customFormat="false" ht="17.15" hidden="false" customHeight="false" outlineLevel="0" collapsed="false">
      <c r="A240" s="0" t="s">
        <v>767</v>
      </c>
      <c r="B240" s="0" t="s">
        <v>80</v>
      </c>
      <c r="D240" s="16" t="n">
        <f aca="false">(a27_gp-D239)/D213</f>
        <v>0.435994625937743</v>
      </c>
      <c r="H240" s="7" t="s">
        <v>768</v>
      </c>
    </row>
    <row r="241" customFormat="false" ht="15" hidden="false" customHeight="false" outlineLevel="0" collapsed="false">
      <c r="A241" s="4" t="s">
        <v>769</v>
      </c>
      <c r="B241" s="0" t="s">
        <v>239</v>
      </c>
      <c r="C241" s="22" t="n">
        <f aca="false">a26_gp</f>
        <v>4.8718</v>
      </c>
      <c r="D241" s="22" t="n">
        <f aca="false">a27_gp</f>
        <v>7.006682</v>
      </c>
      <c r="E241" s="22" t="n">
        <f aca="false">E239+$D$240*E213</f>
        <v>9.8630709854689</v>
      </c>
      <c r="F241" s="22" t="n">
        <f aca="false">F239+$D$240*F213</f>
        <v>12.707190538892</v>
      </c>
      <c r="G241" s="22" t="n">
        <f aca="false">G239+$D$240*G213</f>
        <v>14.9256665902562</v>
      </c>
    </row>
    <row r="242" customFormat="false" ht="15" hidden="false" customHeight="false" outlineLevel="0" collapsed="false">
      <c r="A242" s="4" t="s">
        <v>621</v>
      </c>
      <c r="B242" s="0" t="s">
        <v>49</v>
      </c>
      <c r="C242" s="14" t="n">
        <f aca="false">C241/C235</f>
        <v>0.59451346008347</v>
      </c>
      <c r="D242" s="14" t="n">
        <f aca="false">D241/D235</f>
        <v>0.583890166666667</v>
      </c>
      <c r="E242" s="14" t="n">
        <f aca="false">E241/E235</f>
        <v>0.568342301240348</v>
      </c>
      <c r="F242" s="14" t="n">
        <f aca="false">F241/F235</f>
        <v>0.485502209510294</v>
      </c>
      <c r="G242" s="14" t="n">
        <f aca="false">G241/G235</f>
        <v>0.48983648785821</v>
      </c>
    </row>
    <row r="243" customFormat="false" ht="17.15" hidden="false" customHeight="false" outlineLevel="0" collapsed="false">
      <c r="A243" s="4" t="s">
        <v>770</v>
      </c>
      <c r="B243" s="0" t="s">
        <v>49</v>
      </c>
      <c r="C243" s="14" t="n">
        <f aca="false">C216/C235</f>
        <v>0.183047372660044</v>
      </c>
      <c r="D243" s="14" t="n">
        <f aca="false">D216/D235</f>
        <v>0.15625</v>
      </c>
      <c r="E243" s="14" t="n">
        <f aca="false">E216/E235</f>
        <v>0.215002766211718</v>
      </c>
      <c r="F243" s="14" t="n">
        <f aca="false">F216/F235</f>
        <v>0.459668859168703</v>
      </c>
      <c r="G243" s="14" t="n">
        <f aca="false">G216/G235</f>
        <v>0.463443570610649</v>
      </c>
    </row>
    <row r="244" customFormat="false" ht="15" hidden="false" customHeight="false" outlineLevel="0" collapsed="false">
      <c r="A244" s="4" t="s">
        <v>771</v>
      </c>
      <c r="B244" s="0" t="s">
        <v>239</v>
      </c>
      <c r="C244" s="22" t="n">
        <f aca="false">a26_opx</f>
        <v>1.9808</v>
      </c>
      <c r="D244" s="22" t="n">
        <f aca="false">a27_opx</f>
        <v>2.55</v>
      </c>
      <c r="E244" s="22" t="n">
        <f aca="false">D244*(1+MAX(g_opx_min,phi*E237))</f>
        <v>3.1188734718831</v>
      </c>
      <c r="F244" s="22" t="n">
        <f aca="false">E244*(1+MAX(g_opx_min,phi*F237))</f>
        <v>3.91136415233605</v>
      </c>
      <c r="G244" s="22" t="n">
        <f aca="false">F244*(1+MAX(g_opx_min,phi*G237))</f>
        <v>4.23246973001162</v>
      </c>
    </row>
    <row r="245" customFormat="false" ht="15" hidden="false" customHeight="false" outlineLevel="0" collapsed="false">
      <c r="A245" s="4" t="s">
        <v>772</v>
      </c>
      <c r="B245" s="0" t="s">
        <v>239</v>
      </c>
      <c r="C245" s="22" t="n">
        <f aca="false">C244</f>
        <v>1.9808</v>
      </c>
      <c r="D245" s="22" t="n">
        <f aca="false">D244</f>
        <v>2.55</v>
      </c>
      <c r="E245" s="22" t="n">
        <f aca="false">E244+0*E235</f>
        <v>3.1188734718831</v>
      </c>
      <c r="F245" s="22" t="n">
        <f aca="false">F244+0*F235</f>
        <v>3.91136415233605</v>
      </c>
      <c r="G245" s="22" t="n">
        <f aca="false">G244+0*G235</f>
        <v>4.23246973001162</v>
      </c>
    </row>
    <row r="246" customFormat="false" ht="15" hidden="false" customHeight="false" outlineLevel="0" collapsed="false">
      <c r="A246" s="4" t="s">
        <v>773</v>
      </c>
      <c r="B246" s="0" t="s">
        <v>239</v>
      </c>
      <c r="C246" s="22" t="n">
        <f aca="false">C241-C245</f>
        <v>2.891</v>
      </c>
      <c r="D246" s="22" t="n">
        <f aca="false">D241-D245</f>
        <v>4.456682</v>
      </c>
      <c r="E246" s="22" t="n">
        <f aca="false">E241-E245</f>
        <v>6.7441975135858</v>
      </c>
      <c r="F246" s="22" t="n">
        <f aca="false">F241-F245</f>
        <v>8.79582638655599</v>
      </c>
      <c r="G246" s="22" t="n">
        <f aca="false">G241-G245</f>
        <v>10.6931968602446</v>
      </c>
    </row>
    <row r="247" customFormat="false" ht="15" hidden="false" customHeight="false" outlineLevel="0" collapsed="false">
      <c r="A247" s="4" t="s">
        <v>627</v>
      </c>
      <c r="B247" s="0" t="s">
        <v>49</v>
      </c>
      <c r="C247" s="14" t="n">
        <f aca="false">C246/C235</f>
        <v>0.352793302906792</v>
      </c>
      <c r="D247" s="14" t="n">
        <f aca="false">D246/D235</f>
        <v>0.371390166666667</v>
      </c>
      <c r="E247" s="14" t="n">
        <f aca="false">E246/E235</f>
        <v>0.388622645070476</v>
      </c>
      <c r="F247" s="14" t="n">
        <f aca="false">F246/F235</f>
        <v>0.336061156246283</v>
      </c>
      <c r="G247" s="14" t="n">
        <f aca="false">G246/G235</f>
        <v>0.350933605700269</v>
      </c>
    </row>
    <row r="248" customFormat="false" ht="15" hidden="false" customHeight="false" outlineLevel="0" collapsed="false">
      <c r="A248" s="4" t="s">
        <v>774</v>
      </c>
      <c r="B248" s="0" t="s">
        <v>239</v>
      </c>
      <c r="C248" s="22" t="n">
        <f aca="false">a26_oth</f>
        <v>0.1514</v>
      </c>
      <c r="D248" s="22" t="n">
        <f aca="false">a27_oth</f>
        <v>0.1424</v>
      </c>
      <c r="E248" s="22" t="n">
        <f aca="false">int_f</f>
        <v>0.15</v>
      </c>
      <c r="F248" s="22" t="n">
        <f aca="false">int_f</f>
        <v>0.15</v>
      </c>
      <c r="G248" s="22" t="n">
        <f aca="false">int_f</f>
        <v>0.15</v>
      </c>
    </row>
    <row r="249" customFormat="false" ht="15" hidden="false" customHeight="false" outlineLevel="0" collapsed="false">
      <c r="A249" s="4" t="s">
        <v>775</v>
      </c>
      <c r="B249" s="0" t="s">
        <v>49</v>
      </c>
      <c r="C249" s="14" t="n">
        <f aca="false">a26_tax/(a26_oi-a26_oth)</f>
        <v>0.1</v>
      </c>
      <c r="D249" s="14" t="n">
        <f aca="false">a27_tax/(a27_oi-a27_oth)</f>
        <v>0.11</v>
      </c>
      <c r="E249" s="14" t="n">
        <f aca="false">tx_f</f>
        <v>0.13</v>
      </c>
      <c r="F249" s="14" t="n">
        <f aca="false">tx_f</f>
        <v>0.13</v>
      </c>
      <c r="G249" s="14" t="n">
        <f aca="false">tx_f</f>
        <v>0.13</v>
      </c>
    </row>
    <row r="250" customFormat="false" ht="17.15" hidden="false" customHeight="false" outlineLevel="0" collapsed="false">
      <c r="A250" s="4" t="s">
        <v>708</v>
      </c>
      <c r="B250" s="0" t="s">
        <v>239</v>
      </c>
      <c r="C250" s="22" t="n">
        <f aca="false">a26_ni</f>
        <v>2.46564</v>
      </c>
      <c r="D250" s="22" t="n">
        <f aca="false">a27_ni</f>
        <v>3.83971098</v>
      </c>
      <c r="E250" s="22" t="n">
        <f aca="false">(E246-E248)*(1-E249)</f>
        <v>5.73695183681965</v>
      </c>
      <c r="F250" s="22" t="n">
        <f aca="false">(F246-F248)*(1-F249)</f>
        <v>7.52186895630371</v>
      </c>
      <c r="G250" s="22" t="n">
        <f aca="false">(G246-G248)*(1-G249)</f>
        <v>9.17258126841282</v>
      </c>
    </row>
    <row r="251" customFormat="false" ht="15" hidden="false" customHeight="false" outlineLevel="0" collapsed="false">
      <c r="A251" s="4" t="s">
        <v>776</v>
      </c>
      <c r="B251" s="4" t="s">
        <v>370</v>
      </c>
      <c r="C251" s="16" t="n">
        <f aca="false">a26_sh</f>
        <v>0.8697</v>
      </c>
      <c r="D251" s="16" t="n">
        <f aca="false">a27_sh</f>
        <v>0.915125</v>
      </c>
      <c r="E251" s="16" t="n">
        <f aca="false">D251*(1+sh_g)</f>
        <v>0.919700625</v>
      </c>
      <c r="F251" s="16" t="n">
        <f aca="false">E251*(1+sh_g)</f>
        <v>0.924299128125</v>
      </c>
      <c r="G251" s="16" t="n">
        <f aca="false">F251*(1+sh_g)</f>
        <v>0.928920623765625</v>
      </c>
    </row>
    <row r="252" customFormat="false" ht="17.15" hidden="false" customHeight="false" outlineLevel="0" collapsed="false">
      <c r="A252" s="0" t="s">
        <v>709</v>
      </c>
      <c r="B252" s="0" t="s">
        <v>253</v>
      </c>
      <c r="C252" s="22" t="n">
        <f aca="false">C250/C251</f>
        <v>2.83504656778199</v>
      </c>
      <c r="D252" s="22" t="n">
        <f aca="false">D250/D251</f>
        <v>4.19583224149706</v>
      </c>
      <c r="E252" s="22" t="n">
        <f aca="false">E250/E251</f>
        <v>6.23784705682857</v>
      </c>
      <c r="F252" s="22" t="n">
        <f aca="false">F250/F251</f>
        <v>8.13791631672563</v>
      </c>
      <c r="G252" s="22" t="n">
        <f aca="false">G250/G251</f>
        <v>9.87445109274175</v>
      </c>
    </row>
    <row r="253" customFormat="false" ht="17.15" hidden="false" customHeight="false" outlineLevel="0" collapsed="false">
      <c r="A253" s="0" t="s">
        <v>777</v>
      </c>
      <c r="B253" s="0" t="s">
        <v>49</v>
      </c>
      <c r="D253" s="14" t="n">
        <f aca="false">D252/C252-1</f>
        <v>0.479987062357033</v>
      </c>
      <c r="E253" s="14" t="n">
        <f aca="false">E252/D252-1</f>
        <v>0.486676944596556</v>
      </c>
      <c r="F253" s="14" t="n">
        <f aca="false">F252/E252-1</f>
        <v>0.304603373982544</v>
      </c>
      <c r="G253" s="14" t="n">
        <f aca="false">G252/F252-1</f>
        <v>0.213388133820824</v>
      </c>
    </row>
    <row r="256" customFormat="false" ht="17.15" hidden="false" customHeight="false" outlineLevel="0" collapsed="false">
      <c r="A256" s="3" t="s">
        <v>1173</v>
      </c>
    </row>
    <row r="257" customFormat="false" ht="17.15" hidden="false" customHeight="false" outlineLevel="0" collapsed="false">
      <c r="A257" s="5" t="s">
        <v>25</v>
      </c>
      <c r="B257" s="5" t="s">
        <v>26</v>
      </c>
      <c r="C257" s="11" t="s">
        <v>698</v>
      </c>
      <c r="D257" s="11" t="s">
        <v>699</v>
      </c>
      <c r="E257" s="11" t="s">
        <v>700</v>
      </c>
      <c r="F257" s="11" t="s">
        <v>701</v>
      </c>
      <c r="G257" s="11" t="s">
        <v>702</v>
      </c>
      <c r="H257" s="5" t="s">
        <v>555</v>
      </c>
    </row>
    <row r="258" customFormat="false" ht="17.15" hidden="false" customHeight="false" outlineLevel="0" collapsed="false">
      <c r="A258" s="1" t="s">
        <v>717</v>
      </c>
    </row>
    <row r="259" customFormat="false" ht="17.15" hidden="false" customHeight="false" outlineLevel="0" collapsed="false">
      <c r="A259" s="0" t="s">
        <v>718</v>
      </c>
      <c r="B259" s="4" t="s">
        <v>36</v>
      </c>
      <c r="D259" s="22" t="n">
        <f aca="false">u_trn_26</f>
        <v>2</v>
      </c>
      <c r="E259" s="22" t="n">
        <f aca="false">u_trn_27</f>
        <v>2.5</v>
      </c>
      <c r="F259" s="22" t="n">
        <f aca="false">u_trn_28*um28_A</f>
        <v>3</v>
      </c>
      <c r="G259" s="22" t="n">
        <f aca="false">u_trn_28*(1+g29_trn)*um29_A</f>
        <v>3.45</v>
      </c>
    </row>
    <row r="260" customFormat="false" ht="17.15" hidden="false" customHeight="false" outlineLevel="0" collapsed="false">
      <c r="A260" s="4" t="s">
        <v>719</v>
      </c>
      <c r="B260" s="4" t="s">
        <v>36</v>
      </c>
      <c r="D260" s="22" t="n">
        <f aca="false">u_oth_26</f>
        <v>1</v>
      </c>
      <c r="E260" s="22" t="n">
        <f aca="false">u_oth_27</f>
        <v>4.5</v>
      </c>
      <c r="F260" s="22" t="n">
        <f aca="false">u_oth_28*um28_A</f>
        <v>5</v>
      </c>
      <c r="G260" s="22" t="n">
        <f aca="false">u_oth_28*(1+g29_oth)*um29_A</f>
        <v>5.75</v>
      </c>
    </row>
    <row r="261" customFormat="false" ht="17.15" hidden="false" customHeight="false" outlineLevel="0" collapsed="false">
      <c r="A261" s="0" t="s">
        <v>720</v>
      </c>
      <c r="B261" s="4" t="s">
        <v>36</v>
      </c>
      <c r="D261" s="22" t="n">
        <f aca="false">u_tpu_26</f>
        <v>3.85</v>
      </c>
      <c r="E261" s="22" t="n">
        <f aca="false">u_tpu_27</f>
        <v>5.5</v>
      </c>
      <c r="F261" s="22" t="n">
        <f aca="false">u_tpu_28*um28_A</f>
        <v>7</v>
      </c>
      <c r="G261" s="22" t="n">
        <f aca="false">u_tpu_28*(1+g29_tpu)*um29_A</f>
        <v>8.05</v>
      </c>
    </row>
    <row r="262" customFormat="false" ht="17.15" hidden="false" customHeight="false" outlineLevel="0" collapsed="false">
      <c r="A262" s="0" t="s">
        <v>658</v>
      </c>
      <c r="B262" s="0" t="s">
        <v>49</v>
      </c>
      <c r="D262" s="14" t="n">
        <f aca="false">msh_trn_26</f>
        <v>0.1</v>
      </c>
      <c r="E262" s="14" t="n">
        <f aca="false">MIN(1,MAX(0,msh_trn_27+0))</f>
        <v>0.1</v>
      </c>
      <c r="F262" s="14" t="n">
        <f aca="false">MIN(1,MAX(0,msh_trn_28+0))</f>
        <v>0.08</v>
      </c>
      <c r="G262" s="14" t="n">
        <f aca="false">MIN(1,MAX(0,msh_trn_28+0))</f>
        <v>0.08</v>
      </c>
    </row>
    <row r="263" customFormat="false" ht="17.15" hidden="false" customHeight="false" outlineLevel="0" collapsed="false">
      <c r="A263" s="0" t="s">
        <v>666</v>
      </c>
      <c r="B263" s="0" t="s">
        <v>49</v>
      </c>
      <c r="D263" s="14" t="n">
        <f aca="false">msh_oth_26</f>
        <v>0.05</v>
      </c>
      <c r="E263" s="14" t="n">
        <f aca="false">MIN(1,MAX(0,msh_oth_27+0.06))</f>
        <v>0.12</v>
      </c>
      <c r="F263" s="14" t="n">
        <f aca="false">MIN(1,MAX(0,msh_oth_28+0.06))</f>
        <v>0.21</v>
      </c>
      <c r="G263" s="14" t="n">
        <f aca="false">MIN(1,MAX(0,msh_oth_28+0.06))</f>
        <v>0.21</v>
      </c>
    </row>
    <row r="264" customFormat="false" ht="17.15" hidden="false" customHeight="false" outlineLevel="0" collapsed="false">
      <c r="A264" s="0" t="s">
        <v>670</v>
      </c>
      <c r="B264" s="0" t="s">
        <v>49</v>
      </c>
      <c r="D264" s="14" t="n">
        <f aca="false">msh_tpu_26</f>
        <v>0</v>
      </c>
      <c r="E264" s="14" t="n">
        <f aca="false">MIN(1,MAX(0,msh_tpu_27+0))</f>
        <v>0</v>
      </c>
      <c r="F264" s="14" t="n">
        <f aca="false">MIN(1,MAX(0,msh_tpu_28+0))</f>
        <v>0.05</v>
      </c>
      <c r="G264" s="14" t="n">
        <f aca="false">MIN(1,MAX(0,msh_tpu_28+0))</f>
        <v>0.05</v>
      </c>
    </row>
    <row r="265" customFormat="false" ht="17.15" hidden="false" customHeight="false" outlineLevel="0" collapsed="false">
      <c r="A265" s="0" t="s">
        <v>660</v>
      </c>
      <c r="B265" s="4" t="s">
        <v>36</v>
      </c>
      <c r="D265" s="16" t="n">
        <f aca="false">D259*D262</f>
        <v>0.2</v>
      </c>
      <c r="E265" s="16" t="n">
        <f aca="false">E259*E262*1</f>
        <v>0.25</v>
      </c>
      <c r="F265" s="16" t="n">
        <f aca="false">F259*F262*1</f>
        <v>0.24</v>
      </c>
      <c r="G265" s="16" t="n">
        <f aca="false">G259*G262*1</f>
        <v>0.276</v>
      </c>
    </row>
    <row r="266" customFormat="false" ht="17.15" hidden="false" customHeight="false" outlineLevel="0" collapsed="false">
      <c r="A266" s="0" t="s">
        <v>667</v>
      </c>
      <c r="B266" s="4" t="s">
        <v>36</v>
      </c>
      <c r="D266" s="16" t="n">
        <f aca="false">D260*D263</f>
        <v>0.05</v>
      </c>
      <c r="E266" s="16" t="n">
        <f aca="false">E260*E263*1</f>
        <v>0.54</v>
      </c>
      <c r="F266" s="16" t="n">
        <f aca="false">F260*F263*1</f>
        <v>1.05</v>
      </c>
      <c r="G266" s="16" t="n">
        <f aca="false">G260*G263*1</f>
        <v>1.2075</v>
      </c>
    </row>
    <row r="267" customFormat="false" ht="17.15" hidden="false" customHeight="false" outlineLevel="0" collapsed="false">
      <c r="A267" s="0" t="s">
        <v>671</v>
      </c>
      <c r="B267" s="4" t="s">
        <v>36</v>
      </c>
      <c r="D267" s="16" t="n">
        <f aca="false">D261*D264</f>
        <v>0</v>
      </c>
      <c r="E267" s="16" t="n">
        <f aca="false">E261*E264*1</f>
        <v>0</v>
      </c>
      <c r="F267" s="16" t="n">
        <f aca="false">F261*F264*1</f>
        <v>0.35</v>
      </c>
      <c r="G267" s="16" t="n">
        <f aca="false">G261*G264*1</f>
        <v>0.4025</v>
      </c>
    </row>
    <row r="268" customFormat="false" ht="17.15" hidden="false" customHeight="false" outlineLevel="0" collapsed="false">
      <c r="A268" s="4" t="s">
        <v>721</v>
      </c>
      <c r="B268" s="0" t="s">
        <v>100</v>
      </c>
      <c r="D268" s="23" t="n">
        <f aca="false">gb_trn_26</f>
        <v>110</v>
      </c>
      <c r="E268" s="23" t="n">
        <f aca="false">gb_trn_27</f>
        <v>144</v>
      </c>
      <c r="F268" s="23" t="n">
        <f aca="false">gb_trn_28</f>
        <v>200</v>
      </c>
      <c r="G268" s="23" t="n">
        <f aca="false">gb_trn_28</f>
        <v>200</v>
      </c>
    </row>
    <row r="269" customFormat="false" ht="17.15" hidden="false" customHeight="false" outlineLevel="0" collapsed="false">
      <c r="A269" s="4" t="s">
        <v>722</v>
      </c>
      <c r="B269" s="0" t="s">
        <v>100</v>
      </c>
      <c r="D269" s="23" t="n">
        <f aca="false">gb_oth_26</f>
        <v>150</v>
      </c>
      <c r="E269" s="23" t="n">
        <f aca="false">gb_oth_27</f>
        <v>200</v>
      </c>
      <c r="F269" s="23" t="n">
        <f aca="false">gb_oth_28</f>
        <v>250</v>
      </c>
      <c r="G269" s="23" t="n">
        <f aca="false">gb_oth_28</f>
        <v>250</v>
      </c>
    </row>
    <row r="270" customFormat="false" ht="17.15" hidden="false" customHeight="false" outlineLevel="0" collapsed="false">
      <c r="A270" s="4" t="s">
        <v>723</v>
      </c>
      <c r="B270" s="0" t="s">
        <v>100</v>
      </c>
      <c r="D270" s="23" t="n">
        <f aca="false">gb_tpu_26</f>
        <v>192</v>
      </c>
      <c r="E270" s="23" t="n">
        <f aca="false">gb_tpu_27</f>
        <v>250</v>
      </c>
      <c r="F270" s="23" t="n">
        <f aca="false">gb_tpu_28</f>
        <v>288</v>
      </c>
      <c r="G270" s="23" t="n">
        <f aca="false">gb_tpu_28</f>
        <v>288</v>
      </c>
    </row>
    <row r="271" customFormat="false" ht="17.15" hidden="false" customHeight="false" outlineLevel="0" collapsed="false">
      <c r="A271" s="0" t="s">
        <v>724</v>
      </c>
      <c r="B271" s="0" t="s">
        <v>200</v>
      </c>
      <c r="D271" s="22" t="n">
        <f aca="false">hbm_A_26</f>
        <v>14.6</v>
      </c>
      <c r="E271" s="22" t="n">
        <f aca="false">hbm_A_27</f>
        <v>26.28</v>
      </c>
      <c r="F271" s="22" t="n">
        <f aca="false">hbm_A_28</f>
        <v>28.908</v>
      </c>
      <c r="G271" s="22" t="n">
        <f aca="false">hbm_A_29</f>
        <v>27.4626</v>
      </c>
    </row>
    <row r="272" customFormat="false" ht="17.15" hidden="false" customHeight="false" outlineLevel="0" collapsed="false">
      <c r="A272" s="4" t="s">
        <v>725</v>
      </c>
      <c r="B272" s="0" t="s">
        <v>122</v>
      </c>
      <c r="D272" s="22" t="n">
        <f aca="false">core_trn</f>
        <v>6.394</v>
      </c>
      <c r="E272" s="22" t="n">
        <f aca="false">core_trn*1</f>
        <v>6.394</v>
      </c>
      <c r="F272" s="22" t="n">
        <f aca="false">core_trn*1</f>
        <v>6.394</v>
      </c>
      <c r="G272" s="22" t="n">
        <f aca="false">core_trn*1</f>
        <v>6.394</v>
      </c>
    </row>
    <row r="273" customFormat="false" ht="17.15" hidden="false" customHeight="false" outlineLevel="0" collapsed="false">
      <c r="A273" s="4" t="s">
        <v>726</v>
      </c>
      <c r="B273" s="0" t="s">
        <v>122</v>
      </c>
      <c r="D273" s="22" t="n">
        <f aca="false">core_oth</f>
        <v>6</v>
      </c>
      <c r="E273" s="22" t="n">
        <f aca="false">core_oth*1</f>
        <v>6</v>
      </c>
      <c r="F273" s="22" t="n">
        <f aca="false">core_oth*1</f>
        <v>6</v>
      </c>
      <c r="G273" s="22" t="n">
        <f aca="false">core_oth*1</f>
        <v>6</v>
      </c>
    </row>
    <row r="274" customFormat="false" ht="17.15" hidden="false" customHeight="false" outlineLevel="0" collapsed="false">
      <c r="A274" s="4" t="s">
        <v>727</v>
      </c>
      <c r="B274" s="0" t="s">
        <v>122</v>
      </c>
      <c r="D274" s="22" t="n">
        <f aca="false">core_tpu</f>
        <v>8</v>
      </c>
      <c r="E274" s="22" t="n">
        <f aca="false">core_tpu*1</f>
        <v>8</v>
      </c>
      <c r="F274" s="22" t="n">
        <f aca="false">core_tpu*1</f>
        <v>8</v>
      </c>
      <c r="G274" s="22" t="n">
        <f aca="false">core_tpu*1</f>
        <v>8</v>
      </c>
    </row>
    <row r="275" customFormat="false" ht="17.15" hidden="false" customHeight="false" outlineLevel="0" collapsed="false">
      <c r="A275" s="4" t="s">
        <v>728</v>
      </c>
      <c r="B275" s="0" t="s">
        <v>122</v>
      </c>
      <c r="D275" s="22" t="n">
        <f aca="false">D268*D271/1000</f>
        <v>1.606</v>
      </c>
      <c r="E275" s="22" t="n">
        <f aca="false">E268*E271/1000</f>
        <v>3.78432</v>
      </c>
      <c r="F275" s="22" t="n">
        <f aca="false">F268*F271/1000</f>
        <v>5.7816</v>
      </c>
      <c r="G275" s="22" t="n">
        <f aca="false">G268*G271/1000</f>
        <v>5.49252</v>
      </c>
    </row>
    <row r="276" customFormat="false" ht="17.15" hidden="false" customHeight="false" outlineLevel="0" collapsed="false">
      <c r="A276" s="4" t="s">
        <v>729</v>
      </c>
      <c r="B276" s="0" t="s">
        <v>122</v>
      </c>
      <c r="D276" s="22" t="n">
        <f aca="false">D269*D271/1000</f>
        <v>2.19</v>
      </c>
      <c r="E276" s="22" t="n">
        <f aca="false">E269*E271/1000</f>
        <v>5.256</v>
      </c>
      <c r="F276" s="22" t="n">
        <f aca="false">F269*F271/1000</f>
        <v>7.227</v>
      </c>
      <c r="G276" s="22" t="n">
        <f aca="false">G269*G271/1000</f>
        <v>6.86565</v>
      </c>
    </row>
    <row r="277" customFormat="false" ht="17.15" hidden="false" customHeight="false" outlineLevel="0" collapsed="false">
      <c r="A277" s="4" t="s">
        <v>730</v>
      </c>
      <c r="B277" s="0" t="s">
        <v>122</v>
      </c>
      <c r="D277" s="22" t="n">
        <f aca="false">D270*D271/1000</f>
        <v>2.8032</v>
      </c>
      <c r="E277" s="22" t="n">
        <f aca="false">E270*E271/1000</f>
        <v>6.57</v>
      </c>
      <c r="F277" s="22" t="n">
        <f aca="false">F270*F271/1000</f>
        <v>8.325504</v>
      </c>
      <c r="G277" s="22" t="n">
        <f aca="false">G270*G271/1000</f>
        <v>7.9092288</v>
      </c>
    </row>
    <row r="278" customFormat="false" ht="17.15" hidden="false" customHeight="false" outlineLevel="0" collapsed="false">
      <c r="A278" s="4" t="s">
        <v>731</v>
      </c>
      <c r="B278" s="0" t="s">
        <v>122</v>
      </c>
      <c r="D278" s="22" t="n">
        <f aca="false">D272+f_hbm*D275</f>
        <v>7.3576</v>
      </c>
      <c r="E278" s="22" t="n">
        <f aca="false">E272+f_hbm*E275</f>
        <v>8.664592</v>
      </c>
      <c r="F278" s="22" t="n">
        <f aca="false">F272+f_hbm*F275</f>
        <v>9.86296</v>
      </c>
      <c r="G278" s="22" t="n">
        <f aca="false">G272+f_hbm*G275</f>
        <v>9.689512</v>
      </c>
      <c r="H278" s="4" t="s">
        <v>732</v>
      </c>
    </row>
    <row r="279" customFormat="false" ht="17.15" hidden="false" customHeight="false" outlineLevel="0" collapsed="false">
      <c r="A279" s="4" t="s">
        <v>733</v>
      </c>
      <c r="B279" s="0" t="s">
        <v>122</v>
      </c>
      <c r="D279" s="22" t="n">
        <f aca="false">D273+f_hbm*D276</f>
        <v>7.314</v>
      </c>
      <c r="E279" s="22" t="n">
        <f aca="false">E273+f_hbm*E276</f>
        <v>9.1536</v>
      </c>
      <c r="F279" s="22" t="n">
        <f aca="false">F273+f_hbm*F276</f>
        <v>10.3362</v>
      </c>
      <c r="G279" s="22" t="n">
        <f aca="false">G273+f_hbm*G276</f>
        <v>10.11939</v>
      </c>
    </row>
    <row r="280" customFormat="false" ht="17.15" hidden="false" customHeight="false" outlineLevel="0" collapsed="false">
      <c r="A280" s="4" t="s">
        <v>734</v>
      </c>
      <c r="B280" s="0" t="s">
        <v>122</v>
      </c>
      <c r="D280" s="22" t="n">
        <f aca="false">D274+f_hbm*D277</f>
        <v>9.68192</v>
      </c>
      <c r="E280" s="22" t="n">
        <f aca="false">E274+f_hbm*E277</f>
        <v>11.942</v>
      </c>
      <c r="F280" s="22" t="n">
        <f aca="false">F274+f_hbm*F277</f>
        <v>12.9953024</v>
      </c>
      <c r="G280" s="22" t="n">
        <f aca="false">G274+f_hbm*G277</f>
        <v>12.74553728</v>
      </c>
    </row>
    <row r="281" customFormat="false" ht="17.15" hidden="false" customHeight="false" outlineLevel="0" collapsed="false">
      <c r="A281" s="0" t="s">
        <v>735</v>
      </c>
      <c r="B281" s="0" t="s">
        <v>239</v>
      </c>
      <c r="D281" s="22" t="n">
        <f aca="false">D265*D278+D266*D279+D267*D280</f>
        <v>1.83722</v>
      </c>
      <c r="E281" s="22" t="n">
        <f aca="false">E265*E278+E266*E279+E267*E280</f>
        <v>7.109092</v>
      </c>
      <c r="F281" s="22" t="n">
        <f aca="false">F265*F278+F266*F279+F267*F280</f>
        <v>17.76847624</v>
      </c>
      <c r="G281" s="22" t="n">
        <f aca="false">G265*G278+G266*G279+G267*G280</f>
        <v>20.0235474922</v>
      </c>
    </row>
    <row r="282" customFormat="false" ht="17.15" hidden="false" customHeight="false" outlineLevel="0" collapsed="false">
      <c r="A282" s="0" t="s">
        <v>736</v>
      </c>
      <c r="B282" s="0" t="s">
        <v>80</v>
      </c>
      <c r="D282" s="16" t="n">
        <f aca="false">a27_xpu/D281</f>
        <v>0.802843426481314</v>
      </c>
      <c r="H282" s="7" t="s">
        <v>737</v>
      </c>
    </row>
    <row r="283" customFormat="false" ht="17.15" hidden="false" customHeight="false" outlineLevel="0" collapsed="false">
      <c r="A283" s="0" t="s">
        <v>738</v>
      </c>
      <c r="B283" s="0" t="s">
        <v>239</v>
      </c>
      <c r="D283" s="22" t="n">
        <f aca="false">D281*$D$282</f>
        <v>1.475</v>
      </c>
      <c r="E283" s="22" t="n">
        <f aca="false">E281*$D$282</f>
        <v>5.7074877804509</v>
      </c>
      <c r="F283" s="22" t="n">
        <f aca="false">F281*$D$282</f>
        <v>14.2653043478734</v>
      </c>
      <c r="G283" s="22" t="n">
        <f aca="false">G281*$D$282</f>
        <v>16.0757734789492</v>
      </c>
    </row>
    <row r="284" customFormat="false" ht="17.15" hidden="false" customHeight="false" outlineLevel="0" collapsed="false">
      <c r="A284" s="4" t="s">
        <v>739</v>
      </c>
      <c r="B284" s="0" t="s">
        <v>239</v>
      </c>
      <c r="D284" s="22" t="n">
        <f aca="false">$D$282*f_hbm*(D265*D275+D266*D276+D267*D277)</f>
        <v>0.207470798271301</v>
      </c>
      <c r="E284" s="22" t="n">
        <f aca="false">$D$282*f_hbm*(E265*E275+E266*E276+E267*E277)</f>
        <v>1.82292986142106</v>
      </c>
      <c r="F284" s="22" t="n">
        <f aca="false">$D$282*f_hbm*(F265*F275+F266*F276+F267*F277)</f>
        <v>5.72741775835229</v>
      </c>
      <c r="G284" s="22" t="n">
        <f aca="false">$D$282*f_hbm*(G265*G275+G266*G276+G267*G277)</f>
        <v>6.25720390099988</v>
      </c>
    </row>
    <row r="285" customFormat="false" ht="15" hidden="false" customHeight="false" outlineLevel="0" collapsed="false">
      <c r="A285" s="4" t="s">
        <v>740</v>
      </c>
      <c r="B285" s="0" t="s">
        <v>239</v>
      </c>
      <c r="D285" s="22" t="n">
        <f aca="false">D283-D284</f>
        <v>1.2675292017287</v>
      </c>
      <c r="E285" s="22" t="n">
        <f aca="false">E283-E284</f>
        <v>3.88455791902984</v>
      </c>
      <c r="F285" s="22" t="n">
        <f aca="false">F283-F284</f>
        <v>8.53788658952113</v>
      </c>
      <c r="G285" s="22" t="n">
        <f aca="false">G283-G284</f>
        <v>9.81856957794929</v>
      </c>
    </row>
    <row r="286" customFormat="false" ht="17.15" hidden="false" customHeight="false" outlineLevel="0" collapsed="false">
      <c r="A286" s="0" t="s">
        <v>741</v>
      </c>
      <c r="B286" s="4" t="s">
        <v>36</v>
      </c>
      <c r="D286" s="16" t="n">
        <f aca="false">D265+D266+D267</f>
        <v>0.25</v>
      </c>
      <c r="E286" s="16" t="n">
        <f aca="false">E265+E266+E267</f>
        <v>0.79</v>
      </c>
      <c r="F286" s="16" t="n">
        <f aca="false">F265+F266+F267</f>
        <v>1.64</v>
      </c>
      <c r="G286" s="16" t="n">
        <f aca="false">G265+G266+G267</f>
        <v>1.886</v>
      </c>
    </row>
    <row r="287" customFormat="false" ht="17.15" hidden="false" customHeight="false" outlineLevel="0" collapsed="false">
      <c r="A287" s="0" t="s">
        <v>742</v>
      </c>
      <c r="B287" s="0" t="s">
        <v>239</v>
      </c>
      <c r="C287" s="22" t="n">
        <f aca="false">a26_att</f>
        <v>0.2</v>
      </c>
      <c r="D287" s="22" t="n">
        <f aca="false">a27_att</f>
        <v>0.4</v>
      </c>
      <c r="E287" s="22" t="n">
        <f aca="false">att28</f>
        <v>1</v>
      </c>
      <c r="F287" s="22" t="n">
        <f aca="false">att28*(1+g_att)*um28_A</f>
        <v>1.5</v>
      </c>
      <c r="G287" s="22" t="n">
        <f aca="false">att28*(1+g_att)^2*um29_A</f>
        <v>2.25</v>
      </c>
      <c r="H287" s="7" t="s">
        <v>743</v>
      </c>
    </row>
    <row r="288" customFormat="false" ht="17.15" hidden="false" customHeight="false" outlineLevel="0" collapsed="false">
      <c r="A288" s="4" t="s">
        <v>744</v>
      </c>
      <c r="B288" s="0" t="s">
        <v>239</v>
      </c>
      <c r="C288" s="22" t="n">
        <f aca="false">a26_cus</f>
        <v>1.5</v>
      </c>
      <c r="D288" s="22" t="n">
        <f aca="false">D283+D287</f>
        <v>1.875</v>
      </c>
      <c r="E288" s="22" t="n">
        <f aca="false">E283+E287</f>
        <v>6.7074877804509</v>
      </c>
      <c r="F288" s="22" t="n">
        <f aca="false">F283+F287</f>
        <v>15.7653043478734</v>
      </c>
      <c r="G288" s="22" t="n">
        <f aca="false">G283+G287</f>
        <v>18.3257734789492</v>
      </c>
    </row>
    <row r="289" customFormat="false" ht="17.15" hidden="false" customHeight="false" outlineLevel="0" collapsed="false">
      <c r="A289" s="1" t="s">
        <v>745</v>
      </c>
    </row>
    <row r="290" customFormat="false" ht="17.15" hidden="false" customHeight="false" outlineLevel="0" collapsed="false">
      <c r="A290" s="0" t="s">
        <v>746</v>
      </c>
      <c r="B290" s="0" t="s">
        <v>239</v>
      </c>
      <c r="D290" s="22" t="n">
        <f aca="false">plug_26*1</f>
        <v>29.753262</v>
      </c>
      <c r="E290" s="22" t="n">
        <f aca="false">plug_27*1</f>
        <v>53.560715</v>
      </c>
      <c r="F290" s="22" t="n">
        <f aca="false">plug_28*um28_A</f>
        <v>57.9915</v>
      </c>
      <c r="G290" s="22" t="n">
        <f aca="false">plug_29*um29_A</f>
        <v>72.9348</v>
      </c>
    </row>
    <row r="291" customFormat="false" ht="17.15" hidden="false" customHeight="false" outlineLevel="0" collapsed="false">
      <c r="A291" s="4" t="s">
        <v>747</v>
      </c>
      <c r="B291" s="4" t="s">
        <v>680</v>
      </c>
      <c r="D291" s="19" t="n">
        <f aca="false">D290*1000/asp_26</f>
        <v>45.7742492307692</v>
      </c>
      <c r="E291" s="19" t="n">
        <f aca="false">E290*1000/asp_27</f>
        <v>66.95089375</v>
      </c>
      <c r="F291" s="19" t="n">
        <f aca="false">F290*1000/asp_28</f>
        <v>68.2252941176471</v>
      </c>
      <c r="G291" s="19" t="n">
        <f aca="false">G290*1000/asp_29</f>
        <v>85.8056470588235</v>
      </c>
    </row>
    <row r="292" customFormat="false" ht="17.15" hidden="false" customHeight="false" outlineLevel="0" collapsed="false">
      <c r="A292" s="4" t="s">
        <v>748</v>
      </c>
      <c r="B292" s="0" t="s">
        <v>49</v>
      </c>
      <c r="D292" s="14" t="n">
        <f aca="false">MIN(1,lpo_26)</f>
        <v>0.03</v>
      </c>
      <c r="E292" s="14" t="n">
        <f aca="false">MIN(1,lpo_27+0)</f>
        <v>0.06</v>
      </c>
      <c r="F292" s="14" t="n">
        <f aca="false">MIN(1,lpo_28+0)</f>
        <v>0.1</v>
      </c>
      <c r="G292" s="14" t="n">
        <f aca="false">MIN(1,lpo_29+0)</f>
        <v>0.15</v>
      </c>
    </row>
    <row r="293" customFormat="false" ht="15" hidden="false" customHeight="false" outlineLevel="0" collapsed="false">
      <c r="A293" s="4" t="s">
        <v>749</v>
      </c>
      <c r="B293" s="0" t="s">
        <v>253</v>
      </c>
      <c r="D293" s="23" t="n">
        <f aca="false">dsp_26</f>
        <v>125</v>
      </c>
      <c r="E293" s="23" t="n">
        <f aca="false">dsp_27*1</f>
        <v>135</v>
      </c>
      <c r="F293" s="23" t="n">
        <f aca="false">dsp_28*1</f>
        <v>135</v>
      </c>
      <c r="G293" s="23" t="n">
        <f aca="false">dsp_29*1</f>
        <v>130</v>
      </c>
    </row>
    <row r="294" customFormat="false" ht="17.15" hidden="false" customHeight="false" outlineLevel="0" collapsed="false">
      <c r="A294" s="4" t="s">
        <v>750</v>
      </c>
      <c r="B294" s="0" t="s">
        <v>239</v>
      </c>
      <c r="D294" s="22" t="n">
        <f aca="false">D291*(1-D292)*D293/1000</f>
        <v>5.55012771923077</v>
      </c>
      <c r="E294" s="22" t="n">
        <f aca="false">E291*(1-E292)*E293/1000</f>
        <v>8.496068416875</v>
      </c>
      <c r="F294" s="22" t="n">
        <f aca="false">F291*(1-F292)*F293/1000</f>
        <v>8.28937323529412</v>
      </c>
      <c r="G294" s="22" t="n">
        <f aca="false">G291*(1-G292)*G293/1000</f>
        <v>9.481524</v>
      </c>
    </row>
    <row r="295" customFormat="false" ht="17.15" hidden="false" customHeight="false" outlineLevel="0" collapsed="false">
      <c r="A295" s="0" t="s">
        <v>751</v>
      </c>
      <c r="B295" s="0" t="s">
        <v>49</v>
      </c>
      <c r="D295" s="14" t="n">
        <f aca="false">msh_dsp_26</f>
        <v>0.65</v>
      </c>
      <c r="E295" s="14" t="n">
        <f aca="false">msh_dsp_27+0</f>
        <v>0.63</v>
      </c>
      <c r="F295" s="14" t="n">
        <f aca="false">msh_dsp_28+0</f>
        <v>0.6</v>
      </c>
      <c r="G295" s="14" t="n">
        <f aca="false">msh_dsp_29+0</f>
        <v>0.58</v>
      </c>
    </row>
    <row r="296" customFormat="false" ht="17.15" hidden="false" customHeight="false" outlineLevel="0" collapsed="false">
      <c r="A296" s="0" t="s">
        <v>682</v>
      </c>
      <c r="B296" s="0" t="s">
        <v>239</v>
      </c>
      <c r="D296" s="22" t="n">
        <f aca="false">D294*D295</f>
        <v>3.6075830175</v>
      </c>
      <c r="E296" s="22" t="n">
        <f aca="false">E294*E295*1</f>
        <v>5.35252310263125</v>
      </c>
      <c r="F296" s="22" t="n">
        <f aca="false">F294*F295*1</f>
        <v>4.97362394117647</v>
      </c>
      <c r="G296" s="22" t="n">
        <f aca="false">G294*G295*1</f>
        <v>5.49928392</v>
      </c>
    </row>
    <row r="297" customFormat="false" ht="17.15" hidden="false" customHeight="false" outlineLevel="0" collapsed="false">
      <c r="A297" s="4" t="s">
        <v>752</v>
      </c>
      <c r="B297" s="0" t="s">
        <v>239</v>
      </c>
      <c r="D297" s="22" t="n">
        <f aca="false">coh27</f>
        <v>0.9</v>
      </c>
      <c r="E297" s="22" t="n">
        <f aca="false">D297*(1+g_coh)</f>
        <v>1.035</v>
      </c>
      <c r="F297" s="22" t="n">
        <f aca="false">E297*(1+g_coh)</f>
        <v>1.19025</v>
      </c>
      <c r="G297" s="22" t="n">
        <f aca="false">F297*(1+g_coh)</f>
        <v>1.3687875</v>
      </c>
    </row>
    <row r="298" customFormat="false" ht="17.15" hidden="false" customHeight="false" outlineLevel="0" collapsed="false">
      <c r="A298" s="4" t="s">
        <v>753</v>
      </c>
      <c r="B298" s="0" t="s">
        <v>80</v>
      </c>
      <c r="D298" s="16" t="n">
        <f aca="false">(a27_ic-D297)/D296</f>
        <v>1.44223430888795</v>
      </c>
      <c r="H298" s="7" t="s">
        <v>754</v>
      </c>
    </row>
    <row r="299" customFormat="false" ht="15" hidden="false" customHeight="false" outlineLevel="0" collapsed="false">
      <c r="A299" s="4" t="s">
        <v>755</v>
      </c>
      <c r="B299" s="0" t="s">
        <v>239</v>
      </c>
      <c r="C299" s="22" t="n">
        <f aca="false">a26_ic</f>
        <v>3.4503</v>
      </c>
      <c r="D299" s="22" t="n">
        <f aca="false">D296*$D$298+D297</f>
        <v>6.10298</v>
      </c>
      <c r="E299" s="22" t="n">
        <f aca="false">E296*$D$298+E297</f>
        <v>8.75459245773014</v>
      </c>
      <c r="F299" s="22" t="n">
        <f aca="false">F296*$D$298+F297</f>
        <v>8.36338108747118</v>
      </c>
      <c r="G299" s="22" t="n">
        <f aca="false">G296*$D$298+G297</f>
        <v>9.30004344373979</v>
      </c>
    </row>
    <row r="300" customFormat="false" ht="17.15" hidden="false" customHeight="false" outlineLevel="0" collapsed="false">
      <c r="A300" s="1" t="s">
        <v>756</v>
      </c>
    </row>
    <row r="301" customFormat="false" ht="15" hidden="false" customHeight="false" outlineLevel="0" collapsed="false">
      <c r="A301" s="4" t="s">
        <v>757</v>
      </c>
      <c r="B301" s="0" t="s">
        <v>239</v>
      </c>
      <c r="C301" s="22" t="n">
        <f aca="false">a26_sw</f>
        <v>0.3</v>
      </c>
      <c r="D301" s="22" t="n">
        <f aca="false">a27_sw</f>
        <v>0.65</v>
      </c>
      <c r="E301" s="22" t="n">
        <f aca="false">a27_sw*(1+g_sw28)</f>
        <v>1.17</v>
      </c>
      <c r="F301" s="22" t="n">
        <f aca="false">a27_sw*(1+g_sw28)*(1+g_sw)*um28_A</f>
        <v>1.638</v>
      </c>
      <c r="G301" s="22" t="n">
        <f aca="false">a27_sw*(1+g_sw28)*(1+g_sw)^2*um29_A</f>
        <v>2.2932</v>
      </c>
    </row>
    <row r="302" customFormat="false" ht="17.15" hidden="false" customHeight="false" outlineLevel="0" collapsed="false">
      <c r="A302" s="0" t="s">
        <v>758</v>
      </c>
      <c r="B302" s="0" t="s">
        <v>239</v>
      </c>
      <c r="C302" s="22" t="n">
        <f aca="false">a26_aec</f>
        <v>0.2</v>
      </c>
      <c r="D302" s="22" t="n">
        <f aca="false">a27_aec</f>
        <v>0.45</v>
      </c>
      <c r="E302" s="22" t="n">
        <f aca="false">a27_aec*(1+g_aec)</f>
        <v>0.675</v>
      </c>
      <c r="F302" s="22" t="n">
        <f aca="false">a27_aec*(1+g_aec)^2*um28_A</f>
        <v>1.0125</v>
      </c>
      <c r="G302" s="22" t="n">
        <f aca="false">a27_aec*(1+g_aec)^3*um29_A</f>
        <v>1.51875</v>
      </c>
    </row>
    <row r="303" customFormat="false" ht="15" hidden="false" customHeight="false" outlineLevel="0" collapsed="false">
      <c r="A303" s="4" t="s">
        <v>759</v>
      </c>
      <c r="B303" s="0" t="s">
        <v>239</v>
      </c>
      <c r="C303" s="22" t="n">
        <f aca="false">a26_sto</f>
        <v>0.65</v>
      </c>
      <c r="D303" s="22" t="n">
        <f aca="false">a27_sto</f>
        <v>0.6825</v>
      </c>
      <c r="E303" s="22" t="n">
        <f aca="false">D303*(1+g_sto)</f>
        <v>0.716625</v>
      </c>
      <c r="F303" s="22" t="n">
        <f aca="false">E303*(1+g_sto)</f>
        <v>0.75245625</v>
      </c>
      <c r="G303" s="22" t="n">
        <f aca="false">F303*(1+g_sto)</f>
        <v>0.7900790625</v>
      </c>
    </row>
    <row r="304" customFormat="false" ht="15" hidden="false" customHeight="false" outlineLevel="0" collapsed="false">
      <c r="A304" s="4" t="s">
        <v>760</v>
      </c>
      <c r="B304" s="0" t="s">
        <v>239</v>
      </c>
      <c r="C304" s="22" t="n">
        <f aca="false">a26_dc</f>
        <v>6.1003</v>
      </c>
      <c r="D304" s="22" t="n">
        <f aca="false">D288+D299+D301+D302+D303</f>
        <v>9.76048</v>
      </c>
      <c r="E304" s="22" t="n">
        <f aca="false">E288+E299+E301+E302+E303</f>
        <v>18.023705238181</v>
      </c>
      <c r="F304" s="22" t="n">
        <f aca="false">F288+F299+F301+F302+F303</f>
        <v>27.5316416853446</v>
      </c>
      <c r="G304" s="22" t="n">
        <f aca="false">G288+G299+G301+G302+G303</f>
        <v>32.227845985189</v>
      </c>
    </row>
    <row r="305" customFormat="false" ht="15" hidden="false" customHeight="false" outlineLevel="0" collapsed="false">
      <c r="A305" s="4" t="s">
        <v>761</v>
      </c>
      <c r="B305" s="0" t="s">
        <v>239</v>
      </c>
      <c r="C305" s="22" t="n">
        <f aca="false">a26_co</f>
        <v>2.0943</v>
      </c>
      <c r="D305" s="22" t="n">
        <f aca="false">a27_co</f>
        <v>2.23952</v>
      </c>
      <c r="E305" s="22" t="n">
        <f aca="false">D305*(1+g_co28)</f>
        <v>2.3067056</v>
      </c>
      <c r="F305" s="22" t="n">
        <f aca="false">E305*(1+g_co)</f>
        <v>2.375906768</v>
      </c>
      <c r="G305" s="22" t="n">
        <f aca="false">F305*(1+g_co)</f>
        <v>2.44718397104</v>
      </c>
    </row>
    <row r="306" customFormat="false" ht="17.15" hidden="false" customHeight="false" outlineLevel="0" collapsed="false">
      <c r="A306" s="1" t="s">
        <v>762</v>
      </c>
    </row>
    <row r="307" customFormat="false" ht="15" hidden="false" customHeight="false" outlineLevel="0" collapsed="false">
      <c r="A307" s="4" t="s">
        <v>597</v>
      </c>
      <c r="B307" s="0" t="s">
        <v>239</v>
      </c>
      <c r="C307" s="22" t="n">
        <f aca="false">a26_rev</f>
        <v>8.1946</v>
      </c>
      <c r="D307" s="22" t="n">
        <f aca="false">a27_rev</f>
        <v>12</v>
      </c>
      <c r="E307" s="22" t="n">
        <f aca="false">E304+E305</f>
        <v>20.330410838181</v>
      </c>
      <c r="F307" s="22" t="n">
        <f aca="false">F304+F305</f>
        <v>29.9075484533446</v>
      </c>
      <c r="G307" s="22" t="n">
        <f aca="false">G304+G305</f>
        <v>34.675029956229</v>
      </c>
    </row>
    <row r="308" customFormat="false" ht="17.15" hidden="false" customHeight="false" outlineLevel="0" collapsed="false">
      <c r="A308" s="4" t="s">
        <v>763</v>
      </c>
      <c r="B308" s="0" t="s">
        <v>239</v>
      </c>
      <c r="D308" s="22" t="n">
        <f aca="false">D304+D305</f>
        <v>12</v>
      </c>
      <c r="E308" s="22" t="n">
        <f aca="false">E304+E305</f>
        <v>20.330410838181</v>
      </c>
      <c r="F308" s="22" t="n">
        <f aca="false">F304+F305</f>
        <v>29.9075484533446</v>
      </c>
      <c r="G308" s="22" t="n">
        <f aca="false">G304+G305</f>
        <v>34.675029956229</v>
      </c>
    </row>
    <row r="309" customFormat="false" ht="15" hidden="false" customHeight="false" outlineLevel="0" collapsed="false">
      <c r="A309" s="4" t="s">
        <v>764</v>
      </c>
      <c r="B309" s="0" t="s">
        <v>49</v>
      </c>
      <c r="D309" s="14" t="n">
        <f aca="false">D307/C307-1</f>
        <v>0.464378981280355</v>
      </c>
      <c r="E309" s="14" t="n">
        <f aca="false">E307/D307-1</f>
        <v>0.694200903181754</v>
      </c>
      <c r="F309" s="14" t="n">
        <f aca="false">F307/E307-1</f>
        <v>0.471074475149191</v>
      </c>
      <c r="G309" s="14" t="n">
        <f aca="false">G307/F307-1</f>
        <v>0.159407298472543</v>
      </c>
    </row>
    <row r="310" customFormat="false" ht="17.15" hidden="false" customHeight="false" outlineLevel="0" collapsed="false">
      <c r="A310" s="4" t="s">
        <v>765</v>
      </c>
      <c r="B310" s="0" t="s">
        <v>49</v>
      </c>
      <c r="C310" s="14" t="n">
        <f aca="false">C304/C307</f>
        <v>0.744429258292046</v>
      </c>
      <c r="D310" s="14" t="n">
        <f aca="false">D304/D307</f>
        <v>0.813373333333333</v>
      </c>
      <c r="E310" s="14" t="n">
        <f aca="false">E304/E307</f>
        <v>0.886539154650631</v>
      </c>
      <c r="F310" s="14" t="n">
        <f aca="false">F304/F307</f>
        <v>0.920558290770426</v>
      </c>
      <c r="G310" s="14" t="n">
        <f aca="false">G304/G307</f>
        <v>0.929425180767569</v>
      </c>
    </row>
    <row r="311" customFormat="false" ht="17.15" hidden="false" customHeight="false" outlineLevel="0" collapsed="false">
      <c r="A311" s="4" t="s">
        <v>766</v>
      </c>
      <c r="B311" s="0" t="s">
        <v>239</v>
      </c>
      <c r="D311" s="22" t="n">
        <f aca="false">gm_opt*D299+gm_oth*(D301+D302+D303)+gm_att*D287+gm_co*D305+m_hbm*D284</f>
        <v>6.45404607982713</v>
      </c>
      <c r="E311" s="22" t="n">
        <f aca="false">gm_opt*E299+gm_oth*(E301+E302+E303)+gm_att*E287+gm_co*E305+m_hbm*E284</f>
        <v>9.12255048251209</v>
      </c>
      <c r="F311" s="22" t="n">
        <f aca="false">gm_opt*F299+gm_oth*(F301+F302+F303)+gm_att*F287+gm_co*F305+m_hbm*F284</f>
        <v>10.0864715363821</v>
      </c>
      <c r="G311" s="22" t="n">
        <f aca="false">gm_opt*G299+gm_oth*(G301+G302+G303)+gm_att*G287+gm_co*G305+m_hbm*G284</f>
        <v>11.9028319003593</v>
      </c>
    </row>
    <row r="312" customFormat="false" ht="17.15" hidden="false" customHeight="false" outlineLevel="0" collapsed="false">
      <c r="A312" s="0" t="s">
        <v>767</v>
      </c>
      <c r="B312" s="0" t="s">
        <v>80</v>
      </c>
      <c r="D312" s="16" t="n">
        <f aca="false">(a27_gp-D311)/D285</f>
        <v>0.435994625937743</v>
      </c>
      <c r="H312" s="7" t="s">
        <v>768</v>
      </c>
    </row>
    <row r="313" customFormat="false" ht="15" hidden="false" customHeight="false" outlineLevel="0" collapsed="false">
      <c r="A313" s="4" t="s">
        <v>769</v>
      </c>
      <c r="B313" s="0" t="s">
        <v>239</v>
      </c>
      <c r="C313" s="22" t="n">
        <f aca="false">a26_gp</f>
        <v>4.8718</v>
      </c>
      <c r="D313" s="22" t="n">
        <f aca="false">a27_gp</f>
        <v>7.006682</v>
      </c>
      <c r="E313" s="22" t="n">
        <f aca="false">E311+$D$312*E285</f>
        <v>10.816196859353</v>
      </c>
      <c r="F313" s="22" t="n">
        <f aca="false">F311+$D$312*F285</f>
        <v>13.8089442062792</v>
      </c>
      <c r="G313" s="22" t="n">
        <f aca="false">G311+$D$312*G285</f>
        <v>16.183675470741</v>
      </c>
    </row>
    <row r="314" customFormat="false" ht="15" hidden="false" customHeight="false" outlineLevel="0" collapsed="false">
      <c r="A314" s="4" t="s">
        <v>621</v>
      </c>
      <c r="B314" s="0" t="s">
        <v>49</v>
      </c>
      <c r="C314" s="14" t="n">
        <f aca="false">C313/C307</f>
        <v>0.59451346008347</v>
      </c>
      <c r="D314" s="14" t="n">
        <f aca="false">D313/D307</f>
        <v>0.583890166666667</v>
      </c>
      <c r="E314" s="14" t="n">
        <f aca="false">E313/E307</f>
        <v>0.532020574765755</v>
      </c>
      <c r="F314" s="14" t="n">
        <f aca="false">F313/F307</f>
        <v>0.461721034334225</v>
      </c>
      <c r="G314" s="14" t="n">
        <f aca="false">G313/G307</f>
        <v>0.466724195802281</v>
      </c>
    </row>
    <row r="315" customFormat="false" ht="17.15" hidden="false" customHeight="false" outlineLevel="0" collapsed="false">
      <c r="A315" s="4" t="s">
        <v>770</v>
      </c>
      <c r="B315" s="0" t="s">
        <v>49</v>
      </c>
      <c r="C315" s="14" t="n">
        <f aca="false">C288/C307</f>
        <v>0.183047372660044</v>
      </c>
      <c r="D315" s="14" t="n">
        <f aca="false">D288/D307</f>
        <v>0.15625</v>
      </c>
      <c r="E315" s="14" t="n">
        <f aca="false">E288/E307</f>
        <v>0.32992386793552</v>
      </c>
      <c r="F315" s="14" t="n">
        <f aca="false">F288/F307</f>
        <v>0.527134625309296</v>
      </c>
      <c r="G315" s="14" t="n">
        <f aca="false">G288/G307</f>
        <v>0.52850058102566</v>
      </c>
    </row>
    <row r="316" customFormat="false" ht="15" hidden="false" customHeight="false" outlineLevel="0" collapsed="false">
      <c r="A316" s="4" t="s">
        <v>771</v>
      </c>
      <c r="B316" s="0" t="s">
        <v>239</v>
      </c>
      <c r="C316" s="22" t="n">
        <f aca="false">a26_opx</f>
        <v>1.9808</v>
      </c>
      <c r="D316" s="22" t="n">
        <f aca="false">a27_opx</f>
        <v>2.55</v>
      </c>
      <c r="E316" s="22" t="n">
        <f aca="false">D316*(1+MAX(g_opx_min,phi*E309))</f>
        <v>3.43510615155674</v>
      </c>
      <c r="F316" s="22" t="n">
        <f aca="false">E316*(1+MAX(g_opx_min,phi*F309))</f>
        <v>4.24420156526991</v>
      </c>
      <c r="G316" s="22" t="n">
        <f aca="false">F316*(1+MAX(g_opx_min,phi*G309))</f>
        <v>4.58247991811622</v>
      </c>
    </row>
    <row r="317" customFormat="false" ht="15" hidden="false" customHeight="false" outlineLevel="0" collapsed="false">
      <c r="A317" s="4" t="s">
        <v>772</v>
      </c>
      <c r="B317" s="0" t="s">
        <v>239</v>
      </c>
      <c r="C317" s="22" t="n">
        <f aca="false">C316</f>
        <v>1.9808</v>
      </c>
      <c r="D317" s="22" t="n">
        <f aca="false">D316</f>
        <v>2.55</v>
      </c>
      <c r="E317" s="22" t="n">
        <f aca="false">E316+0*E307</f>
        <v>3.43510615155674</v>
      </c>
      <c r="F317" s="22" t="n">
        <f aca="false">F316+0*F307</f>
        <v>4.24420156526991</v>
      </c>
      <c r="G317" s="22" t="n">
        <f aca="false">G316+0*G307</f>
        <v>4.58247991811622</v>
      </c>
    </row>
    <row r="318" customFormat="false" ht="15" hidden="false" customHeight="false" outlineLevel="0" collapsed="false">
      <c r="A318" s="4" t="s">
        <v>773</v>
      </c>
      <c r="B318" s="0" t="s">
        <v>239</v>
      </c>
      <c r="C318" s="22" t="n">
        <f aca="false">C313-C317</f>
        <v>2.891</v>
      </c>
      <c r="D318" s="22" t="n">
        <f aca="false">D313-D317</f>
        <v>4.456682</v>
      </c>
      <c r="E318" s="22" t="n">
        <f aca="false">E313-E317</f>
        <v>7.38109070779627</v>
      </c>
      <c r="F318" s="22" t="n">
        <f aca="false">F313-F317</f>
        <v>9.5647426410093</v>
      </c>
      <c r="G318" s="22" t="n">
        <f aca="false">G313-G317</f>
        <v>11.6011955526247</v>
      </c>
    </row>
    <row r="319" customFormat="false" ht="15" hidden="false" customHeight="false" outlineLevel="0" collapsed="false">
      <c r="A319" s="4" t="s">
        <v>627</v>
      </c>
      <c r="B319" s="0" t="s">
        <v>49</v>
      </c>
      <c r="C319" s="14" t="n">
        <f aca="false">C318/C307</f>
        <v>0.352793302906792</v>
      </c>
      <c r="D319" s="14" t="n">
        <f aca="false">D318/D307</f>
        <v>0.371390166666667</v>
      </c>
      <c r="E319" s="14" t="n">
        <f aca="false">E318/E307</f>
        <v>0.363056642905336</v>
      </c>
      <c r="F319" s="14" t="n">
        <f aca="false">F318/F307</f>
        <v>0.319810319990961</v>
      </c>
      <c r="G319" s="14" t="n">
        <f aca="false">G318/G307</f>
        <v>0.33456915732356</v>
      </c>
    </row>
    <row r="320" customFormat="false" ht="15" hidden="false" customHeight="false" outlineLevel="0" collapsed="false">
      <c r="A320" s="4" t="s">
        <v>774</v>
      </c>
      <c r="B320" s="0" t="s">
        <v>239</v>
      </c>
      <c r="C320" s="22" t="n">
        <f aca="false">a26_oth</f>
        <v>0.1514</v>
      </c>
      <c r="D320" s="22" t="n">
        <f aca="false">a27_oth</f>
        <v>0.1424</v>
      </c>
      <c r="E320" s="22" t="n">
        <f aca="false">int_f</f>
        <v>0.15</v>
      </c>
      <c r="F320" s="22" t="n">
        <f aca="false">int_f</f>
        <v>0.15</v>
      </c>
      <c r="G320" s="22" t="n">
        <f aca="false">int_f</f>
        <v>0.15</v>
      </c>
    </row>
    <row r="321" customFormat="false" ht="15" hidden="false" customHeight="false" outlineLevel="0" collapsed="false">
      <c r="A321" s="4" t="s">
        <v>775</v>
      </c>
      <c r="B321" s="0" t="s">
        <v>49</v>
      </c>
      <c r="C321" s="14" t="n">
        <f aca="false">a26_tax/(a26_oi-a26_oth)</f>
        <v>0.1</v>
      </c>
      <c r="D321" s="14" t="n">
        <f aca="false">a27_tax/(a27_oi-a27_oth)</f>
        <v>0.11</v>
      </c>
      <c r="E321" s="14" t="n">
        <f aca="false">tx_f</f>
        <v>0.13</v>
      </c>
      <c r="F321" s="14" t="n">
        <f aca="false">tx_f</f>
        <v>0.13</v>
      </c>
      <c r="G321" s="14" t="n">
        <f aca="false">tx_f</f>
        <v>0.13</v>
      </c>
    </row>
    <row r="322" customFormat="false" ht="17.15" hidden="false" customHeight="false" outlineLevel="0" collapsed="false">
      <c r="A322" s="4" t="s">
        <v>708</v>
      </c>
      <c r="B322" s="0" t="s">
        <v>239</v>
      </c>
      <c r="C322" s="22" t="n">
        <f aca="false">a26_ni</f>
        <v>2.46564</v>
      </c>
      <c r="D322" s="22" t="n">
        <f aca="false">a27_ni</f>
        <v>3.83971098</v>
      </c>
      <c r="E322" s="22" t="n">
        <f aca="false">(E318-E320)*(1-E321)</f>
        <v>6.29104891578275</v>
      </c>
      <c r="F322" s="22" t="n">
        <f aca="false">(F318-F320)*(1-F321)</f>
        <v>8.19082609767809</v>
      </c>
      <c r="G322" s="22" t="n">
        <f aca="false">(G318-G320)*(1-G321)</f>
        <v>9.96254013078352</v>
      </c>
    </row>
    <row r="323" customFormat="false" ht="15" hidden="false" customHeight="false" outlineLevel="0" collapsed="false">
      <c r="A323" s="4" t="s">
        <v>776</v>
      </c>
      <c r="B323" s="4" t="s">
        <v>370</v>
      </c>
      <c r="C323" s="16" t="n">
        <f aca="false">a26_sh</f>
        <v>0.8697</v>
      </c>
      <c r="D323" s="16" t="n">
        <f aca="false">a27_sh</f>
        <v>0.915125</v>
      </c>
      <c r="E323" s="16" t="n">
        <f aca="false">D323*(1+sh_g)</f>
        <v>0.919700625</v>
      </c>
      <c r="F323" s="16" t="n">
        <f aca="false">E323*(1+sh_g)</f>
        <v>0.924299128125</v>
      </c>
      <c r="G323" s="16" t="n">
        <f aca="false">F323*(1+sh_g)</f>
        <v>0.928920623765625</v>
      </c>
    </row>
    <row r="324" customFormat="false" ht="17.15" hidden="false" customHeight="false" outlineLevel="0" collapsed="false">
      <c r="A324" s="0" t="s">
        <v>709</v>
      </c>
      <c r="B324" s="0" t="s">
        <v>253</v>
      </c>
      <c r="C324" s="22" t="n">
        <f aca="false">C322/C323</f>
        <v>2.83504656778199</v>
      </c>
      <c r="D324" s="22" t="n">
        <f aca="false">D322/D323</f>
        <v>4.19583224149706</v>
      </c>
      <c r="E324" s="22" t="n">
        <f aca="false">E322/E323</f>
        <v>6.84032254059059</v>
      </c>
      <c r="F324" s="22" t="n">
        <f aca="false">F322/F323</f>
        <v>8.86166160763747</v>
      </c>
      <c r="G324" s="22" t="n">
        <f aca="false">G322/G323</f>
        <v>10.724856221189</v>
      </c>
    </row>
    <row r="325" customFormat="false" ht="17.15" hidden="false" customHeight="false" outlineLevel="0" collapsed="false">
      <c r="A325" s="0" t="s">
        <v>777</v>
      </c>
      <c r="B325" s="0" t="s">
        <v>49</v>
      </c>
      <c r="D325" s="14" t="n">
        <f aca="false">D324/C324-1</f>
        <v>0.479987062357033</v>
      </c>
      <c r="E325" s="14" t="n">
        <f aca="false">E324/D324-1</f>
        <v>0.630265975112003</v>
      </c>
      <c r="F325" s="14" t="n">
        <f aca="false">F324/E324-1</f>
        <v>0.295503472979851</v>
      </c>
      <c r="G325" s="14" t="n">
        <f aca="false">G324/F324-1</f>
        <v>0.210253414771077</v>
      </c>
    </row>
    <row r="328" customFormat="false" ht="17.15" hidden="false" customHeight="false" outlineLevel="0" collapsed="false">
      <c r="A328" s="3" t="s">
        <v>1174</v>
      </c>
    </row>
    <row r="329" customFormat="false" ht="17.15" hidden="false" customHeight="false" outlineLevel="0" collapsed="false">
      <c r="A329" s="5" t="s">
        <v>25</v>
      </c>
      <c r="B329" s="5" t="s">
        <v>26</v>
      </c>
      <c r="C329" s="11" t="s">
        <v>698</v>
      </c>
      <c r="D329" s="11" t="s">
        <v>699</v>
      </c>
      <c r="E329" s="11" t="s">
        <v>700</v>
      </c>
      <c r="F329" s="11" t="s">
        <v>701</v>
      </c>
      <c r="G329" s="11" t="s">
        <v>702</v>
      </c>
      <c r="H329" s="5" t="s">
        <v>555</v>
      </c>
    </row>
    <row r="330" customFormat="false" ht="17.15" hidden="false" customHeight="false" outlineLevel="0" collapsed="false">
      <c r="A330" s="1" t="s">
        <v>717</v>
      </c>
    </row>
    <row r="331" customFormat="false" ht="17.15" hidden="false" customHeight="false" outlineLevel="0" collapsed="false">
      <c r="A331" s="0" t="s">
        <v>718</v>
      </c>
      <c r="B331" s="4" t="s">
        <v>36</v>
      </c>
      <c r="D331" s="22" t="n">
        <f aca="false">u_trn_26</f>
        <v>2</v>
      </c>
      <c r="E331" s="22" t="n">
        <f aca="false">u_trn_27</f>
        <v>2.5</v>
      </c>
      <c r="F331" s="22" t="n">
        <f aca="false">u_trn_28*um28_A</f>
        <v>3</v>
      </c>
      <c r="G331" s="22" t="n">
        <f aca="false">u_trn_28*(1+g29_trn)*um29_A</f>
        <v>3.45</v>
      </c>
    </row>
    <row r="332" customFormat="false" ht="17.15" hidden="false" customHeight="false" outlineLevel="0" collapsed="false">
      <c r="A332" s="4" t="s">
        <v>719</v>
      </c>
      <c r="B332" s="4" t="s">
        <v>36</v>
      </c>
      <c r="D332" s="22" t="n">
        <f aca="false">u_oth_26</f>
        <v>1</v>
      </c>
      <c r="E332" s="22" t="n">
        <f aca="false">u_oth_27</f>
        <v>4.5</v>
      </c>
      <c r="F332" s="22" t="n">
        <f aca="false">u_oth_28*um28_A</f>
        <v>5</v>
      </c>
      <c r="G332" s="22" t="n">
        <f aca="false">u_oth_28*(1+g29_oth)*um29_A</f>
        <v>5.75</v>
      </c>
    </row>
    <row r="333" customFormat="false" ht="17.15" hidden="false" customHeight="false" outlineLevel="0" collapsed="false">
      <c r="A333" s="0" t="s">
        <v>720</v>
      </c>
      <c r="B333" s="4" t="s">
        <v>36</v>
      </c>
      <c r="D333" s="22" t="n">
        <f aca="false">u_tpu_26</f>
        <v>3.85</v>
      </c>
      <c r="E333" s="22" t="n">
        <f aca="false">u_tpu_27</f>
        <v>5.5</v>
      </c>
      <c r="F333" s="22" t="n">
        <f aca="false">u_tpu_28*um28_A</f>
        <v>7</v>
      </c>
      <c r="G333" s="22" t="n">
        <f aca="false">u_tpu_28*(1+g29_tpu)*um29_A</f>
        <v>8.05</v>
      </c>
    </row>
    <row r="334" customFormat="false" ht="17.15" hidden="false" customHeight="false" outlineLevel="0" collapsed="false">
      <c r="A334" s="0" t="s">
        <v>658</v>
      </c>
      <c r="B334" s="0" t="s">
        <v>49</v>
      </c>
      <c r="D334" s="14" t="n">
        <f aca="false">msh_trn_26</f>
        <v>0.1</v>
      </c>
      <c r="E334" s="14" t="n">
        <f aca="false">MIN(1,MAX(0,msh_trn_27+(-0.05)))</f>
        <v>0.05</v>
      </c>
      <c r="F334" s="14" t="n">
        <f aca="false">MIN(1,MAX(0,msh_trn_28+(-0.05)))</f>
        <v>0.03</v>
      </c>
      <c r="G334" s="14" t="n">
        <f aca="false">MIN(1,MAX(0,msh_trn_28+(-0.05)))</f>
        <v>0.03</v>
      </c>
    </row>
    <row r="335" customFormat="false" ht="17.15" hidden="false" customHeight="false" outlineLevel="0" collapsed="false">
      <c r="A335" s="0" t="s">
        <v>666</v>
      </c>
      <c r="B335" s="0" t="s">
        <v>49</v>
      </c>
      <c r="D335" s="14" t="n">
        <f aca="false">msh_oth_26</f>
        <v>0.05</v>
      </c>
      <c r="E335" s="14" t="n">
        <f aca="false">MIN(1,MAX(0,msh_oth_27+0))</f>
        <v>0.06</v>
      </c>
      <c r="F335" s="14" t="n">
        <f aca="false">MIN(1,MAX(0,msh_oth_28+0))</f>
        <v>0.15</v>
      </c>
      <c r="G335" s="14" t="n">
        <f aca="false">MIN(1,MAX(0,msh_oth_28+0))</f>
        <v>0.15</v>
      </c>
    </row>
    <row r="336" customFormat="false" ht="17.15" hidden="false" customHeight="false" outlineLevel="0" collapsed="false">
      <c r="A336" s="0" t="s">
        <v>670</v>
      </c>
      <c r="B336" s="0" t="s">
        <v>49</v>
      </c>
      <c r="D336" s="14" t="n">
        <f aca="false">msh_tpu_26</f>
        <v>0</v>
      </c>
      <c r="E336" s="14" t="n">
        <f aca="false">MIN(1,MAX(0,msh_tpu_27+0))</f>
        <v>0</v>
      </c>
      <c r="F336" s="14" t="n">
        <f aca="false">MIN(1,MAX(0,msh_tpu_28+0))</f>
        <v>0.05</v>
      </c>
      <c r="G336" s="14" t="n">
        <f aca="false">MIN(1,MAX(0,msh_tpu_28+0))</f>
        <v>0.05</v>
      </c>
    </row>
    <row r="337" customFormat="false" ht="17.15" hidden="false" customHeight="false" outlineLevel="0" collapsed="false">
      <c r="A337" s="0" t="s">
        <v>660</v>
      </c>
      <c r="B337" s="4" t="s">
        <v>36</v>
      </c>
      <c r="D337" s="16" t="n">
        <f aca="false">D331*D334</f>
        <v>0.2</v>
      </c>
      <c r="E337" s="16" t="n">
        <f aca="false">E331*E334*1</f>
        <v>0.125</v>
      </c>
      <c r="F337" s="16" t="n">
        <f aca="false">F331*F334*1</f>
        <v>0.09</v>
      </c>
      <c r="G337" s="16" t="n">
        <f aca="false">G331*G334*1</f>
        <v>0.1035</v>
      </c>
    </row>
    <row r="338" customFormat="false" ht="17.15" hidden="false" customHeight="false" outlineLevel="0" collapsed="false">
      <c r="A338" s="0" t="s">
        <v>667</v>
      </c>
      <c r="B338" s="4" t="s">
        <v>36</v>
      </c>
      <c r="D338" s="16" t="n">
        <f aca="false">D332*D335</f>
        <v>0.05</v>
      </c>
      <c r="E338" s="16" t="n">
        <f aca="false">E332*E335*1</f>
        <v>0.27</v>
      </c>
      <c r="F338" s="16" t="n">
        <f aca="false">F332*F335*1</f>
        <v>0.75</v>
      </c>
      <c r="G338" s="16" t="n">
        <f aca="false">G332*G335*1</f>
        <v>0.8625</v>
      </c>
    </row>
    <row r="339" customFormat="false" ht="17.15" hidden="false" customHeight="false" outlineLevel="0" collapsed="false">
      <c r="A339" s="0" t="s">
        <v>671</v>
      </c>
      <c r="B339" s="4" t="s">
        <v>36</v>
      </c>
      <c r="D339" s="16" t="n">
        <f aca="false">D333*D336</f>
        <v>0</v>
      </c>
      <c r="E339" s="16" t="n">
        <f aca="false">E333*E336*1</f>
        <v>0</v>
      </c>
      <c r="F339" s="16" t="n">
        <f aca="false">F333*F336*1</f>
        <v>0.35</v>
      </c>
      <c r="G339" s="16" t="n">
        <f aca="false">G333*G336*1</f>
        <v>0.4025</v>
      </c>
    </row>
    <row r="340" customFormat="false" ht="17.15" hidden="false" customHeight="false" outlineLevel="0" collapsed="false">
      <c r="A340" s="4" t="s">
        <v>721</v>
      </c>
      <c r="B340" s="0" t="s">
        <v>100</v>
      </c>
      <c r="D340" s="23" t="n">
        <f aca="false">gb_trn_26</f>
        <v>110</v>
      </c>
      <c r="E340" s="23" t="n">
        <f aca="false">gb_trn_27</f>
        <v>144</v>
      </c>
      <c r="F340" s="23" t="n">
        <f aca="false">gb_trn_28</f>
        <v>200</v>
      </c>
      <c r="G340" s="23" t="n">
        <f aca="false">gb_trn_28</f>
        <v>200</v>
      </c>
    </row>
    <row r="341" customFormat="false" ht="17.15" hidden="false" customHeight="false" outlineLevel="0" collapsed="false">
      <c r="A341" s="4" t="s">
        <v>722</v>
      </c>
      <c r="B341" s="0" t="s">
        <v>100</v>
      </c>
      <c r="D341" s="23" t="n">
        <f aca="false">gb_oth_26</f>
        <v>150</v>
      </c>
      <c r="E341" s="23" t="n">
        <f aca="false">gb_oth_27</f>
        <v>200</v>
      </c>
      <c r="F341" s="23" t="n">
        <f aca="false">gb_oth_28</f>
        <v>250</v>
      </c>
      <c r="G341" s="23" t="n">
        <f aca="false">gb_oth_28</f>
        <v>250</v>
      </c>
    </row>
    <row r="342" customFormat="false" ht="17.15" hidden="false" customHeight="false" outlineLevel="0" collapsed="false">
      <c r="A342" s="4" t="s">
        <v>723</v>
      </c>
      <c r="B342" s="0" t="s">
        <v>100</v>
      </c>
      <c r="D342" s="23" t="n">
        <f aca="false">gb_tpu_26</f>
        <v>192</v>
      </c>
      <c r="E342" s="23" t="n">
        <f aca="false">gb_tpu_27</f>
        <v>250</v>
      </c>
      <c r="F342" s="23" t="n">
        <f aca="false">gb_tpu_28</f>
        <v>288</v>
      </c>
      <c r="G342" s="23" t="n">
        <f aca="false">gb_tpu_28</f>
        <v>288</v>
      </c>
    </row>
    <row r="343" customFormat="false" ht="17.15" hidden="false" customHeight="false" outlineLevel="0" collapsed="false">
      <c r="A343" s="0" t="s">
        <v>724</v>
      </c>
      <c r="B343" s="0" t="s">
        <v>200</v>
      </c>
      <c r="D343" s="22" t="n">
        <f aca="false">hbm_A_26</f>
        <v>14.6</v>
      </c>
      <c r="E343" s="22" t="n">
        <f aca="false">hbm_A_27</f>
        <v>26.28</v>
      </c>
      <c r="F343" s="22" t="n">
        <f aca="false">hbm_A_28</f>
        <v>28.908</v>
      </c>
      <c r="G343" s="22" t="n">
        <f aca="false">hbm_A_29</f>
        <v>27.4626</v>
      </c>
    </row>
    <row r="344" customFormat="false" ht="17.15" hidden="false" customHeight="false" outlineLevel="0" collapsed="false">
      <c r="A344" s="4" t="s">
        <v>725</v>
      </c>
      <c r="B344" s="0" t="s">
        <v>122</v>
      </c>
      <c r="D344" s="22" t="n">
        <f aca="false">core_trn</f>
        <v>6.394</v>
      </c>
      <c r="E344" s="22" t="n">
        <f aca="false">core_trn*1</f>
        <v>6.394</v>
      </c>
      <c r="F344" s="22" t="n">
        <f aca="false">core_trn*1</f>
        <v>6.394</v>
      </c>
      <c r="G344" s="22" t="n">
        <f aca="false">core_trn*1</f>
        <v>6.394</v>
      </c>
    </row>
    <row r="345" customFormat="false" ht="17.15" hidden="false" customHeight="false" outlineLevel="0" collapsed="false">
      <c r="A345" s="4" t="s">
        <v>726</v>
      </c>
      <c r="B345" s="0" t="s">
        <v>122</v>
      </c>
      <c r="D345" s="22" t="n">
        <f aca="false">core_oth</f>
        <v>6</v>
      </c>
      <c r="E345" s="22" t="n">
        <f aca="false">core_oth*1</f>
        <v>6</v>
      </c>
      <c r="F345" s="22" t="n">
        <f aca="false">core_oth*1</f>
        <v>6</v>
      </c>
      <c r="G345" s="22" t="n">
        <f aca="false">core_oth*1</f>
        <v>6</v>
      </c>
    </row>
    <row r="346" customFormat="false" ht="17.15" hidden="false" customHeight="false" outlineLevel="0" collapsed="false">
      <c r="A346" s="4" t="s">
        <v>727</v>
      </c>
      <c r="B346" s="0" t="s">
        <v>122</v>
      </c>
      <c r="D346" s="22" t="n">
        <f aca="false">core_tpu</f>
        <v>8</v>
      </c>
      <c r="E346" s="22" t="n">
        <f aca="false">core_tpu*1</f>
        <v>8</v>
      </c>
      <c r="F346" s="22" t="n">
        <f aca="false">core_tpu*1</f>
        <v>8</v>
      </c>
      <c r="G346" s="22" t="n">
        <f aca="false">core_tpu*1</f>
        <v>8</v>
      </c>
    </row>
    <row r="347" customFormat="false" ht="17.15" hidden="false" customHeight="false" outlineLevel="0" collapsed="false">
      <c r="A347" s="4" t="s">
        <v>728</v>
      </c>
      <c r="B347" s="0" t="s">
        <v>122</v>
      </c>
      <c r="D347" s="22" t="n">
        <f aca="false">D340*D343/1000</f>
        <v>1.606</v>
      </c>
      <c r="E347" s="22" t="n">
        <f aca="false">E340*E343/1000</f>
        <v>3.78432</v>
      </c>
      <c r="F347" s="22" t="n">
        <f aca="false">F340*F343/1000</f>
        <v>5.7816</v>
      </c>
      <c r="G347" s="22" t="n">
        <f aca="false">G340*G343/1000</f>
        <v>5.49252</v>
      </c>
    </row>
    <row r="348" customFormat="false" ht="17.15" hidden="false" customHeight="false" outlineLevel="0" collapsed="false">
      <c r="A348" s="4" t="s">
        <v>729</v>
      </c>
      <c r="B348" s="0" t="s">
        <v>122</v>
      </c>
      <c r="D348" s="22" t="n">
        <f aca="false">D341*D343/1000</f>
        <v>2.19</v>
      </c>
      <c r="E348" s="22" t="n">
        <f aca="false">E341*E343/1000</f>
        <v>5.256</v>
      </c>
      <c r="F348" s="22" t="n">
        <f aca="false">F341*F343/1000</f>
        <v>7.227</v>
      </c>
      <c r="G348" s="22" t="n">
        <f aca="false">G341*G343/1000</f>
        <v>6.86565</v>
      </c>
    </row>
    <row r="349" customFormat="false" ht="17.15" hidden="false" customHeight="false" outlineLevel="0" collapsed="false">
      <c r="A349" s="4" t="s">
        <v>730</v>
      </c>
      <c r="B349" s="0" t="s">
        <v>122</v>
      </c>
      <c r="D349" s="22" t="n">
        <f aca="false">D342*D343/1000</f>
        <v>2.8032</v>
      </c>
      <c r="E349" s="22" t="n">
        <f aca="false">E342*E343/1000</f>
        <v>6.57</v>
      </c>
      <c r="F349" s="22" t="n">
        <f aca="false">F342*F343/1000</f>
        <v>8.325504</v>
      </c>
      <c r="G349" s="22" t="n">
        <f aca="false">G342*G343/1000</f>
        <v>7.9092288</v>
      </c>
    </row>
    <row r="350" customFormat="false" ht="17.15" hidden="false" customHeight="false" outlineLevel="0" collapsed="false">
      <c r="A350" s="4" t="s">
        <v>731</v>
      </c>
      <c r="B350" s="0" t="s">
        <v>122</v>
      </c>
      <c r="D350" s="22" t="n">
        <f aca="false">D344+f_hbm*D347</f>
        <v>7.3576</v>
      </c>
      <c r="E350" s="22" t="n">
        <f aca="false">E344+f_hbm*E347</f>
        <v>8.664592</v>
      </c>
      <c r="F350" s="22" t="n">
        <f aca="false">F344+f_hbm*F347</f>
        <v>9.86296</v>
      </c>
      <c r="G350" s="22" t="n">
        <f aca="false">G344+f_hbm*G347</f>
        <v>9.689512</v>
      </c>
      <c r="H350" s="4" t="s">
        <v>732</v>
      </c>
    </row>
    <row r="351" customFormat="false" ht="17.15" hidden="false" customHeight="false" outlineLevel="0" collapsed="false">
      <c r="A351" s="4" t="s">
        <v>733</v>
      </c>
      <c r="B351" s="0" t="s">
        <v>122</v>
      </c>
      <c r="D351" s="22" t="n">
        <f aca="false">D345+f_hbm*D348</f>
        <v>7.314</v>
      </c>
      <c r="E351" s="22" t="n">
        <f aca="false">E345+f_hbm*E348</f>
        <v>9.1536</v>
      </c>
      <c r="F351" s="22" t="n">
        <f aca="false">F345+f_hbm*F348</f>
        <v>10.3362</v>
      </c>
      <c r="G351" s="22" t="n">
        <f aca="false">G345+f_hbm*G348</f>
        <v>10.11939</v>
      </c>
    </row>
    <row r="352" customFormat="false" ht="17.15" hidden="false" customHeight="false" outlineLevel="0" collapsed="false">
      <c r="A352" s="4" t="s">
        <v>734</v>
      </c>
      <c r="B352" s="0" t="s">
        <v>122</v>
      </c>
      <c r="D352" s="22" t="n">
        <f aca="false">D346+f_hbm*D349</f>
        <v>9.68192</v>
      </c>
      <c r="E352" s="22" t="n">
        <f aca="false">E346+f_hbm*E349</f>
        <v>11.942</v>
      </c>
      <c r="F352" s="22" t="n">
        <f aca="false">F346+f_hbm*F349</f>
        <v>12.9953024</v>
      </c>
      <c r="G352" s="22" t="n">
        <f aca="false">G346+f_hbm*G349</f>
        <v>12.74553728</v>
      </c>
    </row>
    <row r="353" customFormat="false" ht="17.15" hidden="false" customHeight="false" outlineLevel="0" collapsed="false">
      <c r="A353" s="0" t="s">
        <v>735</v>
      </c>
      <c r="B353" s="0" t="s">
        <v>239</v>
      </c>
      <c r="D353" s="22" t="n">
        <f aca="false">D337*D350+D338*D351+D339*D352</f>
        <v>1.83722</v>
      </c>
      <c r="E353" s="22" t="n">
        <f aca="false">E337*E350+E338*E351+E339*E352</f>
        <v>3.554546</v>
      </c>
      <c r="F353" s="22" t="n">
        <f aca="false">F337*F350+F338*F351+F339*F352</f>
        <v>13.18817224</v>
      </c>
      <c r="G353" s="22" t="n">
        <f aca="false">G337*G350+G338*G351+G339*G352</f>
        <v>14.8609171222</v>
      </c>
    </row>
    <row r="354" customFormat="false" ht="17.15" hidden="false" customHeight="false" outlineLevel="0" collapsed="false">
      <c r="A354" s="0" t="s">
        <v>736</v>
      </c>
      <c r="B354" s="0" t="s">
        <v>80</v>
      </c>
      <c r="D354" s="16" t="n">
        <f aca="false">a27_xpu/D353</f>
        <v>0.802843426481314</v>
      </c>
      <c r="H354" s="7" t="s">
        <v>737</v>
      </c>
    </row>
    <row r="355" customFormat="false" ht="17.15" hidden="false" customHeight="false" outlineLevel="0" collapsed="false">
      <c r="A355" s="0" t="s">
        <v>738</v>
      </c>
      <c r="B355" s="0" t="s">
        <v>239</v>
      </c>
      <c r="D355" s="22" t="n">
        <f aca="false">D353*$D$354</f>
        <v>1.475</v>
      </c>
      <c r="E355" s="22" t="n">
        <f aca="false">E353*$D$354</f>
        <v>2.85374389022545</v>
      </c>
      <c r="F355" s="22" t="n">
        <f aca="false">F353*$D$354</f>
        <v>10.5880373901873</v>
      </c>
      <c r="G355" s="22" t="n">
        <f aca="false">G353*$D$354</f>
        <v>11.9309896230419</v>
      </c>
    </row>
    <row r="356" customFormat="false" ht="17.15" hidden="false" customHeight="false" outlineLevel="0" collapsed="false">
      <c r="A356" s="4" t="s">
        <v>739</v>
      </c>
      <c r="B356" s="0" t="s">
        <v>239</v>
      </c>
      <c r="D356" s="22" t="n">
        <f aca="false">$D$354*f_hbm*(D337*D347+D338*D348+D339*D349)</f>
        <v>0.207470798271301</v>
      </c>
      <c r="E356" s="22" t="n">
        <f aca="false">$D$354*f_hbm*(E337*E347+E338*E348+E339*E349)</f>
        <v>0.91146493071053</v>
      </c>
      <c r="F356" s="22" t="n">
        <f aca="false">$D$354*f_hbm*(F337*F347+F338*F348+F339*F349)</f>
        <v>4.26527609867082</v>
      </c>
      <c r="G356" s="22" t="n">
        <f aca="false">$D$354*f_hbm*(G337*G347+G338*G348+G339*G349)</f>
        <v>4.65981413779787</v>
      </c>
    </row>
    <row r="357" customFormat="false" ht="15" hidden="false" customHeight="false" outlineLevel="0" collapsed="false">
      <c r="A357" s="4" t="s">
        <v>740</v>
      </c>
      <c r="B357" s="0" t="s">
        <v>239</v>
      </c>
      <c r="D357" s="22" t="n">
        <f aca="false">D355-D356</f>
        <v>1.2675292017287</v>
      </c>
      <c r="E357" s="22" t="n">
        <f aca="false">E355-E356</f>
        <v>1.94227895951492</v>
      </c>
      <c r="F357" s="22" t="n">
        <f aca="false">F355-F356</f>
        <v>6.32276129151653</v>
      </c>
      <c r="G357" s="22" t="n">
        <f aca="false">G355-G356</f>
        <v>7.27117548524401</v>
      </c>
    </row>
    <row r="358" customFormat="false" ht="17.15" hidden="false" customHeight="false" outlineLevel="0" collapsed="false">
      <c r="A358" s="0" t="s">
        <v>741</v>
      </c>
      <c r="B358" s="4" t="s">
        <v>36</v>
      </c>
      <c r="D358" s="16" t="n">
        <f aca="false">D337+D338+D339</f>
        <v>0.25</v>
      </c>
      <c r="E358" s="16" t="n">
        <f aca="false">E337+E338+E339</f>
        <v>0.395</v>
      </c>
      <c r="F358" s="16" t="n">
        <f aca="false">F337+F338+F339</f>
        <v>1.19</v>
      </c>
      <c r="G358" s="16" t="n">
        <f aca="false">G337+G338+G339</f>
        <v>1.3685</v>
      </c>
    </row>
    <row r="359" customFormat="false" ht="17.15" hidden="false" customHeight="false" outlineLevel="0" collapsed="false">
      <c r="A359" s="0" t="s">
        <v>742</v>
      </c>
      <c r="B359" s="0" t="s">
        <v>239</v>
      </c>
      <c r="C359" s="22" t="n">
        <f aca="false">a26_att</f>
        <v>0.2</v>
      </c>
      <c r="D359" s="22" t="n">
        <f aca="false">a27_att</f>
        <v>0.4</v>
      </c>
      <c r="E359" s="22" t="n">
        <f aca="false">att28</f>
        <v>1</v>
      </c>
      <c r="F359" s="22" t="n">
        <f aca="false">att28*(1+g_att)*um28_A</f>
        <v>1.5</v>
      </c>
      <c r="G359" s="22" t="n">
        <f aca="false">att28*(1+g_att)^2*um29_A</f>
        <v>2.25</v>
      </c>
      <c r="H359" s="7" t="s">
        <v>743</v>
      </c>
    </row>
    <row r="360" customFormat="false" ht="17.15" hidden="false" customHeight="false" outlineLevel="0" collapsed="false">
      <c r="A360" s="4" t="s">
        <v>744</v>
      </c>
      <c r="B360" s="0" t="s">
        <v>239</v>
      </c>
      <c r="C360" s="22" t="n">
        <f aca="false">a26_cus</f>
        <v>1.5</v>
      </c>
      <c r="D360" s="22" t="n">
        <f aca="false">D355+D359</f>
        <v>1.875</v>
      </c>
      <c r="E360" s="22" t="n">
        <f aca="false">E355+E359</f>
        <v>3.85374389022545</v>
      </c>
      <c r="F360" s="22" t="n">
        <f aca="false">F355+F359</f>
        <v>12.0880373901873</v>
      </c>
      <c r="G360" s="22" t="n">
        <f aca="false">G355+G359</f>
        <v>14.1809896230419</v>
      </c>
    </row>
    <row r="361" customFormat="false" ht="17.15" hidden="false" customHeight="false" outlineLevel="0" collapsed="false">
      <c r="A361" s="1" t="s">
        <v>745</v>
      </c>
    </row>
    <row r="362" customFormat="false" ht="17.15" hidden="false" customHeight="false" outlineLevel="0" collapsed="false">
      <c r="A362" s="0" t="s">
        <v>746</v>
      </c>
      <c r="B362" s="0" t="s">
        <v>239</v>
      </c>
      <c r="D362" s="22" t="n">
        <f aca="false">plug_26*1</f>
        <v>29.753262</v>
      </c>
      <c r="E362" s="22" t="n">
        <f aca="false">plug_27*1</f>
        <v>53.560715</v>
      </c>
      <c r="F362" s="22" t="n">
        <f aca="false">plug_28*um28_A</f>
        <v>57.9915</v>
      </c>
      <c r="G362" s="22" t="n">
        <f aca="false">plug_29*um29_A</f>
        <v>72.9348</v>
      </c>
    </row>
    <row r="363" customFormat="false" ht="17.15" hidden="false" customHeight="false" outlineLevel="0" collapsed="false">
      <c r="A363" s="4" t="s">
        <v>747</v>
      </c>
      <c r="B363" s="4" t="s">
        <v>680</v>
      </c>
      <c r="D363" s="19" t="n">
        <f aca="false">D362*1000/asp_26</f>
        <v>45.7742492307692</v>
      </c>
      <c r="E363" s="19" t="n">
        <f aca="false">E362*1000/asp_27</f>
        <v>66.95089375</v>
      </c>
      <c r="F363" s="19" t="n">
        <f aca="false">F362*1000/asp_28</f>
        <v>68.2252941176471</v>
      </c>
      <c r="G363" s="19" t="n">
        <f aca="false">G362*1000/asp_29</f>
        <v>85.8056470588235</v>
      </c>
    </row>
    <row r="364" customFormat="false" ht="17.15" hidden="false" customHeight="false" outlineLevel="0" collapsed="false">
      <c r="A364" s="4" t="s">
        <v>748</v>
      </c>
      <c r="B364" s="0" t="s">
        <v>49</v>
      </c>
      <c r="D364" s="14" t="n">
        <f aca="false">MIN(1,lpo_26)</f>
        <v>0.03</v>
      </c>
      <c r="E364" s="14" t="n">
        <f aca="false">MIN(1,lpo_27+0)</f>
        <v>0.06</v>
      </c>
      <c r="F364" s="14" t="n">
        <f aca="false">MIN(1,lpo_28+0)</f>
        <v>0.1</v>
      </c>
      <c r="G364" s="14" t="n">
        <f aca="false">MIN(1,lpo_29+0)</f>
        <v>0.15</v>
      </c>
    </row>
    <row r="365" customFormat="false" ht="15" hidden="false" customHeight="false" outlineLevel="0" collapsed="false">
      <c r="A365" s="4" t="s">
        <v>749</v>
      </c>
      <c r="B365" s="0" t="s">
        <v>253</v>
      </c>
      <c r="D365" s="23" t="n">
        <f aca="false">dsp_26</f>
        <v>125</v>
      </c>
      <c r="E365" s="23" t="n">
        <f aca="false">dsp_27*1</f>
        <v>135</v>
      </c>
      <c r="F365" s="23" t="n">
        <f aca="false">dsp_28*1</f>
        <v>135</v>
      </c>
      <c r="G365" s="23" t="n">
        <f aca="false">dsp_29*1</f>
        <v>130</v>
      </c>
    </row>
    <row r="366" customFormat="false" ht="17.15" hidden="false" customHeight="false" outlineLevel="0" collapsed="false">
      <c r="A366" s="4" t="s">
        <v>750</v>
      </c>
      <c r="B366" s="0" t="s">
        <v>239</v>
      </c>
      <c r="D366" s="22" t="n">
        <f aca="false">D363*(1-D364)*D365/1000</f>
        <v>5.55012771923077</v>
      </c>
      <c r="E366" s="22" t="n">
        <f aca="false">E363*(1-E364)*E365/1000</f>
        <v>8.496068416875</v>
      </c>
      <c r="F366" s="22" t="n">
        <f aca="false">F363*(1-F364)*F365/1000</f>
        <v>8.28937323529412</v>
      </c>
      <c r="G366" s="22" t="n">
        <f aca="false">G363*(1-G364)*G365/1000</f>
        <v>9.481524</v>
      </c>
    </row>
    <row r="367" customFormat="false" ht="17.15" hidden="false" customHeight="false" outlineLevel="0" collapsed="false">
      <c r="A367" s="0" t="s">
        <v>751</v>
      </c>
      <c r="B367" s="0" t="s">
        <v>49</v>
      </c>
      <c r="D367" s="14" t="n">
        <f aca="false">msh_dsp_26</f>
        <v>0.65</v>
      </c>
      <c r="E367" s="14" t="n">
        <f aca="false">msh_dsp_27+0</f>
        <v>0.63</v>
      </c>
      <c r="F367" s="14" t="n">
        <f aca="false">msh_dsp_28+0</f>
        <v>0.6</v>
      </c>
      <c r="G367" s="14" t="n">
        <f aca="false">msh_dsp_29+0</f>
        <v>0.58</v>
      </c>
    </row>
    <row r="368" customFormat="false" ht="17.15" hidden="false" customHeight="false" outlineLevel="0" collapsed="false">
      <c r="A368" s="0" t="s">
        <v>682</v>
      </c>
      <c r="B368" s="0" t="s">
        <v>239</v>
      </c>
      <c r="D368" s="22" t="n">
        <f aca="false">D366*D367</f>
        <v>3.6075830175</v>
      </c>
      <c r="E368" s="22" t="n">
        <f aca="false">E366*E367*1</f>
        <v>5.35252310263125</v>
      </c>
      <c r="F368" s="22" t="n">
        <f aca="false">F366*F367*1</f>
        <v>4.97362394117647</v>
      </c>
      <c r="G368" s="22" t="n">
        <f aca="false">G366*G367*1</f>
        <v>5.49928392</v>
      </c>
    </row>
    <row r="369" customFormat="false" ht="17.15" hidden="false" customHeight="false" outlineLevel="0" collapsed="false">
      <c r="A369" s="4" t="s">
        <v>752</v>
      </c>
      <c r="B369" s="0" t="s">
        <v>239</v>
      </c>
      <c r="D369" s="22" t="n">
        <f aca="false">coh27</f>
        <v>0.9</v>
      </c>
      <c r="E369" s="22" t="n">
        <f aca="false">D369*(1+g_coh)</f>
        <v>1.035</v>
      </c>
      <c r="F369" s="22" t="n">
        <f aca="false">E369*(1+g_coh)</f>
        <v>1.19025</v>
      </c>
      <c r="G369" s="22" t="n">
        <f aca="false">F369*(1+g_coh)</f>
        <v>1.3687875</v>
      </c>
    </row>
    <row r="370" customFormat="false" ht="17.15" hidden="false" customHeight="false" outlineLevel="0" collapsed="false">
      <c r="A370" s="4" t="s">
        <v>753</v>
      </c>
      <c r="B370" s="0" t="s">
        <v>80</v>
      </c>
      <c r="D370" s="16" t="n">
        <f aca="false">(a27_ic-D369)/D368</f>
        <v>1.44223430888795</v>
      </c>
      <c r="H370" s="7" t="s">
        <v>754</v>
      </c>
    </row>
    <row r="371" customFormat="false" ht="15" hidden="false" customHeight="false" outlineLevel="0" collapsed="false">
      <c r="A371" s="4" t="s">
        <v>755</v>
      </c>
      <c r="B371" s="0" t="s">
        <v>239</v>
      </c>
      <c r="C371" s="22" t="n">
        <f aca="false">a26_ic</f>
        <v>3.4503</v>
      </c>
      <c r="D371" s="22" t="n">
        <f aca="false">D368*$D$370+D369</f>
        <v>6.10298</v>
      </c>
      <c r="E371" s="22" t="n">
        <f aca="false">E368*$D$370+E369</f>
        <v>8.75459245773014</v>
      </c>
      <c r="F371" s="22" t="n">
        <f aca="false">F368*$D$370+F369</f>
        <v>8.36338108747118</v>
      </c>
      <c r="G371" s="22" t="n">
        <f aca="false">G368*$D$370+G369</f>
        <v>9.30004344373979</v>
      </c>
    </row>
    <row r="372" customFormat="false" ht="17.15" hidden="false" customHeight="false" outlineLevel="0" collapsed="false">
      <c r="A372" s="1" t="s">
        <v>756</v>
      </c>
    </row>
    <row r="373" customFormat="false" ht="15" hidden="false" customHeight="false" outlineLevel="0" collapsed="false">
      <c r="A373" s="4" t="s">
        <v>757</v>
      </c>
      <c r="B373" s="0" t="s">
        <v>239</v>
      </c>
      <c r="C373" s="22" t="n">
        <f aca="false">a26_sw</f>
        <v>0.3</v>
      </c>
      <c r="D373" s="22" t="n">
        <f aca="false">a27_sw</f>
        <v>0.65</v>
      </c>
      <c r="E373" s="22" t="n">
        <f aca="false">a27_sw*(1+g_sw28)</f>
        <v>1.17</v>
      </c>
      <c r="F373" s="22" t="n">
        <f aca="false">a27_sw*(1+g_sw28)*(1+g_sw)*um28_A</f>
        <v>1.638</v>
      </c>
      <c r="G373" s="22" t="n">
        <f aca="false">a27_sw*(1+g_sw28)*(1+g_sw)^2*um29_A</f>
        <v>2.2932</v>
      </c>
    </row>
    <row r="374" customFormat="false" ht="17.15" hidden="false" customHeight="false" outlineLevel="0" collapsed="false">
      <c r="A374" s="0" t="s">
        <v>758</v>
      </c>
      <c r="B374" s="0" t="s">
        <v>239</v>
      </c>
      <c r="C374" s="22" t="n">
        <f aca="false">a26_aec</f>
        <v>0.2</v>
      </c>
      <c r="D374" s="22" t="n">
        <f aca="false">a27_aec</f>
        <v>0.45</v>
      </c>
      <c r="E374" s="22" t="n">
        <f aca="false">a27_aec*(1+g_aec)</f>
        <v>0.675</v>
      </c>
      <c r="F374" s="22" t="n">
        <f aca="false">a27_aec*(1+g_aec)^2*um28_A</f>
        <v>1.0125</v>
      </c>
      <c r="G374" s="22" t="n">
        <f aca="false">a27_aec*(1+g_aec)^3*um29_A</f>
        <v>1.51875</v>
      </c>
    </row>
    <row r="375" customFormat="false" ht="15" hidden="false" customHeight="false" outlineLevel="0" collapsed="false">
      <c r="A375" s="4" t="s">
        <v>759</v>
      </c>
      <c r="B375" s="0" t="s">
        <v>239</v>
      </c>
      <c r="C375" s="22" t="n">
        <f aca="false">a26_sto</f>
        <v>0.65</v>
      </c>
      <c r="D375" s="22" t="n">
        <f aca="false">a27_sto</f>
        <v>0.6825</v>
      </c>
      <c r="E375" s="22" t="n">
        <f aca="false">D375*(1+g_sto)</f>
        <v>0.716625</v>
      </c>
      <c r="F375" s="22" t="n">
        <f aca="false">E375*(1+g_sto)</f>
        <v>0.75245625</v>
      </c>
      <c r="G375" s="22" t="n">
        <f aca="false">F375*(1+g_sto)</f>
        <v>0.7900790625</v>
      </c>
    </row>
    <row r="376" customFormat="false" ht="15" hidden="false" customHeight="false" outlineLevel="0" collapsed="false">
      <c r="A376" s="4" t="s">
        <v>760</v>
      </c>
      <c r="B376" s="0" t="s">
        <v>239</v>
      </c>
      <c r="C376" s="22" t="n">
        <f aca="false">a26_dc</f>
        <v>6.1003</v>
      </c>
      <c r="D376" s="22" t="n">
        <f aca="false">D360+D371+D373+D374+D375</f>
        <v>9.76048</v>
      </c>
      <c r="E376" s="22" t="n">
        <f aca="false">E360+E371+E373+E374+E375</f>
        <v>15.1699613479556</v>
      </c>
      <c r="F376" s="22" t="n">
        <f aca="false">F360+F371+F373+F374+F375</f>
        <v>23.8543747276585</v>
      </c>
      <c r="G376" s="22" t="n">
        <f aca="false">G360+G371+G373+G374+G375</f>
        <v>28.0830621292817</v>
      </c>
    </row>
    <row r="377" customFormat="false" ht="15" hidden="false" customHeight="false" outlineLevel="0" collapsed="false">
      <c r="A377" s="4" t="s">
        <v>761</v>
      </c>
      <c r="B377" s="0" t="s">
        <v>239</v>
      </c>
      <c r="C377" s="22" t="n">
        <f aca="false">a26_co</f>
        <v>2.0943</v>
      </c>
      <c r="D377" s="22" t="n">
        <f aca="false">a27_co</f>
        <v>2.23952</v>
      </c>
      <c r="E377" s="22" t="n">
        <f aca="false">D377*(1+g_co28)</f>
        <v>2.3067056</v>
      </c>
      <c r="F377" s="22" t="n">
        <f aca="false">E377*(1+g_co)</f>
        <v>2.375906768</v>
      </c>
      <c r="G377" s="22" t="n">
        <f aca="false">F377*(1+g_co)</f>
        <v>2.44718397104</v>
      </c>
    </row>
    <row r="378" customFormat="false" ht="17.15" hidden="false" customHeight="false" outlineLevel="0" collapsed="false">
      <c r="A378" s="1" t="s">
        <v>762</v>
      </c>
    </row>
    <row r="379" customFormat="false" ht="15" hidden="false" customHeight="false" outlineLevel="0" collapsed="false">
      <c r="A379" s="4" t="s">
        <v>597</v>
      </c>
      <c r="B379" s="0" t="s">
        <v>239</v>
      </c>
      <c r="C379" s="22" t="n">
        <f aca="false">a26_rev</f>
        <v>8.1946</v>
      </c>
      <c r="D379" s="22" t="n">
        <f aca="false">a27_rev</f>
        <v>12</v>
      </c>
      <c r="E379" s="22" t="n">
        <f aca="false">E376+E377</f>
        <v>17.4766669479556</v>
      </c>
      <c r="F379" s="22" t="n">
        <f aca="false">F376+F377</f>
        <v>26.2302814956585</v>
      </c>
      <c r="G379" s="22" t="n">
        <f aca="false">G376+G377</f>
        <v>30.5302461003217</v>
      </c>
    </row>
    <row r="380" customFormat="false" ht="17.15" hidden="false" customHeight="false" outlineLevel="0" collapsed="false">
      <c r="A380" s="4" t="s">
        <v>763</v>
      </c>
      <c r="B380" s="0" t="s">
        <v>239</v>
      </c>
      <c r="D380" s="22" t="n">
        <f aca="false">D376+D377</f>
        <v>12</v>
      </c>
      <c r="E380" s="22" t="n">
        <f aca="false">E376+E377</f>
        <v>17.4766669479556</v>
      </c>
      <c r="F380" s="22" t="n">
        <f aca="false">F376+F377</f>
        <v>26.2302814956585</v>
      </c>
      <c r="G380" s="22" t="n">
        <f aca="false">G376+G377</f>
        <v>30.5302461003217</v>
      </c>
    </row>
    <row r="381" customFormat="false" ht="15" hidden="false" customHeight="false" outlineLevel="0" collapsed="false">
      <c r="A381" s="4" t="s">
        <v>764</v>
      </c>
      <c r="B381" s="0" t="s">
        <v>49</v>
      </c>
      <c r="D381" s="14" t="n">
        <f aca="false">D379/C379-1</f>
        <v>0.464378981280355</v>
      </c>
      <c r="E381" s="14" t="n">
        <f aca="false">E379/D379-1</f>
        <v>0.456388912329633</v>
      </c>
      <c r="F381" s="14" t="n">
        <f aca="false">F379/E379-1</f>
        <v>0.500874370025512</v>
      </c>
      <c r="G381" s="14" t="n">
        <f aca="false">G379/F379-1</f>
        <v>0.163931317526075</v>
      </c>
    </row>
    <row r="382" customFormat="false" ht="17.15" hidden="false" customHeight="false" outlineLevel="0" collapsed="false">
      <c r="A382" s="4" t="s">
        <v>765</v>
      </c>
      <c r="B382" s="0" t="s">
        <v>49</v>
      </c>
      <c r="C382" s="14" t="n">
        <f aca="false">C376/C379</f>
        <v>0.744429258292046</v>
      </c>
      <c r="D382" s="14" t="n">
        <f aca="false">D376/D379</f>
        <v>0.813373333333333</v>
      </c>
      <c r="E382" s="14" t="n">
        <f aca="false">E376/E379</f>
        <v>0.868012269909976</v>
      </c>
      <c r="F382" s="14" t="n">
        <f aca="false">F376/F379</f>
        <v>0.909421224915438</v>
      </c>
      <c r="G382" s="14" t="n">
        <f aca="false">G376/G379</f>
        <v>0.91984394875172</v>
      </c>
    </row>
    <row r="383" customFormat="false" ht="17.15" hidden="false" customHeight="false" outlineLevel="0" collapsed="false">
      <c r="A383" s="4" t="s">
        <v>766</v>
      </c>
      <c r="B383" s="0" t="s">
        <v>239</v>
      </c>
      <c r="D383" s="22" t="n">
        <f aca="false">gm_opt*D371+gm_oth*(D373+D374+D375)+gm_att*D359+gm_co*D377+m_hbm*D356</f>
        <v>6.45404607982713</v>
      </c>
      <c r="E383" s="22" t="n">
        <f aca="false">gm_opt*E371+gm_oth*(E373+E374+E375)+gm_att*E359+gm_co*E377+m_hbm*E356</f>
        <v>9.03140398944104</v>
      </c>
      <c r="F383" s="22" t="n">
        <f aca="false">gm_opt*F371+gm_oth*(F373+F374+F375)+gm_att*F359+gm_co*F377+m_hbm*F356</f>
        <v>9.94025737041393</v>
      </c>
      <c r="G383" s="22" t="n">
        <f aca="false">gm_opt*G371+gm_oth*(G373+G374+G375)+gm_att*G359+gm_co*G377+m_hbm*G356</f>
        <v>11.7430929240391</v>
      </c>
    </row>
    <row r="384" customFormat="false" ht="17.15" hidden="false" customHeight="false" outlineLevel="0" collapsed="false">
      <c r="A384" s="0" t="s">
        <v>767</v>
      </c>
      <c r="B384" s="0" t="s">
        <v>80</v>
      </c>
      <c r="D384" s="16" t="n">
        <f aca="false">(a27_gp-D383)/D357</f>
        <v>0.435994625937743</v>
      </c>
      <c r="H384" s="7" t="s">
        <v>768</v>
      </c>
    </row>
    <row r="385" customFormat="false" ht="15" hidden="false" customHeight="false" outlineLevel="0" collapsed="false">
      <c r="A385" s="4" t="s">
        <v>769</v>
      </c>
      <c r="B385" s="0" t="s">
        <v>239</v>
      </c>
      <c r="C385" s="22" t="n">
        <f aca="false">a26_gp</f>
        <v>4.8718</v>
      </c>
      <c r="D385" s="22" t="n">
        <f aca="false">a27_gp</f>
        <v>7.006682</v>
      </c>
      <c r="E385" s="22" t="n">
        <f aca="false">E383+$D$384*E357</f>
        <v>9.8782271778615</v>
      </c>
      <c r="F385" s="22" t="n">
        <f aca="false">F383+$D$384*F357</f>
        <v>12.6969473146023</v>
      </c>
      <c r="G385" s="22" t="n">
        <f aca="false">G383+$D$384*G357</f>
        <v>14.9132863598557</v>
      </c>
    </row>
    <row r="386" customFormat="false" ht="15" hidden="false" customHeight="false" outlineLevel="0" collapsed="false">
      <c r="A386" s="4" t="s">
        <v>621</v>
      </c>
      <c r="B386" s="0" t="s">
        <v>49</v>
      </c>
      <c r="C386" s="14" t="n">
        <f aca="false">C385/C379</f>
        <v>0.59451346008347</v>
      </c>
      <c r="D386" s="14" t="n">
        <f aca="false">D385/D379</f>
        <v>0.583890166666667</v>
      </c>
      <c r="E386" s="14" t="n">
        <f aca="false">E385/E379</f>
        <v>0.56522374702672</v>
      </c>
      <c r="F386" s="14" t="n">
        <f aca="false">F385/F379</f>
        <v>0.484056845394657</v>
      </c>
      <c r="G386" s="14" t="n">
        <f aca="false">G385/G379</f>
        <v>0.488475799076463</v>
      </c>
    </row>
    <row r="387" customFormat="false" ht="17.15" hidden="false" customHeight="false" outlineLevel="0" collapsed="false">
      <c r="A387" s="4" t="s">
        <v>770</v>
      </c>
      <c r="B387" s="0" t="s">
        <v>49</v>
      </c>
      <c r="C387" s="14" t="n">
        <f aca="false">C360/C379</f>
        <v>0.183047372660044</v>
      </c>
      <c r="D387" s="14" t="n">
        <f aca="false">D360/D379</f>
        <v>0.15625</v>
      </c>
      <c r="E387" s="14" t="n">
        <f aca="false">E360/E379</f>
        <v>0.220507943631452</v>
      </c>
      <c r="F387" s="14" t="n">
        <f aca="false">F360/F379</f>
        <v>0.460842838922185</v>
      </c>
      <c r="G387" s="14" t="n">
        <f aca="false">G360/G379</f>
        <v>0.464489856270516</v>
      </c>
    </row>
    <row r="388" customFormat="false" ht="15" hidden="false" customHeight="false" outlineLevel="0" collapsed="false">
      <c r="A388" s="4" t="s">
        <v>771</v>
      </c>
      <c r="B388" s="0" t="s">
        <v>239</v>
      </c>
      <c r="C388" s="22" t="n">
        <f aca="false">a26_opx</f>
        <v>1.9808</v>
      </c>
      <c r="D388" s="22" t="n">
        <f aca="false">a27_opx</f>
        <v>2.55</v>
      </c>
      <c r="E388" s="22" t="n">
        <f aca="false">D388*(1+MAX(g_opx_min,phi*E381))</f>
        <v>3.13189586322028</v>
      </c>
      <c r="F388" s="22" t="n">
        <f aca="false">E388*(1+MAX(g_opx_min,phi*F381))</f>
        <v>3.91623904695826</v>
      </c>
      <c r="G388" s="22" t="n">
        <f aca="false">F388*(1+MAX(g_opx_min,phi*G381))</f>
        <v>4.23723616031573</v>
      </c>
    </row>
    <row r="389" customFormat="false" ht="15" hidden="false" customHeight="false" outlineLevel="0" collapsed="false">
      <c r="A389" s="4" t="s">
        <v>772</v>
      </c>
      <c r="B389" s="0" t="s">
        <v>239</v>
      </c>
      <c r="C389" s="22" t="n">
        <f aca="false">C388</f>
        <v>1.9808</v>
      </c>
      <c r="D389" s="22" t="n">
        <f aca="false">D388</f>
        <v>2.55</v>
      </c>
      <c r="E389" s="22" t="n">
        <f aca="false">E388+0*E379</f>
        <v>3.13189586322028</v>
      </c>
      <c r="F389" s="22" t="n">
        <f aca="false">F388+0*F379</f>
        <v>3.91623904695826</v>
      </c>
      <c r="G389" s="22" t="n">
        <f aca="false">G388+0*G379</f>
        <v>4.23723616031573</v>
      </c>
    </row>
    <row r="390" customFormat="false" ht="15" hidden="false" customHeight="false" outlineLevel="0" collapsed="false">
      <c r="A390" s="4" t="s">
        <v>773</v>
      </c>
      <c r="B390" s="0" t="s">
        <v>239</v>
      </c>
      <c r="C390" s="22" t="n">
        <f aca="false">C385-C389</f>
        <v>2.891</v>
      </c>
      <c r="D390" s="22" t="n">
        <f aca="false">D385-D389</f>
        <v>4.456682</v>
      </c>
      <c r="E390" s="22" t="n">
        <f aca="false">E385-E389</f>
        <v>6.74633131464122</v>
      </c>
      <c r="F390" s="22" t="n">
        <f aca="false">F385-F389</f>
        <v>8.78070826764405</v>
      </c>
      <c r="G390" s="22" t="n">
        <f aca="false">G385-G389</f>
        <v>10.67605019954</v>
      </c>
    </row>
    <row r="391" customFormat="false" ht="15" hidden="false" customHeight="false" outlineLevel="0" collapsed="false">
      <c r="A391" s="4" t="s">
        <v>627</v>
      </c>
      <c r="B391" s="0" t="s">
        <v>49</v>
      </c>
      <c r="C391" s="14" t="n">
        <f aca="false">C390/C379</f>
        <v>0.352793302906792</v>
      </c>
      <c r="D391" s="14" t="n">
        <f aca="false">D390/D379</f>
        <v>0.371390166666667</v>
      </c>
      <c r="E391" s="14" t="n">
        <f aca="false">E390/E379</f>
        <v>0.386019332789906</v>
      </c>
      <c r="F391" s="14" t="n">
        <f aca="false">F390/F379</f>
        <v>0.334754633460467</v>
      </c>
      <c r="G391" s="14" t="n">
        <f aca="false">G390/G379</f>
        <v>0.349687656118419</v>
      </c>
    </row>
    <row r="392" customFormat="false" ht="15" hidden="false" customHeight="false" outlineLevel="0" collapsed="false">
      <c r="A392" s="4" t="s">
        <v>774</v>
      </c>
      <c r="B392" s="0" t="s">
        <v>239</v>
      </c>
      <c r="C392" s="22" t="n">
        <f aca="false">a26_oth</f>
        <v>0.1514</v>
      </c>
      <c r="D392" s="22" t="n">
        <f aca="false">a27_oth</f>
        <v>0.1424</v>
      </c>
      <c r="E392" s="22" t="n">
        <f aca="false">int_f</f>
        <v>0.15</v>
      </c>
      <c r="F392" s="22" t="n">
        <f aca="false">int_f</f>
        <v>0.15</v>
      </c>
      <c r="G392" s="22" t="n">
        <f aca="false">int_f</f>
        <v>0.15</v>
      </c>
    </row>
    <row r="393" customFormat="false" ht="15" hidden="false" customHeight="false" outlineLevel="0" collapsed="false">
      <c r="A393" s="4" t="s">
        <v>775</v>
      </c>
      <c r="B393" s="0" t="s">
        <v>49</v>
      </c>
      <c r="C393" s="14" t="n">
        <f aca="false">a26_tax/(a26_oi-a26_oth)</f>
        <v>0.1</v>
      </c>
      <c r="D393" s="14" t="n">
        <f aca="false">a27_tax/(a27_oi-a27_oth)</f>
        <v>0.11</v>
      </c>
      <c r="E393" s="14" t="n">
        <f aca="false">tx_f</f>
        <v>0.13</v>
      </c>
      <c r="F393" s="14" t="n">
        <f aca="false">tx_f</f>
        <v>0.13</v>
      </c>
      <c r="G393" s="14" t="n">
        <f aca="false">tx_f</f>
        <v>0.13</v>
      </c>
    </row>
    <row r="394" customFormat="false" ht="17.15" hidden="false" customHeight="false" outlineLevel="0" collapsed="false">
      <c r="A394" s="4" t="s">
        <v>708</v>
      </c>
      <c r="B394" s="0" t="s">
        <v>239</v>
      </c>
      <c r="C394" s="22" t="n">
        <f aca="false">a26_ni</f>
        <v>2.46564</v>
      </c>
      <c r="D394" s="22" t="n">
        <f aca="false">a27_ni</f>
        <v>3.83971098</v>
      </c>
      <c r="E394" s="22" t="n">
        <f aca="false">(E390-E392)*(1-E393)</f>
        <v>5.73880824373786</v>
      </c>
      <c r="F394" s="22" t="n">
        <f aca="false">(F390-F392)*(1-F393)</f>
        <v>7.50871619285033</v>
      </c>
      <c r="G394" s="22" t="n">
        <f aca="false">(G390-G392)*(1-G393)</f>
        <v>9.15766367359978</v>
      </c>
    </row>
    <row r="395" customFormat="false" ht="15" hidden="false" customHeight="false" outlineLevel="0" collapsed="false">
      <c r="A395" s="4" t="s">
        <v>776</v>
      </c>
      <c r="B395" s="4" t="s">
        <v>370</v>
      </c>
      <c r="C395" s="16" t="n">
        <f aca="false">a26_sh</f>
        <v>0.8697</v>
      </c>
      <c r="D395" s="16" t="n">
        <f aca="false">a27_sh</f>
        <v>0.915125</v>
      </c>
      <c r="E395" s="16" t="n">
        <f aca="false">D395*(1+sh_g)</f>
        <v>0.919700625</v>
      </c>
      <c r="F395" s="16" t="n">
        <f aca="false">E395*(1+sh_g)</f>
        <v>0.924299128125</v>
      </c>
      <c r="G395" s="16" t="n">
        <f aca="false">F395*(1+sh_g)</f>
        <v>0.928920623765625</v>
      </c>
    </row>
    <row r="396" customFormat="false" ht="17.15" hidden="false" customHeight="false" outlineLevel="0" collapsed="false">
      <c r="A396" s="0" t="s">
        <v>709</v>
      </c>
      <c r="B396" s="0" t="s">
        <v>253</v>
      </c>
      <c r="C396" s="22" t="n">
        <f aca="false">C394/C395</f>
        <v>2.83504656778199</v>
      </c>
      <c r="D396" s="22" t="n">
        <f aca="false">D394/D395</f>
        <v>4.19583224149706</v>
      </c>
      <c r="E396" s="22" t="n">
        <f aca="false">E394/E395</f>
        <v>6.23986554726747</v>
      </c>
      <c r="F396" s="22" t="n">
        <f aca="false">F394/F395</f>
        <v>8.12368633094163</v>
      </c>
      <c r="G396" s="22" t="n">
        <f aca="false">G394/G395</f>
        <v>9.85839202974822</v>
      </c>
    </row>
    <row r="397" customFormat="false" ht="17.15" hidden="false" customHeight="false" outlineLevel="0" collapsed="false">
      <c r="A397" s="0" t="s">
        <v>777</v>
      </c>
      <c r="B397" s="0" t="s">
        <v>49</v>
      </c>
      <c r="D397" s="14" t="n">
        <f aca="false">D396/C396-1</f>
        <v>0.479987062357033</v>
      </c>
      <c r="E397" s="14" t="n">
        <f aca="false">E396/D396-1</f>
        <v>0.487158014935578</v>
      </c>
      <c r="F397" s="14" t="n">
        <f aca="false">F396/E396-1</f>
        <v>0.301900861389411</v>
      </c>
      <c r="G397" s="14" t="n">
        <f aca="false">G396/F396-1</f>
        <v>0.213536764978162</v>
      </c>
    </row>
    <row r="400" customFormat="false" ht="17.15" hidden="false" customHeight="false" outlineLevel="0" collapsed="false">
      <c r="A400" s="3" t="s">
        <v>1175</v>
      </c>
    </row>
    <row r="401" customFormat="false" ht="17.15" hidden="false" customHeight="false" outlineLevel="0" collapsed="false">
      <c r="A401" s="5" t="s">
        <v>25</v>
      </c>
      <c r="B401" s="5" t="s">
        <v>26</v>
      </c>
      <c r="C401" s="11" t="s">
        <v>698</v>
      </c>
      <c r="D401" s="11" t="s">
        <v>699</v>
      </c>
      <c r="E401" s="11" t="s">
        <v>700</v>
      </c>
      <c r="F401" s="11" t="s">
        <v>701</v>
      </c>
      <c r="G401" s="11" t="s">
        <v>702</v>
      </c>
      <c r="H401" s="5" t="s">
        <v>555</v>
      </c>
    </row>
    <row r="402" customFormat="false" ht="17.15" hidden="false" customHeight="false" outlineLevel="0" collapsed="false">
      <c r="A402" s="1" t="s">
        <v>717</v>
      </c>
    </row>
    <row r="403" customFormat="false" ht="17.15" hidden="false" customHeight="false" outlineLevel="0" collapsed="false">
      <c r="A403" s="0" t="s">
        <v>718</v>
      </c>
      <c r="B403" s="4" t="s">
        <v>36</v>
      </c>
      <c r="D403" s="22" t="n">
        <f aca="false">u_trn_26</f>
        <v>2</v>
      </c>
      <c r="E403" s="22" t="n">
        <f aca="false">u_trn_27</f>
        <v>2.5</v>
      </c>
      <c r="F403" s="22" t="n">
        <f aca="false">u_trn_28*um28_A</f>
        <v>3</v>
      </c>
      <c r="G403" s="22" t="n">
        <f aca="false">u_trn_28*(1+g29_trn)*um29_A</f>
        <v>3.45</v>
      </c>
    </row>
    <row r="404" customFormat="false" ht="17.15" hidden="false" customHeight="false" outlineLevel="0" collapsed="false">
      <c r="A404" s="4" t="s">
        <v>719</v>
      </c>
      <c r="B404" s="4" t="s">
        <v>36</v>
      </c>
      <c r="D404" s="22" t="n">
        <f aca="false">u_oth_26</f>
        <v>1</v>
      </c>
      <c r="E404" s="22" t="n">
        <f aca="false">u_oth_27</f>
        <v>4.5</v>
      </c>
      <c r="F404" s="22" t="n">
        <f aca="false">u_oth_28*um28_A</f>
        <v>5</v>
      </c>
      <c r="G404" s="22" t="n">
        <f aca="false">u_oth_28*(1+g29_oth)*um29_A</f>
        <v>5.75</v>
      </c>
    </row>
    <row r="405" customFormat="false" ht="17.15" hidden="false" customHeight="false" outlineLevel="0" collapsed="false">
      <c r="A405" s="0" t="s">
        <v>720</v>
      </c>
      <c r="B405" s="4" t="s">
        <v>36</v>
      </c>
      <c r="D405" s="22" t="n">
        <f aca="false">u_tpu_26</f>
        <v>3.85</v>
      </c>
      <c r="E405" s="22" t="n">
        <f aca="false">u_tpu_27</f>
        <v>5.5</v>
      </c>
      <c r="F405" s="22" t="n">
        <f aca="false">u_tpu_28*um28_A</f>
        <v>7</v>
      </c>
      <c r="G405" s="22" t="n">
        <f aca="false">u_tpu_28*(1+g29_tpu)*um29_A</f>
        <v>8.05</v>
      </c>
    </row>
    <row r="406" customFormat="false" ht="17.15" hidden="false" customHeight="false" outlineLevel="0" collapsed="false">
      <c r="A406" s="0" t="s">
        <v>658</v>
      </c>
      <c r="B406" s="0" t="s">
        <v>49</v>
      </c>
      <c r="D406" s="14" t="n">
        <f aca="false">msh_trn_26</f>
        <v>0.1</v>
      </c>
      <c r="E406" s="14" t="n">
        <f aca="false">MIN(1,MAX(0,msh_trn_27+0))</f>
        <v>0.1</v>
      </c>
      <c r="F406" s="14" t="n">
        <f aca="false">MIN(1,MAX(0,msh_trn_28+0))</f>
        <v>0.08</v>
      </c>
      <c r="G406" s="14" t="n">
        <f aca="false">MIN(1,MAX(0,msh_trn_28+0))</f>
        <v>0.08</v>
      </c>
    </row>
    <row r="407" customFormat="false" ht="17.15" hidden="false" customHeight="false" outlineLevel="0" collapsed="false">
      <c r="A407" s="0" t="s">
        <v>666</v>
      </c>
      <c r="B407" s="0" t="s">
        <v>49</v>
      </c>
      <c r="D407" s="14" t="n">
        <f aca="false">msh_oth_26</f>
        <v>0.05</v>
      </c>
      <c r="E407" s="14" t="n">
        <f aca="false">MIN(1,MAX(0,msh_oth_27+0))</f>
        <v>0.06</v>
      </c>
      <c r="F407" s="14" t="n">
        <f aca="false">MIN(1,MAX(0,msh_oth_28+0))</f>
        <v>0.15</v>
      </c>
      <c r="G407" s="14" t="n">
        <f aca="false">MIN(1,MAX(0,msh_oth_28+0))</f>
        <v>0.15</v>
      </c>
    </row>
    <row r="408" customFormat="false" ht="17.15" hidden="false" customHeight="false" outlineLevel="0" collapsed="false">
      <c r="A408" s="0" t="s">
        <v>670</v>
      </c>
      <c r="B408" s="0" t="s">
        <v>49</v>
      </c>
      <c r="D408" s="14" t="n">
        <f aca="false">msh_tpu_26</f>
        <v>0</v>
      </c>
      <c r="E408" s="14" t="n">
        <f aca="false">MIN(1,MAX(0,msh_tpu_27+0.05))</f>
        <v>0.05</v>
      </c>
      <c r="F408" s="14" t="n">
        <f aca="false">MIN(1,MAX(0,msh_tpu_28+0.05))</f>
        <v>0.1</v>
      </c>
      <c r="G408" s="14" t="n">
        <f aca="false">MIN(1,MAX(0,msh_tpu_28+0.05))</f>
        <v>0.1</v>
      </c>
    </row>
    <row r="409" customFormat="false" ht="17.15" hidden="false" customHeight="false" outlineLevel="0" collapsed="false">
      <c r="A409" s="0" t="s">
        <v>660</v>
      </c>
      <c r="B409" s="4" t="s">
        <v>36</v>
      </c>
      <c r="D409" s="16" t="n">
        <f aca="false">D403*D406</f>
        <v>0.2</v>
      </c>
      <c r="E409" s="16" t="n">
        <f aca="false">E403*E406*1</f>
        <v>0.25</v>
      </c>
      <c r="F409" s="16" t="n">
        <f aca="false">F403*F406*1</f>
        <v>0.24</v>
      </c>
      <c r="G409" s="16" t="n">
        <f aca="false">G403*G406*1</f>
        <v>0.276</v>
      </c>
    </row>
    <row r="410" customFormat="false" ht="17.15" hidden="false" customHeight="false" outlineLevel="0" collapsed="false">
      <c r="A410" s="0" t="s">
        <v>667</v>
      </c>
      <c r="B410" s="4" t="s">
        <v>36</v>
      </c>
      <c r="D410" s="16" t="n">
        <f aca="false">D404*D407</f>
        <v>0.05</v>
      </c>
      <c r="E410" s="16" t="n">
        <f aca="false">E404*E407*1</f>
        <v>0.27</v>
      </c>
      <c r="F410" s="16" t="n">
        <f aca="false">F404*F407*1</f>
        <v>0.75</v>
      </c>
      <c r="G410" s="16" t="n">
        <f aca="false">G404*G407*1</f>
        <v>0.8625</v>
      </c>
    </row>
    <row r="411" customFormat="false" ht="17.15" hidden="false" customHeight="false" outlineLevel="0" collapsed="false">
      <c r="A411" s="0" t="s">
        <v>671</v>
      </c>
      <c r="B411" s="4" t="s">
        <v>36</v>
      </c>
      <c r="D411" s="16" t="n">
        <f aca="false">D405*D408</f>
        <v>0</v>
      </c>
      <c r="E411" s="16" t="n">
        <f aca="false">E405*E408*1</f>
        <v>0.275</v>
      </c>
      <c r="F411" s="16" t="n">
        <f aca="false">F405*F408*1</f>
        <v>0.7</v>
      </c>
      <c r="G411" s="16" t="n">
        <f aca="false">G405*G408*1</f>
        <v>0.805</v>
      </c>
    </row>
    <row r="412" customFormat="false" ht="17.15" hidden="false" customHeight="false" outlineLevel="0" collapsed="false">
      <c r="A412" s="4" t="s">
        <v>721</v>
      </c>
      <c r="B412" s="0" t="s">
        <v>100</v>
      </c>
      <c r="D412" s="23" t="n">
        <f aca="false">gb_trn_26</f>
        <v>110</v>
      </c>
      <c r="E412" s="23" t="n">
        <f aca="false">gb_trn_27</f>
        <v>144</v>
      </c>
      <c r="F412" s="23" t="n">
        <f aca="false">gb_trn_28</f>
        <v>200</v>
      </c>
      <c r="G412" s="23" t="n">
        <f aca="false">gb_trn_28</f>
        <v>200</v>
      </c>
    </row>
    <row r="413" customFormat="false" ht="17.15" hidden="false" customHeight="false" outlineLevel="0" collapsed="false">
      <c r="A413" s="4" t="s">
        <v>722</v>
      </c>
      <c r="B413" s="0" t="s">
        <v>100</v>
      </c>
      <c r="D413" s="23" t="n">
        <f aca="false">gb_oth_26</f>
        <v>150</v>
      </c>
      <c r="E413" s="23" t="n">
        <f aca="false">gb_oth_27</f>
        <v>200</v>
      </c>
      <c r="F413" s="23" t="n">
        <f aca="false">gb_oth_28</f>
        <v>250</v>
      </c>
      <c r="G413" s="23" t="n">
        <f aca="false">gb_oth_28</f>
        <v>250</v>
      </c>
    </row>
    <row r="414" customFormat="false" ht="17.15" hidden="false" customHeight="false" outlineLevel="0" collapsed="false">
      <c r="A414" s="4" t="s">
        <v>723</v>
      </c>
      <c r="B414" s="0" t="s">
        <v>100</v>
      </c>
      <c r="D414" s="23" t="n">
        <f aca="false">gb_tpu_26</f>
        <v>192</v>
      </c>
      <c r="E414" s="23" t="n">
        <f aca="false">gb_tpu_27</f>
        <v>250</v>
      </c>
      <c r="F414" s="23" t="n">
        <f aca="false">gb_tpu_28</f>
        <v>288</v>
      </c>
      <c r="G414" s="23" t="n">
        <f aca="false">gb_tpu_28</f>
        <v>288</v>
      </c>
    </row>
    <row r="415" customFormat="false" ht="17.15" hidden="false" customHeight="false" outlineLevel="0" collapsed="false">
      <c r="A415" s="0" t="s">
        <v>724</v>
      </c>
      <c r="B415" s="0" t="s">
        <v>200</v>
      </c>
      <c r="D415" s="22" t="n">
        <f aca="false">hbm_A_26</f>
        <v>14.6</v>
      </c>
      <c r="E415" s="22" t="n">
        <f aca="false">hbm_A_27</f>
        <v>26.28</v>
      </c>
      <c r="F415" s="22" t="n">
        <f aca="false">hbm_A_28</f>
        <v>28.908</v>
      </c>
      <c r="G415" s="22" t="n">
        <f aca="false">hbm_A_29</f>
        <v>27.4626</v>
      </c>
    </row>
    <row r="416" customFormat="false" ht="17.15" hidden="false" customHeight="false" outlineLevel="0" collapsed="false">
      <c r="A416" s="4" t="s">
        <v>725</v>
      </c>
      <c r="B416" s="0" t="s">
        <v>122</v>
      </c>
      <c r="D416" s="22" t="n">
        <f aca="false">core_trn</f>
        <v>6.394</v>
      </c>
      <c r="E416" s="22" t="n">
        <f aca="false">core_trn*1</f>
        <v>6.394</v>
      </c>
      <c r="F416" s="22" t="n">
        <f aca="false">core_trn*1</f>
        <v>6.394</v>
      </c>
      <c r="G416" s="22" t="n">
        <f aca="false">core_trn*1</f>
        <v>6.394</v>
      </c>
    </row>
    <row r="417" customFormat="false" ht="17.15" hidden="false" customHeight="false" outlineLevel="0" collapsed="false">
      <c r="A417" s="4" t="s">
        <v>726</v>
      </c>
      <c r="B417" s="0" t="s">
        <v>122</v>
      </c>
      <c r="D417" s="22" t="n">
        <f aca="false">core_oth</f>
        <v>6</v>
      </c>
      <c r="E417" s="22" t="n">
        <f aca="false">core_oth*1</f>
        <v>6</v>
      </c>
      <c r="F417" s="22" t="n">
        <f aca="false">core_oth*1</f>
        <v>6</v>
      </c>
      <c r="G417" s="22" t="n">
        <f aca="false">core_oth*1</f>
        <v>6</v>
      </c>
    </row>
    <row r="418" customFormat="false" ht="17.15" hidden="false" customHeight="false" outlineLevel="0" collapsed="false">
      <c r="A418" s="4" t="s">
        <v>727</v>
      </c>
      <c r="B418" s="0" t="s">
        <v>122</v>
      </c>
      <c r="D418" s="22" t="n">
        <f aca="false">core_tpu</f>
        <v>8</v>
      </c>
      <c r="E418" s="22" t="n">
        <f aca="false">core_tpu*1</f>
        <v>8</v>
      </c>
      <c r="F418" s="22" t="n">
        <f aca="false">core_tpu*1</f>
        <v>8</v>
      </c>
      <c r="G418" s="22" t="n">
        <f aca="false">core_tpu*1</f>
        <v>8</v>
      </c>
    </row>
    <row r="419" customFormat="false" ht="17.15" hidden="false" customHeight="false" outlineLevel="0" collapsed="false">
      <c r="A419" s="4" t="s">
        <v>728</v>
      </c>
      <c r="B419" s="0" t="s">
        <v>122</v>
      </c>
      <c r="D419" s="22" t="n">
        <f aca="false">D412*D415/1000</f>
        <v>1.606</v>
      </c>
      <c r="E419" s="22" t="n">
        <f aca="false">E412*E415/1000</f>
        <v>3.78432</v>
      </c>
      <c r="F419" s="22" t="n">
        <f aca="false">F412*F415/1000</f>
        <v>5.7816</v>
      </c>
      <c r="G419" s="22" t="n">
        <f aca="false">G412*G415/1000</f>
        <v>5.49252</v>
      </c>
    </row>
    <row r="420" customFormat="false" ht="17.15" hidden="false" customHeight="false" outlineLevel="0" collapsed="false">
      <c r="A420" s="4" t="s">
        <v>729</v>
      </c>
      <c r="B420" s="0" t="s">
        <v>122</v>
      </c>
      <c r="D420" s="22" t="n">
        <f aca="false">D413*D415/1000</f>
        <v>2.19</v>
      </c>
      <c r="E420" s="22" t="n">
        <f aca="false">E413*E415/1000</f>
        <v>5.256</v>
      </c>
      <c r="F420" s="22" t="n">
        <f aca="false">F413*F415/1000</f>
        <v>7.227</v>
      </c>
      <c r="G420" s="22" t="n">
        <f aca="false">G413*G415/1000</f>
        <v>6.86565</v>
      </c>
    </row>
    <row r="421" customFormat="false" ht="17.15" hidden="false" customHeight="false" outlineLevel="0" collapsed="false">
      <c r="A421" s="4" t="s">
        <v>730</v>
      </c>
      <c r="B421" s="0" t="s">
        <v>122</v>
      </c>
      <c r="D421" s="22" t="n">
        <f aca="false">D414*D415/1000</f>
        <v>2.8032</v>
      </c>
      <c r="E421" s="22" t="n">
        <f aca="false">E414*E415/1000</f>
        <v>6.57</v>
      </c>
      <c r="F421" s="22" t="n">
        <f aca="false">F414*F415/1000</f>
        <v>8.325504</v>
      </c>
      <c r="G421" s="22" t="n">
        <f aca="false">G414*G415/1000</f>
        <v>7.9092288</v>
      </c>
    </row>
    <row r="422" customFormat="false" ht="17.15" hidden="false" customHeight="false" outlineLevel="0" collapsed="false">
      <c r="A422" s="4" t="s">
        <v>731</v>
      </c>
      <c r="B422" s="0" t="s">
        <v>122</v>
      </c>
      <c r="D422" s="22" t="n">
        <f aca="false">D416+f_hbm*D419</f>
        <v>7.3576</v>
      </c>
      <c r="E422" s="22" t="n">
        <f aca="false">E416+f_hbm*E419</f>
        <v>8.664592</v>
      </c>
      <c r="F422" s="22" t="n">
        <f aca="false">F416+f_hbm*F419</f>
        <v>9.86296</v>
      </c>
      <c r="G422" s="22" t="n">
        <f aca="false">G416+f_hbm*G419</f>
        <v>9.689512</v>
      </c>
      <c r="H422" s="4" t="s">
        <v>732</v>
      </c>
    </row>
    <row r="423" customFormat="false" ht="17.15" hidden="false" customHeight="false" outlineLevel="0" collapsed="false">
      <c r="A423" s="4" t="s">
        <v>733</v>
      </c>
      <c r="B423" s="0" t="s">
        <v>122</v>
      </c>
      <c r="D423" s="22" t="n">
        <f aca="false">D417+f_hbm*D420</f>
        <v>7.314</v>
      </c>
      <c r="E423" s="22" t="n">
        <f aca="false">E417+f_hbm*E420</f>
        <v>9.1536</v>
      </c>
      <c r="F423" s="22" t="n">
        <f aca="false">F417+f_hbm*F420</f>
        <v>10.3362</v>
      </c>
      <c r="G423" s="22" t="n">
        <f aca="false">G417+f_hbm*G420</f>
        <v>10.11939</v>
      </c>
    </row>
    <row r="424" customFormat="false" ht="17.15" hidden="false" customHeight="false" outlineLevel="0" collapsed="false">
      <c r="A424" s="4" t="s">
        <v>734</v>
      </c>
      <c r="B424" s="0" t="s">
        <v>122</v>
      </c>
      <c r="D424" s="22" t="n">
        <f aca="false">D418+f_hbm*D421</f>
        <v>9.68192</v>
      </c>
      <c r="E424" s="22" t="n">
        <f aca="false">E418+f_hbm*E421</f>
        <v>11.942</v>
      </c>
      <c r="F424" s="22" t="n">
        <f aca="false">F418+f_hbm*F421</f>
        <v>12.9953024</v>
      </c>
      <c r="G424" s="22" t="n">
        <f aca="false">G418+f_hbm*G421</f>
        <v>12.74553728</v>
      </c>
    </row>
    <row r="425" customFormat="false" ht="17.15" hidden="false" customHeight="false" outlineLevel="0" collapsed="false">
      <c r="A425" s="0" t="s">
        <v>735</v>
      </c>
      <c r="B425" s="0" t="s">
        <v>239</v>
      </c>
      <c r="D425" s="22" t="n">
        <f aca="false">D409*D422+D410*D423+D411*D424</f>
        <v>1.83722</v>
      </c>
      <c r="E425" s="22" t="n">
        <f aca="false">E409*E422+E410*E423+E411*E424</f>
        <v>7.92167</v>
      </c>
      <c r="F425" s="22" t="n">
        <f aca="false">F409*F422+F410*F423+F411*F424</f>
        <v>19.21597208</v>
      </c>
      <c r="G425" s="22" t="n">
        <f aca="false">G409*G422+G410*G423+G411*G424</f>
        <v>21.6624366974</v>
      </c>
    </row>
    <row r="426" customFormat="false" ht="17.15" hidden="false" customHeight="false" outlineLevel="0" collapsed="false">
      <c r="A426" s="0" t="s">
        <v>736</v>
      </c>
      <c r="B426" s="0" t="s">
        <v>80</v>
      </c>
      <c r="D426" s="16" t="n">
        <f aca="false">a27_xpu/D425</f>
        <v>0.802843426481314</v>
      </c>
      <c r="H426" s="7" t="s">
        <v>737</v>
      </c>
    </row>
    <row r="427" customFormat="false" ht="17.15" hidden="false" customHeight="false" outlineLevel="0" collapsed="false">
      <c r="A427" s="0" t="s">
        <v>738</v>
      </c>
      <c r="B427" s="0" t="s">
        <v>239</v>
      </c>
      <c r="D427" s="22" t="n">
        <f aca="false">D425*$D$426</f>
        <v>1.475</v>
      </c>
      <c r="E427" s="22" t="n">
        <f aca="false">E425*$D$426</f>
        <v>6.35986068625423</v>
      </c>
      <c r="F427" s="22" t="n">
        <f aca="false">F425*$D$426</f>
        <v>15.4274168678765</v>
      </c>
      <c r="G427" s="22" t="n">
        <f aca="false">G425*$D$426</f>
        <v>17.3915449040752</v>
      </c>
    </row>
    <row r="428" customFormat="false" ht="17.15" hidden="false" customHeight="false" outlineLevel="0" collapsed="false">
      <c r="A428" s="4" t="s">
        <v>739</v>
      </c>
      <c r="B428" s="0" t="s">
        <v>239</v>
      </c>
      <c r="D428" s="22" t="n">
        <f aca="false">$D$426*f_hbm*(D409*D419+D410*D420+D411*D421)</f>
        <v>0.207470798271301</v>
      </c>
      <c r="E428" s="22" t="n">
        <f aca="false">$D$426*f_hbm*(E409*E419+E410*E420+E411*E421)</f>
        <v>2.00965357986523</v>
      </c>
      <c r="F428" s="22" t="n">
        <f aca="false">$D$426*f_hbm*(F409*F419+F410*F420+F411*F421)</f>
        <v>6.08668685187403</v>
      </c>
      <c r="G428" s="22" t="n">
        <f aca="false">$D$426*f_hbm*(G409*G419+G410*G420+G411*G421)</f>
        <v>6.64970538567237</v>
      </c>
    </row>
    <row r="429" customFormat="false" ht="15" hidden="false" customHeight="false" outlineLevel="0" collapsed="false">
      <c r="A429" s="4" t="s">
        <v>740</v>
      </c>
      <c r="B429" s="0" t="s">
        <v>239</v>
      </c>
      <c r="D429" s="22" t="n">
        <f aca="false">D427-D428</f>
        <v>1.2675292017287</v>
      </c>
      <c r="E429" s="22" t="n">
        <f aca="false">E427-E428</f>
        <v>4.350207106389</v>
      </c>
      <c r="F429" s="22" t="n">
        <f aca="false">F427-F428</f>
        <v>9.34073001600244</v>
      </c>
      <c r="G429" s="22" t="n">
        <f aca="false">G427-G428</f>
        <v>10.7418395184028</v>
      </c>
    </row>
    <row r="430" customFormat="false" ht="17.15" hidden="false" customHeight="false" outlineLevel="0" collapsed="false">
      <c r="A430" s="0" t="s">
        <v>741</v>
      </c>
      <c r="B430" s="4" t="s">
        <v>36</v>
      </c>
      <c r="D430" s="16" t="n">
        <f aca="false">D409+D410+D411</f>
        <v>0.25</v>
      </c>
      <c r="E430" s="16" t="n">
        <f aca="false">E409+E410+E411</f>
        <v>0.795</v>
      </c>
      <c r="F430" s="16" t="n">
        <f aca="false">F409+F410+F411</f>
        <v>1.69</v>
      </c>
      <c r="G430" s="16" t="n">
        <f aca="false">G409+G410+G411</f>
        <v>1.9435</v>
      </c>
    </row>
    <row r="431" customFormat="false" ht="17.15" hidden="false" customHeight="false" outlineLevel="0" collapsed="false">
      <c r="A431" s="0" t="s">
        <v>742</v>
      </c>
      <c r="B431" s="0" t="s">
        <v>239</v>
      </c>
      <c r="C431" s="22" t="n">
        <f aca="false">a26_att</f>
        <v>0.2</v>
      </c>
      <c r="D431" s="22" t="n">
        <f aca="false">a27_att</f>
        <v>0.4</v>
      </c>
      <c r="E431" s="22" t="n">
        <f aca="false">att28</f>
        <v>1</v>
      </c>
      <c r="F431" s="22" t="n">
        <f aca="false">att28*(1+g_att)*um28_A</f>
        <v>1.5</v>
      </c>
      <c r="G431" s="22" t="n">
        <f aca="false">att28*(1+g_att)^2*um29_A</f>
        <v>2.25</v>
      </c>
      <c r="H431" s="7" t="s">
        <v>743</v>
      </c>
    </row>
    <row r="432" customFormat="false" ht="17.15" hidden="false" customHeight="false" outlineLevel="0" collapsed="false">
      <c r="A432" s="4" t="s">
        <v>744</v>
      </c>
      <c r="B432" s="0" t="s">
        <v>239</v>
      </c>
      <c r="C432" s="22" t="n">
        <f aca="false">a26_cus</f>
        <v>1.5</v>
      </c>
      <c r="D432" s="22" t="n">
        <f aca="false">D427+D431</f>
        <v>1.875</v>
      </c>
      <c r="E432" s="22" t="n">
        <f aca="false">E427+E431</f>
        <v>7.35986068625423</v>
      </c>
      <c r="F432" s="22" t="n">
        <f aca="false">F427+F431</f>
        <v>16.9274168678765</v>
      </c>
      <c r="G432" s="22" t="n">
        <f aca="false">G427+G431</f>
        <v>19.6415449040752</v>
      </c>
    </row>
    <row r="433" customFormat="false" ht="17.15" hidden="false" customHeight="false" outlineLevel="0" collapsed="false">
      <c r="A433" s="1" t="s">
        <v>745</v>
      </c>
    </row>
    <row r="434" customFormat="false" ht="17.15" hidden="false" customHeight="false" outlineLevel="0" collapsed="false">
      <c r="A434" s="0" t="s">
        <v>746</v>
      </c>
      <c r="B434" s="0" t="s">
        <v>239</v>
      </c>
      <c r="D434" s="22" t="n">
        <f aca="false">plug_26*1</f>
        <v>29.753262</v>
      </c>
      <c r="E434" s="22" t="n">
        <f aca="false">plug_27*1</f>
        <v>53.560715</v>
      </c>
      <c r="F434" s="22" t="n">
        <f aca="false">plug_28*um28_A</f>
        <v>57.9915</v>
      </c>
      <c r="G434" s="22" t="n">
        <f aca="false">plug_29*um29_A</f>
        <v>72.9348</v>
      </c>
    </row>
    <row r="435" customFormat="false" ht="17.15" hidden="false" customHeight="false" outlineLevel="0" collapsed="false">
      <c r="A435" s="4" t="s">
        <v>747</v>
      </c>
      <c r="B435" s="4" t="s">
        <v>680</v>
      </c>
      <c r="D435" s="19" t="n">
        <f aca="false">D434*1000/asp_26</f>
        <v>45.7742492307692</v>
      </c>
      <c r="E435" s="19" t="n">
        <f aca="false">E434*1000/asp_27</f>
        <v>66.95089375</v>
      </c>
      <c r="F435" s="19" t="n">
        <f aca="false">F434*1000/asp_28</f>
        <v>68.2252941176471</v>
      </c>
      <c r="G435" s="19" t="n">
        <f aca="false">G434*1000/asp_29</f>
        <v>85.8056470588235</v>
      </c>
    </row>
    <row r="436" customFormat="false" ht="17.15" hidden="false" customHeight="false" outlineLevel="0" collapsed="false">
      <c r="A436" s="4" t="s">
        <v>748</v>
      </c>
      <c r="B436" s="0" t="s">
        <v>49</v>
      </c>
      <c r="D436" s="14" t="n">
        <f aca="false">MIN(1,lpo_26)</f>
        <v>0.03</v>
      </c>
      <c r="E436" s="14" t="n">
        <f aca="false">MIN(1,lpo_27+0)</f>
        <v>0.06</v>
      </c>
      <c r="F436" s="14" t="n">
        <f aca="false">MIN(1,lpo_28+0)</f>
        <v>0.1</v>
      </c>
      <c r="G436" s="14" t="n">
        <f aca="false">MIN(1,lpo_29+0)</f>
        <v>0.15</v>
      </c>
    </row>
    <row r="437" customFormat="false" ht="15" hidden="false" customHeight="false" outlineLevel="0" collapsed="false">
      <c r="A437" s="4" t="s">
        <v>749</v>
      </c>
      <c r="B437" s="0" t="s">
        <v>253</v>
      </c>
      <c r="D437" s="23" t="n">
        <f aca="false">dsp_26</f>
        <v>125</v>
      </c>
      <c r="E437" s="23" t="n">
        <f aca="false">dsp_27*1</f>
        <v>135</v>
      </c>
      <c r="F437" s="23" t="n">
        <f aca="false">dsp_28*1</f>
        <v>135</v>
      </c>
      <c r="G437" s="23" t="n">
        <f aca="false">dsp_29*1</f>
        <v>130</v>
      </c>
    </row>
    <row r="438" customFormat="false" ht="17.15" hidden="false" customHeight="false" outlineLevel="0" collapsed="false">
      <c r="A438" s="4" t="s">
        <v>750</v>
      </c>
      <c r="B438" s="0" t="s">
        <v>239</v>
      </c>
      <c r="D438" s="22" t="n">
        <f aca="false">D435*(1-D436)*D437/1000</f>
        <v>5.55012771923077</v>
      </c>
      <c r="E438" s="22" t="n">
        <f aca="false">E435*(1-E436)*E437/1000</f>
        <v>8.496068416875</v>
      </c>
      <c r="F438" s="22" t="n">
        <f aca="false">F435*(1-F436)*F437/1000</f>
        <v>8.28937323529412</v>
      </c>
      <c r="G438" s="22" t="n">
        <f aca="false">G435*(1-G436)*G437/1000</f>
        <v>9.481524</v>
      </c>
    </row>
    <row r="439" customFormat="false" ht="17.15" hidden="false" customHeight="false" outlineLevel="0" collapsed="false">
      <c r="A439" s="0" t="s">
        <v>751</v>
      </c>
      <c r="B439" s="0" t="s">
        <v>49</v>
      </c>
      <c r="D439" s="14" t="n">
        <f aca="false">msh_dsp_26</f>
        <v>0.65</v>
      </c>
      <c r="E439" s="14" t="n">
        <f aca="false">msh_dsp_27+0</f>
        <v>0.63</v>
      </c>
      <c r="F439" s="14" t="n">
        <f aca="false">msh_dsp_28+0</f>
        <v>0.6</v>
      </c>
      <c r="G439" s="14" t="n">
        <f aca="false">msh_dsp_29+0</f>
        <v>0.58</v>
      </c>
    </row>
    <row r="440" customFormat="false" ht="17.15" hidden="false" customHeight="false" outlineLevel="0" collapsed="false">
      <c r="A440" s="0" t="s">
        <v>682</v>
      </c>
      <c r="B440" s="0" t="s">
        <v>239</v>
      </c>
      <c r="D440" s="22" t="n">
        <f aca="false">D438*D439</f>
        <v>3.6075830175</v>
      </c>
      <c r="E440" s="22" t="n">
        <f aca="false">E438*E439*1</f>
        <v>5.35252310263125</v>
      </c>
      <c r="F440" s="22" t="n">
        <f aca="false">F438*F439*1</f>
        <v>4.97362394117647</v>
      </c>
      <c r="G440" s="22" t="n">
        <f aca="false">G438*G439*1</f>
        <v>5.49928392</v>
      </c>
    </row>
    <row r="441" customFormat="false" ht="17.15" hidden="false" customHeight="false" outlineLevel="0" collapsed="false">
      <c r="A441" s="4" t="s">
        <v>752</v>
      </c>
      <c r="B441" s="0" t="s">
        <v>239</v>
      </c>
      <c r="D441" s="22" t="n">
        <f aca="false">coh27</f>
        <v>0.9</v>
      </c>
      <c r="E441" s="22" t="n">
        <f aca="false">D441*(1+g_coh)</f>
        <v>1.035</v>
      </c>
      <c r="F441" s="22" t="n">
        <f aca="false">E441*(1+g_coh)</f>
        <v>1.19025</v>
      </c>
      <c r="G441" s="22" t="n">
        <f aca="false">F441*(1+g_coh)</f>
        <v>1.3687875</v>
      </c>
    </row>
    <row r="442" customFormat="false" ht="17.15" hidden="false" customHeight="false" outlineLevel="0" collapsed="false">
      <c r="A442" s="4" t="s">
        <v>753</v>
      </c>
      <c r="B442" s="0" t="s">
        <v>80</v>
      </c>
      <c r="D442" s="16" t="n">
        <f aca="false">(a27_ic-D441)/D440</f>
        <v>1.44223430888795</v>
      </c>
      <c r="H442" s="7" t="s">
        <v>754</v>
      </c>
    </row>
    <row r="443" customFormat="false" ht="15" hidden="false" customHeight="false" outlineLevel="0" collapsed="false">
      <c r="A443" s="4" t="s">
        <v>755</v>
      </c>
      <c r="B443" s="0" t="s">
        <v>239</v>
      </c>
      <c r="C443" s="22" t="n">
        <f aca="false">a26_ic</f>
        <v>3.4503</v>
      </c>
      <c r="D443" s="22" t="n">
        <f aca="false">D440*$D$442+D441</f>
        <v>6.10298</v>
      </c>
      <c r="E443" s="22" t="n">
        <f aca="false">E440*$D$442+E441</f>
        <v>8.75459245773014</v>
      </c>
      <c r="F443" s="22" t="n">
        <f aca="false">F440*$D$442+F441</f>
        <v>8.36338108747118</v>
      </c>
      <c r="G443" s="22" t="n">
        <f aca="false">G440*$D$442+G441</f>
        <v>9.30004344373979</v>
      </c>
    </row>
    <row r="444" customFormat="false" ht="17.15" hidden="false" customHeight="false" outlineLevel="0" collapsed="false">
      <c r="A444" s="1" t="s">
        <v>756</v>
      </c>
    </row>
    <row r="445" customFormat="false" ht="15" hidden="false" customHeight="false" outlineLevel="0" collapsed="false">
      <c r="A445" s="4" t="s">
        <v>757</v>
      </c>
      <c r="B445" s="0" t="s">
        <v>239</v>
      </c>
      <c r="C445" s="22" t="n">
        <f aca="false">a26_sw</f>
        <v>0.3</v>
      </c>
      <c r="D445" s="22" t="n">
        <f aca="false">a27_sw</f>
        <v>0.65</v>
      </c>
      <c r="E445" s="22" t="n">
        <f aca="false">a27_sw*(1+g_sw28)</f>
        <v>1.17</v>
      </c>
      <c r="F445" s="22" t="n">
        <f aca="false">a27_sw*(1+g_sw28)*(1+g_sw)*um28_A</f>
        <v>1.638</v>
      </c>
      <c r="G445" s="22" t="n">
        <f aca="false">a27_sw*(1+g_sw28)*(1+g_sw)^2*um29_A</f>
        <v>2.2932</v>
      </c>
    </row>
    <row r="446" customFormat="false" ht="17.15" hidden="false" customHeight="false" outlineLevel="0" collapsed="false">
      <c r="A446" s="0" t="s">
        <v>758</v>
      </c>
      <c r="B446" s="0" t="s">
        <v>239</v>
      </c>
      <c r="C446" s="22" t="n">
        <f aca="false">a26_aec</f>
        <v>0.2</v>
      </c>
      <c r="D446" s="22" t="n">
        <f aca="false">a27_aec</f>
        <v>0.45</v>
      </c>
      <c r="E446" s="22" t="n">
        <f aca="false">a27_aec*(1+g_aec)</f>
        <v>0.675</v>
      </c>
      <c r="F446" s="22" t="n">
        <f aca="false">a27_aec*(1+g_aec)^2*um28_A</f>
        <v>1.0125</v>
      </c>
      <c r="G446" s="22" t="n">
        <f aca="false">a27_aec*(1+g_aec)^3*um29_A</f>
        <v>1.51875</v>
      </c>
    </row>
    <row r="447" customFormat="false" ht="15" hidden="false" customHeight="false" outlineLevel="0" collapsed="false">
      <c r="A447" s="4" t="s">
        <v>759</v>
      </c>
      <c r="B447" s="0" t="s">
        <v>239</v>
      </c>
      <c r="C447" s="22" t="n">
        <f aca="false">a26_sto</f>
        <v>0.65</v>
      </c>
      <c r="D447" s="22" t="n">
        <f aca="false">a27_sto</f>
        <v>0.6825</v>
      </c>
      <c r="E447" s="22" t="n">
        <f aca="false">D447*(1+g_sto)</f>
        <v>0.716625</v>
      </c>
      <c r="F447" s="22" t="n">
        <f aca="false">E447*(1+g_sto)</f>
        <v>0.75245625</v>
      </c>
      <c r="G447" s="22" t="n">
        <f aca="false">F447*(1+g_sto)</f>
        <v>0.7900790625</v>
      </c>
    </row>
    <row r="448" customFormat="false" ht="15" hidden="false" customHeight="false" outlineLevel="0" collapsed="false">
      <c r="A448" s="4" t="s">
        <v>760</v>
      </c>
      <c r="B448" s="0" t="s">
        <v>239</v>
      </c>
      <c r="C448" s="22" t="n">
        <f aca="false">a26_dc</f>
        <v>6.1003</v>
      </c>
      <c r="D448" s="22" t="n">
        <f aca="false">D432+D443+D445+D446+D447</f>
        <v>9.76048</v>
      </c>
      <c r="E448" s="22" t="n">
        <f aca="false">E432+E443+E445+E446+E447</f>
        <v>18.6760781439844</v>
      </c>
      <c r="F448" s="22" t="n">
        <f aca="false">F432+F443+F445+F446+F447</f>
        <v>28.6937542053477</v>
      </c>
      <c r="G448" s="22" t="n">
        <f aca="false">G432+G443+G445+G446+G447</f>
        <v>33.543617410315</v>
      </c>
    </row>
    <row r="449" customFormat="false" ht="15" hidden="false" customHeight="false" outlineLevel="0" collapsed="false">
      <c r="A449" s="4" t="s">
        <v>761</v>
      </c>
      <c r="B449" s="0" t="s">
        <v>239</v>
      </c>
      <c r="C449" s="22" t="n">
        <f aca="false">a26_co</f>
        <v>2.0943</v>
      </c>
      <c r="D449" s="22" t="n">
        <f aca="false">a27_co</f>
        <v>2.23952</v>
      </c>
      <c r="E449" s="22" t="n">
        <f aca="false">D449*(1+g_co28)</f>
        <v>2.3067056</v>
      </c>
      <c r="F449" s="22" t="n">
        <f aca="false">E449*(1+g_co)</f>
        <v>2.375906768</v>
      </c>
      <c r="G449" s="22" t="n">
        <f aca="false">F449*(1+g_co)</f>
        <v>2.44718397104</v>
      </c>
    </row>
    <row r="450" customFormat="false" ht="17.15" hidden="false" customHeight="false" outlineLevel="0" collapsed="false">
      <c r="A450" s="1" t="s">
        <v>762</v>
      </c>
    </row>
    <row r="451" customFormat="false" ht="15" hidden="false" customHeight="false" outlineLevel="0" collapsed="false">
      <c r="A451" s="4" t="s">
        <v>597</v>
      </c>
      <c r="B451" s="0" t="s">
        <v>239</v>
      </c>
      <c r="C451" s="22" t="n">
        <f aca="false">a26_rev</f>
        <v>8.1946</v>
      </c>
      <c r="D451" s="22" t="n">
        <f aca="false">a27_rev</f>
        <v>12</v>
      </c>
      <c r="E451" s="22" t="n">
        <f aca="false">E448+E449</f>
        <v>20.9827837439844</v>
      </c>
      <c r="F451" s="22" t="n">
        <f aca="false">F448+F449</f>
        <v>31.0696609733477</v>
      </c>
      <c r="G451" s="22" t="n">
        <f aca="false">G448+G449</f>
        <v>35.990801381355</v>
      </c>
    </row>
    <row r="452" customFormat="false" ht="17.15" hidden="false" customHeight="false" outlineLevel="0" collapsed="false">
      <c r="A452" s="4" t="s">
        <v>763</v>
      </c>
      <c r="B452" s="0" t="s">
        <v>239</v>
      </c>
      <c r="D452" s="22" t="n">
        <f aca="false">D448+D449</f>
        <v>12</v>
      </c>
      <c r="E452" s="22" t="n">
        <f aca="false">E448+E449</f>
        <v>20.9827837439844</v>
      </c>
      <c r="F452" s="22" t="n">
        <f aca="false">F448+F449</f>
        <v>31.0696609733477</v>
      </c>
      <c r="G452" s="22" t="n">
        <f aca="false">G448+G449</f>
        <v>35.990801381355</v>
      </c>
    </row>
    <row r="453" customFormat="false" ht="15" hidden="false" customHeight="false" outlineLevel="0" collapsed="false">
      <c r="A453" s="4" t="s">
        <v>764</v>
      </c>
      <c r="B453" s="0" t="s">
        <v>49</v>
      </c>
      <c r="D453" s="14" t="n">
        <f aca="false">D451/C451-1</f>
        <v>0.464378981280355</v>
      </c>
      <c r="E453" s="14" t="n">
        <f aca="false">E451/D451-1</f>
        <v>0.748565311998698</v>
      </c>
      <c r="F453" s="14" t="n">
        <f aca="false">F451/E451-1</f>
        <v>0.480721593113455</v>
      </c>
      <c r="G453" s="14" t="n">
        <f aca="false">G451/F451-1</f>
        <v>0.158390540927652</v>
      </c>
    </row>
    <row r="454" customFormat="false" ht="17.15" hidden="false" customHeight="false" outlineLevel="0" collapsed="false">
      <c r="A454" s="4" t="s">
        <v>765</v>
      </c>
      <c r="B454" s="0" t="s">
        <v>49</v>
      </c>
      <c r="C454" s="14" t="n">
        <f aca="false">C448/C451</f>
        <v>0.744429258292046</v>
      </c>
      <c r="D454" s="14" t="n">
        <f aca="false">D448/D451</f>
        <v>0.813373333333333</v>
      </c>
      <c r="E454" s="14" t="n">
        <f aca="false">E448/E451</f>
        <v>0.890066750525353</v>
      </c>
      <c r="F454" s="14" t="n">
        <f aca="false">F448/F451</f>
        <v>0.92352968479321</v>
      </c>
      <c r="G454" s="14" t="n">
        <f aca="false">G448/G451</f>
        <v>0.932005293655179</v>
      </c>
    </row>
    <row r="455" customFormat="false" ht="17.15" hidden="false" customHeight="false" outlineLevel="0" collapsed="false">
      <c r="A455" s="4" t="s">
        <v>766</v>
      </c>
      <c r="B455" s="0" t="s">
        <v>239</v>
      </c>
      <c r="D455" s="22" t="n">
        <f aca="false">gm_opt*D443+gm_oth*(D445+D446+D447)+gm_att*D431+gm_co*D449+m_hbm*D428</f>
        <v>6.45404607982713</v>
      </c>
      <c r="E455" s="22" t="n">
        <f aca="false">gm_opt*E443+gm_oth*(E445+E446+E447)+gm_att*E431+gm_co*E449+m_hbm*E428</f>
        <v>9.14122285435651</v>
      </c>
      <c r="F455" s="22" t="n">
        <f aca="false">gm_opt*F443+gm_oth*(F445+F446+F447)+gm_att*F431+gm_co*F449+m_hbm*F428</f>
        <v>10.1223984457342</v>
      </c>
      <c r="G455" s="22" t="n">
        <f aca="false">gm_opt*G443+gm_oth*(G445+G446+G447)+gm_att*G431+gm_co*G449+m_hbm*G428</f>
        <v>11.9420820488265</v>
      </c>
    </row>
    <row r="456" customFormat="false" ht="17.15" hidden="false" customHeight="false" outlineLevel="0" collapsed="false">
      <c r="A456" s="0" t="s">
        <v>767</v>
      </c>
      <c r="B456" s="0" t="s">
        <v>80</v>
      </c>
      <c r="D456" s="16" t="n">
        <f aca="false">(a27_gp-D455)/D429</f>
        <v>0.435994625937743</v>
      </c>
      <c r="H456" s="7" t="s">
        <v>768</v>
      </c>
    </row>
    <row r="457" customFormat="false" ht="15" hidden="false" customHeight="false" outlineLevel="0" collapsed="false">
      <c r="A457" s="4" t="s">
        <v>769</v>
      </c>
      <c r="B457" s="0" t="s">
        <v>239</v>
      </c>
      <c r="C457" s="22" t="n">
        <f aca="false">a26_gp</f>
        <v>4.8718</v>
      </c>
      <c r="D457" s="22" t="n">
        <f aca="false">a27_gp</f>
        <v>7.006682</v>
      </c>
      <c r="E457" s="22" t="n">
        <f aca="false">E455+$D$456*E429</f>
        <v>11.0378897744583</v>
      </c>
      <c r="F457" s="22" t="n">
        <f aca="false">F455+$D$456*F429</f>
        <v>14.1949065350467</v>
      </c>
      <c r="G457" s="22" t="n">
        <f aca="false">G455+$D$456*G429</f>
        <v>16.6254663515358</v>
      </c>
    </row>
    <row r="458" customFormat="false" ht="15" hidden="false" customHeight="false" outlineLevel="0" collapsed="false">
      <c r="A458" s="4" t="s">
        <v>621</v>
      </c>
      <c r="B458" s="0" t="s">
        <v>49</v>
      </c>
      <c r="C458" s="14" t="n">
        <f aca="false">C457/C451</f>
        <v>0.59451346008347</v>
      </c>
      <c r="D458" s="14" t="n">
        <f aca="false">D457/D451</f>
        <v>0.583890166666667</v>
      </c>
      <c r="E458" s="14" t="n">
        <f aca="false">E457/E451</f>
        <v>0.526045061948598</v>
      </c>
      <c r="F458" s="14" t="n">
        <f aca="false">F457/F451</f>
        <v>0.456873557365928</v>
      </c>
      <c r="G458" s="14" t="n">
        <f aca="false">G457/G451</f>
        <v>0.461936542489677</v>
      </c>
    </row>
    <row r="459" customFormat="false" ht="17.15" hidden="false" customHeight="false" outlineLevel="0" collapsed="false">
      <c r="A459" s="4" t="s">
        <v>770</v>
      </c>
      <c r="B459" s="0" t="s">
        <v>49</v>
      </c>
      <c r="C459" s="14" t="n">
        <f aca="false">C432/C451</f>
        <v>0.183047372660044</v>
      </c>
      <c r="D459" s="14" t="n">
        <f aca="false">D432/D451</f>
        <v>0.15625</v>
      </c>
      <c r="E459" s="14" t="n">
        <f aca="false">E432/E451</f>
        <v>0.350757114787701</v>
      </c>
      <c r="F459" s="14" t="n">
        <f aca="false">F432/F451</f>
        <v>0.544821421849348</v>
      </c>
      <c r="G459" s="14" t="n">
        <f aca="false">G432/G451</f>
        <v>0.545737914973199</v>
      </c>
    </row>
    <row r="460" customFormat="false" ht="15" hidden="false" customHeight="false" outlineLevel="0" collapsed="false">
      <c r="A460" s="4" t="s">
        <v>771</v>
      </c>
      <c r="B460" s="0" t="s">
        <v>239</v>
      </c>
      <c r="C460" s="22" t="n">
        <f aca="false">a26_opx</f>
        <v>1.9808</v>
      </c>
      <c r="D460" s="22" t="n">
        <f aca="false">a27_opx</f>
        <v>2.55</v>
      </c>
      <c r="E460" s="22" t="n">
        <f aca="false">D460*(1+MAX(g_opx_min,phi*E453))</f>
        <v>3.50442077279834</v>
      </c>
      <c r="F460" s="22" t="n">
        <f aca="false">E460*(1+MAX(g_opx_min,phi*F453))</f>
        <v>4.34674614121809</v>
      </c>
      <c r="G460" s="22" t="n">
        <f aca="false">F460*(1+MAX(g_opx_min,phi*G453))</f>
        <v>4.69098787750945</v>
      </c>
    </row>
    <row r="461" customFormat="false" ht="15" hidden="false" customHeight="false" outlineLevel="0" collapsed="false">
      <c r="A461" s="4" t="s">
        <v>772</v>
      </c>
      <c r="B461" s="0" t="s">
        <v>239</v>
      </c>
      <c r="C461" s="22" t="n">
        <f aca="false">C460</f>
        <v>1.9808</v>
      </c>
      <c r="D461" s="22" t="n">
        <f aca="false">D460</f>
        <v>2.55</v>
      </c>
      <c r="E461" s="22" t="n">
        <f aca="false">E460+0*E451</f>
        <v>3.50442077279834</v>
      </c>
      <c r="F461" s="22" t="n">
        <f aca="false">F460+0*F451</f>
        <v>4.34674614121809</v>
      </c>
      <c r="G461" s="22" t="n">
        <f aca="false">G460+0*G451</f>
        <v>4.69098787750945</v>
      </c>
    </row>
    <row r="462" customFormat="false" ht="15" hidden="false" customHeight="false" outlineLevel="0" collapsed="false">
      <c r="A462" s="4" t="s">
        <v>773</v>
      </c>
      <c r="B462" s="0" t="s">
        <v>239</v>
      </c>
      <c r="C462" s="22" t="n">
        <f aca="false">C457-C461</f>
        <v>2.891</v>
      </c>
      <c r="D462" s="22" t="n">
        <f aca="false">D457-D461</f>
        <v>4.456682</v>
      </c>
      <c r="E462" s="22" t="n">
        <f aca="false">E457-E461</f>
        <v>7.53346900165995</v>
      </c>
      <c r="F462" s="22" t="n">
        <f aca="false">F457-F461</f>
        <v>9.84816039382859</v>
      </c>
      <c r="G462" s="22" t="n">
        <f aca="false">G457-G461</f>
        <v>11.9344784740263</v>
      </c>
    </row>
    <row r="463" customFormat="false" ht="15" hidden="false" customHeight="false" outlineLevel="0" collapsed="false">
      <c r="A463" s="4" t="s">
        <v>627</v>
      </c>
      <c r="B463" s="0" t="s">
        <v>49</v>
      </c>
      <c r="C463" s="14" t="n">
        <f aca="false">C462/C451</f>
        <v>0.352793302906792</v>
      </c>
      <c r="D463" s="14" t="n">
        <f aca="false">D462/D451</f>
        <v>0.371390166666667</v>
      </c>
      <c r="E463" s="14" t="n">
        <f aca="false">E462/E451</f>
        <v>0.359030960504454</v>
      </c>
      <c r="F463" s="14" t="n">
        <f aca="false">F462/F451</f>
        <v>0.316970320412463</v>
      </c>
      <c r="G463" s="14" t="n">
        <f aca="false">G462/G451</f>
        <v>0.331598019937645</v>
      </c>
    </row>
    <row r="464" customFormat="false" ht="15" hidden="false" customHeight="false" outlineLevel="0" collapsed="false">
      <c r="A464" s="4" t="s">
        <v>774</v>
      </c>
      <c r="B464" s="0" t="s">
        <v>239</v>
      </c>
      <c r="C464" s="22" t="n">
        <f aca="false">a26_oth</f>
        <v>0.1514</v>
      </c>
      <c r="D464" s="22" t="n">
        <f aca="false">a27_oth</f>
        <v>0.1424</v>
      </c>
      <c r="E464" s="22" t="n">
        <f aca="false">int_f</f>
        <v>0.15</v>
      </c>
      <c r="F464" s="22" t="n">
        <f aca="false">int_f</f>
        <v>0.15</v>
      </c>
      <c r="G464" s="22" t="n">
        <f aca="false">int_f</f>
        <v>0.15</v>
      </c>
    </row>
    <row r="465" customFormat="false" ht="15" hidden="false" customHeight="false" outlineLevel="0" collapsed="false">
      <c r="A465" s="4" t="s">
        <v>775</v>
      </c>
      <c r="B465" s="0" t="s">
        <v>49</v>
      </c>
      <c r="C465" s="14" t="n">
        <f aca="false">a26_tax/(a26_oi-a26_oth)</f>
        <v>0.1</v>
      </c>
      <c r="D465" s="14" t="n">
        <f aca="false">a27_tax/(a27_oi-a27_oth)</f>
        <v>0.11</v>
      </c>
      <c r="E465" s="14" t="n">
        <f aca="false">tx_f</f>
        <v>0.13</v>
      </c>
      <c r="F465" s="14" t="n">
        <f aca="false">tx_f</f>
        <v>0.13</v>
      </c>
      <c r="G465" s="14" t="n">
        <f aca="false">tx_f</f>
        <v>0.13</v>
      </c>
    </row>
    <row r="466" customFormat="false" ht="17.15" hidden="false" customHeight="false" outlineLevel="0" collapsed="false">
      <c r="A466" s="4" t="s">
        <v>708</v>
      </c>
      <c r="B466" s="0" t="s">
        <v>239</v>
      </c>
      <c r="C466" s="22" t="n">
        <f aca="false">a26_ni</f>
        <v>2.46564</v>
      </c>
      <c r="D466" s="22" t="n">
        <f aca="false">a27_ni</f>
        <v>3.83971098</v>
      </c>
      <c r="E466" s="22" t="n">
        <f aca="false">(E462-E464)*(1-E465)</f>
        <v>6.42361803144416</v>
      </c>
      <c r="F466" s="22" t="n">
        <f aca="false">(F462-F464)*(1-F465)</f>
        <v>8.43739954263087</v>
      </c>
      <c r="G466" s="22" t="n">
        <f aca="false">(G462-G464)*(1-G465)</f>
        <v>10.2524962724029</v>
      </c>
    </row>
    <row r="467" customFormat="false" ht="15" hidden="false" customHeight="false" outlineLevel="0" collapsed="false">
      <c r="A467" s="4" t="s">
        <v>776</v>
      </c>
      <c r="B467" s="4" t="s">
        <v>370</v>
      </c>
      <c r="C467" s="16" t="n">
        <f aca="false">a26_sh</f>
        <v>0.8697</v>
      </c>
      <c r="D467" s="16" t="n">
        <f aca="false">a27_sh</f>
        <v>0.915125</v>
      </c>
      <c r="E467" s="16" t="n">
        <f aca="false">D467*(1+sh_g)</f>
        <v>0.919700625</v>
      </c>
      <c r="F467" s="16" t="n">
        <f aca="false">E467*(1+sh_g)</f>
        <v>0.924299128125</v>
      </c>
      <c r="G467" s="16" t="n">
        <f aca="false">F467*(1+sh_g)</f>
        <v>0.928920623765625</v>
      </c>
    </row>
    <row r="468" customFormat="false" ht="17.15" hidden="false" customHeight="false" outlineLevel="0" collapsed="false">
      <c r="A468" s="0" t="s">
        <v>709</v>
      </c>
      <c r="B468" s="0" t="s">
        <v>253</v>
      </c>
      <c r="C468" s="22" t="n">
        <f aca="false">C466/C467</f>
        <v>2.83504656778199</v>
      </c>
      <c r="D468" s="22" t="n">
        <f aca="false">D466/D467</f>
        <v>4.19583224149706</v>
      </c>
      <c r="E468" s="22" t="n">
        <f aca="false">E466/E467</f>
        <v>6.98446631091956</v>
      </c>
      <c r="F468" s="22" t="n">
        <f aca="false">F466/F467</f>
        <v>9.12842962401866</v>
      </c>
      <c r="G468" s="22" t="n">
        <f aca="false">G466/G467</f>
        <v>11.0369992980043</v>
      </c>
    </row>
    <row r="469" customFormat="false" ht="17.15" hidden="false" customHeight="false" outlineLevel="0" collapsed="false">
      <c r="A469" s="0" t="s">
        <v>777</v>
      </c>
      <c r="B469" s="0" t="s">
        <v>49</v>
      </c>
      <c r="D469" s="14" t="n">
        <f aca="false">D468/C468-1</f>
        <v>0.479987062357033</v>
      </c>
      <c r="E469" s="14" t="n">
        <f aca="false">E468/D468-1</f>
        <v>0.664620010743689</v>
      </c>
      <c r="F469" s="14" t="n">
        <f aca="false">F468/E468-1</f>
        <v>0.306961651421702</v>
      </c>
      <c r="G469" s="14" t="n">
        <f aca="false">G468/F468-1</f>
        <v>0.209079737982953</v>
      </c>
    </row>
    <row r="472" customFormat="false" ht="17.15" hidden="false" customHeight="false" outlineLevel="0" collapsed="false">
      <c r="A472" s="3" t="s">
        <v>1176</v>
      </c>
    </row>
    <row r="473" customFormat="false" ht="17.15" hidden="false" customHeight="false" outlineLevel="0" collapsed="false">
      <c r="A473" s="5" t="s">
        <v>25</v>
      </c>
      <c r="B473" s="5" t="s">
        <v>26</v>
      </c>
      <c r="C473" s="11" t="s">
        <v>698</v>
      </c>
      <c r="D473" s="11" t="s">
        <v>699</v>
      </c>
      <c r="E473" s="11" t="s">
        <v>700</v>
      </c>
      <c r="F473" s="11" t="s">
        <v>701</v>
      </c>
      <c r="G473" s="11" t="s">
        <v>702</v>
      </c>
      <c r="H473" s="5" t="s">
        <v>555</v>
      </c>
    </row>
    <row r="474" customFormat="false" ht="17.15" hidden="false" customHeight="false" outlineLevel="0" collapsed="false">
      <c r="A474" s="1" t="s">
        <v>717</v>
      </c>
    </row>
    <row r="475" customFormat="false" ht="17.15" hidden="false" customHeight="false" outlineLevel="0" collapsed="false">
      <c r="A475" s="0" t="s">
        <v>718</v>
      </c>
      <c r="B475" s="4" t="s">
        <v>36</v>
      </c>
      <c r="D475" s="22" t="n">
        <f aca="false">u_trn_26</f>
        <v>2</v>
      </c>
      <c r="E475" s="22" t="n">
        <f aca="false">u_trn_27</f>
        <v>2.5</v>
      </c>
      <c r="F475" s="22" t="n">
        <f aca="false">u_trn_28*um28_A</f>
        <v>3</v>
      </c>
      <c r="G475" s="22" t="n">
        <f aca="false">u_trn_28*(1+g29_trn)*um29_A</f>
        <v>3.45</v>
      </c>
    </row>
    <row r="476" customFormat="false" ht="17.15" hidden="false" customHeight="false" outlineLevel="0" collapsed="false">
      <c r="A476" s="4" t="s">
        <v>719</v>
      </c>
      <c r="B476" s="4" t="s">
        <v>36</v>
      </c>
      <c r="D476" s="22" t="n">
        <f aca="false">u_oth_26</f>
        <v>1</v>
      </c>
      <c r="E476" s="22" t="n">
        <f aca="false">u_oth_27</f>
        <v>4.5</v>
      </c>
      <c r="F476" s="22" t="n">
        <f aca="false">u_oth_28*um28_A</f>
        <v>5</v>
      </c>
      <c r="G476" s="22" t="n">
        <f aca="false">u_oth_28*(1+g29_oth)*um29_A</f>
        <v>5.75</v>
      </c>
    </row>
    <row r="477" customFormat="false" ht="17.15" hidden="false" customHeight="false" outlineLevel="0" collapsed="false">
      <c r="A477" s="0" t="s">
        <v>720</v>
      </c>
      <c r="B477" s="4" t="s">
        <v>36</v>
      </c>
      <c r="D477" s="22" t="n">
        <f aca="false">u_tpu_26</f>
        <v>3.85</v>
      </c>
      <c r="E477" s="22" t="n">
        <f aca="false">u_tpu_27</f>
        <v>5.5</v>
      </c>
      <c r="F477" s="22" t="n">
        <f aca="false">u_tpu_28*um28_A</f>
        <v>7</v>
      </c>
      <c r="G477" s="22" t="n">
        <f aca="false">u_tpu_28*(1+g29_tpu)*um29_A</f>
        <v>8.05</v>
      </c>
    </row>
    <row r="478" customFormat="false" ht="17.15" hidden="false" customHeight="false" outlineLevel="0" collapsed="false">
      <c r="A478" s="0" t="s">
        <v>658</v>
      </c>
      <c r="B478" s="0" t="s">
        <v>49</v>
      </c>
      <c r="D478" s="14" t="n">
        <f aca="false">msh_trn_26</f>
        <v>0.1</v>
      </c>
      <c r="E478" s="14" t="n">
        <f aca="false">MIN(1,MAX(0,msh_trn_27+0))</f>
        <v>0.1</v>
      </c>
      <c r="F478" s="14" t="n">
        <f aca="false">MIN(1,MAX(0,msh_trn_28+0))</f>
        <v>0.08</v>
      </c>
      <c r="G478" s="14" t="n">
        <f aca="false">MIN(1,MAX(0,msh_trn_28+0))</f>
        <v>0.08</v>
      </c>
    </row>
    <row r="479" customFormat="false" ht="17.15" hidden="false" customHeight="false" outlineLevel="0" collapsed="false">
      <c r="A479" s="0" t="s">
        <v>666</v>
      </c>
      <c r="B479" s="0" t="s">
        <v>49</v>
      </c>
      <c r="D479" s="14" t="n">
        <f aca="false">msh_oth_26</f>
        <v>0.05</v>
      </c>
      <c r="E479" s="14" t="n">
        <f aca="false">MIN(1,MAX(0,msh_oth_27+0))</f>
        <v>0.06</v>
      </c>
      <c r="F479" s="14" t="n">
        <f aca="false">MIN(1,MAX(0,msh_oth_28+0))</f>
        <v>0.15</v>
      </c>
      <c r="G479" s="14" t="n">
        <f aca="false">MIN(1,MAX(0,msh_oth_28+0))</f>
        <v>0.15</v>
      </c>
    </row>
    <row r="480" customFormat="false" ht="17.15" hidden="false" customHeight="false" outlineLevel="0" collapsed="false">
      <c r="A480" s="0" t="s">
        <v>670</v>
      </c>
      <c r="B480" s="0" t="s">
        <v>49</v>
      </c>
      <c r="D480" s="14" t="n">
        <f aca="false">msh_tpu_26</f>
        <v>0</v>
      </c>
      <c r="E480" s="14" t="n">
        <f aca="false">MIN(1,MAX(0,msh_tpu_27+0))</f>
        <v>0</v>
      </c>
      <c r="F480" s="14" t="n">
        <f aca="false">MIN(1,MAX(0,msh_tpu_28+0))</f>
        <v>0.05</v>
      </c>
      <c r="G480" s="14" t="n">
        <f aca="false">MIN(1,MAX(0,msh_tpu_28+0))</f>
        <v>0.05</v>
      </c>
    </row>
    <row r="481" customFormat="false" ht="17.15" hidden="false" customHeight="false" outlineLevel="0" collapsed="false">
      <c r="A481" s="0" t="s">
        <v>660</v>
      </c>
      <c r="B481" s="4" t="s">
        <v>36</v>
      </c>
      <c r="D481" s="16" t="n">
        <f aca="false">D475*D478</f>
        <v>0.2</v>
      </c>
      <c r="E481" s="16" t="n">
        <f aca="false">E475*E478*1</f>
        <v>0.25</v>
      </c>
      <c r="F481" s="16" t="n">
        <f aca="false">F475*F478*1</f>
        <v>0.24</v>
      </c>
      <c r="G481" s="16" t="n">
        <f aca="false">G475*G478*1</f>
        <v>0.276</v>
      </c>
    </row>
    <row r="482" customFormat="false" ht="17.15" hidden="false" customHeight="false" outlineLevel="0" collapsed="false">
      <c r="A482" s="0" t="s">
        <v>667</v>
      </c>
      <c r="B482" s="4" t="s">
        <v>36</v>
      </c>
      <c r="D482" s="16" t="n">
        <f aca="false">D476*D479</f>
        <v>0.05</v>
      </c>
      <c r="E482" s="16" t="n">
        <f aca="false">E476*E479*1</f>
        <v>0.27</v>
      </c>
      <c r="F482" s="16" t="n">
        <f aca="false">F476*F479*1</f>
        <v>0.75</v>
      </c>
      <c r="G482" s="16" t="n">
        <f aca="false">G476*G479*1</f>
        <v>0.8625</v>
      </c>
    </row>
    <row r="483" customFormat="false" ht="17.15" hidden="false" customHeight="false" outlineLevel="0" collapsed="false">
      <c r="A483" s="0" t="s">
        <v>671</v>
      </c>
      <c r="B483" s="4" t="s">
        <v>36</v>
      </c>
      <c r="D483" s="16" t="n">
        <f aca="false">D477*D480</f>
        <v>0</v>
      </c>
      <c r="E483" s="16" t="n">
        <f aca="false">E477*E480*1</f>
        <v>0</v>
      </c>
      <c r="F483" s="16" t="n">
        <f aca="false">F477*F480*1</f>
        <v>0.35</v>
      </c>
      <c r="G483" s="16" t="n">
        <f aca="false">G477*G480*1</f>
        <v>0.4025</v>
      </c>
    </row>
    <row r="484" customFormat="false" ht="17.15" hidden="false" customHeight="false" outlineLevel="0" collapsed="false">
      <c r="A484" s="4" t="s">
        <v>721</v>
      </c>
      <c r="B484" s="0" t="s">
        <v>100</v>
      </c>
      <c r="D484" s="23" t="n">
        <f aca="false">gb_trn_26</f>
        <v>110</v>
      </c>
      <c r="E484" s="23" t="n">
        <f aca="false">gb_trn_27</f>
        <v>144</v>
      </c>
      <c r="F484" s="23" t="n">
        <f aca="false">gb_trn_28</f>
        <v>200</v>
      </c>
      <c r="G484" s="23" t="n">
        <f aca="false">gb_trn_28</f>
        <v>200</v>
      </c>
    </row>
    <row r="485" customFormat="false" ht="17.15" hidden="false" customHeight="false" outlineLevel="0" collapsed="false">
      <c r="A485" s="4" t="s">
        <v>722</v>
      </c>
      <c r="B485" s="0" t="s">
        <v>100</v>
      </c>
      <c r="D485" s="23" t="n">
        <f aca="false">gb_oth_26</f>
        <v>150</v>
      </c>
      <c r="E485" s="23" t="n">
        <f aca="false">gb_oth_27</f>
        <v>200</v>
      </c>
      <c r="F485" s="23" t="n">
        <f aca="false">gb_oth_28</f>
        <v>250</v>
      </c>
      <c r="G485" s="23" t="n">
        <f aca="false">gb_oth_28</f>
        <v>250</v>
      </c>
    </row>
    <row r="486" customFormat="false" ht="17.15" hidden="false" customHeight="false" outlineLevel="0" collapsed="false">
      <c r="A486" s="4" t="s">
        <v>723</v>
      </c>
      <c r="B486" s="0" t="s">
        <v>100</v>
      </c>
      <c r="D486" s="23" t="n">
        <f aca="false">gb_tpu_26</f>
        <v>192</v>
      </c>
      <c r="E486" s="23" t="n">
        <f aca="false">gb_tpu_27</f>
        <v>250</v>
      </c>
      <c r="F486" s="23" t="n">
        <f aca="false">gb_tpu_28</f>
        <v>288</v>
      </c>
      <c r="G486" s="23" t="n">
        <f aca="false">gb_tpu_28</f>
        <v>288</v>
      </c>
    </row>
    <row r="487" customFormat="false" ht="17.15" hidden="false" customHeight="false" outlineLevel="0" collapsed="false">
      <c r="A487" s="0" t="s">
        <v>724</v>
      </c>
      <c r="B487" s="0" t="s">
        <v>200</v>
      </c>
      <c r="D487" s="22" t="n">
        <f aca="false">hbm_A_26</f>
        <v>14.6</v>
      </c>
      <c r="E487" s="22" t="n">
        <f aca="false">hbm_A_27</f>
        <v>26.28</v>
      </c>
      <c r="F487" s="22" t="n">
        <f aca="false">hbm_A_28</f>
        <v>28.908</v>
      </c>
      <c r="G487" s="22" t="n">
        <f aca="false">hbm_A_29</f>
        <v>27.4626</v>
      </c>
    </row>
    <row r="488" customFormat="false" ht="17.15" hidden="false" customHeight="false" outlineLevel="0" collapsed="false">
      <c r="A488" s="4" t="s">
        <v>725</v>
      </c>
      <c r="B488" s="0" t="s">
        <v>122</v>
      </c>
      <c r="D488" s="22" t="n">
        <f aca="false">core_trn</f>
        <v>6.394</v>
      </c>
      <c r="E488" s="22" t="n">
        <f aca="false">core_trn*pfc_lo</f>
        <v>5.1152</v>
      </c>
      <c r="F488" s="22" t="n">
        <f aca="false">core_trn*pfc_lo</f>
        <v>5.1152</v>
      </c>
      <c r="G488" s="22" t="n">
        <f aca="false">core_trn*pfc_lo</f>
        <v>5.1152</v>
      </c>
    </row>
    <row r="489" customFormat="false" ht="17.15" hidden="false" customHeight="false" outlineLevel="0" collapsed="false">
      <c r="A489" s="4" t="s">
        <v>726</v>
      </c>
      <c r="B489" s="0" t="s">
        <v>122</v>
      </c>
      <c r="D489" s="22" t="n">
        <f aca="false">core_oth</f>
        <v>6</v>
      </c>
      <c r="E489" s="22" t="n">
        <f aca="false">core_oth*pfc_lo</f>
        <v>4.8</v>
      </c>
      <c r="F489" s="22" t="n">
        <f aca="false">core_oth*pfc_lo</f>
        <v>4.8</v>
      </c>
      <c r="G489" s="22" t="n">
        <f aca="false">core_oth*pfc_lo</f>
        <v>4.8</v>
      </c>
    </row>
    <row r="490" customFormat="false" ht="17.15" hidden="false" customHeight="false" outlineLevel="0" collapsed="false">
      <c r="A490" s="4" t="s">
        <v>727</v>
      </c>
      <c r="B490" s="0" t="s">
        <v>122</v>
      </c>
      <c r="D490" s="22" t="n">
        <f aca="false">core_tpu</f>
        <v>8</v>
      </c>
      <c r="E490" s="22" t="n">
        <f aca="false">core_tpu*pfc_lo</f>
        <v>6.4</v>
      </c>
      <c r="F490" s="22" t="n">
        <f aca="false">core_tpu*pfc_lo</f>
        <v>6.4</v>
      </c>
      <c r="G490" s="22" t="n">
        <f aca="false">core_tpu*pfc_lo</f>
        <v>6.4</v>
      </c>
    </row>
    <row r="491" customFormat="false" ht="17.15" hidden="false" customHeight="false" outlineLevel="0" collapsed="false">
      <c r="A491" s="4" t="s">
        <v>728</v>
      </c>
      <c r="B491" s="0" t="s">
        <v>122</v>
      </c>
      <c r="D491" s="22" t="n">
        <f aca="false">D484*D487/1000</f>
        <v>1.606</v>
      </c>
      <c r="E491" s="22" t="n">
        <f aca="false">E484*E487/1000</f>
        <v>3.78432</v>
      </c>
      <c r="F491" s="22" t="n">
        <f aca="false">F484*F487/1000</f>
        <v>5.7816</v>
      </c>
      <c r="G491" s="22" t="n">
        <f aca="false">G484*G487/1000</f>
        <v>5.49252</v>
      </c>
    </row>
    <row r="492" customFormat="false" ht="17.15" hidden="false" customHeight="false" outlineLevel="0" collapsed="false">
      <c r="A492" s="4" t="s">
        <v>729</v>
      </c>
      <c r="B492" s="0" t="s">
        <v>122</v>
      </c>
      <c r="D492" s="22" t="n">
        <f aca="false">D485*D487/1000</f>
        <v>2.19</v>
      </c>
      <c r="E492" s="22" t="n">
        <f aca="false">E485*E487/1000</f>
        <v>5.256</v>
      </c>
      <c r="F492" s="22" t="n">
        <f aca="false">F485*F487/1000</f>
        <v>7.227</v>
      </c>
      <c r="G492" s="22" t="n">
        <f aca="false">G485*G487/1000</f>
        <v>6.86565</v>
      </c>
    </row>
    <row r="493" customFormat="false" ht="17.15" hidden="false" customHeight="false" outlineLevel="0" collapsed="false">
      <c r="A493" s="4" t="s">
        <v>730</v>
      </c>
      <c r="B493" s="0" t="s">
        <v>122</v>
      </c>
      <c r="D493" s="22" t="n">
        <f aca="false">D486*D487/1000</f>
        <v>2.8032</v>
      </c>
      <c r="E493" s="22" t="n">
        <f aca="false">E486*E487/1000</f>
        <v>6.57</v>
      </c>
      <c r="F493" s="22" t="n">
        <f aca="false">F486*F487/1000</f>
        <v>8.325504</v>
      </c>
      <c r="G493" s="22" t="n">
        <f aca="false">G486*G487/1000</f>
        <v>7.9092288</v>
      </c>
    </row>
    <row r="494" customFormat="false" ht="17.15" hidden="false" customHeight="false" outlineLevel="0" collapsed="false">
      <c r="A494" s="4" t="s">
        <v>731</v>
      </c>
      <c r="B494" s="0" t="s">
        <v>122</v>
      </c>
      <c r="D494" s="22" t="n">
        <f aca="false">D488+f_hbm*D491</f>
        <v>7.3576</v>
      </c>
      <c r="E494" s="22" t="n">
        <f aca="false">E488+f_hbm*E491</f>
        <v>7.385792</v>
      </c>
      <c r="F494" s="22" t="n">
        <f aca="false">F488+f_hbm*F491</f>
        <v>8.58416</v>
      </c>
      <c r="G494" s="22" t="n">
        <f aca="false">G488+f_hbm*G491</f>
        <v>8.410712</v>
      </c>
      <c r="H494" s="4" t="s">
        <v>732</v>
      </c>
    </row>
    <row r="495" customFormat="false" ht="17.15" hidden="false" customHeight="false" outlineLevel="0" collapsed="false">
      <c r="A495" s="4" t="s">
        <v>733</v>
      </c>
      <c r="B495" s="0" t="s">
        <v>122</v>
      </c>
      <c r="D495" s="22" t="n">
        <f aca="false">D489+f_hbm*D492</f>
        <v>7.314</v>
      </c>
      <c r="E495" s="22" t="n">
        <f aca="false">E489+f_hbm*E492</f>
        <v>7.9536</v>
      </c>
      <c r="F495" s="22" t="n">
        <f aca="false">F489+f_hbm*F492</f>
        <v>9.1362</v>
      </c>
      <c r="G495" s="22" t="n">
        <f aca="false">G489+f_hbm*G492</f>
        <v>8.91939</v>
      </c>
    </row>
    <row r="496" customFormat="false" ht="17.15" hidden="false" customHeight="false" outlineLevel="0" collapsed="false">
      <c r="A496" s="4" t="s">
        <v>734</v>
      </c>
      <c r="B496" s="0" t="s">
        <v>122</v>
      </c>
      <c r="D496" s="22" t="n">
        <f aca="false">D490+f_hbm*D493</f>
        <v>9.68192</v>
      </c>
      <c r="E496" s="22" t="n">
        <f aca="false">E490+f_hbm*E493</f>
        <v>10.342</v>
      </c>
      <c r="F496" s="22" t="n">
        <f aca="false">F490+f_hbm*F493</f>
        <v>11.3953024</v>
      </c>
      <c r="G496" s="22" t="n">
        <f aca="false">G490+f_hbm*G493</f>
        <v>11.14553728</v>
      </c>
    </row>
    <row r="497" customFormat="false" ht="17.15" hidden="false" customHeight="false" outlineLevel="0" collapsed="false">
      <c r="A497" s="0" t="s">
        <v>735</v>
      </c>
      <c r="B497" s="0" t="s">
        <v>239</v>
      </c>
      <c r="D497" s="22" t="n">
        <f aca="false">D481*D494+D482*D495+D483*D496</f>
        <v>1.83722</v>
      </c>
      <c r="E497" s="22" t="n">
        <f aca="false">E481*E494+E482*E495+E483*E496</f>
        <v>3.99392</v>
      </c>
      <c r="F497" s="22" t="n">
        <f aca="false">F481*F494+F482*F495+F483*F496</f>
        <v>12.90070424</v>
      </c>
      <c r="G497" s="22" t="n">
        <f aca="false">G481*G494+G482*G495+G483*G496</f>
        <v>14.5004091422</v>
      </c>
    </row>
    <row r="498" customFormat="false" ht="17.15" hidden="false" customHeight="false" outlineLevel="0" collapsed="false">
      <c r="A498" s="0" t="s">
        <v>736</v>
      </c>
      <c r="B498" s="0" t="s">
        <v>80</v>
      </c>
      <c r="D498" s="16" t="n">
        <f aca="false">a27_xpu/D497</f>
        <v>0.802843426481314</v>
      </c>
      <c r="H498" s="7" t="s">
        <v>737</v>
      </c>
    </row>
    <row r="499" customFormat="false" ht="17.15" hidden="false" customHeight="false" outlineLevel="0" collapsed="false">
      <c r="A499" s="0" t="s">
        <v>738</v>
      </c>
      <c r="B499" s="0" t="s">
        <v>239</v>
      </c>
      <c r="D499" s="22" t="n">
        <f aca="false">D497*$D$498</f>
        <v>1.475</v>
      </c>
      <c r="E499" s="22" t="n">
        <f aca="false">E497*$D$498</f>
        <v>3.20649241789225</v>
      </c>
      <c r="F499" s="22" t="n">
        <f aca="false">F497*$D$498</f>
        <v>10.3572455960636</v>
      </c>
      <c r="G499" s="22" t="n">
        <f aca="false">G497*$D$498</f>
        <v>11.6415581611048</v>
      </c>
    </row>
    <row r="500" customFormat="false" ht="17.15" hidden="false" customHeight="false" outlineLevel="0" collapsed="false">
      <c r="A500" s="4" t="s">
        <v>739</v>
      </c>
      <c r="B500" s="0" t="s">
        <v>239</v>
      </c>
      <c r="D500" s="22" t="n">
        <f aca="false">$D$498*f_hbm*(D481*D491+D482*D492+D483*D493)</f>
        <v>0.207470798271301</v>
      </c>
      <c r="E500" s="22" t="n">
        <f aca="false">$D$498*f_hbm*(E481*E491+E482*E492+E483*E493)</f>
        <v>1.13933116338816</v>
      </c>
      <c r="F500" s="22" t="n">
        <f aca="false">$D$498*f_hbm*(F481*F491+F482*F492+F483*F493)</f>
        <v>4.68303085857981</v>
      </c>
      <c r="G500" s="22" t="n">
        <f aca="false">$D$498*f_hbm*(G481*G491+G482*G492+G483*G493)</f>
        <v>5.11621121299844</v>
      </c>
    </row>
    <row r="501" customFormat="false" ht="15" hidden="false" customHeight="false" outlineLevel="0" collapsed="false">
      <c r="A501" s="4" t="s">
        <v>740</v>
      </c>
      <c r="B501" s="0" t="s">
        <v>239</v>
      </c>
      <c r="D501" s="22" t="n">
        <f aca="false">D499-D500</f>
        <v>1.2675292017287</v>
      </c>
      <c r="E501" s="22" t="n">
        <f aca="false">E499-E500</f>
        <v>2.06716125450409</v>
      </c>
      <c r="F501" s="22" t="n">
        <f aca="false">F499-F500</f>
        <v>5.67421473748381</v>
      </c>
      <c r="G501" s="22" t="n">
        <f aca="false">G499-G500</f>
        <v>6.52534694810638</v>
      </c>
    </row>
    <row r="502" customFormat="false" ht="17.15" hidden="false" customHeight="false" outlineLevel="0" collapsed="false">
      <c r="A502" s="0" t="s">
        <v>741</v>
      </c>
      <c r="B502" s="4" t="s">
        <v>36</v>
      </c>
      <c r="D502" s="16" t="n">
        <f aca="false">D481+D482+D483</f>
        <v>0.25</v>
      </c>
      <c r="E502" s="16" t="n">
        <f aca="false">E481+E482+E483</f>
        <v>0.52</v>
      </c>
      <c r="F502" s="16" t="n">
        <f aca="false">F481+F482+F483</f>
        <v>1.34</v>
      </c>
      <c r="G502" s="16" t="n">
        <f aca="false">G481+G482+G483</f>
        <v>1.541</v>
      </c>
    </row>
    <row r="503" customFormat="false" ht="17.15" hidden="false" customHeight="false" outlineLevel="0" collapsed="false">
      <c r="A503" s="0" t="s">
        <v>742</v>
      </c>
      <c r="B503" s="0" t="s">
        <v>239</v>
      </c>
      <c r="C503" s="22" t="n">
        <f aca="false">a26_att</f>
        <v>0.2</v>
      </c>
      <c r="D503" s="22" t="n">
        <f aca="false">a27_att</f>
        <v>0.4</v>
      </c>
      <c r="E503" s="22" t="n">
        <f aca="false">att28</f>
        <v>1</v>
      </c>
      <c r="F503" s="22" t="n">
        <f aca="false">att28*(1+g_att)*um28_A</f>
        <v>1.5</v>
      </c>
      <c r="G503" s="22" t="n">
        <f aca="false">att28*(1+g_att)^2*um29_A</f>
        <v>2.25</v>
      </c>
      <c r="H503" s="7" t="s">
        <v>743</v>
      </c>
    </row>
    <row r="504" customFormat="false" ht="17.15" hidden="false" customHeight="false" outlineLevel="0" collapsed="false">
      <c r="A504" s="4" t="s">
        <v>744</v>
      </c>
      <c r="B504" s="0" t="s">
        <v>239</v>
      </c>
      <c r="C504" s="22" t="n">
        <f aca="false">a26_cus</f>
        <v>1.5</v>
      </c>
      <c r="D504" s="22" t="n">
        <f aca="false">D499+D503</f>
        <v>1.875</v>
      </c>
      <c r="E504" s="22" t="n">
        <f aca="false">E499+E503</f>
        <v>4.20649241789225</v>
      </c>
      <c r="F504" s="22" t="n">
        <f aca="false">F499+F503</f>
        <v>11.8572455960636</v>
      </c>
      <c r="G504" s="22" t="n">
        <f aca="false">G499+G503</f>
        <v>13.8915581611048</v>
      </c>
    </row>
    <row r="505" customFormat="false" ht="17.15" hidden="false" customHeight="false" outlineLevel="0" collapsed="false">
      <c r="A505" s="1" t="s">
        <v>745</v>
      </c>
    </row>
    <row r="506" customFormat="false" ht="17.15" hidden="false" customHeight="false" outlineLevel="0" collapsed="false">
      <c r="A506" s="0" t="s">
        <v>746</v>
      </c>
      <c r="B506" s="0" t="s">
        <v>239</v>
      </c>
      <c r="D506" s="22" t="n">
        <f aca="false">plug_26*1</f>
        <v>29.753262</v>
      </c>
      <c r="E506" s="22" t="n">
        <f aca="false">plug_27*1</f>
        <v>53.560715</v>
      </c>
      <c r="F506" s="22" t="n">
        <f aca="false">plug_28*um28_A</f>
        <v>57.9915</v>
      </c>
      <c r="G506" s="22" t="n">
        <f aca="false">plug_29*um29_A</f>
        <v>72.9348</v>
      </c>
    </row>
    <row r="507" customFormat="false" ht="17.15" hidden="false" customHeight="false" outlineLevel="0" collapsed="false">
      <c r="A507" s="4" t="s">
        <v>747</v>
      </c>
      <c r="B507" s="4" t="s">
        <v>680</v>
      </c>
      <c r="D507" s="19" t="n">
        <f aca="false">D506*1000/asp_26</f>
        <v>45.7742492307692</v>
      </c>
      <c r="E507" s="19" t="n">
        <f aca="false">E506*1000/asp_27</f>
        <v>66.95089375</v>
      </c>
      <c r="F507" s="19" t="n">
        <f aca="false">F506*1000/asp_28</f>
        <v>68.2252941176471</v>
      </c>
      <c r="G507" s="19" t="n">
        <f aca="false">G506*1000/asp_29</f>
        <v>85.8056470588235</v>
      </c>
    </row>
    <row r="508" customFormat="false" ht="17.15" hidden="false" customHeight="false" outlineLevel="0" collapsed="false">
      <c r="A508" s="4" t="s">
        <v>748</v>
      </c>
      <c r="B508" s="0" t="s">
        <v>49</v>
      </c>
      <c r="D508" s="14" t="n">
        <f aca="false">MIN(1,lpo_26)</f>
        <v>0.03</v>
      </c>
      <c r="E508" s="14" t="n">
        <f aca="false">MIN(1,lpo_27+0)</f>
        <v>0.06</v>
      </c>
      <c r="F508" s="14" t="n">
        <f aca="false">MIN(1,lpo_28+0)</f>
        <v>0.1</v>
      </c>
      <c r="G508" s="14" t="n">
        <f aca="false">MIN(1,lpo_29+0)</f>
        <v>0.15</v>
      </c>
    </row>
    <row r="509" customFormat="false" ht="15" hidden="false" customHeight="false" outlineLevel="0" collapsed="false">
      <c r="A509" s="4" t="s">
        <v>749</v>
      </c>
      <c r="B509" s="0" t="s">
        <v>253</v>
      </c>
      <c r="D509" s="23" t="n">
        <f aca="false">dsp_26</f>
        <v>125</v>
      </c>
      <c r="E509" s="23" t="n">
        <f aca="false">dsp_27*1</f>
        <v>135</v>
      </c>
      <c r="F509" s="23" t="n">
        <f aca="false">dsp_28*1</f>
        <v>135</v>
      </c>
      <c r="G509" s="23" t="n">
        <f aca="false">dsp_29*1</f>
        <v>130</v>
      </c>
    </row>
    <row r="510" customFormat="false" ht="17.15" hidden="false" customHeight="false" outlineLevel="0" collapsed="false">
      <c r="A510" s="4" t="s">
        <v>750</v>
      </c>
      <c r="B510" s="0" t="s">
        <v>239</v>
      </c>
      <c r="D510" s="22" t="n">
        <f aca="false">D507*(1-D508)*D509/1000</f>
        <v>5.55012771923077</v>
      </c>
      <c r="E510" s="22" t="n">
        <f aca="false">E507*(1-E508)*E509/1000</f>
        <v>8.496068416875</v>
      </c>
      <c r="F510" s="22" t="n">
        <f aca="false">F507*(1-F508)*F509/1000</f>
        <v>8.28937323529412</v>
      </c>
      <c r="G510" s="22" t="n">
        <f aca="false">G507*(1-G508)*G509/1000</f>
        <v>9.481524</v>
      </c>
    </row>
    <row r="511" customFormat="false" ht="17.15" hidden="false" customHeight="false" outlineLevel="0" collapsed="false">
      <c r="A511" s="0" t="s">
        <v>751</v>
      </c>
      <c r="B511" s="0" t="s">
        <v>49</v>
      </c>
      <c r="D511" s="14" t="n">
        <f aca="false">msh_dsp_26</f>
        <v>0.65</v>
      </c>
      <c r="E511" s="14" t="n">
        <f aca="false">msh_dsp_27+0</f>
        <v>0.63</v>
      </c>
      <c r="F511" s="14" t="n">
        <f aca="false">msh_dsp_28+0</f>
        <v>0.6</v>
      </c>
      <c r="G511" s="14" t="n">
        <f aca="false">msh_dsp_29+0</f>
        <v>0.58</v>
      </c>
    </row>
    <row r="512" customFormat="false" ht="17.15" hidden="false" customHeight="false" outlineLevel="0" collapsed="false">
      <c r="A512" s="0" t="s">
        <v>682</v>
      </c>
      <c r="B512" s="0" t="s">
        <v>239</v>
      </c>
      <c r="D512" s="22" t="n">
        <f aca="false">D510*D511</f>
        <v>3.6075830175</v>
      </c>
      <c r="E512" s="22" t="n">
        <f aca="false">E510*E511*1</f>
        <v>5.35252310263125</v>
      </c>
      <c r="F512" s="22" t="n">
        <f aca="false">F510*F511*1</f>
        <v>4.97362394117647</v>
      </c>
      <c r="G512" s="22" t="n">
        <f aca="false">G510*G511*1</f>
        <v>5.49928392</v>
      </c>
    </row>
    <row r="513" customFormat="false" ht="17.15" hidden="false" customHeight="false" outlineLevel="0" collapsed="false">
      <c r="A513" s="4" t="s">
        <v>752</v>
      </c>
      <c r="B513" s="0" t="s">
        <v>239</v>
      </c>
      <c r="D513" s="22" t="n">
        <f aca="false">coh27</f>
        <v>0.9</v>
      </c>
      <c r="E513" s="22" t="n">
        <f aca="false">D513*(1+g_coh)</f>
        <v>1.035</v>
      </c>
      <c r="F513" s="22" t="n">
        <f aca="false">E513*(1+g_coh)</f>
        <v>1.19025</v>
      </c>
      <c r="G513" s="22" t="n">
        <f aca="false">F513*(1+g_coh)</f>
        <v>1.3687875</v>
      </c>
    </row>
    <row r="514" customFormat="false" ht="17.15" hidden="false" customHeight="false" outlineLevel="0" collapsed="false">
      <c r="A514" s="4" t="s">
        <v>753</v>
      </c>
      <c r="B514" s="0" t="s">
        <v>80</v>
      </c>
      <c r="D514" s="16" t="n">
        <f aca="false">(a27_ic-D513)/D512</f>
        <v>1.44223430888795</v>
      </c>
      <c r="H514" s="7" t="s">
        <v>754</v>
      </c>
    </row>
    <row r="515" customFormat="false" ht="15" hidden="false" customHeight="false" outlineLevel="0" collapsed="false">
      <c r="A515" s="4" t="s">
        <v>755</v>
      </c>
      <c r="B515" s="0" t="s">
        <v>239</v>
      </c>
      <c r="C515" s="22" t="n">
        <f aca="false">a26_ic</f>
        <v>3.4503</v>
      </c>
      <c r="D515" s="22" t="n">
        <f aca="false">D512*$D$514+D513</f>
        <v>6.10298</v>
      </c>
      <c r="E515" s="22" t="n">
        <f aca="false">E512*$D$514+E513</f>
        <v>8.75459245773014</v>
      </c>
      <c r="F515" s="22" t="n">
        <f aca="false">F512*$D$514+F513</f>
        <v>8.36338108747118</v>
      </c>
      <c r="G515" s="22" t="n">
        <f aca="false">G512*$D$514+G513</f>
        <v>9.30004344373979</v>
      </c>
    </row>
    <row r="516" customFormat="false" ht="17.15" hidden="false" customHeight="false" outlineLevel="0" collapsed="false">
      <c r="A516" s="1" t="s">
        <v>756</v>
      </c>
    </row>
    <row r="517" customFormat="false" ht="15" hidden="false" customHeight="false" outlineLevel="0" collapsed="false">
      <c r="A517" s="4" t="s">
        <v>757</v>
      </c>
      <c r="B517" s="0" t="s">
        <v>239</v>
      </c>
      <c r="C517" s="22" t="n">
        <f aca="false">a26_sw</f>
        <v>0.3</v>
      </c>
      <c r="D517" s="22" t="n">
        <f aca="false">a27_sw</f>
        <v>0.65</v>
      </c>
      <c r="E517" s="22" t="n">
        <f aca="false">a27_sw*(1+g_sw28)</f>
        <v>1.17</v>
      </c>
      <c r="F517" s="22" t="n">
        <f aca="false">a27_sw*(1+g_sw28)*(1+g_sw)*um28_A</f>
        <v>1.638</v>
      </c>
      <c r="G517" s="22" t="n">
        <f aca="false">a27_sw*(1+g_sw28)*(1+g_sw)^2*um29_A</f>
        <v>2.2932</v>
      </c>
    </row>
    <row r="518" customFormat="false" ht="17.15" hidden="false" customHeight="false" outlineLevel="0" collapsed="false">
      <c r="A518" s="0" t="s">
        <v>758</v>
      </c>
      <c r="B518" s="0" t="s">
        <v>239</v>
      </c>
      <c r="C518" s="22" t="n">
        <f aca="false">a26_aec</f>
        <v>0.2</v>
      </c>
      <c r="D518" s="22" t="n">
        <f aca="false">a27_aec</f>
        <v>0.45</v>
      </c>
      <c r="E518" s="22" t="n">
        <f aca="false">a27_aec*(1+g_aec)</f>
        <v>0.675</v>
      </c>
      <c r="F518" s="22" t="n">
        <f aca="false">a27_aec*(1+g_aec)^2*um28_A</f>
        <v>1.0125</v>
      </c>
      <c r="G518" s="22" t="n">
        <f aca="false">a27_aec*(1+g_aec)^3*um29_A</f>
        <v>1.51875</v>
      </c>
    </row>
    <row r="519" customFormat="false" ht="15" hidden="false" customHeight="false" outlineLevel="0" collapsed="false">
      <c r="A519" s="4" t="s">
        <v>759</v>
      </c>
      <c r="B519" s="0" t="s">
        <v>239</v>
      </c>
      <c r="C519" s="22" t="n">
        <f aca="false">a26_sto</f>
        <v>0.65</v>
      </c>
      <c r="D519" s="22" t="n">
        <f aca="false">a27_sto</f>
        <v>0.6825</v>
      </c>
      <c r="E519" s="22" t="n">
        <f aca="false">D519*(1+g_sto)</f>
        <v>0.716625</v>
      </c>
      <c r="F519" s="22" t="n">
        <f aca="false">E519*(1+g_sto)</f>
        <v>0.75245625</v>
      </c>
      <c r="G519" s="22" t="n">
        <f aca="false">F519*(1+g_sto)</f>
        <v>0.7900790625</v>
      </c>
    </row>
    <row r="520" customFormat="false" ht="15" hidden="false" customHeight="false" outlineLevel="0" collapsed="false">
      <c r="A520" s="4" t="s">
        <v>760</v>
      </c>
      <c r="B520" s="0" t="s">
        <v>239</v>
      </c>
      <c r="C520" s="22" t="n">
        <f aca="false">a26_dc</f>
        <v>6.1003</v>
      </c>
      <c r="D520" s="22" t="n">
        <f aca="false">D504+D515+D517+D518+D519</f>
        <v>9.76048</v>
      </c>
      <c r="E520" s="22" t="n">
        <f aca="false">E504+E515+E517+E518+E519</f>
        <v>15.5227098756224</v>
      </c>
      <c r="F520" s="22" t="n">
        <f aca="false">F504+F515+F517+F518+F519</f>
        <v>23.6235829335348</v>
      </c>
      <c r="G520" s="22" t="n">
        <f aca="false">G504+G515+G517+G518+G519</f>
        <v>27.7936306673446</v>
      </c>
    </row>
    <row r="521" customFormat="false" ht="15" hidden="false" customHeight="false" outlineLevel="0" collapsed="false">
      <c r="A521" s="4" t="s">
        <v>761</v>
      </c>
      <c r="B521" s="0" t="s">
        <v>239</v>
      </c>
      <c r="C521" s="22" t="n">
        <f aca="false">a26_co</f>
        <v>2.0943</v>
      </c>
      <c r="D521" s="22" t="n">
        <f aca="false">a27_co</f>
        <v>2.23952</v>
      </c>
      <c r="E521" s="22" t="n">
        <f aca="false">D521*(1+g_co28)</f>
        <v>2.3067056</v>
      </c>
      <c r="F521" s="22" t="n">
        <f aca="false">E521*(1+g_co)</f>
        <v>2.375906768</v>
      </c>
      <c r="G521" s="22" t="n">
        <f aca="false">F521*(1+g_co)</f>
        <v>2.44718397104</v>
      </c>
    </row>
    <row r="522" customFormat="false" ht="17.15" hidden="false" customHeight="false" outlineLevel="0" collapsed="false">
      <c r="A522" s="1" t="s">
        <v>762</v>
      </c>
    </row>
    <row r="523" customFormat="false" ht="15" hidden="false" customHeight="false" outlineLevel="0" collapsed="false">
      <c r="A523" s="4" t="s">
        <v>597</v>
      </c>
      <c r="B523" s="0" t="s">
        <v>239</v>
      </c>
      <c r="C523" s="22" t="n">
        <f aca="false">a26_rev</f>
        <v>8.1946</v>
      </c>
      <c r="D523" s="22" t="n">
        <f aca="false">a27_rev</f>
        <v>12</v>
      </c>
      <c r="E523" s="22" t="n">
        <f aca="false">E520+E521</f>
        <v>17.8294154756224</v>
      </c>
      <c r="F523" s="22" t="n">
        <f aca="false">F520+F521</f>
        <v>25.9994897015348</v>
      </c>
      <c r="G523" s="22" t="n">
        <f aca="false">G520+G521</f>
        <v>30.2408146383846</v>
      </c>
    </row>
    <row r="524" customFormat="false" ht="17.15" hidden="false" customHeight="false" outlineLevel="0" collapsed="false">
      <c r="A524" s="4" t="s">
        <v>763</v>
      </c>
      <c r="B524" s="0" t="s">
        <v>239</v>
      </c>
      <c r="D524" s="22" t="n">
        <f aca="false">D520+D521</f>
        <v>12</v>
      </c>
      <c r="E524" s="22" t="n">
        <f aca="false">E520+E521</f>
        <v>17.8294154756224</v>
      </c>
      <c r="F524" s="22" t="n">
        <f aca="false">F520+F521</f>
        <v>25.9994897015348</v>
      </c>
      <c r="G524" s="22" t="n">
        <f aca="false">G520+G521</f>
        <v>30.2408146383846</v>
      </c>
    </row>
    <row r="525" customFormat="false" ht="15" hidden="false" customHeight="false" outlineLevel="0" collapsed="false">
      <c r="A525" s="4" t="s">
        <v>764</v>
      </c>
      <c r="B525" s="0" t="s">
        <v>49</v>
      </c>
      <c r="D525" s="14" t="n">
        <f aca="false">D523/C523-1</f>
        <v>0.464378981280355</v>
      </c>
      <c r="E525" s="14" t="n">
        <f aca="false">E523/D523-1</f>
        <v>0.485784622968533</v>
      </c>
      <c r="F525" s="14" t="n">
        <f aca="false">F523/E523-1</f>
        <v>0.458235674471948</v>
      </c>
      <c r="G525" s="14" t="n">
        <f aca="false">G523/F523-1</f>
        <v>0.163131083938137</v>
      </c>
    </row>
    <row r="526" customFormat="false" ht="17.15" hidden="false" customHeight="false" outlineLevel="0" collapsed="false">
      <c r="A526" s="4" t="s">
        <v>765</v>
      </c>
      <c r="B526" s="0" t="s">
        <v>49</v>
      </c>
      <c r="C526" s="14" t="n">
        <f aca="false">C520/C523</f>
        <v>0.744429258292046</v>
      </c>
      <c r="D526" s="14" t="n">
        <f aca="false">D520/D523</f>
        <v>0.813373333333333</v>
      </c>
      <c r="E526" s="14" t="n">
        <f aca="false">E520/E523</f>
        <v>0.870623599346042</v>
      </c>
      <c r="F526" s="14" t="n">
        <f aca="false">F520/F523</f>
        <v>0.908617176903293</v>
      </c>
      <c r="G526" s="14" t="n">
        <f aca="false">G520/G523</f>
        <v>0.919076784130882</v>
      </c>
    </row>
    <row r="527" customFormat="false" ht="17.15" hidden="false" customHeight="false" outlineLevel="0" collapsed="false">
      <c r="A527" s="4" t="s">
        <v>766</v>
      </c>
      <c r="B527" s="0" t="s">
        <v>239</v>
      </c>
      <c r="D527" s="22" t="n">
        <f aca="false">gm_opt*D515+gm_oth*(D517+D518+D519)+gm_att*D503+gm_co*D521+m_hbm*D500</f>
        <v>6.45404607982713</v>
      </c>
      <c r="E527" s="22" t="n">
        <f aca="false">gm_opt*E515+gm_oth*(E517+E518+E519)+gm_att*E503+gm_co*E521+m_hbm*E500</f>
        <v>9.05419061270881</v>
      </c>
      <c r="F527" s="22" t="n">
        <f aca="false">gm_opt*F515+gm_oth*(F517+F518+F519)+gm_att*F503+gm_co*F521+m_hbm*F500</f>
        <v>9.98203284640483</v>
      </c>
      <c r="G527" s="22" t="n">
        <f aca="false">gm_opt*G515+gm_oth*(G517+G518+G519)+gm_att*G503+gm_co*G521+m_hbm*G500</f>
        <v>11.7887326315591</v>
      </c>
    </row>
    <row r="528" customFormat="false" ht="17.15" hidden="false" customHeight="false" outlineLevel="0" collapsed="false">
      <c r="A528" s="0" t="s">
        <v>767</v>
      </c>
      <c r="B528" s="0" t="s">
        <v>80</v>
      </c>
      <c r="D528" s="16" t="n">
        <f aca="false">(a27_gp-D527)/D501</f>
        <v>0.435994625937743</v>
      </c>
      <c r="H528" s="7" t="s">
        <v>768</v>
      </c>
    </row>
    <row r="529" customFormat="false" ht="15" hidden="false" customHeight="false" outlineLevel="0" collapsed="false">
      <c r="A529" s="4" t="s">
        <v>769</v>
      </c>
      <c r="B529" s="0" t="s">
        <v>239</v>
      </c>
      <c r="C529" s="22" t="n">
        <f aca="false">a26_gp</f>
        <v>4.8718</v>
      </c>
      <c r="D529" s="22" t="n">
        <f aca="false">a27_gp</f>
        <v>7.006682</v>
      </c>
      <c r="E529" s="22" t="n">
        <f aca="false">E527+$D$528*E501</f>
        <v>9.95546181061931</v>
      </c>
      <c r="F529" s="22" t="n">
        <f aca="false">F527+$D$528*F501</f>
        <v>12.4559599783645</v>
      </c>
      <c r="G529" s="22" t="n">
        <f aca="false">G527+$D$528*G501</f>
        <v>14.6337488333127</v>
      </c>
    </row>
    <row r="530" customFormat="false" ht="15" hidden="false" customHeight="false" outlineLevel="0" collapsed="false">
      <c r="A530" s="4" t="s">
        <v>621</v>
      </c>
      <c r="B530" s="0" t="s">
        <v>49</v>
      </c>
      <c r="C530" s="14" t="n">
        <f aca="false">C529/C523</f>
        <v>0.59451346008347</v>
      </c>
      <c r="D530" s="14" t="n">
        <f aca="false">D529/D523</f>
        <v>0.583890166666667</v>
      </c>
      <c r="E530" s="14" t="n">
        <f aca="false">E529/E523</f>
        <v>0.558372865573249</v>
      </c>
      <c r="F530" s="14" t="n">
        <f aca="false">F529/F523</f>
        <v>0.479084786715226</v>
      </c>
      <c r="G530" s="14" t="n">
        <f aca="false">G529/G523</f>
        <v>0.483907229626617</v>
      </c>
    </row>
    <row r="531" customFormat="false" ht="17.15" hidden="false" customHeight="false" outlineLevel="0" collapsed="false">
      <c r="A531" s="4" t="s">
        <v>770</v>
      </c>
      <c r="B531" s="0" t="s">
        <v>49</v>
      </c>
      <c r="C531" s="14" t="n">
        <f aca="false">C504/C523</f>
        <v>0.183047372660044</v>
      </c>
      <c r="D531" s="14" t="n">
        <f aca="false">D504/D523</f>
        <v>0.15625</v>
      </c>
      <c r="E531" s="14" t="n">
        <f aca="false">E504/E523</f>
        <v>0.235929911647617</v>
      </c>
      <c r="F531" s="14" t="n">
        <f aca="false">F504/F523</f>
        <v>0.456056858506868</v>
      </c>
      <c r="G531" s="14" t="n">
        <f aca="false">G504/G523</f>
        <v>0.459364548449442</v>
      </c>
    </row>
    <row r="532" customFormat="false" ht="15" hidden="false" customHeight="false" outlineLevel="0" collapsed="false">
      <c r="A532" s="4" t="s">
        <v>771</v>
      </c>
      <c r="B532" s="0" t="s">
        <v>239</v>
      </c>
      <c r="C532" s="22" t="n">
        <f aca="false">a26_opx</f>
        <v>1.9808</v>
      </c>
      <c r="D532" s="22" t="n">
        <f aca="false">a27_opx</f>
        <v>2.55</v>
      </c>
      <c r="E532" s="22" t="n">
        <f aca="false">D532*(1+MAX(g_opx_min,phi*E525))</f>
        <v>3.16937539428488</v>
      </c>
      <c r="F532" s="22" t="n">
        <f aca="false">E532*(1+MAX(g_opx_min,phi*F525))</f>
        <v>3.89553583001234</v>
      </c>
      <c r="G532" s="22" t="n">
        <f aca="false">F532*(1+MAX(g_opx_min,phi*G525))</f>
        <v>4.21327732124722</v>
      </c>
    </row>
    <row r="533" customFormat="false" ht="15" hidden="false" customHeight="false" outlineLevel="0" collapsed="false">
      <c r="A533" s="4" t="s">
        <v>772</v>
      </c>
      <c r="B533" s="0" t="s">
        <v>239</v>
      </c>
      <c r="C533" s="22" t="n">
        <f aca="false">C532</f>
        <v>1.9808</v>
      </c>
      <c r="D533" s="22" t="n">
        <f aca="false">D532</f>
        <v>2.55</v>
      </c>
      <c r="E533" s="22" t="n">
        <f aca="false">E532+0*E523</f>
        <v>3.16937539428488</v>
      </c>
      <c r="F533" s="22" t="n">
        <f aca="false">F532+0*F523</f>
        <v>3.89553583001234</v>
      </c>
      <c r="G533" s="22" t="n">
        <f aca="false">G532+0*G523</f>
        <v>4.21327732124722</v>
      </c>
    </row>
    <row r="534" customFormat="false" ht="15" hidden="false" customHeight="false" outlineLevel="0" collapsed="false">
      <c r="A534" s="4" t="s">
        <v>773</v>
      </c>
      <c r="B534" s="0" t="s">
        <v>239</v>
      </c>
      <c r="C534" s="22" t="n">
        <f aca="false">C529-C533</f>
        <v>2.891</v>
      </c>
      <c r="D534" s="22" t="n">
        <f aca="false">D529-D533</f>
        <v>4.456682</v>
      </c>
      <c r="E534" s="22" t="n">
        <f aca="false">E529-E533</f>
        <v>6.78608641633443</v>
      </c>
      <c r="F534" s="22" t="n">
        <f aca="false">F529-F533</f>
        <v>8.56042414835216</v>
      </c>
      <c r="G534" s="22" t="n">
        <f aca="false">G529-G533</f>
        <v>10.4204715120655</v>
      </c>
    </row>
    <row r="535" customFormat="false" ht="15" hidden="false" customHeight="false" outlineLevel="0" collapsed="false">
      <c r="A535" s="4" t="s">
        <v>627</v>
      </c>
      <c r="B535" s="0" t="s">
        <v>49</v>
      </c>
      <c r="C535" s="14" t="n">
        <f aca="false">C534/C523</f>
        <v>0.352793302906792</v>
      </c>
      <c r="D535" s="14" t="n">
        <f aca="false">D534/D523</f>
        <v>0.371390166666667</v>
      </c>
      <c r="E535" s="14" t="n">
        <f aca="false">E534/E523</f>
        <v>0.380611827999232</v>
      </c>
      <c r="F535" s="14" t="n">
        <f aca="false">F534/F523</f>
        <v>0.329253544843491</v>
      </c>
      <c r="G535" s="14" t="n">
        <f aca="false">G534/G523</f>
        <v>0.344583029150241</v>
      </c>
    </row>
    <row r="536" customFormat="false" ht="15" hidden="false" customHeight="false" outlineLevel="0" collapsed="false">
      <c r="A536" s="4" t="s">
        <v>774</v>
      </c>
      <c r="B536" s="0" t="s">
        <v>239</v>
      </c>
      <c r="C536" s="22" t="n">
        <f aca="false">a26_oth</f>
        <v>0.1514</v>
      </c>
      <c r="D536" s="22" t="n">
        <f aca="false">a27_oth</f>
        <v>0.1424</v>
      </c>
      <c r="E536" s="22" t="n">
        <f aca="false">int_f</f>
        <v>0.15</v>
      </c>
      <c r="F536" s="22" t="n">
        <f aca="false">int_f</f>
        <v>0.15</v>
      </c>
      <c r="G536" s="22" t="n">
        <f aca="false">int_f</f>
        <v>0.15</v>
      </c>
    </row>
    <row r="537" customFormat="false" ht="15" hidden="false" customHeight="false" outlineLevel="0" collapsed="false">
      <c r="A537" s="4" t="s">
        <v>775</v>
      </c>
      <c r="B537" s="0" t="s">
        <v>49</v>
      </c>
      <c r="C537" s="14" t="n">
        <f aca="false">a26_tax/(a26_oi-a26_oth)</f>
        <v>0.1</v>
      </c>
      <c r="D537" s="14" t="n">
        <f aca="false">a27_tax/(a27_oi-a27_oth)</f>
        <v>0.11</v>
      </c>
      <c r="E537" s="14" t="n">
        <f aca="false">tx_f</f>
        <v>0.13</v>
      </c>
      <c r="F537" s="14" t="n">
        <f aca="false">tx_f</f>
        <v>0.13</v>
      </c>
      <c r="G537" s="14" t="n">
        <f aca="false">tx_f</f>
        <v>0.13</v>
      </c>
    </row>
    <row r="538" customFormat="false" ht="17.15" hidden="false" customHeight="false" outlineLevel="0" collapsed="false">
      <c r="A538" s="4" t="s">
        <v>708</v>
      </c>
      <c r="B538" s="0" t="s">
        <v>239</v>
      </c>
      <c r="C538" s="22" t="n">
        <f aca="false">a26_ni</f>
        <v>2.46564</v>
      </c>
      <c r="D538" s="22" t="n">
        <f aca="false">a27_ni</f>
        <v>3.83971098</v>
      </c>
      <c r="E538" s="22" t="n">
        <f aca="false">(E534-E536)*(1-E537)</f>
        <v>5.77339518221096</v>
      </c>
      <c r="F538" s="22" t="n">
        <f aca="false">(F534-F536)*(1-F537)</f>
        <v>7.31706900906638</v>
      </c>
      <c r="G538" s="22" t="n">
        <f aca="false">(G534-G536)*(1-G537)</f>
        <v>8.935310215497</v>
      </c>
    </row>
    <row r="539" customFormat="false" ht="15" hidden="false" customHeight="false" outlineLevel="0" collapsed="false">
      <c r="A539" s="4" t="s">
        <v>776</v>
      </c>
      <c r="B539" s="4" t="s">
        <v>370</v>
      </c>
      <c r="C539" s="16" t="n">
        <f aca="false">a26_sh</f>
        <v>0.8697</v>
      </c>
      <c r="D539" s="16" t="n">
        <f aca="false">a27_sh</f>
        <v>0.915125</v>
      </c>
      <c r="E539" s="16" t="n">
        <f aca="false">D539*(1+sh_g)</f>
        <v>0.919700625</v>
      </c>
      <c r="F539" s="16" t="n">
        <f aca="false">E539*(1+sh_g)</f>
        <v>0.924299128125</v>
      </c>
      <c r="G539" s="16" t="n">
        <f aca="false">F539*(1+sh_g)</f>
        <v>0.928920623765625</v>
      </c>
    </row>
    <row r="540" customFormat="false" ht="17.15" hidden="false" customHeight="false" outlineLevel="0" collapsed="false">
      <c r="A540" s="0" t="s">
        <v>709</v>
      </c>
      <c r="B540" s="0" t="s">
        <v>253</v>
      </c>
      <c r="C540" s="22" t="n">
        <f aca="false">C538/C539</f>
        <v>2.83504656778199</v>
      </c>
      <c r="D540" s="22" t="n">
        <f aca="false">D538/D539</f>
        <v>4.19583224149706</v>
      </c>
      <c r="E540" s="22" t="n">
        <f aca="false">E538/E539</f>
        <v>6.27747228312578</v>
      </c>
      <c r="F540" s="22" t="n">
        <f aca="false">F538/F539</f>
        <v>7.91634308247107</v>
      </c>
      <c r="G540" s="22" t="n">
        <f aca="false">G538/G539</f>
        <v>9.61902447517568</v>
      </c>
    </row>
    <row r="541" customFormat="false" ht="17.15" hidden="false" customHeight="false" outlineLevel="0" collapsed="false">
      <c r="A541" s="0" t="s">
        <v>777</v>
      </c>
      <c r="B541" s="0" t="s">
        <v>49</v>
      </c>
      <c r="D541" s="14" t="n">
        <f aca="false">D540/C540-1</f>
        <v>0.479987062357033</v>
      </c>
      <c r="E541" s="14" t="n">
        <f aca="false">E540/D540-1</f>
        <v>0.496120893738591</v>
      </c>
      <c r="F541" s="14" t="n">
        <f aca="false">F540/E540-1</f>
        <v>0.261071769882708</v>
      </c>
      <c r="G541" s="14" t="n">
        <f aca="false">G540/F540-1</f>
        <v>0.215084335654275</v>
      </c>
    </row>
    <row r="544" customFormat="false" ht="17.15" hidden="false" customHeight="false" outlineLevel="0" collapsed="false">
      <c r="A544" s="3" t="s">
        <v>1177</v>
      </c>
    </row>
    <row r="545" customFormat="false" ht="17.15" hidden="false" customHeight="false" outlineLevel="0" collapsed="false">
      <c r="A545" s="5" t="s">
        <v>25</v>
      </c>
      <c r="B545" s="5" t="s">
        <v>26</v>
      </c>
      <c r="C545" s="11" t="s">
        <v>698</v>
      </c>
      <c r="D545" s="11" t="s">
        <v>699</v>
      </c>
      <c r="E545" s="11" t="s">
        <v>700</v>
      </c>
      <c r="F545" s="11" t="s">
        <v>701</v>
      </c>
      <c r="G545" s="11" t="s">
        <v>702</v>
      </c>
      <c r="H545" s="5" t="s">
        <v>555</v>
      </c>
    </row>
    <row r="546" customFormat="false" ht="17.15" hidden="false" customHeight="false" outlineLevel="0" collapsed="false">
      <c r="A546" s="1" t="s">
        <v>717</v>
      </c>
    </row>
    <row r="547" customFormat="false" ht="17.15" hidden="false" customHeight="false" outlineLevel="0" collapsed="false">
      <c r="A547" s="0" t="s">
        <v>718</v>
      </c>
      <c r="B547" s="4" t="s">
        <v>36</v>
      </c>
      <c r="D547" s="22" t="n">
        <f aca="false">u_trn_26</f>
        <v>2</v>
      </c>
      <c r="E547" s="22" t="n">
        <f aca="false">u_trn_27</f>
        <v>2.5</v>
      </c>
      <c r="F547" s="22" t="n">
        <f aca="false">u_trn_28*um28_A</f>
        <v>3</v>
      </c>
      <c r="G547" s="22" t="n">
        <f aca="false">u_trn_28*(1+g29_trn)*um29_A</f>
        <v>3.45</v>
      </c>
    </row>
    <row r="548" customFormat="false" ht="17.15" hidden="false" customHeight="false" outlineLevel="0" collapsed="false">
      <c r="A548" s="4" t="s">
        <v>719</v>
      </c>
      <c r="B548" s="4" t="s">
        <v>36</v>
      </c>
      <c r="D548" s="22" t="n">
        <f aca="false">u_oth_26</f>
        <v>1</v>
      </c>
      <c r="E548" s="22" t="n">
        <f aca="false">u_oth_27</f>
        <v>4.5</v>
      </c>
      <c r="F548" s="22" t="n">
        <f aca="false">u_oth_28*um28_A</f>
        <v>5</v>
      </c>
      <c r="G548" s="22" t="n">
        <f aca="false">u_oth_28*(1+g29_oth)*um29_A</f>
        <v>5.75</v>
      </c>
    </row>
    <row r="549" customFormat="false" ht="17.15" hidden="false" customHeight="false" outlineLevel="0" collapsed="false">
      <c r="A549" s="0" t="s">
        <v>720</v>
      </c>
      <c r="B549" s="4" t="s">
        <v>36</v>
      </c>
      <c r="D549" s="22" t="n">
        <f aca="false">u_tpu_26</f>
        <v>3.85</v>
      </c>
      <c r="E549" s="22" t="n">
        <f aca="false">u_tpu_27</f>
        <v>5.5</v>
      </c>
      <c r="F549" s="22" t="n">
        <f aca="false">u_tpu_28*um28_A</f>
        <v>7</v>
      </c>
      <c r="G549" s="22" t="n">
        <f aca="false">u_tpu_28*(1+g29_tpu)*um29_A</f>
        <v>8.05</v>
      </c>
    </row>
    <row r="550" customFormat="false" ht="17.15" hidden="false" customHeight="false" outlineLevel="0" collapsed="false">
      <c r="A550" s="0" t="s">
        <v>658</v>
      </c>
      <c r="B550" s="0" t="s">
        <v>49</v>
      </c>
      <c r="D550" s="14" t="n">
        <f aca="false">msh_trn_26</f>
        <v>0.1</v>
      </c>
      <c r="E550" s="14" t="n">
        <f aca="false">MIN(1,MAX(0,msh_trn_27+0))</f>
        <v>0.1</v>
      </c>
      <c r="F550" s="14" t="n">
        <f aca="false">MIN(1,MAX(0,msh_trn_28+0))</f>
        <v>0.08</v>
      </c>
      <c r="G550" s="14" t="n">
        <f aca="false">MIN(1,MAX(0,msh_trn_28+0))</f>
        <v>0.08</v>
      </c>
    </row>
    <row r="551" customFormat="false" ht="17.15" hidden="false" customHeight="false" outlineLevel="0" collapsed="false">
      <c r="A551" s="0" t="s">
        <v>666</v>
      </c>
      <c r="B551" s="0" t="s">
        <v>49</v>
      </c>
      <c r="D551" s="14" t="n">
        <f aca="false">msh_oth_26</f>
        <v>0.05</v>
      </c>
      <c r="E551" s="14" t="n">
        <f aca="false">MIN(1,MAX(0,msh_oth_27+0))</f>
        <v>0.06</v>
      </c>
      <c r="F551" s="14" t="n">
        <f aca="false">MIN(1,MAX(0,msh_oth_28+0))</f>
        <v>0.15</v>
      </c>
      <c r="G551" s="14" t="n">
        <f aca="false">MIN(1,MAX(0,msh_oth_28+0))</f>
        <v>0.15</v>
      </c>
    </row>
    <row r="552" customFormat="false" ht="17.15" hidden="false" customHeight="false" outlineLevel="0" collapsed="false">
      <c r="A552" s="0" t="s">
        <v>670</v>
      </c>
      <c r="B552" s="0" t="s">
        <v>49</v>
      </c>
      <c r="D552" s="14" t="n">
        <f aca="false">msh_tpu_26</f>
        <v>0</v>
      </c>
      <c r="E552" s="14" t="n">
        <f aca="false">MIN(1,MAX(0,msh_tpu_27+0))</f>
        <v>0</v>
      </c>
      <c r="F552" s="14" t="n">
        <f aca="false">MIN(1,MAX(0,msh_tpu_28+0))</f>
        <v>0.05</v>
      </c>
      <c r="G552" s="14" t="n">
        <f aca="false">MIN(1,MAX(0,msh_tpu_28+0))</f>
        <v>0.05</v>
      </c>
    </row>
    <row r="553" customFormat="false" ht="17.15" hidden="false" customHeight="false" outlineLevel="0" collapsed="false">
      <c r="A553" s="0" t="s">
        <v>660</v>
      </c>
      <c r="B553" s="4" t="s">
        <v>36</v>
      </c>
      <c r="D553" s="16" t="n">
        <f aca="false">D547*D550</f>
        <v>0.2</v>
      </c>
      <c r="E553" s="16" t="n">
        <f aca="false">E547*E550*1</f>
        <v>0.25</v>
      </c>
      <c r="F553" s="16" t="n">
        <f aca="false">F547*F550*1</f>
        <v>0.24</v>
      </c>
      <c r="G553" s="16" t="n">
        <f aca="false">G547*G550*1</f>
        <v>0.276</v>
      </c>
    </row>
    <row r="554" customFormat="false" ht="17.15" hidden="false" customHeight="false" outlineLevel="0" collapsed="false">
      <c r="A554" s="0" t="s">
        <v>667</v>
      </c>
      <c r="B554" s="4" t="s">
        <v>36</v>
      </c>
      <c r="D554" s="16" t="n">
        <f aca="false">D548*D551</f>
        <v>0.05</v>
      </c>
      <c r="E554" s="16" t="n">
        <f aca="false">E548*E551*1</f>
        <v>0.27</v>
      </c>
      <c r="F554" s="16" t="n">
        <f aca="false">F548*F551*1</f>
        <v>0.75</v>
      </c>
      <c r="G554" s="16" t="n">
        <f aca="false">G548*G551*1</f>
        <v>0.8625</v>
      </c>
    </row>
    <row r="555" customFormat="false" ht="17.15" hidden="false" customHeight="false" outlineLevel="0" collapsed="false">
      <c r="A555" s="0" t="s">
        <v>671</v>
      </c>
      <c r="B555" s="4" t="s">
        <v>36</v>
      </c>
      <c r="D555" s="16" t="n">
        <f aca="false">D549*D552</f>
        <v>0</v>
      </c>
      <c r="E555" s="16" t="n">
        <f aca="false">E549*E552*1</f>
        <v>0</v>
      </c>
      <c r="F555" s="16" t="n">
        <f aca="false">F549*F552*1</f>
        <v>0.35</v>
      </c>
      <c r="G555" s="16" t="n">
        <f aca="false">G549*G552*1</f>
        <v>0.4025</v>
      </c>
    </row>
    <row r="556" customFormat="false" ht="17.15" hidden="false" customHeight="false" outlineLevel="0" collapsed="false">
      <c r="A556" s="4" t="s">
        <v>721</v>
      </c>
      <c r="B556" s="0" t="s">
        <v>100</v>
      </c>
      <c r="D556" s="23" t="n">
        <f aca="false">gb_trn_26</f>
        <v>110</v>
      </c>
      <c r="E556" s="23" t="n">
        <f aca="false">gb_trn_27</f>
        <v>144</v>
      </c>
      <c r="F556" s="23" t="n">
        <f aca="false">gb_trn_28</f>
        <v>200</v>
      </c>
      <c r="G556" s="23" t="n">
        <f aca="false">gb_trn_28</f>
        <v>200</v>
      </c>
    </row>
    <row r="557" customFormat="false" ht="17.15" hidden="false" customHeight="false" outlineLevel="0" collapsed="false">
      <c r="A557" s="4" t="s">
        <v>722</v>
      </c>
      <c r="B557" s="0" t="s">
        <v>100</v>
      </c>
      <c r="D557" s="23" t="n">
        <f aca="false">gb_oth_26</f>
        <v>150</v>
      </c>
      <c r="E557" s="23" t="n">
        <f aca="false">gb_oth_27</f>
        <v>200</v>
      </c>
      <c r="F557" s="23" t="n">
        <f aca="false">gb_oth_28</f>
        <v>250</v>
      </c>
      <c r="G557" s="23" t="n">
        <f aca="false">gb_oth_28</f>
        <v>250</v>
      </c>
    </row>
    <row r="558" customFormat="false" ht="17.15" hidden="false" customHeight="false" outlineLevel="0" collapsed="false">
      <c r="A558" s="4" t="s">
        <v>723</v>
      </c>
      <c r="B558" s="0" t="s">
        <v>100</v>
      </c>
      <c r="D558" s="23" t="n">
        <f aca="false">gb_tpu_26</f>
        <v>192</v>
      </c>
      <c r="E558" s="23" t="n">
        <f aca="false">gb_tpu_27</f>
        <v>250</v>
      </c>
      <c r="F558" s="23" t="n">
        <f aca="false">gb_tpu_28</f>
        <v>288</v>
      </c>
      <c r="G558" s="23" t="n">
        <f aca="false">gb_tpu_28</f>
        <v>288</v>
      </c>
    </row>
    <row r="559" customFormat="false" ht="17.15" hidden="false" customHeight="false" outlineLevel="0" collapsed="false">
      <c r="A559" s="0" t="s">
        <v>724</v>
      </c>
      <c r="B559" s="0" t="s">
        <v>200</v>
      </c>
      <c r="D559" s="22" t="n">
        <f aca="false">hbm_A_26</f>
        <v>14.6</v>
      </c>
      <c r="E559" s="22" t="n">
        <f aca="false">hbm_A_27</f>
        <v>26.28</v>
      </c>
      <c r="F559" s="22" t="n">
        <f aca="false">hbm_A_28</f>
        <v>28.908</v>
      </c>
      <c r="G559" s="22" t="n">
        <f aca="false">hbm_A_29</f>
        <v>27.4626</v>
      </c>
    </row>
    <row r="560" customFormat="false" ht="17.15" hidden="false" customHeight="false" outlineLevel="0" collapsed="false">
      <c r="A560" s="4" t="s">
        <v>725</v>
      </c>
      <c r="B560" s="0" t="s">
        <v>122</v>
      </c>
      <c r="D560" s="22" t="n">
        <f aca="false">core_trn</f>
        <v>6.394</v>
      </c>
      <c r="E560" s="22" t="n">
        <f aca="false">core_trn*pfc_hi</f>
        <v>7.6728</v>
      </c>
      <c r="F560" s="22" t="n">
        <f aca="false">core_trn*pfc_hi</f>
        <v>7.6728</v>
      </c>
      <c r="G560" s="22" t="n">
        <f aca="false">core_trn*pfc_hi</f>
        <v>7.6728</v>
      </c>
    </row>
    <row r="561" customFormat="false" ht="17.15" hidden="false" customHeight="false" outlineLevel="0" collapsed="false">
      <c r="A561" s="4" t="s">
        <v>726</v>
      </c>
      <c r="B561" s="0" t="s">
        <v>122</v>
      </c>
      <c r="D561" s="22" t="n">
        <f aca="false">core_oth</f>
        <v>6</v>
      </c>
      <c r="E561" s="22" t="n">
        <f aca="false">core_oth*pfc_hi</f>
        <v>7.2</v>
      </c>
      <c r="F561" s="22" t="n">
        <f aca="false">core_oth*pfc_hi</f>
        <v>7.2</v>
      </c>
      <c r="G561" s="22" t="n">
        <f aca="false">core_oth*pfc_hi</f>
        <v>7.2</v>
      </c>
    </row>
    <row r="562" customFormat="false" ht="17.15" hidden="false" customHeight="false" outlineLevel="0" collapsed="false">
      <c r="A562" s="4" t="s">
        <v>727</v>
      </c>
      <c r="B562" s="0" t="s">
        <v>122</v>
      </c>
      <c r="D562" s="22" t="n">
        <f aca="false">core_tpu</f>
        <v>8</v>
      </c>
      <c r="E562" s="22" t="n">
        <f aca="false">core_tpu*pfc_hi</f>
        <v>9.6</v>
      </c>
      <c r="F562" s="22" t="n">
        <f aca="false">core_tpu*pfc_hi</f>
        <v>9.6</v>
      </c>
      <c r="G562" s="22" t="n">
        <f aca="false">core_tpu*pfc_hi</f>
        <v>9.6</v>
      </c>
    </row>
    <row r="563" customFormat="false" ht="17.15" hidden="false" customHeight="false" outlineLevel="0" collapsed="false">
      <c r="A563" s="4" t="s">
        <v>728</v>
      </c>
      <c r="B563" s="0" t="s">
        <v>122</v>
      </c>
      <c r="D563" s="22" t="n">
        <f aca="false">D556*D559/1000</f>
        <v>1.606</v>
      </c>
      <c r="E563" s="22" t="n">
        <f aca="false">E556*E559/1000</f>
        <v>3.78432</v>
      </c>
      <c r="F563" s="22" t="n">
        <f aca="false">F556*F559/1000</f>
        <v>5.7816</v>
      </c>
      <c r="G563" s="22" t="n">
        <f aca="false">G556*G559/1000</f>
        <v>5.49252</v>
      </c>
    </row>
    <row r="564" customFormat="false" ht="17.15" hidden="false" customHeight="false" outlineLevel="0" collapsed="false">
      <c r="A564" s="4" t="s">
        <v>729</v>
      </c>
      <c r="B564" s="0" t="s">
        <v>122</v>
      </c>
      <c r="D564" s="22" t="n">
        <f aca="false">D557*D559/1000</f>
        <v>2.19</v>
      </c>
      <c r="E564" s="22" t="n">
        <f aca="false">E557*E559/1000</f>
        <v>5.256</v>
      </c>
      <c r="F564" s="22" t="n">
        <f aca="false">F557*F559/1000</f>
        <v>7.227</v>
      </c>
      <c r="G564" s="22" t="n">
        <f aca="false">G557*G559/1000</f>
        <v>6.86565</v>
      </c>
    </row>
    <row r="565" customFormat="false" ht="17.15" hidden="false" customHeight="false" outlineLevel="0" collapsed="false">
      <c r="A565" s="4" t="s">
        <v>730</v>
      </c>
      <c r="B565" s="0" t="s">
        <v>122</v>
      </c>
      <c r="D565" s="22" t="n">
        <f aca="false">D558*D559/1000</f>
        <v>2.8032</v>
      </c>
      <c r="E565" s="22" t="n">
        <f aca="false">E558*E559/1000</f>
        <v>6.57</v>
      </c>
      <c r="F565" s="22" t="n">
        <f aca="false">F558*F559/1000</f>
        <v>8.325504</v>
      </c>
      <c r="G565" s="22" t="n">
        <f aca="false">G558*G559/1000</f>
        <v>7.9092288</v>
      </c>
    </row>
    <row r="566" customFormat="false" ht="17.15" hidden="false" customHeight="false" outlineLevel="0" collapsed="false">
      <c r="A566" s="4" t="s">
        <v>731</v>
      </c>
      <c r="B566" s="0" t="s">
        <v>122</v>
      </c>
      <c r="D566" s="22" t="n">
        <f aca="false">D560+f_hbm*D563</f>
        <v>7.3576</v>
      </c>
      <c r="E566" s="22" t="n">
        <f aca="false">E560+f_hbm*E563</f>
        <v>9.943392</v>
      </c>
      <c r="F566" s="22" t="n">
        <f aca="false">F560+f_hbm*F563</f>
        <v>11.14176</v>
      </c>
      <c r="G566" s="22" t="n">
        <f aca="false">G560+f_hbm*G563</f>
        <v>10.968312</v>
      </c>
      <c r="H566" s="4" t="s">
        <v>732</v>
      </c>
    </row>
    <row r="567" customFormat="false" ht="17.15" hidden="false" customHeight="false" outlineLevel="0" collapsed="false">
      <c r="A567" s="4" t="s">
        <v>733</v>
      </c>
      <c r="B567" s="0" t="s">
        <v>122</v>
      </c>
      <c r="D567" s="22" t="n">
        <f aca="false">D561+f_hbm*D564</f>
        <v>7.314</v>
      </c>
      <c r="E567" s="22" t="n">
        <f aca="false">E561+f_hbm*E564</f>
        <v>10.3536</v>
      </c>
      <c r="F567" s="22" t="n">
        <f aca="false">F561+f_hbm*F564</f>
        <v>11.5362</v>
      </c>
      <c r="G567" s="22" t="n">
        <f aca="false">G561+f_hbm*G564</f>
        <v>11.31939</v>
      </c>
    </row>
    <row r="568" customFormat="false" ht="17.15" hidden="false" customHeight="false" outlineLevel="0" collapsed="false">
      <c r="A568" s="4" t="s">
        <v>734</v>
      </c>
      <c r="B568" s="0" t="s">
        <v>122</v>
      </c>
      <c r="D568" s="22" t="n">
        <f aca="false">D562+f_hbm*D565</f>
        <v>9.68192</v>
      </c>
      <c r="E568" s="22" t="n">
        <f aca="false">E562+f_hbm*E565</f>
        <v>13.542</v>
      </c>
      <c r="F568" s="22" t="n">
        <f aca="false">F562+f_hbm*F565</f>
        <v>14.5953024</v>
      </c>
      <c r="G568" s="22" t="n">
        <f aca="false">G562+f_hbm*G565</f>
        <v>14.34553728</v>
      </c>
    </row>
    <row r="569" customFormat="false" ht="17.15" hidden="false" customHeight="false" outlineLevel="0" collapsed="false">
      <c r="A569" s="0" t="s">
        <v>735</v>
      </c>
      <c r="B569" s="0" t="s">
        <v>239</v>
      </c>
      <c r="D569" s="22" t="n">
        <f aca="false">D553*D566+D554*D567+D555*D568</f>
        <v>1.83722</v>
      </c>
      <c r="E569" s="22" t="n">
        <f aca="false">E553*E566+E554*E567+E555*E568</f>
        <v>5.28132</v>
      </c>
      <c r="F569" s="22" t="n">
        <f aca="false">F553*F566+F554*F567+F555*F568</f>
        <v>16.43452824</v>
      </c>
      <c r="G569" s="22" t="n">
        <f aca="false">G553*G566+G554*G567+G555*G568</f>
        <v>18.5643067422</v>
      </c>
    </row>
    <row r="570" customFormat="false" ht="17.15" hidden="false" customHeight="false" outlineLevel="0" collapsed="false">
      <c r="A570" s="0" t="s">
        <v>736</v>
      </c>
      <c r="B570" s="0" t="s">
        <v>80</v>
      </c>
      <c r="D570" s="16" t="n">
        <f aca="false">a27_xpu/D569</f>
        <v>0.802843426481314</v>
      </c>
      <c r="H570" s="7" t="s">
        <v>737</v>
      </c>
    </row>
    <row r="571" customFormat="false" ht="17.15" hidden="false" customHeight="false" outlineLevel="0" collapsed="false">
      <c r="A571" s="0" t="s">
        <v>738</v>
      </c>
      <c r="B571" s="0" t="s">
        <v>239</v>
      </c>
      <c r="D571" s="22" t="n">
        <f aca="false">D569*$D$570</f>
        <v>1.475</v>
      </c>
      <c r="E571" s="22" t="n">
        <f aca="false">E569*$D$570</f>
        <v>4.24007304514429</v>
      </c>
      <c r="F571" s="22" t="n">
        <f aca="false">F569*$D$570</f>
        <v>13.1943529648055</v>
      </c>
      <c r="G571" s="22" t="n">
        <f aca="false">G569*$D$570</f>
        <v>14.904231635158</v>
      </c>
    </row>
    <row r="572" customFormat="false" ht="17.15" hidden="false" customHeight="false" outlineLevel="0" collapsed="false">
      <c r="A572" s="4" t="s">
        <v>739</v>
      </c>
      <c r="B572" s="0" t="s">
        <v>239</v>
      </c>
      <c r="D572" s="22" t="n">
        <f aca="false">$D$570*f_hbm*(D553*D563+D554*D564+D555*D565)</f>
        <v>0.207470798271301</v>
      </c>
      <c r="E572" s="22" t="n">
        <f aca="false">$D$570*f_hbm*(E553*E563+E554*E564+E555*E565)</f>
        <v>1.13933116338816</v>
      </c>
      <c r="F572" s="22" t="n">
        <f aca="false">$D$570*f_hbm*(F553*F563+F554*F564+F555*F565)</f>
        <v>4.68303085857981</v>
      </c>
      <c r="G572" s="22" t="n">
        <f aca="false">$D$570*f_hbm*(G553*G563+G554*G564+G555*G565)</f>
        <v>5.11621121299844</v>
      </c>
    </row>
    <row r="573" customFormat="false" ht="15" hidden="false" customHeight="false" outlineLevel="0" collapsed="false">
      <c r="A573" s="4" t="s">
        <v>740</v>
      </c>
      <c r="B573" s="0" t="s">
        <v>239</v>
      </c>
      <c r="D573" s="22" t="n">
        <f aca="false">D571-D572</f>
        <v>1.2675292017287</v>
      </c>
      <c r="E573" s="22" t="n">
        <f aca="false">E571-E572</f>
        <v>3.10074188175613</v>
      </c>
      <c r="F573" s="22" t="n">
        <f aca="false">F571-F572</f>
        <v>8.51132210622571</v>
      </c>
      <c r="G573" s="22" t="n">
        <f aca="false">G571-G572</f>
        <v>9.78802042215957</v>
      </c>
    </row>
    <row r="574" customFormat="false" ht="17.15" hidden="false" customHeight="false" outlineLevel="0" collapsed="false">
      <c r="A574" s="0" t="s">
        <v>741</v>
      </c>
      <c r="B574" s="4" t="s">
        <v>36</v>
      </c>
      <c r="D574" s="16" t="n">
        <f aca="false">D553+D554+D555</f>
        <v>0.25</v>
      </c>
      <c r="E574" s="16" t="n">
        <f aca="false">E553+E554+E555</f>
        <v>0.52</v>
      </c>
      <c r="F574" s="16" t="n">
        <f aca="false">F553+F554+F555</f>
        <v>1.34</v>
      </c>
      <c r="G574" s="16" t="n">
        <f aca="false">G553+G554+G555</f>
        <v>1.541</v>
      </c>
    </row>
    <row r="575" customFormat="false" ht="17.15" hidden="false" customHeight="false" outlineLevel="0" collapsed="false">
      <c r="A575" s="0" t="s">
        <v>742</v>
      </c>
      <c r="B575" s="0" t="s">
        <v>239</v>
      </c>
      <c r="C575" s="22" t="n">
        <f aca="false">a26_att</f>
        <v>0.2</v>
      </c>
      <c r="D575" s="22" t="n">
        <f aca="false">a27_att</f>
        <v>0.4</v>
      </c>
      <c r="E575" s="22" t="n">
        <f aca="false">att28</f>
        <v>1</v>
      </c>
      <c r="F575" s="22" t="n">
        <f aca="false">att28*(1+g_att)*um28_A</f>
        <v>1.5</v>
      </c>
      <c r="G575" s="22" t="n">
        <f aca="false">att28*(1+g_att)^2*um29_A</f>
        <v>2.25</v>
      </c>
      <c r="H575" s="7" t="s">
        <v>743</v>
      </c>
    </row>
    <row r="576" customFormat="false" ht="17.15" hidden="false" customHeight="false" outlineLevel="0" collapsed="false">
      <c r="A576" s="4" t="s">
        <v>744</v>
      </c>
      <c r="B576" s="0" t="s">
        <v>239</v>
      </c>
      <c r="C576" s="22" t="n">
        <f aca="false">a26_cus</f>
        <v>1.5</v>
      </c>
      <c r="D576" s="22" t="n">
        <f aca="false">D571+D575</f>
        <v>1.875</v>
      </c>
      <c r="E576" s="22" t="n">
        <f aca="false">E571+E575</f>
        <v>5.24007304514429</v>
      </c>
      <c r="F576" s="22" t="n">
        <f aca="false">F571+F575</f>
        <v>14.6943529648055</v>
      </c>
      <c r="G576" s="22" t="n">
        <f aca="false">G571+G575</f>
        <v>17.154231635158</v>
      </c>
    </row>
    <row r="577" customFormat="false" ht="17.15" hidden="false" customHeight="false" outlineLevel="0" collapsed="false">
      <c r="A577" s="1" t="s">
        <v>745</v>
      </c>
    </row>
    <row r="578" customFormat="false" ht="17.15" hidden="false" customHeight="false" outlineLevel="0" collapsed="false">
      <c r="A578" s="0" t="s">
        <v>746</v>
      </c>
      <c r="B578" s="0" t="s">
        <v>239</v>
      </c>
      <c r="D578" s="22" t="n">
        <f aca="false">plug_26*1</f>
        <v>29.753262</v>
      </c>
      <c r="E578" s="22" t="n">
        <f aca="false">plug_27*1</f>
        <v>53.560715</v>
      </c>
      <c r="F578" s="22" t="n">
        <f aca="false">plug_28*um28_A</f>
        <v>57.9915</v>
      </c>
      <c r="G578" s="22" t="n">
        <f aca="false">plug_29*um29_A</f>
        <v>72.9348</v>
      </c>
    </row>
    <row r="579" customFormat="false" ht="17.15" hidden="false" customHeight="false" outlineLevel="0" collapsed="false">
      <c r="A579" s="4" t="s">
        <v>747</v>
      </c>
      <c r="B579" s="4" t="s">
        <v>680</v>
      </c>
      <c r="D579" s="19" t="n">
        <f aca="false">D578*1000/asp_26</f>
        <v>45.7742492307692</v>
      </c>
      <c r="E579" s="19" t="n">
        <f aca="false">E578*1000/asp_27</f>
        <v>66.95089375</v>
      </c>
      <c r="F579" s="19" t="n">
        <f aca="false">F578*1000/asp_28</f>
        <v>68.2252941176471</v>
      </c>
      <c r="G579" s="19" t="n">
        <f aca="false">G578*1000/asp_29</f>
        <v>85.8056470588235</v>
      </c>
    </row>
    <row r="580" customFormat="false" ht="17.15" hidden="false" customHeight="false" outlineLevel="0" collapsed="false">
      <c r="A580" s="4" t="s">
        <v>748</v>
      </c>
      <c r="B580" s="0" t="s">
        <v>49</v>
      </c>
      <c r="D580" s="14" t="n">
        <f aca="false">MIN(1,lpo_26)</f>
        <v>0.03</v>
      </c>
      <c r="E580" s="14" t="n">
        <f aca="false">MIN(1,lpo_27+0)</f>
        <v>0.06</v>
      </c>
      <c r="F580" s="14" t="n">
        <f aca="false">MIN(1,lpo_28+0)</f>
        <v>0.1</v>
      </c>
      <c r="G580" s="14" t="n">
        <f aca="false">MIN(1,lpo_29+0)</f>
        <v>0.15</v>
      </c>
    </row>
    <row r="581" customFormat="false" ht="15" hidden="false" customHeight="false" outlineLevel="0" collapsed="false">
      <c r="A581" s="4" t="s">
        <v>749</v>
      </c>
      <c r="B581" s="0" t="s">
        <v>253</v>
      </c>
      <c r="D581" s="23" t="n">
        <f aca="false">dsp_26</f>
        <v>125</v>
      </c>
      <c r="E581" s="23" t="n">
        <f aca="false">dsp_27*1</f>
        <v>135</v>
      </c>
      <c r="F581" s="23" t="n">
        <f aca="false">dsp_28*1</f>
        <v>135</v>
      </c>
      <c r="G581" s="23" t="n">
        <f aca="false">dsp_29*1</f>
        <v>130</v>
      </c>
    </row>
    <row r="582" customFormat="false" ht="17.15" hidden="false" customHeight="false" outlineLevel="0" collapsed="false">
      <c r="A582" s="4" t="s">
        <v>750</v>
      </c>
      <c r="B582" s="0" t="s">
        <v>239</v>
      </c>
      <c r="D582" s="22" t="n">
        <f aca="false">D579*(1-D580)*D581/1000</f>
        <v>5.55012771923077</v>
      </c>
      <c r="E582" s="22" t="n">
        <f aca="false">E579*(1-E580)*E581/1000</f>
        <v>8.496068416875</v>
      </c>
      <c r="F582" s="22" t="n">
        <f aca="false">F579*(1-F580)*F581/1000</f>
        <v>8.28937323529412</v>
      </c>
      <c r="G582" s="22" t="n">
        <f aca="false">G579*(1-G580)*G581/1000</f>
        <v>9.481524</v>
      </c>
    </row>
    <row r="583" customFormat="false" ht="17.15" hidden="false" customHeight="false" outlineLevel="0" collapsed="false">
      <c r="A583" s="0" t="s">
        <v>751</v>
      </c>
      <c r="B583" s="0" t="s">
        <v>49</v>
      </c>
      <c r="D583" s="14" t="n">
        <f aca="false">msh_dsp_26</f>
        <v>0.65</v>
      </c>
      <c r="E583" s="14" t="n">
        <f aca="false">msh_dsp_27+0</f>
        <v>0.63</v>
      </c>
      <c r="F583" s="14" t="n">
        <f aca="false">msh_dsp_28+0</f>
        <v>0.6</v>
      </c>
      <c r="G583" s="14" t="n">
        <f aca="false">msh_dsp_29+0</f>
        <v>0.58</v>
      </c>
    </row>
    <row r="584" customFormat="false" ht="17.15" hidden="false" customHeight="false" outlineLevel="0" collapsed="false">
      <c r="A584" s="0" t="s">
        <v>682</v>
      </c>
      <c r="B584" s="0" t="s">
        <v>239</v>
      </c>
      <c r="D584" s="22" t="n">
        <f aca="false">D582*D583</f>
        <v>3.6075830175</v>
      </c>
      <c r="E584" s="22" t="n">
        <f aca="false">E582*E583*1</f>
        <v>5.35252310263125</v>
      </c>
      <c r="F584" s="22" t="n">
        <f aca="false">F582*F583*1</f>
        <v>4.97362394117647</v>
      </c>
      <c r="G584" s="22" t="n">
        <f aca="false">G582*G583*1</f>
        <v>5.49928392</v>
      </c>
    </row>
    <row r="585" customFormat="false" ht="17.15" hidden="false" customHeight="false" outlineLevel="0" collapsed="false">
      <c r="A585" s="4" t="s">
        <v>752</v>
      </c>
      <c r="B585" s="0" t="s">
        <v>239</v>
      </c>
      <c r="D585" s="22" t="n">
        <f aca="false">coh27</f>
        <v>0.9</v>
      </c>
      <c r="E585" s="22" t="n">
        <f aca="false">D585*(1+g_coh)</f>
        <v>1.035</v>
      </c>
      <c r="F585" s="22" t="n">
        <f aca="false">E585*(1+g_coh)</f>
        <v>1.19025</v>
      </c>
      <c r="G585" s="22" t="n">
        <f aca="false">F585*(1+g_coh)</f>
        <v>1.3687875</v>
      </c>
    </row>
    <row r="586" customFormat="false" ht="17.15" hidden="false" customHeight="false" outlineLevel="0" collapsed="false">
      <c r="A586" s="4" t="s">
        <v>753</v>
      </c>
      <c r="B586" s="0" t="s">
        <v>80</v>
      </c>
      <c r="D586" s="16" t="n">
        <f aca="false">(a27_ic-D585)/D584</f>
        <v>1.44223430888795</v>
      </c>
      <c r="H586" s="7" t="s">
        <v>754</v>
      </c>
    </row>
    <row r="587" customFormat="false" ht="15" hidden="false" customHeight="false" outlineLevel="0" collapsed="false">
      <c r="A587" s="4" t="s">
        <v>755</v>
      </c>
      <c r="B587" s="0" t="s">
        <v>239</v>
      </c>
      <c r="C587" s="22" t="n">
        <f aca="false">a26_ic</f>
        <v>3.4503</v>
      </c>
      <c r="D587" s="22" t="n">
        <f aca="false">D584*$D$586+D585</f>
        <v>6.10298</v>
      </c>
      <c r="E587" s="22" t="n">
        <f aca="false">E584*$D$586+E585</f>
        <v>8.75459245773014</v>
      </c>
      <c r="F587" s="22" t="n">
        <f aca="false">F584*$D$586+F585</f>
        <v>8.36338108747118</v>
      </c>
      <c r="G587" s="22" t="n">
        <f aca="false">G584*$D$586+G585</f>
        <v>9.30004344373979</v>
      </c>
    </row>
    <row r="588" customFormat="false" ht="17.15" hidden="false" customHeight="false" outlineLevel="0" collapsed="false">
      <c r="A588" s="1" t="s">
        <v>756</v>
      </c>
    </row>
    <row r="589" customFormat="false" ht="15" hidden="false" customHeight="false" outlineLevel="0" collapsed="false">
      <c r="A589" s="4" t="s">
        <v>757</v>
      </c>
      <c r="B589" s="0" t="s">
        <v>239</v>
      </c>
      <c r="C589" s="22" t="n">
        <f aca="false">a26_sw</f>
        <v>0.3</v>
      </c>
      <c r="D589" s="22" t="n">
        <f aca="false">a27_sw</f>
        <v>0.65</v>
      </c>
      <c r="E589" s="22" t="n">
        <f aca="false">a27_sw*(1+g_sw28)</f>
        <v>1.17</v>
      </c>
      <c r="F589" s="22" t="n">
        <f aca="false">a27_sw*(1+g_sw28)*(1+g_sw)*um28_A</f>
        <v>1.638</v>
      </c>
      <c r="G589" s="22" t="n">
        <f aca="false">a27_sw*(1+g_sw28)*(1+g_sw)^2*um29_A</f>
        <v>2.2932</v>
      </c>
    </row>
    <row r="590" customFormat="false" ht="17.15" hidden="false" customHeight="false" outlineLevel="0" collapsed="false">
      <c r="A590" s="0" t="s">
        <v>758</v>
      </c>
      <c r="B590" s="0" t="s">
        <v>239</v>
      </c>
      <c r="C590" s="22" t="n">
        <f aca="false">a26_aec</f>
        <v>0.2</v>
      </c>
      <c r="D590" s="22" t="n">
        <f aca="false">a27_aec</f>
        <v>0.45</v>
      </c>
      <c r="E590" s="22" t="n">
        <f aca="false">a27_aec*(1+g_aec)</f>
        <v>0.675</v>
      </c>
      <c r="F590" s="22" t="n">
        <f aca="false">a27_aec*(1+g_aec)^2*um28_A</f>
        <v>1.0125</v>
      </c>
      <c r="G590" s="22" t="n">
        <f aca="false">a27_aec*(1+g_aec)^3*um29_A</f>
        <v>1.51875</v>
      </c>
    </row>
    <row r="591" customFormat="false" ht="15" hidden="false" customHeight="false" outlineLevel="0" collapsed="false">
      <c r="A591" s="4" t="s">
        <v>759</v>
      </c>
      <c r="B591" s="0" t="s">
        <v>239</v>
      </c>
      <c r="C591" s="22" t="n">
        <f aca="false">a26_sto</f>
        <v>0.65</v>
      </c>
      <c r="D591" s="22" t="n">
        <f aca="false">a27_sto</f>
        <v>0.6825</v>
      </c>
      <c r="E591" s="22" t="n">
        <f aca="false">D591*(1+g_sto)</f>
        <v>0.716625</v>
      </c>
      <c r="F591" s="22" t="n">
        <f aca="false">E591*(1+g_sto)</f>
        <v>0.75245625</v>
      </c>
      <c r="G591" s="22" t="n">
        <f aca="false">F591*(1+g_sto)</f>
        <v>0.7900790625</v>
      </c>
    </row>
    <row r="592" customFormat="false" ht="15" hidden="false" customHeight="false" outlineLevel="0" collapsed="false">
      <c r="A592" s="4" t="s">
        <v>760</v>
      </c>
      <c r="B592" s="0" t="s">
        <v>239</v>
      </c>
      <c r="C592" s="22" t="n">
        <f aca="false">a26_dc</f>
        <v>6.1003</v>
      </c>
      <c r="D592" s="22" t="n">
        <f aca="false">D576+D587+D589+D590+D591</f>
        <v>9.76048</v>
      </c>
      <c r="E592" s="22" t="n">
        <f aca="false">E576+E587+E589+E590+E591</f>
        <v>16.5562905028744</v>
      </c>
      <c r="F592" s="22" t="n">
        <f aca="false">F576+F587+F589+F590+F591</f>
        <v>26.4606903022767</v>
      </c>
      <c r="G592" s="22" t="n">
        <f aca="false">G576+G587+G589+G590+G591</f>
        <v>31.0563041413978</v>
      </c>
    </row>
    <row r="593" customFormat="false" ht="15" hidden="false" customHeight="false" outlineLevel="0" collapsed="false">
      <c r="A593" s="4" t="s">
        <v>761</v>
      </c>
      <c r="B593" s="0" t="s">
        <v>239</v>
      </c>
      <c r="C593" s="22" t="n">
        <f aca="false">a26_co</f>
        <v>2.0943</v>
      </c>
      <c r="D593" s="22" t="n">
        <f aca="false">a27_co</f>
        <v>2.23952</v>
      </c>
      <c r="E593" s="22" t="n">
        <f aca="false">D593*(1+g_co28)</f>
        <v>2.3067056</v>
      </c>
      <c r="F593" s="22" t="n">
        <f aca="false">E593*(1+g_co)</f>
        <v>2.375906768</v>
      </c>
      <c r="G593" s="22" t="n">
        <f aca="false">F593*(1+g_co)</f>
        <v>2.44718397104</v>
      </c>
    </row>
    <row r="594" customFormat="false" ht="17.15" hidden="false" customHeight="false" outlineLevel="0" collapsed="false">
      <c r="A594" s="1" t="s">
        <v>762</v>
      </c>
    </row>
    <row r="595" customFormat="false" ht="15" hidden="false" customHeight="false" outlineLevel="0" collapsed="false">
      <c r="A595" s="4" t="s">
        <v>597</v>
      </c>
      <c r="B595" s="0" t="s">
        <v>239</v>
      </c>
      <c r="C595" s="22" t="n">
        <f aca="false">a26_rev</f>
        <v>8.1946</v>
      </c>
      <c r="D595" s="22" t="n">
        <f aca="false">a27_rev</f>
        <v>12</v>
      </c>
      <c r="E595" s="22" t="n">
        <f aca="false">E592+E593</f>
        <v>18.8629961028744</v>
      </c>
      <c r="F595" s="22" t="n">
        <f aca="false">F592+F593</f>
        <v>28.8365970702767</v>
      </c>
      <c r="G595" s="22" t="n">
        <f aca="false">G592+G593</f>
        <v>33.5034881124378</v>
      </c>
    </row>
    <row r="596" customFormat="false" ht="17.15" hidden="false" customHeight="false" outlineLevel="0" collapsed="false">
      <c r="A596" s="4" t="s">
        <v>763</v>
      </c>
      <c r="B596" s="0" t="s">
        <v>239</v>
      </c>
      <c r="D596" s="22" t="n">
        <f aca="false">D592+D593</f>
        <v>12</v>
      </c>
      <c r="E596" s="22" t="n">
        <f aca="false">E592+E593</f>
        <v>18.8629961028744</v>
      </c>
      <c r="F596" s="22" t="n">
        <f aca="false">F592+F593</f>
        <v>28.8365970702767</v>
      </c>
      <c r="G596" s="22" t="n">
        <f aca="false">G592+G593</f>
        <v>33.5034881124378</v>
      </c>
    </row>
    <row r="597" customFormat="false" ht="15" hidden="false" customHeight="false" outlineLevel="0" collapsed="false">
      <c r="A597" s="4" t="s">
        <v>764</v>
      </c>
      <c r="B597" s="0" t="s">
        <v>49</v>
      </c>
      <c r="D597" s="14" t="n">
        <f aca="false">D595/C595-1</f>
        <v>0.464378981280355</v>
      </c>
      <c r="E597" s="14" t="n">
        <f aca="false">E595/D595-1</f>
        <v>0.571916341906203</v>
      </c>
      <c r="F597" s="14" t="n">
        <f aca="false">F595/E595-1</f>
        <v>0.528738961351026</v>
      </c>
      <c r="G597" s="14" t="n">
        <f aca="false">G595/F595-1</f>
        <v>0.161839173699572</v>
      </c>
    </row>
    <row r="598" customFormat="false" ht="17.15" hidden="false" customHeight="false" outlineLevel="0" collapsed="false">
      <c r="A598" s="4" t="s">
        <v>765</v>
      </c>
      <c r="B598" s="0" t="s">
        <v>49</v>
      </c>
      <c r="C598" s="14" t="n">
        <f aca="false">C592/C595</f>
        <v>0.744429258292046</v>
      </c>
      <c r="D598" s="14" t="n">
        <f aca="false">D592/D595</f>
        <v>0.813373333333333</v>
      </c>
      <c r="E598" s="14" t="n">
        <f aca="false">E592/E595</f>
        <v>0.877712660946344</v>
      </c>
      <c r="F598" s="14" t="n">
        <f aca="false">F592/F595</f>
        <v>0.917607935422832</v>
      </c>
      <c r="G598" s="14" t="n">
        <f aca="false">G592/G595</f>
        <v>0.926957337611319</v>
      </c>
    </row>
    <row r="599" customFormat="false" ht="17.15" hidden="false" customHeight="false" outlineLevel="0" collapsed="false">
      <c r="A599" s="4" t="s">
        <v>766</v>
      </c>
      <c r="B599" s="0" t="s">
        <v>239</v>
      </c>
      <c r="D599" s="22" t="n">
        <f aca="false">gm_opt*D587+gm_oth*(D589+D590+D591)+gm_att*D575+gm_co*D593+m_hbm*D572</f>
        <v>6.45404607982713</v>
      </c>
      <c r="E599" s="22" t="n">
        <f aca="false">gm_opt*E587+gm_oth*(E589+E590+E591)+gm_att*E575+gm_co*E593+m_hbm*E572</f>
        <v>9.05419061270881</v>
      </c>
      <c r="F599" s="22" t="n">
        <f aca="false">gm_opt*F587+gm_oth*(F589+F590+F591)+gm_att*F575+gm_co*F593+m_hbm*F572</f>
        <v>9.98203284640483</v>
      </c>
      <c r="G599" s="22" t="n">
        <f aca="false">gm_opt*G587+gm_oth*(G589+G590+G591)+gm_att*G575+gm_co*G593+m_hbm*G572</f>
        <v>11.7887326315591</v>
      </c>
    </row>
    <row r="600" customFormat="false" ht="17.15" hidden="false" customHeight="false" outlineLevel="0" collapsed="false">
      <c r="A600" s="0" t="s">
        <v>767</v>
      </c>
      <c r="B600" s="0" t="s">
        <v>80</v>
      </c>
      <c r="D600" s="16" t="n">
        <f aca="false">(a27_gp-D599)/D573</f>
        <v>0.435994625937743</v>
      </c>
      <c r="H600" s="7" t="s">
        <v>768</v>
      </c>
    </row>
    <row r="601" customFormat="false" ht="15" hidden="false" customHeight="false" outlineLevel="0" collapsed="false">
      <c r="A601" s="4" t="s">
        <v>769</v>
      </c>
      <c r="B601" s="0" t="s">
        <v>239</v>
      </c>
      <c r="C601" s="22" t="n">
        <f aca="false">a26_gp</f>
        <v>4.8718</v>
      </c>
      <c r="D601" s="22" t="n">
        <f aca="false">a27_gp</f>
        <v>7.006682</v>
      </c>
      <c r="E601" s="22" t="n">
        <f aca="false">E599+$D$600*E573</f>
        <v>10.4060974095746</v>
      </c>
      <c r="F601" s="22" t="n">
        <f aca="false">F599+$D$600*F573</f>
        <v>13.6929235443443</v>
      </c>
      <c r="G601" s="22" t="n">
        <f aca="false">G599+$D$600*G573</f>
        <v>16.0562569341896</v>
      </c>
    </row>
    <row r="602" customFormat="false" ht="15" hidden="false" customHeight="false" outlineLevel="0" collapsed="false">
      <c r="A602" s="4" t="s">
        <v>621</v>
      </c>
      <c r="B602" s="0" t="s">
        <v>49</v>
      </c>
      <c r="C602" s="14" t="n">
        <f aca="false">C601/C595</f>
        <v>0.59451346008347</v>
      </c>
      <c r="D602" s="14" t="n">
        <f aca="false">D601/D595</f>
        <v>0.583890166666667</v>
      </c>
      <c r="E602" s="14" t="n">
        <f aca="false">E601/E595</f>
        <v>0.551667261808363</v>
      </c>
      <c r="F602" s="14" t="n">
        <f aca="false">F601/F595</f>
        <v>0.474845333205363</v>
      </c>
      <c r="G602" s="14" t="n">
        <f aca="false">G601/G595</f>
        <v>0.479241351834911</v>
      </c>
    </row>
    <row r="603" customFormat="false" ht="17.15" hidden="false" customHeight="false" outlineLevel="0" collapsed="false">
      <c r="A603" s="4" t="s">
        <v>770</v>
      </c>
      <c r="B603" s="0" t="s">
        <v>49</v>
      </c>
      <c r="C603" s="14" t="n">
        <f aca="false">C576/C595</f>
        <v>0.183047372660044</v>
      </c>
      <c r="D603" s="14" t="n">
        <f aca="false">D576/D595</f>
        <v>0.15625</v>
      </c>
      <c r="E603" s="14" t="n">
        <f aca="false">E576/E595</f>
        <v>0.27779643364003</v>
      </c>
      <c r="F603" s="14" t="n">
        <f aca="false">F576/F595</f>
        <v>0.509573058464367</v>
      </c>
      <c r="G603" s="14" t="n">
        <f aca="false">G576/G595</f>
        <v>0.512013303736864</v>
      </c>
    </row>
    <row r="604" customFormat="false" ht="15" hidden="false" customHeight="false" outlineLevel="0" collapsed="false">
      <c r="A604" s="4" t="s">
        <v>771</v>
      </c>
      <c r="B604" s="0" t="s">
        <v>239</v>
      </c>
      <c r="C604" s="22" t="n">
        <f aca="false">a26_opx</f>
        <v>1.9808</v>
      </c>
      <c r="D604" s="22" t="n">
        <f aca="false">a27_opx</f>
        <v>2.55</v>
      </c>
      <c r="E604" s="22" t="n">
        <f aca="false">D604*(1+MAX(g_opx_min,phi*E597))</f>
        <v>3.27919333593041</v>
      </c>
      <c r="F604" s="22" t="n">
        <f aca="false">E604*(1+MAX(g_opx_min,phi*F597))</f>
        <v>4.14611197518493</v>
      </c>
      <c r="G604" s="22" t="n">
        <f aca="false">F604*(1+MAX(g_opx_min,phi*G597))</f>
        <v>4.48161364324985</v>
      </c>
    </row>
    <row r="605" customFormat="false" ht="15" hidden="false" customHeight="false" outlineLevel="0" collapsed="false">
      <c r="A605" s="4" t="s">
        <v>772</v>
      </c>
      <c r="B605" s="0" t="s">
        <v>239</v>
      </c>
      <c r="C605" s="22" t="n">
        <f aca="false">C604</f>
        <v>1.9808</v>
      </c>
      <c r="D605" s="22" t="n">
        <f aca="false">D604</f>
        <v>2.55</v>
      </c>
      <c r="E605" s="22" t="n">
        <f aca="false">E604+0*E595</f>
        <v>3.27919333593041</v>
      </c>
      <c r="F605" s="22" t="n">
        <f aca="false">F604+0*F595</f>
        <v>4.14611197518493</v>
      </c>
      <c r="G605" s="22" t="n">
        <f aca="false">G604+0*G595</f>
        <v>4.48161364324985</v>
      </c>
    </row>
    <row r="606" customFormat="false" ht="15" hidden="false" customHeight="false" outlineLevel="0" collapsed="false">
      <c r="A606" s="4" t="s">
        <v>773</v>
      </c>
      <c r="B606" s="0" t="s">
        <v>239</v>
      </c>
      <c r="C606" s="22" t="n">
        <f aca="false">C601-C605</f>
        <v>2.891</v>
      </c>
      <c r="D606" s="22" t="n">
        <f aca="false">D601-D605</f>
        <v>4.456682</v>
      </c>
      <c r="E606" s="22" t="n">
        <f aca="false">E601-E605</f>
        <v>7.12690407364415</v>
      </c>
      <c r="F606" s="22" t="n">
        <f aca="false">F601-F605</f>
        <v>9.54681156915941</v>
      </c>
      <c r="G606" s="22" t="n">
        <f aca="false">G601-G605</f>
        <v>11.5746432909397</v>
      </c>
    </row>
    <row r="607" customFormat="false" ht="15" hidden="false" customHeight="false" outlineLevel="0" collapsed="false">
      <c r="A607" s="4" t="s">
        <v>627</v>
      </c>
      <c r="B607" s="0" t="s">
        <v>49</v>
      </c>
      <c r="C607" s="14" t="n">
        <f aca="false">C606/C595</f>
        <v>0.352793302906792</v>
      </c>
      <c r="D607" s="14" t="n">
        <f aca="false">D606/D595</f>
        <v>0.371390166666667</v>
      </c>
      <c r="E607" s="14" t="n">
        <f aca="false">E606/E595</f>
        <v>0.377824606164135</v>
      </c>
      <c r="F607" s="14" t="n">
        <f aca="false">F606/F595</f>
        <v>0.331065817020406</v>
      </c>
      <c r="G607" s="14" t="n">
        <f aca="false">G606/G595</f>
        <v>0.345475768137788</v>
      </c>
    </row>
    <row r="608" customFormat="false" ht="15" hidden="false" customHeight="false" outlineLevel="0" collapsed="false">
      <c r="A608" s="4" t="s">
        <v>774</v>
      </c>
      <c r="B608" s="0" t="s">
        <v>239</v>
      </c>
      <c r="C608" s="22" t="n">
        <f aca="false">a26_oth</f>
        <v>0.1514</v>
      </c>
      <c r="D608" s="22" t="n">
        <f aca="false">a27_oth</f>
        <v>0.1424</v>
      </c>
      <c r="E608" s="22" t="n">
        <f aca="false">int_f</f>
        <v>0.15</v>
      </c>
      <c r="F608" s="22" t="n">
        <f aca="false">int_f</f>
        <v>0.15</v>
      </c>
      <c r="G608" s="22" t="n">
        <f aca="false">int_f</f>
        <v>0.15</v>
      </c>
    </row>
    <row r="609" customFormat="false" ht="15" hidden="false" customHeight="false" outlineLevel="0" collapsed="false">
      <c r="A609" s="4" t="s">
        <v>775</v>
      </c>
      <c r="B609" s="0" t="s">
        <v>49</v>
      </c>
      <c r="C609" s="14" t="n">
        <f aca="false">a26_tax/(a26_oi-a26_oth)</f>
        <v>0.1</v>
      </c>
      <c r="D609" s="14" t="n">
        <f aca="false">a27_tax/(a27_oi-a27_oth)</f>
        <v>0.11</v>
      </c>
      <c r="E609" s="14" t="n">
        <f aca="false">tx_f</f>
        <v>0.13</v>
      </c>
      <c r="F609" s="14" t="n">
        <f aca="false">tx_f</f>
        <v>0.13</v>
      </c>
      <c r="G609" s="14" t="n">
        <f aca="false">tx_f</f>
        <v>0.13</v>
      </c>
    </row>
    <row r="610" customFormat="false" ht="17.15" hidden="false" customHeight="false" outlineLevel="0" collapsed="false">
      <c r="A610" s="4" t="s">
        <v>708</v>
      </c>
      <c r="B610" s="0" t="s">
        <v>239</v>
      </c>
      <c r="C610" s="22" t="n">
        <f aca="false">a26_ni</f>
        <v>2.46564</v>
      </c>
      <c r="D610" s="22" t="n">
        <f aca="false">a27_ni</f>
        <v>3.83971098</v>
      </c>
      <c r="E610" s="22" t="n">
        <f aca="false">(E606-E608)*(1-E609)</f>
        <v>6.06990654407041</v>
      </c>
      <c r="F610" s="22" t="n">
        <f aca="false">(F606-F608)*(1-F609)</f>
        <v>8.17522606516869</v>
      </c>
      <c r="G610" s="22" t="n">
        <f aca="false">(G606-G608)*(1-G609)</f>
        <v>9.93943966311755</v>
      </c>
    </row>
    <row r="611" customFormat="false" ht="15" hidden="false" customHeight="false" outlineLevel="0" collapsed="false">
      <c r="A611" s="4" t="s">
        <v>776</v>
      </c>
      <c r="B611" s="4" t="s">
        <v>370</v>
      </c>
      <c r="C611" s="16" t="n">
        <f aca="false">a26_sh</f>
        <v>0.8697</v>
      </c>
      <c r="D611" s="16" t="n">
        <f aca="false">a27_sh</f>
        <v>0.915125</v>
      </c>
      <c r="E611" s="16" t="n">
        <f aca="false">D611*(1+sh_g)</f>
        <v>0.919700625</v>
      </c>
      <c r="F611" s="16" t="n">
        <f aca="false">E611*(1+sh_g)</f>
        <v>0.924299128125</v>
      </c>
      <c r="G611" s="16" t="n">
        <f aca="false">F611*(1+sh_g)</f>
        <v>0.928920623765625</v>
      </c>
    </row>
    <row r="612" customFormat="false" ht="17.15" hidden="false" customHeight="false" outlineLevel="0" collapsed="false">
      <c r="A612" s="0" t="s">
        <v>709</v>
      </c>
      <c r="B612" s="0" t="s">
        <v>253</v>
      </c>
      <c r="C612" s="22" t="n">
        <f aca="false">C610/C611</f>
        <v>2.83504656778199</v>
      </c>
      <c r="D612" s="22" t="n">
        <f aca="false">D610/D611</f>
        <v>4.19583224149706</v>
      </c>
      <c r="E612" s="22" t="n">
        <f aca="false">E610/E611</f>
        <v>6.59987215303938</v>
      </c>
      <c r="F612" s="22" t="n">
        <f aca="false">F610/F611</f>
        <v>8.84478391941434</v>
      </c>
      <c r="G612" s="22" t="n">
        <f aca="false">G610/G611</f>
        <v>10.6999881462696</v>
      </c>
    </row>
    <row r="613" customFormat="false" ht="17.15" hidden="false" customHeight="false" outlineLevel="0" collapsed="false">
      <c r="A613" s="0" t="s">
        <v>777</v>
      </c>
      <c r="B613" s="0" t="s">
        <v>49</v>
      </c>
      <c r="D613" s="14" t="n">
        <f aca="false">D612/C612-1</f>
        <v>0.479987062357033</v>
      </c>
      <c r="E613" s="14" t="n">
        <f aca="false">E612/D612-1</f>
        <v>0.572959015798154</v>
      </c>
      <c r="F613" s="14" t="n">
        <f aca="false">F612/E612-1</f>
        <v>0.340144735279626</v>
      </c>
      <c r="G613" s="14" t="n">
        <f aca="false">G612/F612-1</f>
        <v>0.209751221031311</v>
      </c>
    </row>
    <row r="616" customFormat="false" ht="17.15" hidden="false" customHeight="false" outlineLevel="0" collapsed="false">
      <c r="A616" s="3" t="s">
        <v>1178</v>
      </c>
    </row>
    <row r="617" customFormat="false" ht="17.15" hidden="false" customHeight="false" outlineLevel="0" collapsed="false">
      <c r="A617" s="5" t="s">
        <v>25</v>
      </c>
      <c r="B617" s="5" t="s">
        <v>26</v>
      </c>
      <c r="C617" s="11" t="s">
        <v>698</v>
      </c>
      <c r="D617" s="11" t="s">
        <v>699</v>
      </c>
      <c r="E617" s="11" t="s">
        <v>700</v>
      </c>
      <c r="F617" s="11" t="s">
        <v>701</v>
      </c>
      <c r="G617" s="11" t="s">
        <v>702</v>
      </c>
      <c r="H617" s="5" t="s">
        <v>555</v>
      </c>
    </row>
    <row r="618" customFormat="false" ht="17.15" hidden="false" customHeight="false" outlineLevel="0" collapsed="false">
      <c r="A618" s="1" t="s">
        <v>717</v>
      </c>
    </row>
    <row r="619" customFormat="false" ht="17.15" hidden="false" customHeight="false" outlineLevel="0" collapsed="false">
      <c r="A619" s="0" t="s">
        <v>718</v>
      </c>
      <c r="B619" s="4" t="s">
        <v>36</v>
      </c>
      <c r="D619" s="22" t="n">
        <f aca="false">u_trn_26</f>
        <v>2</v>
      </c>
      <c r="E619" s="22" t="n">
        <f aca="false">u_trn_27</f>
        <v>2.5</v>
      </c>
      <c r="F619" s="22" t="n">
        <f aca="false">u_trn_28*um28_A</f>
        <v>3</v>
      </c>
      <c r="G619" s="22" t="n">
        <f aca="false">u_trn_28*(1+g29_trn)*um29_A</f>
        <v>3.45</v>
      </c>
    </row>
    <row r="620" customFormat="false" ht="17.15" hidden="false" customHeight="false" outlineLevel="0" collapsed="false">
      <c r="A620" s="4" t="s">
        <v>719</v>
      </c>
      <c r="B620" s="4" t="s">
        <v>36</v>
      </c>
      <c r="D620" s="22" t="n">
        <f aca="false">u_oth_26</f>
        <v>1</v>
      </c>
      <c r="E620" s="22" t="n">
        <f aca="false">u_oth_27</f>
        <v>4.5</v>
      </c>
      <c r="F620" s="22" t="n">
        <f aca="false">u_oth_28*um28_A</f>
        <v>5</v>
      </c>
      <c r="G620" s="22" t="n">
        <f aca="false">u_oth_28*(1+g29_oth)*um29_A</f>
        <v>5.75</v>
      </c>
    </row>
    <row r="621" customFormat="false" ht="17.15" hidden="false" customHeight="false" outlineLevel="0" collapsed="false">
      <c r="A621" s="0" t="s">
        <v>720</v>
      </c>
      <c r="B621" s="4" t="s">
        <v>36</v>
      </c>
      <c r="D621" s="22" t="n">
        <f aca="false">u_tpu_26</f>
        <v>3.85</v>
      </c>
      <c r="E621" s="22" t="n">
        <f aca="false">u_tpu_27</f>
        <v>5.5</v>
      </c>
      <c r="F621" s="22" t="n">
        <f aca="false">u_tpu_28*um28_A</f>
        <v>7</v>
      </c>
      <c r="G621" s="22" t="n">
        <f aca="false">u_tpu_28*(1+g29_tpu)*um29_A</f>
        <v>8.05</v>
      </c>
    </row>
    <row r="622" customFormat="false" ht="17.15" hidden="false" customHeight="false" outlineLevel="0" collapsed="false">
      <c r="A622" s="0" t="s">
        <v>658</v>
      </c>
      <c r="B622" s="0" t="s">
        <v>49</v>
      </c>
      <c r="D622" s="14" t="n">
        <f aca="false">msh_trn_26</f>
        <v>0.1</v>
      </c>
      <c r="E622" s="14" t="n">
        <f aca="false">MIN(1,MAX(0,msh_trn_27+0))</f>
        <v>0.1</v>
      </c>
      <c r="F622" s="14" t="n">
        <f aca="false">MIN(1,MAX(0,msh_trn_28+0))</f>
        <v>0.08</v>
      </c>
      <c r="G622" s="14" t="n">
        <f aca="false">MIN(1,MAX(0,msh_trn_28+0))</f>
        <v>0.08</v>
      </c>
    </row>
    <row r="623" customFormat="false" ht="17.15" hidden="false" customHeight="false" outlineLevel="0" collapsed="false">
      <c r="A623" s="0" t="s">
        <v>666</v>
      </c>
      <c r="B623" s="0" t="s">
        <v>49</v>
      </c>
      <c r="D623" s="14" t="n">
        <f aca="false">msh_oth_26</f>
        <v>0.05</v>
      </c>
      <c r="E623" s="14" t="n">
        <f aca="false">MIN(1,MAX(0,msh_oth_27+0))</f>
        <v>0.06</v>
      </c>
      <c r="F623" s="14" t="n">
        <f aca="false">MIN(1,MAX(0,msh_oth_28+0))</f>
        <v>0.15</v>
      </c>
      <c r="G623" s="14" t="n">
        <f aca="false">MIN(1,MAX(0,msh_oth_28+0))</f>
        <v>0.15</v>
      </c>
    </row>
    <row r="624" customFormat="false" ht="17.15" hidden="false" customHeight="false" outlineLevel="0" collapsed="false">
      <c r="A624" s="0" t="s">
        <v>670</v>
      </c>
      <c r="B624" s="0" t="s">
        <v>49</v>
      </c>
      <c r="D624" s="14" t="n">
        <f aca="false">msh_tpu_26</f>
        <v>0</v>
      </c>
      <c r="E624" s="14" t="n">
        <f aca="false">MIN(1,MAX(0,msh_tpu_27+0))</f>
        <v>0</v>
      </c>
      <c r="F624" s="14" t="n">
        <f aca="false">MIN(1,MAX(0,msh_tpu_28+0))</f>
        <v>0.05</v>
      </c>
      <c r="G624" s="14" t="n">
        <f aca="false">MIN(1,MAX(0,msh_tpu_28+0))</f>
        <v>0.05</v>
      </c>
    </row>
    <row r="625" customFormat="false" ht="17.15" hidden="false" customHeight="false" outlineLevel="0" collapsed="false">
      <c r="A625" s="0" t="s">
        <v>660</v>
      </c>
      <c r="B625" s="4" t="s">
        <v>36</v>
      </c>
      <c r="D625" s="16" t="n">
        <f aca="false">D619*D622</f>
        <v>0.2</v>
      </c>
      <c r="E625" s="16" t="n">
        <f aca="false">E619*E622*1</f>
        <v>0.25</v>
      </c>
      <c r="F625" s="16" t="n">
        <f aca="false">F619*F622*1</f>
        <v>0.24</v>
      </c>
      <c r="G625" s="16" t="n">
        <f aca="false">G619*G622*1</f>
        <v>0.276</v>
      </c>
    </row>
    <row r="626" customFormat="false" ht="17.15" hidden="false" customHeight="false" outlineLevel="0" collapsed="false">
      <c r="A626" s="0" t="s">
        <v>667</v>
      </c>
      <c r="B626" s="4" t="s">
        <v>36</v>
      </c>
      <c r="D626" s="16" t="n">
        <f aca="false">D620*D623</f>
        <v>0.05</v>
      </c>
      <c r="E626" s="16" t="n">
        <f aca="false">E620*E623*1</f>
        <v>0.27</v>
      </c>
      <c r="F626" s="16" t="n">
        <f aca="false">F620*F623*1</f>
        <v>0.75</v>
      </c>
      <c r="G626" s="16" t="n">
        <f aca="false">G620*G623*1</f>
        <v>0.8625</v>
      </c>
    </row>
    <row r="627" customFormat="false" ht="17.15" hidden="false" customHeight="false" outlineLevel="0" collapsed="false">
      <c r="A627" s="0" t="s">
        <v>671</v>
      </c>
      <c r="B627" s="4" t="s">
        <v>36</v>
      </c>
      <c r="D627" s="16" t="n">
        <f aca="false">D621*D624</f>
        <v>0</v>
      </c>
      <c r="E627" s="16" t="n">
        <f aca="false">E621*E624*1</f>
        <v>0</v>
      </c>
      <c r="F627" s="16" t="n">
        <f aca="false">F621*F624*1</f>
        <v>0.35</v>
      </c>
      <c r="G627" s="16" t="n">
        <f aca="false">G621*G624*1</f>
        <v>0.4025</v>
      </c>
    </row>
    <row r="628" customFormat="false" ht="17.15" hidden="false" customHeight="false" outlineLevel="0" collapsed="false">
      <c r="A628" s="4" t="s">
        <v>721</v>
      </c>
      <c r="B628" s="0" t="s">
        <v>100</v>
      </c>
      <c r="D628" s="23" t="n">
        <f aca="false">gb_trn_26</f>
        <v>110</v>
      </c>
      <c r="E628" s="23" t="n">
        <f aca="false">gb_trn_27</f>
        <v>144</v>
      </c>
      <c r="F628" s="23" t="n">
        <f aca="false">gb_trn_28</f>
        <v>200</v>
      </c>
      <c r="G628" s="23" t="n">
        <f aca="false">gb_trn_28</f>
        <v>200</v>
      </c>
    </row>
    <row r="629" customFormat="false" ht="17.15" hidden="false" customHeight="false" outlineLevel="0" collapsed="false">
      <c r="A629" s="4" t="s">
        <v>722</v>
      </c>
      <c r="B629" s="0" t="s">
        <v>100</v>
      </c>
      <c r="D629" s="23" t="n">
        <f aca="false">gb_oth_26</f>
        <v>150</v>
      </c>
      <c r="E629" s="23" t="n">
        <f aca="false">gb_oth_27</f>
        <v>200</v>
      </c>
      <c r="F629" s="23" t="n">
        <f aca="false">gb_oth_28</f>
        <v>250</v>
      </c>
      <c r="G629" s="23" t="n">
        <f aca="false">gb_oth_28</f>
        <v>250</v>
      </c>
    </row>
    <row r="630" customFormat="false" ht="17.15" hidden="false" customHeight="false" outlineLevel="0" collapsed="false">
      <c r="A630" s="4" t="s">
        <v>723</v>
      </c>
      <c r="B630" s="0" t="s">
        <v>100</v>
      </c>
      <c r="D630" s="23" t="n">
        <f aca="false">gb_tpu_26</f>
        <v>192</v>
      </c>
      <c r="E630" s="23" t="n">
        <f aca="false">gb_tpu_27</f>
        <v>250</v>
      </c>
      <c r="F630" s="23" t="n">
        <f aca="false">gb_tpu_28</f>
        <v>288</v>
      </c>
      <c r="G630" s="23" t="n">
        <f aca="false">gb_tpu_28</f>
        <v>288</v>
      </c>
    </row>
    <row r="631" customFormat="false" ht="17.15" hidden="false" customHeight="false" outlineLevel="0" collapsed="false">
      <c r="A631" s="0" t="s">
        <v>724</v>
      </c>
      <c r="B631" s="0" t="s">
        <v>200</v>
      </c>
      <c r="D631" s="22" t="n">
        <f aca="false">hbm_A_26</f>
        <v>14.6</v>
      </c>
      <c r="E631" s="22" t="n">
        <f aca="false">hbm_A_27</f>
        <v>26.28</v>
      </c>
      <c r="F631" s="22" t="n">
        <f aca="false">hbm_A_28</f>
        <v>28.908</v>
      </c>
      <c r="G631" s="22" t="n">
        <f aca="false">hbm_A_29</f>
        <v>27.4626</v>
      </c>
    </row>
    <row r="632" customFormat="false" ht="17.15" hidden="false" customHeight="false" outlineLevel="0" collapsed="false">
      <c r="A632" s="4" t="s">
        <v>725</v>
      </c>
      <c r="B632" s="0" t="s">
        <v>122</v>
      </c>
      <c r="D632" s="22" t="n">
        <f aca="false">core_trn</f>
        <v>6.394</v>
      </c>
      <c r="E632" s="22" t="n">
        <f aca="false">core_trn*1</f>
        <v>6.394</v>
      </c>
      <c r="F632" s="22" t="n">
        <f aca="false">core_trn*1</f>
        <v>6.394</v>
      </c>
      <c r="G632" s="22" t="n">
        <f aca="false">core_trn*1</f>
        <v>6.394</v>
      </c>
    </row>
    <row r="633" customFormat="false" ht="17.15" hidden="false" customHeight="false" outlineLevel="0" collapsed="false">
      <c r="A633" s="4" t="s">
        <v>726</v>
      </c>
      <c r="B633" s="0" t="s">
        <v>122</v>
      </c>
      <c r="D633" s="22" t="n">
        <f aca="false">core_oth</f>
        <v>6</v>
      </c>
      <c r="E633" s="22" t="n">
        <f aca="false">core_oth*1</f>
        <v>6</v>
      </c>
      <c r="F633" s="22" t="n">
        <f aca="false">core_oth*1</f>
        <v>6</v>
      </c>
      <c r="G633" s="22" t="n">
        <f aca="false">core_oth*1</f>
        <v>6</v>
      </c>
    </row>
    <row r="634" customFormat="false" ht="17.15" hidden="false" customHeight="false" outlineLevel="0" collapsed="false">
      <c r="A634" s="4" t="s">
        <v>727</v>
      </c>
      <c r="B634" s="0" t="s">
        <v>122</v>
      </c>
      <c r="D634" s="22" t="n">
        <f aca="false">core_tpu</f>
        <v>8</v>
      </c>
      <c r="E634" s="22" t="n">
        <f aca="false">core_tpu*1</f>
        <v>8</v>
      </c>
      <c r="F634" s="22" t="n">
        <f aca="false">core_tpu*1</f>
        <v>8</v>
      </c>
      <c r="G634" s="22" t="n">
        <f aca="false">core_tpu*1</f>
        <v>8</v>
      </c>
    </row>
    <row r="635" customFormat="false" ht="17.15" hidden="false" customHeight="false" outlineLevel="0" collapsed="false">
      <c r="A635" s="4" t="s">
        <v>728</v>
      </c>
      <c r="B635" s="0" t="s">
        <v>122</v>
      </c>
      <c r="D635" s="22" t="n">
        <f aca="false">D628*D631/1000</f>
        <v>1.606</v>
      </c>
      <c r="E635" s="22" t="n">
        <f aca="false">E628*E631/1000</f>
        <v>3.78432</v>
      </c>
      <c r="F635" s="22" t="n">
        <f aca="false">F628*F631/1000</f>
        <v>5.7816</v>
      </c>
      <c r="G635" s="22" t="n">
        <f aca="false">G628*G631/1000</f>
        <v>5.49252</v>
      </c>
    </row>
    <row r="636" customFormat="false" ht="17.15" hidden="false" customHeight="false" outlineLevel="0" collapsed="false">
      <c r="A636" s="4" t="s">
        <v>729</v>
      </c>
      <c r="B636" s="0" t="s">
        <v>122</v>
      </c>
      <c r="D636" s="22" t="n">
        <f aca="false">D629*D631/1000</f>
        <v>2.19</v>
      </c>
      <c r="E636" s="22" t="n">
        <f aca="false">E629*E631/1000</f>
        <v>5.256</v>
      </c>
      <c r="F636" s="22" t="n">
        <f aca="false">F629*F631/1000</f>
        <v>7.227</v>
      </c>
      <c r="G636" s="22" t="n">
        <f aca="false">G629*G631/1000</f>
        <v>6.86565</v>
      </c>
    </row>
    <row r="637" customFormat="false" ht="17.15" hidden="false" customHeight="false" outlineLevel="0" collapsed="false">
      <c r="A637" s="4" t="s">
        <v>730</v>
      </c>
      <c r="B637" s="0" t="s">
        <v>122</v>
      </c>
      <c r="D637" s="22" t="n">
        <f aca="false">D630*D631/1000</f>
        <v>2.8032</v>
      </c>
      <c r="E637" s="22" t="n">
        <f aca="false">E630*E631/1000</f>
        <v>6.57</v>
      </c>
      <c r="F637" s="22" t="n">
        <f aca="false">F630*F631/1000</f>
        <v>8.325504</v>
      </c>
      <c r="G637" s="22" t="n">
        <f aca="false">G630*G631/1000</f>
        <v>7.9092288</v>
      </c>
    </row>
    <row r="638" customFormat="false" ht="17.15" hidden="false" customHeight="false" outlineLevel="0" collapsed="false">
      <c r="A638" s="4" t="s">
        <v>731</v>
      </c>
      <c r="B638" s="0" t="s">
        <v>122</v>
      </c>
      <c r="D638" s="22" t="n">
        <f aca="false">D632+f_hbm_lo*D635</f>
        <v>6.8758</v>
      </c>
      <c r="E638" s="22" t="n">
        <f aca="false">E632+f_hbm_lo*E635</f>
        <v>7.529296</v>
      </c>
      <c r="F638" s="22" t="n">
        <f aca="false">F632+f_hbm_lo*F635</f>
        <v>8.12848</v>
      </c>
      <c r="G638" s="22" t="n">
        <f aca="false">G632+f_hbm_lo*G635</f>
        <v>8.041756</v>
      </c>
      <c r="H638" s="4" t="s">
        <v>732</v>
      </c>
    </row>
    <row r="639" customFormat="false" ht="17.15" hidden="false" customHeight="false" outlineLevel="0" collapsed="false">
      <c r="A639" s="4" t="s">
        <v>733</v>
      </c>
      <c r="B639" s="0" t="s">
        <v>122</v>
      </c>
      <c r="D639" s="22" t="n">
        <f aca="false">D633+f_hbm_lo*D636</f>
        <v>6.657</v>
      </c>
      <c r="E639" s="22" t="n">
        <f aca="false">E633+f_hbm_lo*E636</f>
        <v>7.5768</v>
      </c>
      <c r="F639" s="22" t="n">
        <f aca="false">F633+f_hbm_lo*F636</f>
        <v>8.1681</v>
      </c>
      <c r="G639" s="22" t="n">
        <f aca="false">G633+f_hbm_lo*G636</f>
        <v>8.059695</v>
      </c>
    </row>
    <row r="640" customFormat="false" ht="17.15" hidden="false" customHeight="false" outlineLevel="0" collapsed="false">
      <c r="A640" s="4" t="s">
        <v>734</v>
      </c>
      <c r="B640" s="0" t="s">
        <v>122</v>
      </c>
      <c r="D640" s="22" t="n">
        <f aca="false">D634+f_hbm_lo*D637</f>
        <v>8.84096</v>
      </c>
      <c r="E640" s="22" t="n">
        <f aca="false">E634+f_hbm_lo*E637</f>
        <v>9.971</v>
      </c>
      <c r="F640" s="22" t="n">
        <f aca="false">F634+f_hbm_lo*F637</f>
        <v>10.4976512</v>
      </c>
      <c r="G640" s="22" t="n">
        <f aca="false">G634+f_hbm_lo*G637</f>
        <v>10.37276864</v>
      </c>
    </row>
    <row r="641" customFormat="false" ht="17.15" hidden="false" customHeight="false" outlineLevel="0" collapsed="false">
      <c r="A641" s="0" t="s">
        <v>735</v>
      </c>
      <c r="B641" s="0" t="s">
        <v>239</v>
      </c>
      <c r="D641" s="22" t="n">
        <f aca="false">D625*D638+D626*D639+D627*D640</f>
        <v>1.70801</v>
      </c>
      <c r="E641" s="22" t="n">
        <f aca="false">E625*E638+E626*E639+E627*E640</f>
        <v>3.92806</v>
      </c>
      <c r="F641" s="22" t="n">
        <f aca="false">F625*F638+F626*F639+F627*F640</f>
        <v>11.75108812</v>
      </c>
      <c r="G641" s="22" t="n">
        <f aca="false">G625*G638+G626*G639+G627*G640</f>
        <v>13.3460509711</v>
      </c>
    </row>
    <row r="642" customFormat="false" ht="17.15" hidden="false" customHeight="false" outlineLevel="0" collapsed="false">
      <c r="A642" s="0" t="s">
        <v>736</v>
      </c>
      <c r="B642" s="0" t="s">
        <v>80</v>
      </c>
      <c r="D642" s="16" t="n">
        <f aca="false">a27_xpu/D641</f>
        <v>0.863578082095538</v>
      </c>
      <c r="H642" s="7" t="s">
        <v>737</v>
      </c>
    </row>
    <row r="643" customFormat="false" ht="17.15" hidden="false" customHeight="false" outlineLevel="0" collapsed="false">
      <c r="A643" s="0" t="s">
        <v>738</v>
      </c>
      <c r="B643" s="0" t="s">
        <v>239</v>
      </c>
      <c r="D643" s="22" t="n">
        <f aca="false">D641*$D$642</f>
        <v>1.475</v>
      </c>
      <c r="E643" s="22" t="n">
        <f aca="false">E641*$D$642</f>
        <v>3.3921865211562</v>
      </c>
      <c r="F643" s="22" t="n">
        <f aca="false">F641*$D$642</f>
        <v>10.1479821412053</v>
      </c>
      <c r="G643" s="22" t="n">
        <f aca="false">G641*$D$642</f>
        <v>11.5253571011718</v>
      </c>
    </row>
    <row r="644" customFormat="false" ht="17.15" hidden="false" customHeight="false" outlineLevel="0" collapsed="false">
      <c r="A644" s="4" t="s">
        <v>739</v>
      </c>
      <c r="B644" s="0" t="s">
        <v>239</v>
      </c>
      <c r="D644" s="22" t="n">
        <f aca="false">$D$642*f_hbm_lo*(D625*D635+D626*D636+D627*D637)</f>
        <v>0.111582923987564</v>
      </c>
      <c r="E644" s="22" t="n">
        <f aca="false">$D$642*f_hbm_lo*(E625*E635+E626*E636+E627*E637)</f>
        <v>0.61276046393171</v>
      </c>
      <c r="F644" s="22" t="n">
        <f aca="false">$D$642*f_hbm_lo*(F625*F635+F626*F636+F627*F637)</f>
        <v>2.51864976024731</v>
      </c>
      <c r="G644" s="22" t="n">
        <f aca="false">$D$642*f_hbm_lo*(G625*G635+G626*G636+G627*G637)</f>
        <v>2.75162486307018</v>
      </c>
    </row>
    <row r="645" customFormat="false" ht="15" hidden="false" customHeight="false" outlineLevel="0" collapsed="false">
      <c r="A645" s="4" t="s">
        <v>740</v>
      </c>
      <c r="B645" s="0" t="s">
        <v>239</v>
      </c>
      <c r="D645" s="22" t="n">
        <f aca="false">D643-D644</f>
        <v>1.36341707601244</v>
      </c>
      <c r="E645" s="22" t="n">
        <f aca="false">E643-E644</f>
        <v>2.77942605722449</v>
      </c>
      <c r="F645" s="22" t="n">
        <f aca="false">F643-F644</f>
        <v>7.62933238095796</v>
      </c>
      <c r="G645" s="22" t="n">
        <f aca="false">G643-G644</f>
        <v>8.77373223810165</v>
      </c>
    </row>
    <row r="646" customFormat="false" ht="17.15" hidden="false" customHeight="false" outlineLevel="0" collapsed="false">
      <c r="A646" s="0" t="s">
        <v>741</v>
      </c>
      <c r="B646" s="4" t="s">
        <v>36</v>
      </c>
      <c r="D646" s="16" t="n">
        <f aca="false">D625+D626+D627</f>
        <v>0.25</v>
      </c>
      <c r="E646" s="16" t="n">
        <f aca="false">E625+E626+E627</f>
        <v>0.52</v>
      </c>
      <c r="F646" s="16" t="n">
        <f aca="false">F625+F626+F627</f>
        <v>1.34</v>
      </c>
      <c r="G646" s="16" t="n">
        <f aca="false">G625+G626+G627</f>
        <v>1.541</v>
      </c>
    </row>
    <row r="647" customFormat="false" ht="17.15" hidden="false" customHeight="false" outlineLevel="0" collapsed="false">
      <c r="A647" s="0" t="s">
        <v>742</v>
      </c>
      <c r="B647" s="0" t="s">
        <v>239</v>
      </c>
      <c r="C647" s="22" t="n">
        <f aca="false">a26_att</f>
        <v>0.2</v>
      </c>
      <c r="D647" s="22" t="n">
        <f aca="false">a27_att</f>
        <v>0.4</v>
      </c>
      <c r="E647" s="22" t="n">
        <f aca="false">att28</f>
        <v>1</v>
      </c>
      <c r="F647" s="22" t="n">
        <f aca="false">att28*(1+g_att)*um28_A</f>
        <v>1.5</v>
      </c>
      <c r="G647" s="22" t="n">
        <f aca="false">att28*(1+g_att)^2*um29_A</f>
        <v>2.25</v>
      </c>
      <c r="H647" s="7" t="s">
        <v>743</v>
      </c>
    </row>
    <row r="648" customFormat="false" ht="17.15" hidden="false" customHeight="false" outlineLevel="0" collapsed="false">
      <c r="A648" s="4" t="s">
        <v>744</v>
      </c>
      <c r="B648" s="0" t="s">
        <v>239</v>
      </c>
      <c r="C648" s="22" t="n">
        <f aca="false">a26_cus</f>
        <v>1.5</v>
      </c>
      <c r="D648" s="22" t="n">
        <f aca="false">D643+D647</f>
        <v>1.875</v>
      </c>
      <c r="E648" s="22" t="n">
        <f aca="false">E643+E647</f>
        <v>4.3921865211562</v>
      </c>
      <c r="F648" s="22" t="n">
        <f aca="false">F643+F647</f>
        <v>11.6479821412053</v>
      </c>
      <c r="G648" s="22" t="n">
        <f aca="false">G643+G647</f>
        <v>13.7753571011718</v>
      </c>
    </row>
    <row r="649" customFormat="false" ht="17.15" hidden="false" customHeight="false" outlineLevel="0" collapsed="false">
      <c r="A649" s="1" t="s">
        <v>745</v>
      </c>
    </row>
    <row r="650" customFormat="false" ht="17.15" hidden="false" customHeight="false" outlineLevel="0" collapsed="false">
      <c r="A650" s="0" t="s">
        <v>746</v>
      </c>
      <c r="B650" s="0" t="s">
        <v>239</v>
      </c>
      <c r="D650" s="22" t="n">
        <f aca="false">plug_26*1</f>
        <v>29.753262</v>
      </c>
      <c r="E650" s="22" t="n">
        <f aca="false">plug_27*1</f>
        <v>53.560715</v>
      </c>
      <c r="F650" s="22" t="n">
        <f aca="false">plug_28*um28_A</f>
        <v>57.9915</v>
      </c>
      <c r="G650" s="22" t="n">
        <f aca="false">plug_29*um29_A</f>
        <v>72.9348</v>
      </c>
    </row>
    <row r="651" customFormat="false" ht="17.15" hidden="false" customHeight="false" outlineLevel="0" collapsed="false">
      <c r="A651" s="4" t="s">
        <v>747</v>
      </c>
      <c r="B651" s="4" t="s">
        <v>680</v>
      </c>
      <c r="D651" s="19" t="n">
        <f aca="false">D650*1000/asp_26</f>
        <v>45.7742492307692</v>
      </c>
      <c r="E651" s="19" t="n">
        <f aca="false">E650*1000/asp_27</f>
        <v>66.95089375</v>
      </c>
      <c r="F651" s="19" t="n">
        <f aca="false">F650*1000/asp_28</f>
        <v>68.2252941176471</v>
      </c>
      <c r="G651" s="19" t="n">
        <f aca="false">G650*1000/asp_29</f>
        <v>85.8056470588235</v>
      </c>
    </row>
    <row r="652" customFormat="false" ht="17.15" hidden="false" customHeight="false" outlineLevel="0" collapsed="false">
      <c r="A652" s="4" t="s">
        <v>748</v>
      </c>
      <c r="B652" s="0" t="s">
        <v>49</v>
      </c>
      <c r="D652" s="14" t="n">
        <f aca="false">MIN(1,lpo_26)</f>
        <v>0.03</v>
      </c>
      <c r="E652" s="14" t="n">
        <f aca="false">MIN(1,lpo_27+0)</f>
        <v>0.06</v>
      </c>
      <c r="F652" s="14" t="n">
        <f aca="false">MIN(1,lpo_28+0)</f>
        <v>0.1</v>
      </c>
      <c r="G652" s="14" t="n">
        <f aca="false">MIN(1,lpo_29+0)</f>
        <v>0.15</v>
      </c>
    </row>
    <row r="653" customFormat="false" ht="15" hidden="false" customHeight="false" outlineLevel="0" collapsed="false">
      <c r="A653" s="4" t="s">
        <v>749</v>
      </c>
      <c r="B653" s="0" t="s">
        <v>253</v>
      </c>
      <c r="D653" s="23" t="n">
        <f aca="false">dsp_26</f>
        <v>125</v>
      </c>
      <c r="E653" s="23" t="n">
        <f aca="false">dsp_27*1</f>
        <v>135</v>
      </c>
      <c r="F653" s="23" t="n">
        <f aca="false">dsp_28*1</f>
        <v>135</v>
      </c>
      <c r="G653" s="23" t="n">
        <f aca="false">dsp_29*1</f>
        <v>130</v>
      </c>
    </row>
    <row r="654" customFormat="false" ht="17.15" hidden="false" customHeight="false" outlineLevel="0" collapsed="false">
      <c r="A654" s="4" t="s">
        <v>750</v>
      </c>
      <c r="B654" s="0" t="s">
        <v>239</v>
      </c>
      <c r="D654" s="22" t="n">
        <f aca="false">D651*(1-D652)*D653/1000</f>
        <v>5.55012771923077</v>
      </c>
      <c r="E654" s="22" t="n">
        <f aca="false">E651*(1-E652)*E653/1000</f>
        <v>8.496068416875</v>
      </c>
      <c r="F654" s="22" t="n">
        <f aca="false">F651*(1-F652)*F653/1000</f>
        <v>8.28937323529412</v>
      </c>
      <c r="G654" s="22" t="n">
        <f aca="false">G651*(1-G652)*G653/1000</f>
        <v>9.481524</v>
      </c>
    </row>
    <row r="655" customFormat="false" ht="17.15" hidden="false" customHeight="false" outlineLevel="0" collapsed="false">
      <c r="A655" s="0" t="s">
        <v>751</v>
      </c>
      <c r="B655" s="0" t="s">
        <v>49</v>
      </c>
      <c r="D655" s="14" t="n">
        <f aca="false">msh_dsp_26</f>
        <v>0.65</v>
      </c>
      <c r="E655" s="14" t="n">
        <f aca="false">msh_dsp_27+0</f>
        <v>0.63</v>
      </c>
      <c r="F655" s="14" t="n">
        <f aca="false">msh_dsp_28+0</f>
        <v>0.6</v>
      </c>
      <c r="G655" s="14" t="n">
        <f aca="false">msh_dsp_29+0</f>
        <v>0.58</v>
      </c>
    </row>
    <row r="656" customFormat="false" ht="17.15" hidden="false" customHeight="false" outlineLevel="0" collapsed="false">
      <c r="A656" s="0" t="s">
        <v>682</v>
      </c>
      <c r="B656" s="0" t="s">
        <v>239</v>
      </c>
      <c r="D656" s="22" t="n">
        <f aca="false">D654*D655</f>
        <v>3.6075830175</v>
      </c>
      <c r="E656" s="22" t="n">
        <f aca="false">E654*E655*1</f>
        <v>5.35252310263125</v>
      </c>
      <c r="F656" s="22" t="n">
        <f aca="false">F654*F655*1</f>
        <v>4.97362394117647</v>
      </c>
      <c r="G656" s="22" t="n">
        <f aca="false">G654*G655*1</f>
        <v>5.49928392</v>
      </c>
    </row>
    <row r="657" customFormat="false" ht="17.15" hidden="false" customHeight="false" outlineLevel="0" collapsed="false">
      <c r="A657" s="4" t="s">
        <v>752</v>
      </c>
      <c r="B657" s="0" t="s">
        <v>239</v>
      </c>
      <c r="D657" s="22" t="n">
        <f aca="false">coh27</f>
        <v>0.9</v>
      </c>
      <c r="E657" s="22" t="n">
        <f aca="false">D657*(1+g_coh)</f>
        <v>1.035</v>
      </c>
      <c r="F657" s="22" t="n">
        <f aca="false">E657*(1+g_coh)</f>
        <v>1.19025</v>
      </c>
      <c r="G657" s="22" t="n">
        <f aca="false">F657*(1+g_coh)</f>
        <v>1.3687875</v>
      </c>
    </row>
    <row r="658" customFormat="false" ht="17.15" hidden="false" customHeight="false" outlineLevel="0" collapsed="false">
      <c r="A658" s="4" t="s">
        <v>753</v>
      </c>
      <c r="B658" s="0" t="s">
        <v>80</v>
      </c>
      <c r="D658" s="16" t="n">
        <f aca="false">(a27_ic-D657)/D656</f>
        <v>1.44223430888795</v>
      </c>
      <c r="H658" s="7" t="s">
        <v>754</v>
      </c>
    </row>
    <row r="659" customFormat="false" ht="15" hidden="false" customHeight="false" outlineLevel="0" collapsed="false">
      <c r="A659" s="4" t="s">
        <v>755</v>
      </c>
      <c r="B659" s="0" t="s">
        <v>239</v>
      </c>
      <c r="C659" s="22" t="n">
        <f aca="false">a26_ic</f>
        <v>3.4503</v>
      </c>
      <c r="D659" s="22" t="n">
        <f aca="false">D656*$D$658+D657</f>
        <v>6.10298</v>
      </c>
      <c r="E659" s="22" t="n">
        <f aca="false">E656*$D$658+E657</f>
        <v>8.75459245773014</v>
      </c>
      <c r="F659" s="22" t="n">
        <f aca="false">F656*$D$658+F657</f>
        <v>8.36338108747118</v>
      </c>
      <c r="G659" s="22" t="n">
        <f aca="false">G656*$D$658+G657</f>
        <v>9.30004344373979</v>
      </c>
    </row>
    <row r="660" customFormat="false" ht="17.15" hidden="false" customHeight="false" outlineLevel="0" collapsed="false">
      <c r="A660" s="1" t="s">
        <v>756</v>
      </c>
    </row>
    <row r="661" customFormat="false" ht="15" hidden="false" customHeight="false" outlineLevel="0" collapsed="false">
      <c r="A661" s="4" t="s">
        <v>757</v>
      </c>
      <c r="B661" s="0" t="s">
        <v>239</v>
      </c>
      <c r="C661" s="22" t="n">
        <f aca="false">a26_sw</f>
        <v>0.3</v>
      </c>
      <c r="D661" s="22" t="n">
        <f aca="false">a27_sw</f>
        <v>0.65</v>
      </c>
      <c r="E661" s="22" t="n">
        <f aca="false">a27_sw*(1+g_sw28)</f>
        <v>1.17</v>
      </c>
      <c r="F661" s="22" t="n">
        <f aca="false">a27_sw*(1+g_sw28)*(1+g_sw)*um28_A</f>
        <v>1.638</v>
      </c>
      <c r="G661" s="22" t="n">
        <f aca="false">a27_sw*(1+g_sw28)*(1+g_sw)^2*um29_A</f>
        <v>2.2932</v>
      </c>
    </row>
    <row r="662" customFormat="false" ht="17.15" hidden="false" customHeight="false" outlineLevel="0" collapsed="false">
      <c r="A662" s="0" t="s">
        <v>758</v>
      </c>
      <c r="B662" s="0" t="s">
        <v>239</v>
      </c>
      <c r="C662" s="22" t="n">
        <f aca="false">a26_aec</f>
        <v>0.2</v>
      </c>
      <c r="D662" s="22" t="n">
        <f aca="false">a27_aec</f>
        <v>0.45</v>
      </c>
      <c r="E662" s="22" t="n">
        <f aca="false">a27_aec*(1+g_aec)</f>
        <v>0.675</v>
      </c>
      <c r="F662" s="22" t="n">
        <f aca="false">a27_aec*(1+g_aec)^2*um28_A</f>
        <v>1.0125</v>
      </c>
      <c r="G662" s="22" t="n">
        <f aca="false">a27_aec*(1+g_aec)^3*um29_A</f>
        <v>1.51875</v>
      </c>
    </row>
    <row r="663" customFormat="false" ht="15" hidden="false" customHeight="false" outlineLevel="0" collapsed="false">
      <c r="A663" s="4" t="s">
        <v>759</v>
      </c>
      <c r="B663" s="0" t="s">
        <v>239</v>
      </c>
      <c r="C663" s="22" t="n">
        <f aca="false">a26_sto</f>
        <v>0.65</v>
      </c>
      <c r="D663" s="22" t="n">
        <f aca="false">a27_sto</f>
        <v>0.6825</v>
      </c>
      <c r="E663" s="22" t="n">
        <f aca="false">D663*(1+g_sto)</f>
        <v>0.716625</v>
      </c>
      <c r="F663" s="22" t="n">
        <f aca="false">E663*(1+g_sto)</f>
        <v>0.75245625</v>
      </c>
      <c r="G663" s="22" t="n">
        <f aca="false">F663*(1+g_sto)</f>
        <v>0.7900790625</v>
      </c>
    </row>
    <row r="664" customFormat="false" ht="15" hidden="false" customHeight="false" outlineLevel="0" collapsed="false">
      <c r="A664" s="4" t="s">
        <v>760</v>
      </c>
      <c r="B664" s="0" t="s">
        <v>239</v>
      </c>
      <c r="C664" s="22" t="n">
        <f aca="false">a26_dc</f>
        <v>6.1003</v>
      </c>
      <c r="D664" s="22" t="n">
        <f aca="false">D648+D659+D661+D662+D663</f>
        <v>9.76048</v>
      </c>
      <c r="E664" s="22" t="n">
        <f aca="false">E648+E659+E661+E662+E663</f>
        <v>15.7084039788863</v>
      </c>
      <c r="F664" s="22" t="n">
        <f aca="false">F648+F659+F661+F662+F663</f>
        <v>23.4143194786764</v>
      </c>
      <c r="G664" s="22" t="n">
        <f aca="false">G648+G659+G661+G662+G663</f>
        <v>27.6774296074116</v>
      </c>
    </row>
    <row r="665" customFormat="false" ht="15" hidden="false" customHeight="false" outlineLevel="0" collapsed="false">
      <c r="A665" s="4" t="s">
        <v>761</v>
      </c>
      <c r="B665" s="0" t="s">
        <v>239</v>
      </c>
      <c r="C665" s="22" t="n">
        <f aca="false">a26_co</f>
        <v>2.0943</v>
      </c>
      <c r="D665" s="22" t="n">
        <f aca="false">a27_co</f>
        <v>2.23952</v>
      </c>
      <c r="E665" s="22" t="n">
        <f aca="false">D665*(1+g_co28)</f>
        <v>2.3067056</v>
      </c>
      <c r="F665" s="22" t="n">
        <f aca="false">E665*(1+g_co)</f>
        <v>2.375906768</v>
      </c>
      <c r="G665" s="22" t="n">
        <f aca="false">F665*(1+g_co)</f>
        <v>2.44718397104</v>
      </c>
    </row>
    <row r="666" customFormat="false" ht="17.15" hidden="false" customHeight="false" outlineLevel="0" collapsed="false">
      <c r="A666" s="1" t="s">
        <v>762</v>
      </c>
    </row>
    <row r="667" customFormat="false" ht="15" hidden="false" customHeight="false" outlineLevel="0" collapsed="false">
      <c r="A667" s="4" t="s">
        <v>597</v>
      </c>
      <c r="B667" s="0" t="s">
        <v>239</v>
      </c>
      <c r="C667" s="22" t="n">
        <f aca="false">a26_rev</f>
        <v>8.1946</v>
      </c>
      <c r="D667" s="22" t="n">
        <f aca="false">a27_rev</f>
        <v>12</v>
      </c>
      <c r="E667" s="22" t="n">
        <f aca="false">E664+E665</f>
        <v>18.0151095788863</v>
      </c>
      <c r="F667" s="22" t="n">
        <f aca="false">F664+F665</f>
        <v>25.7902262466764</v>
      </c>
      <c r="G667" s="22" t="n">
        <f aca="false">G664+G665</f>
        <v>30.1246135784516</v>
      </c>
    </row>
    <row r="668" customFormat="false" ht="17.15" hidden="false" customHeight="false" outlineLevel="0" collapsed="false">
      <c r="A668" s="4" t="s">
        <v>763</v>
      </c>
      <c r="B668" s="0" t="s">
        <v>239</v>
      </c>
      <c r="D668" s="22" t="n">
        <f aca="false">D664+D665</f>
        <v>12</v>
      </c>
      <c r="E668" s="22" t="n">
        <f aca="false">E664+E665</f>
        <v>18.0151095788863</v>
      </c>
      <c r="F668" s="22" t="n">
        <f aca="false">F664+F665</f>
        <v>25.7902262466764</v>
      </c>
      <c r="G668" s="22" t="n">
        <f aca="false">G664+G665</f>
        <v>30.1246135784516</v>
      </c>
    </row>
    <row r="669" customFormat="false" ht="15" hidden="false" customHeight="false" outlineLevel="0" collapsed="false">
      <c r="A669" s="4" t="s">
        <v>764</v>
      </c>
      <c r="B669" s="0" t="s">
        <v>49</v>
      </c>
      <c r="D669" s="14" t="n">
        <f aca="false">D667/C667-1</f>
        <v>0.464378981280355</v>
      </c>
      <c r="E669" s="14" t="n">
        <f aca="false">E667/D667-1</f>
        <v>0.501259131573862</v>
      </c>
      <c r="F669" s="14" t="n">
        <f aca="false">F667/E667-1</f>
        <v>0.431588641398136</v>
      </c>
      <c r="G669" s="14" t="n">
        <f aca="false">G667/F667-1</f>
        <v>0.168063175961232</v>
      </c>
    </row>
    <row r="670" customFormat="false" ht="17.15" hidden="false" customHeight="false" outlineLevel="0" collapsed="false">
      <c r="A670" s="4" t="s">
        <v>765</v>
      </c>
      <c r="B670" s="0" t="s">
        <v>49</v>
      </c>
      <c r="C670" s="14" t="n">
        <f aca="false">C664/C667</f>
        <v>0.744429258292046</v>
      </c>
      <c r="D670" s="14" t="n">
        <f aca="false">D664/D667</f>
        <v>0.813373333333333</v>
      </c>
      <c r="E670" s="14" t="n">
        <f aca="false">E664/E667</f>
        <v>0.871957170734979</v>
      </c>
      <c r="F670" s="14" t="n">
        <f aca="false">F664/F667</f>
        <v>0.907875691152334</v>
      </c>
      <c r="G670" s="14" t="n">
        <f aca="false">G664/G667</f>
        <v>0.918764635281812</v>
      </c>
    </row>
    <row r="671" customFormat="false" ht="17.15" hidden="false" customHeight="false" outlineLevel="0" collapsed="false">
      <c r="A671" s="4" t="s">
        <v>766</v>
      </c>
      <c r="B671" s="0" t="s">
        <v>239</v>
      </c>
      <c r="D671" s="22" t="n">
        <f aca="false">gm_opt*D659+gm_oth*(D661+D662+D663)+gm_att*D647+gm_co*D665+m_hbm*D644</f>
        <v>6.44445729239876</v>
      </c>
      <c r="E671" s="22" t="n">
        <f aca="false">gm_opt*E659+gm_oth*(E661+E662+E663)+gm_att*E647+gm_co*E665+m_hbm*E644</f>
        <v>9.00153354276316</v>
      </c>
      <c r="F671" s="22" t="n">
        <f aca="false">gm_opt*F659+gm_oth*(F661+F662+F663)+gm_att*F647+gm_co*F665+m_hbm*F644</f>
        <v>9.76559473657158</v>
      </c>
      <c r="G671" s="22" t="n">
        <f aca="false">gm_opt*G659+gm_oth*(G661+G662+G663)+gm_att*G647+gm_co*G665+m_hbm*G644</f>
        <v>11.5522739965663</v>
      </c>
    </row>
    <row r="672" customFormat="false" ht="17.15" hidden="false" customHeight="false" outlineLevel="0" collapsed="false">
      <c r="A672" s="0" t="s">
        <v>767</v>
      </c>
      <c r="B672" s="0" t="s">
        <v>80</v>
      </c>
      <c r="D672" s="16" t="n">
        <f aca="false">(a27_gp-D671)/D645</f>
        <v>0.412364431612939</v>
      </c>
      <c r="H672" s="7" t="s">
        <v>768</v>
      </c>
    </row>
    <row r="673" customFormat="false" ht="15" hidden="false" customHeight="false" outlineLevel="0" collapsed="false">
      <c r="A673" s="4" t="s">
        <v>769</v>
      </c>
      <c r="B673" s="0" t="s">
        <v>239</v>
      </c>
      <c r="C673" s="22" t="n">
        <f aca="false">a26_gp</f>
        <v>4.8718</v>
      </c>
      <c r="D673" s="22" t="n">
        <f aca="false">a27_gp</f>
        <v>7.006682</v>
      </c>
      <c r="E673" s="22" t="n">
        <f aca="false">E671+$D$672*E645</f>
        <v>10.1476699890607</v>
      </c>
      <c r="F673" s="22" t="n">
        <f aca="false">F671+$D$672*F645</f>
        <v>12.9116600474315</v>
      </c>
      <c r="G673" s="22" t="n">
        <f aca="false">G671+$D$672*G645</f>
        <v>15.1702491040552</v>
      </c>
    </row>
    <row r="674" customFormat="false" ht="15" hidden="false" customHeight="false" outlineLevel="0" collapsed="false">
      <c r="A674" s="4" t="s">
        <v>621</v>
      </c>
      <c r="B674" s="0" t="s">
        <v>49</v>
      </c>
      <c r="C674" s="14" t="n">
        <f aca="false">C673/C667</f>
        <v>0.59451346008347</v>
      </c>
      <c r="D674" s="14" t="n">
        <f aca="false">D673/D667</f>
        <v>0.583890166666667</v>
      </c>
      <c r="E674" s="14" t="n">
        <f aca="false">E673/E667</f>
        <v>0.563286609200189</v>
      </c>
      <c r="F674" s="14" t="n">
        <f aca="false">F673/F667</f>
        <v>0.500641596701596</v>
      </c>
      <c r="G674" s="14" t="n">
        <f aca="false">G673/G667</f>
        <v>0.503583193342822</v>
      </c>
    </row>
    <row r="675" customFormat="false" ht="17.15" hidden="false" customHeight="false" outlineLevel="0" collapsed="false">
      <c r="A675" s="4" t="s">
        <v>770</v>
      </c>
      <c r="B675" s="0" t="s">
        <v>49</v>
      </c>
      <c r="C675" s="14" t="n">
        <f aca="false">C648/C667</f>
        <v>0.183047372660044</v>
      </c>
      <c r="D675" s="14" t="n">
        <f aca="false">D648/D667</f>
        <v>0.15625</v>
      </c>
      <c r="E675" s="14" t="n">
        <f aca="false">E648/E667</f>
        <v>0.243805706644373</v>
      </c>
      <c r="F675" s="14" t="n">
        <f aca="false">F648/F667</f>
        <v>0.451643270973876</v>
      </c>
      <c r="G675" s="14" t="n">
        <f aca="false">G648/G667</f>
        <v>0.457279130412662</v>
      </c>
    </row>
    <row r="676" customFormat="false" ht="15" hidden="false" customHeight="false" outlineLevel="0" collapsed="false">
      <c r="A676" s="4" t="s">
        <v>771</v>
      </c>
      <c r="B676" s="0" t="s">
        <v>239</v>
      </c>
      <c r="C676" s="22" t="n">
        <f aca="false">a26_opx</f>
        <v>1.9808</v>
      </c>
      <c r="D676" s="22" t="n">
        <f aca="false">a27_opx</f>
        <v>2.55</v>
      </c>
      <c r="E676" s="22" t="n">
        <f aca="false">D676*(1+MAX(g_opx_min,phi*E669))</f>
        <v>3.18910539275667</v>
      </c>
      <c r="F676" s="22" t="n">
        <f aca="false">E676*(1+MAX(g_opx_min,phi*F669))</f>
        <v>3.87729622462433</v>
      </c>
      <c r="G676" s="22" t="n">
        <f aca="false">F676*(1+MAX(g_opx_min,phi*G669))</f>
        <v>4.20311158345077</v>
      </c>
    </row>
    <row r="677" customFormat="false" ht="15" hidden="false" customHeight="false" outlineLevel="0" collapsed="false">
      <c r="A677" s="4" t="s">
        <v>772</v>
      </c>
      <c r="B677" s="0" t="s">
        <v>239</v>
      </c>
      <c r="C677" s="22" t="n">
        <f aca="false">C676</f>
        <v>1.9808</v>
      </c>
      <c r="D677" s="22" t="n">
        <f aca="false">D676</f>
        <v>2.55</v>
      </c>
      <c r="E677" s="22" t="n">
        <f aca="false">E676+0*E667</f>
        <v>3.18910539275667</v>
      </c>
      <c r="F677" s="22" t="n">
        <f aca="false">F676+0*F667</f>
        <v>3.87729622462433</v>
      </c>
      <c r="G677" s="22" t="n">
        <f aca="false">G676+0*G667</f>
        <v>4.20311158345077</v>
      </c>
    </row>
    <row r="678" customFormat="false" ht="15" hidden="false" customHeight="false" outlineLevel="0" collapsed="false">
      <c r="A678" s="4" t="s">
        <v>773</v>
      </c>
      <c r="B678" s="0" t="s">
        <v>239</v>
      </c>
      <c r="C678" s="22" t="n">
        <f aca="false">C673-C677</f>
        <v>2.891</v>
      </c>
      <c r="D678" s="22" t="n">
        <f aca="false">D673-D677</f>
        <v>4.456682</v>
      </c>
      <c r="E678" s="22" t="n">
        <f aca="false">E673-E677</f>
        <v>6.95856459630405</v>
      </c>
      <c r="F678" s="22" t="n">
        <f aca="false">F673-F677</f>
        <v>9.03436382280716</v>
      </c>
      <c r="G678" s="22" t="n">
        <f aca="false">G673-G677</f>
        <v>10.9671375206044</v>
      </c>
    </row>
    <row r="679" customFormat="false" ht="15" hidden="false" customHeight="false" outlineLevel="0" collapsed="false">
      <c r="A679" s="4" t="s">
        <v>627</v>
      </c>
      <c r="B679" s="0" t="s">
        <v>49</v>
      </c>
      <c r="C679" s="14" t="n">
        <f aca="false">C678/C667</f>
        <v>0.352793302906792</v>
      </c>
      <c r="D679" s="14" t="n">
        <f aca="false">D678/D667</f>
        <v>0.371390166666667</v>
      </c>
      <c r="E679" s="14" t="n">
        <f aca="false">E678/E667</f>
        <v>0.386262684988576</v>
      </c>
      <c r="F679" s="14" t="n">
        <f aca="false">F678/F667</f>
        <v>0.350301844442772</v>
      </c>
      <c r="G679" s="14" t="n">
        <f aca="false">G678/G667</f>
        <v>0.364059027414357</v>
      </c>
    </row>
    <row r="680" customFormat="false" ht="15" hidden="false" customHeight="false" outlineLevel="0" collapsed="false">
      <c r="A680" s="4" t="s">
        <v>774</v>
      </c>
      <c r="B680" s="0" t="s">
        <v>239</v>
      </c>
      <c r="C680" s="22" t="n">
        <f aca="false">a26_oth</f>
        <v>0.1514</v>
      </c>
      <c r="D680" s="22" t="n">
        <f aca="false">a27_oth</f>
        <v>0.1424</v>
      </c>
      <c r="E680" s="22" t="n">
        <f aca="false">int_f</f>
        <v>0.15</v>
      </c>
      <c r="F680" s="22" t="n">
        <f aca="false">int_f</f>
        <v>0.15</v>
      </c>
      <c r="G680" s="22" t="n">
        <f aca="false">int_f</f>
        <v>0.15</v>
      </c>
    </row>
    <row r="681" customFormat="false" ht="15" hidden="false" customHeight="false" outlineLevel="0" collapsed="false">
      <c r="A681" s="4" t="s">
        <v>775</v>
      </c>
      <c r="B681" s="0" t="s">
        <v>49</v>
      </c>
      <c r="C681" s="14" t="n">
        <f aca="false">a26_tax/(a26_oi-a26_oth)</f>
        <v>0.1</v>
      </c>
      <c r="D681" s="14" t="n">
        <f aca="false">a27_tax/(a27_oi-a27_oth)</f>
        <v>0.11</v>
      </c>
      <c r="E681" s="14" t="n">
        <f aca="false">tx_f</f>
        <v>0.13</v>
      </c>
      <c r="F681" s="14" t="n">
        <f aca="false">tx_f</f>
        <v>0.13</v>
      </c>
      <c r="G681" s="14" t="n">
        <f aca="false">tx_f</f>
        <v>0.13</v>
      </c>
    </row>
    <row r="682" customFormat="false" ht="17.15" hidden="false" customHeight="false" outlineLevel="0" collapsed="false">
      <c r="A682" s="4" t="s">
        <v>708</v>
      </c>
      <c r="B682" s="0" t="s">
        <v>239</v>
      </c>
      <c r="C682" s="22" t="n">
        <f aca="false">a26_ni</f>
        <v>2.46564</v>
      </c>
      <c r="D682" s="22" t="n">
        <f aca="false">a27_ni</f>
        <v>3.83971098</v>
      </c>
      <c r="E682" s="22" t="n">
        <f aca="false">(E678-E680)*(1-E681)</f>
        <v>5.92345119878453</v>
      </c>
      <c r="F682" s="22" t="n">
        <f aca="false">(F678-F680)*(1-F681)</f>
        <v>7.72939652584223</v>
      </c>
      <c r="G682" s="22" t="n">
        <f aca="false">(G678-G680)*(1-G681)</f>
        <v>9.41090964292585</v>
      </c>
    </row>
    <row r="683" customFormat="false" ht="15" hidden="false" customHeight="false" outlineLevel="0" collapsed="false">
      <c r="A683" s="4" t="s">
        <v>776</v>
      </c>
      <c r="B683" s="4" t="s">
        <v>370</v>
      </c>
      <c r="C683" s="16" t="n">
        <f aca="false">a26_sh</f>
        <v>0.8697</v>
      </c>
      <c r="D683" s="16" t="n">
        <f aca="false">a27_sh</f>
        <v>0.915125</v>
      </c>
      <c r="E683" s="16" t="n">
        <f aca="false">D683*(1+sh_g)</f>
        <v>0.919700625</v>
      </c>
      <c r="F683" s="16" t="n">
        <f aca="false">E683*(1+sh_g)</f>
        <v>0.924299128125</v>
      </c>
      <c r="G683" s="16" t="n">
        <f aca="false">F683*(1+sh_g)</f>
        <v>0.928920623765625</v>
      </c>
    </row>
    <row r="684" customFormat="false" ht="17.15" hidden="false" customHeight="false" outlineLevel="0" collapsed="false">
      <c r="A684" s="0" t="s">
        <v>709</v>
      </c>
      <c r="B684" s="0" t="s">
        <v>253</v>
      </c>
      <c r="C684" s="22" t="n">
        <f aca="false">C682/C683</f>
        <v>2.83504656778199</v>
      </c>
      <c r="D684" s="22" t="n">
        <f aca="false">D682/D683</f>
        <v>4.19583224149706</v>
      </c>
      <c r="E684" s="22" t="n">
        <f aca="false">E682/E683</f>
        <v>6.44062974164504</v>
      </c>
      <c r="F684" s="22" t="n">
        <f aca="false">F682/F683</f>
        <v>8.36244056782982</v>
      </c>
      <c r="G684" s="22" t="n">
        <f aca="false">G682/G683</f>
        <v>10.1310159362985</v>
      </c>
    </row>
    <row r="685" customFormat="false" ht="17.15" hidden="false" customHeight="false" outlineLevel="0" collapsed="false">
      <c r="A685" s="0" t="s">
        <v>777</v>
      </c>
      <c r="B685" s="0" t="s">
        <v>49</v>
      </c>
      <c r="D685" s="14" t="n">
        <f aca="false">D684/C684-1</f>
        <v>0.479987062357033</v>
      </c>
      <c r="E685" s="14" t="n">
        <f aca="false">E684/D684-1</f>
        <v>0.535006494765633</v>
      </c>
      <c r="F685" s="14" t="n">
        <f aca="false">F684/E684-1</f>
        <v>0.298388651929232</v>
      </c>
      <c r="G685" s="14" t="n">
        <f aca="false">G684/F684-1</f>
        <v>0.211490336358541</v>
      </c>
    </row>
    <row r="688" customFormat="false" ht="17.15" hidden="false" customHeight="false" outlineLevel="0" collapsed="false">
      <c r="A688" s="3" t="s">
        <v>1179</v>
      </c>
    </row>
    <row r="689" customFormat="false" ht="17.15" hidden="false" customHeight="false" outlineLevel="0" collapsed="false">
      <c r="A689" s="5" t="s">
        <v>25</v>
      </c>
      <c r="B689" s="5" t="s">
        <v>26</v>
      </c>
      <c r="C689" s="11" t="s">
        <v>698</v>
      </c>
      <c r="D689" s="11" t="s">
        <v>699</v>
      </c>
      <c r="E689" s="11" t="s">
        <v>700</v>
      </c>
      <c r="F689" s="11" t="s">
        <v>701</v>
      </c>
      <c r="G689" s="11" t="s">
        <v>702</v>
      </c>
      <c r="H689" s="5" t="s">
        <v>555</v>
      </c>
    </row>
    <row r="690" customFormat="false" ht="17.15" hidden="false" customHeight="false" outlineLevel="0" collapsed="false">
      <c r="A690" s="1" t="s">
        <v>717</v>
      </c>
    </row>
    <row r="691" customFormat="false" ht="17.15" hidden="false" customHeight="false" outlineLevel="0" collapsed="false">
      <c r="A691" s="0" t="s">
        <v>718</v>
      </c>
      <c r="B691" s="4" t="s">
        <v>36</v>
      </c>
      <c r="D691" s="22" t="n">
        <f aca="false">u_trn_26</f>
        <v>2</v>
      </c>
      <c r="E691" s="22" t="n">
        <f aca="false">u_trn_27</f>
        <v>2.5</v>
      </c>
      <c r="F691" s="22" t="n">
        <f aca="false">u_trn_28*um28_A</f>
        <v>3</v>
      </c>
      <c r="G691" s="22" t="n">
        <f aca="false">u_trn_28*(1+g29_trn)*um29_A</f>
        <v>3.45</v>
      </c>
    </row>
    <row r="692" customFormat="false" ht="17.15" hidden="false" customHeight="false" outlineLevel="0" collapsed="false">
      <c r="A692" s="4" t="s">
        <v>719</v>
      </c>
      <c r="B692" s="4" t="s">
        <v>36</v>
      </c>
      <c r="D692" s="22" t="n">
        <f aca="false">u_oth_26</f>
        <v>1</v>
      </c>
      <c r="E692" s="22" t="n">
        <f aca="false">u_oth_27</f>
        <v>4.5</v>
      </c>
      <c r="F692" s="22" t="n">
        <f aca="false">u_oth_28*um28_A</f>
        <v>5</v>
      </c>
      <c r="G692" s="22" t="n">
        <f aca="false">u_oth_28*(1+g29_oth)*um29_A</f>
        <v>5.75</v>
      </c>
    </row>
    <row r="693" customFormat="false" ht="17.15" hidden="false" customHeight="false" outlineLevel="0" collapsed="false">
      <c r="A693" s="0" t="s">
        <v>720</v>
      </c>
      <c r="B693" s="4" t="s">
        <v>36</v>
      </c>
      <c r="D693" s="22" t="n">
        <f aca="false">u_tpu_26</f>
        <v>3.85</v>
      </c>
      <c r="E693" s="22" t="n">
        <f aca="false">u_tpu_27</f>
        <v>5.5</v>
      </c>
      <c r="F693" s="22" t="n">
        <f aca="false">u_tpu_28*um28_A</f>
        <v>7</v>
      </c>
      <c r="G693" s="22" t="n">
        <f aca="false">u_tpu_28*(1+g29_tpu)*um29_A</f>
        <v>8.05</v>
      </c>
    </row>
    <row r="694" customFormat="false" ht="17.15" hidden="false" customHeight="false" outlineLevel="0" collapsed="false">
      <c r="A694" s="0" t="s">
        <v>658</v>
      </c>
      <c r="B694" s="0" t="s">
        <v>49</v>
      </c>
      <c r="D694" s="14" t="n">
        <f aca="false">msh_trn_26</f>
        <v>0.1</v>
      </c>
      <c r="E694" s="14" t="n">
        <f aca="false">MIN(1,MAX(0,msh_trn_27+0))</f>
        <v>0.1</v>
      </c>
      <c r="F694" s="14" t="n">
        <f aca="false">MIN(1,MAX(0,msh_trn_28+0))</f>
        <v>0.08</v>
      </c>
      <c r="G694" s="14" t="n">
        <f aca="false">MIN(1,MAX(0,msh_trn_28+0))</f>
        <v>0.08</v>
      </c>
    </row>
    <row r="695" customFormat="false" ht="17.15" hidden="false" customHeight="false" outlineLevel="0" collapsed="false">
      <c r="A695" s="0" t="s">
        <v>666</v>
      </c>
      <c r="B695" s="0" t="s">
        <v>49</v>
      </c>
      <c r="D695" s="14" t="n">
        <f aca="false">msh_oth_26</f>
        <v>0.05</v>
      </c>
      <c r="E695" s="14" t="n">
        <f aca="false">MIN(1,MAX(0,msh_oth_27+0))</f>
        <v>0.06</v>
      </c>
      <c r="F695" s="14" t="n">
        <f aca="false">MIN(1,MAX(0,msh_oth_28+0))</f>
        <v>0.15</v>
      </c>
      <c r="G695" s="14" t="n">
        <f aca="false">MIN(1,MAX(0,msh_oth_28+0))</f>
        <v>0.15</v>
      </c>
    </row>
    <row r="696" customFormat="false" ht="17.15" hidden="false" customHeight="false" outlineLevel="0" collapsed="false">
      <c r="A696" s="0" t="s">
        <v>670</v>
      </c>
      <c r="B696" s="0" t="s">
        <v>49</v>
      </c>
      <c r="D696" s="14" t="n">
        <f aca="false">msh_tpu_26</f>
        <v>0</v>
      </c>
      <c r="E696" s="14" t="n">
        <f aca="false">MIN(1,MAX(0,msh_tpu_27+0))</f>
        <v>0</v>
      </c>
      <c r="F696" s="14" t="n">
        <f aca="false">MIN(1,MAX(0,msh_tpu_28+0))</f>
        <v>0.05</v>
      </c>
      <c r="G696" s="14" t="n">
        <f aca="false">MIN(1,MAX(0,msh_tpu_28+0))</f>
        <v>0.05</v>
      </c>
    </row>
    <row r="697" customFormat="false" ht="17.15" hidden="false" customHeight="false" outlineLevel="0" collapsed="false">
      <c r="A697" s="0" t="s">
        <v>660</v>
      </c>
      <c r="B697" s="4" t="s">
        <v>36</v>
      </c>
      <c r="D697" s="16" t="n">
        <f aca="false">D691*D694</f>
        <v>0.2</v>
      </c>
      <c r="E697" s="16" t="n">
        <f aca="false">E691*E694*1</f>
        <v>0.25</v>
      </c>
      <c r="F697" s="16" t="n">
        <f aca="false">F691*F694*1</f>
        <v>0.24</v>
      </c>
      <c r="G697" s="16" t="n">
        <f aca="false">G691*G694*1</f>
        <v>0.276</v>
      </c>
    </row>
    <row r="698" customFormat="false" ht="17.15" hidden="false" customHeight="false" outlineLevel="0" collapsed="false">
      <c r="A698" s="0" t="s">
        <v>667</v>
      </c>
      <c r="B698" s="4" t="s">
        <v>36</v>
      </c>
      <c r="D698" s="16" t="n">
        <f aca="false">D692*D695</f>
        <v>0.05</v>
      </c>
      <c r="E698" s="16" t="n">
        <f aca="false">E692*E695*1</f>
        <v>0.27</v>
      </c>
      <c r="F698" s="16" t="n">
        <f aca="false">F692*F695*1</f>
        <v>0.75</v>
      </c>
      <c r="G698" s="16" t="n">
        <f aca="false">G692*G695*1</f>
        <v>0.8625</v>
      </c>
    </row>
    <row r="699" customFormat="false" ht="17.15" hidden="false" customHeight="false" outlineLevel="0" collapsed="false">
      <c r="A699" s="0" t="s">
        <v>671</v>
      </c>
      <c r="B699" s="4" t="s">
        <v>36</v>
      </c>
      <c r="D699" s="16" t="n">
        <f aca="false">D693*D696</f>
        <v>0</v>
      </c>
      <c r="E699" s="16" t="n">
        <f aca="false">E693*E696*1</f>
        <v>0</v>
      </c>
      <c r="F699" s="16" t="n">
        <f aca="false">F693*F696*1</f>
        <v>0.35</v>
      </c>
      <c r="G699" s="16" t="n">
        <f aca="false">G693*G696*1</f>
        <v>0.4025</v>
      </c>
    </row>
    <row r="700" customFormat="false" ht="17.15" hidden="false" customHeight="false" outlineLevel="0" collapsed="false">
      <c r="A700" s="4" t="s">
        <v>721</v>
      </c>
      <c r="B700" s="0" t="s">
        <v>100</v>
      </c>
      <c r="D700" s="23" t="n">
        <f aca="false">gb_trn_26</f>
        <v>110</v>
      </c>
      <c r="E700" s="23" t="n">
        <f aca="false">gb_trn_27</f>
        <v>144</v>
      </c>
      <c r="F700" s="23" t="n">
        <f aca="false">gb_trn_28</f>
        <v>200</v>
      </c>
      <c r="G700" s="23" t="n">
        <f aca="false">gb_trn_28</f>
        <v>200</v>
      </c>
    </row>
    <row r="701" customFormat="false" ht="17.15" hidden="false" customHeight="false" outlineLevel="0" collapsed="false">
      <c r="A701" s="4" t="s">
        <v>722</v>
      </c>
      <c r="B701" s="0" t="s">
        <v>100</v>
      </c>
      <c r="D701" s="23" t="n">
        <f aca="false">gb_oth_26</f>
        <v>150</v>
      </c>
      <c r="E701" s="23" t="n">
        <f aca="false">gb_oth_27</f>
        <v>200</v>
      </c>
      <c r="F701" s="23" t="n">
        <f aca="false">gb_oth_28</f>
        <v>250</v>
      </c>
      <c r="G701" s="23" t="n">
        <f aca="false">gb_oth_28</f>
        <v>250</v>
      </c>
    </row>
    <row r="702" customFormat="false" ht="17.15" hidden="false" customHeight="false" outlineLevel="0" collapsed="false">
      <c r="A702" s="4" t="s">
        <v>723</v>
      </c>
      <c r="B702" s="0" t="s">
        <v>100</v>
      </c>
      <c r="D702" s="23" t="n">
        <f aca="false">gb_tpu_26</f>
        <v>192</v>
      </c>
      <c r="E702" s="23" t="n">
        <f aca="false">gb_tpu_27</f>
        <v>250</v>
      </c>
      <c r="F702" s="23" t="n">
        <f aca="false">gb_tpu_28</f>
        <v>288</v>
      </c>
      <c r="G702" s="23" t="n">
        <f aca="false">gb_tpu_28</f>
        <v>288</v>
      </c>
    </row>
    <row r="703" customFormat="false" ht="17.15" hidden="false" customHeight="false" outlineLevel="0" collapsed="false">
      <c r="A703" s="0" t="s">
        <v>724</v>
      </c>
      <c r="B703" s="0" t="s">
        <v>200</v>
      </c>
      <c r="D703" s="22" t="n">
        <f aca="false">hbm_A_26</f>
        <v>14.6</v>
      </c>
      <c r="E703" s="22" t="n">
        <f aca="false">hbm_A_27</f>
        <v>26.28</v>
      </c>
      <c r="F703" s="22" t="n">
        <f aca="false">hbm_A_28</f>
        <v>28.908</v>
      </c>
      <c r="G703" s="22" t="n">
        <f aca="false">hbm_A_29</f>
        <v>27.4626</v>
      </c>
    </row>
    <row r="704" customFormat="false" ht="17.15" hidden="false" customHeight="false" outlineLevel="0" collapsed="false">
      <c r="A704" s="4" t="s">
        <v>725</v>
      </c>
      <c r="B704" s="0" t="s">
        <v>122</v>
      </c>
      <c r="D704" s="22" t="n">
        <f aca="false">core_trn</f>
        <v>6.394</v>
      </c>
      <c r="E704" s="22" t="n">
        <f aca="false">core_trn*1</f>
        <v>6.394</v>
      </c>
      <c r="F704" s="22" t="n">
        <f aca="false">core_trn*1</f>
        <v>6.394</v>
      </c>
      <c r="G704" s="22" t="n">
        <f aca="false">core_trn*1</f>
        <v>6.394</v>
      </c>
    </row>
    <row r="705" customFormat="false" ht="17.15" hidden="false" customHeight="false" outlineLevel="0" collapsed="false">
      <c r="A705" s="4" t="s">
        <v>726</v>
      </c>
      <c r="B705" s="0" t="s">
        <v>122</v>
      </c>
      <c r="D705" s="22" t="n">
        <f aca="false">core_oth</f>
        <v>6</v>
      </c>
      <c r="E705" s="22" t="n">
        <f aca="false">core_oth*1</f>
        <v>6</v>
      </c>
      <c r="F705" s="22" t="n">
        <f aca="false">core_oth*1</f>
        <v>6</v>
      </c>
      <c r="G705" s="22" t="n">
        <f aca="false">core_oth*1</f>
        <v>6</v>
      </c>
    </row>
    <row r="706" customFormat="false" ht="17.15" hidden="false" customHeight="false" outlineLevel="0" collapsed="false">
      <c r="A706" s="4" t="s">
        <v>727</v>
      </c>
      <c r="B706" s="0" t="s">
        <v>122</v>
      </c>
      <c r="D706" s="22" t="n">
        <f aca="false">core_tpu</f>
        <v>8</v>
      </c>
      <c r="E706" s="22" t="n">
        <f aca="false">core_tpu*1</f>
        <v>8</v>
      </c>
      <c r="F706" s="22" t="n">
        <f aca="false">core_tpu*1</f>
        <v>8</v>
      </c>
      <c r="G706" s="22" t="n">
        <f aca="false">core_tpu*1</f>
        <v>8</v>
      </c>
    </row>
    <row r="707" customFormat="false" ht="17.15" hidden="false" customHeight="false" outlineLevel="0" collapsed="false">
      <c r="A707" s="4" t="s">
        <v>728</v>
      </c>
      <c r="B707" s="0" t="s">
        <v>122</v>
      </c>
      <c r="D707" s="22" t="n">
        <f aca="false">D700*D703/1000</f>
        <v>1.606</v>
      </c>
      <c r="E707" s="22" t="n">
        <f aca="false">E700*E703/1000</f>
        <v>3.78432</v>
      </c>
      <c r="F707" s="22" t="n">
        <f aca="false">F700*F703/1000</f>
        <v>5.7816</v>
      </c>
      <c r="G707" s="22" t="n">
        <f aca="false">G700*G703/1000</f>
        <v>5.49252</v>
      </c>
    </row>
    <row r="708" customFormat="false" ht="17.15" hidden="false" customHeight="false" outlineLevel="0" collapsed="false">
      <c r="A708" s="4" t="s">
        <v>729</v>
      </c>
      <c r="B708" s="0" t="s">
        <v>122</v>
      </c>
      <c r="D708" s="22" t="n">
        <f aca="false">D701*D703/1000</f>
        <v>2.19</v>
      </c>
      <c r="E708" s="22" t="n">
        <f aca="false">E701*E703/1000</f>
        <v>5.256</v>
      </c>
      <c r="F708" s="22" t="n">
        <f aca="false">F701*F703/1000</f>
        <v>7.227</v>
      </c>
      <c r="G708" s="22" t="n">
        <f aca="false">G701*G703/1000</f>
        <v>6.86565</v>
      </c>
    </row>
    <row r="709" customFormat="false" ht="17.15" hidden="false" customHeight="false" outlineLevel="0" collapsed="false">
      <c r="A709" s="4" t="s">
        <v>730</v>
      </c>
      <c r="B709" s="0" t="s">
        <v>122</v>
      </c>
      <c r="D709" s="22" t="n">
        <f aca="false">D702*D703/1000</f>
        <v>2.8032</v>
      </c>
      <c r="E709" s="22" t="n">
        <f aca="false">E702*E703/1000</f>
        <v>6.57</v>
      </c>
      <c r="F709" s="22" t="n">
        <f aca="false">F702*F703/1000</f>
        <v>8.325504</v>
      </c>
      <c r="G709" s="22" t="n">
        <f aca="false">G702*G703/1000</f>
        <v>7.9092288</v>
      </c>
    </row>
    <row r="710" customFormat="false" ht="17.15" hidden="false" customHeight="false" outlineLevel="0" collapsed="false">
      <c r="A710" s="4" t="s">
        <v>731</v>
      </c>
      <c r="B710" s="0" t="s">
        <v>122</v>
      </c>
      <c r="D710" s="22" t="n">
        <f aca="false">D704+f_hbm_hi*D707</f>
        <v>8</v>
      </c>
      <c r="E710" s="22" t="n">
        <f aca="false">E704+f_hbm_hi*E707</f>
        <v>10.17832</v>
      </c>
      <c r="F710" s="22" t="n">
        <f aca="false">F704+f_hbm_hi*F707</f>
        <v>12.1756</v>
      </c>
      <c r="G710" s="22" t="n">
        <f aca="false">G704+f_hbm_hi*G707</f>
        <v>11.88652</v>
      </c>
      <c r="H710" s="4" t="s">
        <v>732</v>
      </c>
    </row>
    <row r="711" customFormat="false" ht="17.15" hidden="false" customHeight="false" outlineLevel="0" collapsed="false">
      <c r="A711" s="4" t="s">
        <v>733</v>
      </c>
      <c r="B711" s="0" t="s">
        <v>122</v>
      </c>
      <c r="D711" s="22" t="n">
        <f aca="false">D705+f_hbm_hi*D708</f>
        <v>8.19</v>
      </c>
      <c r="E711" s="22" t="n">
        <f aca="false">E705+f_hbm_hi*E708</f>
        <v>11.256</v>
      </c>
      <c r="F711" s="22" t="n">
        <f aca="false">F705+f_hbm_hi*F708</f>
        <v>13.227</v>
      </c>
      <c r="G711" s="22" t="n">
        <f aca="false">G705+f_hbm_hi*G708</f>
        <v>12.86565</v>
      </c>
    </row>
    <row r="712" customFormat="false" ht="17.15" hidden="false" customHeight="false" outlineLevel="0" collapsed="false">
      <c r="A712" s="4" t="s">
        <v>734</v>
      </c>
      <c r="B712" s="0" t="s">
        <v>122</v>
      </c>
      <c r="D712" s="22" t="n">
        <f aca="false">D706+f_hbm_hi*D709</f>
        <v>10.8032</v>
      </c>
      <c r="E712" s="22" t="n">
        <f aca="false">E706+f_hbm_hi*E709</f>
        <v>14.57</v>
      </c>
      <c r="F712" s="22" t="n">
        <f aca="false">F706+f_hbm_hi*F709</f>
        <v>16.325504</v>
      </c>
      <c r="G712" s="22" t="n">
        <f aca="false">G706+f_hbm_hi*G709</f>
        <v>15.9092288</v>
      </c>
    </row>
    <row r="713" customFormat="false" ht="17.15" hidden="false" customHeight="false" outlineLevel="0" collapsed="false">
      <c r="A713" s="0" t="s">
        <v>735</v>
      </c>
      <c r="B713" s="0" t="s">
        <v>239</v>
      </c>
      <c r="D713" s="22" t="n">
        <f aca="false">D697*D710+D698*D711+D699*D712</f>
        <v>2.0095</v>
      </c>
      <c r="E713" s="22" t="n">
        <f aca="false">E697*E710+E698*E711+E699*E712</f>
        <v>5.5837</v>
      </c>
      <c r="F713" s="22" t="n">
        <f aca="false">F697*F710+F698*F711+F699*F712</f>
        <v>18.5563204</v>
      </c>
      <c r="G713" s="22" t="n">
        <f aca="false">G697*G710+G698*G711+G699*G712</f>
        <v>20.780767237</v>
      </c>
    </row>
    <row r="714" customFormat="false" ht="17.15" hidden="false" customHeight="false" outlineLevel="0" collapsed="false">
      <c r="A714" s="0" t="s">
        <v>736</v>
      </c>
      <c r="B714" s="0" t="s">
        <v>80</v>
      </c>
      <c r="D714" s="16" t="n">
        <f aca="false">a27_xpu/D713</f>
        <v>0.734013436178154</v>
      </c>
      <c r="H714" s="7" t="s">
        <v>737</v>
      </c>
    </row>
    <row r="715" customFormat="false" ht="17.15" hidden="false" customHeight="false" outlineLevel="0" collapsed="false">
      <c r="A715" s="0" t="s">
        <v>738</v>
      </c>
      <c r="B715" s="0" t="s">
        <v>239</v>
      </c>
      <c r="D715" s="22" t="n">
        <f aca="false">D713*$D$714</f>
        <v>1.475</v>
      </c>
      <c r="E715" s="22" t="n">
        <f aca="false">E713*$D$714</f>
        <v>4.09851082358796</v>
      </c>
      <c r="F715" s="22" t="n">
        <f aca="false">F713*$D$714</f>
        <v>13.6205884996268</v>
      </c>
      <c r="G715" s="22" t="n">
        <f aca="false">G713*$D$714</f>
        <v>15.2533623660488</v>
      </c>
    </row>
    <row r="716" customFormat="false" ht="17.15" hidden="false" customHeight="false" outlineLevel="0" collapsed="false">
      <c r="A716" s="4" t="s">
        <v>739</v>
      </c>
      <c r="B716" s="0" t="s">
        <v>239</v>
      </c>
      <c r="D716" s="22" t="n">
        <f aca="false">$D$714*f_hbm_hi*(D697*D707+D698*D708+D699*D709)</f>
        <v>0.316139586961931</v>
      </c>
      <c r="E716" s="22" t="n">
        <f aca="false">$D$714*f_hbm_hi*(E697*E707+E698*E708+E699*E709)</f>
        <v>1.73608857924857</v>
      </c>
      <c r="F716" s="22" t="n">
        <f aca="false">$D$714*f_hbm_hi*(F697*F707+F698*F708+F699*F709)</f>
        <v>7.1359027569047</v>
      </c>
      <c r="G716" s="22" t="n">
        <f aca="false">$D$714*f_hbm_hi*(G697*G707+G698*G708+G699*G709)</f>
        <v>7.79597376191839</v>
      </c>
    </row>
    <row r="717" customFormat="false" ht="15" hidden="false" customHeight="false" outlineLevel="0" collapsed="false">
      <c r="A717" s="4" t="s">
        <v>740</v>
      </c>
      <c r="B717" s="0" t="s">
        <v>239</v>
      </c>
      <c r="D717" s="22" t="n">
        <f aca="false">D715-D716</f>
        <v>1.15886041303807</v>
      </c>
      <c r="E717" s="22" t="n">
        <f aca="false">E715-E716</f>
        <v>2.36242224433939</v>
      </c>
      <c r="F717" s="22" t="n">
        <f aca="false">F715-F716</f>
        <v>6.48468574272207</v>
      </c>
      <c r="G717" s="22" t="n">
        <f aca="false">G715-G716</f>
        <v>7.45738860413038</v>
      </c>
    </row>
    <row r="718" customFormat="false" ht="17.15" hidden="false" customHeight="false" outlineLevel="0" collapsed="false">
      <c r="A718" s="0" t="s">
        <v>741</v>
      </c>
      <c r="B718" s="4" t="s">
        <v>36</v>
      </c>
      <c r="D718" s="16" t="n">
        <f aca="false">D697+D698+D699</f>
        <v>0.25</v>
      </c>
      <c r="E718" s="16" t="n">
        <f aca="false">E697+E698+E699</f>
        <v>0.52</v>
      </c>
      <c r="F718" s="16" t="n">
        <f aca="false">F697+F698+F699</f>
        <v>1.34</v>
      </c>
      <c r="G718" s="16" t="n">
        <f aca="false">G697+G698+G699</f>
        <v>1.541</v>
      </c>
    </row>
    <row r="719" customFormat="false" ht="17.15" hidden="false" customHeight="false" outlineLevel="0" collapsed="false">
      <c r="A719" s="0" t="s">
        <v>742</v>
      </c>
      <c r="B719" s="0" t="s">
        <v>239</v>
      </c>
      <c r="C719" s="22" t="n">
        <f aca="false">a26_att</f>
        <v>0.2</v>
      </c>
      <c r="D719" s="22" t="n">
        <f aca="false">a27_att</f>
        <v>0.4</v>
      </c>
      <c r="E719" s="22" t="n">
        <f aca="false">att28</f>
        <v>1</v>
      </c>
      <c r="F719" s="22" t="n">
        <f aca="false">att28*(1+g_att)*um28_A</f>
        <v>1.5</v>
      </c>
      <c r="G719" s="22" t="n">
        <f aca="false">att28*(1+g_att)^2*um29_A</f>
        <v>2.25</v>
      </c>
      <c r="H719" s="7" t="s">
        <v>743</v>
      </c>
    </row>
    <row r="720" customFormat="false" ht="17.15" hidden="false" customHeight="false" outlineLevel="0" collapsed="false">
      <c r="A720" s="4" t="s">
        <v>744</v>
      </c>
      <c r="B720" s="0" t="s">
        <v>239</v>
      </c>
      <c r="C720" s="22" t="n">
        <f aca="false">a26_cus</f>
        <v>1.5</v>
      </c>
      <c r="D720" s="22" t="n">
        <f aca="false">D715+D719</f>
        <v>1.875</v>
      </c>
      <c r="E720" s="22" t="n">
        <f aca="false">E715+E719</f>
        <v>5.09851082358796</v>
      </c>
      <c r="F720" s="22" t="n">
        <f aca="false">F715+F719</f>
        <v>15.1205884996268</v>
      </c>
      <c r="G720" s="22" t="n">
        <f aca="false">G715+G719</f>
        <v>17.5033623660488</v>
      </c>
    </row>
    <row r="721" customFormat="false" ht="17.15" hidden="false" customHeight="false" outlineLevel="0" collapsed="false">
      <c r="A721" s="1" t="s">
        <v>745</v>
      </c>
    </row>
    <row r="722" customFormat="false" ht="17.15" hidden="false" customHeight="false" outlineLevel="0" collapsed="false">
      <c r="A722" s="0" t="s">
        <v>746</v>
      </c>
      <c r="B722" s="0" t="s">
        <v>239</v>
      </c>
      <c r="D722" s="22" t="n">
        <f aca="false">plug_26*1</f>
        <v>29.753262</v>
      </c>
      <c r="E722" s="22" t="n">
        <f aca="false">plug_27*1</f>
        <v>53.560715</v>
      </c>
      <c r="F722" s="22" t="n">
        <f aca="false">plug_28*um28_A</f>
        <v>57.9915</v>
      </c>
      <c r="G722" s="22" t="n">
        <f aca="false">plug_29*um29_A</f>
        <v>72.9348</v>
      </c>
    </row>
    <row r="723" customFormat="false" ht="17.15" hidden="false" customHeight="false" outlineLevel="0" collapsed="false">
      <c r="A723" s="4" t="s">
        <v>747</v>
      </c>
      <c r="B723" s="4" t="s">
        <v>680</v>
      </c>
      <c r="D723" s="19" t="n">
        <f aca="false">D722*1000/asp_26</f>
        <v>45.7742492307692</v>
      </c>
      <c r="E723" s="19" t="n">
        <f aca="false">E722*1000/asp_27</f>
        <v>66.95089375</v>
      </c>
      <c r="F723" s="19" t="n">
        <f aca="false">F722*1000/asp_28</f>
        <v>68.2252941176471</v>
      </c>
      <c r="G723" s="19" t="n">
        <f aca="false">G722*1000/asp_29</f>
        <v>85.8056470588235</v>
      </c>
    </row>
    <row r="724" customFormat="false" ht="17.15" hidden="false" customHeight="false" outlineLevel="0" collapsed="false">
      <c r="A724" s="4" t="s">
        <v>748</v>
      </c>
      <c r="B724" s="0" t="s">
        <v>49</v>
      </c>
      <c r="D724" s="14" t="n">
        <f aca="false">MIN(1,lpo_26)</f>
        <v>0.03</v>
      </c>
      <c r="E724" s="14" t="n">
        <f aca="false">MIN(1,lpo_27+0)</f>
        <v>0.06</v>
      </c>
      <c r="F724" s="14" t="n">
        <f aca="false">MIN(1,lpo_28+0)</f>
        <v>0.1</v>
      </c>
      <c r="G724" s="14" t="n">
        <f aca="false">MIN(1,lpo_29+0)</f>
        <v>0.15</v>
      </c>
    </row>
    <row r="725" customFormat="false" ht="15" hidden="false" customHeight="false" outlineLevel="0" collapsed="false">
      <c r="A725" s="4" t="s">
        <v>749</v>
      </c>
      <c r="B725" s="0" t="s">
        <v>253</v>
      </c>
      <c r="D725" s="23" t="n">
        <f aca="false">dsp_26</f>
        <v>125</v>
      </c>
      <c r="E725" s="23" t="n">
        <f aca="false">dsp_27*1</f>
        <v>135</v>
      </c>
      <c r="F725" s="23" t="n">
        <f aca="false">dsp_28*1</f>
        <v>135</v>
      </c>
      <c r="G725" s="23" t="n">
        <f aca="false">dsp_29*1</f>
        <v>130</v>
      </c>
    </row>
    <row r="726" customFormat="false" ht="17.15" hidden="false" customHeight="false" outlineLevel="0" collapsed="false">
      <c r="A726" s="4" t="s">
        <v>750</v>
      </c>
      <c r="B726" s="0" t="s">
        <v>239</v>
      </c>
      <c r="D726" s="22" t="n">
        <f aca="false">D723*(1-D724)*D725/1000</f>
        <v>5.55012771923077</v>
      </c>
      <c r="E726" s="22" t="n">
        <f aca="false">E723*(1-E724)*E725/1000</f>
        <v>8.496068416875</v>
      </c>
      <c r="F726" s="22" t="n">
        <f aca="false">F723*(1-F724)*F725/1000</f>
        <v>8.28937323529412</v>
      </c>
      <c r="G726" s="22" t="n">
        <f aca="false">G723*(1-G724)*G725/1000</f>
        <v>9.481524</v>
      </c>
    </row>
    <row r="727" customFormat="false" ht="17.15" hidden="false" customHeight="false" outlineLevel="0" collapsed="false">
      <c r="A727" s="0" t="s">
        <v>751</v>
      </c>
      <c r="B727" s="0" t="s">
        <v>49</v>
      </c>
      <c r="D727" s="14" t="n">
        <f aca="false">msh_dsp_26</f>
        <v>0.65</v>
      </c>
      <c r="E727" s="14" t="n">
        <f aca="false">msh_dsp_27+0</f>
        <v>0.63</v>
      </c>
      <c r="F727" s="14" t="n">
        <f aca="false">msh_dsp_28+0</f>
        <v>0.6</v>
      </c>
      <c r="G727" s="14" t="n">
        <f aca="false">msh_dsp_29+0</f>
        <v>0.58</v>
      </c>
    </row>
    <row r="728" customFormat="false" ht="17.15" hidden="false" customHeight="false" outlineLevel="0" collapsed="false">
      <c r="A728" s="0" t="s">
        <v>682</v>
      </c>
      <c r="B728" s="0" t="s">
        <v>239</v>
      </c>
      <c r="D728" s="22" t="n">
        <f aca="false">D726*D727</f>
        <v>3.6075830175</v>
      </c>
      <c r="E728" s="22" t="n">
        <f aca="false">E726*E727*1</f>
        <v>5.35252310263125</v>
      </c>
      <c r="F728" s="22" t="n">
        <f aca="false">F726*F727*1</f>
        <v>4.97362394117647</v>
      </c>
      <c r="G728" s="22" t="n">
        <f aca="false">G726*G727*1</f>
        <v>5.49928392</v>
      </c>
    </row>
    <row r="729" customFormat="false" ht="17.15" hidden="false" customHeight="false" outlineLevel="0" collapsed="false">
      <c r="A729" s="4" t="s">
        <v>752</v>
      </c>
      <c r="B729" s="0" t="s">
        <v>239</v>
      </c>
      <c r="D729" s="22" t="n">
        <f aca="false">coh27</f>
        <v>0.9</v>
      </c>
      <c r="E729" s="22" t="n">
        <f aca="false">D729*(1+g_coh)</f>
        <v>1.035</v>
      </c>
      <c r="F729" s="22" t="n">
        <f aca="false">E729*(1+g_coh)</f>
        <v>1.19025</v>
      </c>
      <c r="G729" s="22" t="n">
        <f aca="false">F729*(1+g_coh)</f>
        <v>1.3687875</v>
      </c>
    </row>
    <row r="730" customFormat="false" ht="17.15" hidden="false" customHeight="false" outlineLevel="0" collapsed="false">
      <c r="A730" s="4" t="s">
        <v>753</v>
      </c>
      <c r="B730" s="0" t="s">
        <v>80</v>
      </c>
      <c r="D730" s="16" t="n">
        <f aca="false">(a27_ic-D729)/D728</f>
        <v>1.44223430888795</v>
      </c>
      <c r="H730" s="7" t="s">
        <v>754</v>
      </c>
    </row>
    <row r="731" customFormat="false" ht="15" hidden="false" customHeight="false" outlineLevel="0" collapsed="false">
      <c r="A731" s="4" t="s">
        <v>755</v>
      </c>
      <c r="B731" s="0" t="s">
        <v>239</v>
      </c>
      <c r="C731" s="22" t="n">
        <f aca="false">a26_ic</f>
        <v>3.4503</v>
      </c>
      <c r="D731" s="22" t="n">
        <f aca="false">D728*$D$730+D729</f>
        <v>6.10298</v>
      </c>
      <c r="E731" s="22" t="n">
        <f aca="false">E728*$D$730+E729</f>
        <v>8.75459245773014</v>
      </c>
      <c r="F731" s="22" t="n">
        <f aca="false">F728*$D$730+F729</f>
        <v>8.36338108747118</v>
      </c>
      <c r="G731" s="22" t="n">
        <f aca="false">G728*$D$730+G729</f>
        <v>9.30004344373979</v>
      </c>
    </row>
    <row r="732" customFormat="false" ht="17.15" hidden="false" customHeight="false" outlineLevel="0" collapsed="false">
      <c r="A732" s="1" t="s">
        <v>756</v>
      </c>
    </row>
    <row r="733" customFormat="false" ht="15" hidden="false" customHeight="false" outlineLevel="0" collapsed="false">
      <c r="A733" s="4" t="s">
        <v>757</v>
      </c>
      <c r="B733" s="0" t="s">
        <v>239</v>
      </c>
      <c r="C733" s="22" t="n">
        <f aca="false">a26_sw</f>
        <v>0.3</v>
      </c>
      <c r="D733" s="22" t="n">
        <f aca="false">a27_sw</f>
        <v>0.65</v>
      </c>
      <c r="E733" s="22" t="n">
        <f aca="false">a27_sw*(1+g_sw28)</f>
        <v>1.17</v>
      </c>
      <c r="F733" s="22" t="n">
        <f aca="false">a27_sw*(1+g_sw28)*(1+g_sw)*um28_A</f>
        <v>1.638</v>
      </c>
      <c r="G733" s="22" t="n">
        <f aca="false">a27_sw*(1+g_sw28)*(1+g_sw)^2*um29_A</f>
        <v>2.2932</v>
      </c>
    </row>
    <row r="734" customFormat="false" ht="17.15" hidden="false" customHeight="false" outlineLevel="0" collapsed="false">
      <c r="A734" s="0" t="s">
        <v>758</v>
      </c>
      <c r="B734" s="0" t="s">
        <v>239</v>
      </c>
      <c r="C734" s="22" t="n">
        <f aca="false">a26_aec</f>
        <v>0.2</v>
      </c>
      <c r="D734" s="22" t="n">
        <f aca="false">a27_aec</f>
        <v>0.45</v>
      </c>
      <c r="E734" s="22" t="n">
        <f aca="false">a27_aec*(1+g_aec)</f>
        <v>0.675</v>
      </c>
      <c r="F734" s="22" t="n">
        <f aca="false">a27_aec*(1+g_aec)^2*um28_A</f>
        <v>1.0125</v>
      </c>
      <c r="G734" s="22" t="n">
        <f aca="false">a27_aec*(1+g_aec)^3*um29_A</f>
        <v>1.51875</v>
      </c>
    </row>
    <row r="735" customFormat="false" ht="15" hidden="false" customHeight="false" outlineLevel="0" collapsed="false">
      <c r="A735" s="4" t="s">
        <v>759</v>
      </c>
      <c r="B735" s="0" t="s">
        <v>239</v>
      </c>
      <c r="C735" s="22" t="n">
        <f aca="false">a26_sto</f>
        <v>0.65</v>
      </c>
      <c r="D735" s="22" t="n">
        <f aca="false">a27_sto</f>
        <v>0.6825</v>
      </c>
      <c r="E735" s="22" t="n">
        <f aca="false">D735*(1+g_sto)</f>
        <v>0.716625</v>
      </c>
      <c r="F735" s="22" t="n">
        <f aca="false">E735*(1+g_sto)</f>
        <v>0.75245625</v>
      </c>
      <c r="G735" s="22" t="n">
        <f aca="false">F735*(1+g_sto)</f>
        <v>0.7900790625</v>
      </c>
    </row>
    <row r="736" customFormat="false" ht="15" hidden="false" customHeight="false" outlineLevel="0" collapsed="false">
      <c r="A736" s="4" t="s">
        <v>760</v>
      </c>
      <c r="B736" s="0" t="s">
        <v>239</v>
      </c>
      <c r="C736" s="22" t="n">
        <f aca="false">a26_dc</f>
        <v>6.1003</v>
      </c>
      <c r="D736" s="22" t="n">
        <f aca="false">D720+D731+D733+D734+D735</f>
        <v>9.76048</v>
      </c>
      <c r="E736" s="22" t="n">
        <f aca="false">E720+E731+E733+E734+E735</f>
        <v>16.4147282813181</v>
      </c>
      <c r="F736" s="22" t="n">
        <f aca="false">F720+F731+F733+F734+F735</f>
        <v>26.886925837098</v>
      </c>
      <c r="G736" s="22" t="n">
        <f aca="false">G720+G731+G733+G734+G735</f>
        <v>31.4054348722886</v>
      </c>
    </row>
    <row r="737" customFormat="false" ht="15" hidden="false" customHeight="false" outlineLevel="0" collapsed="false">
      <c r="A737" s="4" t="s">
        <v>761</v>
      </c>
      <c r="B737" s="0" t="s">
        <v>239</v>
      </c>
      <c r="C737" s="22" t="n">
        <f aca="false">a26_co</f>
        <v>2.0943</v>
      </c>
      <c r="D737" s="22" t="n">
        <f aca="false">a27_co</f>
        <v>2.23952</v>
      </c>
      <c r="E737" s="22" t="n">
        <f aca="false">D737*(1+g_co28)</f>
        <v>2.3067056</v>
      </c>
      <c r="F737" s="22" t="n">
        <f aca="false">E737*(1+g_co)</f>
        <v>2.375906768</v>
      </c>
      <c r="G737" s="22" t="n">
        <f aca="false">F737*(1+g_co)</f>
        <v>2.44718397104</v>
      </c>
    </row>
    <row r="738" customFormat="false" ht="17.15" hidden="false" customHeight="false" outlineLevel="0" collapsed="false">
      <c r="A738" s="1" t="s">
        <v>762</v>
      </c>
    </row>
    <row r="739" customFormat="false" ht="15" hidden="false" customHeight="false" outlineLevel="0" collapsed="false">
      <c r="A739" s="4" t="s">
        <v>597</v>
      </c>
      <c r="B739" s="0" t="s">
        <v>239</v>
      </c>
      <c r="C739" s="22" t="n">
        <f aca="false">a26_rev</f>
        <v>8.1946</v>
      </c>
      <c r="D739" s="22" t="n">
        <f aca="false">a27_rev</f>
        <v>12</v>
      </c>
      <c r="E739" s="22" t="n">
        <f aca="false">E736+E737</f>
        <v>18.7214338813181</v>
      </c>
      <c r="F739" s="22" t="n">
        <f aca="false">F736+F737</f>
        <v>29.262832605098</v>
      </c>
      <c r="G739" s="22" t="n">
        <f aca="false">G736+G737</f>
        <v>33.8526188433286</v>
      </c>
    </row>
    <row r="740" customFormat="false" ht="17.15" hidden="false" customHeight="false" outlineLevel="0" collapsed="false">
      <c r="A740" s="4" t="s">
        <v>763</v>
      </c>
      <c r="B740" s="0" t="s">
        <v>239</v>
      </c>
      <c r="D740" s="22" t="n">
        <f aca="false">D736+D737</f>
        <v>12</v>
      </c>
      <c r="E740" s="22" t="n">
        <f aca="false">E736+E737</f>
        <v>18.7214338813181</v>
      </c>
      <c r="F740" s="22" t="n">
        <f aca="false">F736+F737</f>
        <v>29.262832605098</v>
      </c>
      <c r="G740" s="22" t="n">
        <f aca="false">G736+G737</f>
        <v>33.8526188433286</v>
      </c>
    </row>
    <row r="741" customFormat="false" ht="15" hidden="false" customHeight="false" outlineLevel="0" collapsed="false">
      <c r="A741" s="4" t="s">
        <v>764</v>
      </c>
      <c r="B741" s="0" t="s">
        <v>49</v>
      </c>
      <c r="D741" s="14" t="n">
        <f aca="false">D739/C739-1</f>
        <v>0.464378981280355</v>
      </c>
      <c r="E741" s="14" t="n">
        <f aca="false">E739/D739-1</f>
        <v>0.560119490109842</v>
      </c>
      <c r="F741" s="14" t="n">
        <f aca="false">F739/E739-1</f>
        <v>0.563065777472259</v>
      </c>
      <c r="G741" s="14" t="n">
        <f aca="false">G739/F739-1</f>
        <v>0.156846956689729</v>
      </c>
    </row>
    <row r="742" customFormat="false" ht="17.15" hidden="false" customHeight="false" outlineLevel="0" collapsed="false">
      <c r="A742" s="4" t="s">
        <v>765</v>
      </c>
      <c r="B742" s="0" t="s">
        <v>49</v>
      </c>
      <c r="C742" s="14" t="n">
        <f aca="false">C736/C739</f>
        <v>0.744429258292046</v>
      </c>
      <c r="D742" s="14" t="n">
        <f aca="false">D736/D739</f>
        <v>0.813373333333333</v>
      </c>
      <c r="E742" s="14" t="n">
        <f aca="false">E736/E739</f>
        <v>0.876787984583711</v>
      </c>
      <c r="F742" s="14" t="n">
        <f aca="false">F736/F739</f>
        <v>0.918808038850412</v>
      </c>
      <c r="G742" s="14" t="n">
        <f aca="false">G736/G739</f>
        <v>0.927710645301456</v>
      </c>
    </row>
    <row r="743" customFormat="false" ht="17.15" hidden="false" customHeight="false" outlineLevel="0" collapsed="false">
      <c r="A743" s="4" t="s">
        <v>766</v>
      </c>
      <c r="B743" s="0" t="s">
        <v>239</v>
      </c>
      <c r="D743" s="22" t="n">
        <f aca="false">gm_opt*D731+gm_oth*(D733+D734+D735)+gm_att*D719+gm_co*D737+m_hbm*D716</f>
        <v>6.46491295869619</v>
      </c>
      <c r="E743" s="22" t="n">
        <f aca="false">gm_opt*E731+gm_oth*(E733+E734+E735)+gm_att*E719+gm_co*E737+m_hbm*E716</f>
        <v>9.11386635429484</v>
      </c>
      <c r="F743" s="22" t="n">
        <f aca="false">gm_opt*F731+gm_oth*(F733+F734+F735)+gm_att*F719+gm_co*F737+m_hbm*F716</f>
        <v>10.2273200362373</v>
      </c>
      <c r="G743" s="22" t="n">
        <f aca="false">gm_opt*G731+gm_oth*(G733+G734+G735)+gm_att*G719+gm_co*G737+m_hbm*G716</f>
        <v>12.0567088864511</v>
      </c>
    </row>
    <row r="744" customFormat="false" ht="17.15" hidden="false" customHeight="false" outlineLevel="0" collapsed="false">
      <c r="A744" s="0" t="s">
        <v>767</v>
      </c>
      <c r="B744" s="0" t="s">
        <v>80</v>
      </c>
      <c r="D744" s="16" t="n">
        <f aca="false">(a27_gp-D743)/D717</f>
        <v>0.467501551704148</v>
      </c>
      <c r="H744" s="7" t="s">
        <v>768</v>
      </c>
    </row>
    <row r="745" customFormat="false" ht="15" hidden="false" customHeight="false" outlineLevel="0" collapsed="false">
      <c r="A745" s="4" t="s">
        <v>769</v>
      </c>
      <c r="B745" s="0" t="s">
        <v>239</v>
      </c>
      <c r="C745" s="22" t="n">
        <f aca="false">a26_gp</f>
        <v>4.8718</v>
      </c>
      <c r="D745" s="22" t="n">
        <f aca="false">a27_gp</f>
        <v>7.006682</v>
      </c>
      <c r="E745" s="22" t="n">
        <f aca="false">E743+$D$744*E717</f>
        <v>10.2183024193039</v>
      </c>
      <c r="F745" s="22" t="n">
        <f aca="false">F743+$D$744*F717</f>
        <v>13.2589206832736</v>
      </c>
      <c r="G745" s="22" t="n">
        <f aca="false">G743+$D$744*G717</f>
        <v>15.5430496305429</v>
      </c>
    </row>
    <row r="746" customFormat="false" ht="15" hidden="false" customHeight="false" outlineLevel="0" collapsed="false">
      <c r="A746" s="4" t="s">
        <v>621</v>
      </c>
      <c r="B746" s="0" t="s">
        <v>49</v>
      </c>
      <c r="C746" s="14" t="n">
        <f aca="false">C745/C739</f>
        <v>0.59451346008347</v>
      </c>
      <c r="D746" s="14" t="n">
        <f aca="false">D745/D739</f>
        <v>0.583890166666667</v>
      </c>
      <c r="E746" s="14" t="n">
        <f aca="false">E745/E739</f>
        <v>0.545807681403112</v>
      </c>
      <c r="F746" s="14" t="n">
        <f aca="false">F745/F739</f>
        <v>0.453097649916631</v>
      </c>
      <c r="G746" s="14" t="n">
        <f aca="false">G745/G739</f>
        <v>0.459138765673546</v>
      </c>
    </row>
    <row r="747" customFormat="false" ht="17.15" hidden="false" customHeight="false" outlineLevel="0" collapsed="false">
      <c r="A747" s="4" t="s">
        <v>770</v>
      </c>
      <c r="B747" s="0" t="s">
        <v>49</v>
      </c>
      <c r="C747" s="14" t="n">
        <f aca="false">C720/C739</f>
        <v>0.183047372660044</v>
      </c>
      <c r="D747" s="14" t="n">
        <f aca="false">D720/D739</f>
        <v>0.15625</v>
      </c>
      <c r="E747" s="14" t="n">
        <f aca="false">E720/E739</f>
        <v>0.27233548754381</v>
      </c>
      <c r="F747" s="14" t="n">
        <f aca="false">F720/F739</f>
        <v>0.516716501908041</v>
      </c>
      <c r="G747" s="14" t="n">
        <f aca="false">G720/G739</f>
        <v>0.51704603555356</v>
      </c>
    </row>
    <row r="748" customFormat="false" ht="15" hidden="false" customHeight="false" outlineLevel="0" collapsed="false">
      <c r="A748" s="4" t="s">
        <v>771</v>
      </c>
      <c r="B748" s="0" t="s">
        <v>239</v>
      </c>
      <c r="C748" s="22" t="n">
        <f aca="false">a26_opx</f>
        <v>1.9808</v>
      </c>
      <c r="D748" s="22" t="n">
        <f aca="false">a27_opx</f>
        <v>2.55</v>
      </c>
      <c r="E748" s="22" t="n">
        <f aca="false">D748*(1+MAX(g_opx_min,phi*E741))</f>
        <v>3.26415234989005</v>
      </c>
      <c r="F748" s="22" t="n">
        <f aca="false">E748*(1+MAX(g_opx_min,phi*F741))</f>
        <v>4.18311859022942</v>
      </c>
      <c r="G748" s="22" t="n">
        <f aca="false">F748*(1+MAX(g_opx_min,phi*G741))</f>
        <v>4.51117330040428</v>
      </c>
    </row>
    <row r="749" customFormat="false" ht="15" hidden="false" customHeight="false" outlineLevel="0" collapsed="false">
      <c r="A749" s="4" t="s">
        <v>772</v>
      </c>
      <c r="B749" s="0" t="s">
        <v>239</v>
      </c>
      <c r="C749" s="22" t="n">
        <f aca="false">C748</f>
        <v>1.9808</v>
      </c>
      <c r="D749" s="22" t="n">
        <f aca="false">D748</f>
        <v>2.55</v>
      </c>
      <c r="E749" s="22" t="n">
        <f aca="false">E748+0*E739</f>
        <v>3.26415234989005</v>
      </c>
      <c r="F749" s="22" t="n">
        <f aca="false">F748+0*F739</f>
        <v>4.18311859022942</v>
      </c>
      <c r="G749" s="22" t="n">
        <f aca="false">G748+0*G739</f>
        <v>4.51117330040428</v>
      </c>
    </row>
    <row r="750" customFormat="false" ht="15" hidden="false" customHeight="false" outlineLevel="0" collapsed="false">
      <c r="A750" s="4" t="s">
        <v>773</v>
      </c>
      <c r="B750" s="0" t="s">
        <v>239</v>
      </c>
      <c r="C750" s="22" t="n">
        <f aca="false">C745-C749</f>
        <v>2.891</v>
      </c>
      <c r="D750" s="22" t="n">
        <f aca="false">D745-D749</f>
        <v>4.456682</v>
      </c>
      <c r="E750" s="22" t="n">
        <f aca="false">E745-E749</f>
        <v>6.95415006941385</v>
      </c>
      <c r="F750" s="22" t="n">
        <f aca="false">F745-F749</f>
        <v>9.07580209304423</v>
      </c>
      <c r="G750" s="22" t="n">
        <f aca="false">G745-G749</f>
        <v>11.0318763301386</v>
      </c>
    </row>
    <row r="751" customFormat="false" ht="15" hidden="false" customHeight="false" outlineLevel="0" collapsed="false">
      <c r="A751" s="4" t="s">
        <v>627</v>
      </c>
      <c r="B751" s="0" t="s">
        <v>49</v>
      </c>
      <c r="C751" s="14" t="n">
        <f aca="false">C750/C739</f>
        <v>0.352793302906792</v>
      </c>
      <c r="D751" s="14" t="n">
        <f aca="false">D750/D739</f>
        <v>0.371390166666667</v>
      </c>
      <c r="E751" s="14" t="n">
        <f aca="false">E750/E739</f>
        <v>0.371453923534848</v>
      </c>
      <c r="F751" s="14" t="n">
        <f aca="false">F750/F739</f>
        <v>0.310147763735733</v>
      </c>
      <c r="G751" s="14" t="n">
        <f aca="false">G750/G739</f>
        <v>0.3258795539924</v>
      </c>
    </row>
    <row r="752" customFormat="false" ht="15" hidden="false" customHeight="false" outlineLevel="0" collapsed="false">
      <c r="A752" s="4" t="s">
        <v>774</v>
      </c>
      <c r="B752" s="0" t="s">
        <v>239</v>
      </c>
      <c r="C752" s="22" t="n">
        <f aca="false">a26_oth</f>
        <v>0.1514</v>
      </c>
      <c r="D752" s="22" t="n">
        <f aca="false">a27_oth</f>
        <v>0.1424</v>
      </c>
      <c r="E752" s="22" t="n">
        <f aca="false">int_f</f>
        <v>0.15</v>
      </c>
      <c r="F752" s="22" t="n">
        <f aca="false">int_f</f>
        <v>0.15</v>
      </c>
      <c r="G752" s="22" t="n">
        <f aca="false">int_f</f>
        <v>0.15</v>
      </c>
    </row>
    <row r="753" customFormat="false" ht="15" hidden="false" customHeight="false" outlineLevel="0" collapsed="false">
      <c r="A753" s="4" t="s">
        <v>775</v>
      </c>
      <c r="B753" s="0" t="s">
        <v>49</v>
      </c>
      <c r="C753" s="14" t="n">
        <f aca="false">a26_tax/(a26_oi-a26_oth)</f>
        <v>0.1</v>
      </c>
      <c r="D753" s="14" t="n">
        <f aca="false">a27_tax/(a27_oi-a27_oth)</f>
        <v>0.11</v>
      </c>
      <c r="E753" s="14" t="n">
        <f aca="false">tx_f</f>
        <v>0.13</v>
      </c>
      <c r="F753" s="14" t="n">
        <f aca="false">tx_f</f>
        <v>0.13</v>
      </c>
      <c r="G753" s="14" t="n">
        <f aca="false">tx_f</f>
        <v>0.13</v>
      </c>
    </row>
    <row r="754" customFormat="false" ht="17.15" hidden="false" customHeight="false" outlineLevel="0" collapsed="false">
      <c r="A754" s="4" t="s">
        <v>708</v>
      </c>
      <c r="B754" s="0" t="s">
        <v>239</v>
      </c>
      <c r="C754" s="22" t="n">
        <f aca="false">a26_ni</f>
        <v>2.46564</v>
      </c>
      <c r="D754" s="22" t="n">
        <f aca="false">a27_ni</f>
        <v>3.83971098</v>
      </c>
      <c r="E754" s="22" t="n">
        <f aca="false">(E750-E752)*(1-E753)</f>
        <v>5.91961056039005</v>
      </c>
      <c r="F754" s="22" t="n">
        <f aca="false">(F750-F752)*(1-F753)</f>
        <v>7.76544782094848</v>
      </c>
      <c r="G754" s="22" t="n">
        <f aca="false">(G750-G752)*(1-G753)</f>
        <v>9.46723240722059</v>
      </c>
    </row>
    <row r="755" customFormat="false" ht="15" hidden="false" customHeight="false" outlineLevel="0" collapsed="false">
      <c r="A755" s="4" t="s">
        <v>776</v>
      </c>
      <c r="B755" s="4" t="s">
        <v>370</v>
      </c>
      <c r="C755" s="16" t="n">
        <f aca="false">a26_sh</f>
        <v>0.8697</v>
      </c>
      <c r="D755" s="16" t="n">
        <f aca="false">a27_sh</f>
        <v>0.915125</v>
      </c>
      <c r="E755" s="16" t="n">
        <f aca="false">D755*(1+sh_g)</f>
        <v>0.919700625</v>
      </c>
      <c r="F755" s="16" t="n">
        <f aca="false">E755*(1+sh_g)</f>
        <v>0.924299128125</v>
      </c>
      <c r="G755" s="16" t="n">
        <f aca="false">F755*(1+sh_g)</f>
        <v>0.928920623765625</v>
      </c>
    </row>
    <row r="756" customFormat="false" ht="17.15" hidden="false" customHeight="false" outlineLevel="0" collapsed="false">
      <c r="A756" s="0" t="s">
        <v>709</v>
      </c>
      <c r="B756" s="0" t="s">
        <v>253</v>
      </c>
      <c r="C756" s="22" t="n">
        <f aca="false">C754/C755</f>
        <v>2.83504656778199</v>
      </c>
      <c r="D756" s="22" t="n">
        <f aca="false">D754/D755</f>
        <v>4.19583224149706</v>
      </c>
      <c r="E756" s="22" t="n">
        <f aca="false">E754/E755</f>
        <v>6.43645377580346</v>
      </c>
      <c r="F756" s="22" t="n">
        <f aca="false">F754/F755</f>
        <v>8.40144449416629</v>
      </c>
      <c r="G756" s="22" t="n">
        <f aca="false">G754/G755</f>
        <v>10.1916484196924</v>
      </c>
    </row>
    <row r="757" customFormat="false" ht="17.15" hidden="false" customHeight="false" outlineLevel="0" collapsed="false">
      <c r="A757" s="0" t="s">
        <v>777</v>
      </c>
      <c r="B757" s="0" t="s">
        <v>49</v>
      </c>
      <c r="D757" s="14" t="n">
        <f aca="false">D756/C756-1</f>
        <v>0.479987062357033</v>
      </c>
      <c r="E757" s="14" t="n">
        <f aca="false">E756/D756-1</f>
        <v>0.5340112295593</v>
      </c>
      <c r="F757" s="14" t="n">
        <f aca="false">F756/E756-1</f>
        <v>0.305290892595206</v>
      </c>
      <c r="G757" s="14" t="n">
        <f aca="false">G756/F756-1</f>
        <v>0.213082872447608</v>
      </c>
    </row>
    <row r="760" customFormat="false" ht="17.15" hidden="false" customHeight="false" outlineLevel="0" collapsed="false">
      <c r="A760" s="3" t="s">
        <v>1180</v>
      </c>
    </row>
    <row r="761" customFormat="false" ht="17.15" hidden="false" customHeight="false" outlineLevel="0" collapsed="false">
      <c r="A761" s="5" t="s">
        <v>25</v>
      </c>
      <c r="B761" s="5" t="s">
        <v>26</v>
      </c>
      <c r="C761" s="11" t="s">
        <v>698</v>
      </c>
      <c r="D761" s="11" t="s">
        <v>699</v>
      </c>
      <c r="E761" s="11" t="s">
        <v>700</v>
      </c>
      <c r="F761" s="11" t="s">
        <v>701</v>
      </c>
      <c r="G761" s="11" t="s">
        <v>702</v>
      </c>
      <c r="H761" s="5" t="s">
        <v>555</v>
      </c>
    </row>
    <row r="762" customFormat="false" ht="17.15" hidden="false" customHeight="false" outlineLevel="0" collapsed="false">
      <c r="A762" s="1" t="s">
        <v>717</v>
      </c>
    </row>
    <row r="763" customFormat="false" ht="17.15" hidden="false" customHeight="false" outlineLevel="0" collapsed="false">
      <c r="A763" s="0" t="s">
        <v>718</v>
      </c>
      <c r="B763" s="4" t="s">
        <v>36</v>
      </c>
      <c r="D763" s="22" t="n">
        <f aca="false">u_trn_26</f>
        <v>2</v>
      </c>
      <c r="E763" s="22" t="n">
        <f aca="false">u_trn_27</f>
        <v>2.5</v>
      </c>
      <c r="F763" s="22" t="n">
        <f aca="false">u_trn_28*um28_A</f>
        <v>3</v>
      </c>
      <c r="G763" s="22" t="n">
        <f aca="false">u_trn_28*(1+g29_trn)*um29_A</f>
        <v>3.45</v>
      </c>
    </row>
    <row r="764" customFormat="false" ht="17.15" hidden="false" customHeight="false" outlineLevel="0" collapsed="false">
      <c r="A764" s="4" t="s">
        <v>719</v>
      </c>
      <c r="B764" s="4" t="s">
        <v>36</v>
      </c>
      <c r="D764" s="22" t="n">
        <f aca="false">u_oth_26</f>
        <v>1</v>
      </c>
      <c r="E764" s="22" t="n">
        <f aca="false">u_oth_27</f>
        <v>4.5</v>
      </c>
      <c r="F764" s="22" t="n">
        <f aca="false">u_oth_28*um28_A</f>
        <v>5</v>
      </c>
      <c r="G764" s="22" t="n">
        <f aca="false">u_oth_28*(1+g29_oth)*um29_A</f>
        <v>5.75</v>
      </c>
    </row>
    <row r="765" customFormat="false" ht="17.15" hidden="false" customHeight="false" outlineLevel="0" collapsed="false">
      <c r="A765" s="0" t="s">
        <v>720</v>
      </c>
      <c r="B765" s="4" t="s">
        <v>36</v>
      </c>
      <c r="D765" s="22" t="n">
        <f aca="false">u_tpu_26</f>
        <v>3.85</v>
      </c>
      <c r="E765" s="22" t="n">
        <f aca="false">u_tpu_27</f>
        <v>5.5</v>
      </c>
      <c r="F765" s="22" t="n">
        <f aca="false">u_tpu_28*um28_A</f>
        <v>7</v>
      </c>
      <c r="G765" s="22" t="n">
        <f aca="false">u_tpu_28*(1+g29_tpu)*um29_A</f>
        <v>8.05</v>
      </c>
    </row>
    <row r="766" customFormat="false" ht="17.15" hidden="false" customHeight="false" outlineLevel="0" collapsed="false">
      <c r="A766" s="0" t="s">
        <v>658</v>
      </c>
      <c r="B766" s="0" t="s">
        <v>49</v>
      </c>
      <c r="D766" s="14" t="n">
        <f aca="false">msh_trn_26</f>
        <v>0.1</v>
      </c>
      <c r="E766" s="14" t="n">
        <f aca="false">MIN(1,MAX(0,msh_trn_27+0))</f>
        <v>0.1</v>
      </c>
      <c r="F766" s="14" t="n">
        <f aca="false">MIN(1,MAX(0,msh_trn_28+0))</f>
        <v>0.08</v>
      </c>
      <c r="G766" s="14" t="n">
        <f aca="false">MIN(1,MAX(0,msh_trn_28+0))</f>
        <v>0.08</v>
      </c>
    </row>
    <row r="767" customFormat="false" ht="17.15" hidden="false" customHeight="false" outlineLevel="0" collapsed="false">
      <c r="A767" s="0" t="s">
        <v>666</v>
      </c>
      <c r="B767" s="0" t="s">
        <v>49</v>
      </c>
      <c r="D767" s="14" t="n">
        <f aca="false">msh_oth_26</f>
        <v>0.05</v>
      </c>
      <c r="E767" s="14" t="n">
        <f aca="false">MIN(1,MAX(0,msh_oth_27+0))</f>
        <v>0.06</v>
      </c>
      <c r="F767" s="14" t="n">
        <f aca="false">MIN(1,MAX(0,msh_oth_28+0))</f>
        <v>0.15</v>
      </c>
      <c r="G767" s="14" t="n">
        <f aca="false">MIN(1,MAX(0,msh_oth_28+0))</f>
        <v>0.15</v>
      </c>
    </row>
    <row r="768" customFormat="false" ht="17.15" hidden="false" customHeight="false" outlineLevel="0" collapsed="false">
      <c r="A768" s="0" t="s">
        <v>670</v>
      </c>
      <c r="B768" s="0" t="s">
        <v>49</v>
      </c>
      <c r="D768" s="14" t="n">
        <f aca="false">msh_tpu_26</f>
        <v>0</v>
      </c>
      <c r="E768" s="14" t="n">
        <f aca="false">MIN(1,MAX(0,msh_tpu_27+0))</f>
        <v>0</v>
      </c>
      <c r="F768" s="14" t="n">
        <f aca="false">MIN(1,MAX(0,msh_tpu_28+0))</f>
        <v>0.05</v>
      </c>
      <c r="G768" s="14" t="n">
        <f aca="false">MIN(1,MAX(0,msh_tpu_28+0))</f>
        <v>0.05</v>
      </c>
    </row>
    <row r="769" customFormat="false" ht="17.15" hidden="false" customHeight="false" outlineLevel="0" collapsed="false">
      <c r="A769" s="0" t="s">
        <v>660</v>
      </c>
      <c r="B769" s="4" t="s">
        <v>36</v>
      </c>
      <c r="D769" s="16" t="n">
        <f aca="false">D763*D766</f>
        <v>0.2</v>
      </c>
      <c r="E769" s="16" t="n">
        <f aca="false">E763*E766*1</f>
        <v>0.25</v>
      </c>
      <c r="F769" s="16" t="n">
        <f aca="false">F763*F766*1</f>
        <v>0.24</v>
      </c>
      <c r="G769" s="16" t="n">
        <f aca="false">G763*G766*1</f>
        <v>0.276</v>
      </c>
    </row>
    <row r="770" customFormat="false" ht="17.15" hidden="false" customHeight="false" outlineLevel="0" collapsed="false">
      <c r="A770" s="0" t="s">
        <v>667</v>
      </c>
      <c r="B770" s="4" t="s">
        <v>36</v>
      </c>
      <c r="D770" s="16" t="n">
        <f aca="false">D764*D767</f>
        <v>0.05</v>
      </c>
      <c r="E770" s="16" t="n">
        <f aca="false">E764*E767*1</f>
        <v>0.27</v>
      </c>
      <c r="F770" s="16" t="n">
        <f aca="false">F764*F767*1</f>
        <v>0.75</v>
      </c>
      <c r="G770" s="16" t="n">
        <f aca="false">G764*G767*1</f>
        <v>0.8625</v>
      </c>
    </row>
    <row r="771" customFormat="false" ht="17.15" hidden="false" customHeight="false" outlineLevel="0" collapsed="false">
      <c r="A771" s="0" t="s">
        <v>671</v>
      </c>
      <c r="B771" s="4" t="s">
        <v>36</v>
      </c>
      <c r="D771" s="16" t="n">
        <f aca="false">D765*D768</f>
        <v>0</v>
      </c>
      <c r="E771" s="16" t="n">
        <f aca="false">E765*E768*1</f>
        <v>0</v>
      </c>
      <c r="F771" s="16" t="n">
        <f aca="false">F765*F768*1</f>
        <v>0.35</v>
      </c>
      <c r="G771" s="16" t="n">
        <f aca="false">G765*G768*1</f>
        <v>0.4025</v>
      </c>
    </row>
    <row r="772" customFormat="false" ht="17.15" hidden="false" customHeight="false" outlineLevel="0" collapsed="false">
      <c r="A772" s="4" t="s">
        <v>721</v>
      </c>
      <c r="B772" s="0" t="s">
        <v>100</v>
      </c>
      <c r="D772" s="23" t="n">
        <f aca="false">gb_trn_26</f>
        <v>110</v>
      </c>
      <c r="E772" s="23" t="n">
        <f aca="false">gb_trn_27</f>
        <v>144</v>
      </c>
      <c r="F772" s="23" t="n">
        <f aca="false">gb_trn_28</f>
        <v>200</v>
      </c>
      <c r="G772" s="23" t="n">
        <f aca="false">gb_trn_28</f>
        <v>200</v>
      </c>
    </row>
    <row r="773" customFormat="false" ht="17.15" hidden="false" customHeight="false" outlineLevel="0" collapsed="false">
      <c r="A773" s="4" t="s">
        <v>722</v>
      </c>
      <c r="B773" s="0" t="s">
        <v>100</v>
      </c>
      <c r="D773" s="23" t="n">
        <f aca="false">gb_oth_26</f>
        <v>150</v>
      </c>
      <c r="E773" s="23" t="n">
        <f aca="false">gb_oth_27</f>
        <v>200</v>
      </c>
      <c r="F773" s="23" t="n">
        <f aca="false">gb_oth_28</f>
        <v>250</v>
      </c>
      <c r="G773" s="23" t="n">
        <f aca="false">gb_oth_28</f>
        <v>250</v>
      </c>
    </row>
    <row r="774" customFormat="false" ht="17.15" hidden="false" customHeight="false" outlineLevel="0" collapsed="false">
      <c r="A774" s="4" t="s">
        <v>723</v>
      </c>
      <c r="B774" s="0" t="s">
        <v>100</v>
      </c>
      <c r="D774" s="23" t="n">
        <f aca="false">gb_tpu_26</f>
        <v>192</v>
      </c>
      <c r="E774" s="23" t="n">
        <f aca="false">gb_tpu_27</f>
        <v>250</v>
      </c>
      <c r="F774" s="23" t="n">
        <f aca="false">gb_tpu_28</f>
        <v>288</v>
      </c>
      <c r="G774" s="23" t="n">
        <f aca="false">gb_tpu_28</f>
        <v>288</v>
      </c>
    </row>
    <row r="775" customFormat="false" ht="17.15" hidden="false" customHeight="false" outlineLevel="0" collapsed="false">
      <c r="A775" s="0" t="s">
        <v>724</v>
      </c>
      <c r="B775" s="0" t="s">
        <v>200</v>
      </c>
      <c r="D775" s="22" t="n">
        <f aca="false">hbm_A_26</f>
        <v>14.6</v>
      </c>
      <c r="E775" s="22" t="n">
        <f aca="false">hbm_A_27</f>
        <v>26.28</v>
      </c>
      <c r="F775" s="22" t="n">
        <f aca="false">hbm_A_28</f>
        <v>28.908</v>
      </c>
      <c r="G775" s="22" t="n">
        <f aca="false">hbm_A_29</f>
        <v>27.4626</v>
      </c>
    </row>
    <row r="776" customFormat="false" ht="17.15" hidden="false" customHeight="false" outlineLevel="0" collapsed="false">
      <c r="A776" s="4" t="s">
        <v>725</v>
      </c>
      <c r="B776" s="0" t="s">
        <v>122</v>
      </c>
      <c r="D776" s="22" t="n">
        <f aca="false">core_trn</f>
        <v>6.394</v>
      </c>
      <c r="E776" s="22" t="n">
        <f aca="false">core_trn*1</f>
        <v>6.394</v>
      </c>
      <c r="F776" s="22" t="n">
        <f aca="false">core_trn*1</f>
        <v>6.394</v>
      </c>
      <c r="G776" s="22" t="n">
        <f aca="false">core_trn*1</f>
        <v>6.394</v>
      </c>
    </row>
    <row r="777" customFormat="false" ht="17.15" hidden="false" customHeight="false" outlineLevel="0" collapsed="false">
      <c r="A777" s="4" t="s">
        <v>726</v>
      </c>
      <c r="B777" s="0" t="s">
        <v>122</v>
      </c>
      <c r="D777" s="22" t="n">
        <f aca="false">core_oth</f>
        <v>6</v>
      </c>
      <c r="E777" s="22" t="n">
        <f aca="false">core_oth*1</f>
        <v>6</v>
      </c>
      <c r="F777" s="22" t="n">
        <f aca="false">core_oth*1</f>
        <v>6</v>
      </c>
      <c r="G777" s="22" t="n">
        <f aca="false">core_oth*1</f>
        <v>6</v>
      </c>
    </row>
    <row r="778" customFormat="false" ht="17.15" hidden="false" customHeight="false" outlineLevel="0" collapsed="false">
      <c r="A778" s="4" t="s">
        <v>727</v>
      </c>
      <c r="B778" s="0" t="s">
        <v>122</v>
      </c>
      <c r="D778" s="22" t="n">
        <f aca="false">core_tpu</f>
        <v>8</v>
      </c>
      <c r="E778" s="22" t="n">
        <f aca="false">core_tpu*1</f>
        <v>8</v>
      </c>
      <c r="F778" s="22" t="n">
        <f aca="false">core_tpu*1</f>
        <v>8</v>
      </c>
      <c r="G778" s="22" t="n">
        <f aca="false">core_tpu*1</f>
        <v>8</v>
      </c>
    </row>
    <row r="779" customFormat="false" ht="17.15" hidden="false" customHeight="false" outlineLevel="0" collapsed="false">
      <c r="A779" s="4" t="s">
        <v>728</v>
      </c>
      <c r="B779" s="0" t="s">
        <v>122</v>
      </c>
      <c r="D779" s="22" t="n">
        <f aca="false">D772*D775/1000</f>
        <v>1.606</v>
      </c>
      <c r="E779" s="22" t="n">
        <f aca="false">E772*E775/1000</f>
        <v>3.78432</v>
      </c>
      <c r="F779" s="22" t="n">
        <f aca="false">F772*F775/1000</f>
        <v>5.7816</v>
      </c>
      <c r="G779" s="22" t="n">
        <f aca="false">G772*G775/1000</f>
        <v>5.49252</v>
      </c>
    </row>
    <row r="780" customFormat="false" ht="17.15" hidden="false" customHeight="false" outlineLevel="0" collapsed="false">
      <c r="A780" s="4" t="s">
        <v>729</v>
      </c>
      <c r="B780" s="0" t="s">
        <v>122</v>
      </c>
      <c r="D780" s="22" t="n">
        <f aca="false">D773*D775/1000</f>
        <v>2.19</v>
      </c>
      <c r="E780" s="22" t="n">
        <f aca="false">E773*E775/1000</f>
        <v>5.256</v>
      </c>
      <c r="F780" s="22" t="n">
        <f aca="false">F773*F775/1000</f>
        <v>7.227</v>
      </c>
      <c r="G780" s="22" t="n">
        <f aca="false">G773*G775/1000</f>
        <v>6.86565</v>
      </c>
    </row>
    <row r="781" customFormat="false" ht="17.15" hidden="false" customHeight="false" outlineLevel="0" collapsed="false">
      <c r="A781" s="4" t="s">
        <v>730</v>
      </c>
      <c r="B781" s="0" t="s">
        <v>122</v>
      </c>
      <c r="D781" s="22" t="n">
        <f aca="false">D774*D775/1000</f>
        <v>2.8032</v>
      </c>
      <c r="E781" s="22" t="n">
        <f aca="false">E774*E775/1000</f>
        <v>6.57</v>
      </c>
      <c r="F781" s="22" t="n">
        <f aca="false">F774*F775/1000</f>
        <v>8.325504</v>
      </c>
      <c r="G781" s="22" t="n">
        <f aca="false">G774*G775/1000</f>
        <v>7.9092288</v>
      </c>
    </row>
    <row r="782" customFormat="false" ht="17.15" hidden="false" customHeight="false" outlineLevel="0" collapsed="false">
      <c r="A782" s="4" t="s">
        <v>731</v>
      </c>
      <c r="B782" s="0" t="s">
        <v>122</v>
      </c>
      <c r="D782" s="22" t="n">
        <f aca="false">D776+f_hbm*D779</f>
        <v>7.3576</v>
      </c>
      <c r="E782" s="22" t="n">
        <f aca="false">E776+f_hbm*E779</f>
        <v>8.664592</v>
      </c>
      <c r="F782" s="22" t="n">
        <f aca="false">F776+f_hbm*F779</f>
        <v>9.86296</v>
      </c>
      <c r="G782" s="22" t="n">
        <f aca="false">G776+f_hbm*G779</f>
        <v>9.689512</v>
      </c>
      <c r="H782" s="4" t="s">
        <v>732</v>
      </c>
    </row>
    <row r="783" customFormat="false" ht="17.15" hidden="false" customHeight="false" outlineLevel="0" collapsed="false">
      <c r="A783" s="4" t="s">
        <v>733</v>
      </c>
      <c r="B783" s="0" t="s">
        <v>122</v>
      </c>
      <c r="D783" s="22" t="n">
        <f aca="false">D777+f_hbm*D780</f>
        <v>7.314</v>
      </c>
      <c r="E783" s="22" t="n">
        <f aca="false">E777+f_hbm*E780</f>
        <v>9.1536</v>
      </c>
      <c r="F783" s="22" t="n">
        <f aca="false">F777+f_hbm*F780</f>
        <v>10.3362</v>
      </c>
      <c r="G783" s="22" t="n">
        <f aca="false">G777+f_hbm*G780</f>
        <v>10.11939</v>
      </c>
    </row>
    <row r="784" customFormat="false" ht="17.15" hidden="false" customHeight="false" outlineLevel="0" collapsed="false">
      <c r="A784" s="4" t="s">
        <v>734</v>
      </c>
      <c r="B784" s="0" t="s">
        <v>122</v>
      </c>
      <c r="D784" s="22" t="n">
        <f aca="false">D778+f_hbm*D781</f>
        <v>9.68192</v>
      </c>
      <c r="E784" s="22" t="n">
        <f aca="false">E778+f_hbm*E781</f>
        <v>11.942</v>
      </c>
      <c r="F784" s="22" t="n">
        <f aca="false">F778+f_hbm*F781</f>
        <v>12.9953024</v>
      </c>
      <c r="G784" s="22" t="n">
        <f aca="false">G778+f_hbm*G781</f>
        <v>12.74553728</v>
      </c>
    </row>
    <row r="785" customFormat="false" ht="17.15" hidden="false" customHeight="false" outlineLevel="0" collapsed="false">
      <c r="A785" s="0" t="s">
        <v>735</v>
      </c>
      <c r="B785" s="0" t="s">
        <v>239</v>
      </c>
      <c r="D785" s="22" t="n">
        <f aca="false">D769*D782+D770*D783+D771*D784</f>
        <v>1.83722</v>
      </c>
      <c r="E785" s="22" t="n">
        <f aca="false">E769*E782+E770*E783+E771*E784</f>
        <v>4.63762</v>
      </c>
      <c r="F785" s="22" t="n">
        <f aca="false">F769*F782+F770*F783+F771*F784</f>
        <v>14.66761624</v>
      </c>
      <c r="G785" s="22" t="n">
        <f aca="false">G769*G782+G770*G783+G771*G784</f>
        <v>16.5323579422</v>
      </c>
    </row>
    <row r="786" customFormat="false" ht="17.15" hidden="false" customHeight="false" outlineLevel="0" collapsed="false">
      <c r="A786" s="0" t="s">
        <v>736</v>
      </c>
      <c r="B786" s="0" t="s">
        <v>80</v>
      </c>
      <c r="D786" s="16" t="n">
        <f aca="false">a27_xpu/D785</f>
        <v>0.802843426481314</v>
      </c>
      <c r="H786" s="7" t="s">
        <v>737</v>
      </c>
    </row>
    <row r="787" customFormat="false" ht="17.15" hidden="false" customHeight="false" outlineLevel="0" collapsed="false">
      <c r="A787" s="0" t="s">
        <v>738</v>
      </c>
      <c r="B787" s="0" t="s">
        <v>239</v>
      </c>
      <c r="D787" s="22" t="n">
        <f aca="false">D785*$D$786</f>
        <v>1.475</v>
      </c>
      <c r="E787" s="22" t="n">
        <f aca="false">E785*$D$786</f>
        <v>3.72328273151827</v>
      </c>
      <c r="F787" s="22" t="n">
        <f aca="false">F785*$D$786</f>
        <v>11.7757992804346</v>
      </c>
      <c r="G787" s="22" t="n">
        <f aca="false">G785*$D$786</f>
        <v>13.2728948981314</v>
      </c>
    </row>
    <row r="788" customFormat="false" ht="17.15" hidden="false" customHeight="false" outlineLevel="0" collapsed="false">
      <c r="A788" s="4" t="s">
        <v>739</v>
      </c>
      <c r="B788" s="0" t="s">
        <v>239</v>
      </c>
      <c r="D788" s="22" t="n">
        <f aca="false">$D$786*f_hbm*(D769*D779+D770*D780+D771*D781)</f>
        <v>0.207470798271301</v>
      </c>
      <c r="E788" s="22" t="n">
        <f aca="false">$D$786*f_hbm*(E769*E779+E770*E780+E771*E781)</f>
        <v>1.13933116338816</v>
      </c>
      <c r="F788" s="22" t="n">
        <f aca="false">$D$786*f_hbm*(F769*F779+F770*F780+F771*F781)</f>
        <v>4.68303085857981</v>
      </c>
      <c r="G788" s="22" t="n">
        <f aca="false">$D$786*f_hbm*(G769*G779+G770*G780+G771*G781)</f>
        <v>5.11621121299844</v>
      </c>
    </row>
    <row r="789" customFormat="false" ht="15" hidden="false" customHeight="false" outlineLevel="0" collapsed="false">
      <c r="A789" s="4" t="s">
        <v>740</v>
      </c>
      <c r="B789" s="0" t="s">
        <v>239</v>
      </c>
      <c r="D789" s="22" t="n">
        <f aca="false">D787-D788</f>
        <v>1.2675292017287</v>
      </c>
      <c r="E789" s="22" t="n">
        <f aca="false">E787-E788</f>
        <v>2.58395156813011</v>
      </c>
      <c r="F789" s="22" t="n">
        <f aca="false">F787-F788</f>
        <v>7.09276842185476</v>
      </c>
      <c r="G789" s="22" t="n">
        <f aca="false">G787-G788</f>
        <v>8.15668368513297</v>
      </c>
    </row>
    <row r="790" customFormat="false" ht="17.15" hidden="false" customHeight="false" outlineLevel="0" collapsed="false">
      <c r="A790" s="0" t="s">
        <v>741</v>
      </c>
      <c r="B790" s="4" t="s">
        <v>36</v>
      </c>
      <c r="D790" s="16" t="n">
        <f aca="false">D769+D770+D771</f>
        <v>0.25</v>
      </c>
      <c r="E790" s="16" t="n">
        <f aca="false">E769+E770+E771</f>
        <v>0.52</v>
      </c>
      <c r="F790" s="16" t="n">
        <f aca="false">F769+F770+F771</f>
        <v>1.34</v>
      </c>
      <c r="G790" s="16" t="n">
        <f aca="false">G769+G770+G771</f>
        <v>1.541</v>
      </c>
    </row>
    <row r="791" customFormat="false" ht="17.15" hidden="false" customHeight="false" outlineLevel="0" collapsed="false">
      <c r="A791" s="0" t="s">
        <v>742</v>
      </c>
      <c r="B791" s="0" t="s">
        <v>239</v>
      </c>
      <c r="C791" s="22" t="n">
        <f aca="false">a26_att</f>
        <v>0.2</v>
      </c>
      <c r="D791" s="22" t="n">
        <f aca="false">a27_att</f>
        <v>0.4</v>
      </c>
      <c r="E791" s="22" t="n">
        <f aca="false">att28</f>
        <v>1</v>
      </c>
      <c r="F791" s="22" t="n">
        <f aca="false">att28*(1+g_att)*um28_A</f>
        <v>1.5</v>
      </c>
      <c r="G791" s="22" t="n">
        <f aca="false">att28*(1+g_att)^2*um29_A</f>
        <v>2.25</v>
      </c>
      <c r="H791" s="7" t="s">
        <v>743</v>
      </c>
    </row>
    <row r="792" customFormat="false" ht="17.15" hidden="false" customHeight="false" outlineLevel="0" collapsed="false">
      <c r="A792" s="4" t="s">
        <v>744</v>
      </c>
      <c r="B792" s="0" t="s">
        <v>239</v>
      </c>
      <c r="C792" s="22" t="n">
        <f aca="false">a26_cus</f>
        <v>1.5</v>
      </c>
      <c r="D792" s="22" t="n">
        <f aca="false">D787+D791</f>
        <v>1.875</v>
      </c>
      <c r="E792" s="22" t="n">
        <f aca="false">E787+E791</f>
        <v>4.72328273151827</v>
      </c>
      <c r="F792" s="22" t="n">
        <f aca="false">F787+F791</f>
        <v>13.2757992804346</v>
      </c>
      <c r="G792" s="22" t="n">
        <f aca="false">G787+G791</f>
        <v>15.5228948981314</v>
      </c>
    </row>
    <row r="793" customFormat="false" ht="17.15" hidden="false" customHeight="false" outlineLevel="0" collapsed="false">
      <c r="A793" s="1" t="s">
        <v>745</v>
      </c>
    </row>
    <row r="794" customFormat="false" ht="17.15" hidden="false" customHeight="false" outlineLevel="0" collapsed="false">
      <c r="A794" s="0" t="s">
        <v>746</v>
      </c>
      <c r="B794" s="0" t="s">
        <v>239</v>
      </c>
      <c r="D794" s="22" t="n">
        <f aca="false">plug_26*1</f>
        <v>29.753262</v>
      </c>
      <c r="E794" s="22" t="n">
        <f aca="false">plug_27*1</f>
        <v>53.560715</v>
      </c>
      <c r="F794" s="22" t="n">
        <f aca="false">plug_28*um28_A</f>
        <v>57.9915</v>
      </c>
      <c r="G794" s="22" t="n">
        <f aca="false">plug_29*um29_A</f>
        <v>72.9348</v>
      </c>
    </row>
    <row r="795" customFormat="false" ht="17.15" hidden="false" customHeight="false" outlineLevel="0" collapsed="false">
      <c r="A795" s="4" t="s">
        <v>747</v>
      </c>
      <c r="B795" s="4" t="s">
        <v>680</v>
      </c>
      <c r="D795" s="19" t="n">
        <f aca="false">D794*1000/asp_26</f>
        <v>45.7742492307692</v>
      </c>
      <c r="E795" s="19" t="n">
        <f aca="false">E794*1000/asp_27</f>
        <v>66.95089375</v>
      </c>
      <c r="F795" s="19" t="n">
        <f aca="false">F794*1000/asp_28</f>
        <v>68.2252941176471</v>
      </c>
      <c r="G795" s="19" t="n">
        <f aca="false">G794*1000/asp_29</f>
        <v>85.8056470588235</v>
      </c>
    </row>
    <row r="796" customFormat="false" ht="17.15" hidden="false" customHeight="false" outlineLevel="0" collapsed="false">
      <c r="A796" s="4" t="s">
        <v>748</v>
      </c>
      <c r="B796" s="0" t="s">
        <v>49</v>
      </c>
      <c r="D796" s="14" t="n">
        <f aca="false">MIN(1,lpo_26)</f>
        <v>0.03</v>
      </c>
      <c r="E796" s="14" t="n">
        <f aca="false">MIN(1,lpo_27+0)</f>
        <v>0.06</v>
      </c>
      <c r="F796" s="14" t="n">
        <f aca="false">MIN(1,lpo_28+0)</f>
        <v>0.1</v>
      </c>
      <c r="G796" s="14" t="n">
        <f aca="false">MIN(1,lpo_29+0)</f>
        <v>0.15</v>
      </c>
    </row>
    <row r="797" customFormat="false" ht="15" hidden="false" customHeight="false" outlineLevel="0" collapsed="false">
      <c r="A797" s="4" t="s">
        <v>749</v>
      </c>
      <c r="B797" s="0" t="s">
        <v>253</v>
      </c>
      <c r="D797" s="23" t="n">
        <f aca="false">dsp_26</f>
        <v>125</v>
      </c>
      <c r="E797" s="23" t="n">
        <f aca="false">dsp_27*1</f>
        <v>135</v>
      </c>
      <c r="F797" s="23" t="n">
        <f aca="false">dsp_28*1</f>
        <v>135</v>
      </c>
      <c r="G797" s="23" t="n">
        <f aca="false">dsp_29*1</f>
        <v>130</v>
      </c>
    </row>
    <row r="798" customFormat="false" ht="17.15" hidden="false" customHeight="false" outlineLevel="0" collapsed="false">
      <c r="A798" s="4" t="s">
        <v>750</v>
      </c>
      <c r="B798" s="0" t="s">
        <v>239</v>
      </c>
      <c r="D798" s="22" t="n">
        <f aca="false">D795*(1-D796)*D797/1000</f>
        <v>5.55012771923077</v>
      </c>
      <c r="E798" s="22" t="n">
        <f aca="false">E795*(1-E796)*E797/1000</f>
        <v>8.496068416875</v>
      </c>
      <c r="F798" s="22" t="n">
        <f aca="false">F795*(1-F796)*F797/1000</f>
        <v>8.28937323529412</v>
      </c>
      <c r="G798" s="22" t="n">
        <f aca="false">G795*(1-G796)*G797/1000</f>
        <v>9.481524</v>
      </c>
    </row>
    <row r="799" customFormat="false" ht="17.15" hidden="false" customHeight="false" outlineLevel="0" collapsed="false">
      <c r="A799" s="0" t="s">
        <v>751</v>
      </c>
      <c r="B799" s="0" t="s">
        <v>49</v>
      </c>
      <c r="D799" s="14" t="n">
        <f aca="false">msh_dsp_26</f>
        <v>0.65</v>
      </c>
      <c r="E799" s="14" t="n">
        <f aca="false">msh_dsp_27+(-0.1)</f>
        <v>0.53</v>
      </c>
      <c r="F799" s="14" t="n">
        <f aca="false">msh_dsp_28+(-0.1)</f>
        <v>0.5</v>
      </c>
      <c r="G799" s="14" t="n">
        <f aca="false">msh_dsp_29+(-0.1)</f>
        <v>0.48</v>
      </c>
    </row>
    <row r="800" customFormat="false" ht="17.15" hidden="false" customHeight="false" outlineLevel="0" collapsed="false">
      <c r="A800" s="0" t="s">
        <v>682</v>
      </c>
      <c r="B800" s="0" t="s">
        <v>239</v>
      </c>
      <c r="D800" s="22" t="n">
        <f aca="false">D798*D799</f>
        <v>3.6075830175</v>
      </c>
      <c r="E800" s="22" t="n">
        <f aca="false">E798*E799*1</f>
        <v>4.50291626094375</v>
      </c>
      <c r="F800" s="22" t="n">
        <f aca="false">F798*F799*1</f>
        <v>4.14468661764706</v>
      </c>
      <c r="G800" s="22" t="n">
        <f aca="false">G798*G799*1</f>
        <v>4.55113152</v>
      </c>
    </row>
    <row r="801" customFormat="false" ht="17.15" hidden="false" customHeight="false" outlineLevel="0" collapsed="false">
      <c r="A801" s="4" t="s">
        <v>752</v>
      </c>
      <c r="B801" s="0" t="s">
        <v>239</v>
      </c>
      <c r="D801" s="22" t="n">
        <f aca="false">coh27</f>
        <v>0.9</v>
      </c>
      <c r="E801" s="22" t="n">
        <f aca="false">D801*(1+g_coh)</f>
        <v>1.035</v>
      </c>
      <c r="F801" s="22" t="n">
        <f aca="false">E801*(1+g_coh)</f>
        <v>1.19025</v>
      </c>
      <c r="G801" s="22" t="n">
        <f aca="false">F801*(1+g_coh)</f>
        <v>1.3687875</v>
      </c>
    </row>
    <row r="802" customFormat="false" ht="17.15" hidden="false" customHeight="false" outlineLevel="0" collapsed="false">
      <c r="A802" s="4" t="s">
        <v>753</v>
      </c>
      <c r="B802" s="0" t="s">
        <v>80</v>
      </c>
      <c r="D802" s="16" t="n">
        <f aca="false">(a27_ic-D801)/D800</f>
        <v>1.44223430888795</v>
      </c>
      <c r="H802" s="7" t="s">
        <v>754</v>
      </c>
    </row>
    <row r="803" customFormat="false" ht="15" hidden="false" customHeight="false" outlineLevel="0" collapsed="false">
      <c r="A803" s="4" t="s">
        <v>755</v>
      </c>
      <c r="B803" s="0" t="s">
        <v>239</v>
      </c>
      <c r="C803" s="22" t="n">
        <f aca="false">a26_ic</f>
        <v>3.4503</v>
      </c>
      <c r="D803" s="22" t="n">
        <f aca="false">D800*$D$802+D801</f>
        <v>6.10298</v>
      </c>
      <c r="E803" s="22" t="n">
        <f aca="false">E800*$D$802+E801</f>
        <v>7.5292603215825</v>
      </c>
      <c r="F803" s="22" t="n">
        <f aca="false">F800*$D$802+F801</f>
        <v>7.16785923955932</v>
      </c>
      <c r="G803" s="22" t="n">
        <f aca="false">G800*$D$802+G801</f>
        <v>7.93258552240534</v>
      </c>
    </row>
    <row r="804" customFormat="false" ht="17.15" hidden="false" customHeight="false" outlineLevel="0" collapsed="false">
      <c r="A804" s="1" t="s">
        <v>756</v>
      </c>
    </row>
    <row r="805" customFormat="false" ht="15" hidden="false" customHeight="false" outlineLevel="0" collapsed="false">
      <c r="A805" s="4" t="s">
        <v>757</v>
      </c>
      <c r="B805" s="0" t="s">
        <v>239</v>
      </c>
      <c r="C805" s="22" t="n">
        <f aca="false">a26_sw</f>
        <v>0.3</v>
      </c>
      <c r="D805" s="22" t="n">
        <f aca="false">a27_sw</f>
        <v>0.65</v>
      </c>
      <c r="E805" s="22" t="n">
        <f aca="false">a27_sw*(1+g_sw28)</f>
        <v>1.17</v>
      </c>
      <c r="F805" s="22" t="n">
        <f aca="false">a27_sw*(1+g_sw28)*(1+g_sw)*um28_A</f>
        <v>1.638</v>
      </c>
      <c r="G805" s="22" t="n">
        <f aca="false">a27_sw*(1+g_sw28)*(1+g_sw)^2*um29_A</f>
        <v>2.2932</v>
      </c>
    </row>
    <row r="806" customFormat="false" ht="17.15" hidden="false" customHeight="false" outlineLevel="0" collapsed="false">
      <c r="A806" s="0" t="s">
        <v>758</v>
      </c>
      <c r="B806" s="0" t="s">
        <v>239</v>
      </c>
      <c r="C806" s="22" t="n">
        <f aca="false">a26_aec</f>
        <v>0.2</v>
      </c>
      <c r="D806" s="22" t="n">
        <f aca="false">a27_aec</f>
        <v>0.45</v>
      </c>
      <c r="E806" s="22" t="n">
        <f aca="false">a27_aec*(1+g_aec)</f>
        <v>0.675</v>
      </c>
      <c r="F806" s="22" t="n">
        <f aca="false">a27_aec*(1+g_aec)^2*um28_A</f>
        <v>1.0125</v>
      </c>
      <c r="G806" s="22" t="n">
        <f aca="false">a27_aec*(1+g_aec)^3*um29_A</f>
        <v>1.51875</v>
      </c>
    </row>
    <row r="807" customFormat="false" ht="15" hidden="false" customHeight="false" outlineLevel="0" collapsed="false">
      <c r="A807" s="4" t="s">
        <v>759</v>
      </c>
      <c r="B807" s="0" t="s">
        <v>239</v>
      </c>
      <c r="C807" s="22" t="n">
        <f aca="false">a26_sto</f>
        <v>0.65</v>
      </c>
      <c r="D807" s="22" t="n">
        <f aca="false">a27_sto</f>
        <v>0.6825</v>
      </c>
      <c r="E807" s="22" t="n">
        <f aca="false">D807*(1+g_sto)</f>
        <v>0.716625</v>
      </c>
      <c r="F807" s="22" t="n">
        <f aca="false">E807*(1+g_sto)</f>
        <v>0.75245625</v>
      </c>
      <c r="G807" s="22" t="n">
        <f aca="false">F807*(1+g_sto)</f>
        <v>0.7900790625</v>
      </c>
    </row>
    <row r="808" customFormat="false" ht="15" hidden="false" customHeight="false" outlineLevel="0" collapsed="false">
      <c r="A808" s="4" t="s">
        <v>760</v>
      </c>
      <c r="B808" s="0" t="s">
        <v>239</v>
      </c>
      <c r="C808" s="22" t="n">
        <f aca="false">a26_dc</f>
        <v>6.1003</v>
      </c>
      <c r="D808" s="22" t="n">
        <f aca="false">D792+D803+D805+D806+D807</f>
        <v>9.76048</v>
      </c>
      <c r="E808" s="22" t="n">
        <f aca="false">E792+E803+E805+E806+E807</f>
        <v>14.8141680531008</v>
      </c>
      <c r="F808" s="22" t="n">
        <f aca="false">F792+F803+F805+F806+F807</f>
        <v>23.8466147699939</v>
      </c>
      <c r="G808" s="22" t="n">
        <f aca="false">G792+G803+G805+G806+G807</f>
        <v>28.0575094830368</v>
      </c>
    </row>
    <row r="809" customFormat="false" ht="15" hidden="false" customHeight="false" outlineLevel="0" collapsed="false">
      <c r="A809" s="4" t="s">
        <v>761</v>
      </c>
      <c r="B809" s="0" t="s">
        <v>239</v>
      </c>
      <c r="C809" s="22" t="n">
        <f aca="false">a26_co</f>
        <v>2.0943</v>
      </c>
      <c r="D809" s="22" t="n">
        <f aca="false">a27_co</f>
        <v>2.23952</v>
      </c>
      <c r="E809" s="22" t="n">
        <f aca="false">D809*(1+g_co28)</f>
        <v>2.3067056</v>
      </c>
      <c r="F809" s="22" t="n">
        <f aca="false">E809*(1+g_co)</f>
        <v>2.375906768</v>
      </c>
      <c r="G809" s="22" t="n">
        <f aca="false">F809*(1+g_co)</f>
        <v>2.44718397104</v>
      </c>
    </row>
    <row r="810" customFormat="false" ht="17.15" hidden="false" customHeight="false" outlineLevel="0" collapsed="false">
      <c r="A810" s="1" t="s">
        <v>762</v>
      </c>
    </row>
    <row r="811" customFormat="false" ht="15" hidden="false" customHeight="false" outlineLevel="0" collapsed="false">
      <c r="A811" s="4" t="s">
        <v>597</v>
      </c>
      <c r="B811" s="0" t="s">
        <v>239</v>
      </c>
      <c r="C811" s="22" t="n">
        <f aca="false">a26_rev</f>
        <v>8.1946</v>
      </c>
      <c r="D811" s="22" t="n">
        <f aca="false">a27_rev</f>
        <v>12</v>
      </c>
      <c r="E811" s="22" t="n">
        <f aca="false">E808+E809</f>
        <v>17.1208736531008</v>
      </c>
      <c r="F811" s="22" t="n">
        <f aca="false">F808+F809</f>
        <v>26.2225215379939</v>
      </c>
      <c r="G811" s="22" t="n">
        <f aca="false">G808+G809</f>
        <v>30.5046934540768</v>
      </c>
    </row>
    <row r="812" customFormat="false" ht="17.15" hidden="false" customHeight="false" outlineLevel="0" collapsed="false">
      <c r="A812" s="4" t="s">
        <v>763</v>
      </c>
      <c r="B812" s="0" t="s">
        <v>239</v>
      </c>
      <c r="D812" s="22" t="n">
        <f aca="false">D808+D809</f>
        <v>12</v>
      </c>
      <c r="E812" s="22" t="n">
        <f aca="false">E808+E809</f>
        <v>17.1208736531008</v>
      </c>
      <c r="F812" s="22" t="n">
        <f aca="false">F808+F809</f>
        <v>26.2225215379939</v>
      </c>
      <c r="G812" s="22" t="n">
        <f aca="false">G808+G809</f>
        <v>30.5046934540768</v>
      </c>
    </row>
    <row r="813" customFormat="false" ht="15" hidden="false" customHeight="false" outlineLevel="0" collapsed="false">
      <c r="A813" s="4" t="s">
        <v>764</v>
      </c>
      <c r="B813" s="0" t="s">
        <v>49</v>
      </c>
      <c r="D813" s="14" t="n">
        <f aca="false">D811/C811-1</f>
        <v>0.464378981280355</v>
      </c>
      <c r="E813" s="14" t="n">
        <f aca="false">E811/D811-1</f>
        <v>0.426739471091731</v>
      </c>
      <c r="F813" s="14" t="n">
        <f aca="false">F811/E811-1</f>
        <v>0.531611182309304</v>
      </c>
      <c r="G813" s="14" t="n">
        <f aca="false">G811/F811-1</f>
        <v>0.16330130227478</v>
      </c>
    </row>
    <row r="814" customFormat="false" ht="17.15" hidden="false" customHeight="false" outlineLevel="0" collapsed="false">
      <c r="A814" s="4" t="s">
        <v>765</v>
      </c>
      <c r="B814" s="0" t="s">
        <v>49</v>
      </c>
      <c r="C814" s="14" t="n">
        <f aca="false">C808/C811</f>
        <v>0.744429258292046</v>
      </c>
      <c r="D814" s="14" t="n">
        <f aca="false">D808/D811</f>
        <v>0.813373333333333</v>
      </c>
      <c r="E814" s="14" t="n">
        <f aca="false">E808/E811</f>
        <v>0.865269398820531</v>
      </c>
      <c r="F814" s="14" t="n">
        <f aca="false">F808/F811</f>
        <v>0.90939442019115</v>
      </c>
      <c r="G814" s="14" t="n">
        <f aca="false">G808/G811</f>
        <v>0.919776805011199</v>
      </c>
    </row>
    <row r="815" customFormat="false" ht="17.15" hidden="false" customHeight="false" outlineLevel="0" collapsed="false">
      <c r="A815" s="4" t="s">
        <v>766</v>
      </c>
      <c r="B815" s="0" t="s">
        <v>239</v>
      </c>
      <c r="D815" s="22" t="n">
        <f aca="false">gm_opt*D803+gm_oth*(D805+D806+D807)+gm_att*D791+gm_co*D809+m_hbm*D788</f>
        <v>6.45404607982713</v>
      </c>
      <c r="E815" s="22" t="n">
        <f aca="false">gm_opt*E803+gm_oth*(E805+E806+E807)+gm_att*E791+gm_co*E809+m_hbm*E788</f>
        <v>8.28223136693579</v>
      </c>
      <c r="F815" s="22" t="n">
        <f aca="false">gm_opt*F803+gm_oth*(F805+F806+F807)+gm_att*F791+gm_co*F809+m_hbm*F788</f>
        <v>9.22885408222035</v>
      </c>
      <c r="G815" s="22" t="n">
        <f aca="false">gm_opt*G803+gm_oth*(G805+G806+G807)+gm_att*G791+gm_co*G809+m_hbm*G788</f>
        <v>10.9272341411184</v>
      </c>
    </row>
    <row r="816" customFormat="false" ht="17.15" hidden="false" customHeight="false" outlineLevel="0" collapsed="false">
      <c r="A816" s="0" t="s">
        <v>767</v>
      </c>
      <c r="B816" s="0" t="s">
        <v>80</v>
      </c>
      <c r="D816" s="16" t="n">
        <f aca="false">(a27_gp-D815)/D789</f>
        <v>0.435994625937743</v>
      </c>
      <c r="H816" s="7" t="s">
        <v>768</v>
      </c>
    </row>
    <row r="817" customFormat="false" ht="15" hidden="false" customHeight="false" outlineLevel="0" collapsed="false">
      <c r="A817" s="4" t="s">
        <v>769</v>
      </c>
      <c r="B817" s="0" t="s">
        <v>239</v>
      </c>
      <c r="C817" s="22" t="n">
        <f aca="false">a26_gp</f>
        <v>4.8718</v>
      </c>
      <c r="D817" s="22" t="n">
        <f aca="false">a27_gp</f>
        <v>7.006682</v>
      </c>
      <c r="E817" s="22" t="n">
        <f aca="false">E815+$D$816*E789</f>
        <v>9.40882036432392</v>
      </c>
      <c r="F817" s="22" t="n">
        <f aca="false">F815+$D$816*F789</f>
        <v>12.32126299717</v>
      </c>
      <c r="G817" s="22" t="n">
        <f aca="false">G815+$D$816*G789</f>
        <v>14.4835043933105</v>
      </c>
    </row>
    <row r="818" customFormat="false" ht="15" hidden="false" customHeight="false" outlineLevel="0" collapsed="false">
      <c r="A818" s="4" t="s">
        <v>621</v>
      </c>
      <c r="B818" s="0" t="s">
        <v>49</v>
      </c>
      <c r="C818" s="14" t="n">
        <f aca="false">C817/C811</f>
        <v>0.59451346008347</v>
      </c>
      <c r="D818" s="14" t="n">
        <f aca="false">D817/D811</f>
        <v>0.583890166666667</v>
      </c>
      <c r="E818" s="14" t="n">
        <f aca="false">E817/E811</f>
        <v>0.549552584462878</v>
      </c>
      <c r="F818" s="14" t="n">
        <f aca="false">F817/F811</f>
        <v>0.469873310212278</v>
      </c>
      <c r="G818" s="14" t="n">
        <f aca="false">G817/G811</f>
        <v>0.47479593312795</v>
      </c>
    </row>
    <row r="819" customFormat="false" ht="17.15" hidden="false" customHeight="false" outlineLevel="0" collapsed="false">
      <c r="A819" s="4" t="s">
        <v>770</v>
      </c>
      <c r="B819" s="0" t="s">
        <v>49</v>
      </c>
      <c r="C819" s="14" t="n">
        <f aca="false">C792/C811</f>
        <v>0.183047372660044</v>
      </c>
      <c r="D819" s="14" t="n">
        <f aca="false">D792/D811</f>
        <v>0.15625</v>
      </c>
      <c r="E819" s="14" t="n">
        <f aca="false">E792/E811</f>
        <v>0.275878604516355</v>
      </c>
      <c r="F819" s="14" t="n">
        <f aca="false">F792/F811</f>
        <v>0.506274702118148</v>
      </c>
      <c r="G819" s="14" t="n">
        <f aca="false">G792/G811</f>
        <v>0.508869067033908</v>
      </c>
    </row>
    <row r="820" customFormat="false" ht="15" hidden="false" customHeight="false" outlineLevel="0" collapsed="false">
      <c r="A820" s="4" t="s">
        <v>771</v>
      </c>
      <c r="B820" s="0" t="s">
        <v>239</v>
      </c>
      <c r="C820" s="22" t="n">
        <f aca="false">a26_opx</f>
        <v>1.9808</v>
      </c>
      <c r="D820" s="22" t="n">
        <f aca="false">a27_opx</f>
        <v>2.55</v>
      </c>
      <c r="E820" s="22" t="n">
        <f aca="false">D820*(1+MAX(g_opx_min,phi*E813))</f>
        <v>3.09409282564196</v>
      </c>
      <c r="F820" s="22" t="n">
        <f aca="false">E820*(1+MAX(g_opx_min,phi*F813))</f>
        <v>3.91651999824909</v>
      </c>
      <c r="G820" s="22" t="n">
        <f aca="false">F820*(1+MAX(g_opx_min,phi*G813))</f>
        <v>4.23630640629873</v>
      </c>
    </row>
    <row r="821" customFormat="false" ht="15" hidden="false" customHeight="false" outlineLevel="0" collapsed="false">
      <c r="A821" s="4" t="s">
        <v>772</v>
      </c>
      <c r="B821" s="0" t="s">
        <v>239</v>
      </c>
      <c r="C821" s="22" t="n">
        <f aca="false">C820</f>
        <v>1.9808</v>
      </c>
      <c r="D821" s="22" t="n">
        <f aca="false">D820</f>
        <v>2.55</v>
      </c>
      <c r="E821" s="22" t="n">
        <f aca="false">E820+0*E811</f>
        <v>3.09409282564196</v>
      </c>
      <c r="F821" s="22" t="n">
        <f aca="false">F820+0*F811</f>
        <v>3.91651999824909</v>
      </c>
      <c r="G821" s="22" t="n">
        <f aca="false">G820+0*G811</f>
        <v>4.23630640629873</v>
      </c>
    </row>
    <row r="822" customFormat="false" ht="15" hidden="false" customHeight="false" outlineLevel="0" collapsed="false">
      <c r="A822" s="4" t="s">
        <v>773</v>
      </c>
      <c r="B822" s="0" t="s">
        <v>239</v>
      </c>
      <c r="C822" s="22" t="n">
        <f aca="false">C817-C821</f>
        <v>2.891</v>
      </c>
      <c r="D822" s="22" t="n">
        <f aca="false">D817-D821</f>
        <v>4.456682</v>
      </c>
      <c r="E822" s="22" t="n">
        <f aca="false">E817-E821</f>
        <v>6.31472753868197</v>
      </c>
      <c r="F822" s="22" t="n">
        <f aca="false">F817-F821</f>
        <v>8.40474299892087</v>
      </c>
      <c r="G822" s="22" t="n">
        <f aca="false">G817-G821</f>
        <v>10.2471979870117</v>
      </c>
    </row>
    <row r="823" customFormat="false" ht="15" hidden="false" customHeight="false" outlineLevel="0" collapsed="false">
      <c r="A823" s="4" t="s">
        <v>627</v>
      </c>
      <c r="B823" s="0" t="s">
        <v>49</v>
      </c>
      <c r="C823" s="14" t="n">
        <f aca="false">C822/C811</f>
        <v>0.352793302906792</v>
      </c>
      <c r="D823" s="14" t="n">
        <f aca="false">D822/D811</f>
        <v>0.371390166666667</v>
      </c>
      <c r="E823" s="14" t="n">
        <f aca="false">E822/E811</f>
        <v>0.368832085711835</v>
      </c>
      <c r="F823" s="14" t="n">
        <f aca="false">F822/F811</f>
        <v>0.320516201569068</v>
      </c>
      <c r="G823" s="14" t="n">
        <f aca="false">G822/G811</f>
        <v>0.335922011556626</v>
      </c>
    </row>
    <row r="824" customFormat="false" ht="15" hidden="false" customHeight="false" outlineLevel="0" collapsed="false">
      <c r="A824" s="4" t="s">
        <v>774</v>
      </c>
      <c r="B824" s="0" t="s">
        <v>239</v>
      </c>
      <c r="C824" s="22" t="n">
        <f aca="false">a26_oth</f>
        <v>0.1514</v>
      </c>
      <c r="D824" s="22" t="n">
        <f aca="false">a27_oth</f>
        <v>0.1424</v>
      </c>
      <c r="E824" s="22" t="n">
        <f aca="false">int_f</f>
        <v>0.15</v>
      </c>
      <c r="F824" s="22" t="n">
        <f aca="false">int_f</f>
        <v>0.15</v>
      </c>
      <c r="G824" s="22" t="n">
        <f aca="false">int_f</f>
        <v>0.15</v>
      </c>
    </row>
    <row r="825" customFormat="false" ht="15" hidden="false" customHeight="false" outlineLevel="0" collapsed="false">
      <c r="A825" s="4" t="s">
        <v>775</v>
      </c>
      <c r="B825" s="0" t="s">
        <v>49</v>
      </c>
      <c r="C825" s="14" t="n">
        <f aca="false">a26_tax/(a26_oi-a26_oth)</f>
        <v>0.1</v>
      </c>
      <c r="D825" s="14" t="n">
        <f aca="false">a27_tax/(a27_oi-a27_oth)</f>
        <v>0.11</v>
      </c>
      <c r="E825" s="14" t="n">
        <f aca="false">tx_f</f>
        <v>0.13</v>
      </c>
      <c r="F825" s="14" t="n">
        <f aca="false">tx_f</f>
        <v>0.13</v>
      </c>
      <c r="G825" s="14" t="n">
        <f aca="false">tx_f</f>
        <v>0.13</v>
      </c>
    </row>
    <row r="826" customFormat="false" ht="17.15" hidden="false" customHeight="false" outlineLevel="0" collapsed="false">
      <c r="A826" s="4" t="s">
        <v>708</v>
      </c>
      <c r="B826" s="0" t="s">
        <v>239</v>
      </c>
      <c r="C826" s="22" t="n">
        <f aca="false">a26_ni</f>
        <v>2.46564</v>
      </c>
      <c r="D826" s="22" t="n">
        <f aca="false">a27_ni</f>
        <v>3.83971098</v>
      </c>
      <c r="E826" s="22" t="n">
        <f aca="false">(E822-E824)*(1-E825)</f>
        <v>5.36331295865331</v>
      </c>
      <c r="F826" s="22" t="n">
        <f aca="false">(F822-F824)*(1-F825)</f>
        <v>7.18162640906115</v>
      </c>
      <c r="G826" s="22" t="n">
        <f aca="false">(G822-G824)*(1-G825)</f>
        <v>8.78456224870019</v>
      </c>
    </row>
    <row r="827" customFormat="false" ht="15" hidden="false" customHeight="false" outlineLevel="0" collapsed="false">
      <c r="A827" s="4" t="s">
        <v>776</v>
      </c>
      <c r="B827" s="4" t="s">
        <v>370</v>
      </c>
      <c r="C827" s="16" t="n">
        <f aca="false">a26_sh</f>
        <v>0.8697</v>
      </c>
      <c r="D827" s="16" t="n">
        <f aca="false">a27_sh</f>
        <v>0.915125</v>
      </c>
      <c r="E827" s="16" t="n">
        <f aca="false">D827*(1+sh_g)</f>
        <v>0.919700625</v>
      </c>
      <c r="F827" s="16" t="n">
        <f aca="false">E827*(1+sh_g)</f>
        <v>0.924299128125</v>
      </c>
      <c r="G827" s="16" t="n">
        <f aca="false">F827*(1+sh_g)</f>
        <v>0.928920623765625</v>
      </c>
    </row>
    <row r="828" customFormat="false" ht="17.15" hidden="false" customHeight="false" outlineLevel="0" collapsed="false">
      <c r="A828" s="0" t="s">
        <v>709</v>
      </c>
      <c r="B828" s="0" t="s">
        <v>253</v>
      </c>
      <c r="C828" s="22" t="n">
        <f aca="false">C826/C827</f>
        <v>2.83504656778199</v>
      </c>
      <c r="D828" s="22" t="n">
        <f aca="false">D826/D827</f>
        <v>4.19583224149706</v>
      </c>
      <c r="E828" s="22" t="n">
        <f aca="false">E826/E827</f>
        <v>5.83158564087451</v>
      </c>
      <c r="F828" s="22" t="n">
        <f aca="false">F826/F827</f>
        <v>7.76980762021224</v>
      </c>
      <c r="G828" s="22" t="n">
        <f aca="false">G826/G827</f>
        <v>9.45674153846392</v>
      </c>
    </row>
    <row r="829" customFormat="false" ht="17.15" hidden="false" customHeight="false" outlineLevel="0" collapsed="false">
      <c r="A829" s="0" t="s">
        <v>777</v>
      </c>
      <c r="B829" s="0" t="s">
        <v>49</v>
      </c>
      <c r="D829" s="14" t="n">
        <f aca="false">D828/C828-1</f>
        <v>0.479987062357033</v>
      </c>
      <c r="E829" s="14" t="n">
        <f aca="false">E828/D828-1</f>
        <v>0.389851954327376</v>
      </c>
      <c r="F829" s="14" t="n">
        <f aca="false">F828/E828-1</f>
        <v>0.33236620341343</v>
      </c>
      <c r="G829" s="14" t="n">
        <f aca="false">G828/F828-1</f>
        <v>0.217113987978713</v>
      </c>
    </row>
    <row r="832" customFormat="false" ht="17.15" hidden="false" customHeight="false" outlineLevel="0" collapsed="false">
      <c r="A832" s="3" t="s">
        <v>1181</v>
      </c>
    </row>
    <row r="833" customFormat="false" ht="17.15" hidden="false" customHeight="false" outlineLevel="0" collapsed="false">
      <c r="A833" s="5" t="s">
        <v>25</v>
      </c>
      <c r="B833" s="5" t="s">
        <v>26</v>
      </c>
      <c r="C833" s="11" t="s">
        <v>698</v>
      </c>
      <c r="D833" s="11" t="s">
        <v>699</v>
      </c>
      <c r="E833" s="11" t="s">
        <v>700</v>
      </c>
      <c r="F833" s="11" t="s">
        <v>701</v>
      </c>
      <c r="G833" s="11" t="s">
        <v>702</v>
      </c>
      <c r="H833" s="5" t="s">
        <v>555</v>
      </c>
    </row>
    <row r="834" customFormat="false" ht="17.15" hidden="false" customHeight="false" outlineLevel="0" collapsed="false">
      <c r="A834" s="1" t="s">
        <v>717</v>
      </c>
    </row>
    <row r="835" customFormat="false" ht="17.15" hidden="false" customHeight="false" outlineLevel="0" collapsed="false">
      <c r="A835" s="0" t="s">
        <v>718</v>
      </c>
      <c r="B835" s="4" t="s">
        <v>36</v>
      </c>
      <c r="D835" s="22" t="n">
        <f aca="false">u_trn_26</f>
        <v>2</v>
      </c>
      <c r="E835" s="22" t="n">
        <f aca="false">u_trn_27</f>
        <v>2.5</v>
      </c>
      <c r="F835" s="22" t="n">
        <f aca="false">u_trn_28*um28_A</f>
        <v>3</v>
      </c>
      <c r="G835" s="22" t="n">
        <f aca="false">u_trn_28*(1+g29_trn)*um29_A</f>
        <v>3.45</v>
      </c>
    </row>
    <row r="836" customFormat="false" ht="17.15" hidden="false" customHeight="false" outlineLevel="0" collapsed="false">
      <c r="A836" s="4" t="s">
        <v>719</v>
      </c>
      <c r="B836" s="4" t="s">
        <v>36</v>
      </c>
      <c r="D836" s="22" t="n">
        <f aca="false">u_oth_26</f>
        <v>1</v>
      </c>
      <c r="E836" s="22" t="n">
        <f aca="false">u_oth_27</f>
        <v>4.5</v>
      </c>
      <c r="F836" s="22" t="n">
        <f aca="false">u_oth_28*um28_A</f>
        <v>5</v>
      </c>
      <c r="G836" s="22" t="n">
        <f aca="false">u_oth_28*(1+g29_oth)*um29_A</f>
        <v>5.75</v>
      </c>
    </row>
    <row r="837" customFormat="false" ht="17.15" hidden="false" customHeight="false" outlineLevel="0" collapsed="false">
      <c r="A837" s="0" t="s">
        <v>720</v>
      </c>
      <c r="B837" s="4" t="s">
        <v>36</v>
      </c>
      <c r="D837" s="22" t="n">
        <f aca="false">u_tpu_26</f>
        <v>3.85</v>
      </c>
      <c r="E837" s="22" t="n">
        <f aca="false">u_tpu_27</f>
        <v>5.5</v>
      </c>
      <c r="F837" s="22" t="n">
        <f aca="false">u_tpu_28*um28_A</f>
        <v>7</v>
      </c>
      <c r="G837" s="22" t="n">
        <f aca="false">u_tpu_28*(1+g29_tpu)*um29_A</f>
        <v>8.05</v>
      </c>
    </row>
    <row r="838" customFormat="false" ht="17.15" hidden="false" customHeight="false" outlineLevel="0" collapsed="false">
      <c r="A838" s="0" t="s">
        <v>658</v>
      </c>
      <c r="B838" s="0" t="s">
        <v>49</v>
      </c>
      <c r="D838" s="14" t="n">
        <f aca="false">msh_trn_26</f>
        <v>0.1</v>
      </c>
      <c r="E838" s="14" t="n">
        <f aca="false">MIN(1,MAX(0,msh_trn_27+0))</f>
        <v>0.1</v>
      </c>
      <c r="F838" s="14" t="n">
        <f aca="false">MIN(1,MAX(0,msh_trn_28+0))</f>
        <v>0.08</v>
      </c>
      <c r="G838" s="14" t="n">
        <f aca="false">MIN(1,MAX(0,msh_trn_28+0))</f>
        <v>0.08</v>
      </c>
    </row>
    <row r="839" customFormat="false" ht="17.15" hidden="false" customHeight="false" outlineLevel="0" collapsed="false">
      <c r="A839" s="0" t="s">
        <v>666</v>
      </c>
      <c r="B839" s="0" t="s">
        <v>49</v>
      </c>
      <c r="D839" s="14" t="n">
        <f aca="false">msh_oth_26</f>
        <v>0.05</v>
      </c>
      <c r="E839" s="14" t="n">
        <f aca="false">MIN(1,MAX(0,msh_oth_27+0))</f>
        <v>0.06</v>
      </c>
      <c r="F839" s="14" t="n">
        <f aca="false">MIN(1,MAX(0,msh_oth_28+0))</f>
        <v>0.15</v>
      </c>
      <c r="G839" s="14" t="n">
        <f aca="false">MIN(1,MAX(0,msh_oth_28+0))</f>
        <v>0.15</v>
      </c>
    </row>
    <row r="840" customFormat="false" ht="17.15" hidden="false" customHeight="false" outlineLevel="0" collapsed="false">
      <c r="A840" s="0" t="s">
        <v>670</v>
      </c>
      <c r="B840" s="0" t="s">
        <v>49</v>
      </c>
      <c r="D840" s="14" t="n">
        <f aca="false">msh_tpu_26</f>
        <v>0</v>
      </c>
      <c r="E840" s="14" t="n">
        <f aca="false">MIN(1,MAX(0,msh_tpu_27+0))</f>
        <v>0</v>
      </c>
      <c r="F840" s="14" t="n">
        <f aca="false">MIN(1,MAX(0,msh_tpu_28+0))</f>
        <v>0.05</v>
      </c>
      <c r="G840" s="14" t="n">
        <f aca="false">MIN(1,MAX(0,msh_tpu_28+0))</f>
        <v>0.05</v>
      </c>
    </row>
    <row r="841" customFormat="false" ht="17.15" hidden="false" customHeight="false" outlineLevel="0" collapsed="false">
      <c r="A841" s="0" t="s">
        <v>660</v>
      </c>
      <c r="B841" s="4" t="s">
        <v>36</v>
      </c>
      <c r="D841" s="16" t="n">
        <f aca="false">D835*D838</f>
        <v>0.2</v>
      </c>
      <c r="E841" s="16" t="n">
        <f aca="false">E835*E838*1</f>
        <v>0.25</v>
      </c>
      <c r="F841" s="16" t="n">
        <f aca="false">F835*F838*1</f>
        <v>0.24</v>
      </c>
      <c r="G841" s="16" t="n">
        <f aca="false">G835*G838*1</f>
        <v>0.276</v>
      </c>
    </row>
    <row r="842" customFormat="false" ht="17.15" hidden="false" customHeight="false" outlineLevel="0" collapsed="false">
      <c r="A842" s="0" t="s">
        <v>667</v>
      </c>
      <c r="B842" s="4" t="s">
        <v>36</v>
      </c>
      <c r="D842" s="16" t="n">
        <f aca="false">D836*D839</f>
        <v>0.05</v>
      </c>
      <c r="E842" s="16" t="n">
        <f aca="false">E836*E839*1</f>
        <v>0.27</v>
      </c>
      <c r="F842" s="16" t="n">
        <f aca="false">F836*F839*1</f>
        <v>0.75</v>
      </c>
      <c r="G842" s="16" t="n">
        <f aca="false">G836*G839*1</f>
        <v>0.8625</v>
      </c>
    </row>
    <row r="843" customFormat="false" ht="17.15" hidden="false" customHeight="false" outlineLevel="0" collapsed="false">
      <c r="A843" s="0" t="s">
        <v>671</v>
      </c>
      <c r="B843" s="4" t="s">
        <v>36</v>
      </c>
      <c r="D843" s="16" t="n">
        <f aca="false">D837*D840</f>
        <v>0</v>
      </c>
      <c r="E843" s="16" t="n">
        <f aca="false">E837*E840*1</f>
        <v>0</v>
      </c>
      <c r="F843" s="16" t="n">
        <f aca="false">F837*F840*1</f>
        <v>0.35</v>
      </c>
      <c r="G843" s="16" t="n">
        <f aca="false">G837*G840*1</f>
        <v>0.4025</v>
      </c>
    </row>
    <row r="844" customFormat="false" ht="17.15" hidden="false" customHeight="false" outlineLevel="0" collapsed="false">
      <c r="A844" s="4" t="s">
        <v>721</v>
      </c>
      <c r="B844" s="0" t="s">
        <v>100</v>
      </c>
      <c r="D844" s="23" t="n">
        <f aca="false">gb_trn_26</f>
        <v>110</v>
      </c>
      <c r="E844" s="23" t="n">
        <f aca="false">gb_trn_27</f>
        <v>144</v>
      </c>
      <c r="F844" s="23" t="n">
        <f aca="false">gb_trn_28</f>
        <v>200</v>
      </c>
      <c r="G844" s="23" t="n">
        <f aca="false">gb_trn_28</f>
        <v>200</v>
      </c>
    </row>
    <row r="845" customFormat="false" ht="17.15" hidden="false" customHeight="false" outlineLevel="0" collapsed="false">
      <c r="A845" s="4" t="s">
        <v>722</v>
      </c>
      <c r="B845" s="0" t="s">
        <v>100</v>
      </c>
      <c r="D845" s="23" t="n">
        <f aca="false">gb_oth_26</f>
        <v>150</v>
      </c>
      <c r="E845" s="23" t="n">
        <f aca="false">gb_oth_27</f>
        <v>200</v>
      </c>
      <c r="F845" s="23" t="n">
        <f aca="false">gb_oth_28</f>
        <v>250</v>
      </c>
      <c r="G845" s="23" t="n">
        <f aca="false">gb_oth_28</f>
        <v>250</v>
      </c>
    </row>
    <row r="846" customFormat="false" ht="17.15" hidden="false" customHeight="false" outlineLevel="0" collapsed="false">
      <c r="A846" s="4" t="s">
        <v>723</v>
      </c>
      <c r="B846" s="0" t="s">
        <v>100</v>
      </c>
      <c r="D846" s="23" t="n">
        <f aca="false">gb_tpu_26</f>
        <v>192</v>
      </c>
      <c r="E846" s="23" t="n">
        <f aca="false">gb_tpu_27</f>
        <v>250</v>
      </c>
      <c r="F846" s="23" t="n">
        <f aca="false">gb_tpu_28</f>
        <v>288</v>
      </c>
      <c r="G846" s="23" t="n">
        <f aca="false">gb_tpu_28</f>
        <v>288</v>
      </c>
    </row>
    <row r="847" customFormat="false" ht="17.15" hidden="false" customHeight="false" outlineLevel="0" collapsed="false">
      <c r="A847" s="0" t="s">
        <v>724</v>
      </c>
      <c r="B847" s="0" t="s">
        <v>200</v>
      </c>
      <c r="D847" s="22" t="n">
        <f aca="false">hbm_A_26</f>
        <v>14.6</v>
      </c>
      <c r="E847" s="22" t="n">
        <f aca="false">hbm_A_27</f>
        <v>26.28</v>
      </c>
      <c r="F847" s="22" t="n">
        <f aca="false">hbm_A_28</f>
        <v>28.908</v>
      </c>
      <c r="G847" s="22" t="n">
        <f aca="false">hbm_A_29</f>
        <v>27.4626</v>
      </c>
    </row>
    <row r="848" customFormat="false" ht="17.15" hidden="false" customHeight="false" outlineLevel="0" collapsed="false">
      <c r="A848" s="4" t="s">
        <v>725</v>
      </c>
      <c r="B848" s="0" t="s">
        <v>122</v>
      </c>
      <c r="D848" s="22" t="n">
        <f aca="false">core_trn</f>
        <v>6.394</v>
      </c>
      <c r="E848" s="22" t="n">
        <f aca="false">core_trn*1</f>
        <v>6.394</v>
      </c>
      <c r="F848" s="22" t="n">
        <f aca="false">core_trn*1</f>
        <v>6.394</v>
      </c>
      <c r="G848" s="22" t="n">
        <f aca="false">core_trn*1</f>
        <v>6.394</v>
      </c>
    </row>
    <row r="849" customFormat="false" ht="17.15" hidden="false" customHeight="false" outlineLevel="0" collapsed="false">
      <c r="A849" s="4" t="s">
        <v>726</v>
      </c>
      <c r="B849" s="0" t="s">
        <v>122</v>
      </c>
      <c r="D849" s="22" t="n">
        <f aca="false">core_oth</f>
        <v>6</v>
      </c>
      <c r="E849" s="22" t="n">
        <f aca="false">core_oth*1</f>
        <v>6</v>
      </c>
      <c r="F849" s="22" t="n">
        <f aca="false">core_oth*1</f>
        <v>6</v>
      </c>
      <c r="G849" s="22" t="n">
        <f aca="false">core_oth*1</f>
        <v>6</v>
      </c>
    </row>
    <row r="850" customFormat="false" ht="17.15" hidden="false" customHeight="false" outlineLevel="0" collapsed="false">
      <c r="A850" s="4" t="s">
        <v>727</v>
      </c>
      <c r="B850" s="0" t="s">
        <v>122</v>
      </c>
      <c r="D850" s="22" t="n">
        <f aca="false">core_tpu</f>
        <v>8</v>
      </c>
      <c r="E850" s="22" t="n">
        <f aca="false">core_tpu*1</f>
        <v>8</v>
      </c>
      <c r="F850" s="22" t="n">
        <f aca="false">core_tpu*1</f>
        <v>8</v>
      </c>
      <c r="G850" s="22" t="n">
        <f aca="false">core_tpu*1</f>
        <v>8</v>
      </c>
    </row>
    <row r="851" customFormat="false" ht="17.15" hidden="false" customHeight="false" outlineLevel="0" collapsed="false">
      <c r="A851" s="4" t="s">
        <v>728</v>
      </c>
      <c r="B851" s="0" t="s">
        <v>122</v>
      </c>
      <c r="D851" s="22" t="n">
        <f aca="false">D844*D847/1000</f>
        <v>1.606</v>
      </c>
      <c r="E851" s="22" t="n">
        <f aca="false">E844*E847/1000</f>
        <v>3.78432</v>
      </c>
      <c r="F851" s="22" t="n">
        <f aca="false">F844*F847/1000</f>
        <v>5.7816</v>
      </c>
      <c r="G851" s="22" t="n">
        <f aca="false">G844*G847/1000</f>
        <v>5.49252</v>
      </c>
    </row>
    <row r="852" customFormat="false" ht="17.15" hidden="false" customHeight="false" outlineLevel="0" collapsed="false">
      <c r="A852" s="4" t="s">
        <v>729</v>
      </c>
      <c r="B852" s="0" t="s">
        <v>122</v>
      </c>
      <c r="D852" s="22" t="n">
        <f aca="false">D845*D847/1000</f>
        <v>2.19</v>
      </c>
      <c r="E852" s="22" t="n">
        <f aca="false">E845*E847/1000</f>
        <v>5.256</v>
      </c>
      <c r="F852" s="22" t="n">
        <f aca="false">F845*F847/1000</f>
        <v>7.227</v>
      </c>
      <c r="G852" s="22" t="n">
        <f aca="false">G845*G847/1000</f>
        <v>6.86565</v>
      </c>
    </row>
    <row r="853" customFormat="false" ht="17.15" hidden="false" customHeight="false" outlineLevel="0" collapsed="false">
      <c r="A853" s="4" t="s">
        <v>730</v>
      </c>
      <c r="B853" s="0" t="s">
        <v>122</v>
      </c>
      <c r="D853" s="22" t="n">
        <f aca="false">D846*D847/1000</f>
        <v>2.8032</v>
      </c>
      <c r="E853" s="22" t="n">
        <f aca="false">E846*E847/1000</f>
        <v>6.57</v>
      </c>
      <c r="F853" s="22" t="n">
        <f aca="false">F846*F847/1000</f>
        <v>8.325504</v>
      </c>
      <c r="G853" s="22" t="n">
        <f aca="false">G846*G847/1000</f>
        <v>7.9092288</v>
      </c>
    </row>
    <row r="854" customFormat="false" ht="17.15" hidden="false" customHeight="false" outlineLevel="0" collapsed="false">
      <c r="A854" s="4" t="s">
        <v>731</v>
      </c>
      <c r="B854" s="0" t="s">
        <v>122</v>
      </c>
      <c r="D854" s="22" t="n">
        <f aca="false">D848+f_hbm*D851</f>
        <v>7.3576</v>
      </c>
      <c r="E854" s="22" t="n">
        <f aca="false">E848+f_hbm*E851</f>
        <v>8.664592</v>
      </c>
      <c r="F854" s="22" t="n">
        <f aca="false">F848+f_hbm*F851</f>
        <v>9.86296</v>
      </c>
      <c r="G854" s="22" t="n">
        <f aca="false">G848+f_hbm*G851</f>
        <v>9.689512</v>
      </c>
      <c r="H854" s="4" t="s">
        <v>732</v>
      </c>
    </row>
    <row r="855" customFormat="false" ht="17.15" hidden="false" customHeight="false" outlineLevel="0" collapsed="false">
      <c r="A855" s="4" t="s">
        <v>733</v>
      </c>
      <c r="B855" s="0" t="s">
        <v>122</v>
      </c>
      <c r="D855" s="22" t="n">
        <f aca="false">D849+f_hbm*D852</f>
        <v>7.314</v>
      </c>
      <c r="E855" s="22" t="n">
        <f aca="false">E849+f_hbm*E852</f>
        <v>9.1536</v>
      </c>
      <c r="F855" s="22" t="n">
        <f aca="false">F849+f_hbm*F852</f>
        <v>10.3362</v>
      </c>
      <c r="G855" s="22" t="n">
        <f aca="false">G849+f_hbm*G852</f>
        <v>10.11939</v>
      </c>
    </row>
    <row r="856" customFormat="false" ht="17.15" hidden="false" customHeight="false" outlineLevel="0" collapsed="false">
      <c r="A856" s="4" t="s">
        <v>734</v>
      </c>
      <c r="B856" s="0" t="s">
        <v>122</v>
      </c>
      <c r="D856" s="22" t="n">
        <f aca="false">D850+f_hbm*D853</f>
        <v>9.68192</v>
      </c>
      <c r="E856" s="22" t="n">
        <f aca="false">E850+f_hbm*E853</f>
        <v>11.942</v>
      </c>
      <c r="F856" s="22" t="n">
        <f aca="false">F850+f_hbm*F853</f>
        <v>12.9953024</v>
      </c>
      <c r="G856" s="22" t="n">
        <f aca="false">G850+f_hbm*G853</f>
        <v>12.74553728</v>
      </c>
    </row>
    <row r="857" customFormat="false" ht="17.15" hidden="false" customHeight="false" outlineLevel="0" collapsed="false">
      <c r="A857" s="0" t="s">
        <v>735</v>
      </c>
      <c r="B857" s="0" t="s">
        <v>239</v>
      </c>
      <c r="D857" s="22" t="n">
        <f aca="false">D841*D854+D842*D855+D843*D856</f>
        <v>1.83722</v>
      </c>
      <c r="E857" s="22" t="n">
        <f aca="false">E841*E854+E842*E855+E843*E856</f>
        <v>4.63762</v>
      </c>
      <c r="F857" s="22" t="n">
        <f aca="false">F841*F854+F842*F855+F843*F856</f>
        <v>14.66761624</v>
      </c>
      <c r="G857" s="22" t="n">
        <f aca="false">G841*G854+G842*G855+G843*G856</f>
        <v>16.5323579422</v>
      </c>
    </row>
    <row r="858" customFormat="false" ht="17.15" hidden="false" customHeight="false" outlineLevel="0" collapsed="false">
      <c r="A858" s="0" t="s">
        <v>736</v>
      </c>
      <c r="B858" s="0" t="s">
        <v>80</v>
      </c>
      <c r="D858" s="16" t="n">
        <f aca="false">a27_xpu/D857</f>
        <v>0.802843426481314</v>
      </c>
      <c r="H858" s="7" t="s">
        <v>737</v>
      </c>
    </row>
    <row r="859" customFormat="false" ht="17.15" hidden="false" customHeight="false" outlineLevel="0" collapsed="false">
      <c r="A859" s="0" t="s">
        <v>738</v>
      </c>
      <c r="B859" s="0" t="s">
        <v>239</v>
      </c>
      <c r="D859" s="22" t="n">
        <f aca="false">D857*$D$858</f>
        <v>1.475</v>
      </c>
      <c r="E859" s="22" t="n">
        <f aca="false">E857*$D$858</f>
        <v>3.72328273151827</v>
      </c>
      <c r="F859" s="22" t="n">
        <f aca="false">F857*$D$858</f>
        <v>11.7757992804346</v>
      </c>
      <c r="G859" s="22" t="n">
        <f aca="false">G857*$D$858</f>
        <v>13.2728948981314</v>
      </c>
    </row>
    <row r="860" customFormat="false" ht="17.15" hidden="false" customHeight="false" outlineLevel="0" collapsed="false">
      <c r="A860" s="4" t="s">
        <v>739</v>
      </c>
      <c r="B860" s="0" t="s">
        <v>239</v>
      </c>
      <c r="D860" s="22" t="n">
        <f aca="false">$D$858*f_hbm*(D841*D851+D842*D852+D843*D853)</f>
        <v>0.207470798271301</v>
      </c>
      <c r="E860" s="22" t="n">
        <f aca="false">$D$858*f_hbm*(E841*E851+E842*E852+E843*E853)</f>
        <v>1.13933116338816</v>
      </c>
      <c r="F860" s="22" t="n">
        <f aca="false">$D$858*f_hbm*(F841*F851+F842*F852+F843*F853)</f>
        <v>4.68303085857981</v>
      </c>
      <c r="G860" s="22" t="n">
        <f aca="false">$D$858*f_hbm*(G841*G851+G842*G852+G843*G853)</f>
        <v>5.11621121299844</v>
      </c>
    </row>
    <row r="861" customFormat="false" ht="15" hidden="false" customHeight="false" outlineLevel="0" collapsed="false">
      <c r="A861" s="4" t="s">
        <v>740</v>
      </c>
      <c r="B861" s="0" t="s">
        <v>239</v>
      </c>
      <c r="D861" s="22" t="n">
        <f aca="false">D859-D860</f>
        <v>1.2675292017287</v>
      </c>
      <c r="E861" s="22" t="n">
        <f aca="false">E859-E860</f>
        <v>2.58395156813011</v>
      </c>
      <c r="F861" s="22" t="n">
        <f aca="false">F859-F860</f>
        <v>7.09276842185476</v>
      </c>
      <c r="G861" s="22" t="n">
        <f aca="false">G859-G860</f>
        <v>8.15668368513297</v>
      </c>
    </row>
    <row r="862" customFormat="false" ht="17.15" hidden="false" customHeight="false" outlineLevel="0" collapsed="false">
      <c r="A862" s="0" t="s">
        <v>741</v>
      </c>
      <c r="B862" s="4" t="s">
        <v>36</v>
      </c>
      <c r="D862" s="16" t="n">
        <f aca="false">D841+D842+D843</f>
        <v>0.25</v>
      </c>
      <c r="E862" s="16" t="n">
        <f aca="false">E841+E842+E843</f>
        <v>0.52</v>
      </c>
      <c r="F862" s="16" t="n">
        <f aca="false">F841+F842+F843</f>
        <v>1.34</v>
      </c>
      <c r="G862" s="16" t="n">
        <f aca="false">G841+G842+G843</f>
        <v>1.541</v>
      </c>
    </row>
    <row r="863" customFormat="false" ht="17.15" hidden="false" customHeight="false" outlineLevel="0" collapsed="false">
      <c r="A863" s="0" t="s">
        <v>742</v>
      </c>
      <c r="B863" s="0" t="s">
        <v>239</v>
      </c>
      <c r="C863" s="22" t="n">
        <f aca="false">a26_att</f>
        <v>0.2</v>
      </c>
      <c r="D863" s="22" t="n">
        <f aca="false">a27_att</f>
        <v>0.4</v>
      </c>
      <c r="E863" s="22" t="n">
        <f aca="false">att28</f>
        <v>1</v>
      </c>
      <c r="F863" s="22" t="n">
        <f aca="false">att28*(1+g_att)*um28_A</f>
        <v>1.5</v>
      </c>
      <c r="G863" s="22" t="n">
        <f aca="false">att28*(1+g_att)^2*um29_A</f>
        <v>2.25</v>
      </c>
      <c r="H863" s="7" t="s">
        <v>743</v>
      </c>
    </row>
    <row r="864" customFormat="false" ht="17.15" hidden="false" customHeight="false" outlineLevel="0" collapsed="false">
      <c r="A864" s="4" t="s">
        <v>744</v>
      </c>
      <c r="B864" s="0" t="s">
        <v>239</v>
      </c>
      <c r="C864" s="22" t="n">
        <f aca="false">a26_cus</f>
        <v>1.5</v>
      </c>
      <c r="D864" s="22" t="n">
        <f aca="false">D859+D863</f>
        <v>1.875</v>
      </c>
      <c r="E864" s="22" t="n">
        <f aca="false">E859+E863</f>
        <v>4.72328273151827</v>
      </c>
      <c r="F864" s="22" t="n">
        <f aca="false">F859+F863</f>
        <v>13.2757992804346</v>
      </c>
      <c r="G864" s="22" t="n">
        <f aca="false">G859+G863</f>
        <v>15.5228948981314</v>
      </c>
    </row>
    <row r="865" customFormat="false" ht="17.15" hidden="false" customHeight="false" outlineLevel="0" collapsed="false">
      <c r="A865" s="1" t="s">
        <v>745</v>
      </c>
    </row>
    <row r="866" customFormat="false" ht="17.15" hidden="false" customHeight="false" outlineLevel="0" collapsed="false">
      <c r="A866" s="0" t="s">
        <v>746</v>
      </c>
      <c r="B866" s="0" t="s">
        <v>239</v>
      </c>
      <c r="D866" s="22" t="n">
        <f aca="false">plug_26*1</f>
        <v>29.753262</v>
      </c>
      <c r="E866" s="22" t="n">
        <f aca="false">plug_27*1</f>
        <v>53.560715</v>
      </c>
      <c r="F866" s="22" t="n">
        <f aca="false">plug_28*um28_A</f>
        <v>57.9915</v>
      </c>
      <c r="G866" s="22" t="n">
        <f aca="false">plug_29*um29_A</f>
        <v>72.9348</v>
      </c>
    </row>
    <row r="867" customFormat="false" ht="17.15" hidden="false" customHeight="false" outlineLevel="0" collapsed="false">
      <c r="A867" s="4" t="s">
        <v>747</v>
      </c>
      <c r="B867" s="4" t="s">
        <v>680</v>
      </c>
      <c r="D867" s="19" t="n">
        <f aca="false">D866*1000/asp_26</f>
        <v>45.7742492307692</v>
      </c>
      <c r="E867" s="19" t="n">
        <f aca="false">E866*1000/asp_27</f>
        <v>66.95089375</v>
      </c>
      <c r="F867" s="19" t="n">
        <f aca="false">F866*1000/asp_28</f>
        <v>68.2252941176471</v>
      </c>
      <c r="G867" s="19" t="n">
        <f aca="false">G866*1000/asp_29</f>
        <v>85.8056470588235</v>
      </c>
    </row>
    <row r="868" customFormat="false" ht="17.15" hidden="false" customHeight="false" outlineLevel="0" collapsed="false">
      <c r="A868" s="4" t="s">
        <v>748</v>
      </c>
      <c r="B868" s="0" t="s">
        <v>49</v>
      </c>
      <c r="D868" s="14" t="n">
        <f aca="false">MIN(1,lpo_26)</f>
        <v>0.03</v>
      </c>
      <c r="E868" s="14" t="n">
        <f aca="false">MIN(1,lpo_27+0)</f>
        <v>0.06</v>
      </c>
      <c r="F868" s="14" t="n">
        <f aca="false">MIN(1,lpo_28+0)</f>
        <v>0.1</v>
      </c>
      <c r="G868" s="14" t="n">
        <f aca="false">MIN(1,lpo_29+0)</f>
        <v>0.15</v>
      </c>
    </row>
    <row r="869" customFormat="false" ht="15" hidden="false" customHeight="false" outlineLevel="0" collapsed="false">
      <c r="A869" s="4" t="s">
        <v>749</v>
      </c>
      <c r="B869" s="0" t="s">
        <v>253</v>
      </c>
      <c r="D869" s="23" t="n">
        <f aca="false">dsp_26</f>
        <v>125</v>
      </c>
      <c r="E869" s="23" t="n">
        <f aca="false">dsp_27*1</f>
        <v>135</v>
      </c>
      <c r="F869" s="23" t="n">
        <f aca="false">dsp_28*1</f>
        <v>135</v>
      </c>
      <c r="G869" s="23" t="n">
        <f aca="false">dsp_29*1</f>
        <v>130</v>
      </c>
    </row>
    <row r="870" customFormat="false" ht="17.15" hidden="false" customHeight="false" outlineLevel="0" collapsed="false">
      <c r="A870" s="4" t="s">
        <v>750</v>
      </c>
      <c r="B870" s="0" t="s">
        <v>239</v>
      </c>
      <c r="D870" s="22" t="n">
        <f aca="false">D867*(1-D868)*D869/1000</f>
        <v>5.55012771923077</v>
      </c>
      <c r="E870" s="22" t="n">
        <f aca="false">E867*(1-E868)*E869/1000</f>
        <v>8.496068416875</v>
      </c>
      <c r="F870" s="22" t="n">
        <f aca="false">F867*(1-F868)*F869/1000</f>
        <v>8.28937323529412</v>
      </c>
      <c r="G870" s="22" t="n">
        <f aca="false">G867*(1-G868)*G869/1000</f>
        <v>9.481524</v>
      </c>
    </row>
    <row r="871" customFormat="false" ht="17.15" hidden="false" customHeight="false" outlineLevel="0" collapsed="false">
      <c r="A871" s="0" t="s">
        <v>751</v>
      </c>
      <c r="B871" s="0" t="s">
        <v>49</v>
      </c>
      <c r="D871" s="14" t="n">
        <f aca="false">msh_dsp_26</f>
        <v>0.65</v>
      </c>
      <c r="E871" s="14" t="n">
        <f aca="false">msh_dsp_27+0.05</f>
        <v>0.68</v>
      </c>
      <c r="F871" s="14" t="n">
        <f aca="false">msh_dsp_28+0.05</f>
        <v>0.65</v>
      </c>
      <c r="G871" s="14" t="n">
        <f aca="false">msh_dsp_29+0.05</f>
        <v>0.63</v>
      </c>
    </row>
    <row r="872" customFormat="false" ht="17.15" hidden="false" customHeight="false" outlineLevel="0" collapsed="false">
      <c r="A872" s="0" t="s">
        <v>682</v>
      </c>
      <c r="B872" s="0" t="s">
        <v>239</v>
      </c>
      <c r="D872" s="22" t="n">
        <f aca="false">D870*D871</f>
        <v>3.6075830175</v>
      </c>
      <c r="E872" s="22" t="n">
        <f aca="false">E870*E871*1</f>
        <v>5.777326523475</v>
      </c>
      <c r="F872" s="22" t="n">
        <f aca="false">F870*F871*1</f>
        <v>5.38809260294118</v>
      </c>
      <c r="G872" s="22" t="n">
        <f aca="false">G870*G871*1</f>
        <v>5.97336012</v>
      </c>
    </row>
    <row r="873" customFormat="false" ht="17.15" hidden="false" customHeight="false" outlineLevel="0" collapsed="false">
      <c r="A873" s="4" t="s">
        <v>752</v>
      </c>
      <c r="B873" s="0" t="s">
        <v>239</v>
      </c>
      <c r="D873" s="22" t="n">
        <f aca="false">coh27</f>
        <v>0.9</v>
      </c>
      <c r="E873" s="22" t="n">
        <f aca="false">D873*(1+g_coh)</f>
        <v>1.035</v>
      </c>
      <c r="F873" s="22" t="n">
        <f aca="false">E873*(1+g_coh)</f>
        <v>1.19025</v>
      </c>
      <c r="G873" s="22" t="n">
        <f aca="false">F873*(1+g_coh)</f>
        <v>1.3687875</v>
      </c>
    </row>
    <row r="874" customFormat="false" ht="17.15" hidden="false" customHeight="false" outlineLevel="0" collapsed="false">
      <c r="A874" s="4" t="s">
        <v>753</v>
      </c>
      <c r="B874" s="0" t="s">
        <v>80</v>
      </c>
      <c r="D874" s="16" t="n">
        <f aca="false">(a27_ic-D873)/D872</f>
        <v>1.44223430888795</v>
      </c>
      <c r="H874" s="7" t="s">
        <v>754</v>
      </c>
    </row>
    <row r="875" customFormat="false" ht="15" hidden="false" customHeight="false" outlineLevel="0" collapsed="false">
      <c r="A875" s="4" t="s">
        <v>755</v>
      </c>
      <c r="B875" s="0" t="s">
        <v>239</v>
      </c>
      <c r="C875" s="22" t="n">
        <f aca="false">a26_ic</f>
        <v>3.4503</v>
      </c>
      <c r="D875" s="22" t="n">
        <f aca="false">D872*$D$874+D873</f>
        <v>6.10298</v>
      </c>
      <c r="E875" s="22" t="n">
        <f aca="false">E872*$D$874+E873</f>
        <v>9.36725852580396</v>
      </c>
      <c r="F875" s="22" t="n">
        <f aca="false">F872*$D$874+F873</f>
        <v>8.96114201142712</v>
      </c>
      <c r="G875" s="22" t="n">
        <f aca="false">G872*$D$874+G873</f>
        <v>9.98377240440701</v>
      </c>
    </row>
    <row r="876" customFormat="false" ht="17.15" hidden="false" customHeight="false" outlineLevel="0" collapsed="false">
      <c r="A876" s="1" t="s">
        <v>756</v>
      </c>
    </row>
    <row r="877" customFormat="false" ht="15" hidden="false" customHeight="false" outlineLevel="0" collapsed="false">
      <c r="A877" s="4" t="s">
        <v>757</v>
      </c>
      <c r="B877" s="0" t="s">
        <v>239</v>
      </c>
      <c r="C877" s="22" t="n">
        <f aca="false">a26_sw</f>
        <v>0.3</v>
      </c>
      <c r="D877" s="22" t="n">
        <f aca="false">a27_sw</f>
        <v>0.65</v>
      </c>
      <c r="E877" s="22" t="n">
        <f aca="false">a27_sw*(1+g_sw28)</f>
        <v>1.17</v>
      </c>
      <c r="F877" s="22" t="n">
        <f aca="false">a27_sw*(1+g_sw28)*(1+g_sw)*um28_A</f>
        <v>1.638</v>
      </c>
      <c r="G877" s="22" t="n">
        <f aca="false">a27_sw*(1+g_sw28)*(1+g_sw)^2*um29_A</f>
        <v>2.2932</v>
      </c>
    </row>
    <row r="878" customFormat="false" ht="17.15" hidden="false" customHeight="false" outlineLevel="0" collapsed="false">
      <c r="A878" s="0" t="s">
        <v>758</v>
      </c>
      <c r="B878" s="0" t="s">
        <v>239</v>
      </c>
      <c r="C878" s="22" t="n">
        <f aca="false">a26_aec</f>
        <v>0.2</v>
      </c>
      <c r="D878" s="22" t="n">
        <f aca="false">a27_aec</f>
        <v>0.45</v>
      </c>
      <c r="E878" s="22" t="n">
        <f aca="false">a27_aec*(1+g_aec)</f>
        <v>0.675</v>
      </c>
      <c r="F878" s="22" t="n">
        <f aca="false">a27_aec*(1+g_aec)^2*um28_A</f>
        <v>1.0125</v>
      </c>
      <c r="G878" s="22" t="n">
        <f aca="false">a27_aec*(1+g_aec)^3*um29_A</f>
        <v>1.51875</v>
      </c>
    </row>
    <row r="879" customFormat="false" ht="15" hidden="false" customHeight="false" outlineLevel="0" collapsed="false">
      <c r="A879" s="4" t="s">
        <v>759</v>
      </c>
      <c r="B879" s="0" t="s">
        <v>239</v>
      </c>
      <c r="C879" s="22" t="n">
        <f aca="false">a26_sto</f>
        <v>0.65</v>
      </c>
      <c r="D879" s="22" t="n">
        <f aca="false">a27_sto</f>
        <v>0.6825</v>
      </c>
      <c r="E879" s="22" t="n">
        <f aca="false">D879*(1+g_sto)</f>
        <v>0.716625</v>
      </c>
      <c r="F879" s="22" t="n">
        <f aca="false">E879*(1+g_sto)</f>
        <v>0.75245625</v>
      </c>
      <c r="G879" s="22" t="n">
        <f aca="false">F879*(1+g_sto)</f>
        <v>0.7900790625</v>
      </c>
    </row>
    <row r="880" customFormat="false" ht="15" hidden="false" customHeight="false" outlineLevel="0" collapsed="false">
      <c r="A880" s="4" t="s">
        <v>760</v>
      </c>
      <c r="B880" s="0" t="s">
        <v>239</v>
      </c>
      <c r="C880" s="22" t="n">
        <f aca="false">a26_dc</f>
        <v>6.1003</v>
      </c>
      <c r="D880" s="22" t="n">
        <f aca="false">D864+D875+D877+D878+D879</f>
        <v>9.76048</v>
      </c>
      <c r="E880" s="22" t="n">
        <f aca="false">E864+E875+E877+E878+E879</f>
        <v>16.6521662573222</v>
      </c>
      <c r="F880" s="22" t="n">
        <f aca="false">F864+F875+F877+F878+F879</f>
        <v>25.6398975418617</v>
      </c>
      <c r="G880" s="22" t="n">
        <f aca="false">G864+G875+G877+G878+G879</f>
        <v>30.1086963650384</v>
      </c>
    </row>
    <row r="881" customFormat="false" ht="15" hidden="false" customHeight="false" outlineLevel="0" collapsed="false">
      <c r="A881" s="4" t="s">
        <v>761</v>
      </c>
      <c r="B881" s="0" t="s">
        <v>239</v>
      </c>
      <c r="C881" s="22" t="n">
        <f aca="false">a26_co</f>
        <v>2.0943</v>
      </c>
      <c r="D881" s="22" t="n">
        <f aca="false">a27_co</f>
        <v>2.23952</v>
      </c>
      <c r="E881" s="22" t="n">
        <f aca="false">D881*(1+g_co28)</f>
        <v>2.3067056</v>
      </c>
      <c r="F881" s="22" t="n">
        <f aca="false">E881*(1+g_co)</f>
        <v>2.375906768</v>
      </c>
      <c r="G881" s="22" t="n">
        <f aca="false">F881*(1+g_co)</f>
        <v>2.44718397104</v>
      </c>
    </row>
    <row r="882" customFormat="false" ht="17.15" hidden="false" customHeight="false" outlineLevel="0" collapsed="false">
      <c r="A882" s="1" t="s">
        <v>762</v>
      </c>
    </row>
    <row r="883" customFormat="false" ht="15" hidden="false" customHeight="false" outlineLevel="0" collapsed="false">
      <c r="A883" s="4" t="s">
        <v>597</v>
      </c>
      <c r="B883" s="0" t="s">
        <v>239</v>
      </c>
      <c r="C883" s="22" t="n">
        <f aca="false">a26_rev</f>
        <v>8.1946</v>
      </c>
      <c r="D883" s="22" t="n">
        <f aca="false">a27_rev</f>
        <v>12</v>
      </c>
      <c r="E883" s="22" t="n">
        <f aca="false">E880+E881</f>
        <v>18.9588718573222</v>
      </c>
      <c r="F883" s="22" t="n">
        <f aca="false">F880+F881</f>
        <v>28.0158043098617</v>
      </c>
      <c r="G883" s="22" t="n">
        <f aca="false">G880+G881</f>
        <v>32.5558803360784</v>
      </c>
    </row>
    <row r="884" customFormat="false" ht="17.15" hidden="false" customHeight="false" outlineLevel="0" collapsed="false">
      <c r="A884" s="4" t="s">
        <v>763</v>
      </c>
      <c r="B884" s="0" t="s">
        <v>239</v>
      </c>
      <c r="D884" s="22" t="n">
        <f aca="false">D880+D881</f>
        <v>12</v>
      </c>
      <c r="E884" s="22" t="n">
        <f aca="false">E880+E881</f>
        <v>18.9588718573222</v>
      </c>
      <c r="F884" s="22" t="n">
        <f aca="false">F880+F881</f>
        <v>28.0158043098617</v>
      </c>
      <c r="G884" s="22" t="n">
        <f aca="false">G880+G881</f>
        <v>32.5558803360784</v>
      </c>
    </row>
    <row r="885" customFormat="false" ht="15" hidden="false" customHeight="false" outlineLevel="0" collapsed="false">
      <c r="A885" s="4" t="s">
        <v>764</v>
      </c>
      <c r="B885" s="0" t="s">
        <v>49</v>
      </c>
      <c r="D885" s="14" t="n">
        <f aca="false">D883/C883-1</f>
        <v>0.464378981280355</v>
      </c>
      <c r="E885" s="14" t="n">
        <f aca="false">E883/D883-1</f>
        <v>0.579905988110187</v>
      </c>
      <c r="F885" s="14" t="n">
        <f aca="false">F883/E883-1</f>
        <v>0.477714735386088</v>
      </c>
      <c r="G885" s="14" t="n">
        <f aca="false">G883/F883-1</f>
        <v>0.162054102605885</v>
      </c>
    </row>
    <row r="886" customFormat="false" ht="17.15" hidden="false" customHeight="false" outlineLevel="0" collapsed="false">
      <c r="A886" s="4" t="s">
        <v>765</v>
      </c>
      <c r="B886" s="0" t="s">
        <v>49</v>
      </c>
      <c r="C886" s="14" t="n">
        <f aca="false">C880/C883</f>
        <v>0.744429258292046</v>
      </c>
      <c r="D886" s="14" t="n">
        <f aca="false">D880/D883</f>
        <v>0.813373333333333</v>
      </c>
      <c r="E886" s="14" t="n">
        <f aca="false">E880/E883</f>
        <v>0.878331072789592</v>
      </c>
      <c r="F886" s="14" t="n">
        <f aca="false">F880/F883</f>
        <v>0.915194054694205</v>
      </c>
      <c r="G886" s="14" t="n">
        <f aca="false">G880/G883</f>
        <v>0.924831276384561</v>
      </c>
    </row>
    <row r="887" customFormat="false" ht="17.15" hidden="false" customHeight="false" outlineLevel="0" collapsed="false">
      <c r="A887" s="4" t="s">
        <v>766</v>
      </c>
      <c r="B887" s="0" t="s">
        <v>239</v>
      </c>
      <c r="D887" s="22" t="n">
        <f aca="false">gm_opt*D875+gm_oth*(D877+D878+D879)+gm_att*D863+gm_co*D881+m_hbm*D860</f>
        <v>6.45404607982713</v>
      </c>
      <c r="E887" s="22" t="n">
        <f aca="false">gm_opt*E875+gm_oth*(E877+E878+E879)+gm_att*E863+gm_co*E881+m_hbm*E860</f>
        <v>9.44017023559531</v>
      </c>
      <c r="F887" s="22" t="n">
        <f aca="false">gm_opt*F875+gm_oth*(F877+F878+F879)+gm_att*F863+gm_co*F881+m_hbm*F860</f>
        <v>10.3586222284971</v>
      </c>
      <c r="G887" s="22" t="n">
        <f aca="false">gm_opt*G875+gm_oth*(G877+G878+G879)+gm_att*G863+gm_co*G881+m_hbm*G860</f>
        <v>12.2194818767795</v>
      </c>
    </row>
    <row r="888" customFormat="false" ht="17.15" hidden="false" customHeight="false" outlineLevel="0" collapsed="false">
      <c r="A888" s="0" t="s">
        <v>767</v>
      </c>
      <c r="B888" s="0" t="s">
        <v>80</v>
      </c>
      <c r="D888" s="16" t="n">
        <f aca="false">(a27_gp-D887)/D861</f>
        <v>0.435994625937743</v>
      </c>
      <c r="H888" s="7" t="s">
        <v>768</v>
      </c>
    </row>
    <row r="889" customFormat="false" ht="15" hidden="false" customHeight="false" outlineLevel="0" collapsed="false">
      <c r="A889" s="4" t="s">
        <v>769</v>
      </c>
      <c r="B889" s="0" t="s">
        <v>239</v>
      </c>
      <c r="C889" s="22" t="n">
        <f aca="false">a26_gp</f>
        <v>4.8718</v>
      </c>
      <c r="D889" s="22" t="n">
        <f aca="false">a27_gp</f>
        <v>7.006682</v>
      </c>
      <c r="E889" s="22" t="n">
        <f aca="false">E887+$D$888*E861</f>
        <v>10.5667592329834</v>
      </c>
      <c r="F889" s="22" t="n">
        <f aca="false">F887+$D$888*F861</f>
        <v>13.4510311434467</v>
      </c>
      <c r="G889" s="22" t="n">
        <f aca="false">G887+$D$888*G861</f>
        <v>15.7757521289715</v>
      </c>
    </row>
    <row r="890" customFormat="false" ht="15" hidden="false" customHeight="false" outlineLevel="0" collapsed="false">
      <c r="A890" s="4" t="s">
        <v>621</v>
      </c>
      <c r="B890" s="0" t="s">
        <v>49</v>
      </c>
      <c r="C890" s="14" t="n">
        <f aca="false">C889/C883</f>
        <v>0.59451346008347</v>
      </c>
      <c r="D890" s="14" t="n">
        <f aca="false">D889/D883</f>
        <v>0.583890166666667</v>
      </c>
      <c r="E890" s="14" t="n">
        <f aca="false">E889/E883</f>
        <v>0.557351688038462</v>
      </c>
      <c r="F890" s="14" t="n">
        <f aca="false">F889/F883</f>
        <v>0.480122968974046</v>
      </c>
      <c r="G890" s="14" t="n">
        <f aca="false">G889/G883</f>
        <v>0.484574582721046</v>
      </c>
    </row>
    <row r="891" customFormat="false" ht="17.15" hidden="false" customHeight="false" outlineLevel="0" collapsed="false">
      <c r="A891" s="4" t="s">
        <v>770</v>
      </c>
      <c r="B891" s="0" t="s">
        <v>49</v>
      </c>
      <c r="C891" s="14" t="n">
        <f aca="false">C864/C883</f>
        <v>0.183047372660044</v>
      </c>
      <c r="D891" s="14" t="n">
        <f aca="false">D864/D883</f>
        <v>0.15625</v>
      </c>
      <c r="E891" s="14" t="n">
        <f aca="false">E864/E883</f>
        <v>0.249133111245438</v>
      </c>
      <c r="F891" s="14" t="n">
        <f aca="false">F864/F883</f>
        <v>0.473868218581232</v>
      </c>
      <c r="G891" s="14" t="n">
        <f aca="false">G864/G883</f>
        <v>0.476807714547622</v>
      </c>
    </row>
    <row r="892" customFormat="false" ht="15" hidden="false" customHeight="false" outlineLevel="0" collapsed="false">
      <c r="A892" s="4" t="s">
        <v>771</v>
      </c>
      <c r="B892" s="0" t="s">
        <v>239</v>
      </c>
      <c r="C892" s="22" t="n">
        <f aca="false">a26_opx</f>
        <v>1.9808</v>
      </c>
      <c r="D892" s="22" t="n">
        <f aca="false">a27_opx</f>
        <v>2.55</v>
      </c>
      <c r="E892" s="22" t="n">
        <f aca="false">D892*(1+MAX(g_opx_min,phi*E885))</f>
        <v>3.28938013484049</v>
      </c>
      <c r="F892" s="22" t="n">
        <f aca="false">E892*(1+MAX(g_opx_min,phi*F885))</f>
        <v>4.07507281519028</v>
      </c>
      <c r="G892" s="22" t="n">
        <f aca="false">F892*(1+MAX(g_opx_min,phi*G885))</f>
        <v>4.40526394924993</v>
      </c>
    </row>
    <row r="893" customFormat="false" ht="15" hidden="false" customHeight="false" outlineLevel="0" collapsed="false">
      <c r="A893" s="4" t="s">
        <v>772</v>
      </c>
      <c r="B893" s="0" t="s">
        <v>239</v>
      </c>
      <c r="C893" s="22" t="n">
        <f aca="false">C892</f>
        <v>1.9808</v>
      </c>
      <c r="D893" s="22" t="n">
        <f aca="false">D892</f>
        <v>2.55</v>
      </c>
      <c r="E893" s="22" t="n">
        <f aca="false">E892+0*E883</f>
        <v>3.28938013484049</v>
      </c>
      <c r="F893" s="22" t="n">
        <f aca="false">F892+0*F883</f>
        <v>4.07507281519028</v>
      </c>
      <c r="G893" s="22" t="n">
        <f aca="false">G892+0*G883</f>
        <v>4.40526394924993</v>
      </c>
    </row>
    <row r="894" customFormat="false" ht="15" hidden="false" customHeight="false" outlineLevel="0" collapsed="false">
      <c r="A894" s="4" t="s">
        <v>773</v>
      </c>
      <c r="B894" s="0" t="s">
        <v>239</v>
      </c>
      <c r="C894" s="22" t="n">
        <f aca="false">C889-C893</f>
        <v>2.891</v>
      </c>
      <c r="D894" s="22" t="n">
        <f aca="false">D889-D893</f>
        <v>4.456682</v>
      </c>
      <c r="E894" s="22" t="n">
        <f aca="false">E889-E893</f>
        <v>7.27737909814296</v>
      </c>
      <c r="F894" s="22" t="n">
        <f aca="false">F889-F893</f>
        <v>9.37595832825639</v>
      </c>
      <c r="G894" s="22" t="n">
        <f aca="false">G889-G893</f>
        <v>11.3704881797216</v>
      </c>
    </row>
    <row r="895" customFormat="false" ht="15" hidden="false" customHeight="false" outlineLevel="0" collapsed="false">
      <c r="A895" s="4" t="s">
        <v>627</v>
      </c>
      <c r="B895" s="0" t="s">
        <v>49</v>
      </c>
      <c r="C895" s="14" t="n">
        <f aca="false">C894/C883</f>
        <v>0.352793302906792</v>
      </c>
      <c r="D895" s="14" t="n">
        <f aca="false">D894/D883</f>
        <v>0.371390166666667</v>
      </c>
      <c r="E895" s="14" t="n">
        <f aca="false">E894/E883</f>
        <v>0.383850851090188</v>
      </c>
      <c r="F895" s="14" t="n">
        <f aca="false">F894/F883</f>
        <v>0.334666755398345</v>
      </c>
      <c r="G895" s="14" t="n">
        <f aca="false">G894/G883</f>
        <v>0.349260657747313</v>
      </c>
    </row>
    <row r="896" customFormat="false" ht="15" hidden="false" customHeight="false" outlineLevel="0" collapsed="false">
      <c r="A896" s="4" t="s">
        <v>774</v>
      </c>
      <c r="B896" s="0" t="s">
        <v>239</v>
      </c>
      <c r="C896" s="22" t="n">
        <f aca="false">a26_oth</f>
        <v>0.1514</v>
      </c>
      <c r="D896" s="22" t="n">
        <f aca="false">a27_oth</f>
        <v>0.1424</v>
      </c>
      <c r="E896" s="22" t="n">
        <f aca="false">int_f</f>
        <v>0.15</v>
      </c>
      <c r="F896" s="22" t="n">
        <f aca="false">int_f</f>
        <v>0.15</v>
      </c>
      <c r="G896" s="22" t="n">
        <f aca="false">int_f</f>
        <v>0.15</v>
      </c>
    </row>
    <row r="897" customFormat="false" ht="15" hidden="false" customHeight="false" outlineLevel="0" collapsed="false">
      <c r="A897" s="4" t="s">
        <v>775</v>
      </c>
      <c r="B897" s="0" t="s">
        <v>49</v>
      </c>
      <c r="C897" s="14" t="n">
        <f aca="false">a26_tax/(a26_oi-a26_oth)</f>
        <v>0.1</v>
      </c>
      <c r="D897" s="14" t="n">
        <f aca="false">a27_tax/(a27_oi-a27_oth)</f>
        <v>0.11</v>
      </c>
      <c r="E897" s="14" t="n">
        <f aca="false">tx_f</f>
        <v>0.13</v>
      </c>
      <c r="F897" s="14" t="n">
        <f aca="false">tx_f</f>
        <v>0.13</v>
      </c>
      <c r="G897" s="14" t="n">
        <f aca="false">tx_f</f>
        <v>0.13</v>
      </c>
    </row>
    <row r="898" customFormat="false" ht="17.15" hidden="false" customHeight="false" outlineLevel="0" collapsed="false">
      <c r="A898" s="4" t="s">
        <v>708</v>
      </c>
      <c r="B898" s="0" t="s">
        <v>239</v>
      </c>
      <c r="C898" s="22" t="n">
        <f aca="false">a26_ni</f>
        <v>2.46564</v>
      </c>
      <c r="D898" s="22" t="n">
        <f aca="false">a27_ni</f>
        <v>3.83971098</v>
      </c>
      <c r="E898" s="22" t="n">
        <f aca="false">(E894-E896)*(1-E897)</f>
        <v>6.20081981538437</v>
      </c>
      <c r="F898" s="22" t="n">
        <f aca="false">(F894-F896)*(1-F897)</f>
        <v>8.02658374558306</v>
      </c>
      <c r="G898" s="22" t="n">
        <f aca="false">(G894-G896)*(1-G897)</f>
        <v>9.76182471635777</v>
      </c>
    </row>
    <row r="899" customFormat="false" ht="15" hidden="false" customHeight="false" outlineLevel="0" collapsed="false">
      <c r="A899" s="4" t="s">
        <v>776</v>
      </c>
      <c r="B899" s="4" t="s">
        <v>370</v>
      </c>
      <c r="C899" s="16" t="n">
        <f aca="false">a26_sh</f>
        <v>0.8697</v>
      </c>
      <c r="D899" s="16" t="n">
        <f aca="false">a27_sh</f>
        <v>0.915125</v>
      </c>
      <c r="E899" s="16" t="n">
        <f aca="false">D899*(1+sh_g)</f>
        <v>0.919700625</v>
      </c>
      <c r="F899" s="16" t="n">
        <f aca="false">E899*(1+sh_g)</f>
        <v>0.924299128125</v>
      </c>
      <c r="G899" s="16" t="n">
        <f aca="false">F899*(1+sh_g)</f>
        <v>0.928920623765625</v>
      </c>
    </row>
    <row r="900" customFormat="false" ht="17.15" hidden="false" customHeight="false" outlineLevel="0" collapsed="false">
      <c r="A900" s="0" t="s">
        <v>709</v>
      </c>
      <c r="B900" s="0" t="s">
        <v>253</v>
      </c>
      <c r="C900" s="22" t="n">
        <f aca="false">C898/C899</f>
        <v>2.83504656778199</v>
      </c>
      <c r="D900" s="22" t="n">
        <f aca="false">D898/D899</f>
        <v>4.19583224149706</v>
      </c>
      <c r="E900" s="22" t="n">
        <f aca="false">E898/E899</f>
        <v>6.74221550668662</v>
      </c>
      <c r="F900" s="22" t="n">
        <f aca="false">F898/F899</f>
        <v>8.6839676694984</v>
      </c>
      <c r="G900" s="22" t="n">
        <f aca="false">G898/G899</f>
        <v>10.5087824154293</v>
      </c>
    </row>
    <row r="901" customFormat="false" ht="17.15" hidden="false" customHeight="false" outlineLevel="0" collapsed="false">
      <c r="A901" s="0" t="s">
        <v>777</v>
      </c>
      <c r="B901" s="0" t="s">
        <v>49</v>
      </c>
      <c r="D901" s="14" t="n">
        <f aca="false">D900/C900-1</f>
        <v>0.479987062357033</v>
      </c>
      <c r="E901" s="14" t="n">
        <f aca="false">E900/D900-1</f>
        <v>0.606883954988871</v>
      </c>
      <c r="F901" s="14" t="n">
        <f aca="false">F900/E900-1</f>
        <v>0.287999124454868</v>
      </c>
      <c r="G901" s="14" t="n">
        <f aca="false">G900/F900-1</f>
        <v>0.210136059389113</v>
      </c>
    </row>
    <row r="904" customFormat="false" ht="17.15" hidden="false" customHeight="false" outlineLevel="0" collapsed="false">
      <c r="A904" s="3" t="s">
        <v>1182</v>
      </c>
    </row>
    <row r="905" customFormat="false" ht="17.15" hidden="false" customHeight="false" outlineLevel="0" collapsed="false">
      <c r="A905" s="5" t="s">
        <v>25</v>
      </c>
      <c r="B905" s="5" t="s">
        <v>26</v>
      </c>
      <c r="C905" s="11" t="s">
        <v>698</v>
      </c>
      <c r="D905" s="11" t="s">
        <v>699</v>
      </c>
      <c r="E905" s="11" t="s">
        <v>700</v>
      </c>
      <c r="F905" s="11" t="s">
        <v>701</v>
      </c>
      <c r="G905" s="11" t="s">
        <v>702</v>
      </c>
      <c r="H905" s="5" t="s">
        <v>555</v>
      </c>
    </row>
    <row r="906" customFormat="false" ht="17.15" hidden="false" customHeight="false" outlineLevel="0" collapsed="false">
      <c r="A906" s="1" t="s">
        <v>717</v>
      </c>
    </row>
    <row r="907" customFormat="false" ht="17.15" hidden="false" customHeight="false" outlineLevel="0" collapsed="false">
      <c r="A907" s="0" t="s">
        <v>718</v>
      </c>
      <c r="B907" s="4" t="s">
        <v>36</v>
      </c>
      <c r="D907" s="22" t="n">
        <f aca="false">u_trn_26</f>
        <v>2</v>
      </c>
      <c r="E907" s="22" t="n">
        <f aca="false">u_trn_27</f>
        <v>2.5</v>
      </c>
      <c r="F907" s="22" t="n">
        <f aca="false">u_trn_28*um28_A</f>
        <v>3</v>
      </c>
      <c r="G907" s="22" t="n">
        <f aca="false">u_trn_28*(1+g29_trn)*um29_A</f>
        <v>3.45</v>
      </c>
    </row>
    <row r="908" customFormat="false" ht="17.15" hidden="false" customHeight="false" outlineLevel="0" collapsed="false">
      <c r="A908" s="4" t="s">
        <v>719</v>
      </c>
      <c r="B908" s="4" t="s">
        <v>36</v>
      </c>
      <c r="D908" s="22" t="n">
        <f aca="false">u_oth_26</f>
        <v>1</v>
      </c>
      <c r="E908" s="22" t="n">
        <f aca="false">u_oth_27</f>
        <v>4.5</v>
      </c>
      <c r="F908" s="22" t="n">
        <f aca="false">u_oth_28*um28_A</f>
        <v>5</v>
      </c>
      <c r="G908" s="22" t="n">
        <f aca="false">u_oth_28*(1+g29_oth)*um29_A</f>
        <v>5.75</v>
      </c>
    </row>
    <row r="909" customFormat="false" ht="17.15" hidden="false" customHeight="false" outlineLevel="0" collapsed="false">
      <c r="A909" s="0" t="s">
        <v>720</v>
      </c>
      <c r="B909" s="4" t="s">
        <v>36</v>
      </c>
      <c r="D909" s="22" t="n">
        <f aca="false">u_tpu_26</f>
        <v>3.85</v>
      </c>
      <c r="E909" s="22" t="n">
        <f aca="false">u_tpu_27</f>
        <v>5.5</v>
      </c>
      <c r="F909" s="22" t="n">
        <f aca="false">u_tpu_28*um28_A</f>
        <v>7</v>
      </c>
      <c r="G909" s="22" t="n">
        <f aca="false">u_tpu_28*(1+g29_tpu)*um29_A</f>
        <v>8.05</v>
      </c>
    </row>
    <row r="910" customFormat="false" ht="17.15" hidden="false" customHeight="false" outlineLevel="0" collapsed="false">
      <c r="A910" s="0" t="s">
        <v>658</v>
      </c>
      <c r="B910" s="0" t="s">
        <v>49</v>
      </c>
      <c r="D910" s="14" t="n">
        <f aca="false">msh_trn_26</f>
        <v>0.1</v>
      </c>
      <c r="E910" s="14" t="n">
        <f aca="false">MIN(1,MAX(0,msh_trn_27+0))</f>
        <v>0.1</v>
      </c>
      <c r="F910" s="14" t="n">
        <f aca="false">MIN(1,MAX(0,msh_trn_28+0))</f>
        <v>0.08</v>
      </c>
      <c r="G910" s="14" t="n">
        <f aca="false">MIN(1,MAX(0,msh_trn_28+0))</f>
        <v>0.08</v>
      </c>
    </row>
    <row r="911" customFormat="false" ht="17.15" hidden="false" customHeight="false" outlineLevel="0" collapsed="false">
      <c r="A911" s="0" t="s">
        <v>666</v>
      </c>
      <c r="B911" s="0" t="s">
        <v>49</v>
      </c>
      <c r="D911" s="14" t="n">
        <f aca="false">msh_oth_26</f>
        <v>0.05</v>
      </c>
      <c r="E911" s="14" t="n">
        <f aca="false">MIN(1,MAX(0,msh_oth_27+0))</f>
        <v>0.06</v>
      </c>
      <c r="F911" s="14" t="n">
        <f aca="false">MIN(1,MAX(0,msh_oth_28+0))</f>
        <v>0.15</v>
      </c>
      <c r="G911" s="14" t="n">
        <f aca="false">MIN(1,MAX(0,msh_oth_28+0))</f>
        <v>0.15</v>
      </c>
    </row>
    <row r="912" customFormat="false" ht="17.15" hidden="false" customHeight="false" outlineLevel="0" collapsed="false">
      <c r="A912" s="0" t="s">
        <v>670</v>
      </c>
      <c r="B912" s="0" t="s">
        <v>49</v>
      </c>
      <c r="D912" s="14" t="n">
        <f aca="false">msh_tpu_26</f>
        <v>0</v>
      </c>
      <c r="E912" s="14" t="n">
        <f aca="false">MIN(1,MAX(0,msh_tpu_27+0))</f>
        <v>0</v>
      </c>
      <c r="F912" s="14" t="n">
        <f aca="false">MIN(1,MAX(0,msh_tpu_28+0))</f>
        <v>0.05</v>
      </c>
      <c r="G912" s="14" t="n">
        <f aca="false">MIN(1,MAX(0,msh_tpu_28+0))</f>
        <v>0.05</v>
      </c>
    </row>
    <row r="913" customFormat="false" ht="17.15" hidden="false" customHeight="false" outlineLevel="0" collapsed="false">
      <c r="A913" s="0" t="s">
        <v>660</v>
      </c>
      <c r="B913" s="4" t="s">
        <v>36</v>
      </c>
      <c r="D913" s="16" t="n">
        <f aca="false">D907*D910</f>
        <v>0.2</v>
      </c>
      <c r="E913" s="16" t="n">
        <f aca="false">E907*E910*1</f>
        <v>0.25</v>
      </c>
      <c r="F913" s="16" t="n">
        <f aca="false">F907*F910*1</f>
        <v>0.24</v>
      </c>
      <c r="G913" s="16" t="n">
        <f aca="false">G907*G910*1</f>
        <v>0.276</v>
      </c>
    </row>
    <row r="914" customFormat="false" ht="17.15" hidden="false" customHeight="false" outlineLevel="0" collapsed="false">
      <c r="A914" s="0" t="s">
        <v>667</v>
      </c>
      <c r="B914" s="4" t="s">
        <v>36</v>
      </c>
      <c r="D914" s="16" t="n">
        <f aca="false">D908*D911</f>
        <v>0.05</v>
      </c>
      <c r="E914" s="16" t="n">
        <f aca="false">E908*E911*1</f>
        <v>0.27</v>
      </c>
      <c r="F914" s="16" t="n">
        <f aca="false">F908*F911*1</f>
        <v>0.75</v>
      </c>
      <c r="G914" s="16" t="n">
        <f aca="false">G908*G911*1</f>
        <v>0.8625</v>
      </c>
    </row>
    <row r="915" customFormat="false" ht="17.15" hidden="false" customHeight="false" outlineLevel="0" collapsed="false">
      <c r="A915" s="0" t="s">
        <v>671</v>
      </c>
      <c r="B915" s="4" t="s">
        <v>36</v>
      </c>
      <c r="D915" s="16" t="n">
        <f aca="false">D909*D912</f>
        <v>0</v>
      </c>
      <c r="E915" s="16" t="n">
        <f aca="false">E909*E912*1</f>
        <v>0</v>
      </c>
      <c r="F915" s="16" t="n">
        <f aca="false">F909*F912*1</f>
        <v>0.35</v>
      </c>
      <c r="G915" s="16" t="n">
        <f aca="false">G909*G912*1</f>
        <v>0.4025</v>
      </c>
    </row>
    <row r="916" customFormat="false" ht="17.15" hidden="false" customHeight="false" outlineLevel="0" collapsed="false">
      <c r="A916" s="4" t="s">
        <v>721</v>
      </c>
      <c r="B916" s="0" t="s">
        <v>100</v>
      </c>
      <c r="D916" s="23" t="n">
        <f aca="false">gb_trn_26</f>
        <v>110</v>
      </c>
      <c r="E916" s="23" t="n">
        <f aca="false">gb_trn_27</f>
        <v>144</v>
      </c>
      <c r="F916" s="23" t="n">
        <f aca="false">gb_trn_28</f>
        <v>200</v>
      </c>
      <c r="G916" s="23" t="n">
        <f aca="false">gb_trn_28</f>
        <v>200</v>
      </c>
    </row>
    <row r="917" customFormat="false" ht="17.15" hidden="false" customHeight="false" outlineLevel="0" collapsed="false">
      <c r="A917" s="4" t="s">
        <v>722</v>
      </c>
      <c r="B917" s="0" t="s">
        <v>100</v>
      </c>
      <c r="D917" s="23" t="n">
        <f aca="false">gb_oth_26</f>
        <v>150</v>
      </c>
      <c r="E917" s="23" t="n">
        <f aca="false">gb_oth_27</f>
        <v>200</v>
      </c>
      <c r="F917" s="23" t="n">
        <f aca="false">gb_oth_28</f>
        <v>250</v>
      </c>
      <c r="G917" s="23" t="n">
        <f aca="false">gb_oth_28</f>
        <v>250</v>
      </c>
    </row>
    <row r="918" customFormat="false" ht="17.15" hidden="false" customHeight="false" outlineLevel="0" collapsed="false">
      <c r="A918" s="4" t="s">
        <v>723</v>
      </c>
      <c r="B918" s="0" t="s">
        <v>100</v>
      </c>
      <c r="D918" s="23" t="n">
        <f aca="false">gb_tpu_26</f>
        <v>192</v>
      </c>
      <c r="E918" s="23" t="n">
        <f aca="false">gb_tpu_27</f>
        <v>250</v>
      </c>
      <c r="F918" s="23" t="n">
        <f aca="false">gb_tpu_28</f>
        <v>288</v>
      </c>
      <c r="G918" s="23" t="n">
        <f aca="false">gb_tpu_28</f>
        <v>288</v>
      </c>
    </row>
    <row r="919" customFormat="false" ht="17.15" hidden="false" customHeight="false" outlineLevel="0" collapsed="false">
      <c r="A919" s="0" t="s">
        <v>724</v>
      </c>
      <c r="B919" s="0" t="s">
        <v>200</v>
      </c>
      <c r="D919" s="22" t="n">
        <f aca="false">hbm_A_26</f>
        <v>14.6</v>
      </c>
      <c r="E919" s="22" t="n">
        <f aca="false">hbm_A_27</f>
        <v>26.28</v>
      </c>
      <c r="F919" s="22" t="n">
        <f aca="false">hbm_A_28</f>
        <v>28.908</v>
      </c>
      <c r="G919" s="22" t="n">
        <f aca="false">hbm_A_29</f>
        <v>27.4626</v>
      </c>
    </row>
    <row r="920" customFormat="false" ht="17.15" hidden="false" customHeight="false" outlineLevel="0" collapsed="false">
      <c r="A920" s="4" t="s">
        <v>725</v>
      </c>
      <c r="B920" s="0" t="s">
        <v>122</v>
      </c>
      <c r="D920" s="22" t="n">
        <f aca="false">core_trn</f>
        <v>6.394</v>
      </c>
      <c r="E920" s="22" t="n">
        <f aca="false">core_trn*1</f>
        <v>6.394</v>
      </c>
      <c r="F920" s="22" t="n">
        <f aca="false">core_trn*1</f>
        <v>6.394</v>
      </c>
      <c r="G920" s="22" t="n">
        <f aca="false">core_trn*1</f>
        <v>6.394</v>
      </c>
    </row>
    <row r="921" customFormat="false" ht="17.15" hidden="false" customHeight="false" outlineLevel="0" collapsed="false">
      <c r="A921" s="4" t="s">
        <v>726</v>
      </c>
      <c r="B921" s="0" t="s">
        <v>122</v>
      </c>
      <c r="D921" s="22" t="n">
        <f aca="false">core_oth</f>
        <v>6</v>
      </c>
      <c r="E921" s="22" t="n">
        <f aca="false">core_oth*1</f>
        <v>6</v>
      </c>
      <c r="F921" s="22" t="n">
        <f aca="false">core_oth*1</f>
        <v>6</v>
      </c>
      <c r="G921" s="22" t="n">
        <f aca="false">core_oth*1</f>
        <v>6</v>
      </c>
    </row>
    <row r="922" customFormat="false" ht="17.15" hidden="false" customHeight="false" outlineLevel="0" collapsed="false">
      <c r="A922" s="4" t="s">
        <v>727</v>
      </c>
      <c r="B922" s="0" t="s">
        <v>122</v>
      </c>
      <c r="D922" s="22" t="n">
        <f aca="false">core_tpu</f>
        <v>8</v>
      </c>
      <c r="E922" s="22" t="n">
        <f aca="false">core_tpu*1</f>
        <v>8</v>
      </c>
      <c r="F922" s="22" t="n">
        <f aca="false">core_tpu*1</f>
        <v>8</v>
      </c>
      <c r="G922" s="22" t="n">
        <f aca="false">core_tpu*1</f>
        <v>8</v>
      </c>
    </row>
    <row r="923" customFormat="false" ht="17.15" hidden="false" customHeight="false" outlineLevel="0" collapsed="false">
      <c r="A923" s="4" t="s">
        <v>728</v>
      </c>
      <c r="B923" s="0" t="s">
        <v>122</v>
      </c>
      <c r="D923" s="22" t="n">
        <f aca="false">D916*D919/1000</f>
        <v>1.606</v>
      </c>
      <c r="E923" s="22" t="n">
        <f aca="false">E916*E919/1000</f>
        <v>3.78432</v>
      </c>
      <c r="F923" s="22" t="n">
        <f aca="false">F916*F919/1000</f>
        <v>5.7816</v>
      </c>
      <c r="G923" s="22" t="n">
        <f aca="false">G916*G919/1000</f>
        <v>5.49252</v>
      </c>
    </row>
    <row r="924" customFormat="false" ht="17.15" hidden="false" customHeight="false" outlineLevel="0" collapsed="false">
      <c r="A924" s="4" t="s">
        <v>729</v>
      </c>
      <c r="B924" s="0" t="s">
        <v>122</v>
      </c>
      <c r="D924" s="22" t="n">
        <f aca="false">D917*D919/1000</f>
        <v>2.19</v>
      </c>
      <c r="E924" s="22" t="n">
        <f aca="false">E917*E919/1000</f>
        <v>5.256</v>
      </c>
      <c r="F924" s="22" t="n">
        <f aca="false">F917*F919/1000</f>
        <v>7.227</v>
      </c>
      <c r="G924" s="22" t="n">
        <f aca="false">G917*G919/1000</f>
        <v>6.86565</v>
      </c>
    </row>
    <row r="925" customFormat="false" ht="17.15" hidden="false" customHeight="false" outlineLevel="0" collapsed="false">
      <c r="A925" s="4" t="s">
        <v>730</v>
      </c>
      <c r="B925" s="0" t="s">
        <v>122</v>
      </c>
      <c r="D925" s="22" t="n">
        <f aca="false">D918*D919/1000</f>
        <v>2.8032</v>
      </c>
      <c r="E925" s="22" t="n">
        <f aca="false">E918*E919/1000</f>
        <v>6.57</v>
      </c>
      <c r="F925" s="22" t="n">
        <f aca="false">F918*F919/1000</f>
        <v>8.325504</v>
      </c>
      <c r="G925" s="22" t="n">
        <f aca="false">G918*G919/1000</f>
        <v>7.9092288</v>
      </c>
    </row>
    <row r="926" customFormat="false" ht="17.15" hidden="false" customHeight="false" outlineLevel="0" collapsed="false">
      <c r="A926" s="4" t="s">
        <v>731</v>
      </c>
      <c r="B926" s="0" t="s">
        <v>122</v>
      </c>
      <c r="D926" s="22" t="n">
        <f aca="false">D920+f_hbm*D923</f>
        <v>7.3576</v>
      </c>
      <c r="E926" s="22" t="n">
        <f aca="false">E920+f_hbm*E923</f>
        <v>8.664592</v>
      </c>
      <c r="F926" s="22" t="n">
        <f aca="false">F920+f_hbm*F923</f>
        <v>9.86296</v>
      </c>
      <c r="G926" s="22" t="n">
        <f aca="false">G920+f_hbm*G923</f>
        <v>9.689512</v>
      </c>
      <c r="H926" s="4" t="s">
        <v>732</v>
      </c>
    </row>
    <row r="927" customFormat="false" ht="17.15" hidden="false" customHeight="false" outlineLevel="0" collapsed="false">
      <c r="A927" s="4" t="s">
        <v>733</v>
      </c>
      <c r="B927" s="0" t="s">
        <v>122</v>
      </c>
      <c r="D927" s="22" t="n">
        <f aca="false">D921+f_hbm*D924</f>
        <v>7.314</v>
      </c>
      <c r="E927" s="22" t="n">
        <f aca="false">E921+f_hbm*E924</f>
        <v>9.1536</v>
      </c>
      <c r="F927" s="22" t="n">
        <f aca="false">F921+f_hbm*F924</f>
        <v>10.3362</v>
      </c>
      <c r="G927" s="22" t="n">
        <f aca="false">G921+f_hbm*G924</f>
        <v>10.11939</v>
      </c>
    </row>
    <row r="928" customFormat="false" ht="17.15" hidden="false" customHeight="false" outlineLevel="0" collapsed="false">
      <c r="A928" s="4" t="s">
        <v>734</v>
      </c>
      <c r="B928" s="0" t="s">
        <v>122</v>
      </c>
      <c r="D928" s="22" t="n">
        <f aca="false">D922+f_hbm*D925</f>
        <v>9.68192</v>
      </c>
      <c r="E928" s="22" t="n">
        <f aca="false">E922+f_hbm*E925</f>
        <v>11.942</v>
      </c>
      <c r="F928" s="22" t="n">
        <f aca="false">F922+f_hbm*F925</f>
        <v>12.9953024</v>
      </c>
      <c r="G928" s="22" t="n">
        <f aca="false">G922+f_hbm*G925</f>
        <v>12.74553728</v>
      </c>
    </row>
    <row r="929" customFormat="false" ht="17.15" hidden="false" customHeight="false" outlineLevel="0" collapsed="false">
      <c r="A929" s="0" t="s">
        <v>735</v>
      </c>
      <c r="B929" s="0" t="s">
        <v>239</v>
      </c>
      <c r="D929" s="22" t="n">
        <f aca="false">D913*D926+D914*D927+D915*D928</f>
        <v>1.83722</v>
      </c>
      <c r="E929" s="22" t="n">
        <f aca="false">E913*E926+E914*E927+E915*E928</f>
        <v>4.63762</v>
      </c>
      <c r="F929" s="22" t="n">
        <f aca="false">F913*F926+F914*F927+F915*F928</f>
        <v>14.66761624</v>
      </c>
      <c r="G929" s="22" t="n">
        <f aca="false">G913*G926+G914*G927+G915*G928</f>
        <v>16.5323579422</v>
      </c>
    </row>
    <row r="930" customFormat="false" ht="17.15" hidden="false" customHeight="false" outlineLevel="0" collapsed="false">
      <c r="A930" s="0" t="s">
        <v>736</v>
      </c>
      <c r="B930" s="0" t="s">
        <v>80</v>
      </c>
      <c r="D930" s="16" t="n">
        <f aca="false">a27_xpu/D929</f>
        <v>0.802843426481314</v>
      </c>
      <c r="H930" s="7" t="s">
        <v>737</v>
      </c>
    </row>
    <row r="931" customFormat="false" ht="17.15" hidden="false" customHeight="false" outlineLevel="0" collapsed="false">
      <c r="A931" s="0" t="s">
        <v>738</v>
      </c>
      <c r="B931" s="0" t="s">
        <v>239</v>
      </c>
      <c r="D931" s="22" t="n">
        <f aca="false">D929*$D$930</f>
        <v>1.475</v>
      </c>
      <c r="E931" s="22" t="n">
        <f aca="false">E929*$D$930</f>
        <v>3.72328273151827</v>
      </c>
      <c r="F931" s="22" t="n">
        <f aca="false">F929*$D$930</f>
        <v>11.7757992804346</v>
      </c>
      <c r="G931" s="22" t="n">
        <f aca="false">G929*$D$930</f>
        <v>13.2728948981314</v>
      </c>
    </row>
    <row r="932" customFormat="false" ht="17.15" hidden="false" customHeight="false" outlineLevel="0" collapsed="false">
      <c r="A932" s="4" t="s">
        <v>739</v>
      </c>
      <c r="B932" s="0" t="s">
        <v>239</v>
      </c>
      <c r="D932" s="22" t="n">
        <f aca="false">$D$930*f_hbm*(D913*D923+D914*D924+D915*D925)</f>
        <v>0.207470798271301</v>
      </c>
      <c r="E932" s="22" t="n">
        <f aca="false">$D$930*f_hbm*(E913*E923+E914*E924+E915*E925)</f>
        <v>1.13933116338816</v>
      </c>
      <c r="F932" s="22" t="n">
        <f aca="false">$D$930*f_hbm*(F913*F923+F914*F924+F915*F925)</f>
        <v>4.68303085857981</v>
      </c>
      <c r="G932" s="22" t="n">
        <f aca="false">$D$930*f_hbm*(G913*G923+G914*G924+G915*G925)</f>
        <v>5.11621121299844</v>
      </c>
    </row>
    <row r="933" customFormat="false" ht="15" hidden="false" customHeight="false" outlineLevel="0" collapsed="false">
      <c r="A933" s="4" t="s">
        <v>740</v>
      </c>
      <c r="B933" s="0" t="s">
        <v>239</v>
      </c>
      <c r="D933" s="22" t="n">
        <f aca="false">D931-D932</f>
        <v>1.2675292017287</v>
      </c>
      <c r="E933" s="22" t="n">
        <f aca="false">E931-E932</f>
        <v>2.58395156813011</v>
      </c>
      <c r="F933" s="22" t="n">
        <f aca="false">F931-F932</f>
        <v>7.09276842185476</v>
      </c>
      <c r="G933" s="22" t="n">
        <f aca="false">G931-G932</f>
        <v>8.15668368513297</v>
      </c>
    </row>
    <row r="934" customFormat="false" ht="17.15" hidden="false" customHeight="false" outlineLevel="0" collapsed="false">
      <c r="A934" s="0" t="s">
        <v>741</v>
      </c>
      <c r="B934" s="4" t="s">
        <v>36</v>
      </c>
      <c r="D934" s="16" t="n">
        <f aca="false">D913+D914+D915</f>
        <v>0.25</v>
      </c>
      <c r="E934" s="16" t="n">
        <f aca="false">E913+E914+E915</f>
        <v>0.52</v>
      </c>
      <c r="F934" s="16" t="n">
        <f aca="false">F913+F914+F915</f>
        <v>1.34</v>
      </c>
      <c r="G934" s="16" t="n">
        <f aca="false">G913+G914+G915</f>
        <v>1.541</v>
      </c>
    </row>
    <row r="935" customFormat="false" ht="17.15" hidden="false" customHeight="false" outlineLevel="0" collapsed="false">
      <c r="A935" s="0" t="s">
        <v>742</v>
      </c>
      <c r="B935" s="0" t="s">
        <v>239</v>
      </c>
      <c r="C935" s="22" t="n">
        <f aca="false">a26_att</f>
        <v>0.2</v>
      </c>
      <c r="D935" s="22" t="n">
        <f aca="false">a27_att</f>
        <v>0.4</v>
      </c>
      <c r="E935" s="22" t="n">
        <f aca="false">att28</f>
        <v>1</v>
      </c>
      <c r="F935" s="22" t="n">
        <f aca="false">att28*(1+g_att)*um28_A</f>
        <v>1.5</v>
      </c>
      <c r="G935" s="22" t="n">
        <f aca="false">att28*(1+g_att)^2*um29_A</f>
        <v>2.25</v>
      </c>
      <c r="H935" s="7" t="s">
        <v>743</v>
      </c>
    </row>
    <row r="936" customFormat="false" ht="17.15" hidden="false" customHeight="false" outlineLevel="0" collapsed="false">
      <c r="A936" s="4" t="s">
        <v>744</v>
      </c>
      <c r="B936" s="0" t="s">
        <v>239</v>
      </c>
      <c r="C936" s="22" t="n">
        <f aca="false">a26_cus</f>
        <v>1.5</v>
      </c>
      <c r="D936" s="22" t="n">
        <f aca="false">D931+D935</f>
        <v>1.875</v>
      </c>
      <c r="E936" s="22" t="n">
        <f aca="false">E931+E935</f>
        <v>4.72328273151827</v>
      </c>
      <c r="F936" s="22" t="n">
        <f aca="false">F931+F935</f>
        <v>13.2757992804346</v>
      </c>
      <c r="G936" s="22" t="n">
        <f aca="false">G931+G935</f>
        <v>15.5228948981314</v>
      </c>
    </row>
    <row r="937" customFormat="false" ht="17.15" hidden="false" customHeight="false" outlineLevel="0" collapsed="false">
      <c r="A937" s="1" t="s">
        <v>745</v>
      </c>
    </row>
    <row r="938" customFormat="false" ht="17.15" hidden="false" customHeight="false" outlineLevel="0" collapsed="false">
      <c r="A938" s="0" t="s">
        <v>746</v>
      </c>
      <c r="B938" s="0" t="s">
        <v>239</v>
      </c>
      <c r="D938" s="22" t="n">
        <f aca="false">plug_26*1</f>
        <v>29.753262</v>
      </c>
      <c r="E938" s="22" t="n">
        <f aca="false">plug_27*1</f>
        <v>53.560715</v>
      </c>
      <c r="F938" s="22" t="n">
        <f aca="false">plug_28*um28_A</f>
        <v>57.9915</v>
      </c>
      <c r="G938" s="22" t="n">
        <f aca="false">plug_29*um29_A</f>
        <v>72.9348</v>
      </c>
    </row>
    <row r="939" customFormat="false" ht="17.15" hidden="false" customHeight="false" outlineLevel="0" collapsed="false">
      <c r="A939" s="4" t="s">
        <v>747</v>
      </c>
      <c r="B939" s="4" t="s">
        <v>680</v>
      </c>
      <c r="D939" s="19" t="n">
        <f aca="false">D938*1000/asp_26</f>
        <v>45.7742492307692</v>
      </c>
      <c r="E939" s="19" t="n">
        <f aca="false">E938*1000/asp_27</f>
        <v>66.95089375</v>
      </c>
      <c r="F939" s="19" t="n">
        <f aca="false">F938*1000/asp_28</f>
        <v>68.2252941176471</v>
      </c>
      <c r="G939" s="19" t="n">
        <f aca="false">G938*1000/asp_29</f>
        <v>85.8056470588235</v>
      </c>
    </row>
    <row r="940" customFormat="false" ht="17.15" hidden="false" customHeight="false" outlineLevel="0" collapsed="false">
      <c r="A940" s="4" t="s">
        <v>748</v>
      </c>
      <c r="B940" s="0" t="s">
        <v>49</v>
      </c>
      <c r="D940" s="14" t="n">
        <f aca="false">MIN(1,lpo_26)</f>
        <v>0.03</v>
      </c>
      <c r="E940" s="14" t="n">
        <f aca="false">MIN(1,lpo_27+0)</f>
        <v>0.06</v>
      </c>
      <c r="F940" s="14" t="n">
        <f aca="false">MIN(1,lpo_28+0)</f>
        <v>0.1</v>
      </c>
      <c r="G940" s="14" t="n">
        <f aca="false">MIN(1,lpo_29+0)</f>
        <v>0.15</v>
      </c>
    </row>
    <row r="941" customFormat="false" ht="15" hidden="false" customHeight="false" outlineLevel="0" collapsed="false">
      <c r="A941" s="4" t="s">
        <v>749</v>
      </c>
      <c r="B941" s="0" t="s">
        <v>253</v>
      </c>
      <c r="D941" s="23" t="n">
        <f aca="false">dsp_26</f>
        <v>125</v>
      </c>
      <c r="E941" s="23" t="n">
        <f aca="false">dsp_27*0.8</f>
        <v>108</v>
      </c>
      <c r="F941" s="23" t="n">
        <f aca="false">dsp_28*0.8</f>
        <v>108</v>
      </c>
      <c r="G941" s="23" t="n">
        <f aca="false">dsp_29*0.8</f>
        <v>104</v>
      </c>
    </row>
    <row r="942" customFormat="false" ht="17.15" hidden="false" customHeight="false" outlineLevel="0" collapsed="false">
      <c r="A942" s="4" t="s">
        <v>750</v>
      </c>
      <c r="B942" s="0" t="s">
        <v>239</v>
      </c>
      <c r="D942" s="22" t="n">
        <f aca="false">D939*(1-D940)*D941/1000</f>
        <v>5.55012771923077</v>
      </c>
      <c r="E942" s="22" t="n">
        <f aca="false">E939*(1-E940)*E941/1000</f>
        <v>6.7968547335</v>
      </c>
      <c r="F942" s="22" t="n">
        <f aca="false">F939*(1-F940)*F941/1000</f>
        <v>6.63149858823529</v>
      </c>
      <c r="G942" s="22" t="n">
        <f aca="false">G939*(1-G940)*G941/1000</f>
        <v>7.5852192</v>
      </c>
    </row>
    <row r="943" customFormat="false" ht="17.15" hidden="false" customHeight="false" outlineLevel="0" collapsed="false">
      <c r="A943" s="0" t="s">
        <v>751</v>
      </c>
      <c r="B943" s="0" t="s">
        <v>49</v>
      </c>
      <c r="D943" s="14" t="n">
        <f aca="false">msh_dsp_26</f>
        <v>0.65</v>
      </c>
      <c r="E943" s="14" t="n">
        <f aca="false">msh_dsp_27+0</f>
        <v>0.63</v>
      </c>
      <c r="F943" s="14" t="n">
        <f aca="false">msh_dsp_28+0</f>
        <v>0.6</v>
      </c>
      <c r="G943" s="14" t="n">
        <f aca="false">msh_dsp_29+0</f>
        <v>0.58</v>
      </c>
    </row>
    <row r="944" customFormat="false" ht="17.15" hidden="false" customHeight="false" outlineLevel="0" collapsed="false">
      <c r="A944" s="0" t="s">
        <v>682</v>
      </c>
      <c r="B944" s="0" t="s">
        <v>239</v>
      </c>
      <c r="D944" s="22" t="n">
        <f aca="false">D942*D943</f>
        <v>3.6075830175</v>
      </c>
      <c r="E944" s="22" t="n">
        <f aca="false">E942*E943*1</f>
        <v>4.282018482105</v>
      </c>
      <c r="F944" s="22" t="n">
        <f aca="false">F942*F943*1</f>
        <v>3.97889915294118</v>
      </c>
      <c r="G944" s="22" t="n">
        <f aca="false">G942*G943*1</f>
        <v>4.399427136</v>
      </c>
    </row>
    <row r="945" customFormat="false" ht="17.15" hidden="false" customHeight="false" outlineLevel="0" collapsed="false">
      <c r="A945" s="4" t="s">
        <v>752</v>
      </c>
      <c r="B945" s="0" t="s">
        <v>239</v>
      </c>
      <c r="D945" s="22" t="n">
        <f aca="false">coh27</f>
        <v>0.9</v>
      </c>
      <c r="E945" s="22" t="n">
        <f aca="false">D945*(1+g_coh)</f>
        <v>1.035</v>
      </c>
      <c r="F945" s="22" t="n">
        <f aca="false">E945*(1+g_coh)</f>
        <v>1.19025</v>
      </c>
      <c r="G945" s="22" t="n">
        <f aca="false">F945*(1+g_coh)</f>
        <v>1.3687875</v>
      </c>
    </row>
    <row r="946" customFormat="false" ht="17.15" hidden="false" customHeight="false" outlineLevel="0" collapsed="false">
      <c r="A946" s="4" t="s">
        <v>753</v>
      </c>
      <c r="B946" s="0" t="s">
        <v>80</v>
      </c>
      <c r="D946" s="16" t="n">
        <f aca="false">(a27_ic-D945)/D944</f>
        <v>1.44223430888795</v>
      </c>
      <c r="H946" s="7" t="s">
        <v>754</v>
      </c>
    </row>
    <row r="947" customFormat="false" ht="15" hidden="false" customHeight="false" outlineLevel="0" collapsed="false">
      <c r="A947" s="4" t="s">
        <v>755</v>
      </c>
      <c r="B947" s="0" t="s">
        <v>239</v>
      </c>
      <c r="C947" s="22" t="n">
        <f aca="false">a26_ic</f>
        <v>3.4503</v>
      </c>
      <c r="D947" s="22" t="n">
        <f aca="false">D944*$D$946+D945</f>
        <v>6.10298</v>
      </c>
      <c r="E947" s="22" t="n">
        <f aca="false">E944*$D$946+E945</f>
        <v>7.21067396618411</v>
      </c>
      <c r="F947" s="22" t="n">
        <f aca="false">F944*$D$946+F945</f>
        <v>6.92875486997695</v>
      </c>
      <c r="G947" s="22" t="n">
        <f aca="false">G944*$D$946+G945</f>
        <v>7.71379225499183</v>
      </c>
    </row>
    <row r="948" customFormat="false" ht="17.15" hidden="false" customHeight="false" outlineLevel="0" collapsed="false">
      <c r="A948" s="1" t="s">
        <v>756</v>
      </c>
    </row>
    <row r="949" customFormat="false" ht="15" hidden="false" customHeight="false" outlineLevel="0" collapsed="false">
      <c r="A949" s="4" t="s">
        <v>757</v>
      </c>
      <c r="B949" s="0" t="s">
        <v>239</v>
      </c>
      <c r="C949" s="22" t="n">
        <f aca="false">a26_sw</f>
        <v>0.3</v>
      </c>
      <c r="D949" s="22" t="n">
        <f aca="false">a27_sw</f>
        <v>0.65</v>
      </c>
      <c r="E949" s="22" t="n">
        <f aca="false">a27_sw*(1+g_sw28)</f>
        <v>1.17</v>
      </c>
      <c r="F949" s="22" t="n">
        <f aca="false">a27_sw*(1+g_sw28)*(1+g_sw)*um28_A</f>
        <v>1.638</v>
      </c>
      <c r="G949" s="22" t="n">
        <f aca="false">a27_sw*(1+g_sw28)*(1+g_sw)^2*um29_A</f>
        <v>2.2932</v>
      </c>
    </row>
    <row r="950" customFormat="false" ht="17.15" hidden="false" customHeight="false" outlineLevel="0" collapsed="false">
      <c r="A950" s="0" t="s">
        <v>758</v>
      </c>
      <c r="B950" s="0" t="s">
        <v>239</v>
      </c>
      <c r="C950" s="22" t="n">
        <f aca="false">a26_aec</f>
        <v>0.2</v>
      </c>
      <c r="D950" s="22" t="n">
        <f aca="false">a27_aec</f>
        <v>0.45</v>
      </c>
      <c r="E950" s="22" t="n">
        <f aca="false">a27_aec*(1+g_aec)</f>
        <v>0.675</v>
      </c>
      <c r="F950" s="22" t="n">
        <f aca="false">a27_aec*(1+g_aec)^2*um28_A</f>
        <v>1.0125</v>
      </c>
      <c r="G950" s="22" t="n">
        <f aca="false">a27_aec*(1+g_aec)^3*um29_A</f>
        <v>1.51875</v>
      </c>
    </row>
    <row r="951" customFormat="false" ht="15" hidden="false" customHeight="false" outlineLevel="0" collapsed="false">
      <c r="A951" s="4" t="s">
        <v>759</v>
      </c>
      <c r="B951" s="0" t="s">
        <v>239</v>
      </c>
      <c r="C951" s="22" t="n">
        <f aca="false">a26_sto</f>
        <v>0.65</v>
      </c>
      <c r="D951" s="22" t="n">
        <f aca="false">a27_sto</f>
        <v>0.6825</v>
      </c>
      <c r="E951" s="22" t="n">
        <f aca="false">D951*(1+g_sto)</f>
        <v>0.716625</v>
      </c>
      <c r="F951" s="22" t="n">
        <f aca="false">E951*(1+g_sto)</f>
        <v>0.75245625</v>
      </c>
      <c r="G951" s="22" t="n">
        <f aca="false">F951*(1+g_sto)</f>
        <v>0.7900790625</v>
      </c>
    </row>
    <row r="952" customFormat="false" ht="15" hidden="false" customHeight="false" outlineLevel="0" collapsed="false">
      <c r="A952" s="4" t="s">
        <v>760</v>
      </c>
      <c r="B952" s="0" t="s">
        <v>239</v>
      </c>
      <c r="C952" s="22" t="n">
        <f aca="false">a26_dc</f>
        <v>6.1003</v>
      </c>
      <c r="D952" s="22" t="n">
        <f aca="false">D936+D947+D949+D950+D951</f>
        <v>9.76048</v>
      </c>
      <c r="E952" s="22" t="n">
        <f aca="false">E936+E947+E949+E950+E951</f>
        <v>14.4955816977024</v>
      </c>
      <c r="F952" s="22" t="n">
        <f aca="false">F936+F947+F949+F950+F951</f>
        <v>23.6075104004115</v>
      </c>
      <c r="G952" s="22" t="n">
        <f aca="false">G936+G947+G949+G950+G951</f>
        <v>27.8387162156232</v>
      </c>
    </row>
    <row r="953" customFormat="false" ht="15" hidden="false" customHeight="false" outlineLevel="0" collapsed="false">
      <c r="A953" s="4" t="s">
        <v>761</v>
      </c>
      <c r="B953" s="0" t="s">
        <v>239</v>
      </c>
      <c r="C953" s="22" t="n">
        <f aca="false">a26_co</f>
        <v>2.0943</v>
      </c>
      <c r="D953" s="22" t="n">
        <f aca="false">a27_co</f>
        <v>2.23952</v>
      </c>
      <c r="E953" s="22" t="n">
        <f aca="false">D953*(1+g_co28)</f>
        <v>2.3067056</v>
      </c>
      <c r="F953" s="22" t="n">
        <f aca="false">E953*(1+g_co)</f>
        <v>2.375906768</v>
      </c>
      <c r="G953" s="22" t="n">
        <f aca="false">F953*(1+g_co)</f>
        <v>2.44718397104</v>
      </c>
    </row>
    <row r="954" customFormat="false" ht="17.15" hidden="false" customHeight="false" outlineLevel="0" collapsed="false">
      <c r="A954" s="1" t="s">
        <v>762</v>
      </c>
    </row>
    <row r="955" customFormat="false" ht="15" hidden="false" customHeight="false" outlineLevel="0" collapsed="false">
      <c r="A955" s="4" t="s">
        <v>597</v>
      </c>
      <c r="B955" s="0" t="s">
        <v>239</v>
      </c>
      <c r="C955" s="22" t="n">
        <f aca="false">a26_rev</f>
        <v>8.1946</v>
      </c>
      <c r="D955" s="22" t="n">
        <f aca="false">a27_rev</f>
        <v>12</v>
      </c>
      <c r="E955" s="22" t="n">
        <f aca="false">E952+E953</f>
        <v>16.8022872977024</v>
      </c>
      <c r="F955" s="22" t="n">
        <f aca="false">F952+F953</f>
        <v>25.9834171684115</v>
      </c>
      <c r="G955" s="22" t="n">
        <f aca="false">G952+G953</f>
        <v>30.2859001866632</v>
      </c>
    </row>
    <row r="956" customFormat="false" ht="17.15" hidden="false" customHeight="false" outlineLevel="0" collapsed="false">
      <c r="A956" s="4" t="s">
        <v>763</v>
      </c>
      <c r="B956" s="0" t="s">
        <v>239</v>
      </c>
      <c r="D956" s="22" t="n">
        <f aca="false">D952+D953</f>
        <v>12</v>
      </c>
      <c r="E956" s="22" t="n">
        <f aca="false">E952+E953</f>
        <v>16.8022872977024</v>
      </c>
      <c r="F956" s="22" t="n">
        <f aca="false">F952+F953</f>
        <v>25.9834171684115</v>
      </c>
      <c r="G956" s="22" t="n">
        <f aca="false">G952+G953</f>
        <v>30.2859001866632</v>
      </c>
    </row>
    <row r="957" customFormat="false" ht="15" hidden="false" customHeight="false" outlineLevel="0" collapsed="false">
      <c r="A957" s="4" t="s">
        <v>764</v>
      </c>
      <c r="B957" s="0" t="s">
        <v>49</v>
      </c>
      <c r="D957" s="14" t="n">
        <f aca="false">D955/C955-1</f>
        <v>0.464378981280355</v>
      </c>
      <c r="E957" s="14" t="n">
        <f aca="false">E955/D955-1</f>
        <v>0.400190608141865</v>
      </c>
      <c r="F957" s="14" t="n">
        <f aca="false">F955/E955-1</f>
        <v>0.546421431084838</v>
      </c>
      <c r="G957" s="14" t="n">
        <f aca="false">G955/F955-1</f>
        <v>0.165585726864376</v>
      </c>
    </row>
    <row r="958" customFormat="false" ht="17.15" hidden="false" customHeight="false" outlineLevel="0" collapsed="false">
      <c r="A958" s="4" t="s">
        <v>765</v>
      </c>
      <c r="B958" s="0" t="s">
        <v>49</v>
      </c>
      <c r="C958" s="14" t="n">
        <f aca="false">C952/C955</f>
        <v>0.744429258292046</v>
      </c>
      <c r="D958" s="14" t="n">
        <f aca="false">D952/D955</f>
        <v>0.813373333333333</v>
      </c>
      <c r="E958" s="14" t="n">
        <f aca="false">E952/E955</f>
        <v>0.862714786437712</v>
      </c>
      <c r="F958" s="14" t="n">
        <f aca="false">F952/F955</f>
        <v>0.908560650333228</v>
      </c>
      <c r="G958" s="14" t="n">
        <f aca="false">G952/G955</f>
        <v>0.919197251659779</v>
      </c>
    </row>
    <row r="959" customFormat="false" ht="17.15" hidden="false" customHeight="false" outlineLevel="0" collapsed="false">
      <c r="A959" s="4" t="s">
        <v>766</v>
      </c>
      <c r="B959" s="0" t="s">
        <v>239</v>
      </c>
      <c r="D959" s="22" t="n">
        <f aca="false">gm_opt*D947+gm_oth*(D949+D950+D951)+gm_att*D935+gm_co*D953+m_hbm*D932</f>
        <v>6.45404607982713</v>
      </c>
      <c r="E959" s="22" t="n">
        <f aca="false">gm_opt*E947+gm_oth*(E949+E950+E951)+gm_att*E935+gm_co*E953+m_hbm*E932</f>
        <v>8.08152196303481</v>
      </c>
      <c r="F959" s="22" t="n">
        <f aca="false">gm_opt*F947+gm_oth*(F949+F950+F951)+gm_att*F935+gm_co*F953+m_hbm*F932</f>
        <v>9.07821832938346</v>
      </c>
      <c r="G959" s="22" t="n">
        <f aca="false">gm_opt*G947+gm_oth*(G949+G950+G951)+gm_att*G935+gm_co*G953+m_hbm*G932</f>
        <v>10.7893943826479</v>
      </c>
    </row>
    <row r="960" customFormat="false" ht="17.15" hidden="false" customHeight="false" outlineLevel="0" collapsed="false">
      <c r="A960" s="0" t="s">
        <v>767</v>
      </c>
      <c r="B960" s="0" t="s">
        <v>80</v>
      </c>
      <c r="D960" s="16" t="n">
        <f aca="false">(a27_gp-D959)/D933</f>
        <v>0.435994625937743</v>
      </c>
      <c r="H960" s="7" t="s">
        <v>768</v>
      </c>
    </row>
    <row r="961" customFormat="false" ht="15" hidden="false" customHeight="false" outlineLevel="0" collapsed="false">
      <c r="A961" s="4" t="s">
        <v>769</v>
      </c>
      <c r="B961" s="0" t="s">
        <v>239</v>
      </c>
      <c r="C961" s="22" t="n">
        <f aca="false">a26_gp</f>
        <v>4.8718</v>
      </c>
      <c r="D961" s="22" t="n">
        <f aca="false">a27_gp</f>
        <v>7.006682</v>
      </c>
      <c r="E961" s="22" t="n">
        <f aca="false">E959+$D$960*E933</f>
        <v>9.20811096042294</v>
      </c>
      <c r="F961" s="22" t="n">
        <f aca="false">F959+$D$960*F933</f>
        <v>12.1706272443331</v>
      </c>
      <c r="G961" s="22" t="n">
        <f aca="false">G959+$D$960*G933</f>
        <v>14.3456646348399</v>
      </c>
    </row>
    <row r="962" customFormat="false" ht="15" hidden="false" customHeight="false" outlineLevel="0" collapsed="false">
      <c r="A962" s="4" t="s">
        <v>621</v>
      </c>
      <c r="B962" s="0" t="s">
        <v>49</v>
      </c>
      <c r="C962" s="14" t="n">
        <f aca="false">C961/C955</f>
        <v>0.59451346008347</v>
      </c>
      <c r="D962" s="14" t="n">
        <f aca="false">D961/D955</f>
        <v>0.583890166666667</v>
      </c>
      <c r="E962" s="14" t="n">
        <f aca="false">E961/E955</f>
        <v>0.548027229702357</v>
      </c>
      <c r="F962" s="14" t="n">
        <f aca="false">F961/F955</f>
        <v>0.468399793816538</v>
      </c>
      <c r="G962" s="14" t="n">
        <f aca="false">G961/G955</f>
        <v>0.473674698338906</v>
      </c>
    </row>
    <row r="963" customFormat="false" ht="17.15" hidden="false" customHeight="false" outlineLevel="0" collapsed="false">
      <c r="A963" s="4" t="s">
        <v>770</v>
      </c>
      <c r="B963" s="0" t="s">
        <v>49</v>
      </c>
      <c r="C963" s="14" t="n">
        <f aca="false">C936/C955</f>
        <v>0.183047372660044</v>
      </c>
      <c r="D963" s="14" t="n">
        <f aca="false">D936/D955</f>
        <v>0.15625</v>
      </c>
      <c r="E963" s="14" t="n">
        <f aca="false">E936/E955</f>
        <v>0.281109508951448</v>
      </c>
      <c r="F963" s="14" t="n">
        <f aca="false">F936/F955</f>
        <v>0.510933538663813</v>
      </c>
      <c r="G963" s="14" t="n">
        <f aca="false">G936/G955</f>
        <v>0.512545270322429</v>
      </c>
    </row>
    <row r="964" customFormat="false" ht="15" hidden="false" customHeight="false" outlineLevel="0" collapsed="false">
      <c r="A964" s="4" t="s">
        <v>771</v>
      </c>
      <c r="B964" s="0" t="s">
        <v>239</v>
      </c>
      <c r="C964" s="22" t="n">
        <f aca="false">a26_opx</f>
        <v>1.9808</v>
      </c>
      <c r="D964" s="22" t="n">
        <f aca="false">a27_opx</f>
        <v>2.55</v>
      </c>
      <c r="E964" s="22" t="n">
        <f aca="false">D964*(1+MAX(g_opx_min,phi*E957))</f>
        <v>3.06024302538088</v>
      </c>
      <c r="F964" s="22" t="n">
        <f aca="false">E964*(1+MAX(g_opx_min,phi*F957))</f>
        <v>3.89633421207888</v>
      </c>
      <c r="G964" s="22" t="n">
        <f aca="false">F964*(1+MAX(g_opx_min,phi*G957))</f>
        <v>4.21892287838569</v>
      </c>
    </row>
    <row r="965" customFormat="false" ht="15" hidden="false" customHeight="false" outlineLevel="0" collapsed="false">
      <c r="A965" s="4" t="s">
        <v>772</v>
      </c>
      <c r="B965" s="0" t="s">
        <v>239</v>
      </c>
      <c r="C965" s="22" t="n">
        <f aca="false">C964</f>
        <v>1.9808</v>
      </c>
      <c r="D965" s="22" t="n">
        <f aca="false">D964</f>
        <v>2.55</v>
      </c>
      <c r="E965" s="22" t="n">
        <f aca="false">E964+0*E955</f>
        <v>3.06024302538088</v>
      </c>
      <c r="F965" s="22" t="n">
        <f aca="false">F964+0*F955</f>
        <v>3.89633421207888</v>
      </c>
      <c r="G965" s="22" t="n">
        <f aca="false">G964+0*G955</f>
        <v>4.21892287838569</v>
      </c>
    </row>
    <row r="966" customFormat="false" ht="15" hidden="false" customHeight="false" outlineLevel="0" collapsed="false">
      <c r="A966" s="4" t="s">
        <v>773</v>
      </c>
      <c r="B966" s="0" t="s">
        <v>239</v>
      </c>
      <c r="C966" s="22" t="n">
        <f aca="false">C961-C965</f>
        <v>2.891</v>
      </c>
      <c r="D966" s="22" t="n">
        <f aca="false">D961-D965</f>
        <v>4.456682</v>
      </c>
      <c r="E966" s="22" t="n">
        <f aca="false">E961-E965</f>
        <v>6.14786793504206</v>
      </c>
      <c r="F966" s="22" t="n">
        <f aca="false">F961-F965</f>
        <v>8.27429303225418</v>
      </c>
      <c r="G966" s="22" t="n">
        <f aca="false">G961-G965</f>
        <v>10.1267417564542</v>
      </c>
    </row>
    <row r="967" customFormat="false" ht="15" hidden="false" customHeight="false" outlineLevel="0" collapsed="false">
      <c r="A967" s="4" t="s">
        <v>627</v>
      </c>
      <c r="B967" s="0" t="s">
        <v>49</v>
      </c>
      <c r="C967" s="14" t="n">
        <f aca="false">C966/C955</f>
        <v>0.352793302906792</v>
      </c>
      <c r="D967" s="14" t="n">
        <f aca="false">D966/D955</f>
        <v>0.371390166666667</v>
      </c>
      <c r="E967" s="14" t="n">
        <f aca="false">E966/E955</f>
        <v>0.365894703864678</v>
      </c>
      <c r="F967" s="14" t="n">
        <f aca="false">F966/F955</f>
        <v>0.318445144402076</v>
      </c>
      <c r="G967" s="14" t="n">
        <f aca="false">G966/G955</f>
        <v>0.33437149611005</v>
      </c>
    </row>
    <row r="968" customFormat="false" ht="15" hidden="false" customHeight="false" outlineLevel="0" collapsed="false">
      <c r="A968" s="4" t="s">
        <v>774</v>
      </c>
      <c r="B968" s="0" t="s">
        <v>239</v>
      </c>
      <c r="C968" s="22" t="n">
        <f aca="false">a26_oth</f>
        <v>0.1514</v>
      </c>
      <c r="D968" s="22" t="n">
        <f aca="false">a27_oth</f>
        <v>0.1424</v>
      </c>
      <c r="E968" s="22" t="n">
        <f aca="false">int_f</f>
        <v>0.15</v>
      </c>
      <c r="F968" s="22" t="n">
        <f aca="false">int_f</f>
        <v>0.15</v>
      </c>
      <c r="G968" s="22" t="n">
        <f aca="false">int_f</f>
        <v>0.15</v>
      </c>
    </row>
    <row r="969" customFormat="false" ht="15" hidden="false" customHeight="false" outlineLevel="0" collapsed="false">
      <c r="A969" s="4" t="s">
        <v>775</v>
      </c>
      <c r="B969" s="0" t="s">
        <v>49</v>
      </c>
      <c r="C969" s="14" t="n">
        <f aca="false">a26_tax/(a26_oi-a26_oth)</f>
        <v>0.1</v>
      </c>
      <c r="D969" s="14" t="n">
        <f aca="false">a27_tax/(a27_oi-a27_oth)</f>
        <v>0.11</v>
      </c>
      <c r="E969" s="14" t="n">
        <f aca="false">tx_f</f>
        <v>0.13</v>
      </c>
      <c r="F969" s="14" t="n">
        <f aca="false">tx_f</f>
        <v>0.13</v>
      </c>
      <c r="G969" s="14" t="n">
        <f aca="false">tx_f</f>
        <v>0.13</v>
      </c>
    </row>
    <row r="970" customFormat="false" ht="17.15" hidden="false" customHeight="false" outlineLevel="0" collapsed="false">
      <c r="A970" s="4" t="s">
        <v>708</v>
      </c>
      <c r="B970" s="0" t="s">
        <v>239</v>
      </c>
      <c r="C970" s="22" t="n">
        <f aca="false">a26_ni</f>
        <v>2.46564</v>
      </c>
      <c r="D970" s="22" t="n">
        <f aca="false">a27_ni</f>
        <v>3.83971098</v>
      </c>
      <c r="E970" s="22" t="n">
        <f aca="false">(E966-E968)*(1-E969)</f>
        <v>5.21814510348659</v>
      </c>
      <c r="F970" s="22" t="n">
        <f aca="false">(F966-F968)*(1-F969)</f>
        <v>7.06813493806113</v>
      </c>
      <c r="G970" s="22" t="n">
        <f aca="false">(G966-G968)*(1-G969)</f>
        <v>8.67976532811519</v>
      </c>
    </row>
    <row r="971" customFormat="false" ht="15" hidden="false" customHeight="false" outlineLevel="0" collapsed="false">
      <c r="A971" s="4" t="s">
        <v>776</v>
      </c>
      <c r="B971" s="4" t="s">
        <v>370</v>
      </c>
      <c r="C971" s="16" t="n">
        <f aca="false">a26_sh</f>
        <v>0.8697</v>
      </c>
      <c r="D971" s="16" t="n">
        <f aca="false">a27_sh</f>
        <v>0.915125</v>
      </c>
      <c r="E971" s="16" t="n">
        <f aca="false">D971*(1+sh_g)</f>
        <v>0.919700625</v>
      </c>
      <c r="F971" s="16" t="n">
        <f aca="false">E971*(1+sh_g)</f>
        <v>0.924299128125</v>
      </c>
      <c r="G971" s="16" t="n">
        <f aca="false">F971*(1+sh_g)</f>
        <v>0.928920623765625</v>
      </c>
    </row>
    <row r="972" customFormat="false" ht="17.15" hidden="false" customHeight="false" outlineLevel="0" collapsed="false">
      <c r="A972" s="0" t="s">
        <v>709</v>
      </c>
      <c r="B972" s="0" t="s">
        <v>253</v>
      </c>
      <c r="C972" s="22" t="n">
        <f aca="false">C970/C971</f>
        <v>2.83504656778199</v>
      </c>
      <c r="D972" s="22" t="n">
        <f aca="false">D970/D971</f>
        <v>4.19583224149706</v>
      </c>
      <c r="E972" s="22" t="n">
        <f aca="false">E970/E971</f>
        <v>5.67374313080041</v>
      </c>
      <c r="F972" s="22" t="n">
        <f aca="false">F970/F971</f>
        <v>7.64702110278877</v>
      </c>
      <c r="G972" s="22" t="n">
        <f aca="false">G970/G971</f>
        <v>9.34392574139379</v>
      </c>
    </row>
    <row r="973" customFormat="false" ht="17.15" hidden="false" customHeight="false" outlineLevel="0" collapsed="false">
      <c r="A973" s="0" t="s">
        <v>777</v>
      </c>
      <c r="B973" s="0" t="s">
        <v>49</v>
      </c>
      <c r="D973" s="14" t="n">
        <f aca="false">D972/C972-1</f>
        <v>0.479987062357033</v>
      </c>
      <c r="E973" s="14" t="n">
        <f aca="false">E972/D972-1</f>
        <v>0.352233074212717</v>
      </c>
      <c r="F973" s="14" t="n">
        <f aca="false">F972/E972-1</f>
        <v>0.347791207056281</v>
      </c>
      <c r="G973" s="14" t="n">
        <f aca="false">G972/F972-1</f>
        <v>0.221904008867738</v>
      </c>
    </row>
    <row r="976" customFormat="false" ht="17.15" hidden="false" customHeight="false" outlineLevel="0" collapsed="false">
      <c r="A976" s="3" t="s">
        <v>1183</v>
      </c>
    </row>
    <row r="977" customFormat="false" ht="17.15" hidden="false" customHeight="false" outlineLevel="0" collapsed="false">
      <c r="A977" s="5" t="s">
        <v>25</v>
      </c>
      <c r="B977" s="5" t="s">
        <v>26</v>
      </c>
      <c r="C977" s="11" t="s">
        <v>698</v>
      </c>
      <c r="D977" s="11" t="s">
        <v>699</v>
      </c>
      <c r="E977" s="11" t="s">
        <v>700</v>
      </c>
      <c r="F977" s="11" t="s">
        <v>701</v>
      </c>
      <c r="G977" s="11" t="s">
        <v>702</v>
      </c>
      <c r="H977" s="5" t="s">
        <v>555</v>
      </c>
    </row>
    <row r="978" customFormat="false" ht="17.15" hidden="false" customHeight="false" outlineLevel="0" collapsed="false">
      <c r="A978" s="1" t="s">
        <v>717</v>
      </c>
    </row>
    <row r="979" customFormat="false" ht="17.15" hidden="false" customHeight="false" outlineLevel="0" collapsed="false">
      <c r="A979" s="0" t="s">
        <v>718</v>
      </c>
      <c r="B979" s="4" t="s">
        <v>36</v>
      </c>
      <c r="D979" s="22" t="n">
        <f aca="false">u_trn_26</f>
        <v>2</v>
      </c>
      <c r="E979" s="22" t="n">
        <f aca="false">u_trn_27</f>
        <v>2.5</v>
      </c>
      <c r="F979" s="22" t="n">
        <f aca="false">u_trn_28*um28_A</f>
        <v>3</v>
      </c>
      <c r="G979" s="22" t="n">
        <f aca="false">u_trn_28*(1+g29_trn)*um29_A</f>
        <v>3.45</v>
      </c>
    </row>
    <row r="980" customFormat="false" ht="17.15" hidden="false" customHeight="false" outlineLevel="0" collapsed="false">
      <c r="A980" s="4" t="s">
        <v>719</v>
      </c>
      <c r="B980" s="4" t="s">
        <v>36</v>
      </c>
      <c r="D980" s="22" t="n">
        <f aca="false">u_oth_26</f>
        <v>1</v>
      </c>
      <c r="E980" s="22" t="n">
        <f aca="false">u_oth_27</f>
        <v>4.5</v>
      </c>
      <c r="F980" s="22" t="n">
        <f aca="false">u_oth_28*um28_A</f>
        <v>5</v>
      </c>
      <c r="G980" s="22" t="n">
        <f aca="false">u_oth_28*(1+g29_oth)*um29_A</f>
        <v>5.75</v>
      </c>
    </row>
    <row r="981" customFormat="false" ht="17.15" hidden="false" customHeight="false" outlineLevel="0" collapsed="false">
      <c r="A981" s="0" t="s">
        <v>720</v>
      </c>
      <c r="B981" s="4" t="s">
        <v>36</v>
      </c>
      <c r="D981" s="22" t="n">
        <f aca="false">u_tpu_26</f>
        <v>3.85</v>
      </c>
      <c r="E981" s="22" t="n">
        <f aca="false">u_tpu_27</f>
        <v>5.5</v>
      </c>
      <c r="F981" s="22" t="n">
        <f aca="false">u_tpu_28*um28_A</f>
        <v>7</v>
      </c>
      <c r="G981" s="22" t="n">
        <f aca="false">u_tpu_28*(1+g29_tpu)*um29_A</f>
        <v>8.05</v>
      </c>
    </row>
    <row r="982" customFormat="false" ht="17.15" hidden="false" customHeight="false" outlineLevel="0" collapsed="false">
      <c r="A982" s="0" t="s">
        <v>658</v>
      </c>
      <c r="B982" s="0" t="s">
        <v>49</v>
      </c>
      <c r="D982" s="14" t="n">
        <f aca="false">msh_trn_26</f>
        <v>0.1</v>
      </c>
      <c r="E982" s="14" t="n">
        <f aca="false">MIN(1,MAX(0,msh_trn_27+0))</f>
        <v>0.1</v>
      </c>
      <c r="F982" s="14" t="n">
        <f aca="false">MIN(1,MAX(0,msh_trn_28+0))</f>
        <v>0.08</v>
      </c>
      <c r="G982" s="14" t="n">
        <f aca="false">MIN(1,MAX(0,msh_trn_28+0))</f>
        <v>0.08</v>
      </c>
    </row>
    <row r="983" customFormat="false" ht="17.15" hidden="false" customHeight="false" outlineLevel="0" collapsed="false">
      <c r="A983" s="0" t="s">
        <v>666</v>
      </c>
      <c r="B983" s="0" t="s">
        <v>49</v>
      </c>
      <c r="D983" s="14" t="n">
        <f aca="false">msh_oth_26</f>
        <v>0.05</v>
      </c>
      <c r="E983" s="14" t="n">
        <f aca="false">MIN(1,MAX(0,msh_oth_27+0))</f>
        <v>0.06</v>
      </c>
      <c r="F983" s="14" t="n">
        <f aca="false">MIN(1,MAX(0,msh_oth_28+0))</f>
        <v>0.15</v>
      </c>
      <c r="G983" s="14" t="n">
        <f aca="false">MIN(1,MAX(0,msh_oth_28+0))</f>
        <v>0.15</v>
      </c>
    </row>
    <row r="984" customFormat="false" ht="17.15" hidden="false" customHeight="false" outlineLevel="0" collapsed="false">
      <c r="A984" s="0" t="s">
        <v>670</v>
      </c>
      <c r="B984" s="0" t="s">
        <v>49</v>
      </c>
      <c r="D984" s="14" t="n">
        <f aca="false">msh_tpu_26</f>
        <v>0</v>
      </c>
      <c r="E984" s="14" t="n">
        <f aca="false">MIN(1,MAX(0,msh_tpu_27+0))</f>
        <v>0</v>
      </c>
      <c r="F984" s="14" t="n">
        <f aca="false">MIN(1,MAX(0,msh_tpu_28+0))</f>
        <v>0.05</v>
      </c>
      <c r="G984" s="14" t="n">
        <f aca="false">MIN(1,MAX(0,msh_tpu_28+0))</f>
        <v>0.05</v>
      </c>
    </row>
    <row r="985" customFormat="false" ht="17.15" hidden="false" customHeight="false" outlineLevel="0" collapsed="false">
      <c r="A985" s="0" t="s">
        <v>660</v>
      </c>
      <c r="B985" s="4" t="s">
        <v>36</v>
      </c>
      <c r="D985" s="16" t="n">
        <f aca="false">D979*D982</f>
        <v>0.2</v>
      </c>
      <c r="E985" s="16" t="n">
        <f aca="false">E979*E982*1</f>
        <v>0.25</v>
      </c>
      <c r="F985" s="16" t="n">
        <f aca="false">F979*F982*1</f>
        <v>0.24</v>
      </c>
      <c r="G985" s="16" t="n">
        <f aca="false">G979*G982*1</f>
        <v>0.276</v>
      </c>
    </row>
    <row r="986" customFormat="false" ht="17.15" hidden="false" customHeight="false" outlineLevel="0" collapsed="false">
      <c r="A986" s="0" t="s">
        <v>667</v>
      </c>
      <c r="B986" s="4" t="s">
        <v>36</v>
      </c>
      <c r="D986" s="16" t="n">
        <f aca="false">D980*D983</f>
        <v>0.05</v>
      </c>
      <c r="E986" s="16" t="n">
        <f aca="false">E980*E983*1</f>
        <v>0.27</v>
      </c>
      <c r="F986" s="16" t="n">
        <f aca="false">F980*F983*1</f>
        <v>0.75</v>
      </c>
      <c r="G986" s="16" t="n">
        <f aca="false">G980*G983*1</f>
        <v>0.8625</v>
      </c>
    </row>
    <row r="987" customFormat="false" ht="17.15" hidden="false" customHeight="false" outlineLevel="0" collapsed="false">
      <c r="A987" s="0" t="s">
        <v>671</v>
      </c>
      <c r="B987" s="4" t="s">
        <v>36</v>
      </c>
      <c r="D987" s="16" t="n">
        <f aca="false">D981*D984</f>
        <v>0</v>
      </c>
      <c r="E987" s="16" t="n">
        <f aca="false">E981*E984*1</f>
        <v>0</v>
      </c>
      <c r="F987" s="16" t="n">
        <f aca="false">F981*F984*1</f>
        <v>0.35</v>
      </c>
      <c r="G987" s="16" t="n">
        <f aca="false">G981*G984*1</f>
        <v>0.4025</v>
      </c>
    </row>
    <row r="988" customFormat="false" ht="17.15" hidden="false" customHeight="false" outlineLevel="0" collapsed="false">
      <c r="A988" s="4" t="s">
        <v>721</v>
      </c>
      <c r="B988" s="0" t="s">
        <v>100</v>
      </c>
      <c r="D988" s="23" t="n">
        <f aca="false">gb_trn_26</f>
        <v>110</v>
      </c>
      <c r="E988" s="23" t="n">
        <f aca="false">gb_trn_27</f>
        <v>144</v>
      </c>
      <c r="F988" s="23" t="n">
        <f aca="false">gb_trn_28</f>
        <v>200</v>
      </c>
      <c r="G988" s="23" t="n">
        <f aca="false">gb_trn_28</f>
        <v>200</v>
      </c>
    </row>
    <row r="989" customFormat="false" ht="17.15" hidden="false" customHeight="false" outlineLevel="0" collapsed="false">
      <c r="A989" s="4" t="s">
        <v>722</v>
      </c>
      <c r="B989" s="0" t="s">
        <v>100</v>
      </c>
      <c r="D989" s="23" t="n">
        <f aca="false">gb_oth_26</f>
        <v>150</v>
      </c>
      <c r="E989" s="23" t="n">
        <f aca="false">gb_oth_27</f>
        <v>200</v>
      </c>
      <c r="F989" s="23" t="n">
        <f aca="false">gb_oth_28</f>
        <v>250</v>
      </c>
      <c r="G989" s="23" t="n">
        <f aca="false">gb_oth_28</f>
        <v>250</v>
      </c>
    </row>
    <row r="990" customFormat="false" ht="17.15" hidden="false" customHeight="false" outlineLevel="0" collapsed="false">
      <c r="A990" s="4" t="s">
        <v>723</v>
      </c>
      <c r="B990" s="0" t="s">
        <v>100</v>
      </c>
      <c r="D990" s="23" t="n">
        <f aca="false">gb_tpu_26</f>
        <v>192</v>
      </c>
      <c r="E990" s="23" t="n">
        <f aca="false">gb_tpu_27</f>
        <v>250</v>
      </c>
      <c r="F990" s="23" t="n">
        <f aca="false">gb_tpu_28</f>
        <v>288</v>
      </c>
      <c r="G990" s="23" t="n">
        <f aca="false">gb_tpu_28</f>
        <v>288</v>
      </c>
    </row>
    <row r="991" customFormat="false" ht="17.15" hidden="false" customHeight="false" outlineLevel="0" collapsed="false">
      <c r="A991" s="0" t="s">
        <v>724</v>
      </c>
      <c r="B991" s="0" t="s">
        <v>200</v>
      </c>
      <c r="D991" s="22" t="n">
        <f aca="false">hbm_A_26</f>
        <v>14.6</v>
      </c>
      <c r="E991" s="22" t="n">
        <f aca="false">hbm_A_27</f>
        <v>26.28</v>
      </c>
      <c r="F991" s="22" t="n">
        <f aca="false">hbm_A_28</f>
        <v>28.908</v>
      </c>
      <c r="G991" s="22" t="n">
        <f aca="false">hbm_A_29</f>
        <v>27.4626</v>
      </c>
    </row>
    <row r="992" customFormat="false" ht="17.15" hidden="false" customHeight="false" outlineLevel="0" collapsed="false">
      <c r="A992" s="4" t="s">
        <v>725</v>
      </c>
      <c r="B992" s="0" t="s">
        <v>122</v>
      </c>
      <c r="D992" s="22" t="n">
        <f aca="false">core_trn</f>
        <v>6.394</v>
      </c>
      <c r="E992" s="22" t="n">
        <f aca="false">core_trn*1</f>
        <v>6.394</v>
      </c>
      <c r="F992" s="22" t="n">
        <f aca="false">core_trn*1</f>
        <v>6.394</v>
      </c>
      <c r="G992" s="22" t="n">
        <f aca="false">core_trn*1</f>
        <v>6.394</v>
      </c>
    </row>
    <row r="993" customFormat="false" ht="17.15" hidden="false" customHeight="false" outlineLevel="0" collapsed="false">
      <c r="A993" s="4" t="s">
        <v>726</v>
      </c>
      <c r="B993" s="0" t="s">
        <v>122</v>
      </c>
      <c r="D993" s="22" t="n">
        <f aca="false">core_oth</f>
        <v>6</v>
      </c>
      <c r="E993" s="22" t="n">
        <f aca="false">core_oth*1</f>
        <v>6</v>
      </c>
      <c r="F993" s="22" t="n">
        <f aca="false">core_oth*1</f>
        <v>6</v>
      </c>
      <c r="G993" s="22" t="n">
        <f aca="false">core_oth*1</f>
        <v>6</v>
      </c>
    </row>
    <row r="994" customFormat="false" ht="17.15" hidden="false" customHeight="false" outlineLevel="0" collapsed="false">
      <c r="A994" s="4" t="s">
        <v>727</v>
      </c>
      <c r="B994" s="0" t="s">
        <v>122</v>
      </c>
      <c r="D994" s="22" t="n">
        <f aca="false">core_tpu</f>
        <v>8</v>
      </c>
      <c r="E994" s="22" t="n">
        <f aca="false">core_tpu*1</f>
        <v>8</v>
      </c>
      <c r="F994" s="22" t="n">
        <f aca="false">core_tpu*1</f>
        <v>8</v>
      </c>
      <c r="G994" s="22" t="n">
        <f aca="false">core_tpu*1</f>
        <v>8</v>
      </c>
    </row>
    <row r="995" customFormat="false" ht="17.15" hidden="false" customHeight="false" outlineLevel="0" collapsed="false">
      <c r="A995" s="4" t="s">
        <v>728</v>
      </c>
      <c r="B995" s="0" t="s">
        <v>122</v>
      </c>
      <c r="D995" s="22" t="n">
        <f aca="false">D988*D991/1000</f>
        <v>1.606</v>
      </c>
      <c r="E995" s="22" t="n">
        <f aca="false">E988*E991/1000</f>
        <v>3.78432</v>
      </c>
      <c r="F995" s="22" t="n">
        <f aca="false">F988*F991/1000</f>
        <v>5.7816</v>
      </c>
      <c r="G995" s="22" t="n">
        <f aca="false">G988*G991/1000</f>
        <v>5.49252</v>
      </c>
    </row>
    <row r="996" customFormat="false" ht="17.15" hidden="false" customHeight="false" outlineLevel="0" collapsed="false">
      <c r="A996" s="4" t="s">
        <v>729</v>
      </c>
      <c r="B996" s="0" t="s">
        <v>122</v>
      </c>
      <c r="D996" s="22" t="n">
        <f aca="false">D989*D991/1000</f>
        <v>2.19</v>
      </c>
      <c r="E996" s="22" t="n">
        <f aca="false">E989*E991/1000</f>
        <v>5.256</v>
      </c>
      <c r="F996" s="22" t="n">
        <f aca="false">F989*F991/1000</f>
        <v>7.227</v>
      </c>
      <c r="G996" s="22" t="n">
        <f aca="false">G989*G991/1000</f>
        <v>6.86565</v>
      </c>
    </row>
    <row r="997" customFormat="false" ht="17.15" hidden="false" customHeight="false" outlineLevel="0" collapsed="false">
      <c r="A997" s="4" t="s">
        <v>730</v>
      </c>
      <c r="B997" s="0" t="s">
        <v>122</v>
      </c>
      <c r="D997" s="22" t="n">
        <f aca="false">D990*D991/1000</f>
        <v>2.8032</v>
      </c>
      <c r="E997" s="22" t="n">
        <f aca="false">E990*E991/1000</f>
        <v>6.57</v>
      </c>
      <c r="F997" s="22" t="n">
        <f aca="false">F990*F991/1000</f>
        <v>8.325504</v>
      </c>
      <c r="G997" s="22" t="n">
        <f aca="false">G990*G991/1000</f>
        <v>7.9092288</v>
      </c>
    </row>
    <row r="998" customFormat="false" ht="17.15" hidden="false" customHeight="false" outlineLevel="0" collapsed="false">
      <c r="A998" s="4" t="s">
        <v>731</v>
      </c>
      <c r="B998" s="0" t="s">
        <v>122</v>
      </c>
      <c r="D998" s="22" t="n">
        <f aca="false">D992+f_hbm*D995</f>
        <v>7.3576</v>
      </c>
      <c r="E998" s="22" t="n">
        <f aca="false">E992+f_hbm*E995</f>
        <v>8.664592</v>
      </c>
      <c r="F998" s="22" t="n">
        <f aca="false">F992+f_hbm*F995</f>
        <v>9.86296</v>
      </c>
      <c r="G998" s="22" t="n">
        <f aca="false">G992+f_hbm*G995</f>
        <v>9.689512</v>
      </c>
      <c r="H998" s="4" t="s">
        <v>732</v>
      </c>
    </row>
    <row r="999" customFormat="false" ht="17.15" hidden="false" customHeight="false" outlineLevel="0" collapsed="false">
      <c r="A999" s="4" t="s">
        <v>733</v>
      </c>
      <c r="B999" s="0" t="s">
        <v>122</v>
      </c>
      <c r="D999" s="22" t="n">
        <f aca="false">D993+f_hbm*D996</f>
        <v>7.314</v>
      </c>
      <c r="E999" s="22" t="n">
        <f aca="false">E993+f_hbm*E996</f>
        <v>9.1536</v>
      </c>
      <c r="F999" s="22" t="n">
        <f aca="false">F993+f_hbm*F996</f>
        <v>10.3362</v>
      </c>
      <c r="G999" s="22" t="n">
        <f aca="false">G993+f_hbm*G996</f>
        <v>10.11939</v>
      </c>
    </row>
    <row r="1000" customFormat="false" ht="17.15" hidden="false" customHeight="false" outlineLevel="0" collapsed="false">
      <c r="A1000" s="4" t="s">
        <v>734</v>
      </c>
      <c r="B1000" s="0" t="s">
        <v>122</v>
      </c>
      <c r="D1000" s="22" t="n">
        <f aca="false">D994+f_hbm*D997</f>
        <v>9.68192</v>
      </c>
      <c r="E1000" s="22" t="n">
        <f aca="false">E994+f_hbm*E997</f>
        <v>11.942</v>
      </c>
      <c r="F1000" s="22" t="n">
        <f aca="false">F994+f_hbm*F997</f>
        <v>12.9953024</v>
      </c>
      <c r="G1000" s="22" t="n">
        <f aca="false">G994+f_hbm*G997</f>
        <v>12.74553728</v>
      </c>
    </row>
    <row r="1001" customFormat="false" ht="17.15" hidden="false" customHeight="false" outlineLevel="0" collapsed="false">
      <c r="A1001" s="0" t="s">
        <v>735</v>
      </c>
      <c r="B1001" s="0" t="s">
        <v>239</v>
      </c>
      <c r="D1001" s="22" t="n">
        <f aca="false">D985*D998+D986*D999+D987*D1000</f>
        <v>1.83722</v>
      </c>
      <c r="E1001" s="22" t="n">
        <f aca="false">E985*E998+E986*E999+E987*E1000</f>
        <v>4.63762</v>
      </c>
      <c r="F1001" s="22" t="n">
        <f aca="false">F985*F998+F986*F999+F987*F1000</f>
        <v>14.66761624</v>
      </c>
      <c r="G1001" s="22" t="n">
        <f aca="false">G985*G998+G986*G999+G987*G1000</f>
        <v>16.5323579422</v>
      </c>
    </row>
    <row r="1002" customFormat="false" ht="17.15" hidden="false" customHeight="false" outlineLevel="0" collapsed="false">
      <c r="A1002" s="0" t="s">
        <v>736</v>
      </c>
      <c r="B1002" s="0" t="s">
        <v>80</v>
      </c>
      <c r="D1002" s="16" t="n">
        <f aca="false">a27_xpu/D1001</f>
        <v>0.802843426481314</v>
      </c>
      <c r="H1002" s="7" t="s">
        <v>737</v>
      </c>
    </row>
    <row r="1003" customFormat="false" ht="17.15" hidden="false" customHeight="false" outlineLevel="0" collapsed="false">
      <c r="A1003" s="0" t="s">
        <v>738</v>
      </c>
      <c r="B1003" s="0" t="s">
        <v>239</v>
      </c>
      <c r="D1003" s="22" t="n">
        <f aca="false">D1001*$D$1002</f>
        <v>1.475</v>
      </c>
      <c r="E1003" s="22" t="n">
        <f aca="false">E1001*$D$1002</f>
        <v>3.72328273151827</v>
      </c>
      <c r="F1003" s="22" t="n">
        <f aca="false">F1001*$D$1002</f>
        <v>11.7757992804346</v>
      </c>
      <c r="G1003" s="22" t="n">
        <f aca="false">G1001*$D$1002</f>
        <v>13.2728948981314</v>
      </c>
    </row>
    <row r="1004" customFormat="false" ht="17.15" hidden="false" customHeight="false" outlineLevel="0" collapsed="false">
      <c r="A1004" s="4" t="s">
        <v>739</v>
      </c>
      <c r="B1004" s="0" t="s">
        <v>239</v>
      </c>
      <c r="D1004" s="22" t="n">
        <f aca="false">$D$1002*f_hbm*(D985*D995+D986*D996+D987*D997)</f>
        <v>0.207470798271301</v>
      </c>
      <c r="E1004" s="22" t="n">
        <f aca="false">$D$1002*f_hbm*(E985*E995+E986*E996+E987*E997)</f>
        <v>1.13933116338816</v>
      </c>
      <c r="F1004" s="22" t="n">
        <f aca="false">$D$1002*f_hbm*(F985*F995+F986*F996+F987*F997)</f>
        <v>4.68303085857981</v>
      </c>
      <c r="G1004" s="22" t="n">
        <f aca="false">$D$1002*f_hbm*(G985*G995+G986*G996+G987*G997)</f>
        <v>5.11621121299844</v>
      </c>
    </row>
    <row r="1005" customFormat="false" ht="15" hidden="false" customHeight="false" outlineLevel="0" collapsed="false">
      <c r="A1005" s="4" t="s">
        <v>740</v>
      </c>
      <c r="B1005" s="0" t="s">
        <v>239</v>
      </c>
      <c r="D1005" s="22" t="n">
        <f aca="false">D1003-D1004</f>
        <v>1.2675292017287</v>
      </c>
      <c r="E1005" s="22" t="n">
        <f aca="false">E1003-E1004</f>
        <v>2.58395156813011</v>
      </c>
      <c r="F1005" s="22" t="n">
        <f aca="false">F1003-F1004</f>
        <v>7.09276842185476</v>
      </c>
      <c r="G1005" s="22" t="n">
        <f aca="false">G1003-G1004</f>
        <v>8.15668368513297</v>
      </c>
    </row>
    <row r="1006" customFormat="false" ht="17.15" hidden="false" customHeight="false" outlineLevel="0" collapsed="false">
      <c r="A1006" s="0" t="s">
        <v>741</v>
      </c>
      <c r="B1006" s="4" t="s">
        <v>36</v>
      </c>
      <c r="D1006" s="16" t="n">
        <f aca="false">D985+D986+D987</f>
        <v>0.25</v>
      </c>
      <c r="E1006" s="16" t="n">
        <f aca="false">E985+E986+E987</f>
        <v>0.52</v>
      </c>
      <c r="F1006" s="16" t="n">
        <f aca="false">F985+F986+F987</f>
        <v>1.34</v>
      </c>
      <c r="G1006" s="16" t="n">
        <f aca="false">G985+G986+G987</f>
        <v>1.541</v>
      </c>
    </row>
    <row r="1007" customFormat="false" ht="17.15" hidden="false" customHeight="false" outlineLevel="0" collapsed="false">
      <c r="A1007" s="0" t="s">
        <v>742</v>
      </c>
      <c r="B1007" s="0" t="s">
        <v>239</v>
      </c>
      <c r="C1007" s="22" t="n">
        <f aca="false">a26_att</f>
        <v>0.2</v>
      </c>
      <c r="D1007" s="22" t="n">
        <f aca="false">a27_att</f>
        <v>0.4</v>
      </c>
      <c r="E1007" s="22" t="n">
        <f aca="false">att28</f>
        <v>1</v>
      </c>
      <c r="F1007" s="22" t="n">
        <f aca="false">att28*(1+g_att)*um28_A</f>
        <v>1.5</v>
      </c>
      <c r="G1007" s="22" t="n">
        <f aca="false">att28*(1+g_att)^2*um29_A</f>
        <v>2.25</v>
      </c>
      <c r="H1007" s="7" t="s">
        <v>743</v>
      </c>
    </row>
    <row r="1008" customFormat="false" ht="17.15" hidden="false" customHeight="false" outlineLevel="0" collapsed="false">
      <c r="A1008" s="4" t="s">
        <v>744</v>
      </c>
      <c r="B1008" s="0" t="s">
        <v>239</v>
      </c>
      <c r="C1008" s="22" t="n">
        <f aca="false">a26_cus</f>
        <v>1.5</v>
      </c>
      <c r="D1008" s="22" t="n">
        <f aca="false">D1003+D1007</f>
        <v>1.875</v>
      </c>
      <c r="E1008" s="22" t="n">
        <f aca="false">E1003+E1007</f>
        <v>4.72328273151827</v>
      </c>
      <c r="F1008" s="22" t="n">
        <f aca="false">F1003+F1007</f>
        <v>13.2757992804346</v>
      </c>
      <c r="G1008" s="22" t="n">
        <f aca="false">G1003+G1007</f>
        <v>15.5228948981314</v>
      </c>
    </row>
    <row r="1009" customFormat="false" ht="17.15" hidden="false" customHeight="false" outlineLevel="0" collapsed="false">
      <c r="A1009" s="1" t="s">
        <v>745</v>
      </c>
    </row>
    <row r="1010" customFormat="false" ht="17.15" hidden="false" customHeight="false" outlineLevel="0" collapsed="false">
      <c r="A1010" s="0" t="s">
        <v>746</v>
      </c>
      <c r="B1010" s="0" t="s">
        <v>239</v>
      </c>
      <c r="D1010" s="22" t="n">
        <f aca="false">plug_26*1</f>
        <v>29.753262</v>
      </c>
      <c r="E1010" s="22" t="n">
        <f aca="false">plug_27*1</f>
        <v>53.560715</v>
      </c>
      <c r="F1010" s="22" t="n">
        <f aca="false">plug_28*um28_A</f>
        <v>57.9915</v>
      </c>
      <c r="G1010" s="22" t="n">
        <f aca="false">plug_29*um29_A</f>
        <v>72.9348</v>
      </c>
    </row>
    <row r="1011" customFormat="false" ht="17.15" hidden="false" customHeight="false" outlineLevel="0" collapsed="false">
      <c r="A1011" s="4" t="s">
        <v>747</v>
      </c>
      <c r="B1011" s="4" t="s">
        <v>680</v>
      </c>
      <c r="D1011" s="19" t="n">
        <f aca="false">D1010*1000/asp_26</f>
        <v>45.7742492307692</v>
      </c>
      <c r="E1011" s="19" t="n">
        <f aca="false">E1010*1000/asp_27</f>
        <v>66.95089375</v>
      </c>
      <c r="F1011" s="19" t="n">
        <f aca="false">F1010*1000/asp_28</f>
        <v>68.2252941176471</v>
      </c>
      <c r="G1011" s="19" t="n">
        <f aca="false">G1010*1000/asp_29</f>
        <v>85.8056470588235</v>
      </c>
    </row>
    <row r="1012" customFormat="false" ht="17.15" hidden="false" customHeight="false" outlineLevel="0" collapsed="false">
      <c r="A1012" s="4" t="s">
        <v>748</v>
      </c>
      <c r="B1012" s="0" t="s">
        <v>49</v>
      </c>
      <c r="D1012" s="14" t="n">
        <f aca="false">MIN(1,lpo_26)</f>
        <v>0.03</v>
      </c>
      <c r="E1012" s="14" t="n">
        <f aca="false">MIN(1,lpo_27+0.1)</f>
        <v>0.16</v>
      </c>
      <c r="F1012" s="14" t="n">
        <f aca="false">MIN(1,lpo_28+0.1)</f>
        <v>0.2</v>
      </c>
      <c r="G1012" s="14" t="n">
        <f aca="false">MIN(1,lpo_29+0.1)</f>
        <v>0.25</v>
      </c>
    </row>
    <row r="1013" customFormat="false" ht="15" hidden="false" customHeight="false" outlineLevel="0" collapsed="false">
      <c r="A1013" s="4" t="s">
        <v>749</v>
      </c>
      <c r="B1013" s="0" t="s">
        <v>253</v>
      </c>
      <c r="D1013" s="23" t="n">
        <f aca="false">dsp_26</f>
        <v>125</v>
      </c>
      <c r="E1013" s="23" t="n">
        <f aca="false">dsp_27*1</f>
        <v>135</v>
      </c>
      <c r="F1013" s="23" t="n">
        <f aca="false">dsp_28*1</f>
        <v>135</v>
      </c>
      <c r="G1013" s="23" t="n">
        <f aca="false">dsp_29*1</f>
        <v>130</v>
      </c>
    </row>
    <row r="1014" customFormat="false" ht="17.15" hidden="false" customHeight="false" outlineLevel="0" collapsed="false">
      <c r="A1014" s="4" t="s">
        <v>750</v>
      </c>
      <c r="B1014" s="0" t="s">
        <v>239</v>
      </c>
      <c r="D1014" s="22" t="n">
        <f aca="false">D1011*(1-D1012)*D1013/1000</f>
        <v>5.55012771923077</v>
      </c>
      <c r="E1014" s="22" t="n">
        <f aca="false">E1011*(1-E1012)*E1013/1000</f>
        <v>7.59223135125</v>
      </c>
      <c r="F1014" s="22" t="n">
        <f aca="false">F1011*(1-F1012)*F1013/1000</f>
        <v>7.36833176470588</v>
      </c>
      <c r="G1014" s="22" t="n">
        <f aca="false">G1011*(1-G1012)*G1013/1000</f>
        <v>8.36605058823529</v>
      </c>
    </row>
    <row r="1015" customFormat="false" ht="17.15" hidden="false" customHeight="false" outlineLevel="0" collapsed="false">
      <c r="A1015" s="0" t="s">
        <v>751</v>
      </c>
      <c r="B1015" s="0" t="s">
        <v>49</v>
      </c>
      <c r="D1015" s="14" t="n">
        <f aca="false">msh_dsp_26</f>
        <v>0.65</v>
      </c>
      <c r="E1015" s="14" t="n">
        <f aca="false">msh_dsp_27+0</f>
        <v>0.63</v>
      </c>
      <c r="F1015" s="14" t="n">
        <f aca="false">msh_dsp_28+0</f>
        <v>0.6</v>
      </c>
      <c r="G1015" s="14" t="n">
        <f aca="false">msh_dsp_29+0</f>
        <v>0.58</v>
      </c>
    </row>
    <row r="1016" customFormat="false" ht="17.15" hidden="false" customHeight="false" outlineLevel="0" collapsed="false">
      <c r="A1016" s="0" t="s">
        <v>682</v>
      </c>
      <c r="B1016" s="0" t="s">
        <v>239</v>
      </c>
      <c r="D1016" s="22" t="n">
        <f aca="false">D1014*D1015</f>
        <v>3.6075830175</v>
      </c>
      <c r="E1016" s="22" t="n">
        <f aca="false">E1014*E1015*1</f>
        <v>4.7831057512875</v>
      </c>
      <c r="F1016" s="22" t="n">
        <f aca="false">F1014*F1015*1</f>
        <v>4.42099905882353</v>
      </c>
      <c r="G1016" s="22" t="n">
        <f aca="false">G1014*G1015*1</f>
        <v>4.85230934117647</v>
      </c>
    </row>
    <row r="1017" customFormat="false" ht="17.15" hidden="false" customHeight="false" outlineLevel="0" collapsed="false">
      <c r="A1017" s="4" t="s">
        <v>752</v>
      </c>
      <c r="B1017" s="0" t="s">
        <v>239</v>
      </c>
      <c r="D1017" s="22" t="n">
        <f aca="false">coh27</f>
        <v>0.9</v>
      </c>
      <c r="E1017" s="22" t="n">
        <f aca="false">D1017*(1+g_coh)</f>
        <v>1.035</v>
      </c>
      <c r="F1017" s="22" t="n">
        <f aca="false">E1017*(1+g_coh)</f>
        <v>1.19025</v>
      </c>
      <c r="G1017" s="22" t="n">
        <f aca="false">F1017*(1+g_coh)</f>
        <v>1.3687875</v>
      </c>
    </row>
    <row r="1018" customFormat="false" ht="17.15" hidden="false" customHeight="false" outlineLevel="0" collapsed="false">
      <c r="A1018" s="4" t="s">
        <v>753</v>
      </c>
      <c r="B1018" s="0" t="s">
        <v>80</v>
      </c>
      <c r="D1018" s="16" t="n">
        <f aca="false">(a27_ic-D1017)/D1016</f>
        <v>1.44223430888795</v>
      </c>
      <c r="H1018" s="7" t="s">
        <v>754</v>
      </c>
    </row>
    <row r="1019" customFormat="false" ht="15" hidden="false" customHeight="false" outlineLevel="0" collapsed="false">
      <c r="A1019" s="4" t="s">
        <v>755</v>
      </c>
      <c r="B1019" s="0" t="s">
        <v>239</v>
      </c>
      <c r="C1019" s="22" t="n">
        <f aca="false">a26_ic</f>
        <v>3.4503</v>
      </c>
      <c r="D1019" s="22" t="n">
        <f aca="false">D1016*$D$1018+D1017</f>
        <v>6.10298</v>
      </c>
      <c r="E1019" s="22" t="n">
        <f aca="false">E1016*$D$1018+E1017</f>
        <v>7.93335921754608</v>
      </c>
      <c r="F1019" s="22" t="n">
        <f aca="false">F1016*$D$1018+F1017</f>
        <v>7.56636652219661</v>
      </c>
      <c r="G1019" s="22" t="n">
        <f aca="false">G1016*$D$1018+G1017</f>
        <v>8.36695450918216</v>
      </c>
    </row>
    <row r="1020" customFormat="false" ht="17.15" hidden="false" customHeight="false" outlineLevel="0" collapsed="false">
      <c r="A1020" s="1" t="s">
        <v>756</v>
      </c>
    </row>
    <row r="1021" customFormat="false" ht="15" hidden="false" customHeight="false" outlineLevel="0" collapsed="false">
      <c r="A1021" s="4" t="s">
        <v>757</v>
      </c>
      <c r="B1021" s="0" t="s">
        <v>239</v>
      </c>
      <c r="C1021" s="22" t="n">
        <f aca="false">a26_sw</f>
        <v>0.3</v>
      </c>
      <c r="D1021" s="22" t="n">
        <f aca="false">a27_sw</f>
        <v>0.65</v>
      </c>
      <c r="E1021" s="22" t="n">
        <f aca="false">a27_sw*(1+g_sw28)</f>
        <v>1.17</v>
      </c>
      <c r="F1021" s="22" t="n">
        <f aca="false">a27_sw*(1+g_sw28)*(1+g_sw)*um28_A</f>
        <v>1.638</v>
      </c>
      <c r="G1021" s="22" t="n">
        <f aca="false">a27_sw*(1+g_sw28)*(1+g_sw)^2*um29_A</f>
        <v>2.2932</v>
      </c>
    </row>
    <row r="1022" customFormat="false" ht="17.15" hidden="false" customHeight="false" outlineLevel="0" collapsed="false">
      <c r="A1022" s="0" t="s">
        <v>758</v>
      </c>
      <c r="B1022" s="0" t="s">
        <v>239</v>
      </c>
      <c r="C1022" s="22" t="n">
        <f aca="false">a26_aec</f>
        <v>0.2</v>
      </c>
      <c r="D1022" s="22" t="n">
        <f aca="false">a27_aec</f>
        <v>0.45</v>
      </c>
      <c r="E1022" s="22" t="n">
        <f aca="false">a27_aec*(1+g_aec)</f>
        <v>0.675</v>
      </c>
      <c r="F1022" s="22" t="n">
        <f aca="false">a27_aec*(1+g_aec)^2*um28_A</f>
        <v>1.0125</v>
      </c>
      <c r="G1022" s="22" t="n">
        <f aca="false">a27_aec*(1+g_aec)^3*um29_A</f>
        <v>1.51875</v>
      </c>
    </row>
    <row r="1023" customFormat="false" ht="15" hidden="false" customHeight="false" outlineLevel="0" collapsed="false">
      <c r="A1023" s="4" t="s">
        <v>759</v>
      </c>
      <c r="B1023" s="0" t="s">
        <v>239</v>
      </c>
      <c r="C1023" s="22" t="n">
        <f aca="false">a26_sto</f>
        <v>0.65</v>
      </c>
      <c r="D1023" s="22" t="n">
        <f aca="false">a27_sto</f>
        <v>0.6825</v>
      </c>
      <c r="E1023" s="22" t="n">
        <f aca="false">D1023*(1+g_sto)</f>
        <v>0.716625</v>
      </c>
      <c r="F1023" s="22" t="n">
        <f aca="false">E1023*(1+g_sto)</f>
        <v>0.75245625</v>
      </c>
      <c r="G1023" s="22" t="n">
        <f aca="false">F1023*(1+g_sto)</f>
        <v>0.7900790625</v>
      </c>
    </row>
    <row r="1024" customFormat="false" ht="15" hidden="false" customHeight="false" outlineLevel="0" collapsed="false">
      <c r="A1024" s="4" t="s">
        <v>760</v>
      </c>
      <c r="B1024" s="0" t="s">
        <v>239</v>
      </c>
      <c r="C1024" s="22" t="n">
        <f aca="false">a26_dc</f>
        <v>6.1003</v>
      </c>
      <c r="D1024" s="22" t="n">
        <f aca="false">D1008+D1019+D1021+D1022+D1023</f>
        <v>9.76048</v>
      </c>
      <c r="E1024" s="22" t="n">
        <f aca="false">E1008+E1019+E1021+E1022+E1023</f>
        <v>15.2182669490644</v>
      </c>
      <c r="F1024" s="22" t="n">
        <f aca="false">F1008+F1019+F1021+F1022+F1023</f>
        <v>24.2451220526312</v>
      </c>
      <c r="G1024" s="22" t="n">
        <f aca="false">G1008+G1019+G1021+G1022+G1023</f>
        <v>28.4918784698136</v>
      </c>
    </row>
    <row r="1025" customFormat="false" ht="15" hidden="false" customHeight="false" outlineLevel="0" collapsed="false">
      <c r="A1025" s="4" t="s">
        <v>761</v>
      </c>
      <c r="B1025" s="0" t="s">
        <v>239</v>
      </c>
      <c r="C1025" s="22" t="n">
        <f aca="false">a26_co</f>
        <v>2.0943</v>
      </c>
      <c r="D1025" s="22" t="n">
        <f aca="false">a27_co</f>
        <v>2.23952</v>
      </c>
      <c r="E1025" s="22" t="n">
        <f aca="false">D1025*(1+g_co28)</f>
        <v>2.3067056</v>
      </c>
      <c r="F1025" s="22" t="n">
        <f aca="false">E1025*(1+g_co)</f>
        <v>2.375906768</v>
      </c>
      <c r="G1025" s="22" t="n">
        <f aca="false">F1025*(1+g_co)</f>
        <v>2.44718397104</v>
      </c>
    </row>
    <row r="1026" customFormat="false" ht="17.15" hidden="false" customHeight="false" outlineLevel="0" collapsed="false">
      <c r="A1026" s="1" t="s">
        <v>762</v>
      </c>
    </row>
    <row r="1027" customFormat="false" ht="15" hidden="false" customHeight="false" outlineLevel="0" collapsed="false">
      <c r="A1027" s="4" t="s">
        <v>597</v>
      </c>
      <c r="B1027" s="0" t="s">
        <v>239</v>
      </c>
      <c r="C1027" s="22" t="n">
        <f aca="false">a26_rev</f>
        <v>8.1946</v>
      </c>
      <c r="D1027" s="22" t="n">
        <f aca="false">a27_rev</f>
        <v>12</v>
      </c>
      <c r="E1027" s="22" t="n">
        <f aca="false">E1024+E1025</f>
        <v>17.5249725490644</v>
      </c>
      <c r="F1027" s="22" t="n">
        <f aca="false">F1024+F1025</f>
        <v>26.6210288206312</v>
      </c>
      <c r="G1027" s="22" t="n">
        <f aca="false">G1024+G1025</f>
        <v>30.9390624408536</v>
      </c>
    </row>
    <row r="1028" customFormat="false" ht="17.15" hidden="false" customHeight="false" outlineLevel="0" collapsed="false">
      <c r="A1028" s="4" t="s">
        <v>763</v>
      </c>
      <c r="B1028" s="0" t="s">
        <v>239</v>
      </c>
      <c r="D1028" s="22" t="n">
        <f aca="false">D1024+D1025</f>
        <v>12</v>
      </c>
      <c r="E1028" s="22" t="n">
        <f aca="false">E1024+E1025</f>
        <v>17.5249725490644</v>
      </c>
      <c r="F1028" s="22" t="n">
        <f aca="false">F1024+F1025</f>
        <v>26.6210288206312</v>
      </c>
      <c r="G1028" s="22" t="n">
        <f aca="false">G1024+G1025</f>
        <v>30.9390624408536</v>
      </c>
    </row>
    <row r="1029" customFormat="false" ht="15" hidden="false" customHeight="false" outlineLevel="0" collapsed="false">
      <c r="A1029" s="4" t="s">
        <v>764</v>
      </c>
      <c r="B1029" s="0" t="s">
        <v>49</v>
      </c>
      <c r="D1029" s="14" t="n">
        <f aca="false">D1027/C1027-1</f>
        <v>0.464378981280355</v>
      </c>
      <c r="E1029" s="14" t="n">
        <f aca="false">E1027/D1027-1</f>
        <v>0.460414379088697</v>
      </c>
      <c r="F1029" s="14" t="n">
        <f aca="false">F1027/E1027-1</f>
        <v>0.519033981143237</v>
      </c>
      <c r="G1029" s="14" t="n">
        <f aca="false">G1027/F1027-1</f>
        <v>0.16220385956218</v>
      </c>
    </row>
    <row r="1030" customFormat="false" ht="17.15" hidden="false" customHeight="false" outlineLevel="0" collapsed="false">
      <c r="A1030" s="4" t="s">
        <v>765</v>
      </c>
      <c r="B1030" s="0" t="s">
        <v>49</v>
      </c>
      <c r="C1030" s="14" t="n">
        <f aca="false">C1024/C1027</f>
        <v>0.744429258292046</v>
      </c>
      <c r="D1030" s="14" t="n">
        <f aca="false">D1024/D1027</f>
        <v>0.813373333333333</v>
      </c>
      <c r="E1030" s="14" t="n">
        <f aca="false">E1024/E1027</f>
        <v>0.86837607913268</v>
      </c>
      <c r="F1030" s="14" t="n">
        <f aca="false">F1024/F1027</f>
        <v>0.910750753323302</v>
      </c>
      <c r="G1030" s="14" t="n">
        <f aca="false">G1024/G1027</f>
        <v>0.920903098608166</v>
      </c>
    </row>
    <row r="1031" customFormat="false" ht="17.15" hidden="false" customHeight="false" outlineLevel="0" collapsed="false">
      <c r="A1031" s="4" t="s">
        <v>766</v>
      </c>
      <c r="B1031" s="0" t="s">
        <v>239</v>
      </c>
      <c r="D1031" s="22" t="n">
        <f aca="false">gm_opt*D1019+gm_oth*(D1021+D1022+D1023)+gm_att*D1007+gm_co*D1025+m_hbm*D1004</f>
        <v>6.45404607982713</v>
      </c>
      <c r="E1031" s="22" t="n">
        <f aca="false">gm_opt*E1019+gm_oth*(E1021+E1022+E1023)+gm_att*E1007+gm_co*E1025+m_hbm*E1004</f>
        <v>8.53681367139285</v>
      </c>
      <c r="F1031" s="22" t="n">
        <f aca="false">gm_opt*F1019+gm_oth*(F1021+F1022+F1023)+gm_att*F1007+gm_co*F1025+m_hbm*F1004</f>
        <v>9.47991367028184</v>
      </c>
      <c r="G1031" s="22" t="n">
        <f aca="false">gm_opt*G1019+gm_oth*(G1021+G1022+G1023)+gm_att*G1007+gm_co*G1025+m_hbm*G1004</f>
        <v>11.2008866027878</v>
      </c>
    </row>
    <row r="1032" customFormat="false" ht="17.15" hidden="false" customHeight="false" outlineLevel="0" collapsed="false">
      <c r="A1032" s="0" t="s">
        <v>767</v>
      </c>
      <c r="B1032" s="0" t="s">
        <v>80</v>
      </c>
      <c r="D1032" s="16" t="n">
        <f aca="false">(a27_gp-D1031)/D1005</f>
        <v>0.435994625937743</v>
      </c>
      <c r="H1032" s="7" t="s">
        <v>768</v>
      </c>
    </row>
    <row r="1033" customFormat="false" ht="15" hidden="false" customHeight="false" outlineLevel="0" collapsed="false">
      <c r="A1033" s="4" t="s">
        <v>769</v>
      </c>
      <c r="B1033" s="0" t="s">
        <v>239</v>
      </c>
      <c r="C1033" s="22" t="n">
        <f aca="false">a26_gp</f>
        <v>4.8718</v>
      </c>
      <c r="D1033" s="22" t="n">
        <f aca="false">a27_gp</f>
        <v>7.006682</v>
      </c>
      <c r="E1033" s="22" t="n">
        <f aca="false">E1031+$D$1032*E1005</f>
        <v>9.66340266878098</v>
      </c>
      <c r="F1033" s="22" t="n">
        <f aca="false">F1031+$D$1032*F1005</f>
        <v>12.5723225852314</v>
      </c>
      <c r="G1033" s="22" t="n">
        <f aca="false">G1031+$D$1032*G1005</f>
        <v>14.7571568549798</v>
      </c>
    </row>
    <row r="1034" customFormat="false" ht="15" hidden="false" customHeight="false" outlineLevel="0" collapsed="false">
      <c r="A1034" s="4" t="s">
        <v>621</v>
      </c>
      <c r="B1034" s="0" t="s">
        <v>49</v>
      </c>
      <c r="C1034" s="14" t="n">
        <f aca="false">C1033/C1027</f>
        <v>0.59451346008347</v>
      </c>
      <c r="D1034" s="14" t="n">
        <f aca="false">D1033/D1027</f>
        <v>0.583890166666667</v>
      </c>
      <c r="E1034" s="14" t="n">
        <f aca="false">E1033/E1027</f>
        <v>0.551407578056201</v>
      </c>
      <c r="F1034" s="14" t="n">
        <f aca="false">F1033/F1027</f>
        <v>0.472270349502343</v>
      </c>
      <c r="G1034" s="14" t="n">
        <f aca="false">G1033/G1027</f>
        <v>0.476974920723316</v>
      </c>
    </row>
    <row r="1035" customFormat="false" ht="17.15" hidden="false" customHeight="false" outlineLevel="0" collapsed="false">
      <c r="A1035" s="4" t="s">
        <v>770</v>
      </c>
      <c r="B1035" s="0" t="s">
        <v>49</v>
      </c>
      <c r="C1035" s="14" t="n">
        <f aca="false">C1008/C1027</f>
        <v>0.183047372660044</v>
      </c>
      <c r="D1035" s="14" t="n">
        <f aca="false">D1008/D1027</f>
        <v>0.15625</v>
      </c>
      <c r="E1035" s="14" t="n">
        <f aca="false">E1008/E1027</f>
        <v>0.26951726847472</v>
      </c>
      <c r="F1035" s="14" t="n">
        <f aca="false">F1008/F1027</f>
        <v>0.498695950854682</v>
      </c>
      <c r="G1035" s="14" t="n">
        <f aca="false">G1008/G1027</f>
        <v>0.501724799444283</v>
      </c>
    </row>
    <row r="1036" customFormat="false" ht="15" hidden="false" customHeight="false" outlineLevel="0" collapsed="false">
      <c r="A1036" s="4" t="s">
        <v>771</v>
      </c>
      <c r="B1036" s="0" t="s">
        <v>239</v>
      </c>
      <c r="C1036" s="22" t="n">
        <f aca="false">a26_opx</f>
        <v>1.9808</v>
      </c>
      <c r="D1036" s="22" t="n">
        <f aca="false">a27_opx</f>
        <v>2.55</v>
      </c>
      <c r="E1036" s="22" t="n">
        <f aca="false">D1036*(1+MAX(g_opx_min,phi*E1029))</f>
        <v>3.13702833333809</v>
      </c>
      <c r="F1036" s="22" t="n">
        <f aca="false">E1036*(1+MAX(g_opx_min,phi*F1029))</f>
        <v>3.95114048574389</v>
      </c>
      <c r="G1036" s="22" t="n">
        <f aca="false">F1036*(1+MAX(g_opx_min,phi*G1029))</f>
        <v>4.27158560397391</v>
      </c>
    </row>
    <row r="1037" customFormat="false" ht="15" hidden="false" customHeight="false" outlineLevel="0" collapsed="false">
      <c r="A1037" s="4" t="s">
        <v>772</v>
      </c>
      <c r="B1037" s="0" t="s">
        <v>239</v>
      </c>
      <c r="C1037" s="22" t="n">
        <f aca="false">C1036</f>
        <v>1.9808</v>
      </c>
      <c r="D1037" s="22" t="n">
        <f aca="false">D1036</f>
        <v>2.55</v>
      </c>
      <c r="E1037" s="22" t="n">
        <f aca="false">E1036+0*E1027</f>
        <v>3.13702833333809</v>
      </c>
      <c r="F1037" s="22" t="n">
        <f aca="false">F1036+0*F1027</f>
        <v>3.95114048574389</v>
      </c>
      <c r="G1037" s="22" t="n">
        <f aca="false">G1036+0*G1027</f>
        <v>4.27158560397391</v>
      </c>
    </row>
    <row r="1038" customFormat="false" ht="15" hidden="false" customHeight="false" outlineLevel="0" collapsed="false">
      <c r="A1038" s="4" t="s">
        <v>773</v>
      </c>
      <c r="B1038" s="0" t="s">
        <v>239</v>
      </c>
      <c r="C1038" s="22" t="n">
        <f aca="false">C1033-C1037</f>
        <v>2.891</v>
      </c>
      <c r="D1038" s="22" t="n">
        <f aca="false">D1033-D1037</f>
        <v>4.456682</v>
      </c>
      <c r="E1038" s="22" t="n">
        <f aca="false">E1033-E1037</f>
        <v>6.52637433544289</v>
      </c>
      <c r="F1038" s="22" t="n">
        <f aca="false">F1033-F1037</f>
        <v>8.62118209948756</v>
      </c>
      <c r="G1038" s="22" t="n">
        <f aca="false">G1033-G1037</f>
        <v>10.4855712510059</v>
      </c>
    </row>
    <row r="1039" customFormat="false" ht="15" hidden="false" customHeight="false" outlineLevel="0" collapsed="false">
      <c r="A1039" s="4" t="s">
        <v>627</v>
      </c>
      <c r="B1039" s="0" t="s">
        <v>49</v>
      </c>
      <c r="C1039" s="14" t="n">
        <f aca="false">C1038/C1027</f>
        <v>0.352793302906792</v>
      </c>
      <c r="D1039" s="14" t="n">
        <f aca="false">D1038/D1027</f>
        <v>0.371390166666667</v>
      </c>
      <c r="E1039" s="14" t="n">
        <f aca="false">E1038/E1027</f>
        <v>0.372404254395898</v>
      </c>
      <c r="F1039" s="14" t="n">
        <f aca="false">F1038/F1027</f>
        <v>0.323848569398872</v>
      </c>
      <c r="G1039" s="14" t="n">
        <f aca="false">G1038/G1027</f>
        <v>0.338910439547135</v>
      </c>
    </row>
    <row r="1040" customFormat="false" ht="15" hidden="false" customHeight="false" outlineLevel="0" collapsed="false">
      <c r="A1040" s="4" t="s">
        <v>774</v>
      </c>
      <c r="B1040" s="0" t="s">
        <v>239</v>
      </c>
      <c r="C1040" s="22" t="n">
        <f aca="false">a26_oth</f>
        <v>0.1514</v>
      </c>
      <c r="D1040" s="22" t="n">
        <f aca="false">a27_oth</f>
        <v>0.1424</v>
      </c>
      <c r="E1040" s="22" t="n">
        <f aca="false">int_f</f>
        <v>0.15</v>
      </c>
      <c r="F1040" s="22" t="n">
        <f aca="false">int_f</f>
        <v>0.15</v>
      </c>
      <c r="G1040" s="22" t="n">
        <f aca="false">int_f</f>
        <v>0.15</v>
      </c>
    </row>
    <row r="1041" customFormat="false" ht="15" hidden="false" customHeight="false" outlineLevel="0" collapsed="false">
      <c r="A1041" s="4" t="s">
        <v>775</v>
      </c>
      <c r="B1041" s="0" t="s">
        <v>49</v>
      </c>
      <c r="C1041" s="14" t="n">
        <f aca="false">a26_tax/(a26_oi-a26_oth)</f>
        <v>0.1</v>
      </c>
      <c r="D1041" s="14" t="n">
        <f aca="false">a27_tax/(a27_oi-a27_oth)</f>
        <v>0.11</v>
      </c>
      <c r="E1041" s="14" t="n">
        <f aca="false">tx_f</f>
        <v>0.13</v>
      </c>
      <c r="F1041" s="14" t="n">
        <f aca="false">tx_f</f>
        <v>0.13</v>
      </c>
      <c r="G1041" s="14" t="n">
        <f aca="false">tx_f</f>
        <v>0.13</v>
      </c>
    </row>
    <row r="1042" customFormat="false" ht="17.15" hidden="false" customHeight="false" outlineLevel="0" collapsed="false">
      <c r="A1042" s="4" t="s">
        <v>708</v>
      </c>
      <c r="B1042" s="0" t="s">
        <v>239</v>
      </c>
      <c r="C1042" s="22" t="n">
        <f aca="false">a26_ni</f>
        <v>2.46564</v>
      </c>
      <c r="D1042" s="22" t="n">
        <f aca="false">a27_ni</f>
        <v>3.83971098</v>
      </c>
      <c r="E1042" s="22" t="n">
        <f aca="false">(E1038-E1040)*(1-E1041)</f>
        <v>5.54744567183532</v>
      </c>
      <c r="F1042" s="22" t="n">
        <f aca="false">(F1038-F1040)*(1-F1041)</f>
        <v>7.36992842655417</v>
      </c>
      <c r="G1042" s="22" t="n">
        <f aca="false">(G1038-G1040)*(1-G1041)</f>
        <v>8.99194698837516</v>
      </c>
    </row>
    <row r="1043" customFormat="false" ht="15" hidden="false" customHeight="false" outlineLevel="0" collapsed="false">
      <c r="A1043" s="4" t="s">
        <v>776</v>
      </c>
      <c r="B1043" s="4" t="s">
        <v>370</v>
      </c>
      <c r="C1043" s="16" t="n">
        <f aca="false">a26_sh</f>
        <v>0.8697</v>
      </c>
      <c r="D1043" s="16" t="n">
        <f aca="false">a27_sh</f>
        <v>0.915125</v>
      </c>
      <c r="E1043" s="16" t="n">
        <f aca="false">D1043*(1+sh_g)</f>
        <v>0.919700625</v>
      </c>
      <c r="F1043" s="16" t="n">
        <f aca="false">E1043*(1+sh_g)</f>
        <v>0.924299128125</v>
      </c>
      <c r="G1043" s="16" t="n">
        <f aca="false">F1043*(1+sh_g)</f>
        <v>0.928920623765625</v>
      </c>
    </row>
    <row r="1044" customFormat="false" ht="17.15" hidden="false" customHeight="false" outlineLevel="0" collapsed="false">
      <c r="A1044" s="0" t="s">
        <v>709</v>
      </c>
      <c r="B1044" s="0" t="s">
        <v>253</v>
      </c>
      <c r="C1044" s="22" t="n">
        <f aca="false">C1042/C1043</f>
        <v>2.83504656778199</v>
      </c>
      <c r="D1044" s="22" t="n">
        <f aca="false">D1042/D1043</f>
        <v>4.19583224149706</v>
      </c>
      <c r="E1044" s="22" t="n">
        <f aca="false">E1042/E1043</f>
        <v>6.03179504399632</v>
      </c>
      <c r="F1044" s="22" t="n">
        <f aca="false">F1042/F1043</f>
        <v>7.97353173047404</v>
      </c>
      <c r="G1044" s="22" t="n">
        <f aca="false">G1042/G1043</f>
        <v>9.67999499453886</v>
      </c>
    </row>
    <row r="1045" customFormat="false" ht="17.15" hidden="false" customHeight="false" outlineLevel="0" collapsed="false">
      <c r="A1045" s="0" t="s">
        <v>777</v>
      </c>
      <c r="B1045" s="0" t="s">
        <v>49</v>
      </c>
      <c r="D1045" s="14" t="n">
        <f aca="false">D1044/C1044-1</f>
        <v>0.479987062357033</v>
      </c>
      <c r="E1045" s="14" t="n">
        <f aca="false">E1044/D1044-1</f>
        <v>0.43756820979196</v>
      </c>
      <c r="F1045" s="14" t="n">
        <f aca="false">F1044/E1044-1</f>
        <v>0.321916887479525</v>
      </c>
      <c r="G1045" s="14" t="n">
        <f aca="false">G1044/F1044-1</f>
        <v>0.214015987111821</v>
      </c>
    </row>
    <row r="1048" customFormat="false" ht="17.15" hidden="false" customHeight="false" outlineLevel="0" collapsed="false">
      <c r="A1048" s="3" t="s">
        <v>1184</v>
      </c>
    </row>
    <row r="1049" customFormat="false" ht="17.15" hidden="false" customHeight="false" outlineLevel="0" collapsed="false">
      <c r="A1049" s="5" t="s">
        <v>25</v>
      </c>
      <c r="B1049" s="5" t="s">
        <v>26</v>
      </c>
      <c r="C1049" s="11" t="s">
        <v>698</v>
      </c>
      <c r="D1049" s="11" t="s">
        <v>699</v>
      </c>
      <c r="E1049" s="11" t="s">
        <v>700</v>
      </c>
      <c r="F1049" s="11" t="s">
        <v>701</v>
      </c>
      <c r="G1049" s="11" t="s">
        <v>702</v>
      </c>
      <c r="H1049" s="5" t="s">
        <v>555</v>
      </c>
    </row>
    <row r="1050" customFormat="false" ht="17.15" hidden="false" customHeight="false" outlineLevel="0" collapsed="false">
      <c r="A1050" s="1" t="s">
        <v>717</v>
      </c>
    </row>
    <row r="1051" customFormat="false" ht="17.15" hidden="false" customHeight="false" outlineLevel="0" collapsed="false">
      <c r="A1051" s="0" t="s">
        <v>718</v>
      </c>
      <c r="B1051" s="4" t="s">
        <v>36</v>
      </c>
      <c r="D1051" s="22" t="n">
        <f aca="false">u_trn_26</f>
        <v>2</v>
      </c>
      <c r="E1051" s="22" t="n">
        <f aca="false">u_trn_27</f>
        <v>2.5</v>
      </c>
      <c r="F1051" s="22" t="n">
        <f aca="false">u_trn_28*um28_A</f>
        <v>3</v>
      </c>
      <c r="G1051" s="22" t="n">
        <f aca="false">u_trn_28*(1+g29_trn)*um29_A</f>
        <v>3.45</v>
      </c>
    </row>
    <row r="1052" customFormat="false" ht="17.15" hidden="false" customHeight="false" outlineLevel="0" collapsed="false">
      <c r="A1052" s="4" t="s">
        <v>719</v>
      </c>
      <c r="B1052" s="4" t="s">
        <v>36</v>
      </c>
      <c r="D1052" s="22" t="n">
        <f aca="false">u_oth_26</f>
        <v>1</v>
      </c>
      <c r="E1052" s="22" t="n">
        <f aca="false">u_oth_27</f>
        <v>4.5</v>
      </c>
      <c r="F1052" s="22" t="n">
        <f aca="false">u_oth_28*um28_A</f>
        <v>5</v>
      </c>
      <c r="G1052" s="22" t="n">
        <f aca="false">u_oth_28*(1+g29_oth)*um29_A</f>
        <v>5.75</v>
      </c>
    </row>
    <row r="1053" customFormat="false" ht="17.15" hidden="false" customHeight="false" outlineLevel="0" collapsed="false">
      <c r="A1053" s="0" t="s">
        <v>720</v>
      </c>
      <c r="B1053" s="4" t="s">
        <v>36</v>
      </c>
      <c r="D1053" s="22" t="n">
        <f aca="false">u_tpu_26</f>
        <v>3.85</v>
      </c>
      <c r="E1053" s="22" t="n">
        <f aca="false">u_tpu_27</f>
        <v>5.5</v>
      </c>
      <c r="F1053" s="22" t="n">
        <f aca="false">u_tpu_28*um28_A</f>
        <v>7</v>
      </c>
      <c r="G1053" s="22" t="n">
        <f aca="false">u_tpu_28*(1+g29_tpu)*um29_A</f>
        <v>8.05</v>
      </c>
    </row>
    <row r="1054" customFormat="false" ht="17.15" hidden="false" customHeight="false" outlineLevel="0" collapsed="false">
      <c r="A1054" s="0" t="s">
        <v>658</v>
      </c>
      <c r="B1054" s="0" t="s">
        <v>49</v>
      </c>
      <c r="D1054" s="14" t="n">
        <f aca="false">msh_trn_26</f>
        <v>0.1</v>
      </c>
      <c r="E1054" s="14" t="n">
        <f aca="false">MIN(1,MAX(0,msh_trn_27+0))</f>
        <v>0.1</v>
      </c>
      <c r="F1054" s="14" t="n">
        <f aca="false">MIN(1,MAX(0,msh_trn_28+0))</f>
        <v>0.08</v>
      </c>
      <c r="G1054" s="14" t="n">
        <f aca="false">MIN(1,MAX(0,msh_trn_28+0))</f>
        <v>0.08</v>
      </c>
    </row>
    <row r="1055" customFormat="false" ht="17.15" hidden="false" customHeight="false" outlineLevel="0" collapsed="false">
      <c r="A1055" s="0" t="s">
        <v>666</v>
      </c>
      <c r="B1055" s="0" t="s">
        <v>49</v>
      </c>
      <c r="D1055" s="14" t="n">
        <f aca="false">msh_oth_26</f>
        <v>0.05</v>
      </c>
      <c r="E1055" s="14" t="n">
        <f aca="false">MIN(1,MAX(0,msh_oth_27+0))</f>
        <v>0.06</v>
      </c>
      <c r="F1055" s="14" t="n">
        <f aca="false">MIN(1,MAX(0,msh_oth_28+0))</f>
        <v>0.15</v>
      </c>
      <c r="G1055" s="14" t="n">
        <f aca="false">MIN(1,MAX(0,msh_oth_28+0))</f>
        <v>0.15</v>
      </c>
    </row>
    <row r="1056" customFormat="false" ht="17.15" hidden="false" customHeight="false" outlineLevel="0" collapsed="false">
      <c r="A1056" s="0" t="s">
        <v>670</v>
      </c>
      <c r="B1056" s="0" t="s">
        <v>49</v>
      </c>
      <c r="D1056" s="14" t="n">
        <f aca="false">msh_tpu_26</f>
        <v>0</v>
      </c>
      <c r="E1056" s="14" t="n">
        <f aca="false">MIN(1,MAX(0,msh_tpu_27+0))</f>
        <v>0</v>
      </c>
      <c r="F1056" s="14" t="n">
        <f aca="false">MIN(1,MAX(0,msh_tpu_28+0))</f>
        <v>0.05</v>
      </c>
      <c r="G1056" s="14" t="n">
        <f aca="false">MIN(1,MAX(0,msh_tpu_28+0))</f>
        <v>0.05</v>
      </c>
    </row>
    <row r="1057" customFormat="false" ht="17.15" hidden="false" customHeight="false" outlineLevel="0" collapsed="false">
      <c r="A1057" s="0" t="s">
        <v>660</v>
      </c>
      <c r="B1057" s="4" t="s">
        <v>36</v>
      </c>
      <c r="D1057" s="16" t="n">
        <f aca="false">D1051*D1054</f>
        <v>0.2</v>
      </c>
      <c r="E1057" s="16" t="n">
        <f aca="false">E1051*E1054*1</f>
        <v>0.25</v>
      </c>
      <c r="F1057" s="16" t="n">
        <f aca="false">F1051*F1054*1</f>
        <v>0.24</v>
      </c>
      <c r="G1057" s="16" t="n">
        <f aca="false">G1051*G1054*1</f>
        <v>0.276</v>
      </c>
    </row>
    <row r="1058" customFormat="false" ht="17.15" hidden="false" customHeight="false" outlineLevel="0" collapsed="false">
      <c r="A1058" s="0" t="s">
        <v>667</v>
      </c>
      <c r="B1058" s="4" t="s">
        <v>36</v>
      </c>
      <c r="D1058" s="16" t="n">
        <f aca="false">D1052*D1055</f>
        <v>0.05</v>
      </c>
      <c r="E1058" s="16" t="n">
        <f aca="false">E1052*E1055*1</f>
        <v>0.27</v>
      </c>
      <c r="F1058" s="16" t="n">
        <f aca="false">F1052*F1055*1</f>
        <v>0.75</v>
      </c>
      <c r="G1058" s="16" t="n">
        <f aca="false">G1052*G1055*1</f>
        <v>0.8625</v>
      </c>
    </row>
    <row r="1059" customFormat="false" ht="17.15" hidden="false" customHeight="false" outlineLevel="0" collapsed="false">
      <c r="A1059" s="0" t="s">
        <v>671</v>
      </c>
      <c r="B1059" s="4" t="s">
        <v>36</v>
      </c>
      <c r="D1059" s="16" t="n">
        <f aca="false">D1053*D1056</f>
        <v>0</v>
      </c>
      <c r="E1059" s="16" t="n">
        <f aca="false">E1053*E1056*1</f>
        <v>0</v>
      </c>
      <c r="F1059" s="16" t="n">
        <f aca="false">F1053*F1056*1</f>
        <v>0.35</v>
      </c>
      <c r="G1059" s="16" t="n">
        <f aca="false">G1053*G1056*1</f>
        <v>0.4025</v>
      </c>
    </row>
    <row r="1060" customFormat="false" ht="17.15" hidden="false" customHeight="false" outlineLevel="0" collapsed="false">
      <c r="A1060" s="4" t="s">
        <v>721</v>
      </c>
      <c r="B1060" s="0" t="s">
        <v>100</v>
      </c>
      <c r="D1060" s="23" t="n">
        <f aca="false">gb_trn_26</f>
        <v>110</v>
      </c>
      <c r="E1060" s="23" t="n">
        <f aca="false">gb_trn_27</f>
        <v>144</v>
      </c>
      <c r="F1060" s="23" t="n">
        <f aca="false">gb_trn_28</f>
        <v>200</v>
      </c>
      <c r="G1060" s="23" t="n">
        <f aca="false">gb_trn_28</f>
        <v>200</v>
      </c>
    </row>
    <row r="1061" customFormat="false" ht="17.15" hidden="false" customHeight="false" outlineLevel="0" collapsed="false">
      <c r="A1061" s="4" t="s">
        <v>722</v>
      </c>
      <c r="B1061" s="0" t="s">
        <v>100</v>
      </c>
      <c r="D1061" s="23" t="n">
        <f aca="false">gb_oth_26</f>
        <v>150</v>
      </c>
      <c r="E1061" s="23" t="n">
        <f aca="false">gb_oth_27</f>
        <v>200</v>
      </c>
      <c r="F1061" s="23" t="n">
        <f aca="false">gb_oth_28</f>
        <v>250</v>
      </c>
      <c r="G1061" s="23" t="n">
        <f aca="false">gb_oth_28</f>
        <v>250</v>
      </c>
    </row>
    <row r="1062" customFormat="false" ht="17.15" hidden="false" customHeight="false" outlineLevel="0" collapsed="false">
      <c r="A1062" s="4" t="s">
        <v>723</v>
      </c>
      <c r="B1062" s="0" t="s">
        <v>100</v>
      </c>
      <c r="D1062" s="23" t="n">
        <f aca="false">gb_tpu_26</f>
        <v>192</v>
      </c>
      <c r="E1062" s="23" t="n">
        <f aca="false">gb_tpu_27</f>
        <v>250</v>
      </c>
      <c r="F1062" s="23" t="n">
        <f aca="false">gb_tpu_28</f>
        <v>288</v>
      </c>
      <c r="G1062" s="23" t="n">
        <f aca="false">gb_tpu_28</f>
        <v>288</v>
      </c>
    </row>
    <row r="1063" customFormat="false" ht="17.15" hidden="false" customHeight="false" outlineLevel="0" collapsed="false">
      <c r="A1063" s="0" t="s">
        <v>724</v>
      </c>
      <c r="B1063" s="0" t="s">
        <v>200</v>
      </c>
      <c r="D1063" s="22" t="n">
        <f aca="false">hbm_A_26</f>
        <v>14.6</v>
      </c>
      <c r="E1063" s="22" t="n">
        <f aca="false">hbm_A_27</f>
        <v>26.28</v>
      </c>
      <c r="F1063" s="22" t="n">
        <f aca="false">hbm_A_28</f>
        <v>28.908</v>
      </c>
      <c r="G1063" s="22" t="n">
        <f aca="false">hbm_A_29</f>
        <v>27.4626</v>
      </c>
    </row>
    <row r="1064" customFormat="false" ht="17.15" hidden="false" customHeight="false" outlineLevel="0" collapsed="false">
      <c r="A1064" s="4" t="s">
        <v>725</v>
      </c>
      <c r="B1064" s="0" t="s">
        <v>122</v>
      </c>
      <c r="D1064" s="22" t="n">
        <f aca="false">core_trn</f>
        <v>6.394</v>
      </c>
      <c r="E1064" s="22" t="n">
        <f aca="false">core_trn*1</f>
        <v>6.394</v>
      </c>
      <c r="F1064" s="22" t="n">
        <f aca="false">core_trn*1</f>
        <v>6.394</v>
      </c>
      <c r="G1064" s="22" t="n">
        <f aca="false">core_trn*1</f>
        <v>6.394</v>
      </c>
    </row>
    <row r="1065" customFormat="false" ht="17.15" hidden="false" customHeight="false" outlineLevel="0" collapsed="false">
      <c r="A1065" s="4" t="s">
        <v>726</v>
      </c>
      <c r="B1065" s="0" t="s">
        <v>122</v>
      </c>
      <c r="D1065" s="22" t="n">
        <f aca="false">core_oth</f>
        <v>6</v>
      </c>
      <c r="E1065" s="22" t="n">
        <f aca="false">core_oth*1</f>
        <v>6</v>
      </c>
      <c r="F1065" s="22" t="n">
        <f aca="false">core_oth*1</f>
        <v>6</v>
      </c>
      <c r="G1065" s="22" t="n">
        <f aca="false">core_oth*1</f>
        <v>6</v>
      </c>
    </row>
    <row r="1066" customFormat="false" ht="17.15" hidden="false" customHeight="false" outlineLevel="0" collapsed="false">
      <c r="A1066" s="4" t="s">
        <v>727</v>
      </c>
      <c r="B1066" s="0" t="s">
        <v>122</v>
      </c>
      <c r="D1066" s="22" t="n">
        <f aca="false">core_tpu</f>
        <v>8</v>
      </c>
      <c r="E1066" s="22" t="n">
        <f aca="false">core_tpu*1</f>
        <v>8</v>
      </c>
      <c r="F1066" s="22" t="n">
        <f aca="false">core_tpu*1</f>
        <v>8</v>
      </c>
      <c r="G1066" s="22" t="n">
        <f aca="false">core_tpu*1</f>
        <v>8</v>
      </c>
    </row>
    <row r="1067" customFormat="false" ht="17.15" hidden="false" customHeight="false" outlineLevel="0" collapsed="false">
      <c r="A1067" s="4" t="s">
        <v>728</v>
      </c>
      <c r="B1067" s="0" t="s">
        <v>122</v>
      </c>
      <c r="D1067" s="22" t="n">
        <f aca="false">D1060*D1063/1000</f>
        <v>1.606</v>
      </c>
      <c r="E1067" s="22" t="n">
        <f aca="false">E1060*E1063/1000</f>
        <v>3.78432</v>
      </c>
      <c r="F1067" s="22" t="n">
        <f aca="false">F1060*F1063/1000</f>
        <v>5.7816</v>
      </c>
      <c r="G1067" s="22" t="n">
        <f aca="false">G1060*G1063/1000</f>
        <v>5.49252</v>
      </c>
    </row>
    <row r="1068" customFormat="false" ht="17.15" hidden="false" customHeight="false" outlineLevel="0" collapsed="false">
      <c r="A1068" s="4" t="s">
        <v>729</v>
      </c>
      <c r="B1068" s="0" t="s">
        <v>122</v>
      </c>
      <c r="D1068" s="22" t="n">
        <f aca="false">D1061*D1063/1000</f>
        <v>2.19</v>
      </c>
      <c r="E1068" s="22" t="n">
        <f aca="false">E1061*E1063/1000</f>
        <v>5.256</v>
      </c>
      <c r="F1068" s="22" t="n">
        <f aca="false">F1061*F1063/1000</f>
        <v>7.227</v>
      </c>
      <c r="G1068" s="22" t="n">
        <f aca="false">G1061*G1063/1000</f>
        <v>6.86565</v>
      </c>
    </row>
    <row r="1069" customFormat="false" ht="17.15" hidden="false" customHeight="false" outlineLevel="0" collapsed="false">
      <c r="A1069" s="4" t="s">
        <v>730</v>
      </c>
      <c r="B1069" s="0" t="s">
        <v>122</v>
      </c>
      <c r="D1069" s="22" t="n">
        <f aca="false">D1062*D1063/1000</f>
        <v>2.8032</v>
      </c>
      <c r="E1069" s="22" t="n">
        <f aca="false">E1062*E1063/1000</f>
        <v>6.57</v>
      </c>
      <c r="F1069" s="22" t="n">
        <f aca="false">F1062*F1063/1000</f>
        <v>8.325504</v>
      </c>
      <c r="G1069" s="22" t="n">
        <f aca="false">G1062*G1063/1000</f>
        <v>7.9092288</v>
      </c>
    </row>
    <row r="1070" customFormat="false" ht="17.15" hidden="false" customHeight="false" outlineLevel="0" collapsed="false">
      <c r="A1070" s="4" t="s">
        <v>731</v>
      </c>
      <c r="B1070" s="0" t="s">
        <v>122</v>
      </c>
      <c r="D1070" s="22" t="n">
        <f aca="false">D1064+f_hbm*D1067</f>
        <v>7.3576</v>
      </c>
      <c r="E1070" s="22" t="n">
        <f aca="false">E1064+f_hbm*E1067</f>
        <v>8.664592</v>
      </c>
      <c r="F1070" s="22" t="n">
        <f aca="false">F1064+f_hbm*F1067</f>
        <v>9.86296</v>
      </c>
      <c r="G1070" s="22" t="n">
        <f aca="false">G1064+f_hbm*G1067</f>
        <v>9.689512</v>
      </c>
      <c r="H1070" s="4" t="s">
        <v>732</v>
      </c>
    </row>
    <row r="1071" customFormat="false" ht="17.15" hidden="false" customHeight="false" outlineLevel="0" collapsed="false">
      <c r="A1071" s="4" t="s">
        <v>733</v>
      </c>
      <c r="B1071" s="0" t="s">
        <v>122</v>
      </c>
      <c r="D1071" s="22" t="n">
        <f aca="false">D1065+f_hbm*D1068</f>
        <v>7.314</v>
      </c>
      <c r="E1071" s="22" t="n">
        <f aca="false">E1065+f_hbm*E1068</f>
        <v>9.1536</v>
      </c>
      <c r="F1071" s="22" t="n">
        <f aca="false">F1065+f_hbm*F1068</f>
        <v>10.3362</v>
      </c>
      <c r="G1071" s="22" t="n">
        <f aca="false">G1065+f_hbm*G1068</f>
        <v>10.11939</v>
      </c>
    </row>
    <row r="1072" customFormat="false" ht="17.15" hidden="false" customHeight="false" outlineLevel="0" collapsed="false">
      <c r="A1072" s="4" t="s">
        <v>734</v>
      </c>
      <c r="B1072" s="0" t="s">
        <v>122</v>
      </c>
      <c r="D1072" s="22" t="n">
        <f aca="false">D1066+f_hbm*D1069</f>
        <v>9.68192</v>
      </c>
      <c r="E1072" s="22" t="n">
        <f aca="false">E1066+f_hbm*E1069</f>
        <v>11.942</v>
      </c>
      <c r="F1072" s="22" t="n">
        <f aca="false">F1066+f_hbm*F1069</f>
        <v>12.9953024</v>
      </c>
      <c r="G1072" s="22" t="n">
        <f aca="false">G1066+f_hbm*G1069</f>
        <v>12.74553728</v>
      </c>
    </row>
    <row r="1073" customFormat="false" ht="17.15" hidden="false" customHeight="false" outlineLevel="0" collapsed="false">
      <c r="A1073" s="0" t="s">
        <v>735</v>
      </c>
      <c r="B1073" s="0" t="s">
        <v>239</v>
      </c>
      <c r="D1073" s="22" t="n">
        <f aca="false">D1057*D1070+D1058*D1071+D1059*D1072</f>
        <v>1.83722</v>
      </c>
      <c r="E1073" s="22" t="n">
        <f aca="false">E1057*E1070+E1058*E1071+E1059*E1072</f>
        <v>4.63762</v>
      </c>
      <c r="F1073" s="22" t="n">
        <f aca="false">F1057*F1070+F1058*F1071+F1059*F1072</f>
        <v>14.66761624</v>
      </c>
      <c r="G1073" s="22" t="n">
        <f aca="false">G1057*G1070+G1058*G1071+G1059*G1072</f>
        <v>16.5323579422</v>
      </c>
    </row>
    <row r="1074" customFormat="false" ht="17.15" hidden="false" customHeight="false" outlineLevel="0" collapsed="false">
      <c r="A1074" s="0" t="s">
        <v>736</v>
      </c>
      <c r="B1074" s="0" t="s">
        <v>80</v>
      </c>
      <c r="D1074" s="16" t="n">
        <f aca="false">a27_xpu/D1073</f>
        <v>0.802843426481314</v>
      </c>
      <c r="H1074" s="7" t="s">
        <v>737</v>
      </c>
    </row>
    <row r="1075" customFormat="false" ht="17.15" hidden="false" customHeight="false" outlineLevel="0" collapsed="false">
      <c r="A1075" s="0" t="s">
        <v>738</v>
      </c>
      <c r="B1075" s="0" t="s">
        <v>239</v>
      </c>
      <c r="D1075" s="22" t="n">
        <f aca="false">D1073*$D$1074</f>
        <v>1.475</v>
      </c>
      <c r="E1075" s="22" t="n">
        <f aca="false">E1073*$D$1074</f>
        <v>3.72328273151827</v>
      </c>
      <c r="F1075" s="22" t="n">
        <f aca="false">F1073*$D$1074</f>
        <v>11.7757992804346</v>
      </c>
      <c r="G1075" s="22" t="n">
        <f aca="false">G1073*$D$1074</f>
        <v>13.2728948981314</v>
      </c>
    </row>
    <row r="1076" customFormat="false" ht="17.15" hidden="false" customHeight="false" outlineLevel="0" collapsed="false">
      <c r="A1076" s="4" t="s">
        <v>739</v>
      </c>
      <c r="B1076" s="0" t="s">
        <v>239</v>
      </c>
      <c r="D1076" s="22" t="n">
        <f aca="false">$D$1074*f_hbm*(D1057*D1067+D1058*D1068+D1059*D1069)</f>
        <v>0.207470798271301</v>
      </c>
      <c r="E1076" s="22" t="n">
        <f aca="false">$D$1074*f_hbm*(E1057*E1067+E1058*E1068+E1059*E1069)</f>
        <v>1.13933116338816</v>
      </c>
      <c r="F1076" s="22" t="n">
        <f aca="false">$D$1074*f_hbm*(F1057*F1067+F1058*F1068+F1059*F1069)</f>
        <v>4.68303085857981</v>
      </c>
      <c r="G1076" s="22" t="n">
        <f aca="false">$D$1074*f_hbm*(G1057*G1067+G1058*G1068+G1059*G1069)</f>
        <v>5.11621121299844</v>
      </c>
    </row>
    <row r="1077" customFormat="false" ht="15" hidden="false" customHeight="false" outlineLevel="0" collapsed="false">
      <c r="A1077" s="4" t="s">
        <v>740</v>
      </c>
      <c r="B1077" s="0" t="s">
        <v>239</v>
      </c>
      <c r="D1077" s="22" t="n">
        <f aca="false">D1075-D1076</f>
        <v>1.2675292017287</v>
      </c>
      <c r="E1077" s="22" t="n">
        <f aca="false">E1075-E1076</f>
        <v>2.58395156813011</v>
      </c>
      <c r="F1077" s="22" t="n">
        <f aca="false">F1075-F1076</f>
        <v>7.09276842185476</v>
      </c>
      <c r="G1077" s="22" t="n">
        <f aca="false">G1075-G1076</f>
        <v>8.15668368513297</v>
      </c>
    </row>
    <row r="1078" customFormat="false" ht="17.15" hidden="false" customHeight="false" outlineLevel="0" collapsed="false">
      <c r="A1078" s="0" t="s">
        <v>741</v>
      </c>
      <c r="B1078" s="4" t="s">
        <v>36</v>
      </c>
      <c r="D1078" s="16" t="n">
        <f aca="false">D1057+D1058+D1059</f>
        <v>0.25</v>
      </c>
      <c r="E1078" s="16" t="n">
        <f aca="false">E1057+E1058+E1059</f>
        <v>0.52</v>
      </c>
      <c r="F1078" s="16" t="n">
        <f aca="false">F1057+F1058+F1059</f>
        <v>1.34</v>
      </c>
      <c r="G1078" s="16" t="n">
        <f aca="false">G1057+G1058+G1059</f>
        <v>1.541</v>
      </c>
    </row>
    <row r="1079" customFormat="false" ht="17.15" hidden="false" customHeight="false" outlineLevel="0" collapsed="false">
      <c r="A1079" s="0" t="s">
        <v>742</v>
      </c>
      <c r="B1079" s="0" t="s">
        <v>239</v>
      </c>
      <c r="C1079" s="22" t="n">
        <f aca="false">a26_att</f>
        <v>0.2</v>
      </c>
      <c r="D1079" s="22" t="n">
        <f aca="false">a27_att</f>
        <v>0.4</v>
      </c>
      <c r="E1079" s="22" t="n">
        <f aca="false">att28</f>
        <v>1</v>
      </c>
      <c r="F1079" s="22" t="n">
        <f aca="false">att28*(1+g_att)*um28_A</f>
        <v>1.5</v>
      </c>
      <c r="G1079" s="22" t="n">
        <f aca="false">att28*(1+g_att)^2*um29_A</f>
        <v>2.25</v>
      </c>
      <c r="H1079" s="7" t="s">
        <v>743</v>
      </c>
    </row>
    <row r="1080" customFormat="false" ht="17.15" hidden="false" customHeight="false" outlineLevel="0" collapsed="false">
      <c r="A1080" s="4" t="s">
        <v>744</v>
      </c>
      <c r="B1080" s="0" t="s">
        <v>239</v>
      </c>
      <c r="C1080" s="22" t="n">
        <f aca="false">a26_cus</f>
        <v>1.5</v>
      </c>
      <c r="D1080" s="22" t="n">
        <f aca="false">D1075+D1079</f>
        <v>1.875</v>
      </c>
      <c r="E1080" s="22" t="n">
        <f aca="false">E1075+E1079</f>
        <v>4.72328273151827</v>
      </c>
      <c r="F1080" s="22" t="n">
        <f aca="false">F1075+F1079</f>
        <v>13.2757992804346</v>
      </c>
      <c r="G1080" s="22" t="n">
        <f aca="false">G1075+G1079</f>
        <v>15.5228948981314</v>
      </c>
    </row>
    <row r="1081" customFormat="false" ht="17.15" hidden="false" customHeight="false" outlineLevel="0" collapsed="false">
      <c r="A1081" s="1" t="s">
        <v>745</v>
      </c>
    </row>
    <row r="1082" customFormat="false" ht="17.15" hidden="false" customHeight="false" outlineLevel="0" collapsed="false">
      <c r="A1082" s="0" t="s">
        <v>746</v>
      </c>
      <c r="B1082" s="0" t="s">
        <v>239</v>
      </c>
      <c r="D1082" s="22" t="n">
        <f aca="false">plug_26*1</f>
        <v>29.753262</v>
      </c>
      <c r="E1082" s="22" t="n">
        <f aca="false">plug_27*1</f>
        <v>53.560715</v>
      </c>
      <c r="F1082" s="22" t="n">
        <f aca="false">plug_28*um28_A</f>
        <v>57.9915</v>
      </c>
      <c r="G1082" s="22" t="n">
        <f aca="false">plug_29*um29_A</f>
        <v>72.9348</v>
      </c>
    </row>
    <row r="1083" customFormat="false" ht="17.15" hidden="false" customHeight="false" outlineLevel="0" collapsed="false">
      <c r="A1083" s="4" t="s">
        <v>747</v>
      </c>
      <c r="B1083" s="4" t="s">
        <v>680</v>
      </c>
      <c r="D1083" s="19" t="n">
        <f aca="false">D1082*1000/asp_26</f>
        <v>45.7742492307692</v>
      </c>
      <c r="E1083" s="19" t="n">
        <f aca="false">E1082*1000/asp_27</f>
        <v>66.95089375</v>
      </c>
      <c r="F1083" s="19" t="n">
        <f aca="false">F1082*1000/asp_28</f>
        <v>68.2252941176471</v>
      </c>
      <c r="G1083" s="19" t="n">
        <f aca="false">G1082*1000/asp_29</f>
        <v>85.8056470588235</v>
      </c>
    </row>
    <row r="1084" customFormat="false" ht="17.15" hidden="false" customHeight="false" outlineLevel="0" collapsed="false">
      <c r="A1084" s="4" t="s">
        <v>748</v>
      </c>
      <c r="B1084" s="0" t="s">
        <v>49</v>
      </c>
      <c r="D1084" s="14" t="n">
        <f aca="false">MIN(1,lpo_26)</f>
        <v>0.03</v>
      </c>
      <c r="E1084" s="14" t="n">
        <f aca="false">MIN(1,lpo_27+0)</f>
        <v>0.06</v>
      </c>
      <c r="F1084" s="14" t="n">
        <f aca="false">MIN(1,lpo_28+0)</f>
        <v>0.1</v>
      </c>
      <c r="G1084" s="14" t="n">
        <f aca="false">MIN(1,lpo_29+0)</f>
        <v>0.15</v>
      </c>
    </row>
    <row r="1085" customFormat="false" ht="15" hidden="false" customHeight="false" outlineLevel="0" collapsed="false">
      <c r="A1085" s="4" t="s">
        <v>749</v>
      </c>
      <c r="B1085" s="0" t="s">
        <v>253</v>
      </c>
      <c r="D1085" s="23" t="n">
        <f aca="false">dsp_26</f>
        <v>125</v>
      </c>
      <c r="E1085" s="23" t="n">
        <f aca="false">dsp_27*1</f>
        <v>135</v>
      </c>
      <c r="F1085" s="23" t="n">
        <f aca="false">dsp_28*1</f>
        <v>135</v>
      </c>
      <c r="G1085" s="23" t="n">
        <f aca="false">dsp_29*1</f>
        <v>130</v>
      </c>
    </row>
    <row r="1086" customFormat="false" ht="17.15" hidden="false" customHeight="false" outlineLevel="0" collapsed="false">
      <c r="A1086" s="4" t="s">
        <v>750</v>
      </c>
      <c r="B1086" s="0" t="s">
        <v>239</v>
      </c>
      <c r="D1086" s="22" t="n">
        <f aca="false">D1083*(1-D1084)*D1085/1000</f>
        <v>5.55012771923077</v>
      </c>
      <c r="E1086" s="22" t="n">
        <f aca="false">E1083*(1-E1084)*E1085/1000</f>
        <v>8.496068416875</v>
      </c>
      <c r="F1086" s="22" t="n">
        <f aca="false">F1083*(1-F1084)*F1085/1000</f>
        <v>8.28937323529412</v>
      </c>
      <c r="G1086" s="22" t="n">
        <f aca="false">G1083*(1-G1084)*G1085/1000</f>
        <v>9.481524</v>
      </c>
    </row>
    <row r="1087" customFormat="false" ht="17.15" hidden="false" customHeight="false" outlineLevel="0" collapsed="false">
      <c r="A1087" s="0" t="s">
        <v>751</v>
      </c>
      <c r="B1087" s="0" t="s">
        <v>49</v>
      </c>
      <c r="D1087" s="14" t="n">
        <f aca="false">msh_dsp_26</f>
        <v>0.65</v>
      </c>
      <c r="E1087" s="14" t="n">
        <f aca="false">msh_dsp_27+0</f>
        <v>0.63</v>
      </c>
      <c r="F1087" s="14" t="n">
        <f aca="false">msh_dsp_28+0</f>
        <v>0.6</v>
      </c>
      <c r="G1087" s="14" t="n">
        <f aca="false">msh_dsp_29+0</f>
        <v>0.58</v>
      </c>
    </row>
    <row r="1088" customFormat="false" ht="17.15" hidden="false" customHeight="false" outlineLevel="0" collapsed="false">
      <c r="A1088" s="0" t="s">
        <v>682</v>
      </c>
      <c r="B1088" s="0" t="s">
        <v>239</v>
      </c>
      <c r="D1088" s="22" t="n">
        <f aca="false">D1086*D1087</f>
        <v>3.6075830175</v>
      </c>
      <c r="E1088" s="22" t="n">
        <f aca="false">E1086*E1087*of_hi</f>
        <v>6.4230277231575</v>
      </c>
      <c r="F1088" s="22" t="n">
        <f aca="false">F1086*F1087*of_hi</f>
        <v>5.96834872941176</v>
      </c>
      <c r="G1088" s="22" t="n">
        <f aca="false">G1086*G1087*of_hi</f>
        <v>6.599140704</v>
      </c>
    </row>
    <row r="1089" customFormat="false" ht="17.15" hidden="false" customHeight="false" outlineLevel="0" collapsed="false">
      <c r="A1089" s="4" t="s">
        <v>752</v>
      </c>
      <c r="B1089" s="0" t="s">
        <v>239</v>
      </c>
      <c r="D1089" s="22" t="n">
        <f aca="false">coh27</f>
        <v>0.9</v>
      </c>
      <c r="E1089" s="22" t="n">
        <f aca="false">D1089*(1+g_coh)</f>
        <v>1.035</v>
      </c>
      <c r="F1089" s="22" t="n">
        <f aca="false">E1089*(1+g_coh)</f>
        <v>1.19025</v>
      </c>
      <c r="G1089" s="22" t="n">
        <f aca="false">F1089*(1+g_coh)</f>
        <v>1.3687875</v>
      </c>
    </row>
    <row r="1090" customFormat="false" ht="17.15" hidden="false" customHeight="false" outlineLevel="0" collapsed="false">
      <c r="A1090" s="4" t="s">
        <v>753</v>
      </c>
      <c r="B1090" s="0" t="s">
        <v>80</v>
      </c>
      <c r="D1090" s="16" t="n">
        <f aca="false">(a27_ic-D1089)/D1088</f>
        <v>1.44223430888795</v>
      </c>
      <c r="H1090" s="7" t="s">
        <v>754</v>
      </c>
    </row>
    <row r="1091" customFormat="false" ht="15" hidden="false" customHeight="false" outlineLevel="0" collapsed="false">
      <c r="A1091" s="4" t="s">
        <v>755</v>
      </c>
      <c r="B1091" s="0" t="s">
        <v>239</v>
      </c>
      <c r="C1091" s="22" t="n">
        <f aca="false">a26_ic</f>
        <v>3.4503</v>
      </c>
      <c r="D1091" s="22" t="n">
        <f aca="false">D1088*$D$1090+D1089</f>
        <v>6.10298</v>
      </c>
      <c r="E1091" s="22" t="n">
        <f aca="false">E1088*$D$1090+E1089</f>
        <v>10.2985109492762</v>
      </c>
      <c r="F1091" s="22" t="n">
        <f aca="false">F1088*$D$1090+F1089</f>
        <v>9.79800730496542</v>
      </c>
      <c r="G1091" s="22" t="n">
        <f aca="false">G1088*$D$1090+G1089</f>
        <v>10.8862946324877</v>
      </c>
    </row>
    <row r="1092" customFormat="false" ht="17.15" hidden="false" customHeight="false" outlineLevel="0" collapsed="false">
      <c r="A1092" s="1" t="s">
        <v>756</v>
      </c>
    </row>
    <row r="1093" customFormat="false" ht="15" hidden="false" customHeight="false" outlineLevel="0" collapsed="false">
      <c r="A1093" s="4" t="s">
        <v>757</v>
      </c>
      <c r="B1093" s="0" t="s">
        <v>239</v>
      </c>
      <c r="C1093" s="22" t="n">
        <f aca="false">a26_sw</f>
        <v>0.3</v>
      </c>
      <c r="D1093" s="22" t="n">
        <f aca="false">a27_sw</f>
        <v>0.65</v>
      </c>
      <c r="E1093" s="22" t="n">
        <f aca="false">a27_sw*(1+g_sw28)</f>
        <v>1.17</v>
      </c>
      <c r="F1093" s="22" t="n">
        <f aca="false">a27_sw*(1+g_sw28)*(1+g_sw)*um28_A</f>
        <v>1.638</v>
      </c>
      <c r="G1093" s="22" t="n">
        <f aca="false">a27_sw*(1+g_sw28)*(1+g_sw)^2*um29_A</f>
        <v>2.2932</v>
      </c>
    </row>
    <row r="1094" customFormat="false" ht="17.15" hidden="false" customHeight="false" outlineLevel="0" collapsed="false">
      <c r="A1094" s="0" t="s">
        <v>758</v>
      </c>
      <c r="B1094" s="0" t="s">
        <v>239</v>
      </c>
      <c r="C1094" s="22" t="n">
        <f aca="false">a26_aec</f>
        <v>0.2</v>
      </c>
      <c r="D1094" s="22" t="n">
        <f aca="false">a27_aec</f>
        <v>0.45</v>
      </c>
      <c r="E1094" s="22" t="n">
        <f aca="false">a27_aec*(1+g_aec)</f>
        <v>0.675</v>
      </c>
      <c r="F1094" s="22" t="n">
        <f aca="false">a27_aec*(1+g_aec)^2*um28_A</f>
        <v>1.0125</v>
      </c>
      <c r="G1094" s="22" t="n">
        <f aca="false">a27_aec*(1+g_aec)^3*um29_A</f>
        <v>1.51875</v>
      </c>
    </row>
    <row r="1095" customFormat="false" ht="15" hidden="false" customHeight="false" outlineLevel="0" collapsed="false">
      <c r="A1095" s="4" t="s">
        <v>759</v>
      </c>
      <c r="B1095" s="0" t="s">
        <v>239</v>
      </c>
      <c r="C1095" s="22" t="n">
        <f aca="false">a26_sto</f>
        <v>0.65</v>
      </c>
      <c r="D1095" s="22" t="n">
        <f aca="false">a27_sto</f>
        <v>0.6825</v>
      </c>
      <c r="E1095" s="22" t="n">
        <f aca="false">D1095*(1+g_sto)</f>
        <v>0.716625</v>
      </c>
      <c r="F1095" s="22" t="n">
        <f aca="false">E1095*(1+g_sto)</f>
        <v>0.75245625</v>
      </c>
      <c r="G1095" s="22" t="n">
        <f aca="false">F1095*(1+g_sto)</f>
        <v>0.7900790625</v>
      </c>
    </row>
    <row r="1096" customFormat="false" ht="15" hidden="false" customHeight="false" outlineLevel="0" collapsed="false">
      <c r="A1096" s="4" t="s">
        <v>760</v>
      </c>
      <c r="B1096" s="0" t="s">
        <v>239</v>
      </c>
      <c r="C1096" s="22" t="n">
        <f aca="false">a26_dc</f>
        <v>6.1003</v>
      </c>
      <c r="D1096" s="22" t="n">
        <f aca="false">D1080+D1091+D1093+D1094+D1095</f>
        <v>9.76048</v>
      </c>
      <c r="E1096" s="22" t="n">
        <f aca="false">E1080+E1091+E1093+E1094+E1095</f>
        <v>17.5834186807944</v>
      </c>
      <c r="F1096" s="22" t="n">
        <f aca="false">F1080+F1091+F1093+F1094+F1095</f>
        <v>26.4767628354</v>
      </c>
      <c r="G1096" s="22" t="n">
        <f aca="false">G1080+G1091+G1093+G1094+G1095</f>
        <v>31.0112185931192</v>
      </c>
    </row>
    <row r="1097" customFormat="false" ht="15" hidden="false" customHeight="false" outlineLevel="0" collapsed="false">
      <c r="A1097" s="4" t="s">
        <v>761</v>
      </c>
      <c r="B1097" s="0" t="s">
        <v>239</v>
      </c>
      <c r="C1097" s="22" t="n">
        <f aca="false">a26_co</f>
        <v>2.0943</v>
      </c>
      <c r="D1097" s="22" t="n">
        <f aca="false">a27_co</f>
        <v>2.23952</v>
      </c>
      <c r="E1097" s="22" t="n">
        <f aca="false">D1097*(1+g_co28)</f>
        <v>2.3067056</v>
      </c>
      <c r="F1097" s="22" t="n">
        <f aca="false">E1097*(1+g_co)</f>
        <v>2.375906768</v>
      </c>
      <c r="G1097" s="22" t="n">
        <f aca="false">F1097*(1+g_co)</f>
        <v>2.44718397104</v>
      </c>
    </row>
    <row r="1098" customFormat="false" ht="17.15" hidden="false" customHeight="false" outlineLevel="0" collapsed="false">
      <c r="A1098" s="1" t="s">
        <v>762</v>
      </c>
    </row>
    <row r="1099" customFormat="false" ht="15" hidden="false" customHeight="false" outlineLevel="0" collapsed="false">
      <c r="A1099" s="4" t="s">
        <v>597</v>
      </c>
      <c r="B1099" s="0" t="s">
        <v>239</v>
      </c>
      <c r="C1099" s="22" t="n">
        <f aca="false">a26_rev</f>
        <v>8.1946</v>
      </c>
      <c r="D1099" s="22" t="n">
        <f aca="false">a27_rev</f>
        <v>12</v>
      </c>
      <c r="E1099" s="22" t="n">
        <f aca="false">E1096+E1097</f>
        <v>19.8901242807944</v>
      </c>
      <c r="F1099" s="22" t="n">
        <f aca="false">F1096+F1097</f>
        <v>28.8526696034</v>
      </c>
      <c r="G1099" s="22" t="n">
        <f aca="false">G1096+G1097</f>
        <v>33.4584025641592</v>
      </c>
    </row>
    <row r="1100" customFormat="false" ht="17.15" hidden="false" customHeight="false" outlineLevel="0" collapsed="false">
      <c r="A1100" s="4" t="s">
        <v>763</v>
      </c>
      <c r="B1100" s="0" t="s">
        <v>239</v>
      </c>
      <c r="D1100" s="22" t="n">
        <f aca="false">D1096+D1097</f>
        <v>12</v>
      </c>
      <c r="E1100" s="22" t="n">
        <f aca="false">E1096+E1097</f>
        <v>19.8901242807944</v>
      </c>
      <c r="F1100" s="22" t="n">
        <f aca="false">F1096+F1097</f>
        <v>28.8526696034</v>
      </c>
      <c r="G1100" s="22" t="n">
        <f aca="false">G1096+G1097</f>
        <v>33.4584025641592</v>
      </c>
    </row>
    <row r="1101" customFormat="false" ht="15" hidden="false" customHeight="false" outlineLevel="0" collapsed="false">
      <c r="A1101" s="4" t="s">
        <v>764</v>
      </c>
      <c r="B1101" s="0" t="s">
        <v>49</v>
      </c>
      <c r="D1101" s="14" t="n">
        <f aca="false">D1099/C1099-1</f>
        <v>0.464378981280355</v>
      </c>
      <c r="E1101" s="14" t="n">
        <f aca="false">E1099/D1099-1</f>
        <v>0.65751035673287</v>
      </c>
      <c r="F1101" s="14" t="n">
        <f aca="false">F1099/E1099-1</f>
        <v>0.450602781364198</v>
      </c>
      <c r="G1101" s="14" t="n">
        <f aca="false">G1099/F1099-1</f>
        <v>0.159629352294542</v>
      </c>
    </row>
    <row r="1102" customFormat="false" ht="17.15" hidden="false" customHeight="false" outlineLevel="0" collapsed="false">
      <c r="A1102" s="4" t="s">
        <v>765</v>
      </c>
      <c r="B1102" s="0" t="s">
        <v>49</v>
      </c>
      <c r="C1102" s="14" t="n">
        <f aca="false">C1096/C1099</f>
        <v>0.744429258292046</v>
      </c>
      <c r="D1102" s="14" t="n">
        <f aca="false">D1096/D1099</f>
        <v>0.813373333333333</v>
      </c>
      <c r="E1102" s="14" t="n">
        <f aca="false">E1096/E1099</f>
        <v>0.884027592415432</v>
      </c>
      <c r="F1102" s="14" t="n">
        <f aca="false">F1096/F1099</f>
        <v>0.917653832360801</v>
      </c>
      <c r="G1102" s="14" t="n">
        <f aca="false">G1096/G1099</f>
        <v>0.926858911857871</v>
      </c>
    </row>
    <row r="1103" customFormat="false" ht="17.15" hidden="false" customHeight="false" outlineLevel="0" collapsed="false">
      <c r="A1103" s="4" t="s">
        <v>766</v>
      </c>
      <c r="B1103" s="0" t="s">
        <v>239</v>
      </c>
      <c r="D1103" s="22" t="n">
        <f aca="false">gm_opt*D1091+gm_oth*(D1093+D1094+D1095)+gm_att*D1079+gm_co*D1097+m_hbm*D1076</f>
        <v>6.45404607982713</v>
      </c>
      <c r="E1103" s="22" t="n">
        <f aca="false">gm_opt*E1091+gm_oth*(E1093+E1094+E1095)+gm_att*E1079+gm_co*E1097+m_hbm*E1076</f>
        <v>10.0268592623828</v>
      </c>
      <c r="F1103" s="22" t="n">
        <f aca="false">gm_opt*F1091+gm_oth*(F1093+F1094+F1095)+gm_att*F1079+gm_co*F1097+m_hbm*F1076</f>
        <v>10.8858473634262</v>
      </c>
      <c r="G1103" s="22" t="n">
        <f aca="false">gm_opt*G1091+gm_oth*(G1093+G1094+G1095)+gm_att*G1079+gm_co*G1097+m_hbm*G1076</f>
        <v>12.7880708804703</v>
      </c>
    </row>
    <row r="1104" customFormat="false" ht="17.15" hidden="false" customHeight="false" outlineLevel="0" collapsed="false">
      <c r="A1104" s="0" t="s">
        <v>767</v>
      </c>
      <c r="B1104" s="0" t="s">
        <v>80</v>
      </c>
      <c r="D1104" s="16" t="n">
        <f aca="false">(a27_gp-D1103)/D1077</f>
        <v>0.435994625937743</v>
      </c>
      <c r="H1104" s="7" t="s">
        <v>768</v>
      </c>
    </row>
    <row r="1105" customFormat="false" ht="15" hidden="false" customHeight="false" outlineLevel="0" collapsed="false">
      <c r="A1105" s="4" t="s">
        <v>769</v>
      </c>
      <c r="B1105" s="0" t="s">
        <v>239</v>
      </c>
      <c r="C1105" s="22" t="n">
        <f aca="false">a26_gp</f>
        <v>4.8718</v>
      </c>
      <c r="D1105" s="22" t="n">
        <f aca="false">a27_gp</f>
        <v>7.006682</v>
      </c>
      <c r="E1105" s="22" t="n">
        <f aca="false">E1103+$D$1104*E1077</f>
        <v>11.1534482597709</v>
      </c>
      <c r="F1105" s="22" t="n">
        <f aca="false">F1103+$D$1104*F1077</f>
        <v>13.9782562783758</v>
      </c>
      <c r="G1105" s="22" t="n">
        <f aca="false">G1103+$D$1104*G1077</f>
        <v>16.3443411326624</v>
      </c>
    </row>
    <row r="1106" customFormat="false" ht="15" hidden="false" customHeight="false" outlineLevel="0" collapsed="false">
      <c r="A1106" s="4" t="s">
        <v>621</v>
      </c>
      <c r="B1106" s="0" t="s">
        <v>49</v>
      </c>
      <c r="C1106" s="14" t="n">
        <f aca="false">C1105/C1099</f>
        <v>0.59451346008347</v>
      </c>
      <c r="D1106" s="14" t="n">
        <f aca="false">D1105/D1099</f>
        <v>0.583890166666667</v>
      </c>
      <c r="E1106" s="14" t="n">
        <f aca="false">E1105/E1099</f>
        <v>0.560753070333528</v>
      </c>
      <c r="F1106" s="14" t="n">
        <f aca="false">F1105/F1099</f>
        <v>0.484470119074479</v>
      </c>
      <c r="G1106" s="14" t="n">
        <f aca="false">G1105/G1099</f>
        <v>0.48849735432888</v>
      </c>
    </row>
    <row r="1107" customFormat="false" ht="17.15" hidden="false" customHeight="false" outlineLevel="0" collapsed="false">
      <c r="A1107" s="4" t="s">
        <v>770</v>
      </c>
      <c r="B1107" s="0" t="s">
        <v>49</v>
      </c>
      <c r="C1107" s="14" t="n">
        <f aca="false">C1080/C1099</f>
        <v>0.183047372660044</v>
      </c>
      <c r="D1107" s="14" t="n">
        <f aca="false">D1080/D1099</f>
        <v>0.15625</v>
      </c>
      <c r="E1107" s="14" t="n">
        <f aca="false">E1080/E1099</f>
        <v>0.237468739000238</v>
      </c>
      <c r="F1107" s="14" t="n">
        <f aca="false">F1080/F1099</f>
        <v>0.460123775821082</v>
      </c>
      <c r="G1107" s="14" t="n">
        <f aca="false">G1080/G1099</f>
        <v>0.463946085542041</v>
      </c>
    </row>
    <row r="1108" customFormat="false" ht="15" hidden="false" customHeight="false" outlineLevel="0" collapsed="false">
      <c r="A1108" s="4" t="s">
        <v>771</v>
      </c>
      <c r="B1108" s="0" t="s">
        <v>239</v>
      </c>
      <c r="C1108" s="22" t="n">
        <f aca="false">a26_opx</f>
        <v>1.9808</v>
      </c>
      <c r="D1108" s="22" t="n">
        <f aca="false">a27_opx</f>
        <v>2.55</v>
      </c>
      <c r="E1108" s="22" t="n">
        <f aca="false">D1108*(1+MAX(g_opx_min,phi*E1101))</f>
        <v>3.38832570483441</v>
      </c>
      <c r="F1108" s="22" t="n">
        <f aca="false">E1108*(1+MAX(g_opx_min,phi*F1101))</f>
        <v>4.15172019821751</v>
      </c>
      <c r="G1108" s="22" t="n">
        <f aca="false">F1108*(1+MAX(g_opx_min,phi*G1101))</f>
        <v>4.48308840129232</v>
      </c>
    </row>
    <row r="1109" customFormat="false" ht="15" hidden="false" customHeight="false" outlineLevel="0" collapsed="false">
      <c r="A1109" s="4" t="s">
        <v>772</v>
      </c>
      <c r="B1109" s="0" t="s">
        <v>239</v>
      </c>
      <c r="C1109" s="22" t="n">
        <f aca="false">C1108</f>
        <v>1.9808</v>
      </c>
      <c r="D1109" s="22" t="n">
        <f aca="false">D1108</f>
        <v>2.55</v>
      </c>
      <c r="E1109" s="22" t="n">
        <f aca="false">E1108+0*E1099</f>
        <v>3.38832570483441</v>
      </c>
      <c r="F1109" s="22" t="n">
        <f aca="false">F1108+0*F1099</f>
        <v>4.15172019821751</v>
      </c>
      <c r="G1109" s="22" t="n">
        <f aca="false">G1108+0*G1099</f>
        <v>4.48308840129232</v>
      </c>
    </row>
    <row r="1110" customFormat="false" ht="15" hidden="false" customHeight="false" outlineLevel="0" collapsed="false">
      <c r="A1110" s="4" t="s">
        <v>773</v>
      </c>
      <c r="B1110" s="0" t="s">
        <v>239</v>
      </c>
      <c r="C1110" s="22" t="n">
        <f aca="false">C1105-C1109</f>
        <v>2.891</v>
      </c>
      <c r="D1110" s="22" t="n">
        <f aca="false">D1105-D1109</f>
        <v>4.456682</v>
      </c>
      <c r="E1110" s="22" t="n">
        <f aca="false">E1105-E1109</f>
        <v>7.76512255493653</v>
      </c>
      <c r="F1110" s="22" t="n">
        <f aca="false">F1105-F1109</f>
        <v>9.82653608015829</v>
      </c>
      <c r="G1110" s="22" t="n">
        <f aca="false">G1105-G1109</f>
        <v>11.86125273137</v>
      </c>
    </row>
    <row r="1111" customFormat="false" ht="15" hidden="false" customHeight="false" outlineLevel="0" collapsed="false">
      <c r="A1111" s="4" t="s">
        <v>627</v>
      </c>
      <c r="B1111" s="0" t="s">
        <v>49</v>
      </c>
      <c r="C1111" s="14" t="n">
        <f aca="false">C1110/C1099</f>
        <v>0.352793302906792</v>
      </c>
      <c r="D1111" s="14" t="n">
        <f aca="false">D1110/D1099</f>
        <v>0.371390166666667</v>
      </c>
      <c r="E1111" s="14" t="n">
        <f aca="false">E1110/E1099</f>
        <v>0.390400906767304</v>
      </c>
      <c r="F1111" s="14" t="n">
        <f aca="false">F1110/F1099</f>
        <v>0.340576321540809</v>
      </c>
      <c r="G1111" s="14" t="n">
        <f aca="false">G1110/G1099</f>
        <v>0.354507442745515</v>
      </c>
    </row>
    <row r="1112" customFormat="false" ht="15" hidden="false" customHeight="false" outlineLevel="0" collapsed="false">
      <c r="A1112" s="4" t="s">
        <v>774</v>
      </c>
      <c r="B1112" s="0" t="s">
        <v>239</v>
      </c>
      <c r="C1112" s="22" t="n">
        <f aca="false">a26_oth</f>
        <v>0.1514</v>
      </c>
      <c r="D1112" s="22" t="n">
        <f aca="false">a27_oth</f>
        <v>0.1424</v>
      </c>
      <c r="E1112" s="22" t="n">
        <f aca="false">int_f</f>
        <v>0.15</v>
      </c>
      <c r="F1112" s="22" t="n">
        <f aca="false">int_f</f>
        <v>0.15</v>
      </c>
      <c r="G1112" s="22" t="n">
        <f aca="false">int_f</f>
        <v>0.15</v>
      </c>
    </row>
    <row r="1113" customFormat="false" ht="15" hidden="false" customHeight="false" outlineLevel="0" collapsed="false">
      <c r="A1113" s="4" t="s">
        <v>775</v>
      </c>
      <c r="B1113" s="0" t="s">
        <v>49</v>
      </c>
      <c r="C1113" s="14" t="n">
        <f aca="false">a26_tax/(a26_oi-a26_oth)</f>
        <v>0.1</v>
      </c>
      <c r="D1113" s="14" t="n">
        <f aca="false">a27_tax/(a27_oi-a27_oth)</f>
        <v>0.11</v>
      </c>
      <c r="E1113" s="14" t="n">
        <f aca="false">tx_f</f>
        <v>0.13</v>
      </c>
      <c r="F1113" s="14" t="n">
        <f aca="false">tx_f</f>
        <v>0.13</v>
      </c>
      <c r="G1113" s="14" t="n">
        <f aca="false">tx_f</f>
        <v>0.13</v>
      </c>
    </row>
    <row r="1114" customFormat="false" ht="17.15" hidden="false" customHeight="false" outlineLevel="0" collapsed="false">
      <c r="A1114" s="4" t="s">
        <v>708</v>
      </c>
      <c r="B1114" s="0" t="s">
        <v>239</v>
      </c>
      <c r="C1114" s="22" t="n">
        <f aca="false">a26_ni</f>
        <v>2.46564</v>
      </c>
      <c r="D1114" s="22" t="n">
        <f aca="false">a27_ni</f>
        <v>3.83971098</v>
      </c>
      <c r="E1114" s="22" t="n">
        <f aca="false">(E1110-E1112)*(1-E1113)</f>
        <v>6.62515662279478</v>
      </c>
      <c r="F1114" s="22" t="n">
        <f aca="false">(F1110-F1112)*(1-F1113)</f>
        <v>8.41858638973771</v>
      </c>
      <c r="G1114" s="22" t="n">
        <f aca="false">(G1110-G1112)*(1-G1113)</f>
        <v>10.1887898762919</v>
      </c>
    </row>
    <row r="1115" customFormat="false" ht="15" hidden="false" customHeight="false" outlineLevel="0" collapsed="false">
      <c r="A1115" s="4" t="s">
        <v>776</v>
      </c>
      <c r="B1115" s="4" t="s">
        <v>370</v>
      </c>
      <c r="C1115" s="16" t="n">
        <f aca="false">a26_sh</f>
        <v>0.8697</v>
      </c>
      <c r="D1115" s="16" t="n">
        <f aca="false">a27_sh</f>
        <v>0.915125</v>
      </c>
      <c r="E1115" s="16" t="n">
        <f aca="false">D1115*(1+sh_g)</f>
        <v>0.919700625</v>
      </c>
      <c r="F1115" s="16" t="n">
        <f aca="false">E1115*(1+sh_g)</f>
        <v>0.924299128125</v>
      </c>
      <c r="G1115" s="16" t="n">
        <f aca="false">F1115*(1+sh_g)</f>
        <v>0.928920623765625</v>
      </c>
    </row>
    <row r="1116" customFormat="false" ht="17.15" hidden="false" customHeight="false" outlineLevel="0" collapsed="false">
      <c r="A1116" s="0" t="s">
        <v>709</v>
      </c>
      <c r="B1116" s="0" t="s">
        <v>253</v>
      </c>
      <c r="C1116" s="22" t="n">
        <f aca="false">C1114/C1115</f>
        <v>2.83504656778199</v>
      </c>
      <c r="D1116" s="22" t="n">
        <f aca="false">D1114/D1115</f>
        <v>4.19583224149706</v>
      </c>
      <c r="E1116" s="22" t="n">
        <f aca="false">E1114/E1115</f>
        <v>7.20360130536475</v>
      </c>
      <c r="F1116" s="22" t="n">
        <f aca="false">F1114/F1115</f>
        <v>9.10807565816421</v>
      </c>
      <c r="G1116" s="22" t="n">
        <f aca="false">G1114/G1115</f>
        <v>10.968418200243</v>
      </c>
    </row>
    <row r="1117" customFormat="false" ht="17.15" hidden="false" customHeight="false" outlineLevel="0" collapsed="false">
      <c r="A1117" s="0" t="s">
        <v>777</v>
      </c>
      <c r="B1117" s="0" t="s">
        <v>49</v>
      </c>
      <c r="D1117" s="14" t="n">
        <f aca="false">D1116/C1116-1</f>
        <v>0.479987062357033</v>
      </c>
      <c r="E1117" s="14" t="n">
        <f aca="false">E1116/D1116-1</f>
        <v>0.716846835324028</v>
      </c>
      <c r="F1117" s="14" t="n">
        <f aca="false">F1116/E1116-1</f>
        <v>0.26437808980088</v>
      </c>
      <c r="G1117" s="14" t="n">
        <f aca="false">G1116/F1116-1</f>
        <v>0.204251986028598</v>
      </c>
    </row>
    <row r="1120" customFormat="false" ht="17.15" hidden="false" customHeight="false" outlineLevel="0" collapsed="false">
      <c r="A1120" s="3" t="s">
        <v>1185</v>
      </c>
    </row>
    <row r="1121" customFormat="false" ht="17.15" hidden="false" customHeight="false" outlineLevel="0" collapsed="false">
      <c r="A1121" s="5" t="s">
        <v>25</v>
      </c>
      <c r="B1121" s="5" t="s">
        <v>26</v>
      </c>
      <c r="C1121" s="11" t="s">
        <v>698</v>
      </c>
      <c r="D1121" s="11" t="s">
        <v>699</v>
      </c>
      <c r="E1121" s="11" t="s">
        <v>700</v>
      </c>
      <c r="F1121" s="11" t="s">
        <v>701</v>
      </c>
      <c r="G1121" s="11" t="s">
        <v>702</v>
      </c>
      <c r="H1121" s="5" t="s">
        <v>555</v>
      </c>
    </row>
    <row r="1122" customFormat="false" ht="17.15" hidden="false" customHeight="false" outlineLevel="0" collapsed="false">
      <c r="A1122" s="1" t="s">
        <v>717</v>
      </c>
    </row>
    <row r="1123" customFormat="false" ht="17.15" hidden="false" customHeight="false" outlineLevel="0" collapsed="false">
      <c r="A1123" s="0" t="s">
        <v>718</v>
      </c>
      <c r="B1123" s="4" t="s">
        <v>36</v>
      </c>
      <c r="D1123" s="22" t="n">
        <f aca="false">u_trn_26</f>
        <v>2</v>
      </c>
      <c r="E1123" s="22" t="n">
        <f aca="false">u_trn_27</f>
        <v>2.5</v>
      </c>
      <c r="F1123" s="22" t="n">
        <f aca="false">u_trn_28*um28_A</f>
        <v>3</v>
      </c>
      <c r="G1123" s="22" t="n">
        <f aca="false">u_trn_28*(1+g29_trn)*um29_A</f>
        <v>3.45</v>
      </c>
    </row>
    <row r="1124" customFormat="false" ht="17.15" hidden="false" customHeight="false" outlineLevel="0" collapsed="false">
      <c r="A1124" s="4" t="s">
        <v>719</v>
      </c>
      <c r="B1124" s="4" t="s">
        <v>36</v>
      </c>
      <c r="D1124" s="22" t="n">
        <f aca="false">u_oth_26</f>
        <v>1</v>
      </c>
      <c r="E1124" s="22" t="n">
        <f aca="false">u_oth_27</f>
        <v>4.5</v>
      </c>
      <c r="F1124" s="22" t="n">
        <f aca="false">u_oth_28*um28_A</f>
        <v>5</v>
      </c>
      <c r="G1124" s="22" t="n">
        <f aca="false">u_oth_28*(1+g29_oth)*um29_A</f>
        <v>5.75</v>
      </c>
    </row>
    <row r="1125" customFormat="false" ht="17.15" hidden="false" customHeight="false" outlineLevel="0" collapsed="false">
      <c r="A1125" s="0" t="s">
        <v>720</v>
      </c>
      <c r="B1125" s="4" t="s">
        <v>36</v>
      </c>
      <c r="D1125" s="22" t="n">
        <f aca="false">u_tpu_26</f>
        <v>3.85</v>
      </c>
      <c r="E1125" s="22" t="n">
        <f aca="false">u_tpu_27</f>
        <v>5.5</v>
      </c>
      <c r="F1125" s="22" t="n">
        <f aca="false">u_tpu_28*um28_A</f>
        <v>7</v>
      </c>
      <c r="G1125" s="22" t="n">
        <f aca="false">u_tpu_28*(1+g29_tpu)*um29_A</f>
        <v>8.05</v>
      </c>
    </row>
    <row r="1126" customFormat="false" ht="17.15" hidden="false" customHeight="false" outlineLevel="0" collapsed="false">
      <c r="A1126" s="0" t="s">
        <v>658</v>
      </c>
      <c r="B1126" s="0" t="s">
        <v>49</v>
      </c>
      <c r="D1126" s="14" t="n">
        <f aca="false">msh_trn_26</f>
        <v>0.1</v>
      </c>
      <c r="E1126" s="14" t="n">
        <f aca="false">MIN(1,MAX(0,msh_trn_27+0))</f>
        <v>0.1</v>
      </c>
      <c r="F1126" s="14" t="n">
        <f aca="false">MIN(1,MAX(0,msh_trn_28+0))</f>
        <v>0.08</v>
      </c>
      <c r="G1126" s="14" t="n">
        <f aca="false">MIN(1,MAX(0,msh_trn_28+0))</f>
        <v>0.08</v>
      </c>
    </row>
    <row r="1127" customFormat="false" ht="17.15" hidden="false" customHeight="false" outlineLevel="0" collapsed="false">
      <c r="A1127" s="0" t="s">
        <v>666</v>
      </c>
      <c r="B1127" s="0" t="s">
        <v>49</v>
      </c>
      <c r="D1127" s="14" t="n">
        <f aca="false">msh_oth_26</f>
        <v>0.05</v>
      </c>
      <c r="E1127" s="14" t="n">
        <f aca="false">MIN(1,MAX(0,msh_oth_27+0))</f>
        <v>0.06</v>
      </c>
      <c r="F1127" s="14" t="n">
        <f aca="false">MIN(1,MAX(0,msh_oth_28+0))</f>
        <v>0.15</v>
      </c>
      <c r="G1127" s="14" t="n">
        <f aca="false">MIN(1,MAX(0,msh_oth_28+0))</f>
        <v>0.15</v>
      </c>
    </row>
    <row r="1128" customFormat="false" ht="17.15" hidden="false" customHeight="false" outlineLevel="0" collapsed="false">
      <c r="A1128" s="0" t="s">
        <v>670</v>
      </c>
      <c r="B1128" s="0" t="s">
        <v>49</v>
      </c>
      <c r="D1128" s="14" t="n">
        <f aca="false">msh_tpu_26</f>
        <v>0</v>
      </c>
      <c r="E1128" s="14" t="n">
        <f aca="false">MIN(1,MAX(0,msh_tpu_27+0))</f>
        <v>0</v>
      </c>
      <c r="F1128" s="14" t="n">
        <f aca="false">MIN(1,MAX(0,msh_tpu_28+0))</f>
        <v>0.05</v>
      </c>
      <c r="G1128" s="14" t="n">
        <f aca="false">MIN(1,MAX(0,msh_tpu_28+0))</f>
        <v>0.05</v>
      </c>
    </row>
    <row r="1129" customFormat="false" ht="17.15" hidden="false" customHeight="false" outlineLevel="0" collapsed="false">
      <c r="A1129" s="0" t="s">
        <v>660</v>
      </c>
      <c r="B1129" s="4" t="s">
        <v>36</v>
      </c>
      <c r="D1129" s="16" t="n">
        <f aca="false">D1123*D1126</f>
        <v>0.2</v>
      </c>
      <c r="E1129" s="16" t="n">
        <f aca="false">E1123*E1126*1</f>
        <v>0.25</v>
      </c>
      <c r="F1129" s="16" t="n">
        <f aca="false">F1123*F1126*1</f>
        <v>0.24</v>
      </c>
      <c r="G1129" s="16" t="n">
        <f aca="false">G1123*G1126*1</f>
        <v>0.276</v>
      </c>
    </row>
    <row r="1130" customFormat="false" ht="17.15" hidden="false" customHeight="false" outlineLevel="0" collapsed="false">
      <c r="A1130" s="0" t="s">
        <v>667</v>
      </c>
      <c r="B1130" s="4" t="s">
        <v>36</v>
      </c>
      <c r="D1130" s="16" t="n">
        <f aca="false">D1124*D1127</f>
        <v>0.05</v>
      </c>
      <c r="E1130" s="16" t="n">
        <f aca="false">E1124*E1127*1</f>
        <v>0.27</v>
      </c>
      <c r="F1130" s="16" t="n">
        <f aca="false">F1124*F1127*1</f>
        <v>0.75</v>
      </c>
      <c r="G1130" s="16" t="n">
        <f aca="false">G1124*G1127*1</f>
        <v>0.8625</v>
      </c>
    </row>
    <row r="1131" customFormat="false" ht="17.15" hidden="false" customHeight="false" outlineLevel="0" collapsed="false">
      <c r="A1131" s="0" t="s">
        <v>671</v>
      </c>
      <c r="B1131" s="4" t="s">
        <v>36</v>
      </c>
      <c r="D1131" s="16" t="n">
        <f aca="false">D1125*D1128</f>
        <v>0</v>
      </c>
      <c r="E1131" s="16" t="n">
        <f aca="false">E1125*E1128*1</f>
        <v>0</v>
      </c>
      <c r="F1131" s="16" t="n">
        <f aca="false">F1125*F1128*1</f>
        <v>0.35</v>
      </c>
      <c r="G1131" s="16" t="n">
        <f aca="false">G1125*G1128*1</f>
        <v>0.4025</v>
      </c>
    </row>
    <row r="1132" customFormat="false" ht="17.15" hidden="false" customHeight="false" outlineLevel="0" collapsed="false">
      <c r="A1132" s="4" t="s">
        <v>721</v>
      </c>
      <c r="B1132" s="0" t="s">
        <v>100</v>
      </c>
      <c r="D1132" s="23" t="n">
        <f aca="false">gb_trn_26</f>
        <v>110</v>
      </c>
      <c r="E1132" s="23" t="n">
        <f aca="false">gb_trn_27</f>
        <v>144</v>
      </c>
      <c r="F1132" s="23" t="n">
        <f aca="false">gb_trn_28</f>
        <v>200</v>
      </c>
      <c r="G1132" s="23" t="n">
        <f aca="false">gb_trn_28</f>
        <v>200</v>
      </c>
    </row>
    <row r="1133" customFormat="false" ht="17.15" hidden="false" customHeight="false" outlineLevel="0" collapsed="false">
      <c r="A1133" s="4" t="s">
        <v>722</v>
      </c>
      <c r="B1133" s="0" t="s">
        <v>100</v>
      </c>
      <c r="D1133" s="23" t="n">
        <f aca="false">gb_oth_26</f>
        <v>150</v>
      </c>
      <c r="E1133" s="23" t="n">
        <f aca="false">gb_oth_27</f>
        <v>200</v>
      </c>
      <c r="F1133" s="23" t="n">
        <f aca="false">gb_oth_28</f>
        <v>250</v>
      </c>
      <c r="G1133" s="23" t="n">
        <f aca="false">gb_oth_28</f>
        <v>250</v>
      </c>
    </row>
    <row r="1134" customFormat="false" ht="17.15" hidden="false" customHeight="false" outlineLevel="0" collapsed="false">
      <c r="A1134" s="4" t="s">
        <v>723</v>
      </c>
      <c r="B1134" s="0" t="s">
        <v>100</v>
      </c>
      <c r="D1134" s="23" t="n">
        <f aca="false">gb_tpu_26</f>
        <v>192</v>
      </c>
      <c r="E1134" s="23" t="n">
        <f aca="false">gb_tpu_27</f>
        <v>250</v>
      </c>
      <c r="F1134" s="23" t="n">
        <f aca="false">gb_tpu_28</f>
        <v>288</v>
      </c>
      <c r="G1134" s="23" t="n">
        <f aca="false">gb_tpu_28</f>
        <v>288</v>
      </c>
    </row>
    <row r="1135" customFormat="false" ht="17.15" hidden="false" customHeight="false" outlineLevel="0" collapsed="false">
      <c r="A1135" s="0" t="s">
        <v>724</v>
      </c>
      <c r="B1135" s="0" t="s">
        <v>200</v>
      </c>
      <c r="D1135" s="22" t="n">
        <f aca="false">hbm_A_26</f>
        <v>14.6</v>
      </c>
      <c r="E1135" s="22" t="n">
        <f aca="false">hbm_A_27</f>
        <v>26.28</v>
      </c>
      <c r="F1135" s="22" t="n">
        <f aca="false">hbm_A_28</f>
        <v>28.908</v>
      </c>
      <c r="G1135" s="22" t="n">
        <f aca="false">hbm_A_29</f>
        <v>27.4626</v>
      </c>
    </row>
    <row r="1136" customFormat="false" ht="17.15" hidden="false" customHeight="false" outlineLevel="0" collapsed="false">
      <c r="A1136" s="4" t="s">
        <v>725</v>
      </c>
      <c r="B1136" s="0" t="s">
        <v>122</v>
      </c>
      <c r="D1136" s="22" t="n">
        <f aca="false">core_trn</f>
        <v>6.394</v>
      </c>
      <c r="E1136" s="22" t="n">
        <f aca="false">core_trn*1</f>
        <v>6.394</v>
      </c>
      <c r="F1136" s="22" t="n">
        <f aca="false">core_trn*1</f>
        <v>6.394</v>
      </c>
      <c r="G1136" s="22" t="n">
        <f aca="false">core_trn*1</f>
        <v>6.394</v>
      </c>
    </row>
    <row r="1137" customFormat="false" ht="17.15" hidden="false" customHeight="false" outlineLevel="0" collapsed="false">
      <c r="A1137" s="4" t="s">
        <v>726</v>
      </c>
      <c r="B1137" s="0" t="s">
        <v>122</v>
      </c>
      <c r="D1137" s="22" t="n">
        <f aca="false">core_oth</f>
        <v>6</v>
      </c>
      <c r="E1137" s="22" t="n">
        <f aca="false">core_oth*1</f>
        <v>6</v>
      </c>
      <c r="F1137" s="22" t="n">
        <f aca="false">core_oth*1</f>
        <v>6</v>
      </c>
      <c r="G1137" s="22" t="n">
        <f aca="false">core_oth*1</f>
        <v>6</v>
      </c>
    </row>
    <row r="1138" customFormat="false" ht="17.15" hidden="false" customHeight="false" outlineLevel="0" collapsed="false">
      <c r="A1138" s="4" t="s">
        <v>727</v>
      </c>
      <c r="B1138" s="0" t="s">
        <v>122</v>
      </c>
      <c r="D1138" s="22" t="n">
        <f aca="false">core_tpu</f>
        <v>8</v>
      </c>
      <c r="E1138" s="22" t="n">
        <f aca="false">core_tpu*1</f>
        <v>8</v>
      </c>
      <c r="F1138" s="22" t="n">
        <f aca="false">core_tpu*1</f>
        <v>8</v>
      </c>
      <c r="G1138" s="22" t="n">
        <f aca="false">core_tpu*1</f>
        <v>8</v>
      </c>
    </row>
    <row r="1139" customFormat="false" ht="17.15" hidden="false" customHeight="false" outlineLevel="0" collapsed="false">
      <c r="A1139" s="4" t="s">
        <v>728</v>
      </c>
      <c r="B1139" s="0" t="s">
        <v>122</v>
      </c>
      <c r="D1139" s="22" t="n">
        <f aca="false">D1132*D1135/1000</f>
        <v>1.606</v>
      </c>
      <c r="E1139" s="22" t="n">
        <f aca="false">E1132*E1135/1000</f>
        <v>3.78432</v>
      </c>
      <c r="F1139" s="22" t="n">
        <f aca="false">F1132*F1135/1000</f>
        <v>5.7816</v>
      </c>
      <c r="G1139" s="22" t="n">
        <f aca="false">G1132*G1135/1000</f>
        <v>5.49252</v>
      </c>
    </row>
    <row r="1140" customFormat="false" ht="17.15" hidden="false" customHeight="false" outlineLevel="0" collapsed="false">
      <c r="A1140" s="4" t="s">
        <v>729</v>
      </c>
      <c r="B1140" s="0" t="s">
        <v>122</v>
      </c>
      <c r="D1140" s="22" t="n">
        <f aca="false">D1133*D1135/1000</f>
        <v>2.19</v>
      </c>
      <c r="E1140" s="22" t="n">
        <f aca="false">E1133*E1135/1000</f>
        <v>5.256</v>
      </c>
      <c r="F1140" s="22" t="n">
        <f aca="false">F1133*F1135/1000</f>
        <v>7.227</v>
      </c>
      <c r="G1140" s="22" t="n">
        <f aca="false">G1133*G1135/1000</f>
        <v>6.86565</v>
      </c>
    </row>
    <row r="1141" customFormat="false" ht="17.15" hidden="false" customHeight="false" outlineLevel="0" collapsed="false">
      <c r="A1141" s="4" t="s">
        <v>730</v>
      </c>
      <c r="B1141" s="0" t="s">
        <v>122</v>
      </c>
      <c r="D1141" s="22" t="n">
        <f aca="false">D1134*D1135/1000</f>
        <v>2.8032</v>
      </c>
      <c r="E1141" s="22" t="n">
        <f aca="false">E1134*E1135/1000</f>
        <v>6.57</v>
      </c>
      <c r="F1141" s="22" t="n">
        <f aca="false">F1134*F1135/1000</f>
        <v>8.325504</v>
      </c>
      <c r="G1141" s="22" t="n">
        <f aca="false">G1134*G1135/1000</f>
        <v>7.9092288</v>
      </c>
    </row>
    <row r="1142" customFormat="false" ht="17.15" hidden="false" customHeight="false" outlineLevel="0" collapsed="false">
      <c r="A1142" s="4" t="s">
        <v>731</v>
      </c>
      <c r="B1142" s="0" t="s">
        <v>122</v>
      </c>
      <c r="D1142" s="22" t="n">
        <f aca="false">D1136+f_hbm*D1139</f>
        <v>7.3576</v>
      </c>
      <c r="E1142" s="22" t="n">
        <f aca="false">E1136+f_hbm*E1139</f>
        <v>8.664592</v>
      </c>
      <c r="F1142" s="22" t="n">
        <f aca="false">F1136+f_hbm*F1139</f>
        <v>9.86296</v>
      </c>
      <c r="G1142" s="22" t="n">
        <f aca="false">G1136+f_hbm*G1139</f>
        <v>9.689512</v>
      </c>
      <c r="H1142" s="4" t="s">
        <v>732</v>
      </c>
    </row>
    <row r="1143" customFormat="false" ht="17.15" hidden="false" customHeight="false" outlineLevel="0" collapsed="false">
      <c r="A1143" s="4" t="s">
        <v>733</v>
      </c>
      <c r="B1143" s="0" t="s">
        <v>122</v>
      </c>
      <c r="D1143" s="22" t="n">
        <f aca="false">D1137+f_hbm*D1140</f>
        <v>7.314</v>
      </c>
      <c r="E1143" s="22" t="n">
        <f aca="false">E1137+f_hbm*E1140</f>
        <v>9.1536</v>
      </c>
      <c r="F1143" s="22" t="n">
        <f aca="false">F1137+f_hbm*F1140</f>
        <v>10.3362</v>
      </c>
      <c r="G1143" s="22" t="n">
        <f aca="false">G1137+f_hbm*G1140</f>
        <v>10.11939</v>
      </c>
    </row>
    <row r="1144" customFormat="false" ht="17.15" hidden="false" customHeight="false" outlineLevel="0" collapsed="false">
      <c r="A1144" s="4" t="s">
        <v>734</v>
      </c>
      <c r="B1144" s="0" t="s">
        <v>122</v>
      </c>
      <c r="D1144" s="22" t="n">
        <f aca="false">D1138+f_hbm*D1141</f>
        <v>9.68192</v>
      </c>
      <c r="E1144" s="22" t="n">
        <f aca="false">E1138+f_hbm*E1141</f>
        <v>11.942</v>
      </c>
      <c r="F1144" s="22" t="n">
        <f aca="false">F1138+f_hbm*F1141</f>
        <v>12.9953024</v>
      </c>
      <c r="G1144" s="22" t="n">
        <f aca="false">G1138+f_hbm*G1141</f>
        <v>12.74553728</v>
      </c>
    </row>
    <row r="1145" customFormat="false" ht="17.15" hidden="false" customHeight="false" outlineLevel="0" collapsed="false">
      <c r="A1145" s="0" t="s">
        <v>735</v>
      </c>
      <c r="B1145" s="0" t="s">
        <v>239</v>
      </c>
      <c r="D1145" s="22" t="n">
        <f aca="false">D1129*D1142+D1130*D1143+D1131*D1144</f>
        <v>1.83722</v>
      </c>
      <c r="E1145" s="22" t="n">
        <f aca="false">E1129*E1142+E1130*E1143+E1131*E1144</f>
        <v>4.63762</v>
      </c>
      <c r="F1145" s="22" t="n">
        <f aca="false">F1129*F1142+F1130*F1143+F1131*F1144</f>
        <v>14.66761624</v>
      </c>
      <c r="G1145" s="22" t="n">
        <f aca="false">G1129*G1142+G1130*G1143+G1131*G1144</f>
        <v>16.5323579422</v>
      </c>
    </row>
    <row r="1146" customFormat="false" ht="17.15" hidden="false" customHeight="false" outlineLevel="0" collapsed="false">
      <c r="A1146" s="0" t="s">
        <v>736</v>
      </c>
      <c r="B1146" s="0" t="s">
        <v>80</v>
      </c>
      <c r="D1146" s="16" t="n">
        <f aca="false">a27_xpu/D1145</f>
        <v>0.802843426481314</v>
      </c>
      <c r="H1146" s="7" t="s">
        <v>737</v>
      </c>
    </row>
    <row r="1147" customFormat="false" ht="17.15" hidden="false" customHeight="false" outlineLevel="0" collapsed="false">
      <c r="A1147" s="0" t="s">
        <v>738</v>
      </c>
      <c r="B1147" s="0" t="s">
        <v>239</v>
      </c>
      <c r="D1147" s="22" t="n">
        <f aca="false">D1145*$D$1146</f>
        <v>1.475</v>
      </c>
      <c r="E1147" s="22" t="n">
        <f aca="false">E1145*$D$1146</f>
        <v>3.72328273151827</v>
      </c>
      <c r="F1147" s="22" t="n">
        <f aca="false">F1145*$D$1146</f>
        <v>11.7757992804346</v>
      </c>
      <c r="G1147" s="22" t="n">
        <f aca="false">G1145*$D$1146</f>
        <v>13.2728948981314</v>
      </c>
    </row>
    <row r="1148" customFormat="false" ht="17.15" hidden="false" customHeight="false" outlineLevel="0" collapsed="false">
      <c r="A1148" s="4" t="s">
        <v>739</v>
      </c>
      <c r="B1148" s="0" t="s">
        <v>239</v>
      </c>
      <c r="D1148" s="22" t="n">
        <f aca="false">$D$1146*f_hbm*(D1129*D1139+D1130*D1140+D1131*D1141)</f>
        <v>0.207470798271301</v>
      </c>
      <c r="E1148" s="22" t="n">
        <f aca="false">$D$1146*f_hbm*(E1129*E1139+E1130*E1140+E1131*E1141)</f>
        <v>1.13933116338816</v>
      </c>
      <c r="F1148" s="22" t="n">
        <f aca="false">$D$1146*f_hbm*(F1129*F1139+F1130*F1140+F1131*F1141)</f>
        <v>4.68303085857981</v>
      </c>
      <c r="G1148" s="22" t="n">
        <f aca="false">$D$1146*f_hbm*(G1129*G1139+G1130*G1140+G1131*G1141)</f>
        <v>5.11621121299844</v>
      </c>
    </row>
    <row r="1149" customFormat="false" ht="15" hidden="false" customHeight="false" outlineLevel="0" collapsed="false">
      <c r="A1149" s="4" t="s">
        <v>740</v>
      </c>
      <c r="B1149" s="0" t="s">
        <v>239</v>
      </c>
      <c r="D1149" s="22" t="n">
        <f aca="false">D1147-D1148</f>
        <v>1.2675292017287</v>
      </c>
      <c r="E1149" s="22" t="n">
        <f aca="false">E1147-E1148</f>
        <v>2.58395156813011</v>
      </c>
      <c r="F1149" s="22" t="n">
        <f aca="false">F1147-F1148</f>
        <v>7.09276842185476</v>
      </c>
      <c r="G1149" s="22" t="n">
        <f aca="false">G1147-G1148</f>
        <v>8.15668368513297</v>
      </c>
    </row>
    <row r="1150" customFormat="false" ht="17.15" hidden="false" customHeight="false" outlineLevel="0" collapsed="false">
      <c r="A1150" s="0" t="s">
        <v>741</v>
      </c>
      <c r="B1150" s="4" t="s">
        <v>36</v>
      </c>
      <c r="D1150" s="16" t="n">
        <f aca="false">D1129+D1130+D1131</f>
        <v>0.25</v>
      </c>
      <c r="E1150" s="16" t="n">
        <f aca="false">E1129+E1130+E1131</f>
        <v>0.52</v>
      </c>
      <c r="F1150" s="16" t="n">
        <f aca="false">F1129+F1130+F1131</f>
        <v>1.34</v>
      </c>
      <c r="G1150" s="16" t="n">
        <f aca="false">G1129+G1130+G1131</f>
        <v>1.541</v>
      </c>
    </row>
    <row r="1151" customFormat="false" ht="17.15" hidden="false" customHeight="false" outlineLevel="0" collapsed="false">
      <c r="A1151" s="0" t="s">
        <v>742</v>
      </c>
      <c r="B1151" s="0" t="s">
        <v>239</v>
      </c>
      <c r="C1151" s="22" t="n">
        <f aca="false">a26_att</f>
        <v>0.2</v>
      </c>
      <c r="D1151" s="22" t="n">
        <f aca="false">a27_att</f>
        <v>0.4</v>
      </c>
      <c r="E1151" s="22" t="n">
        <f aca="false">att28_lo</f>
        <v>0.6</v>
      </c>
      <c r="F1151" s="22" t="n">
        <f aca="false">att28_lo*(1+g_att)*um28_A</f>
        <v>0.9</v>
      </c>
      <c r="G1151" s="22" t="n">
        <f aca="false">att28_lo*(1+g_att)^2*um29_A</f>
        <v>1.35</v>
      </c>
      <c r="H1151" s="7" t="s">
        <v>743</v>
      </c>
    </row>
    <row r="1152" customFormat="false" ht="17.15" hidden="false" customHeight="false" outlineLevel="0" collapsed="false">
      <c r="A1152" s="4" t="s">
        <v>744</v>
      </c>
      <c r="B1152" s="0" t="s">
        <v>239</v>
      </c>
      <c r="C1152" s="22" t="n">
        <f aca="false">a26_cus</f>
        <v>1.5</v>
      </c>
      <c r="D1152" s="22" t="n">
        <f aca="false">D1147+D1151</f>
        <v>1.875</v>
      </c>
      <c r="E1152" s="22" t="n">
        <f aca="false">E1147+E1151</f>
        <v>4.32328273151827</v>
      </c>
      <c r="F1152" s="22" t="n">
        <f aca="false">F1147+F1151</f>
        <v>12.6757992804346</v>
      </c>
      <c r="G1152" s="22" t="n">
        <f aca="false">G1147+G1151</f>
        <v>14.6228948981314</v>
      </c>
    </row>
    <row r="1153" customFormat="false" ht="17.15" hidden="false" customHeight="false" outlineLevel="0" collapsed="false">
      <c r="A1153" s="1" t="s">
        <v>745</v>
      </c>
    </row>
    <row r="1154" customFormat="false" ht="17.15" hidden="false" customHeight="false" outlineLevel="0" collapsed="false">
      <c r="A1154" s="0" t="s">
        <v>746</v>
      </c>
      <c r="B1154" s="0" t="s">
        <v>239</v>
      </c>
      <c r="D1154" s="22" t="n">
        <f aca="false">plug_26*1</f>
        <v>29.753262</v>
      </c>
      <c r="E1154" s="22" t="n">
        <f aca="false">plug_27*1</f>
        <v>53.560715</v>
      </c>
      <c r="F1154" s="22" t="n">
        <f aca="false">plug_28*um28_A</f>
        <v>57.9915</v>
      </c>
      <c r="G1154" s="22" t="n">
        <f aca="false">plug_29*um29_A</f>
        <v>72.9348</v>
      </c>
    </row>
    <row r="1155" customFormat="false" ht="17.15" hidden="false" customHeight="false" outlineLevel="0" collapsed="false">
      <c r="A1155" s="4" t="s">
        <v>747</v>
      </c>
      <c r="B1155" s="4" t="s">
        <v>680</v>
      </c>
      <c r="D1155" s="19" t="n">
        <f aca="false">D1154*1000/asp_26</f>
        <v>45.7742492307692</v>
      </c>
      <c r="E1155" s="19" t="n">
        <f aca="false">E1154*1000/asp_27</f>
        <v>66.95089375</v>
      </c>
      <c r="F1155" s="19" t="n">
        <f aca="false">F1154*1000/asp_28</f>
        <v>68.2252941176471</v>
      </c>
      <c r="G1155" s="19" t="n">
        <f aca="false">G1154*1000/asp_29</f>
        <v>85.8056470588235</v>
      </c>
    </row>
    <row r="1156" customFormat="false" ht="17.15" hidden="false" customHeight="false" outlineLevel="0" collapsed="false">
      <c r="A1156" s="4" t="s">
        <v>748</v>
      </c>
      <c r="B1156" s="0" t="s">
        <v>49</v>
      </c>
      <c r="D1156" s="14" t="n">
        <f aca="false">MIN(1,lpo_26)</f>
        <v>0.03</v>
      </c>
      <c r="E1156" s="14" t="n">
        <f aca="false">MIN(1,lpo_27+0)</f>
        <v>0.06</v>
      </c>
      <c r="F1156" s="14" t="n">
        <f aca="false">MIN(1,lpo_28+0)</f>
        <v>0.1</v>
      </c>
      <c r="G1156" s="14" t="n">
        <f aca="false">MIN(1,lpo_29+0)</f>
        <v>0.15</v>
      </c>
    </row>
    <row r="1157" customFormat="false" ht="15" hidden="false" customHeight="false" outlineLevel="0" collapsed="false">
      <c r="A1157" s="4" t="s">
        <v>749</v>
      </c>
      <c r="B1157" s="0" t="s">
        <v>253</v>
      </c>
      <c r="D1157" s="23" t="n">
        <f aca="false">dsp_26</f>
        <v>125</v>
      </c>
      <c r="E1157" s="23" t="n">
        <f aca="false">dsp_27*1</f>
        <v>135</v>
      </c>
      <c r="F1157" s="23" t="n">
        <f aca="false">dsp_28*1</f>
        <v>135</v>
      </c>
      <c r="G1157" s="23" t="n">
        <f aca="false">dsp_29*1</f>
        <v>130</v>
      </c>
    </row>
    <row r="1158" customFormat="false" ht="17.15" hidden="false" customHeight="false" outlineLevel="0" collapsed="false">
      <c r="A1158" s="4" t="s">
        <v>750</v>
      </c>
      <c r="B1158" s="0" t="s">
        <v>239</v>
      </c>
      <c r="D1158" s="22" t="n">
        <f aca="false">D1155*(1-D1156)*D1157/1000</f>
        <v>5.55012771923077</v>
      </c>
      <c r="E1158" s="22" t="n">
        <f aca="false">E1155*(1-E1156)*E1157/1000</f>
        <v>8.496068416875</v>
      </c>
      <c r="F1158" s="22" t="n">
        <f aca="false">F1155*(1-F1156)*F1157/1000</f>
        <v>8.28937323529412</v>
      </c>
      <c r="G1158" s="22" t="n">
        <f aca="false">G1155*(1-G1156)*G1157/1000</f>
        <v>9.481524</v>
      </c>
    </row>
    <row r="1159" customFormat="false" ht="17.15" hidden="false" customHeight="false" outlineLevel="0" collapsed="false">
      <c r="A1159" s="0" t="s">
        <v>751</v>
      </c>
      <c r="B1159" s="0" t="s">
        <v>49</v>
      </c>
      <c r="D1159" s="14" t="n">
        <f aca="false">msh_dsp_26</f>
        <v>0.65</v>
      </c>
      <c r="E1159" s="14" t="n">
        <f aca="false">msh_dsp_27+0</f>
        <v>0.63</v>
      </c>
      <c r="F1159" s="14" t="n">
        <f aca="false">msh_dsp_28+0</f>
        <v>0.6</v>
      </c>
      <c r="G1159" s="14" t="n">
        <f aca="false">msh_dsp_29+0</f>
        <v>0.58</v>
      </c>
    </row>
    <row r="1160" customFormat="false" ht="17.15" hidden="false" customHeight="false" outlineLevel="0" collapsed="false">
      <c r="A1160" s="0" t="s">
        <v>682</v>
      </c>
      <c r="B1160" s="0" t="s">
        <v>239</v>
      </c>
      <c r="D1160" s="22" t="n">
        <f aca="false">D1158*D1159</f>
        <v>3.6075830175</v>
      </c>
      <c r="E1160" s="22" t="n">
        <f aca="false">E1158*E1159*1</f>
        <v>5.35252310263125</v>
      </c>
      <c r="F1160" s="22" t="n">
        <f aca="false">F1158*F1159*1</f>
        <v>4.97362394117647</v>
      </c>
      <c r="G1160" s="22" t="n">
        <f aca="false">G1158*G1159*1</f>
        <v>5.49928392</v>
      </c>
    </row>
    <row r="1161" customFormat="false" ht="17.15" hidden="false" customHeight="false" outlineLevel="0" collapsed="false">
      <c r="A1161" s="4" t="s">
        <v>752</v>
      </c>
      <c r="B1161" s="0" t="s">
        <v>239</v>
      </c>
      <c r="D1161" s="22" t="n">
        <f aca="false">coh27</f>
        <v>0.9</v>
      </c>
      <c r="E1161" s="22" t="n">
        <f aca="false">D1161*(1+g_coh)</f>
        <v>1.035</v>
      </c>
      <c r="F1161" s="22" t="n">
        <f aca="false">E1161*(1+g_coh)</f>
        <v>1.19025</v>
      </c>
      <c r="G1161" s="22" t="n">
        <f aca="false">F1161*(1+g_coh)</f>
        <v>1.3687875</v>
      </c>
    </row>
    <row r="1162" customFormat="false" ht="17.15" hidden="false" customHeight="false" outlineLevel="0" collapsed="false">
      <c r="A1162" s="4" t="s">
        <v>753</v>
      </c>
      <c r="B1162" s="0" t="s">
        <v>80</v>
      </c>
      <c r="D1162" s="16" t="n">
        <f aca="false">(a27_ic-D1161)/D1160</f>
        <v>1.44223430888795</v>
      </c>
      <c r="H1162" s="7" t="s">
        <v>754</v>
      </c>
    </row>
    <row r="1163" customFormat="false" ht="15" hidden="false" customHeight="false" outlineLevel="0" collapsed="false">
      <c r="A1163" s="4" t="s">
        <v>755</v>
      </c>
      <c r="B1163" s="0" t="s">
        <v>239</v>
      </c>
      <c r="C1163" s="22" t="n">
        <f aca="false">a26_ic</f>
        <v>3.4503</v>
      </c>
      <c r="D1163" s="22" t="n">
        <f aca="false">D1160*$D$1162+D1161</f>
        <v>6.10298</v>
      </c>
      <c r="E1163" s="22" t="n">
        <f aca="false">E1160*$D$1162+E1161</f>
        <v>8.75459245773014</v>
      </c>
      <c r="F1163" s="22" t="n">
        <f aca="false">F1160*$D$1162+F1161</f>
        <v>8.36338108747118</v>
      </c>
      <c r="G1163" s="22" t="n">
        <f aca="false">G1160*$D$1162+G1161</f>
        <v>9.30004344373979</v>
      </c>
    </row>
    <row r="1164" customFormat="false" ht="17.15" hidden="false" customHeight="false" outlineLevel="0" collapsed="false">
      <c r="A1164" s="1" t="s">
        <v>756</v>
      </c>
    </row>
    <row r="1165" customFormat="false" ht="15" hidden="false" customHeight="false" outlineLevel="0" collapsed="false">
      <c r="A1165" s="4" t="s">
        <v>757</v>
      </c>
      <c r="B1165" s="0" t="s">
        <v>239</v>
      </c>
      <c r="C1165" s="22" t="n">
        <f aca="false">a26_sw</f>
        <v>0.3</v>
      </c>
      <c r="D1165" s="22" t="n">
        <f aca="false">a27_sw</f>
        <v>0.65</v>
      </c>
      <c r="E1165" s="22" t="n">
        <f aca="false">a27_sw*(1+g_sw28)</f>
        <v>1.17</v>
      </c>
      <c r="F1165" s="22" t="n">
        <f aca="false">a27_sw*(1+g_sw28)*(1+g_sw)*um28_A</f>
        <v>1.638</v>
      </c>
      <c r="G1165" s="22" t="n">
        <f aca="false">a27_sw*(1+g_sw28)*(1+g_sw)^2*um29_A</f>
        <v>2.2932</v>
      </c>
    </row>
    <row r="1166" customFormat="false" ht="17.15" hidden="false" customHeight="false" outlineLevel="0" collapsed="false">
      <c r="A1166" s="0" t="s">
        <v>758</v>
      </c>
      <c r="B1166" s="0" t="s">
        <v>239</v>
      </c>
      <c r="C1166" s="22" t="n">
        <f aca="false">a26_aec</f>
        <v>0.2</v>
      </c>
      <c r="D1166" s="22" t="n">
        <f aca="false">a27_aec</f>
        <v>0.45</v>
      </c>
      <c r="E1166" s="22" t="n">
        <f aca="false">a27_aec*(1+g_aec)</f>
        <v>0.675</v>
      </c>
      <c r="F1166" s="22" t="n">
        <f aca="false">a27_aec*(1+g_aec)^2*um28_A</f>
        <v>1.0125</v>
      </c>
      <c r="G1166" s="22" t="n">
        <f aca="false">a27_aec*(1+g_aec)^3*um29_A</f>
        <v>1.51875</v>
      </c>
    </row>
    <row r="1167" customFormat="false" ht="15" hidden="false" customHeight="false" outlineLevel="0" collapsed="false">
      <c r="A1167" s="4" t="s">
        <v>759</v>
      </c>
      <c r="B1167" s="0" t="s">
        <v>239</v>
      </c>
      <c r="C1167" s="22" t="n">
        <f aca="false">a26_sto</f>
        <v>0.65</v>
      </c>
      <c r="D1167" s="22" t="n">
        <f aca="false">a27_sto</f>
        <v>0.6825</v>
      </c>
      <c r="E1167" s="22" t="n">
        <f aca="false">D1167*(1+g_sto)</f>
        <v>0.716625</v>
      </c>
      <c r="F1167" s="22" t="n">
        <f aca="false">E1167*(1+g_sto)</f>
        <v>0.75245625</v>
      </c>
      <c r="G1167" s="22" t="n">
        <f aca="false">F1167*(1+g_sto)</f>
        <v>0.7900790625</v>
      </c>
    </row>
    <row r="1168" customFormat="false" ht="15" hidden="false" customHeight="false" outlineLevel="0" collapsed="false">
      <c r="A1168" s="4" t="s">
        <v>760</v>
      </c>
      <c r="B1168" s="0" t="s">
        <v>239</v>
      </c>
      <c r="C1168" s="22" t="n">
        <f aca="false">a26_dc</f>
        <v>6.1003</v>
      </c>
      <c r="D1168" s="22" t="n">
        <f aca="false">D1152+D1163+D1165+D1166+D1167</f>
        <v>9.76048</v>
      </c>
      <c r="E1168" s="22" t="n">
        <f aca="false">E1152+E1163+E1165+E1166+E1167</f>
        <v>15.6395001892484</v>
      </c>
      <c r="F1168" s="22" t="n">
        <f aca="false">F1152+F1163+F1165+F1166+F1167</f>
        <v>24.4421366179058</v>
      </c>
      <c r="G1168" s="22" t="n">
        <f aca="false">G1152+G1163+G1165+G1166+G1167</f>
        <v>28.5249674043712</v>
      </c>
    </row>
    <row r="1169" customFormat="false" ht="15" hidden="false" customHeight="false" outlineLevel="0" collapsed="false">
      <c r="A1169" s="4" t="s">
        <v>761</v>
      </c>
      <c r="B1169" s="0" t="s">
        <v>239</v>
      </c>
      <c r="C1169" s="22" t="n">
        <f aca="false">a26_co</f>
        <v>2.0943</v>
      </c>
      <c r="D1169" s="22" t="n">
        <f aca="false">a27_co</f>
        <v>2.23952</v>
      </c>
      <c r="E1169" s="22" t="n">
        <f aca="false">D1169*(1+g_co28)</f>
        <v>2.3067056</v>
      </c>
      <c r="F1169" s="22" t="n">
        <f aca="false">E1169*(1+g_co)</f>
        <v>2.375906768</v>
      </c>
      <c r="G1169" s="22" t="n">
        <f aca="false">F1169*(1+g_co)</f>
        <v>2.44718397104</v>
      </c>
    </row>
    <row r="1170" customFormat="false" ht="17.15" hidden="false" customHeight="false" outlineLevel="0" collapsed="false">
      <c r="A1170" s="1" t="s">
        <v>762</v>
      </c>
    </row>
    <row r="1171" customFormat="false" ht="15" hidden="false" customHeight="false" outlineLevel="0" collapsed="false">
      <c r="A1171" s="4" t="s">
        <v>597</v>
      </c>
      <c r="B1171" s="0" t="s">
        <v>239</v>
      </c>
      <c r="C1171" s="22" t="n">
        <f aca="false">a26_rev</f>
        <v>8.1946</v>
      </c>
      <c r="D1171" s="22" t="n">
        <f aca="false">a27_rev</f>
        <v>12</v>
      </c>
      <c r="E1171" s="22" t="n">
        <f aca="false">E1168+E1169</f>
        <v>17.9462057892484</v>
      </c>
      <c r="F1171" s="22" t="n">
        <f aca="false">F1168+F1169</f>
        <v>26.8180433859058</v>
      </c>
      <c r="G1171" s="22" t="n">
        <f aca="false">G1168+G1169</f>
        <v>30.9721513754112</v>
      </c>
    </row>
    <row r="1172" customFormat="false" ht="17.15" hidden="false" customHeight="false" outlineLevel="0" collapsed="false">
      <c r="A1172" s="4" t="s">
        <v>763</v>
      </c>
      <c r="B1172" s="0" t="s">
        <v>239</v>
      </c>
      <c r="D1172" s="22" t="n">
        <f aca="false">D1168+D1169</f>
        <v>12</v>
      </c>
      <c r="E1172" s="22" t="n">
        <f aca="false">E1168+E1169</f>
        <v>17.9462057892484</v>
      </c>
      <c r="F1172" s="22" t="n">
        <f aca="false">F1168+F1169</f>
        <v>26.8180433859058</v>
      </c>
      <c r="G1172" s="22" t="n">
        <f aca="false">G1168+G1169</f>
        <v>30.9721513754112</v>
      </c>
    </row>
    <row r="1173" customFormat="false" ht="15" hidden="false" customHeight="false" outlineLevel="0" collapsed="false">
      <c r="A1173" s="4" t="s">
        <v>764</v>
      </c>
      <c r="B1173" s="0" t="s">
        <v>49</v>
      </c>
      <c r="D1173" s="14" t="n">
        <f aca="false">D1171/C1171-1</f>
        <v>0.464378981280355</v>
      </c>
      <c r="E1173" s="14" t="n">
        <f aca="false">E1171/D1171-1</f>
        <v>0.495517149104034</v>
      </c>
      <c r="F1173" s="14" t="n">
        <f aca="false">F1171/E1171-1</f>
        <v>0.494357286484058</v>
      </c>
      <c r="G1173" s="14" t="n">
        <f aca="false">G1171/F1171-1</f>
        <v>0.154899741555666</v>
      </c>
    </row>
    <row r="1174" customFormat="false" ht="17.15" hidden="false" customHeight="false" outlineLevel="0" collapsed="false">
      <c r="A1174" s="4" t="s">
        <v>765</v>
      </c>
      <c r="B1174" s="0" t="s">
        <v>49</v>
      </c>
      <c r="C1174" s="14" t="n">
        <f aca="false">C1168/C1171</f>
        <v>0.744429258292046</v>
      </c>
      <c r="D1174" s="14" t="n">
        <f aca="false">D1168/D1171</f>
        <v>0.813373333333333</v>
      </c>
      <c r="E1174" s="14" t="n">
        <f aca="false">E1168/E1171</f>
        <v>0.871465555054431</v>
      </c>
      <c r="F1174" s="14" t="n">
        <f aca="false">F1168/F1171</f>
        <v>0.911406408968349</v>
      </c>
      <c r="G1174" s="14" t="n">
        <f aca="false">G1168/G1171</f>
        <v>0.920987601365567</v>
      </c>
    </row>
    <row r="1175" customFormat="false" ht="17.15" hidden="false" customHeight="false" outlineLevel="0" collapsed="false">
      <c r="A1175" s="4" t="s">
        <v>766</v>
      </c>
      <c r="B1175" s="0" t="s">
        <v>239</v>
      </c>
      <c r="D1175" s="22" t="n">
        <f aca="false">gm_opt*D1163+gm_oth*(D1165+D1166+D1167)+gm_att*D1151+gm_co*D1169+m_hbm*D1148</f>
        <v>6.45404607982713</v>
      </c>
      <c r="E1175" s="22" t="n">
        <f aca="false">gm_opt*E1163+gm_oth*(E1165+E1166+E1167)+gm_att*E1151+gm_co*E1169+m_hbm*E1148</f>
        <v>8.83419061270881</v>
      </c>
      <c r="F1175" s="22" t="n">
        <f aca="false">gm_opt*F1163+gm_oth*(F1165+F1166+F1167)+gm_att*F1151+gm_co*F1169+m_hbm*F1148</f>
        <v>9.65203284640483</v>
      </c>
      <c r="G1175" s="22" t="n">
        <f aca="false">gm_opt*G1163+gm_oth*(G1165+G1166+G1167)+gm_att*G1151+gm_co*G1169+m_hbm*G1148</f>
        <v>11.2937326315591</v>
      </c>
    </row>
    <row r="1176" customFormat="false" ht="17.15" hidden="false" customHeight="false" outlineLevel="0" collapsed="false">
      <c r="A1176" s="0" t="s">
        <v>767</v>
      </c>
      <c r="B1176" s="0" t="s">
        <v>80</v>
      </c>
      <c r="D1176" s="16" t="n">
        <f aca="false">(a27_gp-D1175)/D1149</f>
        <v>0.435994625937743</v>
      </c>
      <c r="H1176" s="7" t="s">
        <v>768</v>
      </c>
    </row>
    <row r="1177" customFormat="false" ht="15" hidden="false" customHeight="false" outlineLevel="0" collapsed="false">
      <c r="A1177" s="4" t="s">
        <v>769</v>
      </c>
      <c r="B1177" s="0" t="s">
        <v>239</v>
      </c>
      <c r="C1177" s="22" t="n">
        <f aca="false">a26_gp</f>
        <v>4.8718</v>
      </c>
      <c r="D1177" s="22" t="n">
        <f aca="false">a27_gp</f>
        <v>7.006682</v>
      </c>
      <c r="E1177" s="22" t="n">
        <f aca="false">E1175+$D$1176*E1149</f>
        <v>9.96077961009694</v>
      </c>
      <c r="F1177" s="22" t="n">
        <f aca="false">F1175+$D$1176*F1149</f>
        <v>12.7444417613544</v>
      </c>
      <c r="G1177" s="22" t="n">
        <f aca="false">G1175+$D$1176*G1149</f>
        <v>14.8500028837511</v>
      </c>
    </row>
    <row r="1178" customFormat="false" ht="15" hidden="false" customHeight="false" outlineLevel="0" collapsed="false">
      <c r="A1178" s="4" t="s">
        <v>621</v>
      </c>
      <c r="B1178" s="0" t="s">
        <v>49</v>
      </c>
      <c r="C1178" s="14" t="n">
        <f aca="false">C1177/C1171</f>
        <v>0.59451346008347</v>
      </c>
      <c r="D1178" s="14" t="n">
        <f aca="false">D1177/D1171</f>
        <v>0.583890166666667</v>
      </c>
      <c r="E1178" s="14" t="n">
        <f aca="false">E1177/E1171</f>
        <v>0.555035405649056</v>
      </c>
      <c r="F1178" s="14" t="n">
        <f aca="false">F1177/F1171</f>
        <v>0.475218925481054</v>
      </c>
      <c r="G1178" s="14" t="n">
        <f aca="false">G1177/G1171</f>
        <v>0.479463073254271</v>
      </c>
    </row>
    <row r="1179" customFormat="false" ht="17.15" hidden="false" customHeight="false" outlineLevel="0" collapsed="false">
      <c r="A1179" s="4" t="s">
        <v>770</v>
      </c>
      <c r="B1179" s="0" t="s">
        <v>49</v>
      </c>
      <c r="C1179" s="14" t="n">
        <f aca="false">C1152/C1171</f>
        <v>0.183047372660044</v>
      </c>
      <c r="D1179" s="14" t="n">
        <f aca="false">D1152/D1171</f>
        <v>0.15625</v>
      </c>
      <c r="E1179" s="14" t="n">
        <f aca="false">E1152/E1171</f>
        <v>0.240902326780871</v>
      </c>
      <c r="F1179" s="14" t="n">
        <f aca="false">F1152/F1171</f>
        <v>0.472659362132897</v>
      </c>
      <c r="G1179" s="14" t="n">
        <f aca="false">G1152/G1171</f>
        <v>0.472130421968057</v>
      </c>
    </row>
    <row r="1180" customFormat="false" ht="15" hidden="false" customHeight="false" outlineLevel="0" collapsed="false">
      <c r="A1180" s="4" t="s">
        <v>771</v>
      </c>
      <c r="B1180" s="0" t="s">
        <v>239</v>
      </c>
      <c r="C1180" s="22" t="n">
        <f aca="false">a26_opx</f>
        <v>1.9808</v>
      </c>
      <c r="D1180" s="22" t="n">
        <f aca="false">a27_opx</f>
        <v>2.55</v>
      </c>
      <c r="E1180" s="22" t="n">
        <f aca="false">D1180*(1+MAX(g_opx_min,phi*E1173))</f>
        <v>3.18178436510764</v>
      </c>
      <c r="F1180" s="22" t="n">
        <f aca="false">E1180*(1+MAX(g_opx_min,phi*F1173))</f>
        <v>3.96825350756365</v>
      </c>
      <c r="G1180" s="22" t="n">
        <f aca="false">F1180*(1+MAX(g_opx_min,phi*G1173))</f>
        <v>4.27559422893814</v>
      </c>
    </row>
    <row r="1181" customFormat="false" ht="15" hidden="false" customHeight="false" outlineLevel="0" collapsed="false">
      <c r="A1181" s="4" t="s">
        <v>772</v>
      </c>
      <c r="B1181" s="0" t="s">
        <v>239</v>
      </c>
      <c r="C1181" s="22" t="n">
        <f aca="false">C1180</f>
        <v>1.9808</v>
      </c>
      <c r="D1181" s="22" t="n">
        <f aca="false">D1180</f>
        <v>2.55</v>
      </c>
      <c r="E1181" s="22" t="n">
        <f aca="false">E1180+0*E1171</f>
        <v>3.18178436510764</v>
      </c>
      <c r="F1181" s="22" t="n">
        <f aca="false">F1180+0*F1171</f>
        <v>3.96825350756365</v>
      </c>
      <c r="G1181" s="22" t="n">
        <f aca="false">G1180+0*G1171</f>
        <v>4.27559422893814</v>
      </c>
    </row>
    <row r="1182" customFormat="false" ht="15" hidden="false" customHeight="false" outlineLevel="0" collapsed="false">
      <c r="A1182" s="4" t="s">
        <v>773</v>
      </c>
      <c r="B1182" s="0" t="s">
        <v>239</v>
      </c>
      <c r="C1182" s="22" t="n">
        <f aca="false">C1177-C1181</f>
        <v>2.891</v>
      </c>
      <c r="D1182" s="22" t="n">
        <f aca="false">D1177-D1181</f>
        <v>4.456682</v>
      </c>
      <c r="E1182" s="22" t="n">
        <f aca="false">E1177-E1181</f>
        <v>6.77899524498929</v>
      </c>
      <c r="F1182" s="22" t="n">
        <f aca="false">F1177-F1181</f>
        <v>8.77618825379078</v>
      </c>
      <c r="G1182" s="22" t="n">
        <f aca="false">G1177-G1181</f>
        <v>10.574408654813</v>
      </c>
    </row>
    <row r="1183" customFormat="false" ht="15" hidden="false" customHeight="false" outlineLevel="0" collapsed="false">
      <c r="A1183" s="4" t="s">
        <v>627</v>
      </c>
      <c r="B1183" s="0" t="s">
        <v>49</v>
      </c>
      <c r="C1183" s="14" t="n">
        <f aca="false">C1182/C1171</f>
        <v>0.352793302906792</v>
      </c>
      <c r="D1183" s="14" t="n">
        <f aca="false">D1182/D1171</f>
        <v>0.371390166666667</v>
      </c>
      <c r="E1183" s="14" t="n">
        <f aca="false">E1182/E1171</f>
        <v>0.377739747587793</v>
      </c>
      <c r="F1183" s="14" t="n">
        <f aca="false">F1182/F1171</f>
        <v>0.327249386821527</v>
      </c>
      <c r="G1183" s="14" t="n">
        <f aca="false">G1182/G1171</f>
        <v>0.341416665786027</v>
      </c>
    </row>
    <row r="1184" customFormat="false" ht="15" hidden="false" customHeight="false" outlineLevel="0" collapsed="false">
      <c r="A1184" s="4" t="s">
        <v>774</v>
      </c>
      <c r="B1184" s="0" t="s">
        <v>239</v>
      </c>
      <c r="C1184" s="22" t="n">
        <f aca="false">a26_oth</f>
        <v>0.1514</v>
      </c>
      <c r="D1184" s="22" t="n">
        <f aca="false">a27_oth</f>
        <v>0.1424</v>
      </c>
      <c r="E1184" s="22" t="n">
        <f aca="false">int_f</f>
        <v>0.15</v>
      </c>
      <c r="F1184" s="22" t="n">
        <f aca="false">int_f</f>
        <v>0.15</v>
      </c>
      <c r="G1184" s="22" t="n">
        <f aca="false">int_f</f>
        <v>0.15</v>
      </c>
    </row>
    <row r="1185" customFormat="false" ht="15" hidden="false" customHeight="false" outlineLevel="0" collapsed="false">
      <c r="A1185" s="4" t="s">
        <v>775</v>
      </c>
      <c r="B1185" s="0" t="s">
        <v>49</v>
      </c>
      <c r="C1185" s="14" t="n">
        <f aca="false">a26_tax/(a26_oi-a26_oth)</f>
        <v>0.1</v>
      </c>
      <c r="D1185" s="14" t="n">
        <f aca="false">a27_tax/(a27_oi-a27_oth)</f>
        <v>0.11</v>
      </c>
      <c r="E1185" s="14" t="n">
        <f aca="false">tx_f</f>
        <v>0.13</v>
      </c>
      <c r="F1185" s="14" t="n">
        <f aca="false">tx_f</f>
        <v>0.13</v>
      </c>
      <c r="G1185" s="14" t="n">
        <f aca="false">tx_f</f>
        <v>0.13</v>
      </c>
    </row>
    <row r="1186" customFormat="false" ht="17.15" hidden="false" customHeight="false" outlineLevel="0" collapsed="false">
      <c r="A1186" s="4" t="s">
        <v>708</v>
      </c>
      <c r="B1186" s="0" t="s">
        <v>239</v>
      </c>
      <c r="C1186" s="22" t="n">
        <f aca="false">a26_ni</f>
        <v>2.46564</v>
      </c>
      <c r="D1186" s="22" t="n">
        <f aca="false">a27_ni</f>
        <v>3.83971098</v>
      </c>
      <c r="E1186" s="22" t="n">
        <f aca="false">(E1182-E1184)*(1-E1185)</f>
        <v>5.76722586314069</v>
      </c>
      <c r="F1186" s="22" t="n">
        <f aca="false">(F1182-F1184)*(1-F1185)</f>
        <v>7.50478378079798</v>
      </c>
      <c r="G1186" s="22" t="n">
        <f aca="false">(G1182-G1184)*(1-G1185)</f>
        <v>9.06923552968732</v>
      </c>
    </row>
    <row r="1187" customFormat="false" ht="15" hidden="false" customHeight="false" outlineLevel="0" collapsed="false">
      <c r="A1187" s="4" t="s">
        <v>776</v>
      </c>
      <c r="B1187" s="4" t="s">
        <v>370</v>
      </c>
      <c r="C1187" s="16" t="n">
        <f aca="false">a26_sh</f>
        <v>0.8697</v>
      </c>
      <c r="D1187" s="16" t="n">
        <f aca="false">a27_sh</f>
        <v>0.915125</v>
      </c>
      <c r="E1187" s="16" t="n">
        <f aca="false">D1187*(1+sh_g)</f>
        <v>0.919700625</v>
      </c>
      <c r="F1187" s="16" t="n">
        <f aca="false">E1187*(1+sh_g)</f>
        <v>0.924299128125</v>
      </c>
      <c r="G1187" s="16" t="n">
        <f aca="false">F1187*(1+sh_g)</f>
        <v>0.928920623765625</v>
      </c>
    </row>
    <row r="1188" customFormat="false" ht="17.15" hidden="false" customHeight="false" outlineLevel="0" collapsed="false">
      <c r="A1188" s="0" t="s">
        <v>709</v>
      </c>
      <c r="B1188" s="0" t="s">
        <v>253</v>
      </c>
      <c r="C1188" s="22" t="n">
        <f aca="false">C1186/C1187</f>
        <v>2.83504656778199</v>
      </c>
      <c r="D1188" s="22" t="n">
        <f aca="false">D1186/D1187</f>
        <v>4.19583224149706</v>
      </c>
      <c r="E1188" s="22" t="n">
        <f aca="false">E1186/E1187</f>
        <v>6.270764318705</v>
      </c>
      <c r="F1188" s="22" t="n">
        <f aca="false">F1186/F1187</f>
        <v>8.11943185105228</v>
      </c>
      <c r="G1188" s="22" t="n">
        <f aca="false">G1186/G1187</f>
        <v>9.76319751942075</v>
      </c>
    </row>
    <row r="1189" customFormat="false" ht="17.15" hidden="false" customHeight="false" outlineLevel="0" collapsed="false">
      <c r="A1189" s="0" t="s">
        <v>777</v>
      </c>
      <c r="B1189" s="0" t="s">
        <v>49</v>
      </c>
      <c r="D1189" s="14" t="n">
        <f aca="false">D1188/C1188-1</f>
        <v>0.479987062357033</v>
      </c>
      <c r="E1189" s="14" t="n">
        <f aca="false">E1188/D1188-1</f>
        <v>0.494522172904512</v>
      </c>
      <c r="F1189" s="14" t="n">
        <f aca="false">F1188/E1188-1</f>
        <v>0.294807369307903</v>
      </c>
      <c r="G1189" s="14" t="n">
        <f aca="false">G1188/F1188-1</f>
        <v>0.20244836073788</v>
      </c>
    </row>
    <row r="1192" customFormat="false" ht="17.15" hidden="false" customHeight="false" outlineLevel="0" collapsed="false">
      <c r="A1192" s="3" t="s">
        <v>1186</v>
      </c>
    </row>
    <row r="1193" customFormat="false" ht="17.15" hidden="false" customHeight="false" outlineLevel="0" collapsed="false">
      <c r="A1193" s="5" t="s">
        <v>25</v>
      </c>
      <c r="B1193" s="5" t="s">
        <v>26</v>
      </c>
      <c r="C1193" s="11" t="s">
        <v>698</v>
      </c>
      <c r="D1193" s="11" t="s">
        <v>699</v>
      </c>
      <c r="E1193" s="11" t="s">
        <v>700</v>
      </c>
      <c r="F1193" s="11" t="s">
        <v>701</v>
      </c>
      <c r="G1193" s="11" t="s">
        <v>702</v>
      </c>
      <c r="H1193" s="5" t="s">
        <v>555</v>
      </c>
    </row>
    <row r="1194" customFormat="false" ht="17.15" hidden="false" customHeight="false" outlineLevel="0" collapsed="false">
      <c r="A1194" s="1" t="s">
        <v>717</v>
      </c>
    </row>
    <row r="1195" customFormat="false" ht="17.15" hidden="false" customHeight="false" outlineLevel="0" collapsed="false">
      <c r="A1195" s="0" t="s">
        <v>718</v>
      </c>
      <c r="B1195" s="4" t="s">
        <v>36</v>
      </c>
      <c r="D1195" s="22" t="n">
        <f aca="false">u_trn_26</f>
        <v>2</v>
      </c>
      <c r="E1195" s="22" t="n">
        <f aca="false">u_trn_27</f>
        <v>2.5</v>
      </c>
      <c r="F1195" s="22" t="n">
        <f aca="false">u_trn_28*um28_A</f>
        <v>3</v>
      </c>
      <c r="G1195" s="22" t="n">
        <f aca="false">u_trn_28*(1+g29_trn)*um29_A</f>
        <v>3.45</v>
      </c>
    </row>
    <row r="1196" customFormat="false" ht="17.15" hidden="false" customHeight="false" outlineLevel="0" collapsed="false">
      <c r="A1196" s="4" t="s">
        <v>719</v>
      </c>
      <c r="B1196" s="4" t="s">
        <v>36</v>
      </c>
      <c r="D1196" s="22" t="n">
        <f aca="false">u_oth_26</f>
        <v>1</v>
      </c>
      <c r="E1196" s="22" t="n">
        <f aca="false">u_oth_27</f>
        <v>4.5</v>
      </c>
      <c r="F1196" s="22" t="n">
        <f aca="false">u_oth_28*um28_A</f>
        <v>5</v>
      </c>
      <c r="G1196" s="22" t="n">
        <f aca="false">u_oth_28*(1+g29_oth)*um29_A</f>
        <v>5.75</v>
      </c>
    </row>
    <row r="1197" customFormat="false" ht="17.15" hidden="false" customHeight="false" outlineLevel="0" collapsed="false">
      <c r="A1197" s="0" t="s">
        <v>720</v>
      </c>
      <c r="B1197" s="4" t="s">
        <v>36</v>
      </c>
      <c r="D1197" s="22" t="n">
        <f aca="false">u_tpu_26</f>
        <v>3.85</v>
      </c>
      <c r="E1197" s="22" t="n">
        <f aca="false">u_tpu_27</f>
        <v>5.5</v>
      </c>
      <c r="F1197" s="22" t="n">
        <f aca="false">u_tpu_28*um28_A</f>
        <v>7</v>
      </c>
      <c r="G1197" s="22" t="n">
        <f aca="false">u_tpu_28*(1+g29_tpu)*um29_A</f>
        <v>8.05</v>
      </c>
    </row>
    <row r="1198" customFormat="false" ht="17.15" hidden="false" customHeight="false" outlineLevel="0" collapsed="false">
      <c r="A1198" s="0" t="s">
        <v>658</v>
      </c>
      <c r="B1198" s="0" t="s">
        <v>49</v>
      </c>
      <c r="D1198" s="14" t="n">
        <f aca="false">msh_trn_26</f>
        <v>0.1</v>
      </c>
      <c r="E1198" s="14" t="n">
        <f aca="false">MIN(1,MAX(0,msh_trn_27+0))</f>
        <v>0.1</v>
      </c>
      <c r="F1198" s="14" t="n">
        <f aca="false">MIN(1,MAX(0,msh_trn_28+0))</f>
        <v>0.08</v>
      </c>
      <c r="G1198" s="14" t="n">
        <f aca="false">MIN(1,MAX(0,msh_trn_28+0))</f>
        <v>0.08</v>
      </c>
    </row>
    <row r="1199" customFormat="false" ht="17.15" hidden="false" customHeight="false" outlineLevel="0" collapsed="false">
      <c r="A1199" s="0" t="s">
        <v>666</v>
      </c>
      <c r="B1199" s="0" t="s">
        <v>49</v>
      </c>
      <c r="D1199" s="14" t="n">
        <f aca="false">msh_oth_26</f>
        <v>0.05</v>
      </c>
      <c r="E1199" s="14" t="n">
        <f aca="false">MIN(1,MAX(0,msh_oth_27+0))</f>
        <v>0.06</v>
      </c>
      <c r="F1199" s="14" t="n">
        <f aca="false">MIN(1,MAX(0,msh_oth_28+0))</f>
        <v>0.15</v>
      </c>
      <c r="G1199" s="14" t="n">
        <f aca="false">MIN(1,MAX(0,msh_oth_28+0))</f>
        <v>0.15</v>
      </c>
    </row>
    <row r="1200" customFormat="false" ht="17.15" hidden="false" customHeight="false" outlineLevel="0" collapsed="false">
      <c r="A1200" s="0" t="s">
        <v>670</v>
      </c>
      <c r="B1200" s="0" t="s">
        <v>49</v>
      </c>
      <c r="D1200" s="14" t="n">
        <f aca="false">msh_tpu_26</f>
        <v>0</v>
      </c>
      <c r="E1200" s="14" t="n">
        <f aca="false">MIN(1,MAX(0,msh_tpu_27+0))</f>
        <v>0</v>
      </c>
      <c r="F1200" s="14" t="n">
        <f aca="false">MIN(1,MAX(0,msh_tpu_28+0))</f>
        <v>0.05</v>
      </c>
      <c r="G1200" s="14" t="n">
        <f aca="false">MIN(1,MAX(0,msh_tpu_28+0))</f>
        <v>0.05</v>
      </c>
    </row>
    <row r="1201" customFormat="false" ht="17.15" hidden="false" customHeight="false" outlineLevel="0" collapsed="false">
      <c r="A1201" s="0" t="s">
        <v>660</v>
      </c>
      <c r="B1201" s="4" t="s">
        <v>36</v>
      </c>
      <c r="D1201" s="16" t="n">
        <f aca="false">D1195*D1198</f>
        <v>0.2</v>
      </c>
      <c r="E1201" s="16" t="n">
        <f aca="false">E1195*E1198*1</f>
        <v>0.25</v>
      </c>
      <c r="F1201" s="16" t="n">
        <f aca="false">F1195*F1198*1</f>
        <v>0.24</v>
      </c>
      <c r="G1201" s="16" t="n">
        <f aca="false">G1195*G1198*1</f>
        <v>0.276</v>
      </c>
    </row>
    <row r="1202" customFormat="false" ht="17.15" hidden="false" customHeight="false" outlineLevel="0" collapsed="false">
      <c r="A1202" s="0" t="s">
        <v>667</v>
      </c>
      <c r="B1202" s="4" t="s">
        <v>36</v>
      </c>
      <c r="D1202" s="16" t="n">
        <f aca="false">D1196*D1199</f>
        <v>0.05</v>
      </c>
      <c r="E1202" s="16" t="n">
        <f aca="false">E1196*E1199*1</f>
        <v>0.27</v>
      </c>
      <c r="F1202" s="16" t="n">
        <f aca="false">F1196*F1199*1</f>
        <v>0.75</v>
      </c>
      <c r="G1202" s="16" t="n">
        <f aca="false">G1196*G1199*1</f>
        <v>0.8625</v>
      </c>
    </row>
    <row r="1203" customFormat="false" ht="17.15" hidden="false" customHeight="false" outlineLevel="0" collapsed="false">
      <c r="A1203" s="0" t="s">
        <v>671</v>
      </c>
      <c r="B1203" s="4" t="s">
        <v>36</v>
      </c>
      <c r="D1203" s="16" t="n">
        <f aca="false">D1197*D1200</f>
        <v>0</v>
      </c>
      <c r="E1203" s="16" t="n">
        <f aca="false">E1197*E1200*1</f>
        <v>0</v>
      </c>
      <c r="F1203" s="16" t="n">
        <f aca="false">F1197*F1200*1</f>
        <v>0.35</v>
      </c>
      <c r="G1203" s="16" t="n">
        <f aca="false">G1197*G1200*1</f>
        <v>0.4025</v>
      </c>
    </row>
    <row r="1204" customFormat="false" ht="17.15" hidden="false" customHeight="false" outlineLevel="0" collapsed="false">
      <c r="A1204" s="4" t="s">
        <v>721</v>
      </c>
      <c r="B1204" s="0" t="s">
        <v>100</v>
      </c>
      <c r="D1204" s="23" t="n">
        <f aca="false">gb_trn_26</f>
        <v>110</v>
      </c>
      <c r="E1204" s="23" t="n">
        <f aca="false">gb_trn_27</f>
        <v>144</v>
      </c>
      <c r="F1204" s="23" t="n">
        <f aca="false">gb_trn_28</f>
        <v>200</v>
      </c>
      <c r="G1204" s="23" t="n">
        <f aca="false">gb_trn_28</f>
        <v>200</v>
      </c>
    </row>
    <row r="1205" customFormat="false" ht="17.15" hidden="false" customHeight="false" outlineLevel="0" collapsed="false">
      <c r="A1205" s="4" t="s">
        <v>722</v>
      </c>
      <c r="B1205" s="0" t="s">
        <v>100</v>
      </c>
      <c r="D1205" s="23" t="n">
        <f aca="false">gb_oth_26</f>
        <v>150</v>
      </c>
      <c r="E1205" s="23" t="n">
        <f aca="false">gb_oth_27</f>
        <v>200</v>
      </c>
      <c r="F1205" s="23" t="n">
        <f aca="false">gb_oth_28</f>
        <v>250</v>
      </c>
      <c r="G1205" s="23" t="n">
        <f aca="false">gb_oth_28</f>
        <v>250</v>
      </c>
    </row>
    <row r="1206" customFormat="false" ht="17.15" hidden="false" customHeight="false" outlineLevel="0" collapsed="false">
      <c r="A1206" s="4" t="s">
        <v>723</v>
      </c>
      <c r="B1206" s="0" t="s">
        <v>100</v>
      </c>
      <c r="D1206" s="23" t="n">
        <f aca="false">gb_tpu_26</f>
        <v>192</v>
      </c>
      <c r="E1206" s="23" t="n">
        <f aca="false">gb_tpu_27</f>
        <v>250</v>
      </c>
      <c r="F1206" s="23" t="n">
        <f aca="false">gb_tpu_28</f>
        <v>288</v>
      </c>
      <c r="G1206" s="23" t="n">
        <f aca="false">gb_tpu_28</f>
        <v>288</v>
      </c>
    </row>
    <row r="1207" customFormat="false" ht="17.15" hidden="false" customHeight="false" outlineLevel="0" collapsed="false">
      <c r="A1207" s="0" t="s">
        <v>724</v>
      </c>
      <c r="B1207" s="0" t="s">
        <v>200</v>
      </c>
      <c r="D1207" s="22" t="n">
        <f aca="false">hbm_A_26</f>
        <v>14.6</v>
      </c>
      <c r="E1207" s="22" t="n">
        <f aca="false">hbm_A_27</f>
        <v>26.28</v>
      </c>
      <c r="F1207" s="22" t="n">
        <f aca="false">hbm_A_28</f>
        <v>28.908</v>
      </c>
      <c r="G1207" s="22" t="n">
        <f aca="false">hbm_A_29</f>
        <v>27.4626</v>
      </c>
    </row>
    <row r="1208" customFormat="false" ht="17.15" hidden="false" customHeight="false" outlineLevel="0" collapsed="false">
      <c r="A1208" s="4" t="s">
        <v>725</v>
      </c>
      <c r="B1208" s="0" t="s">
        <v>122</v>
      </c>
      <c r="D1208" s="22" t="n">
        <f aca="false">core_trn</f>
        <v>6.394</v>
      </c>
      <c r="E1208" s="22" t="n">
        <f aca="false">core_trn*1</f>
        <v>6.394</v>
      </c>
      <c r="F1208" s="22" t="n">
        <f aca="false">core_trn*1</f>
        <v>6.394</v>
      </c>
      <c r="G1208" s="22" t="n">
        <f aca="false">core_trn*1</f>
        <v>6.394</v>
      </c>
    </row>
    <row r="1209" customFormat="false" ht="17.15" hidden="false" customHeight="false" outlineLevel="0" collapsed="false">
      <c r="A1209" s="4" t="s">
        <v>726</v>
      </c>
      <c r="B1209" s="0" t="s">
        <v>122</v>
      </c>
      <c r="D1209" s="22" t="n">
        <f aca="false">core_oth</f>
        <v>6</v>
      </c>
      <c r="E1209" s="22" t="n">
        <f aca="false">core_oth*1</f>
        <v>6</v>
      </c>
      <c r="F1209" s="22" t="n">
        <f aca="false">core_oth*1</f>
        <v>6</v>
      </c>
      <c r="G1209" s="22" t="n">
        <f aca="false">core_oth*1</f>
        <v>6</v>
      </c>
    </row>
    <row r="1210" customFormat="false" ht="17.15" hidden="false" customHeight="false" outlineLevel="0" collapsed="false">
      <c r="A1210" s="4" t="s">
        <v>727</v>
      </c>
      <c r="B1210" s="0" t="s">
        <v>122</v>
      </c>
      <c r="D1210" s="22" t="n">
        <f aca="false">core_tpu</f>
        <v>8</v>
      </c>
      <c r="E1210" s="22" t="n">
        <f aca="false">core_tpu*1</f>
        <v>8</v>
      </c>
      <c r="F1210" s="22" t="n">
        <f aca="false">core_tpu*1</f>
        <v>8</v>
      </c>
      <c r="G1210" s="22" t="n">
        <f aca="false">core_tpu*1</f>
        <v>8</v>
      </c>
    </row>
    <row r="1211" customFormat="false" ht="17.15" hidden="false" customHeight="false" outlineLevel="0" collapsed="false">
      <c r="A1211" s="4" t="s">
        <v>728</v>
      </c>
      <c r="B1211" s="0" t="s">
        <v>122</v>
      </c>
      <c r="D1211" s="22" t="n">
        <f aca="false">D1204*D1207/1000</f>
        <v>1.606</v>
      </c>
      <c r="E1211" s="22" t="n">
        <f aca="false">E1204*E1207/1000</f>
        <v>3.78432</v>
      </c>
      <c r="F1211" s="22" t="n">
        <f aca="false">F1204*F1207/1000</f>
        <v>5.7816</v>
      </c>
      <c r="G1211" s="22" t="n">
        <f aca="false">G1204*G1207/1000</f>
        <v>5.49252</v>
      </c>
    </row>
    <row r="1212" customFormat="false" ht="17.15" hidden="false" customHeight="false" outlineLevel="0" collapsed="false">
      <c r="A1212" s="4" t="s">
        <v>729</v>
      </c>
      <c r="B1212" s="0" t="s">
        <v>122</v>
      </c>
      <c r="D1212" s="22" t="n">
        <f aca="false">D1205*D1207/1000</f>
        <v>2.19</v>
      </c>
      <c r="E1212" s="22" t="n">
        <f aca="false">E1205*E1207/1000</f>
        <v>5.256</v>
      </c>
      <c r="F1212" s="22" t="n">
        <f aca="false">F1205*F1207/1000</f>
        <v>7.227</v>
      </c>
      <c r="G1212" s="22" t="n">
        <f aca="false">G1205*G1207/1000</f>
        <v>6.86565</v>
      </c>
    </row>
    <row r="1213" customFormat="false" ht="17.15" hidden="false" customHeight="false" outlineLevel="0" collapsed="false">
      <c r="A1213" s="4" t="s">
        <v>730</v>
      </c>
      <c r="B1213" s="0" t="s">
        <v>122</v>
      </c>
      <c r="D1213" s="22" t="n">
        <f aca="false">D1206*D1207/1000</f>
        <v>2.8032</v>
      </c>
      <c r="E1213" s="22" t="n">
        <f aca="false">E1206*E1207/1000</f>
        <v>6.57</v>
      </c>
      <c r="F1213" s="22" t="n">
        <f aca="false">F1206*F1207/1000</f>
        <v>8.325504</v>
      </c>
      <c r="G1213" s="22" t="n">
        <f aca="false">G1206*G1207/1000</f>
        <v>7.9092288</v>
      </c>
    </row>
    <row r="1214" customFormat="false" ht="17.15" hidden="false" customHeight="false" outlineLevel="0" collapsed="false">
      <c r="A1214" s="4" t="s">
        <v>731</v>
      </c>
      <c r="B1214" s="0" t="s">
        <v>122</v>
      </c>
      <c r="D1214" s="22" t="n">
        <f aca="false">D1208+f_hbm*D1211</f>
        <v>7.3576</v>
      </c>
      <c r="E1214" s="22" t="n">
        <f aca="false">E1208+f_hbm*E1211</f>
        <v>8.664592</v>
      </c>
      <c r="F1214" s="22" t="n">
        <f aca="false">F1208+f_hbm*F1211</f>
        <v>9.86296</v>
      </c>
      <c r="G1214" s="22" t="n">
        <f aca="false">G1208+f_hbm*G1211</f>
        <v>9.689512</v>
      </c>
      <c r="H1214" s="4" t="s">
        <v>732</v>
      </c>
    </row>
    <row r="1215" customFormat="false" ht="17.15" hidden="false" customHeight="false" outlineLevel="0" collapsed="false">
      <c r="A1215" s="4" t="s">
        <v>733</v>
      </c>
      <c r="B1215" s="0" t="s">
        <v>122</v>
      </c>
      <c r="D1215" s="22" t="n">
        <f aca="false">D1209+f_hbm*D1212</f>
        <v>7.314</v>
      </c>
      <c r="E1215" s="22" t="n">
        <f aca="false">E1209+f_hbm*E1212</f>
        <v>9.1536</v>
      </c>
      <c r="F1215" s="22" t="n">
        <f aca="false">F1209+f_hbm*F1212</f>
        <v>10.3362</v>
      </c>
      <c r="G1215" s="22" t="n">
        <f aca="false">G1209+f_hbm*G1212</f>
        <v>10.11939</v>
      </c>
    </row>
    <row r="1216" customFormat="false" ht="17.15" hidden="false" customHeight="false" outlineLevel="0" collapsed="false">
      <c r="A1216" s="4" t="s">
        <v>734</v>
      </c>
      <c r="B1216" s="0" t="s">
        <v>122</v>
      </c>
      <c r="D1216" s="22" t="n">
        <f aca="false">D1210+f_hbm*D1213</f>
        <v>9.68192</v>
      </c>
      <c r="E1216" s="22" t="n">
        <f aca="false">E1210+f_hbm*E1213</f>
        <v>11.942</v>
      </c>
      <c r="F1216" s="22" t="n">
        <f aca="false">F1210+f_hbm*F1213</f>
        <v>12.9953024</v>
      </c>
      <c r="G1216" s="22" t="n">
        <f aca="false">G1210+f_hbm*G1213</f>
        <v>12.74553728</v>
      </c>
    </row>
    <row r="1217" customFormat="false" ht="17.15" hidden="false" customHeight="false" outlineLevel="0" collapsed="false">
      <c r="A1217" s="0" t="s">
        <v>735</v>
      </c>
      <c r="B1217" s="0" t="s">
        <v>239</v>
      </c>
      <c r="D1217" s="22" t="n">
        <f aca="false">D1201*D1214+D1202*D1215+D1203*D1216</f>
        <v>1.83722</v>
      </c>
      <c r="E1217" s="22" t="n">
        <f aca="false">E1201*E1214+E1202*E1215+E1203*E1216</f>
        <v>4.63762</v>
      </c>
      <c r="F1217" s="22" t="n">
        <f aca="false">F1201*F1214+F1202*F1215+F1203*F1216</f>
        <v>14.66761624</v>
      </c>
      <c r="G1217" s="22" t="n">
        <f aca="false">G1201*G1214+G1202*G1215+G1203*G1216</f>
        <v>16.5323579422</v>
      </c>
    </row>
    <row r="1218" customFormat="false" ht="17.15" hidden="false" customHeight="false" outlineLevel="0" collapsed="false">
      <c r="A1218" s="0" t="s">
        <v>736</v>
      </c>
      <c r="B1218" s="0" t="s">
        <v>80</v>
      </c>
      <c r="D1218" s="16" t="n">
        <f aca="false">a27_xpu/D1217</f>
        <v>0.802843426481314</v>
      </c>
      <c r="H1218" s="7" t="s">
        <v>737</v>
      </c>
    </row>
    <row r="1219" customFormat="false" ht="17.15" hidden="false" customHeight="false" outlineLevel="0" collapsed="false">
      <c r="A1219" s="0" t="s">
        <v>738</v>
      </c>
      <c r="B1219" s="0" t="s">
        <v>239</v>
      </c>
      <c r="D1219" s="22" t="n">
        <f aca="false">D1217*$D$1218</f>
        <v>1.475</v>
      </c>
      <c r="E1219" s="22" t="n">
        <f aca="false">E1217*$D$1218</f>
        <v>3.72328273151827</v>
      </c>
      <c r="F1219" s="22" t="n">
        <f aca="false">F1217*$D$1218</f>
        <v>11.7757992804346</v>
      </c>
      <c r="G1219" s="22" t="n">
        <f aca="false">G1217*$D$1218</f>
        <v>13.2728948981314</v>
      </c>
    </row>
    <row r="1220" customFormat="false" ht="17.15" hidden="false" customHeight="false" outlineLevel="0" collapsed="false">
      <c r="A1220" s="4" t="s">
        <v>739</v>
      </c>
      <c r="B1220" s="0" t="s">
        <v>239</v>
      </c>
      <c r="D1220" s="22" t="n">
        <f aca="false">$D$1218*f_hbm*(D1201*D1211+D1202*D1212+D1203*D1213)</f>
        <v>0.207470798271301</v>
      </c>
      <c r="E1220" s="22" t="n">
        <f aca="false">$D$1218*f_hbm*(E1201*E1211+E1202*E1212+E1203*E1213)</f>
        <v>1.13933116338816</v>
      </c>
      <c r="F1220" s="22" t="n">
        <f aca="false">$D$1218*f_hbm*(F1201*F1211+F1202*F1212+F1203*F1213)</f>
        <v>4.68303085857981</v>
      </c>
      <c r="G1220" s="22" t="n">
        <f aca="false">$D$1218*f_hbm*(G1201*G1211+G1202*G1212+G1203*G1213)</f>
        <v>5.11621121299844</v>
      </c>
    </row>
    <row r="1221" customFormat="false" ht="15" hidden="false" customHeight="false" outlineLevel="0" collapsed="false">
      <c r="A1221" s="4" t="s">
        <v>740</v>
      </c>
      <c r="B1221" s="0" t="s">
        <v>239</v>
      </c>
      <c r="D1221" s="22" t="n">
        <f aca="false">D1219-D1220</f>
        <v>1.2675292017287</v>
      </c>
      <c r="E1221" s="22" t="n">
        <f aca="false">E1219-E1220</f>
        <v>2.58395156813011</v>
      </c>
      <c r="F1221" s="22" t="n">
        <f aca="false">F1219-F1220</f>
        <v>7.09276842185476</v>
      </c>
      <c r="G1221" s="22" t="n">
        <f aca="false">G1219-G1220</f>
        <v>8.15668368513297</v>
      </c>
    </row>
    <row r="1222" customFormat="false" ht="17.15" hidden="false" customHeight="false" outlineLevel="0" collapsed="false">
      <c r="A1222" s="0" t="s">
        <v>741</v>
      </c>
      <c r="B1222" s="4" t="s">
        <v>36</v>
      </c>
      <c r="D1222" s="16" t="n">
        <f aca="false">D1201+D1202+D1203</f>
        <v>0.25</v>
      </c>
      <c r="E1222" s="16" t="n">
        <f aca="false">E1201+E1202+E1203</f>
        <v>0.52</v>
      </c>
      <c r="F1222" s="16" t="n">
        <f aca="false">F1201+F1202+F1203</f>
        <v>1.34</v>
      </c>
      <c r="G1222" s="16" t="n">
        <f aca="false">G1201+G1202+G1203</f>
        <v>1.541</v>
      </c>
    </row>
    <row r="1223" customFormat="false" ht="17.15" hidden="false" customHeight="false" outlineLevel="0" collapsed="false">
      <c r="A1223" s="0" t="s">
        <v>742</v>
      </c>
      <c r="B1223" s="0" t="s">
        <v>239</v>
      </c>
      <c r="C1223" s="22" t="n">
        <f aca="false">a26_att</f>
        <v>0.2</v>
      </c>
      <c r="D1223" s="22" t="n">
        <f aca="false">a27_att</f>
        <v>0.4</v>
      </c>
      <c r="E1223" s="22" t="n">
        <f aca="false">att28_hi</f>
        <v>1.4</v>
      </c>
      <c r="F1223" s="22" t="n">
        <f aca="false">att28_hi*(1+g_att)*um28_A</f>
        <v>2.1</v>
      </c>
      <c r="G1223" s="22" t="n">
        <f aca="false">att28_hi*(1+g_att)^2*um29_A</f>
        <v>3.15</v>
      </c>
      <c r="H1223" s="7" t="s">
        <v>743</v>
      </c>
    </row>
    <row r="1224" customFormat="false" ht="17.15" hidden="false" customHeight="false" outlineLevel="0" collapsed="false">
      <c r="A1224" s="4" t="s">
        <v>744</v>
      </c>
      <c r="B1224" s="0" t="s">
        <v>239</v>
      </c>
      <c r="C1224" s="22" t="n">
        <f aca="false">a26_cus</f>
        <v>1.5</v>
      </c>
      <c r="D1224" s="22" t="n">
        <f aca="false">D1219+D1223</f>
        <v>1.875</v>
      </c>
      <c r="E1224" s="22" t="n">
        <f aca="false">E1219+E1223</f>
        <v>5.12328273151827</v>
      </c>
      <c r="F1224" s="22" t="n">
        <f aca="false">F1219+F1223</f>
        <v>13.8757992804346</v>
      </c>
      <c r="G1224" s="22" t="n">
        <f aca="false">G1219+G1223</f>
        <v>16.4228948981314</v>
      </c>
    </row>
    <row r="1225" customFormat="false" ht="17.15" hidden="false" customHeight="false" outlineLevel="0" collapsed="false">
      <c r="A1225" s="1" t="s">
        <v>745</v>
      </c>
    </row>
    <row r="1226" customFormat="false" ht="17.15" hidden="false" customHeight="false" outlineLevel="0" collapsed="false">
      <c r="A1226" s="0" t="s">
        <v>746</v>
      </c>
      <c r="B1226" s="0" t="s">
        <v>239</v>
      </c>
      <c r="D1226" s="22" t="n">
        <f aca="false">plug_26*1</f>
        <v>29.753262</v>
      </c>
      <c r="E1226" s="22" t="n">
        <f aca="false">plug_27*1</f>
        <v>53.560715</v>
      </c>
      <c r="F1226" s="22" t="n">
        <f aca="false">plug_28*um28_A</f>
        <v>57.9915</v>
      </c>
      <c r="G1226" s="22" t="n">
        <f aca="false">plug_29*um29_A</f>
        <v>72.9348</v>
      </c>
    </row>
    <row r="1227" customFormat="false" ht="17.15" hidden="false" customHeight="false" outlineLevel="0" collapsed="false">
      <c r="A1227" s="4" t="s">
        <v>747</v>
      </c>
      <c r="B1227" s="4" t="s">
        <v>680</v>
      </c>
      <c r="D1227" s="19" t="n">
        <f aca="false">D1226*1000/asp_26</f>
        <v>45.7742492307692</v>
      </c>
      <c r="E1227" s="19" t="n">
        <f aca="false">E1226*1000/asp_27</f>
        <v>66.95089375</v>
      </c>
      <c r="F1227" s="19" t="n">
        <f aca="false">F1226*1000/asp_28</f>
        <v>68.2252941176471</v>
      </c>
      <c r="G1227" s="19" t="n">
        <f aca="false">G1226*1000/asp_29</f>
        <v>85.8056470588235</v>
      </c>
    </row>
    <row r="1228" customFormat="false" ht="17.15" hidden="false" customHeight="false" outlineLevel="0" collapsed="false">
      <c r="A1228" s="4" t="s">
        <v>748</v>
      </c>
      <c r="B1228" s="0" t="s">
        <v>49</v>
      </c>
      <c r="D1228" s="14" t="n">
        <f aca="false">MIN(1,lpo_26)</f>
        <v>0.03</v>
      </c>
      <c r="E1228" s="14" t="n">
        <f aca="false">MIN(1,lpo_27+0)</f>
        <v>0.06</v>
      </c>
      <c r="F1228" s="14" t="n">
        <f aca="false">MIN(1,lpo_28+0)</f>
        <v>0.1</v>
      </c>
      <c r="G1228" s="14" t="n">
        <f aca="false">MIN(1,lpo_29+0)</f>
        <v>0.15</v>
      </c>
    </row>
    <row r="1229" customFormat="false" ht="15" hidden="false" customHeight="false" outlineLevel="0" collapsed="false">
      <c r="A1229" s="4" t="s">
        <v>749</v>
      </c>
      <c r="B1229" s="0" t="s">
        <v>253</v>
      </c>
      <c r="D1229" s="23" t="n">
        <f aca="false">dsp_26</f>
        <v>125</v>
      </c>
      <c r="E1229" s="23" t="n">
        <f aca="false">dsp_27*1</f>
        <v>135</v>
      </c>
      <c r="F1229" s="23" t="n">
        <f aca="false">dsp_28*1</f>
        <v>135</v>
      </c>
      <c r="G1229" s="23" t="n">
        <f aca="false">dsp_29*1</f>
        <v>130</v>
      </c>
    </row>
    <row r="1230" customFormat="false" ht="17.15" hidden="false" customHeight="false" outlineLevel="0" collapsed="false">
      <c r="A1230" s="4" t="s">
        <v>750</v>
      </c>
      <c r="B1230" s="0" t="s">
        <v>239</v>
      </c>
      <c r="D1230" s="22" t="n">
        <f aca="false">D1227*(1-D1228)*D1229/1000</f>
        <v>5.55012771923077</v>
      </c>
      <c r="E1230" s="22" t="n">
        <f aca="false">E1227*(1-E1228)*E1229/1000</f>
        <v>8.496068416875</v>
      </c>
      <c r="F1230" s="22" t="n">
        <f aca="false">F1227*(1-F1228)*F1229/1000</f>
        <v>8.28937323529412</v>
      </c>
      <c r="G1230" s="22" t="n">
        <f aca="false">G1227*(1-G1228)*G1229/1000</f>
        <v>9.481524</v>
      </c>
    </row>
    <row r="1231" customFormat="false" ht="17.15" hidden="false" customHeight="false" outlineLevel="0" collapsed="false">
      <c r="A1231" s="0" t="s">
        <v>751</v>
      </c>
      <c r="B1231" s="0" t="s">
        <v>49</v>
      </c>
      <c r="D1231" s="14" t="n">
        <f aca="false">msh_dsp_26</f>
        <v>0.65</v>
      </c>
      <c r="E1231" s="14" t="n">
        <f aca="false">msh_dsp_27+0</f>
        <v>0.63</v>
      </c>
      <c r="F1231" s="14" t="n">
        <f aca="false">msh_dsp_28+0</f>
        <v>0.6</v>
      </c>
      <c r="G1231" s="14" t="n">
        <f aca="false">msh_dsp_29+0</f>
        <v>0.58</v>
      </c>
    </row>
    <row r="1232" customFormat="false" ht="17.15" hidden="false" customHeight="false" outlineLevel="0" collapsed="false">
      <c r="A1232" s="0" t="s">
        <v>682</v>
      </c>
      <c r="B1232" s="0" t="s">
        <v>239</v>
      </c>
      <c r="D1232" s="22" t="n">
        <f aca="false">D1230*D1231</f>
        <v>3.6075830175</v>
      </c>
      <c r="E1232" s="22" t="n">
        <f aca="false">E1230*E1231*1</f>
        <v>5.35252310263125</v>
      </c>
      <c r="F1232" s="22" t="n">
        <f aca="false">F1230*F1231*1</f>
        <v>4.97362394117647</v>
      </c>
      <c r="G1232" s="22" t="n">
        <f aca="false">G1230*G1231*1</f>
        <v>5.49928392</v>
      </c>
    </row>
    <row r="1233" customFormat="false" ht="17.15" hidden="false" customHeight="false" outlineLevel="0" collapsed="false">
      <c r="A1233" s="4" t="s">
        <v>752</v>
      </c>
      <c r="B1233" s="0" t="s">
        <v>239</v>
      </c>
      <c r="D1233" s="22" t="n">
        <f aca="false">coh27</f>
        <v>0.9</v>
      </c>
      <c r="E1233" s="22" t="n">
        <f aca="false">D1233*(1+g_coh)</f>
        <v>1.035</v>
      </c>
      <c r="F1233" s="22" t="n">
        <f aca="false">E1233*(1+g_coh)</f>
        <v>1.19025</v>
      </c>
      <c r="G1233" s="22" t="n">
        <f aca="false">F1233*(1+g_coh)</f>
        <v>1.3687875</v>
      </c>
    </row>
    <row r="1234" customFormat="false" ht="17.15" hidden="false" customHeight="false" outlineLevel="0" collapsed="false">
      <c r="A1234" s="4" t="s">
        <v>753</v>
      </c>
      <c r="B1234" s="0" t="s">
        <v>80</v>
      </c>
      <c r="D1234" s="16" t="n">
        <f aca="false">(a27_ic-D1233)/D1232</f>
        <v>1.44223430888795</v>
      </c>
      <c r="H1234" s="7" t="s">
        <v>754</v>
      </c>
    </row>
    <row r="1235" customFormat="false" ht="15" hidden="false" customHeight="false" outlineLevel="0" collapsed="false">
      <c r="A1235" s="4" t="s">
        <v>755</v>
      </c>
      <c r="B1235" s="0" t="s">
        <v>239</v>
      </c>
      <c r="C1235" s="22" t="n">
        <f aca="false">a26_ic</f>
        <v>3.4503</v>
      </c>
      <c r="D1235" s="22" t="n">
        <f aca="false">D1232*$D$1234+D1233</f>
        <v>6.10298</v>
      </c>
      <c r="E1235" s="22" t="n">
        <f aca="false">E1232*$D$1234+E1233</f>
        <v>8.75459245773014</v>
      </c>
      <c r="F1235" s="22" t="n">
        <f aca="false">F1232*$D$1234+F1233</f>
        <v>8.36338108747118</v>
      </c>
      <c r="G1235" s="22" t="n">
        <f aca="false">G1232*$D$1234+G1233</f>
        <v>9.30004344373979</v>
      </c>
    </row>
    <row r="1236" customFormat="false" ht="17.15" hidden="false" customHeight="false" outlineLevel="0" collapsed="false">
      <c r="A1236" s="1" t="s">
        <v>756</v>
      </c>
    </row>
    <row r="1237" customFormat="false" ht="15" hidden="false" customHeight="false" outlineLevel="0" collapsed="false">
      <c r="A1237" s="4" t="s">
        <v>757</v>
      </c>
      <c r="B1237" s="0" t="s">
        <v>239</v>
      </c>
      <c r="C1237" s="22" t="n">
        <f aca="false">a26_sw</f>
        <v>0.3</v>
      </c>
      <c r="D1237" s="22" t="n">
        <f aca="false">a27_sw</f>
        <v>0.65</v>
      </c>
      <c r="E1237" s="22" t="n">
        <f aca="false">a27_sw*(1+g_sw28)</f>
        <v>1.17</v>
      </c>
      <c r="F1237" s="22" t="n">
        <f aca="false">a27_sw*(1+g_sw28)*(1+g_sw)*um28_A</f>
        <v>1.638</v>
      </c>
      <c r="G1237" s="22" t="n">
        <f aca="false">a27_sw*(1+g_sw28)*(1+g_sw)^2*um29_A</f>
        <v>2.2932</v>
      </c>
    </row>
    <row r="1238" customFormat="false" ht="17.15" hidden="false" customHeight="false" outlineLevel="0" collapsed="false">
      <c r="A1238" s="0" t="s">
        <v>758</v>
      </c>
      <c r="B1238" s="0" t="s">
        <v>239</v>
      </c>
      <c r="C1238" s="22" t="n">
        <f aca="false">a26_aec</f>
        <v>0.2</v>
      </c>
      <c r="D1238" s="22" t="n">
        <f aca="false">a27_aec</f>
        <v>0.45</v>
      </c>
      <c r="E1238" s="22" t="n">
        <f aca="false">a27_aec*(1+g_aec)</f>
        <v>0.675</v>
      </c>
      <c r="F1238" s="22" t="n">
        <f aca="false">a27_aec*(1+g_aec)^2*um28_A</f>
        <v>1.0125</v>
      </c>
      <c r="G1238" s="22" t="n">
        <f aca="false">a27_aec*(1+g_aec)^3*um29_A</f>
        <v>1.51875</v>
      </c>
    </row>
    <row r="1239" customFormat="false" ht="15" hidden="false" customHeight="false" outlineLevel="0" collapsed="false">
      <c r="A1239" s="4" t="s">
        <v>759</v>
      </c>
      <c r="B1239" s="0" t="s">
        <v>239</v>
      </c>
      <c r="C1239" s="22" t="n">
        <f aca="false">a26_sto</f>
        <v>0.65</v>
      </c>
      <c r="D1239" s="22" t="n">
        <f aca="false">a27_sto</f>
        <v>0.6825</v>
      </c>
      <c r="E1239" s="22" t="n">
        <f aca="false">D1239*(1+g_sto)</f>
        <v>0.716625</v>
      </c>
      <c r="F1239" s="22" t="n">
        <f aca="false">E1239*(1+g_sto)</f>
        <v>0.75245625</v>
      </c>
      <c r="G1239" s="22" t="n">
        <f aca="false">F1239*(1+g_sto)</f>
        <v>0.7900790625</v>
      </c>
    </row>
    <row r="1240" customFormat="false" ht="15" hidden="false" customHeight="false" outlineLevel="0" collapsed="false">
      <c r="A1240" s="4" t="s">
        <v>760</v>
      </c>
      <c r="B1240" s="0" t="s">
        <v>239</v>
      </c>
      <c r="C1240" s="22" t="n">
        <f aca="false">a26_dc</f>
        <v>6.1003</v>
      </c>
      <c r="D1240" s="22" t="n">
        <f aca="false">D1224+D1235+D1237+D1238+D1239</f>
        <v>9.76048</v>
      </c>
      <c r="E1240" s="22" t="n">
        <f aca="false">E1224+E1235+E1237+E1238+E1239</f>
        <v>16.4395001892484</v>
      </c>
      <c r="F1240" s="22" t="n">
        <f aca="false">F1224+F1235+F1237+F1238+F1239</f>
        <v>25.6421366179058</v>
      </c>
      <c r="G1240" s="22" t="n">
        <f aca="false">G1224+G1235+G1237+G1238+G1239</f>
        <v>30.3249674043712</v>
      </c>
    </row>
    <row r="1241" customFormat="false" ht="15" hidden="false" customHeight="false" outlineLevel="0" collapsed="false">
      <c r="A1241" s="4" t="s">
        <v>761</v>
      </c>
      <c r="B1241" s="0" t="s">
        <v>239</v>
      </c>
      <c r="C1241" s="22" t="n">
        <f aca="false">a26_co</f>
        <v>2.0943</v>
      </c>
      <c r="D1241" s="22" t="n">
        <f aca="false">a27_co</f>
        <v>2.23952</v>
      </c>
      <c r="E1241" s="22" t="n">
        <f aca="false">D1241*(1+g_co28)</f>
        <v>2.3067056</v>
      </c>
      <c r="F1241" s="22" t="n">
        <f aca="false">E1241*(1+g_co)</f>
        <v>2.375906768</v>
      </c>
      <c r="G1241" s="22" t="n">
        <f aca="false">F1241*(1+g_co)</f>
        <v>2.44718397104</v>
      </c>
    </row>
    <row r="1242" customFormat="false" ht="17.15" hidden="false" customHeight="false" outlineLevel="0" collapsed="false">
      <c r="A1242" s="1" t="s">
        <v>762</v>
      </c>
    </row>
    <row r="1243" customFormat="false" ht="15" hidden="false" customHeight="false" outlineLevel="0" collapsed="false">
      <c r="A1243" s="4" t="s">
        <v>597</v>
      </c>
      <c r="B1243" s="0" t="s">
        <v>239</v>
      </c>
      <c r="C1243" s="22" t="n">
        <f aca="false">a26_rev</f>
        <v>8.1946</v>
      </c>
      <c r="D1243" s="22" t="n">
        <f aca="false">a27_rev</f>
        <v>12</v>
      </c>
      <c r="E1243" s="22" t="n">
        <f aca="false">E1240+E1241</f>
        <v>18.7462057892484</v>
      </c>
      <c r="F1243" s="22" t="n">
        <f aca="false">F1240+F1241</f>
        <v>28.0180433859058</v>
      </c>
      <c r="G1243" s="22" t="n">
        <f aca="false">G1240+G1241</f>
        <v>32.7721513754112</v>
      </c>
    </row>
    <row r="1244" customFormat="false" ht="17.15" hidden="false" customHeight="false" outlineLevel="0" collapsed="false">
      <c r="A1244" s="4" t="s">
        <v>763</v>
      </c>
      <c r="B1244" s="0" t="s">
        <v>239</v>
      </c>
      <c r="D1244" s="22" t="n">
        <f aca="false">D1240+D1241</f>
        <v>12</v>
      </c>
      <c r="E1244" s="22" t="n">
        <f aca="false">E1240+E1241</f>
        <v>18.7462057892484</v>
      </c>
      <c r="F1244" s="22" t="n">
        <f aca="false">F1240+F1241</f>
        <v>28.0180433859058</v>
      </c>
      <c r="G1244" s="22" t="n">
        <f aca="false">G1240+G1241</f>
        <v>32.7721513754112</v>
      </c>
    </row>
    <row r="1245" customFormat="false" ht="15" hidden="false" customHeight="false" outlineLevel="0" collapsed="false">
      <c r="A1245" s="4" t="s">
        <v>764</v>
      </c>
      <c r="B1245" s="0" t="s">
        <v>49</v>
      </c>
      <c r="D1245" s="14" t="n">
        <f aca="false">D1243/C1243-1</f>
        <v>0.464378981280355</v>
      </c>
      <c r="E1245" s="14" t="n">
        <f aca="false">E1243/D1243-1</f>
        <v>0.562183815770701</v>
      </c>
      <c r="F1245" s="14" t="n">
        <f aca="false">F1243/E1243-1</f>
        <v>0.494598090989434</v>
      </c>
      <c r="G1245" s="14" t="n">
        <f aca="false">G1243/F1243-1</f>
        <v>0.16968022798826</v>
      </c>
    </row>
    <row r="1246" customFormat="false" ht="17.15" hidden="false" customHeight="false" outlineLevel="0" collapsed="false">
      <c r="A1246" s="4" t="s">
        <v>765</v>
      </c>
      <c r="B1246" s="0" t="s">
        <v>49</v>
      </c>
      <c r="C1246" s="14" t="n">
        <f aca="false">C1240/C1243</f>
        <v>0.744429258292046</v>
      </c>
      <c r="D1246" s="14" t="n">
        <f aca="false">D1240/D1243</f>
        <v>0.813373333333333</v>
      </c>
      <c r="E1246" s="14" t="n">
        <f aca="false">E1240/E1243</f>
        <v>0.876950801355068</v>
      </c>
      <c r="F1246" s="14" t="n">
        <f aca="false">F1240/F1243</f>
        <v>0.915200832004023</v>
      </c>
      <c r="G1246" s="14" t="n">
        <f aca="false">G1240/G1243</f>
        <v>0.925327332252099</v>
      </c>
    </row>
    <row r="1247" customFormat="false" ht="17.15" hidden="false" customHeight="false" outlineLevel="0" collapsed="false">
      <c r="A1247" s="4" t="s">
        <v>766</v>
      </c>
      <c r="B1247" s="0" t="s">
        <v>239</v>
      </c>
      <c r="D1247" s="22" t="n">
        <f aca="false">gm_opt*D1235+gm_oth*(D1237+D1238+D1239)+gm_att*D1223+gm_co*D1241+m_hbm*D1220</f>
        <v>6.45404607982713</v>
      </c>
      <c r="E1247" s="22" t="n">
        <f aca="false">gm_opt*E1235+gm_oth*(E1237+E1238+E1239)+gm_att*E1223+gm_co*E1241+m_hbm*E1220</f>
        <v>9.27419061270881</v>
      </c>
      <c r="F1247" s="22" t="n">
        <f aca="false">gm_opt*F1235+gm_oth*(F1237+F1238+F1239)+gm_att*F1223+gm_co*F1241+m_hbm*F1220</f>
        <v>10.3120328464048</v>
      </c>
      <c r="G1247" s="22" t="n">
        <f aca="false">gm_opt*G1235+gm_oth*(G1237+G1238+G1239)+gm_att*G1223+gm_co*G1241+m_hbm*G1220</f>
        <v>12.2837326315591</v>
      </c>
    </row>
    <row r="1248" customFormat="false" ht="17.15" hidden="false" customHeight="false" outlineLevel="0" collapsed="false">
      <c r="A1248" s="0" t="s">
        <v>767</v>
      </c>
      <c r="B1248" s="0" t="s">
        <v>80</v>
      </c>
      <c r="D1248" s="16" t="n">
        <f aca="false">(a27_gp-D1247)/D1221</f>
        <v>0.435994625937743</v>
      </c>
      <c r="H1248" s="7" t="s">
        <v>768</v>
      </c>
    </row>
    <row r="1249" customFormat="false" ht="15" hidden="false" customHeight="false" outlineLevel="0" collapsed="false">
      <c r="A1249" s="4" t="s">
        <v>769</v>
      </c>
      <c r="B1249" s="0" t="s">
        <v>239</v>
      </c>
      <c r="C1249" s="22" t="n">
        <f aca="false">a26_gp</f>
        <v>4.8718</v>
      </c>
      <c r="D1249" s="22" t="n">
        <f aca="false">a27_gp</f>
        <v>7.006682</v>
      </c>
      <c r="E1249" s="22" t="n">
        <f aca="false">E1247+$D$1248*E1221</f>
        <v>10.4007796100969</v>
      </c>
      <c r="F1249" s="22" t="n">
        <f aca="false">F1247+$D$1248*F1221</f>
        <v>13.4044417613544</v>
      </c>
      <c r="G1249" s="22" t="n">
        <f aca="false">G1247+$D$1248*G1221</f>
        <v>15.8400028837511</v>
      </c>
    </row>
    <row r="1250" customFormat="false" ht="15" hidden="false" customHeight="false" outlineLevel="0" collapsed="false">
      <c r="A1250" s="4" t="s">
        <v>621</v>
      </c>
      <c r="B1250" s="0" t="s">
        <v>49</v>
      </c>
      <c r="C1250" s="14" t="n">
        <f aca="false">C1249/C1243</f>
        <v>0.59451346008347</v>
      </c>
      <c r="D1250" s="14" t="n">
        <f aca="false">D1249/D1243</f>
        <v>0.583890166666667</v>
      </c>
      <c r="E1250" s="14" t="n">
        <f aca="false">E1249/E1243</f>
        <v>0.55482051819052</v>
      </c>
      <c r="F1250" s="14" t="n">
        <f aca="false">F1249/F1243</f>
        <v>0.478421764743837</v>
      </c>
      <c r="G1250" s="14" t="n">
        <f aca="false">G1249/G1243</f>
        <v>0.483337291540641</v>
      </c>
    </row>
    <row r="1251" customFormat="false" ht="17.15" hidden="false" customHeight="false" outlineLevel="0" collapsed="false">
      <c r="A1251" s="4" t="s">
        <v>770</v>
      </c>
      <c r="B1251" s="0" t="s">
        <v>49</v>
      </c>
      <c r="C1251" s="14" t="n">
        <f aca="false">C1224/C1243</f>
        <v>0.183047372660044</v>
      </c>
      <c r="D1251" s="14" t="n">
        <f aca="false">D1224/D1243</f>
        <v>0.15625</v>
      </c>
      <c r="E1251" s="14" t="n">
        <f aca="false">E1224/E1243</f>
        <v>0.273297049499833</v>
      </c>
      <c r="F1251" s="14" t="n">
        <f aca="false">F1224/F1243</f>
        <v>0.49524512077152</v>
      </c>
      <c r="G1251" s="14" t="n">
        <f aca="false">G1224/G1243</f>
        <v>0.501123490795708</v>
      </c>
    </row>
    <row r="1252" customFormat="false" ht="15" hidden="false" customHeight="false" outlineLevel="0" collapsed="false">
      <c r="A1252" s="4" t="s">
        <v>771</v>
      </c>
      <c r="B1252" s="0" t="s">
        <v>239</v>
      </c>
      <c r="C1252" s="22" t="n">
        <f aca="false">a26_opx</f>
        <v>1.9808</v>
      </c>
      <c r="D1252" s="22" t="n">
        <f aca="false">a27_opx</f>
        <v>2.55</v>
      </c>
      <c r="E1252" s="22" t="n">
        <f aca="false">D1252*(1+MAX(g_opx_min,phi*E1245))</f>
        <v>3.26678436510764</v>
      </c>
      <c r="F1252" s="22" t="n">
        <f aca="false">E1252*(1+MAX(g_opx_min,phi*F1245))</f>
        <v>4.07465702043583</v>
      </c>
      <c r="G1252" s="22" t="n">
        <f aca="false">F1252*(1+MAX(g_opx_min,phi*G1245))</f>
        <v>4.42035138653659</v>
      </c>
    </row>
    <row r="1253" customFormat="false" ht="15" hidden="false" customHeight="false" outlineLevel="0" collapsed="false">
      <c r="A1253" s="4" t="s">
        <v>772</v>
      </c>
      <c r="B1253" s="0" t="s">
        <v>239</v>
      </c>
      <c r="C1253" s="22" t="n">
        <f aca="false">C1252</f>
        <v>1.9808</v>
      </c>
      <c r="D1253" s="22" t="n">
        <f aca="false">D1252</f>
        <v>2.55</v>
      </c>
      <c r="E1253" s="22" t="n">
        <f aca="false">E1252+0*E1243</f>
        <v>3.26678436510764</v>
      </c>
      <c r="F1253" s="22" t="n">
        <f aca="false">F1252+0*F1243</f>
        <v>4.07465702043583</v>
      </c>
      <c r="G1253" s="22" t="n">
        <f aca="false">G1252+0*G1243</f>
        <v>4.42035138653659</v>
      </c>
    </row>
    <row r="1254" customFormat="false" ht="15" hidden="false" customHeight="false" outlineLevel="0" collapsed="false">
      <c r="A1254" s="4" t="s">
        <v>773</v>
      </c>
      <c r="B1254" s="0" t="s">
        <v>239</v>
      </c>
      <c r="C1254" s="22" t="n">
        <f aca="false">C1249-C1253</f>
        <v>2.891</v>
      </c>
      <c r="D1254" s="22" t="n">
        <f aca="false">D1249-D1253</f>
        <v>4.456682</v>
      </c>
      <c r="E1254" s="22" t="n">
        <f aca="false">E1249-E1253</f>
        <v>7.13399524498929</v>
      </c>
      <c r="F1254" s="22" t="n">
        <f aca="false">F1249-F1253</f>
        <v>9.3297847409186</v>
      </c>
      <c r="G1254" s="22" t="n">
        <f aca="false">G1249-G1253</f>
        <v>11.4196514972146</v>
      </c>
    </row>
    <row r="1255" customFormat="false" ht="15" hidden="false" customHeight="false" outlineLevel="0" collapsed="false">
      <c r="A1255" s="4" t="s">
        <v>627</v>
      </c>
      <c r="B1255" s="0" t="s">
        <v>49</v>
      </c>
      <c r="C1255" s="14" t="n">
        <f aca="false">C1254/C1243</f>
        <v>0.352793302906792</v>
      </c>
      <c r="D1255" s="14" t="n">
        <f aca="false">D1254/D1243</f>
        <v>0.371390166666667</v>
      </c>
      <c r="E1255" s="14" t="n">
        <f aca="false">E1254/E1243</f>
        <v>0.380556755067785</v>
      </c>
      <c r="F1255" s="14" t="n">
        <f aca="false">F1254/F1243</f>
        <v>0.332992015624184</v>
      </c>
      <c r="G1255" s="14" t="n">
        <f aca="false">G1254/G1243</f>
        <v>0.348455960867515</v>
      </c>
    </row>
    <row r="1256" customFormat="false" ht="15" hidden="false" customHeight="false" outlineLevel="0" collapsed="false">
      <c r="A1256" s="4" t="s">
        <v>774</v>
      </c>
      <c r="B1256" s="0" t="s">
        <v>239</v>
      </c>
      <c r="C1256" s="22" t="n">
        <f aca="false">a26_oth</f>
        <v>0.1514</v>
      </c>
      <c r="D1256" s="22" t="n">
        <f aca="false">a27_oth</f>
        <v>0.1424</v>
      </c>
      <c r="E1256" s="22" t="n">
        <f aca="false">int_f</f>
        <v>0.15</v>
      </c>
      <c r="F1256" s="22" t="n">
        <f aca="false">int_f</f>
        <v>0.15</v>
      </c>
      <c r="G1256" s="22" t="n">
        <f aca="false">int_f</f>
        <v>0.15</v>
      </c>
    </row>
    <row r="1257" customFormat="false" ht="15" hidden="false" customHeight="false" outlineLevel="0" collapsed="false">
      <c r="A1257" s="4" t="s">
        <v>775</v>
      </c>
      <c r="B1257" s="0" t="s">
        <v>49</v>
      </c>
      <c r="C1257" s="14" t="n">
        <f aca="false">a26_tax/(a26_oi-a26_oth)</f>
        <v>0.1</v>
      </c>
      <c r="D1257" s="14" t="n">
        <f aca="false">a27_tax/(a27_oi-a27_oth)</f>
        <v>0.11</v>
      </c>
      <c r="E1257" s="14" t="n">
        <f aca="false">tx_f</f>
        <v>0.13</v>
      </c>
      <c r="F1257" s="14" t="n">
        <f aca="false">tx_f</f>
        <v>0.13</v>
      </c>
      <c r="G1257" s="14" t="n">
        <f aca="false">tx_f</f>
        <v>0.13</v>
      </c>
    </row>
    <row r="1258" customFormat="false" ht="17.15" hidden="false" customHeight="false" outlineLevel="0" collapsed="false">
      <c r="A1258" s="4" t="s">
        <v>708</v>
      </c>
      <c r="B1258" s="0" t="s">
        <v>239</v>
      </c>
      <c r="C1258" s="22" t="n">
        <f aca="false">a26_ni</f>
        <v>2.46564</v>
      </c>
      <c r="D1258" s="22" t="n">
        <f aca="false">a27_ni</f>
        <v>3.83971098</v>
      </c>
      <c r="E1258" s="22" t="n">
        <f aca="false">(E1254-E1256)*(1-E1257)</f>
        <v>6.07607586314069</v>
      </c>
      <c r="F1258" s="22" t="n">
        <f aca="false">(F1254-F1256)*(1-F1257)</f>
        <v>7.98641272459918</v>
      </c>
      <c r="G1258" s="22" t="n">
        <f aca="false">(G1254-G1256)*(1-G1257)</f>
        <v>9.80459680257667</v>
      </c>
    </row>
    <row r="1259" customFormat="false" ht="15" hidden="false" customHeight="false" outlineLevel="0" collapsed="false">
      <c r="A1259" s="4" t="s">
        <v>776</v>
      </c>
      <c r="B1259" s="4" t="s">
        <v>370</v>
      </c>
      <c r="C1259" s="16" t="n">
        <f aca="false">a26_sh</f>
        <v>0.8697</v>
      </c>
      <c r="D1259" s="16" t="n">
        <f aca="false">a27_sh</f>
        <v>0.915125</v>
      </c>
      <c r="E1259" s="16" t="n">
        <f aca="false">D1259*(1+sh_g)</f>
        <v>0.919700625</v>
      </c>
      <c r="F1259" s="16" t="n">
        <f aca="false">E1259*(1+sh_g)</f>
        <v>0.924299128125</v>
      </c>
      <c r="G1259" s="16" t="n">
        <f aca="false">F1259*(1+sh_g)</f>
        <v>0.928920623765625</v>
      </c>
    </row>
    <row r="1260" customFormat="false" ht="17.15" hidden="false" customHeight="false" outlineLevel="0" collapsed="false">
      <c r="A1260" s="0" t="s">
        <v>709</v>
      </c>
      <c r="B1260" s="0" t="s">
        <v>253</v>
      </c>
      <c r="C1260" s="22" t="n">
        <f aca="false">C1258/C1259</f>
        <v>2.83504656778199</v>
      </c>
      <c r="D1260" s="22" t="n">
        <f aca="false">D1258/D1259</f>
        <v>4.19583224149706</v>
      </c>
      <c r="E1260" s="22" t="n">
        <f aca="false">E1258/E1259</f>
        <v>6.60658011746016</v>
      </c>
      <c r="F1260" s="22" t="n">
        <f aca="false">F1258/F1259</f>
        <v>8.64050660828831</v>
      </c>
      <c r="G1260" s="22" t="n">
        <f aca="false">G1258/G1259</f>
        <v>10.5548273466372</v>
      </c>
    </row>
    <row r="1261" customFormat="false" ht="17.15" hidden="false" customHeight="false" outlineLevel="0" collapsed="false">
      <c r="A1261" s="0" t="s">
        <v>777</v>
      </c>
      <c r="B1261" s="0" t="s">
        <v>49</v>
      </c>
      <c r="D1261" s="14" t="n">
        <f aca="false">D1260/C1260-1</f>
        <v>0.479987062357033</v>
      </c>
      <c r="E1261" s="14" t="n">
        <f aca="false">E1260/D1260-1</f>
        <v>0.574557736632233</v>
      </c>
      <c r="F1261" s="14" t="n">
        <f aca="false">F1260/E1260-1</f>
        <v>0.307863744125768</v>
      </c>
      <c r="G1261" s="14" t="n">
        <f aca="false">G1260/F1260-1</f>
        <v>0.221551909527222</v>
      </c>
    </row>
    <row r="1264" customFormat="false" ht="17.15" hidden="false" customHeight="false" outlineLevel="0" collapsed="false">
      <c r="A1264" s="3" t="s">
        <v>1187</v>
      </c>
    </row>
    <row r="1265" customFormat="false" ht="17.15" hidden="false" customHeight="false" outlineLevel="0" collapsed="false">
      <c r="A1265" s="5" t="s">
        <v>25</v>
      </c>
      <c r="B1265" s="5" t="s">
        <v>26</v>
      </c>
      <c r="C1265" s="11" t="s">
        <v>698</v>
      </c>
      <c r="D1265" s="11" t="s">
        <v>699</v>
      </c>
      <c r="E1265" s="11" t="s">
        <v>700</v>
      </c>
      <c r="F1265" s="11" t="s">
        <v>701</v>
      </c>
      <c r="G1265" s="11" t="s">
        <v>702</v>
      </c>
      <c r="H1265" s="5" t="s">
        <v>555</v>
      </c>
    </row>
    <row r="1266" customFormat="false" ht="17.15" hidden="false" customHeight="false" outlineLevel="0" collapsed="false">
      <c r="A1266" s="1" t="s">
        <v>717</v>
      </c>
    </row>
    <row r="1267" customFormat="false" ht="17.15" hidden="false" customHeight="false" outlineLevel="0" collapsed="false">
      <c r="A1267" s="0" t="s">
        <v>718</v>
      </c>
      <c r="B1267" s="4" t="s">
        <v>36</v>
      </c>
      <c r="D1267" s="22" t="n">
        <f aca="false">u_trn_26</f>
        <v>2</v>
      </c>
      <c r="E1267" s="22" t="n">
        <f aca="false">u_trn_27</f>
        <v>2.5</v>
      </c>
      <c r="F1267" s="22" t="n">
        <f aca="false">u_trn_28*um28_A</f>
        <v>3</v>
      </c>
      <c r="G1267" s="22" t="n">
        <f aca="false">u_trn_28*(1+g29_trn)*um29_A</f>
        <v>3.45</v>
      </c>
    </row>
    <row r="1268" customFormat="false" ht="17.15" hidden="false" customHeight="false" outlineLevel="0" collapsed="false">
      <c r="A1268" s="4" t="s">
        <v>719</v>
      </c>
      <c r="B1268" s="4" t="s">
        <v>36</v>
      </c>
      <c r="D1268" s="22" t="n">
        <f aca="false">u_oth_26</f>
        <v>1</v>
      </c>
      <c r="E1268" s="22" t="n">
        <f aca="false">u_oth_27</f>
        <v>4.5</v>
      </c>
      <c r="F1268" s="22" t="n">
        <f aca="false">u_oth_28*um28_A</f>
        <v>5</v>
      </c>
      <c r="G1268" s="22" t="n">
        <f aca="false">u_oth_28*(1+g29_oth)*um29_A</f>
        <v>5.75</v>
      </c>
    </row>
    <row r="1269" customFormat="false" ht="17.15" hidden="false" customHeight="false" outlineLevel="0" collapsed="false">
      <c r="A1269" s="0" t="s">
        <v>720</v>
      </c>
      <c r="B1269" s="4" t="s">
        <v>36</v>
      </c>
      <c r="D1269" s="22" t="n">
        <f aca="false">u_tpu_26</f>
        <v>3.85</v>
      </c>
      <c r="E1269" s="22" t="n">
        <f aca="false">u_tpu_27</f>
        <v>5.5</v>
      </c>
      <c r="F1269" s="22" t="n">
        <f aca="false">u_tpu_28*um28_A</f>
        <v>7</v>
      </c>
      <c r="G1269" s="22" t="n">
        <f aca="false">u_tpu_28*(1+g29_tpu)*um29_A</f>
        <v>8.05</v>
      </c>
    </row>
    <row r="1270" customFormat="false" ht="17.15" hidden="false" customHeight="false" outlineLevel="0" collapsed="false">
      <c r="A1270" s="0" t="s">
        <v>658</v>
      </c>
      <c r="B1270" s="0" t="s">
        <v>49</v>
      </c>
      <c r="D1270" s="14" t="n">
        <f aca="false">msh_trn_26</f>
        <v>0.1</v>
      </c>
      <c r="E1270" s="14" t="n">
        <f aca="false">MIN(1,MAX(0,msh_trn_27+0))</f>
        <v>0.1</v>
      </c>
      <c r="F1270" s="14" t="n">
        <f aca="false">MIN(1,MAX(0,msh_trn_28+0))</f>
        <v>0.08</v>
      </c>
      <c r="G1270" s="14" t="n">
        <f aca="false">MIN(1,MAX(0,msh_trn_28+0))</f>
        <v>0.08</v>
      </c>
    </row>
    <row r="1271" customFormat="false" ht="17.15" hidden="false" customHeight="false" outlineLevel="0" collapsed="false">
      <c r="A1271" s="0" t="s">
        <v>666</v>
      </c>
      <c r="B1271" s="0" t="s">
        <v>49</v>
      </c>
      <c r="D1271" s="14" t="n">
        <f aca="false">msh_oth_26</f>
        <v>0.05</v>
      </c>
      <c r="E1271" s="14" t="n">
        <f aca="false">MIN(1,MAX(0,msh_oth_27+0))</f>
        <v>0.06</v>
      </c>
      <c r="F1271" s="14" t="n">
        <f aca="false">MIN(1,MAX(0,msh_oth_28+0))</f>
        <v>0.15</v>
      </c>
      <c r="G1271" s="14" t="n">
        <f aca="false">MIN(1,MAX(0,msh_oth_28+0))</f>
        <v>0.15</v>
      </c>
    </row>
    <row r="1272" customFormat="false" ht="17.15" hidden="false" customHeight="false" outlineLevel="0" collapsed="false">
      <c r="A1272" s="0" t="s">
        <v>670</v>
      </c>
      <c r="B1272" s="0" t="s">
        <v>49</v>
      </c>
      <c r="D1272" s="14" t="n">
        <f aca="false">msh_tpu_26</f>
        <v>0</v>
      </c>
      <c r="E1272" s="14" t="n">
        <f aca="false">MIN(1,MAX(0,msh_tpu_27+0))</f>
        <v>0</v>
      </c>
      <c r="F1272" s="14" t="n">
        <f aca="false">MIN(1,MAX(0,msh_tpu_28+0))</f>
        <v>0.05</v>
      </c>
      <c r="G1272" s="14" t="n">
        <f aca="false">MIN(1,MAX(0,msh_tpu_28+0))</f>
        <v>0.05</v>
      </c>
    </row>
    <row r="1273" customFormat="false" ht="17.15" hidden="false" customHeight="false" outlineLevel="0" collapsed="false">
      <c r="A1273" s="0" t="s">
        <v>660</v>
      </c>
      <c r="B1273" s="4" t="s">
        <v>36</v>
      </c>
      <c r="D1273" s="16" t="n">
        <f aca="false">D1267*D1270</f>
        <v>0.2</v>
      </c>
      <c r="E1273" s="16" t="n">
        <f aca="false">E1267*E1270*1</f>
        <v>0.25</v>
      </c>
      <c r="F1273" s="16" t="n">
        <f aca="false">F1267*F1270*1</f>
        <v>0.24</v>
      </c>
      <c r="G1273" s="16" t="n">
        <f aca="false">G1267*G1270*1</f>
        <v>0.276</v>
      </c>
    </row>
    <row r="1274" customFormat="false" ht="17.15" hidden="false" customHeight="false" outlineLevel="0" collapsed="false">
      <c r="A1274" s="0" t="s">
        <v>667</v>
      </c>
      <c r="B1274" s="4" t="s">
        <v>36</v>
      </c>
      <c r="D1274" s="16" t="n">
        <f aca="false">D1268*D1271</f>
        <v>0.05</v>
      </c>
      <c r="E1274" s="16" t="n">
        <f aca="false">E1268*E1271*1</f>
        <v>0.27</v>
      </c>
      <c r="F1274" s="16" t="n">
        <f aca="false">F1268*F1271*1</f>
        <v>0.75</v>
      </c>
      <c r="G1274" s="16" t="n">
        <f aca="false">G1268*G1271*1</f>
        <v>0.8625</v>
      </c>
    </row>
    <row r="1275" customFormat="false" ht="17.15" hidden="false" customHeight="false" outlineLevel="0" collapsed="false">
      <c r="A1275" s="0" t="s">
        <v>671</v>
      </c>
      <c r="B1275" s="4" t="s">
        <v>36</v>
      </c>
      <c r="D1275" s="16" t="n">
        <f aca="false">D1269*D1272</f>
        <v>0</v>
      </c>
      <c r="E1275" s="16" t="n">
        <f aca="false">E1269*E1272*1</f>
        <v>0</v>
      </c>
      <c r="F1275" s="16" t="n">
        <f aca="false">F1269*F1272*1</f>
        <v>0.35</v>
      </c>
      <c r="G1275" s="16" t="n">
        <f aca="false">G1269*G1272*1</f>
        <v>0.4025</v>
      </c>
    </row>
    <row r="1276" customFormat="false" ht="17.15" hidden="false" customHeight="false" outlineLevel="0" collapsed="false">
      <c r="A1276" s="4" t="s">
        <v>721</v>
      </c>
      <c r="B1276" s="0" t="s">
        <v>100</v>
      </c>
      <c r="D1276" s="23" t="n">
        <f aca="false">gb_trn_26</f>
        <v>110</v>
      </c>
      <c r="E1276" s="23" t="n">
        <f aca="false">gb_trn_27</f>
        <v>144</v>
      </c>
      <c r="F1276" s="23" t="n">
        <f aca="false">gb_trn_28</f>
        <v>200</v>
      </c>
      <c r="G1276" s="23" t="n">
        <f aca="false">gb_trn_28</f>
        <v>200</v>
      </c>
    </row>
    <row r="1277" customFormat="false" ht="17.15" hidden="false" customHeight="false" outlineLevel="0" collapsed="false">
      <c r="A1277" s="4" t="s">
        <v>722</v>
      </c>
      <c r="B1277" s="0" t="s">
        <v>100</v>
      </c>
      <c r="D1277" s="23" t="n">
        <f aca="false">gb_oth_26</f>
        <v>150</v>
      </c>
      <c r="E1277" s="23" t="n">
        <f aca="false">gb_oth_27</f>
        <v>200</v>
      </c>
      <c r="F1277" s="23" t="n">
        <f aca="false">gb_oth_28</f>
        <v>250</v>
      </c>
      <c r="G1277" s="23" t="n">
        <f aca="false">gb_oth_28</f>
        <v>250</v>
      </c>
    </row>
    <row r="1278" customFormat="false" ht="17.15" hidden="false" customHeight="false" outlineLevel="0" collapsed="false">
      <c r="A1278" s="4" t="s">
        <v>723</v>
      </c>
      <c r="B1278" s="0" t="s">
        <v>100</v>
      </c>
      <c r="D1278" s="23" t="n">
        <f aca="false">gb_tpu_26</f>
        <v>192</v>
      </c>
      <c r="E1278" s="23" t="n">
        <f aca="false">gb_tpu_27</f>
        <v>250</v>
      </c>
      <c r="F1278" s="23" t="n">
        <f aca="false">gb_tpu_28</f>
        <v>288</v>
      </c>
      <c r="G1278" s="23" t="n">
        <f aca="false">gb_tpu_28</f>
        <v>288</v>
      </c>
    </row>
    <row r="1279" customFormat="false" ht="17.15" hidden="false" customHeight="false" outlineLevel="0" collapsed="false">
      <c r="A1279" s="0" t="s">
        <v>724</v>
      </c>
      <c r="B1279" s="0" t="s">
        <v>200</v>
      </c>
      <c r="D1279" s="22" t="n">
        <f aca="false">hbm_A_26</f>
        <v>14.6</v>
      </c>
      <c r="E1279" s="22" t="n">
        <f aca="false">hbm_A_27</f>
        <v>26.28</v>
      </c>
      <c r="F1279" s="22" t="n">
        <f aca="false">hbm_A_28</f>
        <v>28.908</v>
      </c>
      <c r="G1279" s="22" t="n">
        <f aca="false">hbm_A_29</f>
        <v>27.4626</v>
      </c>
    </row>
    <row r="1280" customFormat="false" ht="17.15" hidden="false" customHeight="false" outlineLevel="0" collapsed="false">
      <c r="A1280" s="4" t="s">
        <v>725</v>
      </c>
      <c r="B1280" s="0" t="s">
        <v>122</v>
      </c>
      <c r="D1280" s="22" t="n">
        <f aca="false">core_trn</f>
        <v>6.394</v>
      </c>
      <c r="E1280" s="22" t="n">
        <f aca="false">core_trn*1</f>
        <v>6.394</v>
      </c>
      <c r="F1280" s="22" t="n">
        <f aca="false">core_trn*1</f>
        <v>6.394</v>
      </c>
      <c r="G1280" s="22" t="n">
        <f aca="false">core_trn*1</f>
        <v>6.394</v>
      </c>
    </row>
    <row r="1281" customFormat="false" ht="17.15" hidden="false" customHeight="false" outlineLevel="0" collapsed="false">
      <c r="A1281" s="4" t="s">
        <v>726</v>
      </c>
      <c r="B1281" s="0" t="s">
        <v>122</v>
      </c>
      <c r="D1281" s="22" t="n">
        <f aca="false">core_oth</f>
        <v>6</v>
      </c>
      <c r="E1281" s="22" t="n">
        <f aca="false">core_oth*1</f>
        <v>6</v>
      </c>
      <c r="F1281" s="22" t="n">
        <f aca="false">core_oth*1</f>
        <v>6</v>
      </c>
      <c r="G1281" s="22" t="n">
        <f aca="false">core_oth*1</f>
        <v>6</v>
      </c>
    </row>
    <row r="1282" customFormat="false" ht="17.15" hidden="false" customHeight="false" outlineLevel="0" collapsed="false">
      <c r="A1282" s="4" t="s">
        <v>727</v>
      </c>
      <c r="B1282" s="0" t="s">
        <v>122</v>
      </c>
      <c r="D1282" s="22" t="n">
        <f aca="false">core_tpu</f>
        <v>8</v>
      </c>
      <c r="E1282" s="22" t="n">
        <f aca="false">core_tpu*1</f>
        <v>8</v>
      </c>
      <c r="F1282" s="22" t="n">
        <f aca="false">core_tpu*1</f>
        <v>8</v>
      </c>
      <c r="G1282" s="22" t="n">
        <f aca="false">core_tpu*1</f>
        <v>8</v>
      </c>
    </row>
    <row r="1283" customFormat="false" ht="17.15" hidden="false" customHeight="false" outlineLevel="0" collapsed="false">
      <c r="A1283" s="4" t="s">
        <v>728</v>
      </c>
      <c r="B1283" s="0" t="s">
        <v>122</v>
      </c>
      <c r="D1283" s="22" t="n">
        <f aca="false">D1276*D1279/1000</f>
        <v>1.606</v>
      </c>
      <c r="E1283" s="22" t="n">
        <f aca="false">E1276*E1279/1000</f>
        <v>3.78432</v>
      </c>
      <c r="F1283" s="22" t="n">
        <f aca="false">F1276*F1279/1000</f>
        <v>5.7816</v>
      </c>
      <c r="G1283" s="22" t="n">
        <f aca="false">G1276*G1279/1000</f>
        <v>5.49252</v>
      </c>
    </row>
    <row r="1284" customFormat="false" ht="17.15" hidden="false" customHeight="false" outlineLevel="0" collapsed="false">
      <c r="A1284" s="4" t="s">
        <v>729</v>
      </c>
      <c r="B1284" s="0" t="s">
        <v>122</v>
      </c>
      <c r="D1284" s="22" t="n">
        <f aca="false">D1277*D1279/1000</f>
        <v>2.19</v>
      </c>
      <c r="E1284" s="22" t="n">
        <f aca="false">E1277*E1279/1000</f>
        <v>5.256</v>
      </c>
      <c r="F1284" s="22" t="n">
        <f aca="false">F1277*F1279/1000</f>
        <v>7.227</v>
      </c>
      <c r="G1284" s="22" t="n">
        <f aca="false">G1277*G1279/1000</f>
        <v>6.86565</v>
      </c>
    </row>
    <row r="1285" customFormat="false" ht="17.15" hidden="false" customHeight="false" outlineLevel="0" collapsed="false">
      <c r="A1285" s="4" t="s">
        <v>730</v>
      </c>
      <c r="B1285" s="0" t="s">
        <v>122</v>
      </c>
      <c r="D1285" s="22" t="n">
        <f aca="false">D1278*D1279/1000</f>
        <v>2.8032</v>
      </c>
      <c r="E1285" s="22" t="n">
        <f aca="false">E1278*E1279/1000</f>
        <v>6.57</v>
      </c>
      <c r="F1285" s="22" t="n">
        <f aca="false">F1278*F1279/1000</f>
        <v>8.325504</v>
      </c>
      <c r="G1285" s="22" t="n">
        <f aca="false">G1278*G1279/1000</f>
        <v>7.9092288</v>
      </c>
    </row>
    <row r="1286" customFormat="false" ht="17.15" hidden="false" customHeight="false" outlineLevel="0" collapsed="false">
      <c r="A1286" s="4" t="s">
        <v>731</v>
      </c>
      <c r="B1286" s="0" t="s">
        <v>122</v>
      </c>
      <c r="D1286" s="22" t="n">
        <f aca="false">D1280+f_hbm*D1283</f>
        <v>7.3576</v>
      </c>
      <c r="E1286" s="22" t="n">
        <f aca="false">E1280+f_hbm*E1283</f>
        <v>8.664592</v>
      </c>
      <c r="F1286" s="22" t="n">
        <f aca="false">F1280+f_hbm*F1283</f>
        <v>9.86296</v>
      </c>
      <c r="G1286" s="22" t="n">
        <f aca="false">G1280+f_hbm*G1283</f>
        <v>9.689512</v>
      </c>
      <c r="H1286" s="4" t="s">
        <v>732</v>
      </c>
    </row>
    <row r="1287" customFormat="false" ht="17.15" hidden="false" customHeight="false" outlineLevel="0" collapsed="false">
      <c r="A1287" s="4" t="s">
        <v>733</v>
      </c>
      <c r="B1287" s="0" t="s">
        <v>122</v>
      </c>
      <c r="D1287" s="22" t="n">
        <f aca="false">D1281+f_hbm*D1284</f>
        <v>7.314</v>
      </c>
      <c r="E1287" s="22" t="n">
        <f aca="false">E1281+f_hbm*E1284</f>
        <v>9.1536</v>
      </c>
      <c r="F1287" s="22" t="n">
        <f aca="false">F1281+f_hbm*F1284</f>
        <v>10.3362</v>
      </c>
      <c r="G1287" s="22" t="n">
        <f aca="false">G1281+f_hbm*G1284</f>
        <v>10.11939</v>
      </c>
    </row>
    <row r="1288" customFormat="false" ht="17.15" hidden="false" customHeight="false" outlineLevel="0" collapsed="false">
      <c r="A1288" s="4" t="s">
        <v>734</v>
      </c>
      <c r="B1288" s="0" t="s">
        <v>122</v>
      </c>
      <c r="D1288" s="22" t="n">
        <f aca="false">D1282+f_hbm*D1285</f>
        <v>9.68192</v>
      </c>
      <c r="E1288" s="22" t="n">
        <f aca="false">E1282+f_hbm*E1285</f>
        <v>11.942</v>
      </c>
      <c r="F1288" s="22" t="n">
        <f aca="false">F1282+f_hbm*F1285</f>
        <v>12.9953024</v>
      </c>
      <c r="G1288" s="22" t="n">
        <f aca="false">G1282+f_hbm*G1285</f>
        <v>12.74553728</v>
      </c>
    </row>
    <row r="1289" customFormat="false" ht="17.15" hidden="false" customHeight="false" outlineLevel="0" collapsed="false">
      <c r="A1289" s="0" t="s">
        <v>735</v>
      </c>
      <c r="B1289" s="0" t="s">
        <v>239</v>
      </c>
      <c r="D1289" s="22" t="n">
        <f aca="false">D1273*D1286+D1274*D1287+D1275*D1288</f>
        <v>1.83722</v>
      </c>
      <c r="E1289" s="22" t="n">
        <f aca="false">E1273*E1286+E1274*E1287+E1275*E1288</f>
        <v>4.63762</v>
      </c>
      <c r="F1289" s="22" t="n">
        <f aca="false">F1273*F1286+F1274*F1287+F1275*F1288</f>
        <v>14.66761624</v>
      </c>
      <c r="G1289" s="22" t="n">
        <f aca="false">G1273*G1286+G1274*G1287+G1275*G1288</f>
        <v>16.5323579422</v>
      </c>
    </row>
    <row r="1290" customFormat="false" ht="17.15" hidden="false" customHeight="false" outlineLevel="0" collapsed="false">
      <c r="A1290" s="0" t="s">
        <v>736</v>
      </c>
      <c r="B1290" s="0" t="s">
        <v>80</v>
      </c>
      <c r="D1290" s="16" t="n">
        <f aca="false">a27_xpu/D1289</f>
        <v>0.802843426481314</v>
      </c>
      <c r="H1290" s="7" t="s">
        <v>737</v>
      </c>
    </row>
    <row r="1291" customFormat="false" ht="17.15" hidden="false" customHeight="false" outlineLevel="0" collapsed="false">
      <c r="A1291" s="0" t="s">
        <v>738</v>
      </c>
      <c r="B1291" s="0" t="s">
        <v>239</v>
      </c>
      <c r="D1291" s="22" t="n">
        <f aca="false">D1289*$D$1290</f>
        <v>1.475</v>
      </c>
      <c r="E1291" s="22" t="n">
        <f aca="false">E1289*$D$1290</f>
        <v>3.72328273151827</v>
      </c>
      <c r="F1291" s="22" t="n">
        <f aca="false">F1289*$D$1290</f>
        <v>11.7757992804346</v>
      </c>
      <c r="G1291" s="22" t="n">
        <f aca="false">G1289*$D$1290</f>
        <v>13.2728948981314</v>
      </c>
    </row>
    <row r="1292" customFormat="false" ht="17.15" hidden="false" customHeight="false" outlineLevel="0" collapsed="false">
      <c r="A1292" s="4" t="s">
        <v>739</v>
      </c>
      <c r="B1292" s="0" t="s">
        <v>239</v>
      </c>
      <c r="D1292" s="22" t="n">
        <f aca="false">$D$1290*f_hbm*(D1273*D1283+D1274*D1284+D1275*D1285)</f>
        <v>0.207470798271301</v>
      </c>
      <c r="E1292" s="22" t="n">
        <f aca="false">$D$1290*f_hbm*(E1273*E1283+E1274*E1284+E1275*E1285)</f>
        <v>1.13933116338816</v>
      </c>
      <c r="F1292" s="22" t="n">
        <f aca="false">$D$1290*f_hbm*(F1273*F1283+F1274*F1284+F1275*F1285)</f>
        <v>4.68303085857981</v>
      </c>
      <c r="G1292" s="22" t="n">
        <f aca="false">$D$1290*f_hbm*(G1273*G1283+G1274*G1284+G1275*G1285)</f>
        <v>5.11621121299844</v>
      </c>
    </row>
    <row r="1293" customFormat="false" ht="15" hidden="false" customHeight="false" outlineLevel="0" collapsed="false">
      <c r="A1293" s="4" t="s">
        <v>740</v>
      </c>
      <c r="B1293" s="0" t="s">
        <v>239</v>
      </c>
      <c r="D1293" s="22" t="n">
        <f aca="false">D1291-D1292</f>
        <v>1.2675292017287</v>
      </c>
      <c r="E1293" s="22" t="n">
        <f aca="false">E1291-E1292</f>
        <v>2.58395156813011</v>
      </c>
      <c r="F1293" s="22" t="n">
        <f aca="false">F1291-F1292</f>
        <v>7.09276842185476</v>
      </c>
      <c r="G1293" s="22" t="n">
        <f aca="false">G1291-G1292</f>
        <v>8.15668368513297</v>
      </c>
    </row>
    <row r="1294" customFormat="false" ht="17.15" hidden="false" customHeight="false" outlineLevel="0" collapsed="false">
      <c r="A1294" s="0" t="s">
        <v>741</v>
      </c>
      <c r="B1294" s="4" t="s">
        <v>36</v>
      </c>
      <c r="D1294" s="16" t="n">
        <f aca="false">D1273+D1274+D1275</f>
        <v>0.25</v>
      </c>
      <c r="E1294" s="16" t="n">
        <f aca="false">E1273+E1274+E1275</f>
        <v>0.52</v>
      </c>
      <c r="F1294" s="16" t="n">
        <f aca="false">F1273+F1274+F1275</f>
        <v>1.34</v>
      </c>
      <c r="G1294" s="16" t="n">
        <f aca="false">G1273+G1274+G1275</f>
        <v>1.541</v>
      </c>
    </row>
    <row r="1295" customFormat="false" ht="17.15" hidden="false" customHeight="false" outlineLevel="0" collapsed="false">
      <c r="A1295" s="0" t="s">
        <v>742</v>
      </c>
      <c r="B1295" s="0" t="s">
        <v>239</v>
      </c>
      <c r="C1295" s="22" t="n">
        <f aca="false">a26_att</f>
        <v>0.2</v>
      </c>
      <c r="D1295" s="22" t="n">
        <f aca="false">a27_att</f>
        <v>0.4</v>
      </c>
      <c r="E1295" s="22" t="n">
        <f aca="false">att28</f>
        <v>1</v>
      </c>
      <c r="F1295" s="22" t="n">
        <f aca="false">att28*(1+g_att)*um28_A</f>
        <v>1.5</v>
      </c>
      <c r="G1295" s="22" t="n">
        <f aca="false">att28*(1+g_att)^2*um29_A</f>
        <v>2.25</v>
      </c>
      <c r="H1295" s="7" t="s">
        <v>743</v>
      </c>
    </row>
    <row r="1296" customFormat="false" ht="17.15" hidden="false" customHeight="false" outlineLevel="0" collapsed="false">
      <c r="A1296" s="4" t="s">
        <v>744</v>
      </c>
      <c r="B1296" s="0" t="s">
        <v>239</v>
      </c>
      <c r="C1296" s="22" t="n">
        <f aca="false">a26_cus</f>
        <v>1.5</v>
      </c>
      <c r="D1296" s="22" t="n">
        <f aca="false">D1291+D1295</f>
        <v>1.875</v>
      </c>
      <c r="E1296" s="22" t="n">
        <f aca="false">E1291+E1295</f>
        <v>4.72328273151827</v>
      </c>
      <c r="F1296" s="22" t="n">
        <f aca="false">F1291+F1295</f>
        <v>13.2757992804346</v>
      </c>
      <c r="G1296" s="22" t="n">
        <f aca="false">G1291+G1295</f>
        <v>15.5228948981314</v>
      </c>
    </row>
    <row r="1297" customFormat="false" ht="17.15" hidden="false" customHeight="false" outlineLevel="0" collapsed="false">
      <c r="A1297" s="1" t="s">
        <v>745</v>
      </c>
    </row>
    <row r="1298" customFormat="false" ht="17.15" hidden="false" customHeight="false" outlineLevel="0" collapsed="false">
      <c r="A1298" s="0" t="s">
        <v>746</v>
      </c>
      <c r="B1298" s="0" t="s">
        <v>239</v>
      </c>
      <c r="D1298" s="22" t="n">
        <f aca="false">plug_26*1</f>
        <v>29.753262</v>
      </c>
      <c r="E1298" s="22" t="n">
        <f aca="false">plug_27*1</f>
        <v>53.560715</v>
      </c>
      <c r="F1298" s="22" t="n">
        <f aca="false">plug_28*um28_A</f>
        <v>57.9915</v>
      </c>
      <c r="G1298" s="22" t="n">
        <f aca="false">plug_29*um29_A</f>
        <v>72.9348</v>
      </c>
    </row>
    <row r="1299" customFormat="false" ht="17.15" hidden="false" customHeight="false" outlineLevel="0" collapsed="false">
      <c r="A1299" s="4" t="s">
        <v>747</v>
      </c>
      <c r="B1299" s="4" t="s">
        <v>680</v>
      </c>
      <c r="D1299" s="19" t="n">
        <f aca="false">D1298*1000/asp_26</f>
        <v>45.7742492307692</v>
      </c>
      <c r="E1299" s="19" t="n">
        <f aca="false">E1298*1000/asp_27</f>
        <v>66.95089375</v>
      </c>
      <c r="F1299" s="19" t="n">
        <f aca="false">F1298*1000/asp_28</f>
        <v>68.2252941176471</v>
      </c>
      <c r="G1299" s="19" t="n">
        <f aca="false">G1298*1000/asp_29</f>
        <v>85.8056470588235</v>
      </c>
    </row>
    <row r="1300" customFormat="false" ht="17.15" hidden="false" customHeight="false" outlineLevel="0" collapsed="false">
      <c r="A1300" s="4" t="s">
        <v>748</v>
      </c>
      <c r="B1300" s="0" t="s">
        <v>49</v>
      </c>
      <c r="D1300" s="14" t="n">
        <f aca="false">MIN(1,lpo_26)</f>
        <v>0.03</v>
      </c>
      <c r="E1300" s="14" t="n">
        <f aca="false">MIN(1,lpo_27+0)</f>
        <v>0.06</v>
      </c>
      <c r="F1300" s="14" t="n">
        <f aca="false">MIN(1,lpo_28+0)</f>
        <v>0.1</v>
      </c>
      <c r="G1300" s="14" t="n">
        <f aca="false">MIN(1,lpo_29+0)</f>
        <v>0.15</v>
      </c>
    </row>
    <row r="1301" customFormat="false" ht="15" hidden="false" customHeight="false" outlineLevel="0" collapsed="false">
      <c r="A1301" s="4" t="s">
        <v>749</v>
      </c>
      <c r="B1301" s="0" t="s">
        <v>253</v>
      </c>
      <c r="D1301" s="23" t="n">
        <f aca="false">dsp_26</f>
        <v>125</v>
      </c>
      <c r="E1301" s="23" t="n">
        <f aca="false">dsp_27*1</f>
        <v>135</v>
      </c>
      <c r="F1301" s="23" t="n">
        <f aca="false">dsp_28*1</f>
        <v>135</v>
      </c>
      <c r="G1301" s="23" t="n">
        <f aca="false">dsp_29*1</f>
        <v>130</v>
      </c>
    </row>
    <row r="1302" customFormat="false" ht="17.15" hidden="false" customHeight="false" outlineLevel="0" collapsed="false">
      <c r="A1302" s="4" t="s">
        <v>750</v>
      </c>
      <c r="B1302" s="0" t="s">
        <v>239</v>
      </c>
      <c r="D1302" s="22" t="n">
        <f aca="false">D1299*(1-D1300)*D1301/1000</f>
        <v>5.55012771923077</v>
      </c>
      <c r="E1302" s="22" t="n">
        <f aca="false">E1299*(1-E1300)*E1301/1000</f>
        <v>8.496068416875</v>
      </c>
      <c r="F1302" s="22" t="n">
        <f aca="false">F1299*(1-F1300)*F1301/1000</f>
        <v>8.28937323529412</v>
      </c>
      <c r="G1302" s="22" t="n">
        <f aca="false">G1299*(1-G1300)*G1301/1000</f>
        <v>9.481524</v>
      </c>
    </row>
    <row r="1303" customFormat="false" ht="17.15" hidden="false" customHeight="false" outlineLevel="0" collapsed="false">
      <c r="A1303" s="0" t="s">
        <v>751</v>
      </c>
      <c r="B1303" s="0" t="s">
        <v>49</v>
      </c>
      <c r="D1303" s="14" t="n">
        <f aca="false">msh_dsp_26</f>
        <v>0.65</v>
      </c>
      <c r="E1303" s="14" t="n">
        <f aca="false">msh_dsp_27+0</f>
        <v>0.63</v>
      </c>
      <c r="F1303" s="14" t="n">
        <f aca="false">msh_dsp_28+0</f>
        <v>0.6</v>
      </c>
      <c r="G1303" s="14" t="n">
        <f aca="false">msh_dsp_29+0</f>
        <v>0.58</v>
      </c>
    </row>
    <row r="1304" customFormat="false" ht="17.15" hidden="false" customHeight="false" outlineLevel="0" collapsed="false">
      <c r="A1304" s="0" t="s">
        <v>682</v>
      </c>
      <c r="B1304" s="0" t="s">
        <v>239</v>
      </c>
      <c r="D1304" s="22" t="n">
        <f aca="false">D1302*D1303</f>
        <v>3.6075830175</v>
      </c>
      <c r="E1304" s="22" t="n">
        <f aca="false">E1302*E1303*1</f>
        <v>5.35252310263125</v>
      </c>
      <c r="F1304" s="22" t="n">
        <f aca="false">F1302*F1303*1</f>
        <v>4.97362394117647</v>
      </c>
      <c r="G1304" s="22" t="n">
        <f aca="false">G1302*G1303*1</f>
        <v>5.49928392</v>
      </c>
    </row>
    <row r="1305" customFormat="false" ht="17.15" hidden="false" customHeight="false" outlineLevel="0" collapsed="false">
      <c r="A1305" s="4" t="s">
        <v>752</v>
      </c>
      <c r="B1305" s="0" t="s">
        <v>239</v>
      </c>
      <c r="D1305" s="22" t="n">
        <f aca="false">coh27</f>
        <v>0.9</v>
      </c>
      <c r="E1305" s="22" t="n">
        <f aca="false">D1305*(1+g_coh)</f>
        <v>1.035</v>
      </c>
      <c r="F1305" s="22" t="n">
        <f aca="false">E1305*(1+g_coh)</f>
        <v>1.19025</v>
      </c>
      <c r="G1305" s="22" t="n">
        <f aca="false">F1305*(1+g_coh)</f>
        <v>1.3687875</v>
      </c>
    </row>
    <row r="1306" customFormat="false" ht="17.15" hidden="false" customHeight="false" outlineLevel="0" collapsed="false">
      <c r="A1306" s="4" t="s">
        <v>753</v>
      </c>
      <c r="B1306" s="0" t="s">
        <v>80</v>
      </c>
      <c r="D1306" s="16" t="n">
        <f aca="false">(a27_ic-D1305)/D1304</f>
        <v>1.44223430888795</v>
      </c>
      <c r="H1306" s="7" t="s">
        <v>754</v>
      </c>
    </row>
    <row r="1307" customFormat="false" ht="15" hidden="false" customHeight="false" outlineLevel="0" collapsed="false">
      <c r="A1307" s="4" t="s">
        <v>755</v>
      </c>
      <c r="B1307" s="0" t="s">
        <v>239</v>
      </c>
      <c r="C1307" s="22" t="n">
        <f aca="false">a26_ic</f>
        <v>3.4503</v>
      </c>
      <c r="D1307" s="22" t="n">
        <f aca="false">D1304*$D$1306+D1305</f>
        <v>6.10298</v>
      </c>
      <c r="E1307" s="22" t="n">
        <f aca="false">E1304*$D$1306+E1305</f>
        <v>8.75459245773014</v>
      </c>
      <c r="F1307" s="22" t="n">
        <f aca="false">F1304*$D$1306+F1305</f>
        <v>8.36338108747118</v>
      </c>
      <c r="G1307" s="22" t="n">
        <f aca="false">G1304*$D$1306+G1305</f>
        <v>9.30004344373979</v>
      </c>
    </row>
    <row r="1308" customFormat="false" ht="17.15" hidden="false" customHeight="false" outlineLevel="0" collapsed="false">
      <c r="A1308" s="1" t="s">
        <v>756</v>
      </c>
    </row>
    <row r="1309" customFormat="false" ht="15" hidden="false" customHeight="false" outlineLevel="0" collapsed="false">
      <c r="A1309" s="4" t="s">
        <v>757</v>
      </c>
      <c r="B1309" s="0" t="s">
        <v>239</v>
      </c>
      <c r="C1309" s="22" t="n">
        <f aca="false">a26_sw</f>
        <v>0.3</v>
      </c>
      <c r="D1309" s="22" t="n">
        <f aca="false">a27_sw</f>
        <v>0.65</v>
      </c>
      <c r="E1309" s="22" t="n">
        <f aca="false">a27_sw*(1+g_sw28_lo)</f>
        <v>0.91</v>
      </c>
      <c r="F1309" s="22" t="n">
        <f aca="false">a27_sw*(1+g_sw28_lo)*(1+g_sw)*um28_A</f>
        <v>1.274</v>
      </c>
      <c r="G1309" s="22" t="n">
        <f aca="false">a27_sw*(1+g_sw28_lo)*(1+g_sw)^2*um29_A</f>
        <v>1.7836</v>
      </c>
    </row>
    <row r="1310" customFormat="false" ht="17.15" hidden="false" customHeight="false" outlineLevel="0" collapsed="false">
      <c r="A1310" s="0" t="s">
        <v>758</v>
      </c>
      <c r="B1310" s="0" t="s">
        <v>239</v>
      </c>
      <c r="C1310" s="22" t="n">
        <f aca="false">a26_aec</f>
        <v>0.2</v>
      </c>
      <c r="D1310" s="22" t="n">
        <f aca="false">a27_aec</f>
        <v>0.45</v>
      </c>
      <c r="E1310" s="22" t="n">
        <f aca="false">a27_aec*(1+g_aec)</f>
        <v>0.675</v>
      </c>
      <c r="F1310" s="22" t="n">
        <f aca="false">a27_aec*(1+g_aec)^2*um28_A</f>
        <v>1.0125</v>
      </c>
      <c r="G1310" s="22" t="n">
        <f aca="false">a27_aec*(1+g_aec)^3*um29_A</f>
        <v>1.51875</v>
      </c>
    </row>
    <row r="1311" customFormat="false" ht="15" hidden="false" customHeight="false" outlineLevel="0" collapsed="false">
      <c r="A1311" s="4" t="s">
        <v>759</v>
      </c>
      <c r="B1311" s="0" t="s">
        <v>239</v>
      </c>
      <c r="C1311" s="22" t="n">
        <f aca="false">a26_sto</f>
        <v>0.65</v>
      </c>
      <c r="D1311" s="22" t="n">
        <f aca="false">a27_sto</f>
        <v>0.6825</v>
      </c>
      <c r="E1311" s="22" t="n">
        <f aca="false">D1311*(1+g_sto)</f>
        <v>0.716625</v>
      </c>
      <c r="F1311" s="22" t="n">
        <f aca="false">E1311*(1+g_sto)</f>
        <v>0.75245625</v>
      </c>
      <c r="G1311" s="22" t="n">
        <f aca="false">F1311*(1+g_sto)</f>
        <v>0.7900790625</v>
      </c>
    </row>
    <row r="1312" customFormat="false" ht="15" hidden="false" customHeight="false" outlineLevel="0" collapsed="false">
      <c r="A1312" s="4" t="s">
        <v>760</v>
      </c>
      <c r="B1312" s="0" t="s">
        <v>239</v>
      </c>
      <c r="C1312" s="22" t="n">
        <f aca="false">a26_dc</f>
        <v>6.1003</v>
      </c>
      <c r="D1312" s="22" t="n">
        <f aca="false">D1296+D1307+D1309+D1310+D1311</f>
        <v>9.76048</v>
      </c>
      <c r="E1312" s="22" t="n">
        <f aca="false">E1296+E1307+E1309+E1310+E1311</f>
        <v>15.7795001892484</v>
      </c>
      <c r="F1312" s="22" t="n">
        <f aca="false">F1296+F1307+F1309+F1310+F1311</f>
        <v>24.6781366179058</v>
      </c>
      <c r="G1312" s="22" t="n">
        <f aca="false">G1296+G1307+G1309+G1310+G1311</f>
        <v>28.9153674043712</v>
      </c>
    </row>
    <row r="1313" customFormat="false" ht="15" hidden="false" customHeight="false" outlineLevel="0" collapsed="false">
      <c r="A1313" s="4" t="s">
        <v>761</v>
      </c>
      <c r="B1313" s="0" t="s">
        <v>239</v>
      </c>
      <c r="C1313" s="22" t="n">
        <f aca="false">a26_co</f>
        <v>2.0943</v>
      </c>
      <c r="D1313" s="22" t="n">
        <f aca="false">a27_co</f>
        <v>2.23952</v>
      </c>
      <c r="E1313" s="22" t="n">
        <f aca="false">D1313*(1+g_co28)</f>
        <v>2.3067056</v>
      </c>
      <c r="F1313" s="22" t="n">
        <f aca="false">E1313*(1+g_co)</f>
        <v>2.375906768</v>
      </c>
      <c r="G1313" s="22" t="n">
        <f aca="false">F1313*(1+g_co)</f>
        <v>2.44718397104</v>
      </c>
    </row>
    <row r="1314" customFormat="false" ht="17.15" hidden="false" customHeight="false" outlineLevel="0" collapsed="false">
      <c r="A1314" s="1" t="s">
        <v>762</v>
      </c>
    </row>
    <row r="1315" customFormat="false" ht="15" hidden="false" customHeight="false" outlineLevel="0" collapsed="false">
      <c r="A1315" s="4" t="s">
        <v>597</v>
      </c>
      <c r="B1315" s="0" t="s">
        <v>239</v>
      </c>
      <c r="C1315" s="22" t="n">
        <f aca="false">a26_rev</f>
        <v>8.1946</v>
      </c>
      <c r="D1315" s="22" t="n">
        <f aca="false">a27_rev</f>
        <v>12</v>
      </c>
      <c r="E1315" s="22" t="n">
        <f aca="false">E1312+E1313</f>
        <v>18.0862057892484</v>
      </c>
      <c r="F1315" s="22" t="n">
        <f aca="false">F1312+F1313</f>
        <v>27.0540433859058</v>
      </c>
      <c r="G1315" s="22" t="n">
        <f aca="false">G1312+G1313</f>
        <v>31.3625513754112</v>
      </c>
    </row>
    <row r="1316" customFormat="false" ht="17.15" hidden="false" customHeight="false" outlineLevel="0" collapsed="false">
      <c r="A1316" s="4" t="s">
        <v>763</v>
      </c>
      <c r="B1316" s="0" t="s">
        <v>239</v>
      </c>
      <c r="D1316" s="22" t="n">
        <f aca="false">D1312+D1313</f>
        <v>12</v>
      </c>
      <c r="E1316" s="22" t="n">
        <f aca="false">E1312+E1313</f>
        <v>18.0862057892484</v>
      </c>
      <c r="F1316" s="22" t="n">
        <f aca="false">F1312+F1313</f>
        <v>27.0540433859058</v>
      </c>
      <c r="G1316" s="22" t="n">
        <f aca="false">G1312+G1313</f>
        <v>31.3625513754112</v>
      </c>
    </row>
    <row r="1317" customFormat="false" ht="15" hidden="false" customHeight="false" outlineLevel="0" collapsed="false">
      <c r="A1317" s="4" t="s">
        <v>764</v>
      </c>
      <c r="B1317" s="0" t="s">
        <v>49</v>
      </c>
      <c r="D1317" s="14" t="n">
        <f aca="false">D1315/C1315-1</f>
        <v>0.464378981280355</v>
      </c>
      <c r="E1317" s="14" t="n">
        <f aca="false">E1315/D1315-1</f>
        <v>0.507183815770701</v>
      </c>
      <c r="F1317" s="14" t="n">
        <f aca="false">F1315/E1315-1</f>
        <v>0.495838524738472</v>
      </c>
      <c r="G1317" s="14" t="n">
        <f aca="false">G1315/F1315-1</f>
        <v>0.159255602870439</v>
      </c>
    </row>
    <row r="1318" customFormat="false" ht="17.15" hidden="false" customHeight="false" outlineLevel="0" collapsed="false">
      <c r="A1318" s="4" t="s">
        <v>765</v>
      </c>
      <c r="B1318" s="0" t="s">
        <v>49</v>
      </c>
      <c r="C1318" s="14" t="n">
        <f aca="false">C1312/C1315</f>
        <v>0.744429258292046</v>
      </c>
      <c r="D1318" s="14" t="n">
        <f aca="false">D1312/D1315</f>
        <v>0.813373333333333</v>
      </c>
      <c r="E1318" s="14" t="n">
        <f aca="false">E1312/E1315</f>
        <v>0.872460502391759</v>
      </c>
      <c r="F1318" s="14" t="n">
        <f aca="false">F1312/F1315</f>
        <v>0.912179235683574</v>
      </c>
      <c r="G1318" s="14" t="n">
        <f aca="false">G1312/G1315</f>
        <v>0.921971145084879</v>
      </c>
    </row>
    <row r="1319" customFormat="false" ht="17.15" hidden="false" customHeight="false" outlineLevel="0" collapsed="false">
      <c r="A1319" s="4" t="s">
        <v>766</v>
      </c>
      <c r="B1319" s="0" t="s">
        <v>239</v>
      </c>
      <c r="D1319" s="22" t="n">
        <f aca="false">gm_opt*D1307+gm_oth*(D1309+D1310+D1311)+gm_att*D1295+gm_co*D1313+m_hbm*D1292</f>
        <v>6.45404607982713</v>
      </c>
      <c r="E1319" s="22" t="n">
        <f aca="false">gm_opt*E1307+gm_oth*(E1309+E1310+E1311)+gm_att*E1295+gm_co*E1313+m_hbm*E1292</f>
        <v>8.89819061270881</v>
      </c>
      <c r="F1319" s="22" t="n">
        <f aca="false">gm_opt*F1307+gm_oth*(F1309+F1310+F1311)+gm_att*F1295+gm_co*F1313+m_hbm*F1292</f>
        <v>9.76363284640483</v>
      </c>
      <c r="G1319" s="22" t="n">
        <f aca="false">gm_opt*G1307+gm_oth*(G1309+G1310+G1311)+gm_att*G1295+gm_co*G1313+m_hbm*G1292</f>
        <v>11.4829726315591</v>
      </c>
    </row>
    <row r="1320" customFormat="false" ht="17.15" hidden="false" customHeight="false" outlineLevel="0" collapsed="false">
      <c r="A1320" s="0" t="s">
        <v>767</v>
      </c>
      <c r="B1320" s="0" t="s">
        <v>80</v>
      </c>
      <c r="D1320" s="16" t="n">
        <f aca="false">(a27_gp-D1319)/D1293</f>
        <v>0.435994625937743</v>
      </c>
      <c r="H1320" s="7" t="s">
        <v>768</v>
      </c>
    </row>
    <row r="1321" customFormat="false" ht="15" hidden="false" customHeight="false" outlineLevel="0" collapsed="false">
      <c r="A1321" s="4" t="s">
        <v>769</v>
      </c>
      <c r="B1321" s="0" t="s">
        <v>239</v>
      </c>
      <c r="C1321" s="22" t="n">
        <f aca="false">a26_gp</f>
        <v>4.8718</v>
      </c>
      <c r="D1321" s="22" t="n">
        <f aca="false">a27_gp</f>
        <v>7.006682</v>
      </c>
      <c r="E1321" s="22" t="n">
        <f aca="false">E1319+$D$1320*E1293</f>
        <v>10.0247796100969</v>
      </c>
      <c r="F1321" s="22" t="n">
        <f aca="false">F1319+$D$1320*F1293</f>
        <v>12.8560417613544</v>
      </c>
      <c r="G1321" s="22" t="n">
        <f aca="false">G1319+$D$1320*G1293</f>
        <v>15.0392428837512</v>
      </c>
    </row>
    <row r="1322" customFormat="false" ht="15" hidden="false" customHeight="false" outlineLevel="0" collapsed="false">
      <c r="A1322" s="4" t="s">
        <v>621</v>
      </c>
      <c r="B1322" s="0" t="s">
        <v>49</v>
      </c>
      <c r="C1322" s="14" t="n">
        <f aca="false">C1321/C1315</f>
        <v>0.59451346008347</v>
      </c>
      <c r="D1322" s="14" t="n">
        <f aca="false">D1321/D1315</f>
        <v>0.583890166666667</v>
      </c>
      <c r="E1322" s="14" t="n">
        <f aca="false">E1321/E1315</f>
        <v>0.554277648220519</v>
      </c>
      <c r="F1322" s="14" t="n">
        <f aca="false">F1321/F1315</f>
        <v>0.475198534206979</v>
      </c>
      <c r="G1322" s="14" t="n">
        <f aca="false">G1321/G1315</f>
        <v>0.479528680678135</v>
      </c>
    </row>
    <row r="1323" customFormat="false" ht="17.15" hidden="false" customHeight="false" outlineLevel="0" collapsed="false">
      <c r="A1323" s="4" t="s">
        <v>770</v>
      </c>
      <c r="B1323" s="0" t="s">
        <v>49</v>
      </c>
      <c r="C1323" s="14" t="n">
        <f aca="false">C1296/C1315</f>
        <v>0.183047372660044</v>
      </c>
      <c r="D1323" s="14" t="n">
        <f aca="false">D1296/D1315</f>
        <v>0.15625</v>
      </c>
      <c r="E1323" s="14" t="n">
        <f aca="false">E1296/E1315</f>
        <v>0.261153875310105</v>
      </c>
      <c r="F1323" s="14" t="n">
        <f aca="false">F1296/F1315</f>
        <v>0.490714053018441</v>
      </c>
      <c r="G1323" s="14" t="n">
        <f aca="false">G1296/G1315</f>
        <v>0.494950003024998</v>
      </c>
    </row>
    <row r="1324" customFormat="false" ht="15" hidden="false" customHeight="false" outlineLevel="0" collapsed="false">
      <c r="A1324" s="4" t="s">
        <v>771</v>
      </c>
      <c r="B1324" s="0" t="s">
        <v>239</v>
      </c>
      <c r="C1324" s="22" t="n">
        <f aca="false">a26_opx</f>
        <v>1.9808</v>
      </c>
      <c r="D1324" s="22" t="n">
        <f aca="false">a27_opx</f>
        <v>2.55</v>
      </c>
      <c r="E1324" s="22" t="n">
        <f aca="false">D1324*(1+MAX(g_opx_min,phi*E1317))</f>
        <v>3.19665936510764</v>
      </c>
      <c r="F1324" s="22" t="n">
        <f aca="false">E1324*(1+MAX(g_opx_min,phi*F1317))</f>
        <v>3.98917279695084</v>
      </c>
      <c r="G1324" s="22" t="n">
        <f aca="false">F1324*(1+MAX(g_opx_min,phi*G1317))</f>
        <v>4.30682185631722</v>
      </c>
    </row>
    <row r="1325" customFormat="false" ht="15" hidden="false" customHeight="false" outlineLevel="0" collapsed="false">
      <c r="A1325" s="4" t="s">
        <v>772</v>
      </c>
      <c r="B1325" s="0" t="s">
        <v>239</v>
      </c>
      <c r="C1325" s="22" t="n">
        <f aca="false">C1324</f>
        <v>1.9808</v>
      </c>
      <c r="D1325" s="22" t="n">
        <f aca="false">D1324</f>
        <v>2.55</v>
      </c>
      <c r="E1325" s="22" t="n">
        <f aca="false">E1324+0*E1315</f>
        <v>3.19665936510764</v>
      </c>
      <c r="F1325" s="22" t="n">
        <f aca="false">F1324+0*F1315</f>
        <v>3.98917279695084</v>
      </c>
      <c r="G1325" s="22" t="n">
        <f aca="false">G1324+0*G1315</f>
        <v>4.30682185631722</v>
      </c>
    </row>
    <row r="1326" customFormat="false" ht="15" hidden="false" customHeight="false" outlineLevel="0" collapsed="false">
      <c r="A1326" s="4" t="s">
        <v>773</v>
      </c>
      <c r="B1326" s="0" t="s">
        <v>239</v>
      </c>
      <c r="C1326" s="22" t="n">
        <f aca="false">C1321-C1325</f>
        <v>2.891</v>
      </c>
      <c r="D1326" s="22" t="n">
        <f aca="false">D1321-D1325</f>
        <v>4.456682</v>
      </c>
      <c r="E1326" s="22" t="n">
        <f aca="false">E1321-E1325</f>
        <v>6.82812024498929</v>
      </c>
      <c r="F1326" s="22" t="n">
        <f aca="false">F1321-F1325</f>
        <v>8.86686896440359</v>
      </c>
      <c r="G1326" s="22" t="n">
        <f aca="false">G1321-G1325</f>
        <v>10.7324210274339</v>
      </c>
    </row>
    <row r="1327" customFormat="false" ht="15" hidden="false" customHeight="false" outlineLevel="0" collapsed="false">
      <c r="A1327" s="4" t="s">
        <v>627</v>
      </c>
      <c r="B1327" s="0" t="s">
        <v>49</v>
      </c>
      <c r="C1327" s="14" t="n">
        <f aca="false">C1326/C1315</f>
        <v>0.352793302906792</v>
      </c>
      <c r="D1327" s="14" t="n">
        <f aca="false">D1326/D1315</f>
        <v>0.371390166666667</v>
      </c>
      <c r="E1327" s="14" t="n">
        <f aca="false">E1326/E1315</f>
        <v>0.377531933704324</v>
      </c>
      <c r="F1327" s="14" t="n">
        <f aca="false">F1326/F1315</f>
        <v>0.327746534517015</v>
      </c>
      <c r="G1327" s="14" t="n">
        <f aca="false">G1326/G1315</f>
        <v>0.342204972387812</v>
      </c>
    </row>
    <row r="1328" customFormat="false" ht="15" hidden="false" customHeight="false" outlineLevel="0" collapsed="false">
      <c r="A1328" s="4" t="s">
        <v>774</v>
      </c>
      <c r="B1328" s="0" t="s">
        <v>239</v>
      </c>
      <c r="C1328" s="22" t="n">
        <f aca="false">a26_oth</f>
        <v>0.1514</v>
      </c>
      <c r="D1328" s="22" t="n">
        <f aca="false">a27_oth</f>
        <v>0.1424</v>
      </c>
      <c r="E1328" s="22" t="n">
        <f aca="false">int_f</f>
        <v>0.15</v>
      </c>
      <c r="F1328" s="22" t="n">
        <f aca="false">int_f</f>
        <v>0.15</v>
      </c>
      <c r="G1328" s="22" t="n">
        <f aca="false">int_f</f>
        <v>0.15</v>
      </c>
    </row>
    <row r="1329" customFormat="false" ht="15" hidden="false" customHeight="false" outlineLevel="0" collapsed="false">
      <c r="A1329" s="4" t="s">
        <v>775</v>
      </c>
      <c r="B1329" s="0" t="s">
        <v>49</v>
      </c>
      <c r="C1329" s="14" t="n">
        <f aca="false">a26_tax/(a26_oi-a26_oth)</f>
        <v>0.1</v>
      </c>
      <c r="D1329" s="14" t="n">
        <f aca="false">a27_tax/(a27_oi-a27_oth)</f>
        <v>0.11</v>
      </c>
      <c r="E1329" s="14" t="n">
        <f aca="false">tx_f</f>
        <v>0.13</v>
      </c>
      <c r="F1329" s="14" t="n">
        <f aca="false">tx_f</f>
        <v>0.13</v>
      </c>
      <c r="G1329" s="14" t="n">
        <f aca="false">tx_f</f>
        <v>0.13</v>
      </c>
    </row>
    <row r="1330" customFormat="false" ht="17.15" hidden="false" customHeight="false" outlineLevel="0" collapsed="false">
      <c r="A1330" s="4" t="s">
        <v>708</v>
      </c>
      <c r="B1330" s="0" t="s">
        <v>239</v>
      </c>
      <c r="C1330" s="22" t="n">
        <f aca="false">a26_ni</f>
        <v>2.46564</v>
      </c>
      <c r="D1330" s="22" t="n">
        <f aca="false">a27_ni</f>
        <v>3.83971098</v>
      </c>
      <c r="E1330" s="22" t="n">
        <f aca="false">(E1326-E1328)*(1-E1329)</f>
        <v>5.80996461314069</v>
      </c>
      <c r="F1330" s="22" t="n">
        <f aca="false">(F1326-F1328)*(1-F1329)</f>
        <v>7.58367599903112</v>
      </c>
      <c r="G1330" s="22" t="n">
        <f aca="false">(G1326-G1328)*(1-G1329)</f>
        <v>9.20670629386752</v>
      </c>
    </row>
    <row r="1331" customFormat="false" ht="15" hidden="false" customHeight="false" outlineLevel="0" collapsed="false">
      <c r="A1331" s="4" t="s">
        <v>776</v>
      </c>
      <c r="B1331" s="4" t="s">
        <v>370</v>
      </c>
      <c r="C1331" s="16" t="n">
        <f aca="false">a26_sh</f>
        <v>0.8697</v>
      </c>
      <c r="D1331" s="16" t="n">
        <f aca="false">a27_sh</f>
        <v>0.915125</v>
      </c>
      <c r="E1331" s="16" t="n">
        <f aca="false">D1331*(1+sh_g)</f>
        <v>0.919700625</v>
      </c>
      <c r="F1331" s="16" t="n">
        <f aca="false">E1331*(1+sh_g)</f>
        <v>0.924299128125</v>
      </c>
      <c r="G1331" s="16" t="n">
        <f aca="false">F1331*(1+sh_g)</f>
        <v>0.928920623765625</v>
      </c>
    </row>
    <row r="1332" customFormat="false" ht="17.15" hidden="false" customHeight="false" outlineLevel="0" collapsed="false">
      <c r="A1332" s="0" t="s">
        <v>709</v>
      </c>
      <c r="B1332" s="0" t="s">
        <v>253</v>
      </c>
      <c r="C1332" s="22" t="n">
        <f aca="false">C1330/C1331</f>
        <v>2.83504656778199</v>
      </c>
      <c r="D1332" s="22" t="n">
        <f aca="false">D1330/D1331</f>
        <v>4.19583224149706</v>
      </c>
      <c r="E1332" s="22" t="n">
        <f aca="false">E1330/E1331</f>
        <v>6.31723460353274</v>
      </c>
      <c r="F1332" s="22" t="n">
        <f aca="false">F1330/F1331</f>
        <v>8.20478540796105</v>
      </c>
      <c r="G1332" s="22" t="n">
        <f aca="false">G1330/G1331</f>
        <v>9.91118730526803</v>
      </c>
    </row>
    <row r="1333" customFormat="false" ht="17.15" hidden="false" customHeight="false" outlineLevel="0" collapsed="false">
      <c r="A1333" s="0" t="s">
        <v>777</v>
      </c>
      <c r="B1333" s="0" t="s">
        <v>49</v>
      </c>
      <c r="D1333" s="14" t="n">
        <f aca="false">D1332/C1332-1</f>
        <v>0.479987062357033</v>
      </c>
      <c r="E1333" s="14" t="n">
        <f aca="false">E1332/D1332-1</f>
        <v>0.505597516758383</v>
      </c>
      <c r="F1333" s="14" t="n">
        <f aca="false">F1332/E1332-1</f>
        <v>0.298793843016809</v>
      </c>
      <c r="G1333" s="14" t="n">
        <f aca="false">G1332/F1332-1</f>
        <v>0.207976420157347</v>
      </c>
    </row>
    <row r="1336" customFormat="false" ht="17.15" hidden="false" customHeight="false" outlineLevel="0" collapsed="false">
      <c r="A1336" s="3" t="s">
        <v>1188</v>
      </c>
    </row>
    <row r="1337" customFormat="false" ht="17.15" hidden="false" customHeight="false" outlineLevel="0" collapsed="false">
      <c r="A1337" s="5" t="s">
        <v>25</v>
      </c>
      <c r="B1337" s="5" t="s">
        <v>26</v>
      </c>
      <c r="C1337" s="11" t="s">
        <v>698</v>
      </c>
      <c r="D1337" s="11" t="s">
        <v>699</v>
      </c>
      <c r="E1337" s="11" t="s">
        <v>700</v>
      </c>
      <c r="F1337" s="11" t="s">
        <v>701</v>
      </c>
      <c r="G1337" s="11" t="s">
        <v>702</v>
      </c>
      <c r="H1337" s="5" t="s">
        <v>555</v>
      </c>
    </row>
    <row r="1338" customFormat="false" ht="17.15" hidden="false" customHeight="false" outlineLevel="0" collapsed="false">
      <c r="A1338" s="1" t="s">
        <v>717</v>
      </c>
    </row>
    <row r="1339" customFormat="false" ht="17.15" hidden="false" customHeight="false" outlineLevel="0" collapsed="false">
      <c r="A1339" s="0" t="s">
        <v>718</v>
      </c>
      <c r="B1339" s="4" t="s">
        <v>36</v>
      </c>
      <c r="D1339" s="22" t="n">
        <f aca="false">u_trn_26</f>
        <v>2</v>
      </c>
      <c r="E1339" s="22" t="n">
        <f aca="false">u_trn_27</f>
        <v>2.5</v>
      </c>
      <c r="F1339" s="22" t="n">
        <f aca="false">u_trn_28*um28_A</f>
        <v>3</v>
      </c>
      <c r="G1339" s="22" t="n">
        <f aca="false">u_trn_28*(1+g29_trn)*um29_A</f>
        <v>3.45</v>
      </c>
    </row>
    <row r="1340" customFormat="false" ht="17.15" hidden="false" customHeight="false" outlineLevel="0" collapsed="false">
      <c r="A1340" s="4" t="s">
        <v>719</v>
      </c>
      <c r="B1340" s="4" t="s">
        <v>36</v>
      </c>
      <c r="D1340" s="22" t="n">
        <f aca="false">u_oth_26</f>
        <v>1</v>
      </c>
      <c r="E1340" s="22" t="n">
        <f aca="false">u_oth_27</f>
        <v>4.5</v>
      </c>
      <c r="F1340" s="22" t="n">
        <f aca="false">u_oth_28*um28_A</f>
        <v>5</v>
      </c>
      <c r="G1340" s="22" t="n">
        <f aca="false">u_oth_28*(1+g29_oth)*um29_A</f>
        <v>5.75</v>
      </c>
    </row>
    <row r="1341" customFormat="false" ht="17.15" hidden="false" customHeight="false" outlineLevel="0" collapsed="false">
      <c r="A1341" s="0" t="s">
        <v>720</v>
      </c>
      <c r="B1341" s="4" t="s">
        <v>36</v>
      </c>
      <c r="D1341" s="22" t="n">
        <f aca="false">u_tpu_26</f>
        <v>3.85</v>
      </c>
      <c r="E1341" s="22" t="n">
        <f aca="false">u_tpu_27</f>
        <v>5.5</v>
      </c>
      <c r="F1341" s="22" t="n">
        <f aca="false">u_tpu_28*um28_A</f>
        <v>7</v>
      </c>
      <c r="G1341" s="22" t="n">
        <f aca="false">u_tpu_28*(1+g29_tpu)*um29_A</f>
        <v>8.05</v>
      </c>
    </row>
    <row r="1342" customFormat="false" ht="17.15" hidden="false" customHeight="false" outlineLevel="0" collapsed="false">
      <c r="A1342" s="0" t="s">
        <v>658</v>
      </c>
      <c r="B1342" s="0" t="s">
        <v>49</v>
      </c>
      <c r="D1342" s="14" t="n">
        <f aca="false">msh_trn_26</f>
        <v>0.1</v>
      </c>
      <c r="E1342" s="14" t="n">
        <f aca="false">MIN(1,MAX(0,msh_trn_27+0))</f>
        <v>0.1</v>
      </c>
      <c r="F1342" s="14" t="n">
        <f aca="false">MIN(1,MAX(0,msh_trn_28+0))</f>
        <v>0.08</v>
      </c>
      <c r="G1342" s="14" t="n">
        <f aca="false">MIN(1,MAX(0,msh_trn_28+0))</f>
        <v>0.08</v>
      </c>
    </row>
    <row r="1343" customFormat="false" ht="17.15" hidden="false" customHeight="false" outlineLevel="0" collapsed="false">
      <c r="A1343" s="0" t="s">
        <v>666</v>
      </c>
      <c r="B1343" s="0" t="s">
        <v>49</v>
      </c>
      <c r="D1343" s="14" t="n">
        <f aca="false">msh_oth_26</f>
        <v>0.05</v>
      </c>
      <c r="E1343" s="14" t="n">
        <f aca="false">MIN(1,MAX(0,msh_oth_27+0))</f>
        <v>0.06</v>
      </c>
      <c r="F1343" s="14" t="n">
        <f aca="false">MIN(1,MAX(0,msh_oth_28+0))</f>
        <v>0.15</v>
      </c>
      <c r="G1343" s="14" t="n">
        <f aca="false">MIN(1,MAX(0,msh_oth_28+0))</f>
        <v>0.15</v>
      </c>
    </row>
    <row r="1344" customFormat="false" ht="17.15" hidden="false" customHeight="false" outlineLevel="0" collapsed="false">
      <c r="A1344" s="0" t="s">
        <v>670</v>
      </c>
      <c r="B1344" s="0" t="s">
        <v>49</v>
      </c>
      <c r="D1344" s="14" t="n">
        <f aca="false">msh_tpu_26</f>
        <v>0</v>
      </c>
      <c r="E1344" s="14" t="n">
        <f aca="false">MIN(1,MAX(0,msh_tpu_27+0))</f>
        <v>0</v>
      </c>
      <c r="F1344" s="14" t="n">
        <f aca="false">MIN(1,MAX(0,msh_tpu_28+0))</f>
        <v>0.05</v>
      </c>
      <c r="G1344" s="14" t="n">
        <f aca="false">MIN(1,MAX(0,msh_tpu_28+0))</f>
        <v>0.05</v>
      </c>
    </row>
    <row r="1345" customFormat="false" ht="17.15" hidden="false" customHeight="false" outlineLevel="0" collapsed="false">
      <c r="A1345" s="0" t="s">
        <v>660</v>
      </c>
      <c r="B1345" s="4" t="s">
        <v>36</v>
      </c>
      <c r="D1345" s="16" t="n">
        <f aca="false">D1339*D1342</f>
        <v>0.2</v>
      </c>
      <c r="E1345" s="16" t="n">
        <f aca="false">E1339*E1342*1</f>
        <v>0.25</v>
      </c>
      <c r="F1345" s="16" t="n">
        <f aca="false">F1339*F1342*1</f>
        <v>0.24</v>
      </c>
      <c r="G1345" s="16" t="n">
        <f aca="false">G1339*G1342*1</f>
        <v>0.276</v>
      </c>
    </row>
    <row r="1346" customFormat="false" ht="17.15" hidden="false" customHeight="false" outlineLevel="0" collapsed="false">
      <c r="A1346" s="0" t="s">
        <v>667</v>
      </c>
      <c r="B1346" s="4" t="s">
        <v>36</v>
      </c>
      <c r="D1346" s="16" t="n">
        <f aca="false">D1340*D1343</f>
        <v>0.05</v>
      </c>
      <c r="E1346" s="16" t="n">
        <f aca="false">E1340*E1343*1</f>
        <v>0.27</v>
      </c>
      <c r="F1346" s="16" t="n">
        <f aca="false">F1340*F1343*1</f>
        <v>0.75</v>
      </c>
      <c r="G1346" s="16" t="n">
        <f aca="false">G1340*G1343*1</f>
        <v>0.8625</v>
      </c>
    </row>
    <row r="1347" customFormat="false" ht="17.15" hidden="false" customHeight="false" outlineLevel="0" collapsed="false">
      <c r="A1347" s="0" t="s">
        <v>671</v>
      </c>
      <c r="B1347" s="4" t="s">
        <v>36</v>
      </c>
      <c r="D1347" s="16" t="n">
        <f aca="false">D1341*D1344</f>
        <v>0</v>
      </c>
      <c r="E1347" s="16" t="n">
        <f aca="false">E1341*E1344*1</f>
        <v>0</v>
      </c>
      <c r="F1347" s="16" t="n">
        <f aca="false">F1341*F1344*1</f>
        <v>0.35</v>
      </c>
      <c r="G1347" s="16" t="n">
        <f aca="false">G1341*G1344*1</f>
        <v>0.4025</v>
      </c>
    </row>
    <row r="1348" customFormat="false" ht="17.15" hidden="false" customHeight="false" outlineLevel="0" collapsed="false">
      <c r="A1348" s="4" t="s">
        <v>721</v>
      </c>
      <c r="B1348" s="0" t="s">
        <v>100</v>
      </c>
      <c r="D1348" s="23" t="n">
        <f aca="false">gb_trn_26</f>
        <v>110</v>
      </c>
      <c r="E1348" s="23" t="n">
        <f aca="false">gb_trn_27</f>
        <v>144</v>
      </c>
      <c r="F1348" s="23" t="n">
        <f aca="false">gb_trn_28</f>
        <v>200</v>
      </c>
      <c r="G1348" s="23" t="n">
        <f aca="false">gb_trn_28</f>
        <v>200</v>
      </c>
    </row>
    <row r="1349" customFormat="false" ht="17.15" hidden="false" customHeight="false" outlineLevel="0" collapsed="false">
      <c r="A1349" s="4" t="s">
        <v>722</v>
      </c>
      <c r="B1349" s="0" t="s">
        <v>100</v>
      </c>
      <c r="D1349" s="23" t="n">
        <f aca="false">gb_oth_26</f>
        <v>150</v>
      </c>
      <c r="E1349" s="23" t="n">
        <f aca="false">gb_oth_27</f>
        <v>200</v>
      </c>
      <c r="F1349" s="23" t="n">
        <f aca="false">gb_oth_28</f>
        <v>250</v>
      </c>
      <c r="G1349" s="23" t="n">
        <f aca="false">gb_oth_28</f>
        <v>250</v>
      </c>
    </row>
    <row r="1350" customFormat="false" ht="17.15" hidden="false" customHeight="false" outlineLevel="0" collapsed="false">
      <c r="A1350" s="4" t="s">
        <v>723</v>
      </c>
      <c r="B1350" s="0" t="s">
        <v>100</v>
      </c>
      <c r="D1350" s="23" t="n">
        <f aca="false">gb_tpu_26</f>
        <v>192</v>
      </c>
      <c r="E1350" s="23" t="n">
        <f aca="false">gb_tpu_27</f>
        <v>250</v>
      </c>
      <c r="F1350" s="23" t="n">
        <f aca="false">gb_tpu_28</f>
        <v>288</v>
      </c>
      <c r="G1350" s="23" t="n">
        <f aca="false">gb_tpu_28</f>
        <v>288</v>
      </c>
    </row>
    <row r="1351" customFormat="false" ht="17.15" hidden="false" customHeight="false" outlineLevel="0" collapsed="false">
      <c r="A1351" s="0" t="s">
        <v>724</v>
      </c>
      <c r="B1351" s="0" t="s">
        <v>200</v>
      </c>
      <c r="D1351" s="22" t="n">
        <f aca="false">hbm_A_26</f>
        <v>14.6</v>
      </c>
      <c r="E1351" s="22" t="n">
        <f aca="false">hbm_A_27</f>
        <v>26.28</v>
      </c>
      <c r="F1351" s="22" t="n">
        <f aca="false">hbm_A_28</f>
        <v>28.908</v>
      </c>
      <c r="G1351" s="22" t="n">
        <f aca="false">hbm_A_29</f>
        <v>27.4626</v>
      </c>
    </row>
    <row r="1352" customFormat="false" ht="17.15" hidden="false" customHeight="false" outlineLevel="0" collapsed="false">
      <c r="A1352" s="4" t="s">
        <v>725</v>
      </c>
      <c r="B1352" s="0" t="s">
        <v>122</v>
      </c>
      <c r="D1352" s="22" t="n">
        <f aca="false">core_trn</f>
        <v>6.394</v>
      </c>
      <c r="E1352" s="22" t="n">
        <f aca="false">core_trn*1</f>
        <v>6.394</v>
      </c>
      <c r="F1352" s="22" t="n">
        <f aca="false">core_trn*1</f>
        <v>6.394</v>
      </c>
      <c r="G1352" s="22" t="n">
        <f aca="false">core_trn*1</f>
        <v>6.394</v>
      </c>
    </row>
    <row r="1353" customFormat="false" ht="17.15" hidden="false" customHeight="false" outlineLevel="0" collapsed="false">
      <c r="A1353" s="4" t="s">
        <v>726</v>
      </c>
      <c r="B1353" s="0" t="s">
        <v>122</v>
      </c>
      <c r="D1353" s="22" t="n">
        <f aca="false">core_oth</f>
        <v>6</v>
      </c>
      <c r="E1353" s="22" t="n">
        <f aca="false">core_oth*1</f>
        <v>6</v>
      </c>
      <c r="F1353" s="22" t="n">
        <f aca="false">core_oth*1</f>
        <v>6</v>
      </c>
      <c r="G1353" s="22" t="n">
        <f aca="false">core_oth*1</f>
        <v>6</v>
      </c>
    </row>
    <row r="1354" customFormat="false" ht="17.15" hidden="false" customHeight="false" outlineLevel="0" collapsed="false">
      <c r="A1354" s="4" t="s">
        <v>727</v>
      </c>
      <c r="B1354" s="0" t="s">
        <v>122</v>
      </c>
      <c r="D1354" s="22" t="n">
        <f aca="false">core_tpu</f>
        <v>8</v>
      </c>
      <c r="E1354" s="22" t="n">
        <f aca="false">core_tpu*1</f>
        <v>8</v>
      </c>
      <c r="F1354" s="22" t="n">
        <f aca="false">core_tpu*1</f>
        <v>8</v>
      </c>
      <c r="G1354" s="22" t="n">
        <f aca="false">core_tpu*1</f>
        <v>8</v>
      </c>
    </row>
    <row r="1355" customFormat="false" ht="17.15" hidden="false" customHeight="false" outlineLevel="0" collapsed="false">
      <c r="A1355" s="4" t="s">
        <v>728</v>
      </c>
      <c r="B1355" s="0" t="s">
        <v>122</v>
      </c>
      <c r="D1355" s="22" t="n">
        <f aca="false">D1348*D1351/1000</f>
        <v>1.606</v>
      </c>
      <c r="E1355" s="22" t="n">
        <f aca="false">E1348*E1351/1000</f>
        <v>3.78432</v>
      </c>
      <c r="F1355" s="22" t="n">
        <f aca="false">F1348*F1351/1000</f>
        <v>5.7816</v>
      </c>
      <c r="G1355" s="22" t="n">
        <f aca="false">G1348*G1351/1000</f>
        <v>5.49252</v>
      </c>
    </row>
    <row r="1356" customFormat="false" ht="17.15" hidden="false" customHeight="false" outlineLevel="0" collapsed="false">
      <c r="A1356" s="4" t="s">
        <v>729</v>
      </c>
      <c r="B1356" s="0" t="s">
        <v>122</v>
      </c>
      <c r="D1356" s="22" t="n">
        <f aca="false">D1349*D1351/1000</f>
        <v>2.19</v>
      </c>
      <c r="E1356" s="22" t="n">
        <f aca="false">E1349*E1351/1000</f>
        <v>5.256</v>
      </c>
      <c r="F1356" s="22" t="n">
        <f aca="false">F1349*F1351/1000</f>
        <v>7.227</v>
      </c>
      <c r="G1356" s="22" t="n">
        <f aca="false">G1349*G1351/1000</f>
        <v>6.86565</v>
      </c>
    </row>
    <row r="1357" customFormat="false" ht="17.15" hidden="false" customHeight="false" outlineLevel="0" collapsed="false">
      <c r="A1357" s="4" t="s">
        <v>730</v>
      </c>
      <c r="B1357" s="0" t="s">
        <v>122</v>
      </c>
      <c r="D1357" s="22" t="n">
        <f aca="false">D1350*D1351/1000</f>
        <v>2.8032</v>
      </c>
      <c r="E1357" s="22" t="n">
        <f aca="false">E1350*E1351/1000</f>
        <v>6.57</v>
      </c>
      <c r="F1357" s="22" t="n">
        <f aca="false">F1350*F1351/1000</f>
        <v>8.325504</v>
      </c>
      <c r="G1357" s="22" t="n">
        <f aca="false">G1350*G1351/1000</f>
        <v>7.9092288</v>
      </c>
    </row>
    <row r="1358" customFormat="false" ht="17.15" hidden="false" customHeight="false" outlineLevel="0" collapsed="false">
      <c r="A1358" s="4" t="s">
        <v>731</v>
      </c>
      <c r="B1358" s="0" t="s">
        <v>122</v>
      </c>
      <c r="D1358" s="22" t="n">
        <f aca="false">D1352+f_hbm*D1355</f>
        <v>7.3576</v>
      </c>
      <c r="E1358" s="22" t="n">
        <f aca="false">E1352+f_hbm*E1355</f>
        <v>8.664592</v>
      </c>
      <c r="F1358" s="22" t="n">
        <f aca="false">F1352+f_hbm*F1355</f>
        <v>9.86296</v>
      </c>
      <c r="G1358" s="22" t="n">
        <f aca="false">G1352+f_hbm*G1355</f>
        <v>9.689512</v>
      </c>
      <c r="H1358" s="4" t="s">
        <v>732</v>
      </c>
    </row>
    <row r="1359" customFormat="false" ht="17.15" hidden="false" customHeight="false" outlineLevel="0" collapsed="false">
      <c r="A1359" s="4" t="s">
        <v>733</v>
      </c>
      <c r="B1359" s="0" t="s">
        <v>122</v>
      </c>
      <c r="D1359" s="22" t="n">
        <f aca="false">D1353+f_hbm*D1356</f>
        <v>7.314</v>
      </c>
      <c r="E1359" s="22" t="n">
        <f aca="false">E1353+f_hbm*E1356</f>
        <v>9.1536</v>
      </c>
      <c r="F1359" s="22" t="n">
        <f aca="false">F1353+f_hbm*F1356</f>
        <v>10.3362</v>
      </c>
      <c r="G1359" s="22" t="n">
        <f aca="false">G1353+f_hbm*G1356</f>
        <v>10.11939</v>
      </c>
    </row>
    <row r="1360" customFormat="false" ht="17.15" hidden="false" customHeight="false" outlineLevel="0" collapsed="false">
      <c r="A1360" s="4" t="s">
        <v>734</v>
      </c>
      <c r="B1360" s="0" t="s">
        <v>122</v>
      </c>
      <c r="D1360" s="22" t="n">
        <f aca="false">D1354+f_hbm*D1357</f>
        <v>9.68192</v>
      </c>
      <c r="E1360" s="22" t="n">
        <f aca="false">E1354+f_hbm*E1357</f>
        <v>11.942</v>
      </c>
      <c r="F1360" s="22" t="n">
        <f aca="false">F1354+f_hbm*F1357</f>
        <v>12.9953024</v>
      </c>
      <c r="G1360" s="22" t="n">
        <f aca="false">G1354+f_hbm*G1357</f>
        <v>12.74553728</v>
      </c>
    </row>
    <row r="1361" customFormat="false" ht="17.15" hidden="false" customHeight="false" outlineLevel="0" collapsed="false">
      <c r="A1361" s="0" t="s">
        <v>735</v>
      </c>
      <c r="B1361" s="0" t="s">
        <v>239</v>
      </c>
      <c r="D1361" s="22" t="n">
        <f aca="false">D1345*D1358+D1346*D1359+D1347*D1360</f>
        <v>1.83722</v>
      </c>
      <c r="E1361" s="22" t="n">
        <f aca="false">E1345*E1358+E1346*E1359+E1347*E1360</f>
        <v>4.63762</v>
      </c>
      <c r="F1361" s="22" t="n">
        <f aca="false">F1345*F1358+F1346*F1359+F1347*F1360</f>
        <v>14.66761624</v>
      </c>
      <c r="G1361" s="22" t="n">
        <f aca="false">G1345*G1358+G1346*G1359+G1347*G1360</f>
        <v>16.5323579422</v>
      </c>
    </row>
    <row r="1362" customFormat="false" ht="17.15" hidden="false" customHeight="false" outlineLevel="0" collapsed="false">
      <c r="A1362" s="0" t="s">
        <v>736</v>
      </c>
      <c r="B1362" s="0" t="s">
        <v>80</v>
      </c>
      <c r="D1362" s="16" t="n">
        <f aca="false">a27_xpu/D1361</f>
        <v>0.802843426481314</v>
      </c>
      <c r="H1362" s="7" t="s">
        <v>737</v>
      </c>
    </row>
    <row r="1363" customFormat="false" ht="17.15" hidden="false" customHeight="false" outlineLevel="0" collapsed="false">
      <c r="A1363" s="0" t="s">
        <v>738</v>
      </c>
      <c r="B1363" s="0" t="s">
        <v>239</v>
      </c>
      <c r="D1363" s="22" t="n">
        <f aca="false">D1361*$D$1362</f>
        <v>1.475</v>
      </c>
      <c r="E1363" s="22" t="n">
        <f aca="false">E1361*$D$1362</f>
        <v>3.72328273151827</v>
      </c>
      <c r="F1363" s="22" t="n">
        <f aca="false">F1361*$D$1362</f>
        <v>11.7757992804346</v>
      </c>
      <c r="G1363" s="22" t="n">
        <f aca="false">G1361*$D$1362</f>
        <v>13.2728948981314</v>
      </c>
    </row>
    <row r="1364" customFormat="false" ht="17.15" hidden="false" customHeight="false" outlineLevel="0" collapsed="false">
      <c r="A1364" s="4" t="s">
        <v>739</v>
      </c>
      <c r="B1364" s="0" t="s">
        <v>239</v>
      </c>
      <c r="D1364" s="22" t="n">
        <f aca="false">$D$1362*f_hbm*(D1345*D1355+D1346*D1356+D1347*D1357)</f>
        <v>0.207470798271301</v>
      </c>
      <c r="E1364" s="22" t="n">
        <f aca="false">$D$1362*f_hbm*(E1345*E1355+E1346*E1356+E1347*E1357)</f>
        <v>1.13933116338816</v>
      </c>
      <c r="F1364" s="22" t="n">
        <f aca="false">$D$1362*f_hbm*(F1345*F1355+F1346*F1356+F1347*F1357)</f>
        <v>4.68303085857981</v>
      </c>
      <c r="G1364" s="22" t="n">
        <f aca="false">$D$1362*f_hbm*(G1345*G1355+G1346*G1356+G1347*G1357)</f>
        <v>5.11621121299844</v>
      </c>
    </row>
    <row r="1365" customFormat="false" ht="15" hidden="false" customHeight="false" outlineLevel="0" collapsed="false">
      <c r="A1365" s="4" t="s">
        <v>740</v>
      </c>
      <c r="B1365" s="0" t="s">
        <v>239</v>
      </c>
      <c r="D1365" s="22" t="n">
        <f aca="false">D1363-D1364</f>
        <v>1.2675292017287</v>
      </c>
      <c r="E1365" s="22" t="n">
        <f aca="false">E1363-E1364</f>
        <v>2.58395156813011</v>
      </c>
      <c r="F1365" s="22" t="n">
        <f aca="false">F1363-F1364</f>
        <v>7.09276842185476</v>
      </c>
      <c r="G1365" s="22" t="n">
        <f aca="false">G1363-G1364</f>
        <v>8.15668368513297</v>
      </c>
    </row>
    <row r="1366" customFormat="false" ht="17.15" hidden="false" customHeight="false" outlineLevel="0" collapsed="false">
      <c r="A1366" s="0" t="s">
        <v>741</v>
      </c>
      <c r="B1366" s="4" t="s">
        <v>36</v>
      </c>
      <c r="D1366" s="16" t="n">
        <f aca="false">D1345+D1346+D1347</f>
        <v>0.25</v>
      </c>
      <c r="E1366" s="16" t="n">
        <f aca="false">E1345+E1346+E1347</f>
        <v>0.52</v>
      </c>
      <c r="F1366" s="16" t="n">
        <f aca="false">F1345+F1346+F1347</f>
        <v>1.34</v>
      </c>
      <c r="G1366" s="16" t="n">
        <f aca="false">G1345+G1346+G1347</f>
        <v>1.541</v>
      </c>
    </row>
    <row r="1367" customFormat="false" ht="17.15" hidden="false" customHeight="false" outlineLevel="0" collapsed="false">
      <c r="A1367" s="0" t="s">
        <v>742</v>
      </c>
      <c r="B1367" s="0" t="s">
        <v>239</v>
      </c>
      <c r="C1367" s="22" t="n">
        <f aca="false">a26_att</f>
        <v>0.2</v>
      </c>
      <c r="D1367" s="22" t="n">
        <f aca="false">a27_att</f>
        <v>0.4</v>
      </c>
      <c r="E1367" s="22" t="n">
        <f aca="false">att28</f>
        <v>1</v>
      </c>
      <c r="F1367" s="22" t="n">
        <f aca="false">att28*(1+g_att)*um28_A</f>
        <v>1.5</v>
      </c>
      <c r="G1367" s="22" t="n">
        <f aca="false">att28*(1+g_att)^2*um29_A</f>
        <v>2.25</v>
      </c>
      <c r="H1367" s="7" t="s">
        <v>743</v>
      </c>
    </row>
    <row r="1368" customFormat="false" ht="17.15" hidden="false" customHeight="false" outlineLevel="0" collapsed="false">
      <c r="A1368" s="4" t="s">
        <v>744</v>
      </c>
      <c r="B1368" s="0" t="s">
        <v>239</v>
      </c>
      <c r="C1368" s="22" t="n">
        <f aca="false">a26_cus</f>
        <v>1.5</v>
      </c>
      <c r="D1368" s="22" t="n">
        <f aca="false">D1363+D1367</f>
        <v>1.875</v>
      </c>
      <c r="E1368" s="22" t="n">
        <f aca="false">E1363+E1367</f>
        <v>4.72328273151827</v>
      </c>
      <c r="F1368" s="22" t="n">
        <f aca="false">F1363+F1367</f>
        <v>13.2757992804346</v>
      </c>
      <c r="G1368" s="22" t="n">
        <f aca="false">G1363+G1367</f>
        <v>15.5228948981314</v>
      </c>
    </row>
    <row r="1369" customFormat="false" ht="17.15" hidden="false" customHeight="false" outlineLevel="0" collapsed="false">
      <c r="A1369" s="1" t="s">
        <v>745</v>
      </c>
    </row>
    <row r="1370" customFormat="false" ht="17.15" hidden="false" customHeight="false" outlineLevel="0" collapsed="false">
      <c r="A1370" s="0" t="s">
        <v>746</v>
      </c>
      <c r="B1370" s="0" t="s">
        <v>239</v>
      </c>
      <c r="D1370" s="22" t="n">
        <f aca="false">plug_26*1</f>
        <v>29.753262</v>
      </c>
      <c r="E1370" s="22" t="n">
        <f aca="false">plug_27*1</f>
        <v>53.560715</v>
      </c>
      <c r="F1370" s="22" t="n">
        <f aca="false">plug_28*um28_A</f>
        <v>57.9915</v>
      </c>
      <c r="G1370" s="22" t="n">
        <f aca="false">plug_29*um29_A</f>
        <v>72.9348</v>
      </c>
    </row>
    <row r="1371" customFormat="false" ht="17.15" hidden="false" customHeight="false" outlineLevel="0" collapsed="false">
      <c r="A1371" s="4" t="s">
        <v>747</v>
      </c>
      <c r="B1371" s="4" t="s">
        <v>680</v>
      </c>
      <c r="D1371" s="19" t="n">
        <f aca="false">D1370*1000/asp_26</f>
        <v>45.7742492307692</v>
      </c>
      <c r="E1371" s="19" t="n">
        <f aca="false">E1370*1000/asp_27</f>
        <v>66.95089375</v>
      </c>
      <c r="F1371" s="19" t="n">
        <f aca="false">F1370*1000/asp_28</f>
        <v>68.2252941176471</v>
      </c>
      <c r="G1371" s="19" t="n">
        <f aca="false">G1370*1000/asp_29</f>
        <v>85.8056470588235</v>
      </c>
    </row>
    <row r="1372" customFormat="false" ht="17.15" hidden="false" customHeight="false" outlineLevel="0" collapsed="false">
      <c r="A1372" s="4" t="s">
        <v>748</v>
      </c>
      <c r="B1372" s="0" t="s">
        <v>49</v>
      </c>
      <c r="D1372" s="14" t="n">
        <f aca="false">MIN(1,lpo_26)</f>
        <v>0.03</v>
      </c>
      <c r="E1372" s="14" t="n">
        <f aca="false">MIN(1,lpo_27+0)</f>
        <v>0.06</v>
      </c>
      <c r="F1372" s="14" t="n">
        <f aca="false">MIN(1,lpo_28+0)</f>
        <v>0.1</v>
      </c>
      <c r="G1372" s="14" t="n">
        <f aca="false">MIN(1,lpo_29+0)</f>
        <v>0.15</v>
      </c>
    </row>
    <row r="1373" customFormat="false" ht="15" hidden="false" customHeight="false" outlineLevel="0" collapsed="false">
      <c r="A1373" s="4" t="s">
        <v>749</v>
      </c>
      <c r="B1373" s="0" t="s">
        <v>253</v>
      </c>
      <c r="D1373" s="23" t="n">
        <f aca="false">dsp_26</f>
        <v>125</v>
      </c>
      <c r="E1373" s="23" t="n">
        <f aca="false">dsp_27*1</f>
        <v>135</v>
      </c>
      <c r="F1373" s="23" t="n">
        <f aca="false">dsp_28*1</f>
        <v>135</v>
      </c>
      <c r="G1373" s="23" t="n">
        <f aca="false">dsp_29*1</f>
        <v>130</v>
      </c>
    </row>
    <row r="1374" customFormat="false" ht="17.15" hidden="false" customHeight="false" outlineLevel="0" collapsed="false">
      <c r="A1374" s="4" t="s">
        <v>750</v>
      </c>
      <c r="B1374" s="0" t="s">
        <v>239</v>
      </c>
      <c r="D1374" s="22" t="n">
        <f aca="false">D1371*(1-D1372)*D1373/1000</f>
        <v>5.55012771923077</v>
      </c>
      <c r="E1374" s="22" t="n">
        <f aca="false">E1371*(1-E1372)*E1373/1000</f>
        <v>8.496068416875</v>
      </c>
      <c r="F1374" s="22" t="n">
        <f aca="false">F1371*(1-F1372)*F1373/1000</f>
        <v>8.28937323529412</v>
      </c>
      <c r="G1374" s="22" t="n">
        <f aca="false">G1371*(1-G1372)*G1373/1000</f>
        <v>9.481524</v>
      </c>
    </row>
    <row r="1375" customFormat="false" ht="17.15" hidden="false" customHeight="false" outlineLevel="0" collapsed="false">
      <c r="A1375" s="0" t="s">
        <v>751</v>
      </c>
      <c r="B1375" s="0" t="s">
        <v>49</v>
      </c>
      <c r="D1375" s="14" t="n">
        <f aca="false">msh_dsp_26</f>
        <v>0.65</v>
      </c>
      <c r="E1375" s="14" t="n">
        <f aca="false">msh_dsp_27+0</f>
        <v>0.63</v>
      </c>
      <c r="F1375" s="14" t="n">
        <f aca="false">msh_dsp_28+0</f>
        <v>0.6</v>
      </c>
      <c r="G1375" s="14" t="n">
        <f aca="false">msh_dsp_29+0</f>
        <v>0.58</v>
      </c>
    </row>
    <row r="1376" customFormat="false" ht="17.15" hidden="false" customHeight="false" outlineLevel="0" collapsed="false">
      <c r="A1376" s="0" t="s">
        <v>682</v>
      </c>
      <c r="B1376" s="0" t="s">
        <v>239</v>
      </c>
      <c r="D1376" s="22" t="n">
        <f aca="false">D1374*D1375</f>
        <v>3.6075830175</v>
      </c>
      <c r="E1376" s="22" t="n">
        <f aca="false">E1374*E1375*1</f>
        <v>5.35252310263125</v>
      </c>
      <c r="F1376" s="22" t="n">
        <f aca="false">F1374*F1375*1</f>
        <v>4.97362394117647</v>
      </c>
      <c r="G1376" s="22" t="n">
        <f aca="false">G1374*G1375*1</f>
        <v>5.49928392</v>
      </c>
    </row>
    <row r="1377" customFormat="false" ht="17.15" hidden="false" customHeight="false" outlineLevel="0" collapsed="false">
      <c r="A1377" s="4" t="s">
        <v>752</v>
      </c>
      <c r="B1377" s="0" t="s">
        <v>239</v>
      </c>
      <c r="D1377" s="22" t="n">
        <f aca="false">coh27</f>
        <v>0.9</v>
      </c>
      <c r="E1377" s="22" t="n">
        <f aca="false">D1377*(1+g_coh)</f>
        <v>1.035</v>
      </c>
      <c r="F1377" s="22" t="n">
        <f aca="false">E1377*(1+g_coh)</f>
        <v>1.19025</v>
      </c>
      <c r="G1377" s="22" t="n">
        <f aca="false">F1377*(1+g_coh)</f>
        <v>1.3687875</v>
      </c>
    </row>
    <row r="1378" customFormat="false" ht="17.15" hidden="false" customHeight="false" outlineLevel="0" collapsed="false">
      <c r="A1378" s="4" t="s">
        <v>753</v>
      </c>
      <c r="B1378" s="0" t="s">
        <v>80</v>
      </c>
      <c r="D1378" s="16" t="n">
        <f aca="false">(a27_ic-D1377)/D1376</f>
        <v>1.44223430888795</v>
      </c>
      <c r="H1378" s="7" t="s">
        <v>754</v>
      </c>
    </row>
    <row r="1379" customFormat="false" ht="15" hidden="false" customHeight="false" outlineLevel="0" collapsed="false">
      <c r="A1379" s="4" t="s">
        <v>755</v>
      </c>
      <c r="B1379" s="0" t="s">
        <v>239</v>
      </c>
      <c r="C1379" s="22" t="n">
        <f aca="false">a26_ic</f>
        <v>3.4503</v>
      </c>
      <c r="D1379" s="22" t="n">
        <f aca="false">D1376*$D$1378+D1377</f>
        <v>6.10298</v>
      </c>
      <c r="E1379" s="22" t="n">
        <f aca="false">E1376*$D$1378+E1377</f>
        <v>8.75459245773014</v>
      </c>
      <c r="F1379" s="22" t="n">
        <f aca="false">F1376*$D$1378+F1377</f>
        <v>8.36338108747118</v>
      </c>
      <c r="G1379" s="22" t="n">
        <f aca="false">G1376*$D$1378+G1377</f>
        <v>9.30004344373979</v>
      </c>
    </row>
    <row r="1380" customFormat="false" ht="17.15" hidden="false" customHeight="false" outlineLevel="0" collapsed="false">
      <c r="A1380" s="1" t="s">
        <v>756</v>
      </c>
    </row>
    <row r="1381" customFormat="false" ht="15" hidden="false" customHeight="false" outlineLevel="0" collapsed="false">
      <c r="A1381" s="4" t="s">
        <v>757</v>
      </c>
      <c r="B1381" s="0" t="s">
        <v>239</v>
      </c>
      <c r="C1381" s="22" t="n">
        <f aca="false">a26_sw</f>
        <v>0.3</v>
      </c>
      <c r="D1381" s="22" t="n">
        <f aca="false">a27_sw</f>
        <v>0.65</v>
      </c>
      <c r="E1381" s="22" t="n">
        <f aca="false">a27_sw*(1+g_sw28)</f>
        <v>1.17</v>
      </c>
      <c r="F1381" s="22" t="n">
        <f aca="false">a27_sw*(1+g_sw28)*(1+g_sw)*um28_A</f>
        <v>1.638</v>
      </c>
      <c r="G1381" s="22" t="n">
        <f aca="false">a27_sw*(1+g_sw28)*(1+g_sw)^2*um29_A</f>
        <v>2.2932</v>
      </c>
    </row>
    <row r="1382" customFormat="false" ht="17.15" hidden="false" customHeight="false" outlineLevel="0" collapsed="false">
      <c r="A1382" s="0" t="s">
        <v>758</v>
      </c>
      <c r="B1382" s="0" t="s">
        <v>239</v>
      </c>
      <c r="C1382" s="22" t="n">
        <f aca="false">a26_aec</f>
        <v>0.2</v>
      </c>
      <c r="D1382" s="22" t="n">
        <f aca="false">a27_aec</f>
        <v>0.45</v>
      </c>
      <c r="E1382" s="22" t="n">
        <f aca="false">a27_aec*(1+g_aec)</f>
        <v>0.675</v>
      </c>
      <c r="F1382" s="22" t="n">
        <f aca="false">a27_aec*(1+g_aec)^2*um28_A</f>
        <v>1.0125</v>
      </c>
      <c r="G1382" s="22" t="n">
        <f aca="false">a27_aec*(1+g_aec)^3*um29_A</f>
        <v>1.51875</v>
      </c>
    </row>
    <row r="1383" customFormat="false" ht="15" hidden="false" customHeight="false" outlineLevel="0" collapsed="false">
      <c r="A1383" s="4" t="s">
        <v>759</v>
      </c>
      <c r="B1383" s="0" t="s">
        <v>239</v>
      </c>
      <c r="C1383" s="22" t="n">
        <f aca="false">a26_sto</f>
        <v>0.65</v>
      </c>
      <c r="D1383" s="22" t="n">
        <f aca="false">a27_sto</f>
        <v>0.6825</v>
      </c>
      <c r="E1383" s="22" t="n">
        <f aca="false">D1383*(1+g_sto)</f>
        <v>0.716625</v>
      </c>
      <c r="F1383" s="22" t="n">
        <f aca="false">E1383*(1+g_sto)</f>
        <v>0.75245625</v>
      </c>
      <c r="G1383" s="22" t="n">
        <f aca="false">F1383*(1+g_sto)</f>
        <v>0.7900790625</v>
      </c>
    </row>
    <row r="1384" customFormat="false" ht="15" hidden="false" customHeight="false" outlineLevel="0" collapsed="false">
      <c r="A1384" s="4" t="s">
        <v>760</v>
      </c>
      <c r="B1384" s="0" t="s">
        <v>239</v>
      </c>
      <c r="C1384" s="22" t="n">
        <f aca="false">a26_dc</f>
        <v>6.1003</v>
      </c>
      <c r="D1384" s="22" t="n">
        <f aca="false">D1368+D1379+D1381+D1382+D1383</f>
        <v>9.76048</v>
      </c>
      <c r="E1384" s="22" t="n">
        <f aca="false">E1368+E1379+E1381+E1382+E1383</f>
        <v>16.0395001892484</v>
      </c>
      <c r="F1384" s="22" t="n">
        <f aca="false">F1368+F1379+F1381+F1382+F1383</f>
        <v>25.0421366179058</v>
      </c>
      <c r="G1384" s="22" t="n">
        <f aca="false">G1368+G1379+G1381+G1382+G1383</f>
        <v>29.4249674043712</v>
      </c>
    </row>
    <row r="1385" customFormat="false" ht="15" hidden="false" customHeight="false" outlineLevel="0" collapsed="false">
      <c r="A1385" s="4" t="s">
        <v>761</v>
      </c>
      <c r="B1385" s="0" t="s">
        <v>239</v>
      </c>
      <c r="C1385" s="22" t="n">
        <f aca="false">a26_co</f>
        <v>2.0943</v>
      </c>
      <c r="D1385" s="22" t="n">
        <f aca="false">a27_co</f>
        <v>2.23952</v>
      </c>
      <c r="E1385" s="22" t="n">
        <f aca="false">D1385*(1+g_co28_lo)</f>
        <v>2.127544</v>
      </c>
      <c r="F1385" s="22" t="n">
        <f aca="false">E1385*(1+g_co)</f>
        <v>2.19137032</v>
      </c>
      <c r="G1385" s="22" t="n">
        <f aca="false">F1385*(1+g_co)</f>
        <v>2.2571114296</v>
      </c>
    </row>
    <row r="1386" customFormat="false" ht="17.15" hidden="false" customHeight="false" outlineLevel="0" collapsed="false">
      <c r="A1386" s="1" t="s">
        <v>762</v>
      </c>
    </row>
    <row r="1387" customFormat="false" ht="15" hidden="false" customHeight="false" outlineLevel="0" collapsed="false">
      <c r="A1387" s="4" t="s">
        <v>597</v>
      </c>
      <c r="B1387" s="0" t="s">
        <v>239</v>
      </c>
      <c r="C1387" s="22" t="n">
        <f aca="false">a26_rev</f>
        <v>8.1946</v>
      </c>
      <c r="D1387" s="22" t="n">
        <f aca="false">a27_rev</f>
        <v>12</v>
      </c>
      <c r="E1387" s="22" t="n">
        <f aca="false">E1384+E1385</f>
        <v>18.1670441892484</v>
      </c>
      <c r="F1387" s="22" t="n">
        <f aca="false">F1384+F1385</f>
        <v>27.2335069379058</v>
      </c>
      <c r="G1387" s="22" t="n">
        <f aca="false">G1384+G1385</f>
        <v>31.6820788339712</v>
      </c>
    </row>
    <row r="1388" customFormat="false" ht="17.15" hidden="false" customHeight="false" outlineLevel="0" collapsed="false">
      <c r="A1388" s="4" t="s">
        <v>763</v>
      </c>
      <c r="B1388" s="0" t="s">
        <v>239</v>
      </c>
      <c r="D1388" s="22" t="n">
        <f aca="false">D1384+D1385</f>
        <v>12</v>
      </c>
      <c r="E1388" s="22" t="n">
        <f aca="false">E1384+E1385</f>
        <v>18.1670441892484</v>
      </c>
      <c r="F1388" s="22" t="n">
        <f aca="false">F1384+F1385</f>
        <v>27.2335069379058</v>
      </c>
      <c r="G1388" s="22" t="n">
        <f aca="false">G1384+G1385</f>
        <v>31.6820788339712</v>
      </c>
    </row>
    <row r="1389" customFormat="false" ht="15" hidden="false" customHeight="false" outlineLevel="0" collapsed="false">
      <c r="A1389" s="4" t="s">
        <v>764</v>
      </c>
      <c r="B1389" s="0" t="s">
        <v>49</v>
      </c>
      <c r="D1389" s="14" t="n">
        <f aca="false">D1387/C1387-1</f>
        <v>0.464378981280355</v>
      </c>
      <c r="E1389" s="14" t="n">
        <f aca="false">E1387/D1387-1</f>
        <v>0.513920349104035</v>
      </c>
      <c r="F1389" s="14" t="n">
        <f aca="false">F1387/E1387-1</f>
        <v>0.499060972946994</v>
      </c>
      <c r="G1389" s="14" t="n">
        <f aca="false">G1387/F1387-1</f>
        <v>0.163349211917822</v>
      </c>
    </row>
    <row r="1390" customFormat="false" ht="17.15" hidden="false" customHeight="false" outlineLevel="0" collapsed="false">
      <c r="A1390" s="4" t="s">
        <v>765</v>
      </c>
      <c r="B1390" s="0" t="s">
        <v>49</v>
      </c>
      <c r="C1390" s="14" t="n">
        <f aca="false">C1384/C1387</f>
        <v>0.744429258292046</v>
      </c>
      <c r="D1390" s="14" t="n">
        <f aca="false">D1384/D1387</f>
        <v>0.813373333333333</v>
      </c>
      <c r="E1390" s="14" t="n">
        <f aca="false">E1384/E1387</f>
        <v>0.88288991991008</v>
      </c>
      <c r="F1390" s="14" t="n">
        <f aca="false">F1384/F1387</f>
        <v>0.919534038528476</v>
      </c>
      <c r="G1390" s="14" t="n">
        <f aca="false">G1384/G1387</f>
        <v>0.928757470700445</v>
      </c>
    </row>
    <row r="1391" customFormat="false" ht="17.15" hidden="false" customHeight="false" outlineLevel="0" collapsed="false">
      <c r="A1391" s="4" t="s">
        <v>766</v>
      </c>
      <c r="B1391" s="0" t="s">
        <v>239</v>
      </c>
      <c r="D1391" s="22" t="n">
        <f aca="false">gm_opt*D1379+gm_oth*(D1381+D1382+D1383)+gm_att*D1367+gm_co*D1385+m_hbm*D1364</f>
        <v>6.45404607982713</v>
      </c>
      <c r="E1391" s="22" t="n">
        <f aca="false">gm_opt*E1379+gm_oth*(E1381+E1382+E1383)+gm_att*E1367+gm_co*E1385+m_hbm*E1364</f>
        <v>8.95027688470881</v>
      </c>
      <c r="F1391" s="22" t="n">
        <f aca="false">gm_opt*F1379+gm_oth*(F1381+F1382+F1383)+gm_att*F1367+gm_co*F1385+m_hbm*F1364</f>
        <v>9.87500170656483</v>
      </c>
      <c r="G1391" s="22" t="n">
        <f aca="false">gm_opt*G1379+gm_oth*(G1381+G1382+G1383)+gm_att*G1367+gm_co*G1385+m_hbm*G1364</f>
        <v>11.6784905575239</v>
      </c>
    </row>
    <row r="1392" customFormat="false" ht="17.15" hidden="false" customHeight="false" outlineLevel="0" collapsed="false">
      <c r="A1392" s="0" t="s">
        <v>767</v>
      </c>
      <c r="B1392" s="0" t="s">
        <v>80</v>
      </c>
      <c r="D1392" s="16" t="n">
        <f aca="false">(a27_gp-D1391)/D1365</f>
        <v>0.435994625937743</v>
      </c>
      <c r="H1392" s="7" t="s">
        <v>768</v>
      </c>
    </row>
    <row r="1393" customFormat="false" ht="15" hidden="false" customHeight="false" outlineLevel="0" collapsed="false">
      <c r="A1393" s="4" t="s">
        <v>769</v>
      </c>
      <c r="B1393" s="0" t="s">
        <v>239</v>
      </c>
      <c r="C1393" s="22" t="n">
        <f aca="false">a26_gp</f>
        <v>4.8718</v>
      </c>
      <c r="D1393" s="22" t="n">
        <f aca="false">a27_gp</f>
        <v>7.006682</v>
      </c>
      <c r="E1393" s="22" t="n">
        <f aca="false">E1391+$D$1392*E1365</f>
        <v>10.0768658820969</v>
      </c>
      <c r="F1393" s="22" t="n">
        <f aca="false">F1391+$D$1392*F1365</f>
        <v>12.9674106215144</v>
      </c>
      <c r="G1393" s="22" t="n">
        <f aca="false">G1391+$D$1392*G1365</f>
        <v>15.234760809716</v>
      </c>
    </row>
    <row r="1394" customFormat="false" ht="15" hidden="false" customHeight="false" outlineLevel="0" collapsed="false">
      <c r="A1394" s="4" t="s">
        <v>621</v>
      </c>
      <c r="B1394" s="0" t="s">
        <v>49</v>
      </c>
      <c r="C1394" s="14" t="n">
        <f aca="false">C1393/C1387</f>
        <v>0.59451346008347</v>
      </c>
      <c r="D1394" s="14" t="n">
        <f aca="false">D1393/D1387</f>
        <v>0.583890166666667</v>
      </c>
      <c r="E1394" s="14" t="n">
        <f aca="false">E1393/E1387</f>
        <v>0.55467833826598</v>
      </c>
      <c r="F1394" s="14" t="n">
        <f aca="false">F1393/F1387</f>
        <v>0.47615647338703</v>
      </c>
      <c r="G1394" s="14" t="n">
        <f aca="false">G1393/G1387</f>
        <v>0.480863673420964</v>
      </c>
    </row>
    <row r="1395" customFormat="false" ht="17.15" hidden="false" customHeight="false" outlineLevel="0" collapsed="false">
      <c r="A1395" s="4" t="s">
        <v>770</v>
      </c>
      <c r="B1395" s="0" t="s">
        <v>49</v>
      </c>
      <c r="C1395" s="14" t="n">
        <f aca="false">C1368/C1387</f>
        <v>0.183047372660044</v>
      </c>
      <c r="D1395" s="14" t="n">
        <f aca="false">D1368/D1387</f>
        <v>0.15625</v>
      </c>
      <c r="E1395" s="14" t="n">
        <f aca="false">E1368/E1387</f>
        <v>0.259991811673668</v>
      </c>
      <c r="F1395" s="14" t="n">
        <f aca="false">F1368/F1387</f>
        <v>0.487480342164683</v>
      </c>
      <c r="G1395" s="14" t="n">
        <f aca="false">G1368/G1387</f>
        <v>0.489958218318899</v>
      </c>
    </row>
    <row r="1396" customFormat="false" ht="15" hidden="false" customHeight="false" outlineLevel="0" collapsed="false">
      <c r="A1396" s="4" t="s">
        <v>771</v>
      </c>
      <c r="B1396" s="0" t="s">
        <v>239</v>
      </c>
      <c r="C1396" s="22" t="n">
        <f aca="false">a26_opx</f>
        <v>1.9808</v>
      </c>
      <c r="D1396" s="22" t="n">
        <f aca="false">a27_opx</f>
        <v>2.55</v>
      </c>
      <c r="E1396" s="22" t="n">
        <f aca="false">D1396*(1+MAX(g_opx_min,phi*E1389))</f>
        <v>3.20524844510764</v>
      </c>
      <c r="F1396" s="22" t="n">
        <f aca="false">E1396*(1+MAX(g_opx_min,phi*F1389))</f>
        <v>4.00505564888377</v>
      </c>
      <c r="G1396" s="22" t="n">
        <f aca="false">F1396*(1+MAX(g_opx_min,phi*G1389))</f>
        <v>4.33216699084987</v>
      </c>
    </row>
    <row r="1397" customFormat="false" ht="15" hidden="false" customHeight="false" outlineLevel="0" collapsed="false">
      <c r="A1397" s="4" t="s">
        <v>772</v>
      </c>
      <c r="B1397" s="0" t="s">
        <v>239</v>
      </c>
      <c r="C1397" s="22" t="n">
        <f aca="false">C1396</f>
        <v>1.9808</v>
      </c>
      <c r="D1397" s="22" t="n">
        <f aca="false">D1396</f>
        <v>2.55</v>
      </c>
      <c r="E1397" s="22" t="n">
        <f aca="false">E1396+0*E1387</f>
        <v>3.20524844510764</v>
      </c>
      <c r="F1397" s="22" t="n">
        <f aca="false">F1396+0*F1387</f>
        <v>4.00505564888377</v>
      </c>
      <c r="G1397" s="22" t="n">
        <f aca="false">G1396+0*G1387</f>
        <v>4.33216699084987</v>
      </c>
    </row>
    <row r="1398" customFormat="false" ht="15" hidden="false" customHeight="false" outlineLevel="0" collapsed="false">
      <c r="A1398" s="4" t="s">
        <v>773</v>
      </c>
      <c r="B1398" s="0" t="s">
        <v>239</v>
      </c>
      <c r="C1398" s="22" t="n">
        <f aca="false">C1393-C1397</f>
        <v>2.891</v>
      </c>
      <c r="D1398" s="22" t="n">
        <f aca="false">D1393-D1397</f>
        <v>4.456682</v>
      </c>
      <c r="E1398" s="22" t="n">
        <f aca="false">E1393-E1397</f>
        <v>6.87161743698929</v>
      </c>
      <c r="F1398" s="22" t="n">
        <f aca="false">F1393-F1397</f>
        <v>8.96235497263065</v>
      </c>
      <c r="G1398" s="22" t="n">
        <f aca="false">G1393-G1397</f>
        <v>10.9025938188661</v>
      </c>
    </row>
    <row r="1399" customFormat="false" ht="15" hidden="false" customHeight="false" outlineLevel="0" collapsed="false">
      <c r="A1399" s="4" t="s">
        <v>627</v>
      </c>
      <c r="B1399" s="0" t="s">
        <v>49</v>
      </c>
      <c r="C1399" s="14" t="n">
        <f aca="false">C1398/C1387</f>
        <v>0.352793302906792</v>
      </c>
      <c r="D1399" s="14" t="n">
        <f aca="false">D1398/D1387</f>
        <v>0.371390166666667</v>
      </c>
      <c r="E1399" s="14" t="n">
        <f aca="false">E1398/E1387</f>
        <v>0.378246310484346</v>
      </c>
      <c r="F1399" s="14" t="n">
        <f aca="false">F1398/F1387</f>
        <v>0.329092943962944</v>
      </c>
      <c r="G1399" s="14" t="n">
        <f aca="false">G1398/G1387</f>
        <v>0.344124950764776</v>
      </c>
    </row>
    <row r="1400" customFormat="false" ht="15" hidden="false" customHeight="false" outlineLevel="0" collapsed="false">
      <c r="A1400" s="4" t="s">
        <v>774</v>
      </c>
      <c r="B1400" s="0" t="s">
        <v>239</v>
      </c>
      <c r="C1400" s="22" t="n">
        <f aca="false">a26_oth</f>
        <v>0.1514</v>
      </c>
      <c r="D1400" s="22" t="n">
        <f aca="false">a27_oth</f>
        <v>0.1424</v>
      </c>
      <c r="E1400" s="22" t="n">
        <f aca="false">int_f</f>
        <v>0.15</v>
      </c>
      <c r="F1400" s="22" t="n">
        <f aca="false">int_f</f>
        <v>0.15</v>
      </c>
      <c r="G1400" s="22" t="n">
        <f aca="false">int_f</f>
        <v>0.15</v>
      </c>
    </row>
    <row r="1401" customFormat="false" ht="15" hidden="false" customHeight="false" outlineLevel="0" collapsed="false">
      <c r="A1401" s="4" t="s">
        <v>775</v>
      </c>
      <c r="B1401" s="0" t="s">
        <v>49</v>
      </c>
      <c r="C1401" s="14" t="n">
        <f aca="false">a26_tax/(a26_oi-a26_oth)</f>
        <v>0.1</v>
      </c>
      <c r="D1401" s="14" t="n">
        <f aca="false">a27_tax/(a27_oi-a27_oth)</f>
        <v>0.11</v>
      </c>
      <c r="E1401" s="14" t="n">
        <f aca="false">tx_f</f>
        <v>0.13</v>
      </c>
      <c r="F1401" s="14" t="n">
        <f aca="false">tx_f</f>
        <v>0.13</v>
      </c>
      <c r="G1401" s="14" t="n">
        <f aca="false">tx_f</f>
        <v>0.13</v>
      </c>
    </row>
    <row r="1402" customFormat="false" ht="17.15" hidden="false" customHeight="false" outlineLevel="0" collapsed="false">
      <c r="A1402" s="4" t="s">
        <v>708</v>
      </c>
      <c r="B1402" s="0" t="s">
        <v>239</v>
      </c>
      <c r="C1402" s="22" t="n">
        <f aca="false">a26_ni</f>
        <v>2.46564</v>
      </c>
      <c r="D1402" s="22" t="n">
        <f aca="false">a27_ni</f>
        <v>3.83971098</v>
      </c>
      <c r="E1402" s="22" t="n">
        <f aca="false">(E1398-E1400)*(1-E1401)</f>
        <v>5.84780717018068</v>
      </c>
      <c r="F1402" s="22" t="n">
        <f aca="false">(F1398-F1400)*(1-F1401)</f>
        <v>7.66674882618867</v>
      </c>
      <c r="G1402" s="22" t="n">
        <f aca="false">(G1398-G1400)*(1-G1401)</f>
        <v>9.35475662241349</v>
      </c>
    </row>
    <row r="1403" customFormat="false" ht="15" hidden="false" customHeight="false" outlineLevel="0" collapsed="false">
      <c r="A1403" s="4" t="s">
        <v>776</v>
      </c>
      <c r="B1403" s="4" t="s">
        <v>370</v>
      </c>
      <c r="C1403" s="16" t="n">
        <f aca="false">a26_sh</f>
        <v>0.8697</v>
      </c>
      <c r="D1403" s="16" t="n">
        <f aca="false">a27_sh</f>
        <v>0.915125</v>
      </c>
      <c r="E1403" s="16" t="n">
        <f aca="false">D1403*(1+sh_g)</f>
        <v>0.919700625</v>
      </c>
      <c r="F1403" s="16" t="n">
        <f aca="false">E1403*(1+sh_g)</f>
        <v>0.924299128125</v>
      </c>
      <c r="G1403" s="16" t="n">
        <f aca="false">F1403*(1+sh_g)</f>
        <v>0.928920623765625</v>
      </c>
    </row>
    <row r="1404" customFormat="false" ht="17.15" hidden="false" customHeight="false" outlineLevel="0" collapsed="false">
      <c r="A1404" s="0" t="s">
        <v>709</v>
      </c>
      <c r="B1404" s="0" t="s">
        <v>253</v>
      </c>
      <c r="C1404" s="22" t="n">
        <f aca="false">C1402/C1403</f>
        <v>2.83504656778199</v>
      </c>
      <c r="D1404" s="22" t="n">
        <f aca="false">D1402/D1403</f>
        <v>4.19583224149706</v>
      </c>
      <c r="E1404" s="22" t="n">
        <f aca="false">E1402/E1403</f>
        <v>6.35838120712453</v>
      </c>
      <c r="F1404" s="22" t="n">
        <f aca="false">F1402/F1403</f>
        <v>8.29466196916269</v>
      </c>
      <c r="G1404" s="22" t="n">
        <f aca="false">G1402/G1403</f>
        <v>10.0705661851833</v>
      </c>
    </row>
    <row r="1405" customFormat="false" ht="17.15" hidden="false" customHeight="false" outlineLevel="0" collapsed="false">
      <c r="A1405" s="0" t="s">
        <v>777</v>
      </c>
      <c r="B1405" s="0" t="s">
        <v>49</v>
      </c>
      <c r="D1405" s="14" t="n">
        <f aca="false">D1404/C1404-1</f>
        <v>0.479987062357033</v>
      </c>
      <c r="E1405" s="14" t="n">
        <f aca="false">E1404/D1404-1</f>
        <v>0.515404058398645</v>
      </c>
      <c r="F1405" s="14" t="n">
        <f aca="false">F1404/E1404-1</f>
        <v>0.304524170376663</v>
      </c>
      <c r="G1405" s="14" t="n">
        <f aca="false">G1404/F1404-1</f>
        <v>0.214102060171103</v>
      </c>
    </row>
    <row r="1408" customFormat="false" ht="17.15" hidden="false" customHeight="false" outlineLevel="0" collapsed="false">
      <c r="A1408" s="3" t="s">
        <v>1189</v>
      </c>
    </row>
    <row r="1409" customFormat="false" ht="17.15" hidden="false" customHeight="false" outlineLevel="0" collapsed="false">
      <c r="A1409" s="5" t="s">
        <v>25</v>
      </c>
      <c r="B1409" s="5" t="s">
        <v>26</v>
      </c>
      <c r="C1409" s="11" t="s">
        <v>698</v>
      </c>
      <c r="D1409" s="11" t="s">
        <v>699</v>
      </c>
      <c r="E1409" s="11" t="s">
        <v>700</v>
      </c>
      <c r="F1409" s="11" t="s">
        <v>701</v>
      </c>
      <c r="G1409" s="11" t="s">
        <v>702</v>
      </c>
      <c r="H1409" s="5" t="s">
        <v>555</v>
      </c>
    </row>
    <row r="1410" customFormat="false" ht="17.15" hidden="false" customHeight="false" outlineLevel="0" collapsed="false">
      <c r="A1410" s="1" t="s">
        <v>717</v>
      </c>
    </row>
    <row r="1411" customFormat="false" ht="17.15" hidden="false" customHeight="false" outlineLevel="0" collapsed="false">
      <c r="A1411" s="0" t="s">
        <v>718</v>
      </c>
      <c r="B1411" s="4" t="s">
        <v>36</v>
      </c>
      <c r="D1411" s="22" t="n">
        <f aca="false">u_trn_26</f>
        <v>2</v>
      </c>
      <c r="E1411" s="22" t="n">
        <f aca="false">u_trn_27</f>
        <v>2.5</v>
      </c>
      <c r="F1411" s="22" t="n">
        <f aca="false">u_trn_28*um28_A</f>
        <v>3</v>
      </c>
      <c r="G1411" s="22" t="n">
        <f aca="false">u_trn_28*(1+g29_trn)*um29_A</f>
        <v>3.45</v>
      </c>
    </row>
    <row r="1412" customFormat="false" ht="17.15" hidden="false" customHeight="false" outlineLevel="0" collapsed="false">
      <c r="A1412" s="4" t="s">
        <v>719</v>
      </c>
      <c r="B1412" s="4" t="s">
        <v>36</v>
      </c>
      <c r="D1412" s="22" t="n">
        <f aca="false">u_oth_26</f>
        <v>1</v>
      </c>
      <c r="E1412" s="22" t="n">
        <f aca="false">u_oth_27</f>
        <v>4.5</v>
      </c>
      <c r="F1412" s="22" t="n">
        <f aca="false">u_oth_28*um28_A</f>
        <v>5</v>
      </c>
      <c r="G1412" s="22" t="n">
        <f aca="false">u_oth_28*(1+g29_oth)*um29_A</f>
        <v>5.75</v>
      </c>
    </row>
    <row r="1413" customFormat="false" ht="17.15" hidden="false" customHeight="false" outlineLevel="0" collapsed="false">
      <c r="A1413" s="0" t="s">
        <v>720</v>
      </c>
      <c r="B1413" s="4" t="s">
        <v>36</v>
      </c>
      <c r="D1413" s="22" t="n">
        <f aca="false">u_tpu_26</f>
        <v>3.85</v>
      </c>
      <c r="E1413" s="22" t="n">
        <f aca="false">u_tpu_27</f>
        <v>5.5</v>
      </c>
      <c r="F1413" s="22" t="n">
        <f aca="false">u_tpu_28*um28_A</f>
        <v>7</v>
      </c>
      <c r="G1413" s="22" t="n">
        <f aca="false">u_tpu_28*(1+g29_tpu)*um29_A</f>
        <v>8.05</v>
      </c>
    </row>
    <row r="1414" customFormat="false" ht="17.15" hidden="false" customHeight="false" outlineLevel="0" collapsed="false">
      <c r="A1414" s="0" t="s">
        <v>658</v>
      </c>
      <c r="B1414" s="0" t="s">
        <v>49</v>
      </c>
      <c r="D1414" s="14" t="n">
        <f aca="false">msh_trn_26</f>
        <v>0.1</v>
      </c>
      <c r="E1414" s="14" t="n">
        <f aca="false">MIN(1,MAX(0,msh_trn_27+0))</f>
        <v>0.1</v>
      </c>
      <c r="F1414" s="14" t="n">
        <f aca="false">MIN(1,MAX(0,msh_trn_28+0))</f>
        <v>0.08</v>
      </c>
      <c r="G1414" s="14" t="n">
        <f aca="false">MIN(1,MAX(0,msh_trn_28+0))</f>
        <v>0.08</v>
      </c>
    </row>
    <row r="1415" customFormat="false" ht="17.15" hidden="false" customHeight="false" outlineLevel="0" collapsed="false">
      <c r="A1415" s="0" t="s">
        <v>666</v>
      </c>
      <c r="B1415" s="0" t="s">
        <v>49</v>
      </c>
      <c r="D1415" s="14" t="n">
        <f aca="false">msh_oth_26</f>
        <v>0.05</v>
      </c>
      <c r="E1415" s="14" t="n">
        <f aca="false">MIN(1,MAX(0,msh_oth_27+0))</f>
        <v>0.06</v>
      </c>
      <c r="F1415" s="14" t="n">
        <f aca="false">MIN(1,MAX(0,msh_oth_28+0))</f>
        <v>0.15</v>
      </c>
      <c r="G1415" s="14" t="n">
        <f aca="false">MIN(1,MAX(0,msh_oth_28+0))</f>
        <v>0.15</v>
      </c>
    </row>
    <row r="1416" customFormat="false" ht="17.15" hidden="false" customHeight="false" outlineLevel="0" collapsed="false">
      <c r="A1416" s="0" t="s">
        <v>670</v>
      </c>
      <c r="B1416" s="0" t="s">
        <v>49</v>
      </c>
      <c r="D1416" s="14" t="n">
        <f aca="false">msh_tpu_26</f>
        <v>0</v>
      </c>
      <c r="E1416" s="14" t="n">
        <f aca="false">MIN(1,MAX(0,msh_tpu_27+0))</f>
        <v>0</v>
      </c>
      <c r="F1416" s="14" t="n">
        <f aca="false">MIN(1,MAX(0,msh_tpu_28+0))</f>
        <v>0.05</v>
      </c>
      <c r="G1416" s="14" t="n">
        <f aca="false">MIN(1,MAX(0,msh_tpu_28+0))</f>
        <v>0.05</v>
      </c>
    </row>
    <row r="1417" customFormat="false" ht="17.15" hidden="false" customHeight="false" outlineLevel="0" collapsed="false">
      <c r="A1417" s="0" t="s">
        <v>660</v>
      </c>
      <c r="B1417" s="4" t="s">
        <v>36</v>
      </c>
      <c r="D1417" s="16" t="n">
        <f aca="false">D1411*D1414</f>
        <v>0.2</v>
      </c>
      <c r="E1417" s="16" t="n">
        <f aca="false">E1411*E1414*1</f>
        <v>0.25</v>
      </c>
      <c r="F1417" s="16" t="n">
        <f aca="false">F1411*F1414*1</f>
        <v>0.24</v>
      </c>
      <c r="G1417" s="16" t="n">
        <f aca="false">G1411*G1414*1</f>
        <v>0.276</v>
      </c>
    </row>
    <row r="1418" customFormat="false" ht="17.15" hidden="false" customHeight="false" outlineLevel="0" collapsed="false">
      <c r="A1418" s="0" t="s">
        <v>667</v>
      </c>
      <c r="B1418" s="4" t="s">
        <v>36</v>
      </c>
      <c r="D1418" s="16" t="n">
        <f aca="false">D1412*D1415</f>
        <v>0.05</v>
      </c>
      <c r="E1418" s="16" t="n">
        <f aca="false">E1412*E1415*1</f>
        <v>0.27</v>
      </c>
      <c r="F1418" s="16" t="n">
        <f aca="false">F1412*F1415*1</f>
        <v>0.75</v>
      </c>
      <c r="G1418" s="16" t="n">
        <f aca="false">G1412*G1415*1</f>
        <v>0.8625</v>
      </c>
    </row>
    <row r="1419" customFormat="false" ht="17.15" hidden="false" customHeight="false" outlineLevel="0" collapsed="false">
      <c r="A1419" s="0" t="s">
        <v>671</v>
      </c>
      <c r="B1419" s="4" t="s">
        <v>36</v>
      </c>
      <c r="D1419" s="16" t="n">
        <f aca="false">D1413*D1416</f>
        <v>0</v>
      </c>
      <c r="E1419" s="16" t="n">
        <f aca="false">E1413*E1416*1</f>
        <v>0</v>
      </c>
      <c r="F1419" s="16" t="n">
        <f aca="false">F1413*F1416*1</f>
        <v>0.35</v>
      </c>
      <c r="G1419" s="16" t="n">
        <f aca="false">G1413*G1416*1</f>
        <v>0.4025</v>
      </c>
    </row>
    <row r="1420" customFormat="false" ht="17.15" hidden="false" customHeight="false" outlineLevel="0" collapsed="false">
      <c r="A1420" s="4" t="s">
        <v>721</v>
      </c>
      <c r="B1420" s="0" t="s">
        <v>100</v>
      </c>
      <c r="D1420" s="23" t="n">
        <f aca="false">gb_trn_26</f>
        <v>110</v>
      </c>
      <c r="E1420" s="23" t="n">
        <f aca="false">gb_trn_27</f>
        <v>144</v>
      </c>
      <c r="F1420" s="23" t="n">
        <f aca="false">gb_trn_28</f>
        <v>200</v>
      </c>
      <c r="G1420" s="23" t="n">
        <f aca="false">gb_trn_28</f>
        <v>200</v>
      </c>
    </row>
    <row r="1421" customFormat="false" ht="17.15" hidden="false" customHeight="false" outlineLevel="0" collapsed="false">
      <c r="A1421" s="4" t="s">
        <v>722</v>
      </c>
      <c r="B1421" s="0" t="s">
        <v>100</v>
      </c>
      <c r="D1421" s="23" t="n">
        <f aca="false">gb_oth_26</f>
        <v>150</v>
      </c>
      <c r="E1421" s="23" t="n">
        <f aca="false">gb_oth_27</f>
        <v>200</v>
      </c>
      <c r="F1421" s="23" t="n">
        <f aca="false">gb_oth_28</f>
        <v>250</v>
      </c>
      <c r="G1421" s="23" t="n">
        <f aca="false">gb_oth_28</f>
        <v>250</v>
      </c>
    </row>
    <row r="1422" customFormat="false" ht="17.15" hidden="false" customHeight="false" outlineLevel="0" collapsed="false">
      <c r="A1422" s="4" t="s">
        <v>723</v>
      </c>
      <c r="B1422" s="0" t="s">
        <v>100</v>
      </c>
      <c r="D1422" s="23" t="n">
        <f aca="false">gb_tpu_26</f>
        <v>192</v>
      </c>
      <c r="E1422" s="23" t="n">
        <f aca="false">gb_tpu_27</f>
        <v>250</v>
      </c>
      <c r="F1422" s="23" t="n">
        <f aca="false">gb_tpu_28</f>
        <v>288</v>
      </c>
      <c r="G1422" s="23" t="n">
        <f aca="false">gb_tpu_28</f>
        <v>288</v>
      </c>
    </row>
    <row r="1423" customFormat="false" ht="17.15" hidden="false" customHeight="false" outlineLevel="0" collapsed="false">
      <c r="A1423" s="0" t="s">
        <v>724</v>
      </c>
      <c r="B1423" s="0" t="s">
        <v>200</v>
      </c>
      <c r="D1423" s="22" t="n">
        <f aca="false">hbm_A_26</f>
        <v>14.6</v>
      </c>
      <c r="E1423" s="22" t="n">
        <f aca="false">hbm_A_27</f>
        <v>26.28</v>
      </c>
      <c r="F1423" s="22" t="n">
        <f aca="false">hbm_A_28</f>
        <v>28.908</v>
      </c>
      <c r="G1423" s="22" t="n">
        <f aca="false">hbm_A_29</f>
        <v>27.4626</v>
      </c>
    </row>
    <row r="1424" customFormat="false" ht="17.15" hidden="false" customHeight="false" outlineLevel="0" collapsed="false">
      <c r="A1424" s="4" t="s">
        <v>725</v>
      </c>
      <c r="B1424" s="0" t="s">
        <v>122</v>
      </c>
      <c r="D1424" s="22" t="n">
        <f aca="false">core_trn</f>
        <v>6.394</v>
      </c>
      <c r="E1424" s="22" t="n">
        <f aca="false">core_trn*1</f>
        <v>6.394</v>
      </c>
      <c r="F1424" s="22" t="n">
        <f aca="false">core_trn*1</f>
        <v>6.394</v>
      </c>
      <c r="G1424" s="22" t="n">
        <f aca="false">core_trn*1</f>
        <v>6.394</v>
      </c>
    </row>
    <row r="1425" customFormat="false" ht="17.15" hidden="false" customHeight="false" outlineLevel="0" collapsed="false">
      <c r="A1425" s="4" t="s">
        <v>726</v>
      </c>
      <c r="B1425" s="0" t="s">
        <v>122</v>
      </c>
      <c r="D1425" s="22" t="n">
        <f aca="false">core_oth</f>
        <v>6</v>
      </c>
      <c r="E1425" s="22" t="n">
        <f aca="false">core_oth*1</f>
        <v>6</v>
      </c>
      <c r="F1425" s="22" t="n">
        <f aca="false">core_oth*1</f>
        <v>6</v>
      </c>
      <c r="G1425" s="22" t="n">
        <f aca="false">core_oth*1</f>
        <v>6</v>
      </c>
    </row>
    <row r="1426" customFormat="false" ht="17.15" hidden="false" customHeight="false" outlineLevel="0" collapsed="false">
      <c r="A1426" s="4" t="s">
        <v>727</v>
      </c>
      <c r="B1426" s="0" t="s">
        <v>122</v>
      </c>
      <c r="D1426" s="22" t="n">
        <f aca="false">core_tpu</f>
        <v>8</v>
      </c>
      <c r="E1426" s="22" t="n">
        <f aca="false">core_tpu*1</f>
        <v>8</v>
      </c>
      <c r="F1426" s="22" t="n">
        <f aca="false">core_tpu*1</f>
        <v>8</v>
      </c>
      <c r="G1426" s="22" t="n">
        <f aca="false">core_tpu*1</f>
        <v>8</v>
      </c>
    </row>
    <row r="1427" customFormat="false" ht="17.15" hidden="false" customHeight="false" outlineLevel="0" collapsed="false">
      <c r="A1427" s="4" t="s">
        <v>728</v>
      </c>
      <c r="B1427" s="0" t="s">
        <v>122</v>
      </c>
      <c r="D1427" s="22" t="n">
        <f aca="false">D1420*D1423/1000</f>
        <v>1.606</v>
      </c>
      <c r="E1427" s="22" t="n">
        <f aca="false">E1420*E1423/1000</f>
        <v>3.78432</v>
      </c>
      <c r="F1427" s="22" t="n">
        <f aca="false">F1420*F1423/1000</f>
        <v>5.7816</v>
      </c>
      <c r="G1427" s="22" t="n">
        <f aca="false">G1420*G1423/1000</f>
        <v>5.49252</v>
      </c>
    </row>
    <row r="1428" customFormat="false" ht="17.15" hidden="false" customHeight="false" outlineLevel="0" collapsed="false">
      <c r="A1428" s="4" t="s">
        <v>729</v>
      </c>
      <c r="B1428" s="0" t="s">
        <v>122</v>
      </c>
      <c r="D1428" s="22" t="n">
        <f aca="false">D1421*D1423/1000</f>
        <v>2.19</v>
      </c>
      <c r="E1428" s="22" t="n">
        <f aca="false">E1421*E1423/1000</f>
        <v>5.256</v>
      </c>
      <c r="F1428" s="22" t="n">
        <f aca="false">F1421*F1423/1000</f>
        <v>7.227</v>
      </c>
      <c r="G1428" s="22" t="n">
        <f aca="false">G1421*G1423/1000</f>
        <v>6.86565</v>
      </c>
    </row>
    <row r="1429" customFormat="false" ht="17.15" hidden="false" customHeight="false" outlineLevel="0" collapsed="false">
      <c r="A1429" s="4" t="s">
        <v>730</v>
      </c>
      <c r="B1429" s="0" t="s">
        <v>122</v>
      </c>
      <c r="D1429" s="22" t="n">
        <f aca="false">D1422*D1423/1000</f>
        <v>2.8032</v>
      </c>
      <c r="E1429" s="22" t="n">
        <f aca="false">E1422*E1423/1000</f>
        <v>6.57</v>
      </c>
      <c r="F1429" s="22" t="n">
        <f aca="false">F1422*F1423/1000</f>
        <v>8.325504</v>
      </c>
      <c r="G1429" s="22" t="n">
        <f aca="false">G1422*G1423/1000</f>
        <v>7.9092288</v>
      </c>
    </row>
    <row r="1430" customFormat="false" ht="17.15" hidden="false" customHeight="false" outlineLevel="0" collapsed="false">
      <c r="A1430" s="4" t="s">
        <v>731</v>
      </c>
      <c r="B1430" s="0" t="s">
        <v>122</v>
      </c>
      <c r="D1430" s="22" t="n">
        <f aca="false">D1424+f_hbm*D1427</f>
        <v>7.3576</v>
      </c>
      <c r="E1430" s="22" t="n">
        <f aca="false">E1424+f_hbm*E1427</f>
        <v>8.664592</v>
      </c>
      <c r="F1430" s="22" t="n">
        <f aca="false">F1424+f_hbm*F1427</f>
        <v>9.86296</v>
      </c>
      <c r="G1430" s="22" t="n">
        <f aca="false">G1424+f_hbm*G1427</f>
        <v>9.689512</v>
      </c>
      <c r="H1430" s="4" t="s">
        <v>732</v>
      </c>
    </row>
    <row r="1431" customFormat="false" ht="17.15" hidden="false" customHeight="false" outlineLevel="0" collapsed="false">
      <c r="A1431" s="4" t="s">
        <v>733</v>
      </c>
      <c r="B1431" s="0" t="s">
        <v>122</v>
      </c>
      <c r="D1431" s="22" t="n">
        <f aca="false">D1425+f_hbm*D1428</f>
        <v>7.314</v>
      </c>
      <c r="E1431" s="22" t="n">
        <f aca="false">E1425+f_hbm*E1428</f>
        <v>9.1536</v>
      </c>
      <c r="F1431" s="22" t="n">
        <f aca="false">F1425+f_hbm*F1428</f>
        <v>10.3362</v>
      </c>
      <c r="G1431" s="22" t="n">
        <f aca="false">G1425+f_hbm*G1428</f>
        <v>10.11939</v>
      </c>
    </row>
    <row r="1432" customFormat="false" ht="17.15" hidden="false" customHeight="false" outlineLevel="0" collapsed="false">
      <c r="A1432" s="4" t="s">
        <v>734</v>
      </c>
      <c r="B1432" s="0" t="s">
        <v>122</v>
      </c>
      <c r="D1432" s="22" t="n">
        <f aca="false">D1426+f_hbm*D1429</f>
        <v>9.68192</v>
      </c>
      <c r="E1432" s="22" t="n">
        <f aca="false">E1426+f_hbm*E1429</f>
        <v>11.942</v>
      </c>
      <c r="F1432" s="22" t="n">
        <f aca="false">F1426+f_hbm*F1429</f>
        <v>12.9953024</v>
      </c>
      <c r="G1432" s="22" t="n">
        <f aca="false">G1426+f_hbm*G1429</f>
        <v>12.74553728</v>
      </c>
    </row>
    <row r="1433" customFormat="false" ht="17.15" hidden="false" customHeight="false" outlineLevel="0" collapsed="false">
      <c r="A1433" s="0" t="s">
        <v>735</v>
      </c>
      <c r="B1433" s="0" t="s">
        <v>239</v>
      </c>
      <c r="D1433" s="22" t="n">
        <f aca="false">D1417*D1430+D1418*D1431+D1419*D1432</f>
        <v>1.83722</v>
      </c>
      <c r="E1433" s="22" t="n">
        <f aca="false">E1417*E1430+E1418*E1431+E1419*E1432</f>
        <v>4.63762</v>
      </c>
      <c r="F1433" s="22" t="n">
        <f aca="false">F1417*F1430+F1418*F1431+F1419*F1432</f>
        <v>14.66761624</v>
      </c>
      <c r="G1433" s="22" t="n">
        <f aca="false">G1417*G1430+G1418*G1431+G1419*G1432</f>
        <v>16.5323579422</v>
      </c>
    </row>
    <row r="1434" customFormat="false" ht="17.15" hidden="false" customHeight="false" outlineLevel="0" collapsed="false">
      <c r="A1434" s="0" t="s">
        <v>736</v>
      </c>
      <c r="B1434" s="0" t="s">
        <v>80</v>
      </c>
      <c r="D1434" s="16" t="n">
        <f aca="false">a27_xpu/D1433</f>
        <v>0.802843426481314</v>
      </c>
      <c r="H1434" s="7" t="s">
        <v>737</v>
      </c>
    </row>
    <row r="1435" customFormat="false" ht="17.15" hidden="false" customHeight="false" outlineLevel="0" collapsed="false">
      <c r="A1435" s="0" t="s">
        <v>738</v>
      </c>
      <c r="B1435" s="0" t="s">
        <v>239</v>
      </c>
      <c r="D1435" s="22" t="n">
        <f aca="false">D1433*$D$1434</f>
        <v>1.475</v>
      </c>
      <c r="E1435" s="22" t="n">
        <f aca="false">E1433*$D$1434</f>
        <v>3.72328273151827</v>
      </c>
      <c r="F1435" s="22" t="n">
        <f aca="false">F1433*$D$1434</f>
        <v>11.7757992804346</v>
      </c>
      <c r="G1435" s="22" t="n">
        <f aca="false">G1433*$D$1434</f>
        <v>13.2728948981314</v>
      </c>
    </row>
    <row r="1436" customFormat="false" ht="17.15" hidden="false" customHeight="false" outlineLevel="0" collapsed="false">
      <c r="A1436" s="4" t="s">
        <v>739</v>
      </c>
      <c r="B1436" s="0" t="s">
        <v>239</v>
      </c>
      <c r="D1436" s="22" t="n">
        <f aca="false">$D$1434*f_hbm*(D1417*D1427+D1418*D1428+D1419*D1429)</f>
        <v>0.207470798271301</v>
      </c>
      <c r="E1436" s="22" t="n">
        <f aca="false">$D$1434*f_hbm*(E1417*E1427+E1418*E1428+E1419*E1429)</f>
        <v>1.13933116338816</v>
      </c>
      <c r="F1436" s="22" t="n">
        <f aca="false">$D$1434*f_hbm*(F1417*F1427+F1418*F1428+F1419*F1429)</f>
        <v>4.68303085857981</v>
      </c>
      <c r="G1436" s="22" t="n">
        <f aca="false">$D$1434*f_hbm*(G1417*G1427+G1418*G1428+G1419*G1429)</f>
        <v>5.11621121299844</v>
      </c>
    </row>
    <row r="1437" customFormat="false" ht="15" hidden="false" customHeight="false" outlineLevel="0" collapsed="false">
      <c r="A1437" s="4" t="s">
        <v>740</v>
      </c>
      <c r="B1437" s="0" t="s">
        <v>239</v>
      </c>
      <c r="D1437" s="22" t="n">
        <f aca="false">D1435-D1436</f>
        <v>1.2675292017287</v>
      </c>
      <c r="E1437" s="22" t="n">
        <f aca="false">E1435-E1436</f>
        <v>2.58395156813011</v>
      </c>
      <c r="F1437" s="22" t="n">
        <f aca="false">F1435-F1436</f>
        <v>7.09276842185476</v>
      </c>
      <c r="G1437" s="22" t="n">
        <f aca="false">G1435-G1436</f>
        <v>8.15668368513297</v>
      </c>
    </row>
    <row r="1438" customFormat="false" ht="17.15" hidden="false" customHeight="false" outlineLevel="0" collapsed="false">
      <c r="A1438" s="0" t="s">
        <v>741</v>
      </c>
      <c r="B1438" s="4" t="s">
        <v>36</v>
      </c>
      <c r="D1438" s="16" t="n">
        <f aca="false">D1417+D1418+D1419</f>
        <v>0.25</v>
      </c>
      <c r="E1438" s="16" t="n">
        <f aca="false">E1417+E1418+E1419</f>
        <v>0.52</v>
      </c>
      <c r="F1438" s="16" t="n">
        <f aca="false">F1417+F1418+F1419</f>
        <v>1.34</v>
      </c>
      <c r="G1438" s="16" t="n">
        <f aca="false">G1417+G1418+G1419</f>
        <v>1.541</v>
      </c>
    </row>
    <row r="1439" customFormat="false" ht="17.15" hidden="false" customHeight="false" outlineLevel="0" collapsed="false">
      <c r="A1439" s="0" t="s">
        <v>742</v>
      </c>
      <c r="B1439" s="0" t="s">
        <v>239</v>
      </c>
      <c r="C1439" s="22" t="n">
        <f aca="false">a26_att</f>
        <v>0.2</v>
      </c>
      <c r="D1439" s="22" t="n">
        <f aca="false">a27_att</f>
        <v>0.4</v>
      </c>
      <c r="E1439" s="22" t="n">
        <f aca="false">att28</f>
        <v>1</v>
      </c>
      <c r="F1439" s="22" t="n">
        <f aca="false">att28*(1+g_att)*um28_A</f>
        <v>1.5</v>
      </c>
      <c r="G1439" s="22" t="n">
        <f aca="false">att28*(1+g_att)^2*um29_A</f>
        <v>2.25</v>
      </c>
      <c r="H1439" s="7" t="s">
        <v>743</v>
      </c>
    </row>
    <row r="1440" customFormat="false" ht="17.15" hidden="false" customHeight="false" outlineLevel="0" collapsed="false">
      <c r="A1440" s="4" t="s">
        <v>744</v>
      </c>
      <c r="B1440" s="0" t="s">
        <v>239</v>
      </c>
      <c r="C1440" s="22" t="n">
        <f aca="false">a26_cus</f>
        <v>1.5</v>
      </c>
      <c r="D1440" s="22" t="n">
        <f aca="false">D1435+D1439</f>
        <v>1.875</v>
      </c>
      <c r="E1440" s="22" t="n">
        <f aca="false">E1435+E1439</f>
        <v>4.72328273151827</v>
      </c>
      <c r="F1440" s="22" t="n">
        <f aca="false">F1435+F1439</f>
        <v>13.2757992804346</v>
      </c>
      <c r="G1440" s="22" t="n">
        <f aca="false">G1435+G1439</f>
        <v>15.5228948981314</v>
      </c>
    </row>
    <row r="1441" customFormat="false" ht="17.15" hidden="false" customHeight="false" outlineLevel="0" collapsed="false">
      <c r="A1441" s="1" t="s">
        <v>745</v>
      </c>
    </row>
    <row r="1442" customFormat="false" ht="17.15" hidden="false" customHeight="false" outlineLevel="0" collapsed="false">
      <c r="A1442" s="0" t="s">
        <v>746</v>
      </c>
      <c r="B1442" s="0" t="s">
        <v>239</v>
      </c>
      <c r="D1442" s="22" t="n">
        <f aca="false">plug_26*1</f>
        <v>29.753262</v>
      </c>
      <c r="E1442" s="22" t="n">
        <f aca="false">plug_27*1</f>
        <v>53.560715</v>
      </c>
      <c r="F1442" s="22" t="n">
        <f aca="false">plug_28*um28_A</f>
        <v>57.9915</v>
      </c>
      <c r="G1442" s="22" t="n">
        <f aca="false">plug_29*um29_A</f>
        <v>72.9348</v>
      </c>
    </row>
    <row r="1443" customFormat="false" ht="17.15" hidden="false" customHeight="false" outlineLevel="0" collapsed="false">
      <c r="A1443" s="4" t="s">
        <v>747</v>
      </c>
      <c r="B1443" s="4" t="s">
        <v>680</v>
      </c>
      <c r="D1443" s="19" t="n">
        <f aca="false">D1442*1000/asp_26</f>
        <v>45.7742492307692</v>
      </c>
      <c r="E1443" s="19" t="n">
        <f aca="false">E1442*1000/asp_27</f>
        <v>66.95089375</v>
      </c>
      <c r="F1443" s="19" t="n">
        <f aca="false">F1442*1000/asp_28</f>
        <v>68.2252941176471</v>
      </c>
      <c r="G1443" s="19" t="n">
        <f aca="false">G1442*1000/asp_29</f>
        <v>85.8056470588235</v>
      </c>
    </row>
    <row r="1444" customFormat="false" ht="17.15" hidden="false" customHeight="false" outlineLevel="0" collapsed="false">
      <c r="A1444" s="4" t="s">
        <v>748</v>
      </c>
      <c r="B1444" s="0" t="s">
        <v>49</v>
      </c>
      <c r="D1444" s="14" t="n">
        <f aca="false">MIN(1,lpo_26)</f>
        <v>0.03</v>
      </c>
      <c r="E1444" s="14" t="n">
        <f aca="false">MIN(1,lpo_27+0)</f>
        <v>0.06</v>
      </c>
      <c r="F1444" s="14" t="n">
        <f aca="false">MIN(1,lpo_28+0)</f>
        <v>0.1</v>
      </c>
      <c r="G1444" s="14" t="n">
        <f aca="false">MIN(1,lpo_29+0)</f>
        <v>0.15</v>
      </c>
    </row>
    <row r="1445" customFormat="false" ht="15" hidden="false" customHeight="false" outlineLevel="0" collapsed="false">
      <c r="A1445" s="4" t="s">
        <v>749</v>
      </c>
      <c r="B1445" s="0" t="s">
        <v>253</v>
      </c>
      <c r="D1445" s="23" t="n">
        <f aca="false">dsp_26</f>
        <v>125</v>
      </c>
      <c r="E1445" s="23" t="n">
        <f aca="false">dsp_27*1</f>
        <v>135</v>
      </c>
      <c r="F1445" s="23" t="n">
        <f aca="false">dsp_28*1</f>
        <v>135</v>
      </c>
      <c r="G1445" s="23" t="n">
        <f aca="false">dsp_29*1</f>
        <v>130</v>
      </c>
    </row>
    <row r="1446" customFormat="false" ht="17.15" hidden="false" customHeight="false" outlineLevel="0" collapsed="false">
      <c r="A1446" s="4" t="s">
        <v>750</v>
      </c>
      <c r="B1446" s="0" t="s">
        <v>239</v>
      </c>
      <c r="D1446" s="22" t="n">
        <f aca="false">D1443*(1-D1444)*D1445/1000</f>
        <v>5.55012771923077</v>
      </c>
      <c r="E1446" s="22" t="n">
        <f aca="false">E1443*(1-E1444)*E1445/1000</f>
        <v>8.496068416875</v>
      </c>
      <c r="F1446" s="22" t="n">
        <f aca="false">F1443*(1-F1444)*F1445/1000</f>
        <v>8.28937323529412</v>
      </c>
      <c r="G1446" s="22" t="n">
        <f aca="false">G1443*(1-G1444)*G1445/1000</f>
        <v>9.481524</v>
      </c>
    </row>
    <row r="1447" customFormat="false" ht="17.15" hidden="false" customHeight="false" outlineLevel="0" collapsed="false">
      <c r="A1447" s="0" t="s">
        <v>751</v>
      </c>
      <c r="B1447" s="0" t="s">
        <v>49</v>
      </c>
      <c r="D1447" s="14" t="n">
        <f aca="false">msh_dsp_26</f>
        <v>0.65</v>
      </c>
      <c r="E1447" s="14" t="n">
        <f aca="false">msh_dsp_27+0</f>
        <v>0.63</v>
      </c>
      <c r="F1447" s="14" t="n">
        <f aca="false">msh_dsp_28+0</f>
        <v>0.6</v>
      </c>
      <c r="G1447" s="14" t="n">
        <f aca="false">msh_dsp_29+0</f>
        <v>0.58</v>
      </c>
    </row>
    <row r="1448" customFormat="false" ht="17.15" hidden="false" customHeight="false" outlineLevel="0" collapsed="false">
      <c r="A1448" s="0" t="s">
        <v>682</v>
      </c>
      <c r="B1448" s="0" t="s">
        <v>239</v>
      </c>
      <c r="D1448" s="22" t="n">
        <f aca="false">D1446*D1447</f>
        <v>3.6075830175</v>
      </c>
      <c r="E1448" s="22" t="n">
        <f aca="false">E1446*E1447*1</f>
        <v>5.35252310263125</v>
      </c>
      <c r="F1448" s="22" t="n">
        <f aca="false">F1446*F1447*1</f>
        <v>4.97362394117647</v>
      </c>
      <c r="G1448" s="22" t="n">
        <f aca="false">G1446*G1447*1</f>
        <v>5.49928392</v>
      </c>
    </row>
    <row r="1449" customFormat="false" ht="17.15" hidden="false" customHeight="false" outlineLevel="0" collapsed="false">
      <c r="A1449" s="4" t="s">
        <v>752</v>
      </c>
      <c r="B1449" s="0" t="s">
        <v>239</v>
      </c>
      <c r="D1449" s="22" t="n">
        <f aca="false">coh27</f>
        <v>0.9</v>
      </c>
      <c r="E1449" s="22" t="n">
        <f aca="false">D1449*(1+g_coh)</f>
        <v>1.035</v>
      </c>
      <c r="F1449" s="22" t="n">
        <f aca="false">E1449*(1+g_coh)</f>
        <v>1.19025</v>
      </c>
      <c r="G1449" s="22" t="n">
        <f aca="false">F1449*(1+g_coh)</f>
        <v>1.3687875</v>
      </c>
    </row>
    <row r="1450" customFormat="false" ht="17.15" hidden="false" customHeight="false" outlineLevel="0" collapsed="false">
      <c r="A1450" s="4" t="s">
        <v>753</v>
      </c>
      <c r="B1450" s="0" t="s">
        <v>80</v>
      </c>
      <c r="D1450" s="16" t="n">
        <f aca="false">(a27_ic-D1449)/D1448</f>
        <v>1.44223430888795</v>
      </c>
      <c r="H1450" s="7" t="s">
        <v>754</v>
      </c>
    </row>
    <row r="1451" customFormat="false" ht="15" hidden="false" customHeight="false" outlineLevel="0" collapsed="false">
      <c r="A1451" s="4" t="s">
        <v>755</v>
      </c>
      <c r="B1451" s="0" t="s">
        <v>239</v>
      </c>
      <c r="C1451" s="22" t="n">
        <f aca="false">a26_ic</f>
        <v>3.4503</v>
      </c>
      <c r="D1451" s="22" t="n">
        <f aca="false">D1448*$D$1450+D1449</f>
        <v>6.10298</v>
      </c>
      <c r="E1451" s="22" t="n">
        <f aca="false">E1448*$D$1450+E1449</f>
        <v>8.75459245773014</v>
      </c>
      <c r="F1451" s="22" t="n">
        <f aca="false">F1448*$D$1450+F1449</f>
        <v>8.36338108747118</v>
      </c>
      <c r="G1451" s="22" t="n">
        <f aca="false">G1448*$D$1450+G1449</f>
        <v>9.30004344373979</v>
      </c>
    </row>
    <row r="1452" customFormat="false" ht="17.15" hidden="false" customHeight="false" outlineLevel="0" collapsed="false">
      <c r="A1452" s="1" t="s">
        <v>756</v>
      </c>
    </row>
    <row r="1453" customFormat="false" ht="15" hidden="false" customHeight="false" outlineLevel="0" collapsed="false">
      <c r="A1453" s="4" t="s">
        <v>757</v>
      </c>
      <c r="B1453" s="0" t="s">
        <v>239</v>
      </c>
      <c r="C1453" s="22" t="n">
        <f aca="false">a26_sw</f>
        <v>0.3</v>
      </c>
      <c r="D1453" s="22" t="n">
        <f aca="false">a27_sw</f>
        <v>0.65</v>
      </c>
      <c r="E1453" s="22" t="n">
        <f aca="false">a27_sw*(1+g_sw28)</f>
        <v>1.17</v>
      </c>
      <c r="F1453" s="22" t="n">
        <f aca="false">a27_sw*(1+g_sw28)*(1+g_sw)*um28_A</f>
        <v>1.638</v>
      </c>
      <c r="G1453" s="22" t="n">
        <f aca="false">a27_sw*(1+g_sw28)*(1+g_sw)^2*um29_A</f>
        <v>2.2932</v>
      </c>
    </row>
    <row r="1454" customFormat="false" ht="17.15" hidden="false" customHeight="false" outlineLevel="0" collapsed="false">
      <c r="A1454" s="0" t="s">
        <v>758</v>
      </c>
      <c r="B1454" s="0" t="s">
        <v>239</v>
      </c>
      <c r="C1454" s="22" t="n">
        <f aca="false">a26_aec</f>
        <v>0.2</v>
      </c>
      <c r="D1454" s="22" t="n">
        <f aca="false">a27_aec</f>
        <v>0.45</v>
      </c>
      <c r="E1454" s="22" t="n">
        <f aca="false">a27_aec*(1+g_aec)</f>
        <v>0.675</v>
      </c>
      <c r="F1454" s="22" t="n">
        <f aca="false">a27_aec*(1+g_aec)^2*um28_A</f>
        <v>1.0125</v>
      </c>
      <c r="G1454" s="22" t="n">
        <f aca="false">a27_aec*(1+g_aec)^3*um29_A</f>
        <v>1.51875</v>
      </c>
    </row>
    <row r="1455" customFormat="false" ht="15" hidden="false" customHeight="false" outlineLevel="0" collapsed="false">
      <c r="A1455" s="4" t="s">
        <v>759</v>
      </c>
      <c r="B1455" s="0" t="s">
        <v>239</v>
      </c>
      <c r="C1455" s="22" t="n">
        <f aca="false">a26_sto</f>
        <v>0.65</v>
      </c>
      <c r="D1455" s="22" t="n">
        <f aca="false">a27_sto</f>
        <v>0.6825</v>
      </c>
      <c r="E1455" s="22" t="n">
        <f aca="false">D1455*(1+g_sto)</f>
        <v>0.716625</v>
      </c>
      <c r="F1455" s="22" t="n">
        <f aca="false">E1455*(1+g_sto)</f>
        <v>0.75245625</v>
      </c>
      <c r="G1455" s="22" t="n">
        <f aca="false">F1455*(1+g_sto)</f>
        <v>0.7900790625</v>
      </c>
    </row>
    <row r="1456" customFormat="false" ht="15" hidden="false" customHeight="false" outlineLevel="0" collapsed="false">
      <c r="A1456" s="4" t="s">
        <v>760</v>
      </c>
      <c r="B1456" s="0" t="s">
        <v>239</v>
      </c>
      <c r="C1456" s="22" t="n">
        <f aca="false">a26_dc</f>
        <v>6.1003</v>
      </c>
      <c r="D1456" s="22" t="n">
        <f aca="false">D1440+D1451+D1453+D1454+D1455</f>
        <v>9.76048</v>
      </c>
      <c r="E1456" s="22" t="n">
        <f aca="false">E1440+E1451+E1453+E1454+E1455</f>
        <v>16.0395001892484</v>
      </c>
      <c r="F1456" s="22" t="n">
        <f aca="false">F1440+F1451+F1453+F1454+F1455</f>
        <v>25.0421366179058</v>
      </c>
      <c r="G1456" s="22" t="n">
        <f aca="false">G1440+G1451+G1453+G1454+G1455</f>
        <v>29.4249674043712</v>
      </c>
    </row>
    <row r="1457" customFormat="false" ht="15" hidden="false" customHeight="false" outlineLevel="0" collapsed="false">
      <c r="A1457" s="4" t="s">
        <v>761</v>
      </c>
      <c r="B1457" s="0" t="s">
        <v>239</v>
      </c>
      <c r="C1457" s="22" t="n">
        <f aca="false">a26_co</f>
        <v>2.0943</v>
      </c>
      <c r="D1457" s="22" t="n">
        <f aca="false">a27_co</f>
        <v>2.23952</v>
      </c>
      <c r="E1457" s="22" t="n">
        <f aca="false">D1457*(1+g_co28)</f>
        <v>2.3067056</v>
      </c>
      <c r="F1457" s="22" t="n">
        <f aca="false">E1457*(1+g_co)</f>
        <v>2.375906768</v>
      </c>
      <c r="G1457" s="22" t="n">
        <f aca="false">F1457*(1+g_co)</f>
        <v>2.44718397104</v>
      </c>
    </row>
    <row r="1458" customFormat="false" ht="17.15" hidden="false" customHeight="false" outlineLevel="0" collapsed="false">
      <c r="A1458" s="1" t="s">
        <v>762</v>
      </c>
    </row>
    <row r="1459" customFormat="false" ht="15" hidden="false" customHeight="false" outlineLevel="0" collapsed="false">
      <c r="A1459" s="4" t="s">
        <v>597</v>
      </c>
      <c r="B1459" s="0" t="s">
        <v>239</v>
      </c>
      <c r="C1459" s="22" t="n">
        <f aca="false">a26_rev</f>
        <v>8.1946</v>
      </c>
      <c r="D1459" s="22" t="n">
        <f aca="false">a27_rev</f>
        <v>12</v>
      </c>
      <c r="E1459" s="22" t="n">
        <f aca="false">E1456+E1457</f>
        <v>18.3462057892484</v>
      </c>
      <c r="F1459" s="22" t="n">
        <f aca="false">F1456+F1457</f>
        <v>27.4180433859058</v>
      </c>
      <c r="G1459" s="22" t="n">
        <f aca="false">G1456+G1457</f>
        <v>31.8721513754112</v>
      </c>
    </row>
    <row r="1460" customFormat="false" ht="17.15" hidden="false" customHeight="false" outlineLevel="0" collapsed="false">
      <c r="A1460" s="4" t="s">
        <v>763</v>
      </c>
      <c r="B1460" s="0" t="s">
        <v>239</v>
      </c>
      <c r="D1460" s="22" t="n">
        <f aca="false">D1456+D1457</f>
        <v>12</v>
      </c>
      <c r="E1460" s="22" t="n">
        <f aca="false">E1456+E1457</f>
        <v>18.3462057892484</v>
      </c>
      <c r="F1460" s="22" t="n">
        <f aca="false">F1456+F1457</f>
        <v>27.4180433859058</v>
      </c>
      <c r="G1460" s="22" t="n">
        <f aca="false">G1456+G1457</f>
        <v>31.8721513754112</v>
      </c>
    </row>
    <row r="1461" customFormat="false" ht="15" hidden="false" customHeight="false" outlineLevel="0" collapsed="false">
      <c r="A1461" s="4" t="s">
        <v>764</v>
      </c>
      <c r="B1461" s="0" t="s">
        <v>49</v>
      </c>
      <c r="D1461" s="14" t="n">
        <f aca="false">D1459/C1459-1</f>
        <v>0.464378981280355</v>
      </c>
      <c r="E1461" s="14" t="n">
        <f aca="false">E1459/D1459-1</f>
        <v>0.528850482437368</v>
      </c>
      <c r="F1461" s="14" t="n">
        <f aca="false">F1459/E1459-1</f>
        <v>0.494480313851804</v>
      </c>
      <c r="G1461" s="14" t="n">
        <f aca="false">G1459/F1459-1</f>
        <v>0.162451708417497</v>
      </c>
    </row>
    <row r="1462" customFormat="false" ht="17.15" hidden="false" customHeight="false" outlineLevel="0" collapsed="false">
      <c r="A1462" s="4" t="s">
        <v>765</v>
      </c>
      <c r="B1462" s="0" t="s">
        <v>49</v>
      </c>
      <c r="C1462" s="14" t="n">
        <f aca="false">C1456/C1459</f>
        <v>0.744429258292046</v>
      </c>
      <c r="D1462" s="14" t="n">
        <f aca="false">D1456/D1459</f>
        <v>0.813373333333333</v>
      </c>
      <c r="E1462" s="14" t="n">
        <f aca="false">E1456/E1459</f>
        <v>0.874267975269752</v>
      </c>
      <c r="F1462" s="14" t="n">
        <f aca="false">F1456/F1459</f>
        <v>0.91334513792398</v>
      </c>
      <c r="G1462" s="14" t="n">
        <f aca="false">G1456/G1459</f>
        <v>0.923218739073637</v>
      </c>
    </row>
    <row r="1463" customFormat="false" ht="17.15" hidden="false" customHeight="false" outlineLevel="0" collapsed="false">
      <c r="A1463" s="4" t="s">
        <v>766</v>
      </c>
      <c r="B1463" s="0" t="s">
        <v>239</v>
      </c>
      <c r="D1463" s="22" t="n">
        <f aca="false">gm_opt*D1451+gm_oth*(D1453+D1454+D1455)+gm_att*D1439+gm_co*D1457+m_hbm*D1436</f>
        <v>6.45404607982713</v>
      </c>
      <c r="E1463" s="22" t="n">
        <f aca="false">gm_opt*E1451+gm_oth*(E1453+E1454+E1455)+gm_att*E1439+gm_co*E1457+m_hbm*E1436</f>
        <v>9.05419061270881</v>
      </c>
      <c r="F1463" s="22" t="n">
        <f aca="false">gm_opt*F1451+gm_oth*(F1453+F1454+F1455)+gm_att*F1439+gm_co*F1457+m_hbm*F1436</f>
        <v>9.98203284640483</v>
      </c>
      <c r="G1463" s="22" t="n">
        <f aca="false">gm_opt*G1451+gm_oth*(G1453+G1454+G1455)+gm_att*G1439+gm_co*G1457+m_hbm*G1436</f>
        <v>11.7887326315591</v>
      </c>
    </row>
    <row r="1464" customFormat="false" ht="17.15" hidden="false" customHeight="false" outlineLevel="0" collapsed="false">
      <c r="A1464" s="0" t="s">
        <v>767</v>
      </c>
      <c r="B1464" s="0" t="s">
        <v>80</v>
      </c>
      <c r="D1464" s="16" t="n">
        <f aca="false">(a27_gp-D1463)/D1437</f>
        <v>0.435994625937743</v>
      </c>
      <c r="H1464" s="7" t="s">
        <v>768</v>
      </c>
    </row>
    <row r="1465" customFormat="false" ht="15" hidden="false" customHeight="false" outlineLevel="0" collapsed="false">
      <c r="A1465" s="4" t="s">
        <v>769</v>
      </c>
      <c r="B1465" s="0" t="s">
        <v>239</v>
      </c>
      <c r="C1465" s="22" t="n">
        <f aca="false">a26_gp</f>
        <v>4.8718</v>
      </c>
      <c r="D1465" s="22" t="n">
        <f aca="false">a27_gp</f>
        <v>7.006682</v>
      </c>
      <c r="E1465" s="22" t="n">
        <f aca="false">E1463+$D$1464*E1437</f>
        <v>10.1807796100969</v>
      </c>
      <c r="F1465" s="22" t="n">
        <f aca="false">F1463+$D$1464*F1437</f>
        <v>13.0744417613544</v>
      </c>
      <c r="G1465" s="22" t="n">
        <f aca="false">G1463+$D$1464*G1437</f>
        <v>15.3450028837512</v>
      </c>
    </row>
    <row r="1466" customFormat="false" ht="15" hidden="false" customHeight="false" outlineLevel="0" collapsed="false">
      <c r="A1466" s="4" t="s">
        <v>621</v>
      </c>
      <c r="B1466" s="0" t="s">
        <v>49</v>
      </c>
      <c r="C1466" s="14" t="n">
        <f aca="false">C1465/C1459</f>
        <v>0.59451346008347</v>
      </c>
      <c r="D1466" s="14" t="n">
        <f aca="false">D1465/D1459</f>
        <v>0.583890166666667</v>
      </c>
      <c r="E1466" s="14" t="n">
        <f aca="false">E1465/E1459</f>
        <v>0.554925619337774</v>
      </c>
      <c r="F1466" s="14" t="n">
        <f aca="false">F1465/F1459</f>
        <v>0.476855389618186</v>
      </c>
      <c r="G1466" s="14" t="n">
        <f aca="false">G1465/G1459</f>
        <v>0.481454882132291</v>
      </c>
    </row>
    <row r="1467" customFormat="false" ht="17.15" hidden="false" customHeight="false" outlineLevel="0" collapsed="false">
      <c r="A1467" s="4" t="s">
        <v>770</v>
      </c>
      <c r="B1467" s="0" t="s">
        <v>49</v>
      </c>
      <c r="C1467" s="14" t="n">
        <f aca="false">C1440/C1459</f>
        <v>0.183047372660044</v>
      </c>
      <c r="D1467" s="14" t="n">
        <f aca="false">D1440/D1459</f>
        <v>0.15625</v>
      </c>
      <c r="E1467" s="14" t="n">
        <f aca="false">E1440/E1459</f>
        <v>0.25745283715755</v>
      </c>
      <c r="F1467" s="14" t="n">
        <f aca="false">F1440/F1459</f>
        <v>0.484199368043126</v>
      </c>
      <c r="G1467" s="14" t="n">
        <f aca="false">G1440/G1459</f>
        <v>0.48703630687783</v>
      </c>
    </row>
    <row r="1468" customFormat="false" ht="15" hidden="false" customHeight="false" outlineLevel="0" collapsed="false">
      <c r="A1468" s="4" t="s">
        <v>771</v>
      </c>
      <c r="B1468" s="0" t="s">
        <v>239</v>
      </c>
      <c r="C1468" s="22" t="n">
        <f aca="false">a26_opx</f>
        <v>1.9808</v>
      </c>
      <c r="D1468" s="22" t="n">
        <f aca="false">a27_opx</f>
        <v>2.55</v>
      </c>
      <c r="E1468" s="22" t="n">
        <f aca="false">D1468*(1+MAX(g_opx_min,phi*E1461))</f>
        <v>3.22428436510764</v>
      </c>
      <c r="F1468" s="22" t="n">
        <f aca="false">E1468*(1+MAX(g_opx_min,phi*F1461))</f>
        <v>4.02145693751059</v>
      </c>
      <c r="G1468" s="22" t="n">
        <f aca="false">F1468*(1+MAX(g_opx_min,phi*G1461))</f>
        <v>4.34810321242359</v>
      </c>
    </row>
    <row r="1469" customFormat="false" ht="15" hidden="false" customHeight="false" outlineLevel="0" collapsed="false">
      <c r="A1469" s="4" t="s">
        <v>772</v>
      </c>
      <c r="B1469" s="0" t="s">
        <v>239</v>
      </c>
      <c r="C1469" s="22" t="n">
        <f aca="false">C1468</f>
        <v>1.9808</v>
      </c>
      <c r="D1469" s="22" t="n">
        <f aca="false">D1468</f>
        <v>2.55</v>
      </c>
      <c r="E1469" s="22" t="n">
        <f aca="false">E1468+opx_adj_hi*E1459</f>
        <v>3.59120848089261</v>
      </c>
      <c r="F1469" s="22" t="n">
        <f aca="false">F1468+opx_adj_hi*F1459</f>
        <v>4.56981780522871</v>
      </c>
      <c r="G1469" s="22" t="n">
        <f aca="false">G1468+opx_adj_hi*G1459</f>
        <v>4.98554623993181</v>
      </c>
    </row>
    <row r="1470" customFormat="false" ht="15" hidden="false" customHeight="false" outlineLevel="0" collapsed="false">
      <c r="A1470" s="4" t="s">
        <v>773</v>
      </c>
      <c r="B1470" s="0" t="s">
        <v>239</v>
      </c>
      <c r="C1470" s="22" t="n">
        <f aca="false">C1465-C1469</f>
        <v>2.891</v>
      </c>
      <c r="D1470" s="22" t="n">
        <f aca="false">D1465-D1469</f>
        <v>4.456682</v>
      </c>
      <c r="E1470" s="22" t="n">
        <f aca="false">E1465-E1469</f>
        <v>6.58957112920432</v>
      </c>
      <c r="F1470" s="22" t="n">
        <f aca="false">F1465-F1469</f>
        <v>8.50462395612572</v>
      </c>
      <c r="G1470" s="22" t="n">
        <f aca="false">G1465-G1469</f>
        <v>10.3594566438193</v>
      </c>
    </row>
    <row r="1471" customFormat="false" ht="15" hidden="false" customHeight="false" outlineLevel="0" collapsed="false">
      <c r="A1471" s="4" t="s">
        <v>627</v>
      </c>
      <c r="B1471" s="0" t="s">
        <v>49</v>
      </c>
      <c r="C1471" s="14" t="n">
        <f aca="false">C1470/C1459</f>
        <v>0.352793302906792</v>
      </c>
      <c r="D1471" s="14" t="n">
        <f aca="false">D1470/D1459</f>
        <v>0.371390166666667</v>
      </c>
      <c r="E1471" s="14" t="n">
        <f aca="false">E1470/E1459</f>
        <v>0.359178960756347</v>
      </c>
      <c r="F1471" s="14" t="n">
        <f aca="false">F1470/F1459</f>
        <v>0.310183474306468</v>
      </c>
      <c r="G1471" s="14" t="n">
        <f aca="false">G1470/G1459</f>
        <v>0.325031608999306</v>
      </c>
    </row>
    <row r="1472" customFormat="false" ht="15" hidden="false" customHeight="false" outlineLevel="0" collapsed="false">
      <c r="A1472" s="4" t="s">
        <v>774</v>
      </c>
      <c r="B1472" s="0" t="s">
        <v>239</v>
      </c>
      <c r="C1472" s="22" t="n">
        <f aca="false">a26_oth</f>
        <v>0.1514</v>
      </c>
      <c r="D1472" s="22" t="n">
        <f aca="false">a27_oth</f>
        <v>0.1424</v>
      </c>
      <c r="E1472" s="22" t="n">
        <f aca="false">int_f</f>
        <v>0.15</v>
      </c>
      <c r="F1472" s="22" t="n">
        <f aca="false">int_f</f>
        <v>0.15</v>
      </c>
      <c r="G1472" s="22" t="n">
        <f aca="false">int_f</f>
        <v>0.15</v>
      </c>
    </row>
    <row r="1473" customFormat="false" ht="15" hidden="false" customHeight="false" outlineLevel="0" collapsed="false">
      <c r="A1473" s="4" t="s">
        <v>775</v>
      </c>
      <c r="B1473" s="0" t="s">
        <v>49</v>
      </c>
      <c r="C1473" s="14" t="n">
        <f aca="false">a26_tax/(a26_oi-a26_oth)</f>
        <v>0.1</v>
      </c>
      <c r="D1473" s="14" t="n">
        <f aca="false">a27_tax/(a27_oi-a27_oth)</f>
        <v>0.11</v>
      </c>
      <c r="E1473" s="14" t="n">
        <f aca="false">tx_f</f>
        <v>0.13</v>
      </c>
      <c r="F1473" s="14" t="n">
        <f aca="false">tx_f</f>
        <v>0.13</v>
      </c>
      <c r="G1473" s="14" t="n">
        <f aca="false">tx_f</f>
        <v>0.13</v>
      </c>
    </row>
    <row r="1474" customFormat="false" ht="17.15" hidden="false" customHeight="false" outlineLevel="0" collapsed="false">
      <c r="A1474" s="4" t="s">
        <v>708</v>
      </c>
      <c r="B1474" s="0" t="s">
        <v>239</v>
      </c>
      <c r="C1474" s="22" t="n">
        <f aca="false">a26_ni</f>
        <v>2.46564</v>
      </c>
      <c r="D1474" s="22" t="n">
        <f aca="false">a27_ni</f>
        <v>3.83971098</v>
      </c>
      <c r="E1474" s="22" t="n">
        <f aca="false">(E1470-E1472)*(1-E1473)</f>
        <v>5.60242688240776</v>
      </c>
      <c r="F1474" s="22" t="n">
        <f aca="false">(F1470-F1472)*(1-F1473)</f>
        <v>7.26852284182938</v>
      </c>
      <c r="G1474" s="22" t="n">
        <f aca="false">(G1470-G1472)*(1-G1473)</f>
        <v>8.88222728012283</v>
      </c>
    </row>
    <row r="1475" customFormat="false" ht="15" hidden="false" customHeight="false" outlineLevel="0" collapsed="false">
      <c r="A1475" s="4" t="s">
        <v>776</v>
      </c>
      <c r="B1475" s="4" t="s">
        <v>370</v>
      </c>
      <c r="C1475" s="16" t="n">
        <f aca="false">a26_sh</f>
        <v>0.8697</v>
      </c>
      <c r="D1475" s="16" t="n">
        <f aca="false">a27_sh</f>
        <v>0.915125</v>
      </c>
      <c r="E1475" s="16" t="n">
        <f aca="false">D1475*(1+sh_g)</f>
        <v>0.919700625</v>
      </c>
      <c r="F1475" s="16" t="n">
        <f aca="false">E1475*(1+sh_g)</f>
        <v>0.924299128125</v>
      </c>
      <c r="G1475" s="16" t="n">
        <f aca="false">F1475*(1+sh_g)</f>
        <v>0.928920623765625</v>
      </c>
    </row>
    <row r="1476" customFormat="false" ht="17.15" hidden="false" customHeight="false" outlineLevel="0" collapsed="false">
      <c r="A1476" s="0" t="s">
        <v>709</v>
      </c>
      <c r="B1476" s="0" t="s">
        <v>253</v>
      </c>
      <c r="C1476" s="22" t="n">
        <f aca="false">C1474/C1475</f>
        <v>2.83504656778199</v>
      </c>
      <c r="D1476" s="22" t="n">
        <f aca="false">D1474/D1475</f>
        <v>4.19583224149706</v>
      </c>
      <c r="E1476" s="22" t="n">
        <f aca="false">E1474/E1475</f>
        <v>6.09157668280128</v>
      </c>
      <c r="F1476" s="22" t="n">
        <f aca="false">F1474/F1475</f>
        <v>7.86382094352295</v>
      </c>
      <c r="G1476" s="22" t="n">
        <f aca="false">G1474/G1475</f>
        <v>9.56187972672668</v>
      </c>
    </row>
    <row r="1477" customFormat="false" ht="17.15" hidden="false" customHeight="false" outlineLevel="0" collapsed="false">
      <c r="A1477" s="0" t="s">
        <v>777</v>
      </c>
      <c r="B1477" s="0" t="s">
        <v>49</v>
      </c>
      <c r="D1477" s="14" t="n">
        <f aca="false">D1476/C1476-1</f>
        <v>0.479987062357033</v>
      </c>
      <c r="E1477" s="14" t="n">
        <f aca="false">E1476/D1476-1</f>
        <v>0.451816071804582</v>
      </c>
      <c r="F1477" s="14" t="n">
        <f aca="false">F1476/E1476-1</f>
        <v>0.290933587969985</v>
      </c>
      <c r="G1477" s="14" t="n">
        <f aca="false">G1476/F1476-1</f>
        <v>0.215933042651783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1190</v>
      </c>
    </row>
    <row r="2" customFormat="false" ht="17.15" hidden="false" customHeight="false" outlineLevel="0" collapsed="false">
      <c r="A2" s="4" t="s">
        <v>1191</v>
      </c>
      <c r="B2" s="0" t="s">
        <v>482</v>
      </c>
    </row>
    <row r="3" customFormat="false" ht="17.15" hidden="false" customHeight="false" outlineLevel="0" collapsed="false">
      <c r="A3" s="4" t="s">
        <v>1192</v>
      </c>
      <c r="B3" s="0" t="s">
        <v>1193</v>
      </c>
    </row>
    <row r="4" customFormat="false" ht="17.15" hidden="false" customHeight="false" outlineLevel="0" collapsed="false">
      <c r="A4" s="4" t="s">
        <v>1194</v>
      </c>
      <c r="B4" s="0" t="s">
        <v>1195</v>
      </c>
    </row>
    <row r="5" customFormat="false" ht="17.15" hidden="false" customHeight="false" outlineLevel="0" collapsed="false">
      <c r="A5" s="4" t="s">
        <v>1196</v>
      </c>
      <c r="B5" s="0" t="s">
        <v>479</v>
      </c>
    </row>
    <row r="6" customFormat="false" ht="17.15" hidden="false" customHeight="false" outlineLevel="0" collapsed="false">
      <c r="A6" s="4" t="s">
        <v>1197</v>
      </c>
      <c r="B6" s="0" t="s">
        <v>1198</v>
      </c>
    </row>
    <row r="7" customFormat="false" ht="17.15" hidden="false" customHeight="false" outlineLevel="0" collapsed="false">
      <c r="A7" s="4" t="s">
        <v>1199</v>
      </c>
      <c r="B7" s="0" t="s">
        <v>1200</v>
      </c>
    </row>
    <row r="8" customFormat="false" ht="17.15" hidden="false" customHeight="false" outlineLevel="0" collapsed="false">
      <c r="A8" s="4" t="s">
        <v>1201</v>
      </c>
      <c r="B8" s="0" t="s">
        <v>1202</v>
      </c>
    </row>
    <row r="9" customFormat="false" ht="17.15" hidden="false" customHeight="false" outlineLevel="0" collapsed="false">
      <c r="A9" s="4" t="s">
        <v>1203</v>
      </c>
      <c r="B9" s="0" t="s">
        <v>1204</v>
      </c>
    </row>
    <row r="10" customFormat="false" ht="17.15" hidden="false" customHeight="false" outlineLevel="0" collapsed="false">
      <c r="A10" s="4" t="s">
        <v>1205</v>
      </c>
      <c r="B10" s="0" t="s">
        <v>1206</v>
      </c>
    </row>
    <row r="11" customFormat="false" ht="17.15" hidden="false" customHeight="false" outlineLevel="0" collapsed="false">
      <c r="A11" s="4" t="s">
        <v>1207</v>
      </c>
      <c r="B11" s="0" t="s">
        <v>1208</v>
      </c>
    </row>
    <row r="12" customFormat="false" ht="17.15" hidden="false" customHeight="false" outlineLevel="0" collapsed="false">
      <c r="A12" s="4" t="s">
        <v>1209</v>
      </c>
      <c r="B12" s="0" t="s">
        <v>1210</v>
      </c>
    </row>
    <row r="13" customFormat="false" ht="17.15" hidden="false" customHeight="false" outlineLevel="0" collapsed="false">
      <c r="A13" s="4" t="s">
        <v>1211</v>
      </c>
      <c r="B13" s="0" t="s">
        <v>1212</v>
      </c>
    </row>
    <row r="14" customFormat="false" ht="17.15" hidden="false" customHeight="false" outlineLevel="0" collapsed="false">
      <c r="A14" s="4" t="s">
        <v>1213</v>
      </c>
      <c r="B14" s="0" t="s">
        <v>1214</v>
      </c>
    </row>
    <row r="15" customFormat="false" ht="17.15" hidden="false" customHeight="false" outlineLevel="0" collapsed="false">
      <c r="A15" s="4" t="s">
        <v>1215</v>
      </c>
      <c r="B15" s="0" t="s">
        <v>1216</v>
      </c>
    </row>
    <row r="16" customFormat="false" ht="17.15" hidden="false" customHeight="false" outlineLevel="0" collapsed="false">
      <c r="A16" s="4" t="s">
        <v>1217</v>
      </c>
      <c r="B16" s="0" t="s">
        <v>1218</v>
      </c>
    </row>
    <row r="17" customFormat="false" ht="17.15" hidden="false" customHeight="false" outlineLevel="0" collapsed="false">
      <c r="A17" s="4" t="s">
        <v>1219</v>
      </c>
      <c r="B17" s="0" t="s">
        <v>1220</v>
      </c>
    </row>
    <row r="18" customFormat="false" ht="17.15" hidden="false" customHeight="false" outlineLevel="0" collapsed="false">
      <c r="A18" s="4" t="s">
        <v>1221</v>
      </c>
    </row>
    <row r="19" customFormat="false" ht="17.15" hidden="false" customHeight="false" outlineLevel="0" collapsed="false">
      <c r="A19" s="4" t="s">
        <v>1222</v>
      </c>
      <c r="B19" s="4" t="s">
        <v>1223</v>
      </c>
    </row>
    <row r="20" customFormat="false" ht="15" hidden="false" customHeight="false" outlineLevel="0" collapsed="false">
      <c r="A20" s="0" t="s">
        <v>1224</v>
      </c>
      <c r="B20" s="4" t="s">
        <v>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2026-10-30T00:26:09Z</dcterms:created>
  <dc:creator>openpyxl</dc:creator>
  <dc:description/>
  <dc:language>en-US</dc:language>
  <cp:lastModifiedBy/>
  <dcterms:modified xsi:type="dcterms:W3CDTF">2026-10-30T00:26:10Z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