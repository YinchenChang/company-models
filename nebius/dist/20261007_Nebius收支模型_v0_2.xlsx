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檢查_連動" sheetId="15" state="visible" r:id="rId17"/>
    <sheet name="檢查_版本紀錄" sheetId="16" state="visible" r:id="rId18"/>
    <sheet name="來源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<sst xmlns="http://schemas.openxmlformats.org/spreadsheetml/2006/main" count="2573" uniqueCount="1557">
  <si>
    <r>
      <rPr>
        <b val="true"/>
        <sz val="14"/>
        <rFont val="Noto Sans CJK SC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Noto Sans CJK SC"/>
        <family val="2"/>
      </rPr>
      <t xml:space="preserve">變成現金嗎？｜</t>
    </r>
    <r>
      <rPr>
        <b val="true"/>
        <sz val="14"/>
        <rFont val="Arial"/>
        <family val="0"/>
        <charset val="1"/>
      </rPr>
      <t xml:space="preserve">Nebius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2026-10-07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2026-10-06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</si>
  <si>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</si>
  <si>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變成現金嗎？——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的營收＝已連網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年收入；客戶預付款能支應多少擴張資本支出，剩下的缺口要靠多少資產擔保融資、可轉債與新股（答案見「摘要」）。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</si>
  <si>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</si>
  <si>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</si>
  <si>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</si>
  <si>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</si>
  <si>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</si>
  <si>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</si>
  <si>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</si>
  <si>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</si>
  <si>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</si>
  <si>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</si>
  <si>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</si>
  <si>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</si>
  <si>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</si>
  <si>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</si>
  <si>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</si>
  <si>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</si>
  <si>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</si>
  <si>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正向推導的三情境值（</t>
    </r>
    <r>
      <rPr>
        <sz val="10"/>
        <rFont val="Arial"/>
        <family val="0"/>
        <charset val="1"/>
      </rPr>
      <t xml:space="preserve">data/permw_tokenomics_20261007.json</t>
    </r>
    <r>
      <rPr>
        <sz val="10"/>
        <rFont val="Noto Sans CJK SC"/>
        <family val="2"/>
      </rPr>
      <t xml:space="preserve">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（只作對照）；利用率預設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，因推導值已含可計費利用率。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</si>
  <si>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容量的部分顯示為『產能瓶頸』旗標，並作為資產擔保融資容量的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</si>
  <si>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</si>
  <si>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</si>
  <si>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</si>
  <si>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</si>
  <si>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</si>
  <si>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</si>
  <si>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</si>
  <si>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</si>
  <si>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</si>
  <si>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</si>
  <si>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</si>
  <si>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</si>
  <si>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r>
      <rPr>
        <b val="true"/>
        <sz val="14"/>
        <rFont val="Noto Sans CJK SC"/>
        <family val="2"/>
      </rPr>
      <t xml:space="preserve">預付款，能把 </t>
    </r>
    <r>
      <rPr>
        <b val="true"/>
        <sz val="14"/>
        <rFont val="Arial"/>
        <family val="0"/>
        <charset val="1"/>
      </rPr>
      <t xml:space="preserve">Backlog </t>
    </r>
    <r>
      <rPr>
        <b val="true"/>
        <sz val="14"/>
        <rFont val="Noto Sans CJK SC"/>
        <family val="2"/>
      </rPr>
      <t xml:space="preserve">變成現金嗎？｜一頁摘要 — 結論、與市場的差異、現價隱含什麼、驗證點（全部依輸入連動）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</si>
  <si>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</si>
  <si>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</si>
  <si>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</si>
  <si>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</si>
  <si>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</si>
  <si>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</si>
  <si>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</si>
  <si>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</si>
  <si>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</si>
  <si>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</si>
  <si>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</si>
  <si>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</si>
  <si>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</si>
  <si>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</si>
  <si>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</si>
  <si>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</si>
  <si>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</si>
  <si>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</si>
  <si>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</si>
  <si>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</si>
  <si>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</si>
  <si>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</si>
  <si>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</si>
  <si>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</si>
  <si>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</si>
  <si>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</si>
  <si>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</si>
  <si>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</si>
  <si>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</si>
  <si>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</si>
  <si>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</si>
  <si>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</si>
  <si>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</si>
  <si>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</si>
  <si>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</si>
  <si>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</si>
  <si>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</si>
  <si>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</si>
  <si>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</si>
  <si>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</si>
  <si>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</si>
  <si>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</si>
  <si>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</si>
  <si>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</si>
  <si>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</si>
  <si>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</si>
  <si>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</si>
  <si>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</si>
  <si>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</si>
  <si>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</si>
  <si>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</si>
  <si>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</si>
  <si>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</si>
  <si>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</si>
  <si>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</si>
  <si>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</si>
  <si>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</si>
  <si>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</si>
  <si>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</si>
  <si>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</si>
  <si>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</si>
  <si>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</si>
  <si>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</si>
  <si>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</si>
  <si>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</si>
  <si>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</si>
  <si>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</si>
  <si>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</si>
  <si>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</si>
  <si>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</si>
  <si>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</si>
  <si>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</si>
  <si>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</si>
  <si>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</si>
  <si>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</si>
  <si>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</si>
  <si>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</si>
  <si>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</si>
  <si>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</si>
  <si>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</si>
  <si>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</si>
  <si>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</si>
  <si>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</si>
  <si>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</si>
  <si>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</si>
  <si>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Noto Sans CJK SC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（模型／共識／指引低／指引高／實際）</t>
    </r>
  </si>
  <si>
    <r>
      <rPr>
        <b val="true"/>
        <sz val="10"/>
        <rFont val="Noto Sans CJK SC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Noto Sans CJK SC"/>
        <family val="2"/>
      </rPr>
      <t xml:space="preserve">｜句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</si>
  <si>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</si>
  <si>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</si>
  <si>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</si>
  <si>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</si>
  <si>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</si>
  <si>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</si>
  <si>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2026-10-07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</si>
  <si>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的目標價、評等、營收預估引用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的年度與季度預估一般亦引用 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共識檔的判斷），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營收兩者 </t>
    </r>
    <r>
      <rPr>
        <sz val="9"/>
        <color rgb="FF595959"/>
        <rFont val="Arial"/>
        <family val="0"/>
        <charset val="1"/>
      </rPr>
      <t xml:space="preserve">3.34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3.379 </t>
    </r>
    <r>
      <rPr>
        <sz val="9"/>
        <color rgb="FF595959"/>
        <rFont val="Noto Sans CJK SC"/>
        <family val="2"/>
      </rPr>
      <t xml:space="preserve">接近，視為同一底層來源的兩個呈現，不算獨立交叉驗證。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的目標價與評等為 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），可作目標價的獨立交叉。</t>
    </r>
    <r>
      <rPr>
        <sz val="9"/>
        <color rgb="FF595959"/>
        <rFont val="Arial"/>
        <family val="0"/>
        <charset val="1"/>
      </rPr>
      <t xml:space="preserve">Zacks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）只取得 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財報前的單季營收共識，僅供量級確認。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</si>
  <si>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2026-10-07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</si>
  <si>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</si>
  <si>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</si>
  <si>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</si>
  <si>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已簽約 </t>
    </r>
    <r>
      <rPr>
        <b val="true"/>
        <sz val="10"/>
        <rFont val="Arial"/>
        <family val="0"/>
        <charset val="1"/>
      </rPr>
      <t xml:space="preserve">3.5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合約 </t>
    </r>
    <r>
      <rPr>
        <b val="true"/>
        <sz val="10"/>
        <rFont val="Arial"/>
        <family val="0"/>
        <charset val="1"/>
      </rPr>
      <t xml:space="preserve">5 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每年 </t>
    </r>
    <r>
      <rPr>
        <b val="true"/>
        <sz val="10"/>
        <rFont val="Arial"/>
        <family val="0"/>
        <charset val="1"/>
      </rPr>
      <t xml:space="preserve">&gt;1 GW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</si>
  <si>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三情境改變擴張力道（已連網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正向推導三情境值）；其餘假設相同（對照表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</si>
  <si>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</si>
  <si>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</si>
  <si>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</si>
  <si>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</si>
  <si>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</si>
  <si>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</si>
  <si>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</si>
  <si>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0.8–1.0 GW </t>
    </r>
    <r>
      <rPr>
        <sz val="9"/>
        <color rgb="FF595959"/>
        <rFont val="Noto Sans CJK SC"/>
        <family val="2"/>
      </rPr>
      <t xml:space="preserve">中點 </t>
    </r>
    <r>
      <rPr>
        <sz val="9"/>
        <color rgb="FF595959"/>
        <rFont val="Arial"/>
        <family val="0"/>
        <charset val="1"/>
      </rPr>
      <t xml:space="preserve">÷ PUE 1.2 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</si>
  <si>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</si>
  <si>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</si>
  <si>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｜併網速度</t>
    </r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</si>
  <si>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</si>
  <si>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</si>
  <si>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r>
      <rPr>
        <sz val="10"/>
        <rFont val="Noto Sans CJK SC"/>
        <family val="2"/>
      </rPr>
      <t xml:space="preserve">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</si>
  <si>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Noto Sans CJK SC"/>
        <family val="2"/>
      </rPr>
      <t xml:space="preserve">只交付已簽約電力（</t>
    </r>
    <r>
      <rPr>
        <sz val="9"/>
        <color rgb="FF595959"/>
        <rFont val="Arial"/>
        <family val="0"/>
        <charset val="1"/>
      </rPr>
      <t xml:space="preserve">&gt;3.5 GW 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2,917 MW-IT</t>
    </r>
    <r>
      <rPr>
        <sz val="9"/>
        <color rgb="FF595959"/>
        <rFont val="Noto Sans CJK SC"/>
        <family val="2"/>
      </rPr>
      <t xml:space="preserve">），依歷史併網速度；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</si>
  <si>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</si>
  <si>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</si>
  <si>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基準 合約 </t>
    </r>
    <r>
      <rPr>
        <sz val="10"/>
        <rFont val="Arial"/>
        <family val="0"/>
        <charset val="1"/>
      </rPr>
      <t xml:space="preserve">5 GW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</si>
  <si>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合約目標（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4,167 MW-IT</t>
    </r>
    <r>
      <rPr>
        <sz val="9"/>
        <color rgb="FF595959"/>
        <rFont val="Noto Sans CJK SC"/>
        <family val="2"/>
      </rPr>
      <t xml:space="preserve">）依歷史併網速度實現；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</si>
  <si>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</si>
  <si>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</si>
  <si>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積極 每年 </t>
    </r>
    <r>
      <rPr>
        <sz val="10"/>
        <rFont val="Arial"/>
        <family val="0"/>
        <charset val="1"/>
      </rPr>
      <t xml:space="preserve">&gt;1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</si>
  <si>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起每年部署 </t>
    </r>
    <r>
      <rPr>
        <sz val="9"/>
        <color rgb="FF595959"/>
        <rFont val="Arial"/>
        <family val="0"/>
        <charset val="1"/>
      </rPr>
      <t xml:space="preserve">&gt;1 GW </t>
    </r>
    <r>
      <rPr>
        <sz val="9"/>
        <color rgb="FF595959"/>
        <rFont val="Noto Sans CJK SC"/>
        <family val="2"/>
      </rPr>
      <t xml:space="preserve">全數實現（</t>
    </r>
    <r>
      <rPr>
        <sz val="9"/>
        <color rgb="FF595959"/>
        <rFont val="Arial"/>
        <family val="0"/>
        <charset val="1"/>
      </rPr>
      <t xml:space="preserve">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833 MW-IT</t>
    </r>
    <r>
      <rPr>
        <sz val="9"/>
        <color rgb="FF595959"/>
        <rFont val="Noto Sans CJK SC"/>
        <family val="2"/>
      </rPr>
      <t xml:space="preserve">／年）；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</si>
  <si>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年收入｜保守 已簽約 </t>
    </r>
    <r>
      <rPr>
        <sz val="10"/>
        <rFont val="Arial"/>
        <family val="0"/>
        <charset val="1"/>
      </rPr>
      <t xml:space="preserve">3.5 GW</t>
    </r>
  </si>
  <si>
    <t xml:space="preserve">US$bn/MW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</si>
  <si>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正向推導三情境（</t>
    </r>
    <r>
      <rPr>
        <sz val="9"/>
        <color rgb="FF595959"/>
        <rFont val="Arial"/>
        <family val="0"/>
        <charset val="1"/>
      </rPr>
      <t xml:space="preserve">data/permw_tokenomics_20261007.json</t>
    </r>
    <r>
      <rPr>
        <sz val="9"/>
        <color rgb="FF595959"/>
        <rFont val="Noto Sans CJK SC"/>
        <family val="2"/>
      </rPr>
      <t xml:space="preserve">）；不用公司 </t>
    </r>
    <r>
      <rPr>
        <sz val="9"/>
        <color rgb="FF595959"/>
        <rFont val="Arial"/>
        <family val="0"/>
        <charset val="1"/>
      </rPr>
      <t xml:space="preserve">ACV 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</si>
  <si>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</si>
  <si>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年收入｜積極 每年 </t>
    </r>
    <r>
      <rPr>
        <sz val="10"/>
        <rFont val="Arial"/>
        <family val="0"/>
        <charset val="1"/>
      </rPr>
      <t xml:space="preserve">&gt;1 GW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</si>
  <si>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</si>
  <si>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三情境共用；新連網產能自驗收到可計費需數季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</si>
  <si>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可計費爬坡係數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</si>
  <si>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首期營收校準：可計費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爬坡係數，逐步收斂（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60% </t>
    </r>
    <r>
      <rPr>
        <sz val="9"/>
        <color rgb="FF595959"/>
        <rFont val="Noto Sans CJK SC"/>
        <family val="2"/>
      </rPr>
      <t xml:space="preserve">為能讓基準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落入公司指引的保守值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</si>
  <si>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表外現金租金（積極路徑）</t>
  </si>
  <si>
    <r>
      <rPr>
        <sz val="9"/>
        <color rgb="FF595959"/>
        <rFont val="Noto Sans CJK SC"/>
        <family val="2"/>
      </rPr>
      <t xml:space="preserve">已簽約未起租租賃的現金路徑；其他情境依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比例縮放（起算 </t>
    </r>
    <r>
      <rPr>
        <sz val="9"/>
        <color rgb="FF595959"/>
        <rFont val="Arial"/>
        <family val="0"/>
        <charset val="1"/>
      </rPr>
      <t xml:space="preserve">0 MW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</si>
  <si>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表外租金起算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</si>
  <si>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表外租金依超過此值的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等比例縮放（</t>
    </r>
    <r>
      <rPr>
        <sz val="9"/>
        <color rgb="FF595959"/>
        <rFont val="Arial"/>
        <family val="0"/>
        <charset val="1"/>
      </rPr>
      <t xml:space="preserve">company.json → scenarios.leaseRampFloorMw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</si>
  <si>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</si>
  <si>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</si>
  <si>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37.4906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</si>
  <si>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初新增承諾</t>
    </r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</si>
  <si>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</si>
  <si>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</si>
  <si>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季報桶 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Noto Sans CJK SC"/>
        <family val="2"/>
      </rPr>
      <t xml:space="preserve">（後段假設 </t>
    </r>
    <r>
      <rPr>
        <sz val="9"/>
        <color rgb="FF595959"/>
        <rFont val="Arial"/>
        <family val="0"/>
        <charset val="1"/>
      </rPr>
      <t xml:space="preserve">49–72 </t>
    </r>
    <r>
      <rPr>
        <sz val="9"/>
        <color rgb="FF595959"/>
        <rFont val="Noto Sans CJK SC"/>
        <family val="2"/>
      </rPr>
      <t xml:space="preserve">個月）線性分攤後五期合計 </t>
    </r>
    <r>
      <rPr>
        <sz val="9"/>
        <color rgb="FF595959"/>
        <rFont val="Arial"/>
        <family val="0"/>
        <charset val="1"/>
      </rPr>
      <t xml:space="preserve">82%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</si>
  <si>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</si>
  <si>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</si>
  <si>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</si>
  <si>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Noto Sans CJK SC"/>
        <family val="2"/>
      </rPr>
      <t xml:space="preserve">股東信與 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口徑）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</si>
  <si>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最新已申報季營收（單季）</t>
  </si>
  <si>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校準用：季報營收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latestQuarter.revenue</t>
    </r>
    <r>
      <rPr>
        <sz val="9"/>
        <color rgb="FF595959"/>
        <rFont val="Noto Sans CJK SC"/>
        <family val="2"/>
      </rPr>
      <t xml:space="preserve">）</t>
    </r>
  </si>
  <si>
    <t xml:space="preserve">6/30 Billable MW</t>
  </si>
  <si>
    <r>
      <rPr>
        <sz val="9"/>
        <color rgb="FF595959"/>
        <rFont val="Arial"/>
        <family val="0"/>
        <charset val="1"/>
      </rPr>
      <t xml:space="preserve">v0.1c </t>
    </r>
    <r>
      <rPr>
        <sz val="9"/>
        <color rgb="FF595959"/>
        <rFont val="Noto Sans CJK SC"/>
        <family val="2"/>
      </rPr>
      <t xml:space="preserve">校準：＝最新季營收 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Noto Sans CJK SC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年收入（對齊已實現年化營收；季末在役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未揭露，不用內插值）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</si>
  <si>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</si>
  <si>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</si>
  <si>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</si>
  <si>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</si>
  <si>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</si>
  <si>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</si>
  <si>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</si>
  <si>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</si>
  <si>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</si>
  <si>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</si>
  <si>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</si>
  <si>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36%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24%</t>
    </r>
    <r>
      <rPr>
        <sz val="9"/>
        <color rgb="FF595959"/>
        <rFont val="Noto Sans CJK SC"/>
        <family val="2"/>
      </rPr>
      <t xml:space="preserve">／之後（假設 </t>
    </r>
    <r>
      <rPr>
        <sz val="9"/>
        <color rgb="FF595959"/>
        <rFont val="Arial"/>
        <family val="0"/>
        <charset val="1"/>
      </rPr>
      <t xml:space="preserve">49–72m</t>
    </r>
    <r>
      <rPr>
        <sz val="9"/>
        <color rgb="FF595959"/>
        <rFont val="Noto Sans CJK SC"/>
        <family val="2"/>
      </rPr>
      <t xml:space="preserve">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</si>
  <si>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</si>
  <si>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</si>
  <si>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</si>
  <si>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爬坡係數（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</si>
  <si>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</si>
  <si>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年收入已含可計費利用率（路徑 </t>
    </r>
    <r>
      <rPr>
        <sz val="9"/>
        <color rgb="FF595959"/>
        <rFont val="Arial"/>
        <family val="0"/>
        <charset val="1"/>
      </rPr>
      <t xml:space="preserve">B 80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），不重複扣除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</si>
  <si>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</si>
  <si>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</si>
  <si>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</si>
  <si>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</si>
  <si>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</si>
  <si>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</si>
  <si>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</si>
  <si>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</si>
  <si>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</si>
  <si>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</si>
  <si>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Avride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TripleTen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</si>
  <si>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其他事業（</t>
    </r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：上半年 −</t>
    </r>
    <r>
      <rPr>
        <sz val="9"/>
        <color rgb="FF595959"/>
        <rFont val="Arial"/>
        <family val="0"/>
        <charset val="1"/>
      </rPr>
      <t xml:space="preserve">0.094 × 2</t>
    </r>
    <r>
      <rPr>
        <sz val="9"/>
        <color rgb="FF595959"/>
        <rFont val="Noto Sans CJK SC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0.188</t>
    </r>
    <r>
      <rPr>
        <sz val="9"/>
        <color rgb="FF595959"/>
        <rFont val="Noto Sans CJK SC"/>
        <family val="2"/>
      </rPr>
      <t xml:space="preserve">／年，各期＝−</t>
    </r>
    <r>
      <rPr>
        <sz val="9"/>
        <color rgb="FF595959"/>
        <rFont val="Arial"/>
        <family val="0"/>
        <charset val="1"/>
      </rPr>
      <t xml:space="preserve">0.188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線性遞減（首期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 75%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50%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FY30 0%</t>
    </r>
    <r>
      <rPr>
        <sz val="9"/>
        <color rgb="FF595959"/>
        <rFont val="Noto Sans CJK SC"/>
        <family val="2"/>
      </rPr>
      <t xml:space="preserve">）；假設處分或自給 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</si>
  <si>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</si>
  <si>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</si>
  <si>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分部調整後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49.7%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</si>
  <si>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</si>
  <si>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</si>
  <si>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</si>
  <si>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</si>
  <si>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</si>
  <si>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</si>
  <si>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</si>
  <si>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</si>
  <si>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</si>
  <si>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</si>
  <si>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</si>
  <si>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</si>
  <si>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</si>
  <si>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</si>
  <si>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</si>
  <si>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</si>
  <si>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</si>
  <si>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</si>
  <si>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</si>
  <si>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</si>
  <si>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</si>
  <si>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全年指引下緣（法說會轉述）：當年支出多已下單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</si>
  <si>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</si>
  <si>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t xml:space="preserve">年</t>
  </si>
  <si>
    <r>
      <rPr>
        <sz val="9"/>
        <color rgb="FF595959"/>
        <rFont val="Noto Sans CJK SC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起伺服器與網通設備折舊年限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Noto Sans CJK SC"/>
        <family val="2"/>
      </rPr>
      <t xml:space="preserve">年）；取較保守者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</si>
  <si>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</si>
  <si>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季報毛額（含尚未啟用資產 </t>
    </r>
    <r>
      <rPr>
        <sz val="9"/>
        <color rgb="FF595959"/>
        <rFont val="Arial"/>
        <family val="0"/>
        <charset val="1"/>
      </rPr>
      <t xml:space="preserve">7.8364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</si>
  <si>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</si>
  <si>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</si>
  <si>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</si>
  <si>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Tokenomics IF_CapexTotal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＋機房）：</t>
    </r>
    <r>
      <rPr>
        <sz val="9"/>
        <color rgb="FF595959"/>
        <rFont val="Arial"/>
        <family val="0"/>
        <charset val="1"/>
      </rPr>
      <t xml:space="preserve">GB300 50.12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50.26 [Derived]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</si>
  <si>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</si>
  <si>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股東信：約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Noto Sans CJK SC"/>
        <family val="2"/>
      </rPr>
      <t xml:space="preserve">合約含客戶預付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</si>
  <si>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預付占相關資本支出比</t>
  </si>
  <si>
    <r>
      <rPr>
        <sz val="9"/>
        <color rgb="FF595959"/>
        <rFont val="Noto Sans CJK SC"/>
        <family val="2"/>
      </rPr>
      <t xml:space="preserve">股東信：預付覆蓋相關資本支出 </t>
    </r>
    <r>
      <rPr>
        <sz val="9"/>
        <color rgb="FF595959"/>
        <rFont val="Arial"/>
        <family val="0"/>
        <charset val="1"/>
      </rPr>
      <t xml:space="preserve">50–60%</t>
    </r>
    <r>
      <rPr>
        <sz val="9"/>
        <color rgb="FF595959"/>
        <rFont val="Noto Sans CJK SC"/>
        <family val="2"/>
      </rPr>
      <t xml:space="preserve">，取中點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</si>
  <si>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預付認列年數</t>
  </si>
  <si>
    <r>
      <rPr>
        <sz val="9"/>
        <color rgb="FF595959"/>
        <rFont val="Noto Sans CJK SC"/>
        <family val="2"/>
      </rPr>
      <t xml:space="preserve">季報：遞延營收預計 </t>
    </r>
    <r>
      <rPr>
        <sz val="9"/>
        <color rgb="FF595959"/>
        <rFont val="Arial"/>
        <family val="0"/>
        <charset val="1"/>
      </rPr>
      <t xml:space="preserve">1–5 </t>
    </r>
    <r>
      <rPr>
        <sz val="9"/>
        <color rgb="FF595959"/>
        <rFont val="Noto Sans CJK SC"/>
        <family val="2"/>
      </rPr>
      <t xml:space="preserve">年內認列，取中點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年；自下一期起依期初合約負債直線認列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</si>
  <si>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</si>
  <si>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r>
      <rPr>
        <sz val="9"/>
        <color rgb="FF595959"/>
        <rFont val="Noto Sans CJK SC"/>
        <family val="2"/>
      </rPr>
      <t xml:space="preserve">季報遞延營收 </t>
    </r>
    <r>
      <rPr>
        <sz val="9"/>
        <color rgb="FF595959"/>
        <rFont val="Arial"/>
        <family val="0"/>
        <charset val="1"/>
      </rPr>
      <t xml:space="preserve">5.9752</t>
    </r>
    <r>
      <rPr>
        <sz val="9"/>
        <color rgb="FF595959"/>
        <rFont val="Noto Sans CJK SC"/>
        <family val="2"/>
      </rPr>
      <t xml:space="preserve">（流動 </t>
    </r>
    <r>
      <rPr>
        <sz val="9"/>
        <color rgb="FF595959"/>
        <rFont val="Arial"/>
        <family val="0"/>
        <charset val="1"/>
      </rPr>
      <t xml:space="preserve">0.979</t>
    </r>
    <r>
      <rPr>
        <sz val="9"/>
        <color rgb="FF595959"/>
        <rFont val="Noto Sans CJK SC"/>
        <family val="2"/>
      </rPr>
      <t xml:space="preserve">＋非流動 </t>
    </r>
    <r>
      <rPr>
        <sz val="9"/>
        <color rgb="FF595959"/>
        <rFont val="Arial"/>
        <family val="0"/>
        <charset val="1"/>
      </rPr>
      <t xml:space="preserve">4.996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</si>
  <si>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</si>
  <si>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</si>
  <si>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</si>
  <si>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 [Verified]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</si>
  <si>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</si>
  <si>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MW </t>
    </r>
    <r>
      <rPr>
        <sz val="9"/>
        <color rgb="FF595959"/>
        <rFont val="Noto Sans CJK SC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</si>
  <si>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</si>
  <si>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</si>
  <si>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</si>
  <si>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</si>
  <si>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</si>
  <si>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</si>
  <si>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</si>
  <si>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</si>
  <si>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170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</si>
  <si>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</si>
  <si>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</si>
  <si>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</si>
  <si>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</si>
  <si>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</si>
  <si>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8.1303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</si>
  <si>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</si>
  <si>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</si>
  <si>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</si>
  <si>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</si>
  <si>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</si>
  <si>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</si>
  <si>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</si>
  <si>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</si>
  <si>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</si>
  <si>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</si>
  <si>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</si>
  <si>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8.0421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1.056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</si>
  <si>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</si>
  <si>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$5.75B </t>
    </r>
    <r>
      <rPr>
        <sz val="9"/>
        <color rgb="FF595959"/>
        <rFont val="Noto Sans CJK SC"/>
        <family val="2"/>
      </rPr>
      <t xml:space="preserve">淨額約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（超額配售全數行使）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</si>
  <si>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</si>
  <si>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5.68bn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</si>
  <si>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</si>
  <si>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資產擔保定期貸款 </t>
    </r>
    <r>
      <rPr>
        <sz val="9"/>
        <color rgb="FF595959"/>
        <rFont val="Arial"/>
        <family val="0"/>
        <charset val="1"/>
      </rPr>
      <t xml:space="preserve">$775M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2026-07-10 </t>
    </r>
    <r>
      <rPr>
        <sz val="9"/>
        <color rgb="FF595959"/>
        <rFont val="Noto Sans CJK SC"/>
        <family val="2"/>
      </rPr>
      <t xml:space="preserve">簽約，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</si>
  <si>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</si>
  <si>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</si>
  <si>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</si>
  <si>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</si>
  <si>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</si>
  <si>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</si>
  <si>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t xml:space="preserve">新簽合約年期</t>
  </si>
  <si>
    <r>
      <rPr>
        <sz val="9"/>
        <color rgb="FF595959"/>
        <rFont val="Noto Sans CJK SC"/>
        <family val="2"/>
      </rPr>
      <t xml:space="preserve">股東信：核心合約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年、長約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年；取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</si>
  <si>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</si>
  <si>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</si>
  <si>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</si>
  <si>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2026-10-06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</si>
  <si>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</si>
  <si>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</si>
  <si>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</si>
  <si>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</si>
  <si>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</si>
  <si>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t xml:space="preserve">bn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</si>
  <si>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</si>
  <si>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可轉債年發行上限｜保守 已簽約 </t>
    </r>
    <r>
      <rPr>
        <sz val="10"/>
        <rFont val="Arial"/>
        <family val="0"/>
        <charset val="1"/>
      </rPr>
      <t xml:space="preserve">3.5 GW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</si>
  <si>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</si>
  <si>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</si>
  <si>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可轉債年發行上限｜基準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</si>
  <si>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可轉債年發行上限｜積極 每年 </t>
    </r>
    <r>
      <rPr>
        <sz val="10"/>
        <rFont val="Arial"/>
        <family val="0"/>
        <charset val="1"/>
      </rPr>
      <t xml:space="preserve">&gt;1 GW</t>
    </r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</si>
  <si>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</si>
  <si>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</si>
  <si>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</si>
  <si>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</si>
  <si>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</si>
  <si>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</si>
  <si>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</si>
  <si>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</si>
  <si>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</si>
  <si>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</si>
  <si>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報價資料）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</si>
  <si>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</si>
  <si>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</si>
  <si>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</si>
  <si>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</si>
  <si>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</si>
  <si>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</si>
  <si>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</si>
  <si>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0.0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</si>
  <si>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</si>
  <si>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瀑布新債成本：資產擔保融資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SOFR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rf 4% </t>
    </r>
    <r>
      <rPr>
        <sz val="9"/>
        <color rgb="FF595959"/>
        <rFont val="Noto Sans CJK SC"/>
        <family val="2"/>
      </rPr>
      <t xml:space="preserve">推估）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</si>
  <si>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</si>
  <si>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</si>
  <si>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</si>
  <si>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</si>
  <si>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（收盤價）（</t>
    </r>
    <r>
      <rPr>
        <sz val="9"/>
        <color rgb="FF595959"/>
        <rFont val="Arial"/>
        <family val="0"/>
        <charset val="1"/>
      </rPr>
      <t xml:space="preserve">https://stockanalysis.com/stocks/nbis/forecast/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</si>
  <si>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</si>
  <si>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0.2719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0.0211</t>
    </r>
    <r>
      <rPr>
        <sz val="9"/>
        <color rgb="FF595959"/>
        <rFont val="Noto Sans CJK SC"/>
        <family val="2"/>
      </rPr>
      <t xml:space="preserve">＋以股換債 </t>
    </r>
    <r>
      <rPr>
        <sz val="9"/>
        <color rgb="FF595959"/>
        <rFont val="Arial"/>
        <family val="0"/>
        <charset val="1"/>
      </rPr>
      <t xml:space="preserve">0.0158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RSU 0.0062</t>
    </r>
    <r>
      <rPr>
        <sz val="9"/>
        <color rgb="FF595959"/>
        <rFont val="Noto Sans CJK SC"/>
        <family val="2"/>
      </rPr>
      <t xml:space="preserve">＋選擇權庫藏股法 </t>
    </r>
    <r>
      <rPr>
        <sz val="9"/>
        <color rgb="FF595959"/>
        <rFont val="Arial"/>
        <family val="0"/>
        <charset val="1"/>
      </rPr>
      <t xml:space="preserve">0.0043 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</si>
  <si>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</si>
  <si>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</si>
  <si>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</si>
  <si>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ClickHouse 2025 </t>
    </r>
    <r>
      <rPr>
        <sz val="9"/>
        <color rgb="FF595959"/>
        <rFont val="Noto Sans CJK SC"/>
        <family val="2"/>
      </rPr>
      <t xml:space="preserve">年估值 </t>
    </r>
    <r>
      <rPr>
        <sz val="9"/>
        <color rgb="FF595959"/>
        <rFont val="Arial"/>
        <family val="0"/>
        <charset val="1"/>
      </rPr>
      <t xml:space="preserve">US$15bn × </t>
    </r>
    <r>
      <rPr>
        <sz val="9"/>
        <color rgb="FF595959"/>
        <rFont val="Noto Sans CJK SC"/>
        <family val="2"/>
      </rPr>
      <t xml:space="preserve">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（持股比例為二手資料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；帳面 </t>
    </r>
    <r>
      <rPr>
        <sz val="9"/>
        <color rgb="FF595959"/>
        <rFont val="Arial"/>
        <family val="0"/>
        <charset val="1"/>
      </rPr>
      <t xml:space="preserve">1.5177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</si>
  <si>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ClickHouse </t>
    </r>
    <r>
      <rPr>
        <sz val="10"/>
        <rFont val="Noto Sans CJK SC"/>
        <family val="2"/>
      </rPr>
      <t xml:space="preserve">持股｜持股比例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</si>
  <si>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</si>
  <si>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帳面價值（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</si>
  <si>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Toloka </t>
    </r>
    <r>
      <rPr>
        <sz val="10"/>
        <rFont val="Noto Sans CJK SC"/>
        <family val="2"/>
      </rPr>
      <t xml:space="preserve">持股｜持股比例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</si>
  <si>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</si>
  <si>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</si>
  <si>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類債：</t>
    </r>
    <r>
      <rPr>
        <sz val="10"/>
        <rFont val="Arial"/>
        <family val="0"/>
        <charset val="1"/>
      </rPr>
      <t xml:space="preserve">Avride SAFE </t>
    </r>
    <r>
      <rPr>
        <sz val="10"/>
        <rFont val="Noto Sans CJK SC"/>
        <family val="2"/>
      </rPr>
      <t xml:space="preserve">負債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</si>
  <si>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SAFE </t>
    </r>
    <r>
      <rPr>
        <sz val="9"/>
        <color rgb="FF595959"/>
        <rFont val="Noto Sans CJK SC"/>
        <family val="2"/>
      </rPr>
      <t xml:space="preserve">負債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</si>
  <si>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</si>
  <si>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</si>
  <si>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WACC</t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</si>
  <si>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模板值（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淨現金、槓桿較低，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可能偏高＝偏保守；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未另估）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</si>
  <si>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</si>
  <si>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</si>
  <si>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</si>
  <si>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</si>
  <si>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Noto Sans CJK SC"/>
        <family val="2"/>
      </rPr>
      <t xml:space="preserve">荷蘭名目稅率 </t>
    </r>
    <r>
      <rPr>
        <sz val="9"/>
        <color rgb="FF595959"/>
        <rFont val="Arial"/>
        <family val="0"/>
        <charset val="1"/>
      </rPr>
      <t xml:space="preserve">25.8% [Verified]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</si>
  <si>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</si>
  <si>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50%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</si>
  <si>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</si>
  <si>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抵扣上限占應稅所得的比例（荷蘭規定簡化為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</si>
  <si>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</si>
  <si>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</si>
  <si>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</si>
  <si>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模板：穩態合理倍數約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為上緣；共識目標價隱含約 </t>
    </r>
    <r>
      <rPr>
        <sz val="9"/>
        <color rgb="FF595959"/>
        <rFont val="Arial"/>
        <family val="0"/>
        <charset val="1"/>
      </rPr>
      <t xml:space="preserve">9–10x 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</si>
  <si>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</si>
  <si>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Noto Sans CJK SC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</si>
  <si>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</si>
  <si>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</si>
  <si>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</si>
  <si>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</si>
  <si>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</si>
  <si>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</si>
  <si>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</si>
  <si>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</si>
  <si>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0.138 </t>
    </r>
    <r>
      <rPr>
        <sz val="9"/>
        <color rgb="FF595959"/>
        <rFont val="Noto Sans CJK SC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一次性 </t>
    </r>
    <r>
      <rPr>
        <sz val="9"/>
        <color rgb="FF595959"/>
        <rFont val="Arial"/>
        <family val="0"/>
        <charset val="1"/>
      </rPr>
      <t xml:space="preserve">0.075 </t>
    </r>
    <r>
      <rPr>
        <sz val="9"/>
        <color rgb="FF595959"/>
        <rFont val="Noto Sans CJK SC"/>
        <family val="2"/>
      </rPr>
      <t xml:space="preserve">後年化約 </t>
    </r>
    <r>
      <rPr>
        <sz val="9"/>
        <color rgb="FF595959"/>
        <rFont val="Arial"/>
        <family val="0"/>
        <charset val="1"/>
      </rPr>
      <t xml:space="preserve">0.13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</si>
  <si>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</si>
  <si>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</si>
  <si>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</si>
  <si>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</si>
  <si>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</si>
  <si>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</si>
  <si>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</si>
  <si>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</si>
  <si>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</si>
  <si>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</si>
  <si>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</si>
  <si>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</si>
  <si>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</si>
  <si>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</si>
  <si>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</si>
  <si>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</si>
  <si>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</si>
  <si>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</si>
  <si>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</si>
  <si>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</si>
  <si>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</si>
  <si>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</si>
  <si>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</si>
  <si>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</si>
  <si>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</si>
  <si>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</si>
  <si>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2026-10-07</t>
  </si>
  <si>
    <t xml:space="preserve">company.json → meta.updateDate</t>
  </si>
  <si>
    <t xml:space="preserve">現價日（收盤）</t>
  </si>
  <si>
    <t xml:space="preserve">2026-10-06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</si>
  <si>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</si>
  <si>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</si>
  <si>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</si>
  <si>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</si>
  <si>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</si>
  <si>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</si>
  <si>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</si>
  <si>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</si>
  <si>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</si>
  <si>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</si>
  <si>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</si>
  <si>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</si>
  <si>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</si>
  <si>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</si>
  <si>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</si>
  <si>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</si>
  <si>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</si>
  <si>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</si>
  <si>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</si>
  <si>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</si>
  <si>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</si>
  <si>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</si>
  <si>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</si>
  <si>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</si>
  <si>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</si>
  <si>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</si>
  <si>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</si>
  <si>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</si>
  <si>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</si>
  <si>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</si>
  <si>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20-F </t>
    </r>
    <r>
      <rPr>
        <sz val="9"/>
        <color rgb="FF595959"/>
        <rFont val="Noto Sans CJK SC"/>
        <family val="2"/>
      </rPr>
      <t xml:space="preserve">經查核資產負債表 </t>
    </r>
    <r>
      <rPr>
        <sz val="9"/>
        <color rgb="FF595959"/>
        <rFont val="Arial"/>
        <family val="0"/>
        <charset val="1"/>
      </rPr>
      <t xml:space="preserve">3,678.1 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</si>
  <si>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</si>
  <si>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Q1 2,258.0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2,246.1</t>
    </r>
    <r>
      <rPr>
        <sz val="9"/>
        <color rgb="FF595959"/>
        <rFont val="Noto Sans CJK SC"/>
        <family val="2"/>
      </rPr>
      <t xml:space="preserve">；含遞延營收增加 </t>
    </r>
    <r>
      <rPr>
        <sz val="9"/>
        <color rgb="FF595959"/>
        <rFont val="Arial"/>
        <family val="0"/>
        <charset val="1"/>
      </rPr>
      <t xml:space="preserve">4,395.0</t>
    </r>
    <r>
      <rPr>
        <sz val="9"/>
        <color rgb="FF595959"/>
        <rFont val="Noto Sans CJK SC"/>
        <family val="2"/>
      </rPr>
      <t xml:space="preserve">（客戶預付）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</si>
  <si>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</si>
  <si>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Q1 2,472.9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5,657.4</t>
    </r>
    <r>
      <rPr>
        <sz val="9"/>
        <color rgb="FF595959"/>
        <rFont val="Noto Sans CJK SC"/>
        <family val="2"/>
      </rPr>
      <t xml:space="preserve">（購置不動產設備與無形資產）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</si>
  <si>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</si>
  <si>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應計口徑未揭露，以現金口徑代替（與現金購置同值）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</si>
  <si>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</si>
  <si>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收購子公司淨額 </t>
    </r>
    <r>
      <rPr>
        <sz val="9"/>
        <color rgb="FF595959"/>
        <rFont val="Arial"/>
        <family val="0"/>
        <charset val="1"/>
      </rPr>
      <t xml:space="preserve">251.6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Tavily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ClarifAI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Eigen AI</t>
    </r>
    <r>
      <rPr>
        <sz val="9"/>
        <color rgb="FF595959"/>
        <rFont val="Noto Sans CJK SC"/>
        <family val="2"/>
      </rPr>
      <t xml:space="preserve">）列為策略投資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</si>
  <si>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借款</t>
  </si>
  <si>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可轉債總價款 </t>
    </r>
    <r>
      <rPr>
        <sz val="9"/>
        <color rgb="FF595959"/>
        <rFont val="Arial"/>
        <family val="0"/>
        <charset val="1"/>
      </rPr>
      <t xml:space="preserve">4,337.5 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</si>
  <si>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</si>
  <si>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上半年未見還款（可轉債以轉換方式減少，非現金）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</si>
  <si>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</si>
  <si>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Noto Sans CJK SC"/>
        <family val="2"/>
      </rPr>
      <t xml:space="preserve">未見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揭露（不適用）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</si>
  <si>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</si>
  <si>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2,811.1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2,000.0 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</si>
  <si>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</si>
  <si>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Q1 63.7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Q2 119.1</t>
    </r>
    <r>
      <rPr>
        <sz val="9"/>
        <color rgb="FF595959"/>
        <rFont val="Noto Sans CJK SC"/>
        <family val="2"/>
      </rPr>
      <t xml:space="preserve">（含可轉債攤銷等非現金）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</si>
  <si>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</si>
  <si>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上半年租賃現金支付未揭露（不適用，以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列示）；已含在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</si>
  <si>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</si>
  <si>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Q1 399.0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Q2 582.3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</si>
  <si>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</si>
  <si>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Q1 −128.0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Q2 −175.9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</si>
  <si>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</si>
  <si>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續營部門 </t>
    </r>
    <r>
      <rPr>
        <sz val="9"/>
        <color rgb="FF595959"/>
        <rFont val="Arial"/>
        <family val="0"/>
        <charset val="1"/>
      </rPr>
      <t xml:space="preserve">Q1 621.2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ClickHouse </t>
    </r>
    <r>
      <rPr>
        <sz val="9"/>
        <color rgb="FF595959"/>
        <rFont val="Noto Sans CJK SC"/>
        <family val="2"/>
      </rPr>
      <t xml:space="preserve">重估利益 </t>
    </r>
    <r>
      <rPr>
        <sz val="9"/>
        <color rgb="FF595959"/>
        <rFont val="Arial"/>
        <family val="0"/>
        <charset val="1"/>
      </rPr>
      <t xml:space="preserve">780.6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Q2 −190.4 [Interested-party]</t>
    </r>
  </si>
  <si>
    <t xml:space="preserve">遞延收入淨流入</t>
  </si>
  <si>
    <r>
      <rPr>
        <sz val="9"/>
        <color rgb="FF595959"/>
        <rFont val="Noto Sans CJK SC"/>
        <family val="2"/>
      </rPr>
      <t xml:space="preserve">遞延營收增加 </t>
    </r>
    <r>
      <rPr>
        <sz val="9"/>
        <color rgb="FF595959"/>
        <rFont val="Arial"/>
        <family val="0"/>
        <charset val="1"/>
      </rPr>
      <t xml:space="preserve">4,397.7</t>
    </r>
    <r>
      <rPr>
        <sz val="9"/>
        <color rgb="FF595959"/>
        <rFont val="Noto Sans CJK SC"/>
        <family val="2"/>
      </rPr>
      <t xml:space="preserve">＋自期初遞延營收認列 </t>
    </r>
    <r>
      <rPr>
        <sz val="9"/>
        <color rgb="FF595959"/>
        <rFont val="Arial"/>
        <family val="0"/>
        <charset val="1"/>
      </rPr>
      <t xml:space="preserve">154.3 [Derived]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</si>
  <si>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D&amp;A</t>
  </si>
  <si>
    <r>
      <rPr>
        <sz val="9"/>
        <color rgb="FF595959"/>
        <rFont val="Arial"/>
        <family val="0"/>
        <charset val="1"/>
      </rPr>
      <t xml:space="preserve">Q1 212.0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Q2 259.7 [Interested-party]</t>
    </r>
  </si>
  <si>
    <t xml:space="preserve">SBC</t>
  </si>
  <si>
    <r>
      <rPr>
        <sz val="9"/>
        <color rgb="FF595959"/>
        <rFont val="Arial"/>
        <family val="0"/>
        <charset val="1"/>
      </rPr>
      <t xml:space="preserve">Q1 35.3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Q2 102.5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Eigen AI </t>
    </r>
    <r>
      <rPr>
        <sz val="9"/>
        <color rgb="FF595959"/>
        <rFont val="Noto Sans CJK SC"/>
        <family val="2"/>
      </rPr>
      <t xml:space="preserve">收購相關 </t>
    </r>
    <r>
      <rPr>
        <sz val="9"/>
        <color rgb="FF595959"/>
        <rFont val="Arial"/>
        <family val="0"/>
        <charset val="1"/>
      </rPr>
      <t xml:space="preserve">74.9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</si>
  <si>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</si>
  <si>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Noto Sans CJK SC"/>
        <family val="2"/>
      </rPr>
      <t xml:space="preserve">淨損益 </t>
    </r>
    <r>
      <rPr>
        <sz val="9"/>
        <color rgb="FF595959"/>
        <rFont val="Arial"/>
        <family val="0"/>
        <charset val="1"/>
      </rPr>
      <t xml:space="preserve">430.8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0.2693bn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Q1 258.3m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Q2 280.4m </t>
    </r>
    <r>
      <rPr>
        <sz val="9"/>
        <color rgb="FF595959"/>
        <rFont val="Noto Sans CJK SC"/>
        <family val="2"/>
      </rPr>
      <t xml:space="preserve">平均）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</si>
  <si>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</si>
  <si>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(430.8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137.8)÷0.2693bn [Derived]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</si>
  <si>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</si>
  <si>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0.130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0.236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Q1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2026-05-13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Q2 2026 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未列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；以公司新聞稿為準。公司自述非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數字（未經查核）；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AI cloud 285.7 </t>
    </r>
    <r>
      <rPr>
        <sz val="9"/>
        <color rgb="FF595959"/>
        <rFont val="Noto Sans CJK SC"/>
        <family val="2"/>
      </rPr>
      <t xml:space="preserve">與非核心事業 −</t>
    </r>
    <r>
      <rPr>
        <sz val="9"/>
        <color rgb="FF595959"/>
        <rFont val="Arial"/>
        <family val="0"/>
        <charset val="1"/>
      </rPr>
      <t xml:space="preserve">49.5 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</si>
  <si>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</si>
  <si>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</si>
  <si>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</si>
  <si>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Noto Sans CJK SC"/>
        <family val="2"/>
      </rPr>
      <t xml:space="preserve">情境區間運算表｜保守 已簽約 </t>
    </r>
    <r>
      <rPr>
        <sz val="10"/>
        <rFont val="Arial"/>
        <family val="0"/>
        <charset val="1"/>
      </rPr>
      <t xml:space="preserve">3.5 GW</t>
    </r>
  </si>
  <si>
    <r>
      <rPr>
        <sz val="10"/>
        <rFont val="Noto Sans CJK SC"/>
        <family val="2"/>
      </rPr>
      <t xml:space="preserve">情境區間運算表｜基準 合約 </t>
    </r>
    <r>
      <rPr>
        <sz val="10"/>
        <rFont val="Arial"/>
        <family val="0"/>
        <charset val="1"/>
      </rPr>
      <t xml:space="preserve">5 GW</t>
    </r>
  </si>
  <si>
    <r>
      <rPr>
        <sz val="10"/>
        <rFont val="Noto Sans CJK SC"/>
        <family val="2"/>
      </rPr>
      <t xml:space="preserve">情境區間運算表｜積極 每年 </t>
    </r>
    <r>
      <rPr>
        <sz val="10"/>
        <rFont val="Arial"/>
        <family val="0"/>
        <charset val="1"/>
      </rPr>
      <t xml:space="preserve">&gt;1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</si>
  <si>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data/consensus_nbis_20261007.json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</si>
  <si>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</si>
  <si>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</si>
  <si>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</si>
  <si>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</si>
  <si>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</si>
  <si>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</si>
  <si>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</si>
  <si>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</si>
  <si>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</si>
  <si>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（收盤價）｜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</si>
  <si>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2026-10-06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</si>
  <si>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</si>
  <si>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</si>
  <si>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</si>
  <si>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</si>
  <si>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</si>
  <si>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</si>
  <si>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</si>
  <si>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</si>
  <si>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</si>
  <si>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</si>
  <si>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https://www.marketbeat.com/stocks/NASDAQ/NBIS/forecast/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</si>
  <si>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</si>
  <si>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</si>
  <si>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</si>
  <si>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</si>
  <si>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系，非獨立）｜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</si>
  <si>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9"/>
        <color rgb="FF595959"/>
        <rFont val="Noto Sans CJK SC"/>
        <family val="2"/>
      </rPr>
      <t xml:space="preserve">頁面所附收盤 </t>
    </r>
    <r>
      <rPr>
        <sz val="9"/>
        <color rgb="FF595959"/>
        <rFont val="Arial"/>
        <family val="0"/>
        <charset val="1"/>
      </rPr>
      <t xml:space="preserve">$193.23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10/6 </t>
    </r>
    <r>
      <rPr>
        <sz val="9"/>
        <color rgb="FF595959"/>
        <rFont val="Noto Sans CJK SC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$249.87 </t>
    </r>
    <r>
      <rPr>
        <sz val="9"/>
        <color rgb="FF595959"/>
        <rFont val="Noto Sans CJK SC"/>
        <family val="2"/>
      </rPr>
      <t xml:space="preserve">不符，目標價可能為較舊快照；僅供參考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</si>
  <si>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</si>
  <si>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</si>
  <si>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</si>
  <si>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</si>
  <si>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</si>
  <si>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</si>
  <si>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</si>
  <si>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</si>
  <si>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</si>
  <si>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</si>
  <si>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</si>
  <si>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</si>
  <si>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https://uk.marketscreener.com/quote/stock/NEBIUS-GROUP-8037501/finances/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</si>
  <si>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</si>
  <si>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</si>
  <si>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</si>
  <si>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</si>
  <si>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</si>
  <si>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</si>
  <si>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</si>
  <si>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</si>
  <si>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</si>
  <si>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口徑未由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說明；對照公司調整後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時留意（</t>
    </r>
    <r>
      <rPr>
        <sz val="10"/>
        <rFont val="Arial"/>
        <family val="0"/>
        <charset val="1"/>
      </rPr>
      <t xml:space="preserve">2026 Q3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EBITDA 0.362</t>
    </r>
    <r>
      <rPr>
        <sz val="10"/>
        <rFont val="Noto Sans CJK SC"/>
        <family val="2"/>
      </rPr>
      <t xml:space="preserve">、公司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實際調整後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口徑未說明（推測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）。淨負債是否含租賃負債未揭露。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</si>
  <si>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</si>
  <si>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</si>
  <si>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</si>
  <si>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</si>
  <si>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EPS </t>
    </r>
    <r>
      <rPr>
        <sz val="10"/>
        <rFont val="Noto Sans CJK SC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</si>
  <si>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只免費提供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需付費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</si>
  <si>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</si>
  <si>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</si>
  <si>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</si>
  <si>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</si>
  <si>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</si>
  <si>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</si>
  <si>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實際 </t>
    </r>
    <r>
      <rPr>
        <sz val="10"/>
        <rFont val="Arial"/>
        <family val="0"/>
        <charset val="1"/>
      </rPr>
      <t xml:space="preserve">0.9813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Q3 0.8994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Q4 1.521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3.402</t>
    </r>
    <r>
      <rPr>
        <sz val="10"/>
        <rFont val="Noto Sans CJK SC"/>
        <family val="2"/>
      </rPr>
      <t xml:space="preserve">，與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差 </t>
    </r>
    <r>
      <rPr>
        <sz val="10"/>
        <rFont val="Arial"/>
        <family val="0"/>
        <charset val="1"/>
      </rPr>
      <t xml:space="preserve">0.023</t>
    </r>
    <r>
      <rPr>
        <sz val="10"/>
        <rFont val="Noto Sans CJK SC"/>
        <family val="2"/>
      </rPr>
      <t xml:space="preserve">（樣本不同）；均落在公司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營收指引 </t>
    </r>
    <r>
      <rPr>
        <sz val="10"/>
        <rFont val="Arial"/>
        <family val="0"/>
        <charset val="1"/>
      </rPr>
      <t xml:space="preserve">3.0–3.4 </t>
    </r>
    <r>
      <rPr>
        <sz val="10"/>
        <rFont val="Noto Sans CJK SC"/>
        <family val="2"/>
      </rPr>
      <t xml:space="preserve">上緣附近</t>
    </r>
  </si>
  <si>
    <t xml:space="preserve">公司指引（管理層預估）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</si>
  <si>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</si>
  <si>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</si>
  <si>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2026 </t>
    </r>
    <r>
      <rPr>
        <sz val="9"/>
        <color rgb="FF595959"/>
        <rFont val="Noto Sans CJK SC"/>
        <family val="2"/>
      </rPr>
      <t xml:space="preserve">股東信（</t>
    </r>
    <r>
      <rPr>
        <sz val="9"/>
        <color rgb="FF595959"/>
        <rFont val="Arial"/>
        <family val="0"/>
        <charset val="1"/>
      </rPr>
      <t xml:space="preserve">6-K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99.2</t>
    </r>
    <r>
      <rPr>
        <sz val="9"/>
        <color rgb="FF595959"/>
        <rFont val="Noto Sans CJK SC"/>
        <family val="2"/>
      </rPr>
      <t xml:space="preserve">）；資本支出為法說會轉述（見事實總帳 </t>
    </r>
    <r>
      <rPr>
        <sz val="9"/>
        <color rgb="FF595959"/>
        <rFont val="Arial"/>
        <family val="0"/>
        <charset val="1"/>
      </rPr>
      <t xml:space="preserve">g.capex26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https://www.sec.gov/Archives/edgar/data/1513845/000110465926094568/tm2622968d1_ex99-2.htm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</si>
  <si>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</si>
  <si>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 </t>
    </r>
    <r>
      <rPr>
        <sz val="10"/>
        <rFont val="Arial"/>
        <family val="0"/>
        <charset val="1"/>
      </rPr>
      <t xml:space="preserve">ARR</t>
    </r>
    <r>
      <rPr>
        <sz val="10"/>
        <rFont val="Noto Sans CJK SC"/>
        <family val="2"/>
      </rPr>
      <t xml:space="preserve">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</si>
  <si>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</si>
  <si>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年底合約電力</t>
    </r>
  </si>
  <si>
    <t xml:space="preserve">GW</t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</si>
  <si>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年底已連網電力（低／高）</t>
    </r>
  </si>
  <si>
    <r>
      <rPr>
        <sz val="10"/>
        <rFont val="Noto Sans CJK SC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客戶預付（下限）</t>
    </r>
  </si>
  <si>
    <r>
      <rPr>
        <sz val="9"/>
        <color rgb="FF595959"/>
        <rFont val="Noto Sans CJK SC"/>
        <family val="2"/>
      </rPr>
      <t xml:space="preserve">公司指引屬利害關係人（管理層）預估；營收、</t>
    </r>
    <r>
      <rPr>
        <sz val="9"/>
        <color rgb="FF595959"/>
        <rFont val="Arial"/>
        <family val="0"/>
        <charset val="1"/>
      </rPr>
      <t xml:space="preserve">ARR</t>
    </r>
    <r>
      <rPr>
        <sz val="9"/>
        <color rgb="FF595959"/>
        <rFont val="Noto Sans CJK SC"/>
        <family val="2"/>
      </rPr>
      <t xml:space="preserve">、合約電力、預付款為股東信正式文字，資本支出與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率口徑見事實總帳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</si>
  <si>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Zacks Investment Research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</si>
  <si>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營收（財報前）</t>
    </r>
  </si>
  <si>
    <t xml:space="preserve">2026-08-12</t>
  </si>
  <si>
    <r>
      <rPr>
        <sz val="9"/>
        <color rgb="FF595959"/>
        <rFont val="Arial"/>
        <family val="0"/>
        <charset val="1"/>
      </rPr>
      <t xml:space="preserve">Zacks Investment Research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AP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WTOP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Nebius Group: Q2 Earnings Snapshot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https://wtop.com/news/2026/08/nebius-group-q2-earnings-snapshot/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</si>
  <si>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Q2 EPS</t>
    </r>
    <r>
      <rPr>
        <sz val="10"/>
        <rFont val="Noto Sans CJK SC"/>
        <family val="2"/>
      </rPr>
      <t xml:space="preserve">（財報前）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</si>
  <si>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Zacks Investment Research </t>
    </r>
    <r>
      <rPr>
        <sz val="10"/>
        <rFont val="Noto Sans CJK SC"/>
        <family val="2"/>
      </rPr>
      <t xml:space="preserve">對照｜家數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</si>
  <si>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財報前的單季共識（實際 </t>
    </r>
    <r>
      <rPr>
        <sz val="9"/>
        <color rgb="FF595959"/>
        <rFont val="Arial"/>
        <family val="0"/>
        <charset val="1"/>
      </rPr>
      <t xml:space="preserve">0.5823</t>
    </r>
    <r>
      <rPr>
        <sz val="9"/>
        <color rgb="FF595959"/>
        <rFont val="Noto Sans CJK SC"/>
        <family val="2"/>
      </rPr>
      <t xml:space="preserve">），僅供確認量級；非年度共識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</si>
  <si>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</si>
  <si>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</si>
  <si>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</si>
  <si>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https://stockanalysis.com/stocks/nbis/forecast/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</si>
  <si>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Noto Sans CJK SC"/>
        <family val="2"/>
      </rPr>
      <t xml:space="preserve">（首次評等）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</si>
  <si>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Bank of America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</si>
  <si>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</si>
  <si>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Exane BNP Paribas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</si>
  <si>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（調升）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</si>
  <si>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2026-09-18 Northland Securities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</si>
  <si>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（重申）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</si>
  <si>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2026-09-09 Truist Financial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</si>
  <si>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（首次評等）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</si>
  <si>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</si>
  <si>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</si>
  <si>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的目標價、評等、營收預估引用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的年度與季度預估一般亦引用 </t>
    </r>
    <r>
      <rPr>
        <sz val="10"/>
        <rFont val="Arial"/>
        <family val="0"/>
        <charset val="1"/>
      </rPr>
      <t xml:space="preserve">S&amp;P Capital IQ</t>
    </r>
    <r>
      <rPr>
        <sz val="10"/>
        <rFont val="Noto Sans CJK SC"/>
        <family val="2"/>
      </rPr>
      <t xml:space="preserve">（同 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共識檔的判斷），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營收兩者 </t>
    </r>
    <r>
      <rPr>
        <sz val="10"/>
        <rFont val="Arial"/>
        <family val="0"/>
        <charset val="1"/>
      </rPr>
      <t xml:space="preserve">3.34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3.379 </t>
    </r>
    <r>
      <rPr>
        <sz val="10"/>
        <rFont val="Noto Sans CJK SC"/>
        <family val="2"/>
      </rPr>
      <t xml:space="preserve">接近，視為同一底層來源的兩個呈現，不算獨立交叉驗證。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的目標價與評等為 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），可作目標價的獨立交叉。</t>
    </r>
    <r>
      <rPr>
        <sz val="10"/>
        <rFont val="Arial"/>
        <family val="0"/>
        <charset val="1"/>
      </rPr>
      <t xml:space="preserve">Zacks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AP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WTOP</t>
    </r>
    <r>
      <rPr>
        <sz val="10"/>
        <rFont val="Noto Sans CJK SC"/>
        <family val="2"/>
      </rPr>
      <t xml:space="preserve">）只取得 </t>
    </r>
    <r>
      <rPr>
        <sz val="10"/>
        <rFont val="Arial"/>
        <family val="0"/>
        <charset val="1"/>
      </rPr>
      <t xml:space="preserve">Q2 2026 </t>
    </r>
    <r>
      <rPr>
        <sz val="10"/>
        <rFont val="Noto Sans CJK SC"/>
        <family val="2"/>
      </rPr>
      <t xml:space="preserve">財報前的單季營收共識，僅供量級確認。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</si>
  <si>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</si>
  <si>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</si>
  <si>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FactSet </t>
    </r>
    <r>
      <rPr>
        <sz val="10"/>
        <rFont val="Noto Sans CJK SC"/>
        <family val="2"/>
      </rPr>
      <t xml:space="preserve">免費來源未找到）——「找不到」，非不存在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</si>
  <si>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</si>
  <si>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FY28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</si>
  <si>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</si>
  <si>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</si>
  <si>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</si>
  <si>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目標價與收盤價的擷取時點：頁面未標日期，疑為舊快照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</si>
  <si>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</si>
  <si>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</si>
  <si>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</si>
  <si>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</si>
  <si>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</si>
  <si>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</si>
  <si>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</si>
  <si>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</si>
  <si>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</si>
  <si>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</si>
  <si>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</si>
  <si>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</si>
  <si>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</si>
  <si>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</si>
  <si>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</si>
  <si>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</si>
  <si>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</si>
  <si>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</si>
  <si>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</si>
  <si>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</si>
  <si>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未揭露：以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active 170 MW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connected </t>
    </r>
    <r>
      <rPr>
        <sz val="9"/>
        <color rgb="FF595959"/>
        <rFont val="Noto Sans CJK SC"/>
        <family val="2"/>
      </rPr>
      <t xml:space="preserve">目標中點 </t>
    </r>
    <r>
      <rPr>
        <sz val="9"/>
        <color rgb="FF595959"/>
        <rFont val="Arial"/>
        <family val="0"/>
        <charset val="1"/>
      </rPr>
      <t xml:space="preserve">900 MW÷1.2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750 MW-IT </t>
    </r>
    <r>
      <rPr>
        <sz val="9"/>
        <color rgb="FF595959"/>
        <rFont val="Noto Sans CJK SC"/>
        <family val="2"/>
      </rPr>
      <t xml:space="preserve">線性內插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</si>
  <si>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</si>
  <si>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</si>
  <si>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</si>
  <si>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</si>
  <si>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</si>
  <si>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</si>
  <si>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t xml:space="preserve">季度實際｜來源</t>
  </si>
  <si>
    <t xml:space="preserve">季度實際｜日期</t>
  </si>
  <si>
    <t xml:space="preserve">季度實際｜標記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</si>
  <si>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Noto Sans CJK SC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</si>
  <si>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</si>
  <si>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</si>
  <si>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</si>
  <si>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</si>
  <si>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</si>
  <si>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</si>
  <si>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</si>
  <si>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</si>
  <si>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</si>
  <si>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</si>
  <si>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</si>
  <si>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</si>
  <si>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</si>
  <si>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</si>
  <si>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＝期初合約負債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</si>
  <si>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</si>
  <si>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</si>
  <si>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</si>
  <si>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</si>
  <si>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</si>
  <si>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1.13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</si>
  <si>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</si>
  <si>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12.0541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</si>
  <si>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</si>
  <si>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</si>
  <si>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</si>
  <si>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</si>
  <si>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</si>
  <si>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</si>
  <si>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</si>
  <si>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</si>
  <si>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</si>
  <si>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</si>
  <si>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0.2516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0.252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不發股息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</si>
  <si>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</si>
  <si>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</si>
  <si>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</si>
  <si>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</si>
  <si>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0.0467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</si>
  <si>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</si>
  <si>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</si>
  <si>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</si>
  <si>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</si>
  <si>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</si>
  <si>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</si>
  <si>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</si>
  <si>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</si>
  <si>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</si>
  <si>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</si>
  <si>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</si>
  <si>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Avride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TripleTen </t>
    </r>
    <r>
      <rPr>
        <sz val="9"/>
        <color rgb="FF595959"/>
        <rFont val="Noto Sans CJK SC"/>
        <family val="2"/>
      </rPr>
      <t xml:space="preserve">燒錢（負值），視為現金（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</si>
  <si>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</si>
  <si>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</si>
  <si>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</si>
  <si>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</si>
  <si>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</si>
  <si>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4.811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Noto Sans CJK SC"/>
        <family val="2"/>
      </rPr>
      <t xml:space="preserve">淨 </t>
    </r>
    <r>
      <rPr>
        <sz val="9"/>
        <color rgb="FF595959"/>
        <rFont val="Arial"/>
        <family val="0"/>
        <charset val="1"/>
      </rPr>
      <t xml:space="preserve">2.811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預付認股權證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期後可轉債淨現金 </t>
    </r>
    <r>
      <rPr>
        <sz val="9"/>
        <color rgb="FF595959"/>
        <rFont val="Arial"/>
        <family val="0"/>
        <charset val="1"/>
      </rPr>
      <t xml:space="preserve">5.68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</si>
  <si>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</si>
  <si>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4.3375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</si>
  <si>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</si>
  <si>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</si>
  <si>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</si>
  <si>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</si>
  <si>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</si>
  <si>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</si>
  <si>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</si>
  <si>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</si>
  <si>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</si>
  <si>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</si>
  <si>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</si>
  <si>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</si>
  <si>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</si>
  <si>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</si>
  <si>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</si>
  <si>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</si>
  <si>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</si>
  <si>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</si>
  <si>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</si>
  <si>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</si>
  <si>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</si>
  <si>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</si>
  <si>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</si>
  <si>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</si>
  <si>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</si>
  <si>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</si>
  <si>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</si>
  <si>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</si>
  <si>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</si>
  <si>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37.4906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</si>
  <si>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</si>
  <si>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</si>
  <si>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</si>
  <si>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</si>
  <si>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10.0885)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</si>
  <si>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</si>
  <si>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</si>
  <si>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</si>
  <si>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</si>
  <si>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</si>
  <si>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</si>
  <si>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</si>
  <si>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</si>
  <si>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</si>
  <si>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</si>
  <si>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</si>
  <si>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</si>
  <si>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</si>
  <si>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0.3088bn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</si>
  <si>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</si>
  <si>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</si>
  <si>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</si>
  <si>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</si>
  <si>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</si>
  <si>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</si>
  <si>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</si>
  <si>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</si>
  <si>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</si>
  <si>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</si>
  <si>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</si>
  <si>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</si>
  <si>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</si>
  <si>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</si>
  <si>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</si>
  <si>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</si>
  <si>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</si>
  <si>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</si>
  <si>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</si>
  <si>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</si>
  <si>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</si>
  <si>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</si>
  <si>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</si>
  <si>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</si>
  <si>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</si>
  <si>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</si>
  <si>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</si>
  <si>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</si>
  <si>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</si>
  <si>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</si>
  <si>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</si>
  <si>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</si>
  <si>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</si>
  <si>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Noto Sans CJK SC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</si>
  <si>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</si>
  <si>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</si>
  <si>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</si>
  <si>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</si>
  <si>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</si>
  <si>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</si>
  <si>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</si>
  <si>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</si>
  <si>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</si>
  <si>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</si>
  <si>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</si>
  <si>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</si>
  <si>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</si>
  <si>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</si>
  <si>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</si>
  <si>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</si>
  <si>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</si>
  <si>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</si>
  <si>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</si>
  <si>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</si>
  <si>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</si>
  <si>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</si>
  <si>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</si>
  <si>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</si>
  <si>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</si>
  <si>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</si>
  <si>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</si>
  <si>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</si>
  <si>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</si>
  <si>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</si>
  <si>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</si>
  <si>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</si>
  <si>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</si>
  <si>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</si>
  <si>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</si>
  <si>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</si>
  <si>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</si>
  <si>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</si>
  <si>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</si>
  <si>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</si>
  <si>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</si>
  <si>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</si>
  <si>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</si>
  <si>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</si>
  <si>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</si>
  <si>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</si>
  <si>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</si>
  <si>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</si>
  <si>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</si>
  <si>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</si>
  <si>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</si>
  <si>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</si>
  <si>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</si>
  <si>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</si>
  <si>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</si>
  <si>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</si>
  <si>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</si>
  <si>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</si>
  <si>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</si>
  <si>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</si>
  <si>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</si>
  <si>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</si>
  <si>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</si>
  <si>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</si>
  <si>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</si>
  <si>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</si>
  <si>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</si>
  <si>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</si>
  <si>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</si>
  <si>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</si>
  <si>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</si>
  <si>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 </t>
    </r>
    <r>
      <rPr>
        <sz val="10"/>
        <rFont val="Arial"/>
        <family val="0"/>
        <charset val="1"/>
      </rPr>
      <t xml:space="preserve">connected power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</si>
  <si>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</si>
  <si>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</si>
  <si>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</si>
  <si>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</si>
  <si>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</si>
  <si>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</si>
  <si>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</si>
  <si>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</si>
  <si>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</si>
  <si>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</si>
  <si>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</si>
  <si>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</si>
  <si>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</si>
  <si>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</si>
  <si>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</si>
  <si>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</si>
  <si>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</si>
  <si>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</si>
  <si>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</si>
  <si>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</si>
  <si>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</si>
  <si>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</si>
  <si>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</si>
  <si>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</si>
  <si>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</si>
  <si>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</si>
  <si>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</si>
  <si>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</si>
  <si>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</si>
  <si>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</si>
  <si>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</si>
  <si>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</si>
  <si>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</si>
  <si>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</si>
  <si>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</si>
  <si>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</si>
  <si>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</si>
  <si>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</si>
  <si>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</si>
  <si>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</si>
  <si>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</si>
  <si>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</si>
  <si>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</si>
  <si>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</si>
  <si>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</si>
  <si>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</si>
  <si>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</si>
  <si>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</si>
  <si>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</si>
  <si>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</si>
  <si>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</si>
  <si>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</si>
  <si>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</si>
  <si>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</si>
  <si>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</si>
  <si>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</si>
  <si>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</si>
  <si>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</si>
  <si>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</si>
  <si>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</si>
  <si>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</si>
  <si>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</si>
  <si>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</si>
  <si>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</si>
  <si>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</si>
  <si>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</si>
  <si>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</si>
  <si>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</si>
  <si>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</si>
  <si>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</si>
  <si>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</si>
  <si>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</si>
  <si>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</si>
  <si>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</si>
  <si>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</si>
  <si>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</si>
  <si>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</si>
  <si>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</si>
  <si>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</si>
  <si>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</si>
  <si>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</si>
  <si>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</si>
  <si>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</si>
  <si>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</si>
  <si>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</si>
  <si>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</si>
  <si>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</si>
  <si>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</si>
  <si>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</si>
  <si>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</si>
  <si>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</si>
  <si>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</si>
  <si>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</si>
  <si>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</si>
  <si>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</si>
  <si>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</si>
  <si>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</si>
  <si>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已連網 </t>
    </r>
    <r>
      <rPr>
        <b val="true"/>
        <sz val="14"/>
        <rFont val="Arial"/>
        <family val="0"/>
        <charset val="1"/>
      </rPr>
      <t xml:space="preserve">MW × </t>
    </r>
    <r>
      <rPr>
        <b val="true"/>
        <sz val="14"/>
        <rFont val="Noto Sans CJK SC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Noto Sans CJK SC"/>
        <family val="2"/>
      </rPr>
      <t xml:space="preserve">年收入（</t>
    </r>
    <r>
      <rPr>
        <b val="true"/>
        <sz val="14"/>
        <rFont val="Arial"/>
        <family val="0"/>
        <charset val="1"/>
      </rPr>
      <t xml:space="preserve">RPO </t>
    </r>
    <r>
      <rPr>
        <b val="true"/>
        <sz val="14"/>
        <rFont val="Noto Sans CJK SC"/>
        <family val="2"/>
      </rPr>
      <t xml:space="preserve">排程只作對照與產能瓶頸旗標）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</si>
  <si>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</si>
  <si>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</si>
  <si>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</si>
  <si>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</si>
  <si>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</si>
  <si>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</si>
  <si>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</si>
  <si>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</si>
  <si>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</si>
  <si>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</si>
  <si>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</si>
  <si>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</si>
  <si>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</si>
  <si>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</si>
  <si>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</si>
  <si>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</si>
  <si>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</si>
  <si>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</si>
  <si>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</si>
  <si>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</si>
  <si>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</si>
  <si>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</si>
  <si>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</si>
  <si>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</si>
  <si>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</si>
  <si>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</si>
  <si>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</si>
  <si>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</si>
  <si>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</si>
  <si>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</si>
  <si>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</si>
  <si>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</si>
  <si>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</si>
  <si>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</si>
  <si>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</si>
  <si>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</si>
  <si>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</si>
  <si>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欄對照公司全年指引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</si>
  <si>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</si>
  <si>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</si>
  <si>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</si>
  <si>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</si>
  <si>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</si>
  <si>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</si>
  <si>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</si>
  <si>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</si>
  <si>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</si>
  <si>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</si>
  <si>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</si>
  <si>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</si>
  <si>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</si>
  <si>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</si>
  <si>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</si>
  <si>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</si>
  <si>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</si>
  <si>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</si>
  <si>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</si>
  <si>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</si>
  <si>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</si>
  <si>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</si>
  <si>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</si>
  <si>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</si>
  <si>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</si>
  <si>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</si>
  <si>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</si>
  <si>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t xml:space="preserve">Lappeenranta,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</si>
  <si>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自建（自有）</t>
    </r>
  </si>
  <si>
    <t xml:space="preserve">未揭露</t>
  </si>
  <si>
    <t xml:space="preserve">2027</t>
  </si>
  <si>
    <t xml:space="preserve">—</t>
  </si>
  <si>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股東信：滿載 </t>
    </r>
    <r>
      <rPr>
        <sz val="9"/>
        <color rgb="FF595959"/>
        <rFont val="Arial"/>
        <family val="0"/>
        <charset val="1"/>
      </rPr>
      <t xml:space="preserve">310 MW</t>
    </r>
    <r>
      <rPr>
        <sz val="9"/>
        <color rgb="FF595959"/>
        <rFont val="Noto Sans CJK SC"/>
        <family val="2"/>
      </rPr>
      <t xml:space="preserve">（口徑不明，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258 MW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可用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</si>
  <si>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Independence, Missouri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</si>
  <si>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greenfield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</si>
  <si>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</si>
  <si>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Pennsylvania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</si>
  <si>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</t>
    </r>
  </si>
  <si>
    <r>
      <rPr>
        <sz val="9"/>
        <color rgb="FF595959"/>
        <rFont val="Noto Sans CJK SC"/>
        <family val="2"/>
      </rPr>
      <t xml:space="preserve">最高 </t>
    </r>
    <r>
      <rPr>
        <sz val="9"/>
        <color rgb="FF595959"/>
        <rFont val="Arial"/>
        <family val="0"/>
        <charset val="1"/>
      </rPr>
      <t xml:space="preserve">1.2 GW </t>
    </r>
    <r>
      <rPr>
        <sz val="9"/>
        <color rgb="FF595959"/>
        <rFont val="Noto Sans CJK SC"/>
        <family val="2"/>
      </rPr>
      <t xml:space="preserve">電力與土地（</t>
    </r>
    <r>
      <rPr>
        <sz val="9"/>
        <color rgb="FF595959"/>
        <rFont val="Arial"/>
        <family val="0"/>
        <charset val="1"/>
      </rPr>
      <t xml:space="preserve">÷1.2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1,000 MW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起分期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</si>
  <si>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Vineland, New Jersey</t>
  </si>
  <si>
    <r>
      <rPr>
        <sz val="9"/>
        <color rgb="FF595959"/>
        <rFont val="Arial"/>
        <family val="0"/>
        <charset val="1"/>
      </rPr>
      <t xml:space="preserve">build-to-suit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專用）</t>
    </r>
  </si>
  <si>
    <t xml:space="preserve">2026</t>
  </si>
  <si>
    <r>
      <rPr>
        <sz val="9"/>
        <color rgb="FF595959"/>
        <rFont val="Arial"/>
        <family val="0"/>
        <charset val="1"/>
      </rPr>
      <t xml:space="preserve">Microsoft 5 </t>
    </r>
    <r>
      <rPr>
        <sz val="9"/>
        <color rgb="FF595959"/>
        <rFont val="Noto Sans CJK SC"/>
        <family val="2"/>
      </rPr>
      <t xml:space="preserve">年合約（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$17.4B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股東信：已交付全部 </t>
    </r>
    <r>
      <rPr>
        <sz val="9"/>
        <color rgb="FF595959"/>
        <rFont val="Arial"/>
        <family val="0"/>
        <charset val="1"/>
      </rPr>
      <t xml:space="preserve">tranche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</si>
  <si>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Alabama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</si>
  <si>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</t>
    </r>
  </si>
  <si>
    <r>
      <rPr>
        <sz val="9"/>
        <color rgb="FF595959"/>
        <rFont val="Noto Sans CJK SC"/>
        <family val="2"/>
      </rPr>
      <t xml:space="preserve">施工中、預計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營運；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</si>
  <si>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Mäntsälä, Finland</t>
  </si>
  <si>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自建（既有）</t>
    </r>
  </si>
  <si>
    <t xml:space="preserve">既有</t>
  </si>
  <si>
    <r>
      <rPr>
        <sz val="9"/>
        <color rgb="FF595959"/>
        <rFont val="Noto Sans CJK SC"/>
        <family val="2"/>
      </rPr>
      <t xml:space="preserve">既有自有站點；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</si>
  <si>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</si>
  <si>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</si>
  <si>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</si>
  <si>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</si>
  <si>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</si>
  <si>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</si>
  <si>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</si>
  <si>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</si>
  <si>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</si>
  <si>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</si>
  <si>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</si>
  <si>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</si>
  <si>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</si>
  <si>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</si>
  <si>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</si>
  <si>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</si>
  <si>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</si>
  <si>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</si>
  <si>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</si>
  <si>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</si>
  <si>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</si>
  <si>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</si>
  <si>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</si>
  <si>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</si>
  <si>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</si>
  <si>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</si>
  <si>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</si>
  <si>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</si>
  <si>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</si>
  <si>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</si>
  <si>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</si>
  <si>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</si>
  <si>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</si>
  <si>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</si>
  <si>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</si>
  <si>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t xml:space="preserve">其他借款（流動）</t>
  </si>
  <si>
    <t xml:space="preserve">追索</t>
  </si>
  <si>
    <t xml:space="preserve">2026-12</t>
  </si>
  <si>
    <r>
      <rPr>
        <sz val="9"/>
        <color rgb="FF595959"/>
        <rFont val="Noto Sans CJK SC"/>
        <family val="2"/>
      </rPr>
      <t xml:space="preserve">資產負債表 </t>
    </r>
    <r>
      <rPr>
        <sz val="9"/>
        <color rgb="FF595959"/>
        <rFont val="Arial"/>
        <family val="0"/>
        <charset val="1"/>
      </rPr>
      <t xml:space="preserve">Debt, current</t>
    </r>
    <r>
      <rPr>
        <sz val="9"/>
        <color rgb="FF595959"/>
        <rFont val="Noto Sans CJK SC"/>
        <family val="2"/>
      </rPr>
      <t xml:space="preserve">；附註未逐項拆解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</si>
  <si>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</si>
  <si>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10.0885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</si>
  <si>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</si>
  <si>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</si>
  <si>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</si>
  <si>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</si>
  <si>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</si>
  <si>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</si>
  <si>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</si>
  <si>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</si>
  <si>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</si>
  <si>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</si>
  <si>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</si>
  <si>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sz val="10"/>
        <rFont val="Arial"/>
        <family val="0"/>
        <charset val="1"/>
      </rPr>
      <t xml:space="preserve">2.00% 2029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</si>
  <si>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2029-06</t>
  </si>
  <si>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發行；原始 </t>
    </r>
    <r>
      <rPr>
        <sz val="9"/>
        <color rgb="FF595959"/>
        <rFont val="Arial"/>
        <family val="0"/>
        <charset val="1"/>
      </rPr>
      <t xml:space="preserve">500 </t>
    </r>
    <r>
      <rPr>
        <sz val="9"/>
        <color rgb="FF595959"/>
        <rFont val="Noto Sans CJK SC"/>
        <family val="2"/>
      </rPr>
      <t xml:space="preserve">已轉換 </t>
    </r>
    <r>
      <rPr>
        <sz val="9"/>
        <color rgb="FF595959"/>
        <rFont val="Arial"/>
        <family val="0"/>
        <charset val="1"/>
      </rPr>
      <t xml:space="preserve">12.5</t>
    </r>
    <r>
      <rPr>
        <sz val="9"/>
        <color rgb="FF595959"/>
        <rFont val="Noto Sans CJK SC"/>
        <family val="2"/>
      </rPr>
      <t xml:space="preserve">、以股換債 </t>
    </r>
    <r>
      <rPr>
        <sz val="9"/>
        <color rgb="FF595959"/>
        <rFont val="Arial"/>
        <family val="0"/>
        <charset val="1"/>
      </rPr>
      <t xml:space="preserve">400 → 87.5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19.4363 </t>
    </r>
    <r>
      <rPr>
        <sz val="9"/>
        <color rgb="FF595959"/>
        <rFont val="Noto Sans CJK SC"/>
        <family val="2"/>
      </rPr>
      <t xml:space="preserve">股／</t>
    </r>
    <r>
      <rPr>
        <sz val="9"/>
        <color rgb="FF595959"/>
        <rFont val="Arial"/>
        <family val="0"/>
        <charset val="1"/>
      </rPr>
      <t xml:space="preserve">$1,000 [Verified 20-F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 2026-08]</t>
    </r>
  </si>
  <si>
    <r>
      <rPr>
        <sz val="10"/>
        <rFont val="Arial"/>
        <family val="0"/>
        <charset val="1"/>
      </rPr>
      <t xml:space="preserve">3.00%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2025-06</t>
    </r>
    <r>
      <rPr>
        <sz val="10"/>
        <rFont val="Noto Sans CJK SC"/>
        <family val="2"/>
      </rPr>
      <t xml:space="preserve">）</t>
    </r>
  </si>
  <si>
    <t xml:space="preserve">2031-06</t>
  </si>
  <si>
    <r>
      <rPr>
        <sz val="9"/>
        <color rgb="FF595959"/>
        <rFont val="Noto Sans CJK SC"/>
        <family val="2"/>
      </rPr>
      <t xml:space="preserve">同上；原始 </t>
    </r>
    <r>
      <rPr>
        <sz val="9"/>
        <color rgb="FF595959"/>
        <rFont val="Arial"/>
        <family val="0"/>
        <charset val="1"/>
      </rPr>
      <t xml:space="preserve">500 → 87.5 [Verified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Interested-party]</t>
    </r>
  </si>
  <si>
    <r>
      <rPr>
        <sz val="10"/>
        <rFont val="Arial"/>
        <family val="0"/>
        <charset val="1"/>
      </rPr>
      <t xml:space="preserve">1.00%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</si>
  <si>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2030-09</t>
  </si>
  <si>
    <r>
      <rPr>
        <sz val="9"/>
        <color rgb="FF595959"/>
        <rFont val="Noto Sans CJK SC"/>
        <family val="2"/>
      </rPr>
      <t xml:space="preserve">基本 </t>
    </r>
    <r>
      <rPr>
        <sz val="9"/>
        <color rgb="FF595959"/>
        <rFont val="Arial"/>
        <family val="0"/>
        <charset val="1"/>
      </rPr>
      <t xml:space="preserve">1,375</t>
    </r>
    <r>
      <rPr>
        <sz val="9"/>
        <color rgb="FF595959"/>
        <rFont val="Noto Sans CJK SC"/>
        <family val="2"/>
      </rPr>
      <t xml:space="preserve">＋超額配售 </t>
    </r>
    <r>
      <rPr>
        <sz val="9"/>
        <color rgb="FF595959"/>
        <rFont val="Arial"/>
        <family val="0"/>
        <charset val="1"/>
      </rPr>
      <t xml:space="preserve">206.25</t>
    </r>
    <r>
      <rPr>
        <sz val="9"/>
        <color rgb="FF595959"/>
        <rFont val="Noto Sans CJK SC"/>
        <family val="2"/>
      </rPr>
      <t xml:space="preserve">；轉換率 </t>
    </r>
    <r>
      <rPr>
        <sz val="9"/>
        <color rgb="FF595959"/>
        <rFont val="Arial"/>
        <family val="0"/>
        <charset val="1"/>
      </rPr>
      <t xml:space="preserve">7.2072 [Verified 20-F]</t>
    </r>
  </si>
  <si>
    <r>
      <rPr>
        <sz val="10"/>
        <rFont val="Arial"/>
        <family val="0"/>
        <charset val="1"/>
      </rPr>
      <t xml:space="preserve">2.75% 2032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2025-09</t>
    </r>
    <r>
      <rPr>
        <sz val="10"/>
        <rFont val="Noto Sans CJK SC"/>
        <family val="2"/>
      </rPr>
      <t xml:space="preserve">）</t>
    </r>
  </si>
  <si>
    <t xml:space="preserve">2032-09</t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</si>
  <si>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[Verified 20-F]</t>
    </r>
  </si>
  <si>
    <r>
      <rPr>
        <sz val="10"/>
        <rFont val="Arial"/>
        <family val="0"/>
        <charset val="1"/>
      </rPr>
      <t xml:space="preserve">1.25% 2031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</si>
  <si>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2031-03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</si>
  <si>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5.4579 [Interested-party Q2 6-K]</t>
    </r>
  </si>
  <si>
    <r>
      <rPr>
        <sz val="10"/>
        <rFont val="Arial"/>
        <family val="0"/>
        <charset val="1"/>
      </rPr>
      <t xml:space="preserve">2.625% 2033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</si>
  <si>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2033-03</t>
  </si>
  <si>
    <r>
      <rPr>
        <sz val="9"/>
        <color rgb="FF595959"/>
        <rFont val="Noto Sans CJK SC"/>
        <family val="2"/>
      </rPr>
      <t xml:space="preserve">轉換率 </t>
    </r>
    <r>
      <rPr>
        <sz val="9"/>
        <color rgb="FF595959"/>
        <rFont val="Arial"/>
        <family val="0"/>
        <charset val="1"/>
      </rPr>
      <t xml:space="preserve">5.546 [Interested-party Q2 6-K]</t>
    </r>
  </si>
  <si>
    <r>
      <rPr>
        <sz val="10"/>
        <rFont val="Arial"/>
        <family val="0"/>
        <charset val="1"/>
      </rPr>
      <t xml:space="preserve">0.50% 2030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</si>
  <si>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2030-02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</si>
  <si>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3.1902</t>
    </r>
    <r>
      <rPr>
        <sz val="9"/>
        <color rgb="FF595959"/>
        <rFont val="Noto Sans CJK SC"/>
        <family val="2"/>
      </rPr>
      <t xml:space="preserve">；有效轉換價（含累積）約 </t>
    </r>
    <r>
      <rPr>
        <sz val="9"/>
        <color rgb="FF595959"/>
        <rFont val="Arial"/>
        <family val="0"/>
        <charset val="1"/>
      </rPr>
      <t xml:space="preserve">$344.81 [Interested-party]</t>
    </r>
  </si>
  <si>
    <r>
      <rPr>
        <sz val="10"/>
        <rFont val="Arial"/>
        <family val="0"/>
        <charset val="1"/>
      </rPr>
      <t xml:space="preserve">4.50% 2034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</si>
  <si>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2034-02</t>
  </si>
  <si>
    <r>
      <rPr>
        <sz val="9"/>
        <color rgb="FF595959"/>
        <rFont val="Arial"/>
        <family val="0"/>
        <charset val="1"/>
      </rPr>
      <t xml:space="preserve">2026-08-24 </t>
    </r>
    <r>
      <rPr>
        <sz val="9"/>
        <color rgb="FF595959"/>
        <rFont val="Noto Sans CJK SC"/>
        <family val="2"/>
      </rPr>
      <t xml:space="preserve">交割；轉換率 </t>
    </r>
    <r>
      <rPr>
        <sz val="9"/>
        <color rgb="FF595959"/>
        <rFont val="Arial"/>
        <family val="0"/>
        <charset val="1"/>
      </rPr>
      <t xml:space="preserve">3.0802</t>
    </r>
    <r>
      <rPr>
        <sz val="9"/>
        <color rgb="FF595959"/>
        <rFont val="Noto Sans CJK SC"/>
        <family val="2"/>
      </rPr>
      <t xml:space="preserve">；有效轉換價約 </t>
    </r>
    <r>
      <rPr>
        <sz val="9"/>
        <color rgb="FF595959"/>
        <rFont val="Arial"/>
        <family val="0"/>
        <charset val="1"/>
      </rPr>
      <t xml:space="preserve">$405.82 [Interested-party]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</si>
  <si>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</si>
  <si>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</si>
  <si>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</si>
  <si>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</si>
  <si>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</si>
  <si>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</si>
  <si>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</si>
  <si>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</si>
  <si>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</si>
  <si>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</si>
  <si>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</si>
  <si>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</si>
  <si>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</si>
  <si>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</si>
  <si>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</si>
  <si>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</si>
  <si>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</si>
  <si>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</si>
  <si>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</si>
  <si>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</si>
  <si>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</si>
  <si>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</si>
  <si>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</si>
  <si>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</si>
  <si>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</si>
  <si>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</si>
  <si>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</si>
  <si>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</si>
  <si>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</si>
  <si>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</si>
  <si>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</si>
  <si>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</si>
  <si>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</si>
  <si>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</si>
  <si>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</si>
  <si>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</si>
  <si>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</si>
  <si>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</si>
  <si>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</si>
  <si>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</si>
  <si>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</si>
  <si>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</si>
  <si>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</si>
  <si>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</si>
  <si>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</si>
  <si>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</si>
  <si>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</si>
  <si>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</si>
  <si>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</si>
  <si>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</si>
  <si>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</si>
  <si>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</si>
  <si>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</si>
  <si>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</si>
  <si>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</si>
  <si>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</si>
  <si>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</si>
  <si>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</si>
  <si>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</si>
  <si>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</si>
  <si>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</si>
  <si>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</si>
  <si>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</si>
  <si>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</si>
  <si>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</si>
  <si>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</si>
  <si>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</si>
  <si>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</si>
  <si>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</si>
  <si>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</si>
  <si>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</si>
  <si>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</si>
  <si>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</si>
  <si>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</si>
  <si>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</si>
  <si>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</si>
  <si>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</si>
  <si>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</si>
  <si>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</si>
  <si>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</si>
  <si>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Noto Sans CJK SC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</si>
  <si>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</si>
  <si>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</si>
  <si>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</si>
  <si>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</si>
  <si>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</si>
  <si>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</si>
  <si>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</si>
  <si>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</si>
  <si>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</si>
  <si>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</si>
  <si>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</si>
  <si>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</si>
  <si>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</si>
  <si>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（評價日後簽約的資產擔保定期貸款）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</si>
  <si>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</si>
  <si>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</si>
  <si>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</si>
  <si>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</si>
  <si>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r>
      <rPr>
        <sz val="10"/>
        <rFont val="Noto Sans CJK SC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</si>
  <si>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</si>
  <si>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擴張路徑所需新租約多數尚未簽署，路徑高於已承諾屬假設而非錯誤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</si>
  <si>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</si>
  <si>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</si>
  <si>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</si>
  <si>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</si>
  <si>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</si>
  <si>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</si>
  <si>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</si>
  <si>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</si>
  <si>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</si>
  <si>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</si>
  <si>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</si>
  <si>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</si>
  <si>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0.8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</si>
  <si>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</si>
  <si>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</si>
  <si>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</si>
  <si>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</si>
  <si>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</si>
  <si>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</si>
  <si>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</si>
  <si>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</si>
  <si>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</si>
  <si>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</si>
  <si>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</si>
  <si>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</si>
  <si>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</si>
  <si>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</si>
  <si>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</si>
  <si>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</si>
  <si>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</si>
  <si>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3.0–3.4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</si>
  <si>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</si>
  <si>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</si>
  <si>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</si>
  <si>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</si>
  <si>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</si>
  <si>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0.472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</si>
  <si>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</si>
  <si>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</si>
  <si>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</si>
  <si>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</si>
  <si>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</si>
  <si>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</si>
  <si>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1.60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</si>
  <si>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</si>
  <si>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</si>
  <si>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</si>
  <si>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</si>
  <si>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</si>
  <si>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</si>
  <si>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8.1303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</si>
  <si>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</si>
  <si>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0.5298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</si>
  <si>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</si>
  <si>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</si>
  <si>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</si>
  <si>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</si>
  <si>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</si>
  <si>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</si>
  <si>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</si>
  <si>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</si>
  <si>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</si>
  <si>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</si>
  <si>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</si>
  <si>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</si>
  <si>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</si>
  <si>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</si>
  <si>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</si>
  <si>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</si>
  <si>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</si>
  <si>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</si>
  <si>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</si>
  <si>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Noto Sans CJK SC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Noto Sans CJK SC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</si>
  <si>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</si>
  <si>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</si>
  <si>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</si>
  <si>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</si>
  <si>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</si>
  <si>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</si>
  <si>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</si>
  <si>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</si>
  <si>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</si>
  <si>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</si>
  <si>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</si>
  <si>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</si>
  <si>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</si>
  <si>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</si>
  <si>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</si>
  <si>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</si>
  <si>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</si>
  <si>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</si>
  <si>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</si>
  <si>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</si>
  <si>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</si>
  <si>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</si>
  <si>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</si>
  <si>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</si>
  <si>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</si>
  <si>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</si>
  <si>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</si>
  <si>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</si>
  <si>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</si>
  <si>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</si>
  <si>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</si>
  <si>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</si>
  <si>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</si>
  <si>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</si>
  <si>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</si>
  <si>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</si>
  <si>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</si>
  <si>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</si>
  <si>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</si>
  <si>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</si>
  <si>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</si>
  <si>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</si>
  <si>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</si>
  <si>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</si>
  <si>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</si>
  <si>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</si>
  <si>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</si>
  <si>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</si>
  <si>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</si>
  <si>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</si>
  <si>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</si>
  <si>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</si>
  <si>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</si>
  <si>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</si>
  <si>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</si>
  <si>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</si>
  <si>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</si>
  <si>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</si>
  <si>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</si>
  <si>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</si>
  <si>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</si>
  <si>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</si>
  <si>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</si>
  <si>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</si>
  <si>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</si>
  <si>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</si>
  <si>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</si>
  <si>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</si>
  <si>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</si>
  <si>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</si>
  <si>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</si>
  <si>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</si>
  <si>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</si>
  <si>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</si>
  <si>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</si>
  <si>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目標價區間｜保守 已簽約 </t>
    </r>
    <r>
      <rPr>
        <sz val="10"/>
        <rFont val="Arial"/>
        <family val="0"/>
        <charset val="1"/>
      </rPr>
      <t xml:space="preserve">3.5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</si>
  <si>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</si>
  <si>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合約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（加權目標價／評等代碼／距賣出門檻）</t>
    </r>
  </si>
  <si>
    <r>
      <rPr>
        <sz val="10"/>
        <rFont val="Noto Sans CJK SC"/>
        <family val="2"/>
      </rPr>
      <t xml:space="preserve">目標價區間｜積極 每年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</si>
  <si>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</si>
  <si>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</si>
  <si>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</si>
  <si>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</si>
  <si>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</si>
  <si>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</si>
  <si>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</si>
  <si>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</si>
  <si>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</si>
  <si>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</si>
  <si>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</si>
  <si>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</si>
  <si>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</si>
  <si>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</si>
  <si>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</si>
  <si>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</si>
  <si>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</si>
  <si>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</si>
  <si>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</si>
  <si>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</si>
  <si>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</si>
  <si>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</si>
  <si>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</si>
  <si>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</si>
  <si>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</si>
  <si>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</si>
  <si>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</si>
  <si>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</si>
  <si>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</si>
  <si>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</si>
  <si>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</si>
  <si>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</si>
  <si>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</si>
  <si>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</si>
  <si>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</si>
  <si>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</si>
  <si>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</si>
  <si>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</si>
  <si>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</si>
  <si>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</si>
  <si>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</si>
  <si>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</si>
  <si>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</si>
  <si>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</si>
  <si>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</si>
  <si>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</si>
  <si>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</si>
  <si>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</si>
  <si>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</si>
  <si>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</si>
  <si>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</si>
  <si>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$35.2m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</si>
  <si>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</si>
  <si>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$45.2m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</si>
  <si>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$50.3m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</si>
  <si>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$55.3m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</si>
  <si>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</si>
  <si>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</si>
  <si>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</si>
  <si>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</si>
  <si>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</si>
  <si>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</si>
  <si>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</si>
  <si>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</si>
  <si>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</si>
  <si>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</si>
  <si>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</si>
  <si>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</si>
  <si>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</si>
  <si>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</si>
  <si>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</si>
  <si>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Q2 10-Q</t>
    </r>
    <r>
      <rPr>
        <sz val="9"/>
        <color rgb="FF595959"/>
        <rFont val="Noto Sans CJK SC"/>
        <family val="2"/>
      </rPr>
      <t xml:space="preserve">；以租約取得機房（租賃負債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）；市值 </t>
    </r>
    <r>
      <rPr>
        <sz val="9"/>
        <color rgb="FF595959"/>
        <rFont val="Arial"/>
        <family val="0"/>
        <charset val="1"/>
      </rPr>
      <t xml:space="preserve">9/21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</si>
  <si>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</si>
  <si>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</si>
  <si>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</si>
  <si>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</si>
  <si>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</si>
  <si>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</si>
  <si>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</si>
  <si>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</si>
  <si>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</si>
  <si>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</si>
  <si>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NBIS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</si>
  <si>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</si>
  <si>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1.6253</t>
    </r>
  </si>
  <si>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</si>
  <si>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</si>
  <si>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Noto Sans CJK SC"/>
        <family val="2"/>
      </rPr>
      <t xml:space="preserve">遠高於同業，主因營收仍在爬坡（</t>
    </r>
    <r>
      <rPr>
        <sz val="9"/>
        <color rgb="FF595959"/>
        <rFont val="Arial"/>
        <family val="0"/>
        <charset val="1"/>
      </rPr>
      <t xml:space="preserve">TTM 1.36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3.0–3.4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</si>
  <si>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自有占合約電力 </t>
    </r>
    <r>
      <rPr>
        <sz val="9"/>
        <color rgb="FF595959"/>
        <rFont val="Arial"/>
        <family val="0"/>
        <charset val="1"/>
      </rPr>
      <t xml:space="preserve">&gt;75%</t>
    </r>
    <r>
      <rPr>
        <sz val="9"/>
        <color rgb="FF595959"/>
        <rFont val="Noto Sans CJK SC"/>
        <family val="2"/>
      </rPr>
      <t xml:space="preserve">，加與不加差別小。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</si>
  <si>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Noto Sans CJK SC"/>
        <family val="2"/>
      </rPr>
      <t xml:space="preserve">列。此表為市場比較用，不進入目標價（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Noto Sans CJK SC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</si>
  <si>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</si>
  <si>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</si>
  <si>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</si>
  <si>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</si>
  <si>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</si>
  <si>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82%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</si>
  <si>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</si>
  <si>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</si>
  <si>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</si>
  <si>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</si>
  <si>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</si>
  <si>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</si>
  <si>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20–25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</si>
  <si>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8.1303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20–25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</si>
  <si>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</si>
  <si>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3–3.4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</si>
  <si>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0.9813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</si>
  <si>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</si>
  <si>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$38–68m/MW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</si>
  <si>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</si>
  <si>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</si>
  <si>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</si>
  <si>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</si>
  <si>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</si>
  <si>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≥0.2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</si>
  <si>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</si>
  <si>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</si>
  <si>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</si>
  <si>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</si>
  <si>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</si>
  <si>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</si>
  <si>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</si>
  <si>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</si>
  <si>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</si>
  <si>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</si>
  <si>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</si>
  <si>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</si>
  <si>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</si>
  <si>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</si>
  <si>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</si>
  <si>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</si>
  <si>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</si>
  <si>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10.0885 − </t>
    </r>
    <r>
      <rPr>
        <sz val="10"/>
        <rFont val="Noto Sans CJK SC"/>
        <family val="2"/>
      </rPr>
      <t xml:space="preserve">以股換債 ＋ 期後新發</t>
    </r>
  </si>
  <si>
    <t xml:space="preserve">15.7785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</si>
  <si>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</si>
  <si>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</si>
  <si>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</si>
  <si>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</si>
  <si>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</si>
  <si>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</si>
  <si>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</si>
  <si>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</si>
  <si>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</si>
  <si>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</si>
  <si>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</si>
  <si>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</si>
  <si>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</si>
  <si>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</si>
  <si>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</si>
  <si>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</si>
  <si>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</si>
  <si>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</si>
  <si>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</si>
  <si>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</si>
  <si>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</si>
  <si>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</si>
  <si>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</si>
  <si>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</si>
  <si>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</si>
  <si>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</si>
  <si>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</si>
  <si>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</si>
  <si>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</si>
  <si>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</si>
  <si>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</t>
  </si>
  <si>
    <t xml:space="preserve">10-08</t>
  </si>
  <si>
    <r>
      <rPr>
        <sz val="10"/>
        <rFont val="Noto Sans CJK SC"/>
        <family val="2"/>
      </rPr>
      <t xml:space="preserve">只改呈現（工作單 </t>
    </r>
    <r>
      <rPr>
        <sz val="10"/>
        <rFont val="Arial"/>
        <family val="0"/>
        <charset val="1"/>
      </rPr>
      <t xml:space="preserve">v0.1d</t>
    </r>
    <r>
      <rPr>
        <sz val="10"/>
        <rFont val="Noto Sans CJK SC"/>
        <family val="2"/>
      </rPr>
      <t xml:space="preserve">）：標題改為 </t>
    </r>
    <r>
      <rPr>
        <sz val="10"/>
        <rFont val="Arial"/>
        <family val="0"/>
        <charset val="1"/>
      </rPr>
      <t xml:space="preserve">Nebius </t>
    </r>
    <r>
      <rPr>
        <sz val="10"/>
        <rFont val="Noto Sans CJK SC"/>
        <family val="2"/>
      </rPr>
      <t xml:space="preserve">專屬「預付款，能把 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變成現金嗎？」與動態副標；總結簡報改為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頁故事線＋附錄，一頁摘要移到最後；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論點句改寫</t>
    </r>
  </si>
  <si>
    <t xml:space="preserve">$61.7</t>
  </si>
  <si>
    <r>
      <rPr>
        <sz val="10"/>
        <rFont val="Noto Sans CJK SC"/>
        <family val="2"/>
      </rPr>
      <t xml:space="preserve">無變動：保守 </t>
    </r>
    <r>
      <rPr>
        <sz val="10"/>
        <rFont val="Arial"/>
        <family val="0"/>
        <charset val="1"/>
      </rPr>
      <t xml:space="preserve">$63.8</t>
    </r>
    <r>
      <rPr>
        <sz val="10"/>
        <rFont val="Noto Sans CJK SC"/>
        <family val="2"/>
      </rPr>
      <t xml:space="preserve">、基準 </t>
    </r>
    <r>
      <rPr>
        <sz val="10"/>
        <rFont val="Arial"/>
        <family val="0"/>
        <charset val="1"/>
      </rPr>
      <t xml:space="preserve">$61.7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$154.6</t>
    </r>
    <r>
      <rPr>
        <sz val="10"/>
        <rFont val="Noto Sans CJK SC"/>
        <family val="2"/>
      </rPr>
      <t xml:space="preserve">（時間推移、實際數、假設、方法四項皆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</si>
  <si>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t xml:space="preserve">v0.1</t>
  </si>
  <si>
    <t xml:space="preserve">10-07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</si>
  <si>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CRWV v4.5 </t>
    </r>
    <r>
      <rPr>
        <sz val="10"/>
        <rFont val="Noto Sans CJK SC"/>
        <family val="2"/>
      </rPr>
      <t xml:space="preserve">模板建立；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收入主軸、預付款、融資瀑布、可轉債稀釋、其他事業與持股</t>
    </r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</si>
  <si>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$63.8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$154.6</t>
    </r>
    <r>
      <rPr>
        <sz val="10"/>
        <rFont val="Noto Sans CJK SC"/>
        <family val="2"/>
      </rPr>
      <t xml:space="preserve">，三者皆賣出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</si>
  <si>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</si>
  <si>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</si>
  <si>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</si>
  <si>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6-K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2026-08-12</t>
    </r>
    <r>
      <rPr>
        <sz val="10"/>
        <rFont val="Noto Sans CJK SC"/>
        <family val="2"/>
      </rPr>
      <t xml:space="preserve">；外國私人發行人，季報未經查核）：營收 </t>
    </r>
    <r>
      <rPr>
        <sz val="10"/>
        <rFont val="Arial"/>
        <family val="0"/>
        <charset val="1"/>
      </rPr>
      <t xml:space="preserve">0.582bn</t>
    </r>
    <r>
      <rPr>
        <sz val="10"/>
        <rFont val="Noto Sans CJK SC"/>
        <family val="2"/>
      </rPr>
      <t xml:space="preserve">（年增 </t>
    </r>
    <r>
      <rPr>
        <sz val="10"/>
        <rFont val="Arial"/>
        <family val="0"/>
        <charset val="1"/>
      </rPr>
      <t xml:space="preserve">454%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H1 0.981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AI cloud </t>
    </r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0.575</t>
    </r>
    <r>
      <rPr>
        <sz val="10"/>
        <rFont val="Noto Sans CJK SC"/>
        <family val="2"/>
      </rPr>
      <t xml:space="preserve">；調整後 </t>
    </r>
    <r>
      <rPr>
        <sz val="10"/>
        <rFont val="Arial"/>
        <family val="0"/>
        <charset val="1"/>
      </rPr>
      <t xml:space="preserve">EBITDA 0.236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AI cloud 0.286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49.7%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營損 −</t>
    </r>
    <r>
      <rPr>
        <sz val="10"/>
        <rFont val="Arial"/>
        <family val="0"/>
        <charset val="1"/>
      </rPr>
      <t xml:space="preserve">0.176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0.119</t>
    </r>
    <r>
      <rPr>
        <sz val="10"/>
        <rFont val="Noto Sans CJK SC"/>
        <family val="2"/>
      </rPr>
      <t xml:space="preserve">（含可轉債攤銷等非現金）；</t>
    </r>
    <r>
      <rPr>
        <sz val="10"/>
        <rFont val="Arial"/>
        <family val="0"/>
        <charset val="1"/>
      </rPr>
      <t xml:space="preserve">D&amp;A 0.260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0.103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Eigen AI </t>
    </r>
    <r>
      <rPr>
        <sz val="10"/>
        <rFont val="Noto Sans CJK SC"/>
        <family val="2"/>
      </rPr>
      <t xml:space="preserve">收購 </t>
    </r>
    <r>
      <rPr>
        <sz val="10"/>
        <rFont val="Arial"/>
        <family val="0"/>
        <charset val="1"/>
      </rPr>
      <t xml:space="preserve">0.075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</si>
  <si>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6/30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8.042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1.056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毛額 </t>
    </r>
    <r>
      <rPr>
        <sz val="10"/>
        <rFont val="Arial"/>
        <family val="0"/>
        <charset val="1"/>
      </rPr>
      <t xml:space="preserve">14.150</t>
    </r>
    <r>
      <rPr>
        <sz val="10"/>
        <rFont val="Noto Sans CJK SC"/>
        <family val="2"/>
      </rPr>
      <t xml:space="preserve">（尚未啟用 </t>
    </r>
    <r>
      <rPr>
        <sz val="10"/>
        <rFont val="Arial"/>
        <family val="0"/>
        <charset val="1"/>
      </rPr>
      <t xml:space="preserve">7.836</t>
    </r>
    <r>
      <rPr>
        <sz val="10"/>
        <rFont val="Noto Sans CJK SC"/>
        <family val="2"/>
      </rPr>
      <t xml:space="preserve">）；遞延營收 </t>
    </r>
    <r>
      <rPr>
        <sz val="10"/>
        <rFont val="Arial"/>
        <family val="0"/>
        <charset val="1"/>
      </rPr>
      <t xml:space="preserve">5.975</t>
    </r>
    <r>
      <rPr>
        <sz val="10"/>
        <rFont val="Noto Sans CJK SC"/>
        <family val="2"/>
      </rPr>
      <t xml:space="preserve">；可轉債到期本金 </t>
    </r>
    <r>
      <rPr>
        <sz val="10"/>
        <rFont val="Arial"/>
        <family val="0"/>
        <charset val="1"/>
      </rPr>
      <t xml:space="preserve">10.042</t>
    </r>
    <r>
      <rPr>
        <sz val="10"/>
        <rFont val="Noto Sans CJK SC"/>
        <family val="2"/>
      </rPr>
      <t xml:space="preserve">（帳面 </t>
    </r>
    <r>
      <rPr>
        <sz val="10"/>
        <rFont val="Arial"/>
        <family val="0"/>
        <charset val="1"/>
      </rPr>
      <t xml:space="preserve">8.499</t>
    </r>
    <r>
      <rPr>
        <sz val="10"/>
        <rFont val="Noto Sans CJK SC"/>
        <family val="2"/>
      </rPr>
      <t xml:space="preserve">）、其他借款 </t>
    </r>
    <r>
      <rPr>
        <sz val="10"/>
        <rFont val="Arial"/>
        <family val="0"/>
        <charset val="1"/>
      </rPr>
      <t xml:space="preserve">0.047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1.625</t>
    </r>
    <r>
      <rPr>
        <sz val="10"/>
        <rFont val="Noto Sans CJK SC"/>
        <family val="2"/>
      </rPr>
      <t xml:space="preserve">；已簽約未起租租賃 </t>
    </r>
    <r>
      <rPr>
        <sz val="10"/>
        <rFont val="Arial"/>
        <family val="0"/>
        <charset val="1"/>
      </rPr>
      <t xml:space="preserve">12.054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10.341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</si>
  <si>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RPO 37.491bn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36%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個月內、</t>
    </r>
    <r>
      <rPr>
        <sz val="10"/>
        <rFont val="Arial"/>
        <family val="0"/>
        <charset val="1"/>
      </rPr>
      <t xml:space="preserve">40%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Noto Sans CJK SC"/>
        <family val="2"/>
      </rPr>
      <t xml:space="preserve">個月、其餘之後。客戶集中（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 24%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 21%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 14%</t>
    </r>
    <r>
      <rPr>
        <sz val="10"/>
        <rFont val="Noto Sans CJK SC"/>
        <family val="2"/>
      </rPr>
      <t xml:space="preserve">（名稱未揭露）。</t>
    </r>
    <r>
      <rPr>
        <sz val="10"/>
        <rFont val="Arial"/>
        <family val="0"/>
        <charset val="1"/>
      </rPr>
      <t xml:space="preserve">Microsoft 5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TCV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$17.4B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Meta $2.9B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$12B </t>
    </r>
    <r>
      <rPr>
        <sz val="10"/>
        <rFont val="Noto Sans CJK SC"/>
        <family val="2"/>
      </rPr>
      <t xml:space="preserve">專用＋最高 </t>
    </r>
    <r>
      <rPr>
        <sz val="10"/>
        <rFont val="Arial"/>
        <family val="0"/>
        <charset val="1"/>
      </rPr>
      <t xml:space="preserve">$15B </t>
    </r>
    <r>
      <rPr>
        <sz val="10"/>
        <rFont val="Noto Sans CJK SC"/>
        <family val="2"/>
      </rPr>
      <t xml:space="preserve">未售容量承購。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</si>
  <si>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4.504</t>
    </r>
    <r>
      <rPr>
        <sz val="10"/>
        <rFont val="Noto Sans CJK SC"/>
        <family val="2"/>
      </rPr>
      <t xml:space="preserve">（遞延營收增加 </t>
    </r>
    <r>
      <rPr>
        <sz val="10"/>
        <rFont val="Arial"/>
        <family val="0"/>
        <charset val="1"/>
      </rPr>
      <t xml:space="preserve">4.395</t>
    </r>
    <r>
      <rPr>
        <sz val="10"/>
        <rFont val="Noto Sans CJK SC"/>
        <family val="2"/>
      </rPr>
      <t xml:space="preserve">）；現金購置 </t>
    </r>
    <r>
      <rPr>
        <sz val="10"/>
        <rFont val="Arial"/>
        <family val="0"/>
        <charset val="1"/>
      </rPr>
      <t xml:space="preserve">8.130</t>
    </r>
    <r>
      <rPr>
        <sz val="10"/>
        <rFont val="Noto Sans CJK SC"/>
        <family val="2"/>
      </rPr>
      <t xml:space="preserve">；收購 </t>
    </r>
    <r>
      <rPr>
        <sz val="10"/>
        <rFont val="Arial"/>
        <family val="0"/>
        <charset val="1"/>
      </rPr>
      <t xml:space="preserve">0.252</t>
    </r>
    <r>
      <rPr>
        <sz val="10"/>
        <rFont val="Noto Sans CJK SC"/>
        <family val="2"/>
      </rPr>
      <t xml:space="preserve">；可轉債 </t>
    </r>
    <r>
      <rPr>
        <sz val="10"/>
        <rFont val="Arial"/>
        <family val="0"/>
        <charset val="1"/>
      </rPr>
      <t xml:space="preserve">4.338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預付認股權證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2.811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</si>
  <si>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期後 </t>
    </r>
    <r>
      <rPr>
        <sz val="10"/>
        <rFont val="Arial"/>
        <family val="0"/>
        <charset val="1"/>
      </rPr>
      <t xml:space="preserve">6-K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2026-07-10 </t>
    </r>
    <r>
      <rPr>
        <sz val="10"/>
        <rFont val="Noto Sans CJK SC"/>
        <family val="2"/>
      </rPr>
      <t xml:space="preserve">資產擔保定期貸款 </t>
    </r>
    <r>
      <rPr>
        <sz val="10"/>
        <rFont val="Arial"/>
        <family val="0"/>
        <charset val="1"/>
      </rPr>
      <t xml:space="preserve">$775M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SOFR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2.50%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2030-10-31 </t>
    </r>
    <r>
      <rPr>
        <sz val="10"/>
        <rFont val="Noto Sans CJK SC"/>
        <family val="2"/>
      </rPr>
      <t xml:space="preserve">到期）；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$5.75B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0.50% 2030-02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$313.46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4.50% 2034-02 </t>
    </r>
    <r>
      <rPr>
        <sz val="10"/>
        <rFont val="Noto Sans CJK SC"/>
        <family val="2"/>
      </rPr>
      <t xml:space="preserve">轉換價 </t>
    </r>
    <r>
      <rPr>
        <sz val="10"/>
        <rFont val="Arial"/>
        <family val="0"/>
        <charset val="1"/>
      </rPr>
      <t xml:space="preserve">$324.65</t>
    </r>
    <r>
      <rPr>
        <sz val="10"/>
        <rFont val="Noto Sans CJK SC"/>
        <family val="2"/>
      </rPr>
      <t xml:space="preserve">）並以約 </t>
    </r>
    <r>
      <rPr>
        <sz val="10"/>
        <rFont val="Arial"/>
        <family val="0"/>
        <charset val="1"/>
      </rPr>
      <t xml:space="preserve">1,580 </t>
    </r>
    <r>
      <rPr>
        <sz val="10"/>
        <rFont val="Noto Sans CJK SC"/>
        <family val="2"/>
      </rPr>
      <t xml:space="preserve">萬股交換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舊債各 </t>
    </r>
    <r>
      <rPr>
        <sz val="10"/>
        <rFont val="Arial"/>
        <family val="0"/>
        <charset val="1"/>
      </rPr>
      <t xml:space="preserve">$400M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</si>
  <si>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$249.87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2026-10-06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63.81bn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271.86m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47.12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30.01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</si>
  <si>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2026-10-07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$283.58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$300.00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$84.00–$415.00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19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$241.80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</si>
  <si>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r>
      <rPr>
        <sz val="10"/>
        <rFont val="Noto Sans CJK SC"/>
        <family val="2"/>
      </rPr>
      <t xml:space="preserve">股東信（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 2026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$3.0–3.4B</t>
    </r>
    <r>
      <rPr>
        <sz val="10"/>
        <rFont val="Noto Sans CJK SC"/>
        <family val="2"/>
      </rPr>
      <t xml:space="preserve">、年底 </t>
    </r>
    <r>
      <rPr>
        <sz val="10"/>
        <rFont val="Arial"/>
        <family val="0"/>
        <charset val="1"/>
      </rPr>
      <t xml:space="preserve">ARR $7–9B</t>
    </r>
    <r>
      <rPr>
        <sz val="10"/>
        <rFont val="Noto Sans CJK SC"/>
        <family val="2"/>
      </rPr>
      <t xml:space="preserve">、調整後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率約 </t>
    </r>
    <r>
      <rPr>
        <sz val="10"/>
        <rFont val="Arial"/>
        <family val="0"/>
        <charset val="1"/>
      </rPr>
      <t xml:space="preserve">40%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年底合約電力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（目前 </t>
    </r>
    <r>
      <rPr>
        <sz val="10"/>
        <rFont val="Arial"/>
        <family val="0"/>
        <charset val="1"/>
      </rPr>
      <t xml:space="preserve">&gt;3.5 GW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connected 0.8–1.0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起每年部署 </t>
    </r>
    <r>
      <rPr>
        <sz val="10"/>
        <rFont val="Arial"/>
        <family val="0"/>
        <charset val="1"/>
      </rPr>
      <t xml:space="preserve">&gt;1 GW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合約含預付、覆蓋 </t>
    </r>
    <r>
      <rPr>
        <sz val="10"/>
        <rFont val="Arial"/>
        <family val="0"/>
        <charset val="1"/>
      </rPr>
      <t xml:space="preserve">50–60% </t>
    </r>
    <r>
      <rPr>
        <sz val="10"/>
        <rFont val="Noto Sans CJK SC"/>
        <family val="2"/>
      </rPr>
      <t xml:space="preserve">相關資本支出；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預付 </t>
    </r>
    <r>
      <rPr>
        <sz val="10"/>
        <rFont val="Arial"/>
        <family val="0"/>
        <charset val="1"/>
      </rPr>
      <t xml:space="preserve">&gt;$9B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新約 </t>
    </r>
    <r>
      <rPr>
        <sz val="10"/>
        <rFont val="Arial"/>
        <family val="0"/>
        <charset val="1"/>
      </rPr>
      <t xml:space="preserve">ACV $20–25M/MW</t>
    </r>
    <r>
      <rPr>
        <sz val="10"/>
        <rFont val="Noto Sans CJK SC"/>
        <family val="2"/>
      </rPr>
      <t xml:space="preserve">（只作對照）；回收期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個月（只作對照）。</t>
    </r>
  </si>
  <si>
    <r>
      <rPr>
        <sz val="10"/>
        <rFont val="Noto Sans CJK SC"/>
        <family val="2"/>
      </rPr>
      <t xml:space="preserve">法說會（二手轉述）：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資本支出 </t>
    </r>
    <r>
      <rPr>
        <sz val="10"/>
        <rFont val="Arial"/>
        <family val="0"/>
        <charset val="1"/>
      </rPr>
      <t xml:space="preserve">$20–25B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$16–20B </t>
    </r>
    <r>
      <rPr>
        <sz val="10"/>
        <rFont val="Noto Sans CJK SC"/>
        <family val="2"/>
      </rPr>
      <t xml:space="preserve">上調、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重申）。</t>
    </r>
  </si>
  <si>
    <r>
      <rPr>
        <sz val="10"/>
        <rFont val="Arial"/>
        <family val="0"/>
        <charset val="1"/>
      </rPr>
      <t xml:space="preserve">FY2025 20-F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0.530</t>
    </r>
    <r>
      <rPr>
        <sz val="10"/>
        <rFont val="Noto Sans CJK SC"/>
        <family val="2"/>
      </rPr>
      <t xml:space="preserve">、營業損益 −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、續營淨損益 </t>
    </r>
    <r>
      <rPr>
        <sz val="10"/>
        <rFont val="Arial"/>
        <family val="0"/>
        <charset val="1"/>
      </rPr>
      <t xml:space="preserve">0.010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D&amp;A 0.418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年底現金 </t>
    </r>
    <r>
      <rPr>
        <sz val="10"/>
        <rFont val="Arial"/>
        <family val="0"/>
        <charset val="1"/>
      </rPr>
      <t xml:space="preserve">3.678</t>
    </r>
    <r>
      <rPr>
        <sz val="10"/>
        <rFont val="Noto Sans CJK SC"/>
        <family val="2"/>
      </rPr>
      <t xml:space="preserve">；歷年損益 </t>
    </r>
    <r>
      <rPr>
        <sz val="10"/>
        <rFont val="Arial"/>
        <family val="0"/>
        <charset val="1"/>
      </rPr>
      <t xml:space="preserve">FY23–FY25 </t>
    </r>
    <r>
      <rPr>
        <sz val="10"/>
        <rFont val="Noto Sans CJK SC"/>
        <family val="2"/>
      </rPr>
      <t xml:space="preserve">取自 </t>
    </r>
    <r>
      <rPr>
        <sz val="10"/>
        <rFont val="Arial"/>
        <family val="0"/>
        <charset val="1"/>
      </rPr>
      <t xml:space="preserve">20-F XBRL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SEC companyfacts</t>
    </r>
    <r>
      <rPr>
        <sz val="10"/>
        <rFont val="Noto Sans CJK SC"/>
        <family val="2"/>
      </rPr>
      <t xml:space="preserve">）。</t>
    </r>
  </si>
  <si>
    <t xml:space="preserve">Derived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</si>
  <si>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Tokenomics v5.24 </t>
    </r>
    <r>
      <rPr>
        <sz val="10"/>
        <rFont val="Noto Sans CJK SC"/>
        <family val="2"/>
      </rPr>
      <t xml:space="preserve">正向推導）：保守 </t>
    </r>
    <r>
      <rPr>
        <sz val="10"/>
        <rFont val="Arial"/>
        <family val="0"/>
        <charset val="1"/>
      </rPr>
      <t xml:space="preserve">11.62</t>
    </r>
    <r>
      <rPr>
        <sz val="10"/>
        <rFont val="Noto Sans CJK SC"/>
        <family val="2"/>
      </rPr>
      <t xml:space="preserve">／基準 </t>
    </r>
    <r>
      <rPr>
        <sz val="10"/>
        <rFont val="Arial"/>
        <family val="0"/>
        <charset val="1"/>
      </rPr>
      <t xml:space="preserve">17.40</t>
    </r>
    <r>
      <rPr>
        <sz val="10"/>
        <rFont val="Noto Sans CJK SC"/>
        <family val="2"/>
      </rPr>
      <t xml:space="preserve">／積極 </t>
    </r>
    <r>
      <rPr>
        <sz val="10"/>
        <rFont val="Arial"/>
        <family val="0"/>
        <charset val="1"/>
      </rPr>
      <t xml:space="preserve">24.20 US$m/MW-IT·</t>
    </r>
    <r>
      <rPr>
        <sz val="10"/>
        <rFont val="Noto Sans CJK SC"/>
        <family val="2"/>
      </rPr>
      <t xml:space="preserve">年（路徑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成本加成與路徑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市場價格平均）；每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IF_CapexTotal 50.12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50.26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桶內線性分攤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24 → </t>
    </r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16%</t>
    </r>
    <r>
      <rPr>
        <sz val="10"/>
        <rFont val="Noto Sans CJK SC"/>
        <family val="2"/>
      </rPr>
      <t xml:space="preserve">。</t>
    </r>
  </si>
  <si>
    <t xml:space="preserve">Assumed</t>
  </si>
  <si>
    <r>
      <rPr>
        <sz val="10"/>
        <rFont val="Noto Sans CJK SC"/>
        <family val="2"/>
      </rPr>
      <t xml:space="preserve">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路徑（歷史併網速度 </t>
    </r>
    <r>
      <rPr>
        <sz val="10"/>
        <rFont val="Arial"/>
        <family val="0"/>
        <charset val="1"/>
      </rPr>
      <t xml:space="preserve">+580 MW-IT</t>
    </r>
    <r>
      <rPr>
        <sz val="10"/>
        <rFont val="Noto Sans CJK SC"/>
        <family val="2"/>
      </rPr>
      <t xml:space="preserve">／年；保守上限 </t>
    </r>
    <r>
      <rPr>
        <sz val="10"/>
        <rFont val="Arial"/>
        <family val="0"/>
        <charset val="1"/>
      </rPr>
      <t xml:space="preserve">2,917</t>
    </r>
    <r>
      <rPr>
        <sz val="10"/>
        <rFont val="Noto Sans CJK SC"/>
        <family val="2"/>
      </rPr>
      <t xml:space="preserve">、基準上限 </t>
    </r>
    <r>
      <rPr>
        <sz val="10"/>
        <rFont val="Arial"/>
        <family val="0"/>
        <charset val="1"/>
      </rPr>
      <t xml:space="preserve">4,167</t>
    </r>
    <r>
      <rPr>
        <sz val="10"/>
        <rFont val="Noto Sans CJK SC"/>
        <family val="2"/>
      </rPr>
      <t xml:space="preserve">、積極每年 </t>
    </r>
    <r>
      <rPr>
        <sz val="10"/>
        <rFont val="Arial"/>
        <family val="0"/>
        <charset val="1"/>
      </rPr>
      <t xml:space="preserve">+833</t>
    </r>
    <r>
      <rPr>
        <sz val="10"/>
        <rFont val="Noto Sans CJK SC"/>
        <family val="2"/>
      </rPr>
      <t xml:space="preserve">）；在役比例 </t>
    </r>
    <r>
      <rPr>
        <sz val="10"/>
        <rFont val="Arial"/>
        <family val="0"/>
        <charset val="1"/>
      </rPr>
      <t xml:space="preserve">75%→90%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49.7%→47%</t>
    </r>
    <r>
      <rPr>
        <sz val="10"/>
        <rFont val="Noto Sans CJK SC"/>
        <family val="2"/>
      </rPr>
      <t xml:space="preserve">（可觀察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區間）；違約率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Noto Sans CJK SC"/>
        <family val="2"/>
      </rPr>
      <t xml:space="preserve">；新債利率 </t>
    </r>
    <r>
      <rPr>
        <sz val="10"/>
        <rFont val="Arial"/>
        <family val="0"/>
        <charset val="1"/>
      </rPr>
      <t xml:space="preserve">6.5%</t>
    </r>
    <r>
      <rPr>
        <sz val="10"/>
        <rFont val="Noto Sans CJK SC"/>
        <family val="2"/>
      </rPr>
      <t xml:space="preserve">；債務／</t>
    </r>
    <r>
      <rPr>
        <sz val="10"/>
        <rFont val="Arial"/>
        <family val="0"/>
        <charset val="1"/>
      </rPr>
      <t xml:space="preserve">backlog 0.5x</t>
    </r>
    <r>
      <rPr>
        <sz val="10"/>
        <rFont val="Noto Sans CJK SC"/>
        <family val="2"/>
      </rPr>
      <t xml:space="preserve">；最低現金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Noto Sans CJK SC"/>
        <family val="2"/>
      </rPr>
      <t xml:space="preserve">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</si>
  <si>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</si>
  <si>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資產擔保融資（額度＋新債，總債務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Noto Sans CJK SC"/>
        <family val="2"/>
      </rPr>
      <t xml:space="preserve">上限）→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</si>
</sst>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#,##0.000"/>
    <numFmt numFmtId="175" formatCode="0.00%"/>
    <numFmt numFmtId="176" formatCode="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tr">
        <f aca="false">"模型端＝目前情境：" &amp; CHOOSE(輸入與假設!$C$5,"保守 已簽約 3.5 GW","基準 合約 5 GW","積極 每年 &gt;1 GW") &amp; "（預設＝基準）；共識＝data/consensus_nbis_20261007.json（2026-10-07）"</f>
        <v>模型端＝目前情境：基準 合約 5 GW（預設＝基準）；共識＝data/consensus_nbis_20261007.json（2026-10-07）</v>
      </c>
    </row>
    <row r="4" customFormat="false" ht="15" hidden="false" customHeight="false" outlineLevel="0" collapsed="false">
      <c r="A4" s="6" t="s">
        <v>35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3" t="s">
        <v>36</v>
      </c>
      <c r="C5" s="8" t="n">
        <f aca="false">評價_DCF與目標價!C76</f>
        <v>-1</v>
      </c>
    </row>
    <row r="6" customFormat="false" ht="15" hidden="false" customHeight="false" outlineLevel="1" collapsed="false">
      <c r="A6" s="3" t="s">
        <v>37</v>
      </c>
      <c r="C6" s="9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0" t="s">
        <v>39</v>
      </c>
      <c r="C7" s="11" t="n">
        <f aca="false">評價_DCF與目標價!C49</f>
        <v>61.7199481496045</v>
      </c>
    </row>
    <row r="8" customFormat="false" ht="15" hidden="false" customHeight="false" outlineLevel="1" collapsed="false">
      <c r="A8" s="3" t="s">
        <v>40</v>
      </c>
      <c r="B8" s="10" t="s">
        <v>39</v>
      </c>
      <c r="C8" s="11" t="n">
        <f aca="false">輸入與假設!$C$124</f>
        <v>249.87</v>
      </c>
    </row>
    <row r="9" customFormat="false" ht="15" hidden="false" customHeight="false" outlineLevel="1" collapsed="false">
      <c r="A9" s="3" t="s">
        <v>41</v>
      </c>
      <c r="B9" s="10" t="s">
        <v>42</v>
      </c>
      <c r="C9" s="12" t="n">
        <f aca="false">C7/C8-1</f>
        <v>-0.752991763118404</v>
      </c>
    </row>
    <row r="10" customFormat="false" ht="15" hidden="false" customHeight="false" outlineLevel="1" collapsed="false">
      <c r="A10" s="3" t="s">
        <v>43</v>
      </c>
      <c r="B10" s="10" t="s">
        <v>39</v>
      </c>
      <c r="C10" s="11" t="n">
        <f aca="false">評價_DCF與目標價!C81</f>
        <v>63.8014107642874</v>
      </c>
      <c r="D10" s="11" t="n">
        <f aca="false">評價_DCF與目標價!D81</f>
        <v>154.558384092823</v>
      </c>
    </row>
    <row r="11" customFormat="false" ht="15" hidden="false" customHeight="false" outlineLevel="1" collapsed="false">
      <c r="A11" s="3" t="s">
        <v>44</v>
      </c>
      <c r="B11" s="10" t="s">
        <v>39</v>
      </c>
      <c r="C11" s="11" t="n">
        <f aca="false">評價_DCF與目標價!C83</f>
        <v>44.8818263998867</v>
      </c>
      <c r="D11" s="11" t="n">
        <f aca="false">評價_DCF與目標價!D83</f>
        <v>61.7199481496045</v>
      </c>
    </row>
    <row r="12" customFormat="false" ht="15" hidden="false" customHeight="false" outlineLevel="1" collapsed="false">
      <c r="A12" s="3" t="s">
        <v>45</v>
      </c>
      <c r="B12" s="10" t="s">
        <v>39</v>
      </c>
      <c r="C12" s="11" t="n">
        <f aca="false">評價_DCF與目標價!$C$77</f>
        <v>212.3895</v>
      </c>
    </row>
    <row r="13" customFormat="false" ht="15" hidden="false" customHeight="false" outlineLevel="1" collapsed="false">
      <c r="A13" s="3" t="s">
        <v>46</v>
      </c>
      <c r="B13" s="10" t="s">
        <v>39</v>
      </c>
      <c r="C13" s="11" t="n">
        <f aca="false">C7-C12</f>
        <v>-150.669551850396</v>
      </c>
    </row>
    <row r="14" customFormat="false" ht="15" hidden="false" customHeight="false" outlineLevel="1" collapsed="false">
      <c r="A14" s="2" t="s">
        <v>47</v>
      </c>
      <c r="C14" s="9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$61.7，較現價 $249.87 低 75%；情境區間 $63.8–$154.6，方法區間 $44.9–$61.7；點位低於賣出門檻 $212.4 達 $150.7。</v>
      </c>
    </row>
    <row r="15" customFormat="false" ht="15" hidden="false" customHeight="false" outlineLevel="1" collapsed="false">
      <c r="A15" s="3" t="s">
        <v>48</v>
      </c>
      <c r="C15" s="9" t="str">
        <f aca="false">評價_DCF與目標價!C89</f>
        <v>情境區間上緣 $154.6 低於現價 $249.87：賣出在三個擴張情境下都成立。</v>
      </c>
    </row>
    <row r="17" customFormat="false" ht="15" hidden="false" customHeight="false" outlineLevel="0" collapsed="false">
      <c r="A17" s="6" t="s">
        <v>49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1" collapsed="false">
      <c r="A18" s="13" t="s">
        <v>50</v>
      </c>
      <c r="B18" s="13" t="s">
        <v>51</v>
      </c>
      <c r="C18" s="14" t="s">
        <v>52</v>
      </c>
      <c r="D18" s="14" t="s">
        <v>53</v>
      </c>
      <c r="E18" s="14" t="s">
        <v>54</v>
      </c>
    </row>
    <row r="19" customFormat="false" ht="15" hidden="false" customHeight="false" outlineLevel="1" collapsed="false">
      <c r="A19" s="3" t="s">
        <v>55</v>
      </c>
      <c r="B19" s="10" t="s">
        <v>56</v>
      </c>
      <c r="C19" s="9" t="n">
        <f aca="false">損益!C26</f>
        <v>3.0345</v>
      </c>
      <c r="D19" s="9" t="n">
        <f aca="false">損益!D26</f>
        <v>10.8054</v>
      </c>
      <c r="E19" s="9" t="n">
        <f aca="false">損益!E26</f>
        <v>22.8201</v>
      </c>
    </row>
    <row r="20" customFormat="false" ht="15" hidden="false" customHeight="false" outlineLevel="1" collapsed="false">
      <c r="A20" s="3" t="s">
        <v>57</v>
      </c>
      <c r="B20" s="10" t="s">
        <v>56</v>
      </c>
      <c r="C20" s="9" t="n">
        <f aca="false">輸入與假設!$C$228</f>
        <v>3.379</v>
      </c>
      <c r="D20" s="9" t="n">
        <f aca="false">輸入與假設!$D$228</f>
        <v>11.418</v>
      </c>
      <c r="E20" s="9" t="n">
        <f aca="false">輸入與假設!$E$228</f>
        <v>21.458</v>
      </c>
    </row>
    <row r="21" customFormat="false" ht="15" hidden="false" customHeight="false" outlineLevel="1" collapsed="false">
      <c r="A21" s="3" t="s">
        <v>58</v>
      </c>
      <c r="B21" s="10" t="s">
        <v>42</v>
      </c>
      <c r="C21" s="12" t="n">
        <f aca="false">C19/C20-1</f>
        <v>-0.101953240603729</v>
      </c>
      <c r="D21" s="12" t="n">
        <f aca="false">D19/D20-1</f>
        <v>-0.0536521282186022</v>
      </c>
      <c r="E21" s="12" t="n">
        <f aca="false">E19/E20-1</f>
        <v>0.0634774909124802</v>
      </c>
    </row>
    <row r="22" customFormat="false" ht="15" hidden="false" customHeight="false" outlineLevel="1" collapsed="false">
      <c r="A22" s="3" t="s">
        <v>59</v>
      </c>
      <c r="B22" s="10" t="s">
        <v>56</v>
      </c>
      <c r="C22" s="9" t="n">
        <f aca="false">輸入與假設!$C$197+損益!C19</f>
        <v>1.2921404</v>
      </c>
      <c r="D22" s="9" t="n">
        <f aca="false">損益!D31</f>
        <v>5.15634735</v>
      </c>
      <c r="E22" s="9" t="n">
        <f aca="false">損益!E31</f>
        <v>10.93951835</v>
      </c>
    </row>
    <row r="23" customFormat="false" ht="15" hidden="false" customHeight="false" outlineLevel="1" collapsed="false">
      <c r="A23" s="3" t="s">
        <v>60</v>
      </c>
      <c r="B23" s="10" t="s">
        <v>56</v>
      </c>
      <c r="C23" s="9" t="n">
        <f aca="false">輸入與假設!$C$229</f>
        <v>1.338</v>
      </c>
      <c r="D23" s="9" t="n">
        <f aca="false">輸入與假設!$D$229</f>
        <v>6.194</v>
      </c>
      <c r="E23" s="9" t="n">
        <f aca="false">輸入與假設!$E$229</f>
        <v>13.404</v>
      </c>
    </row>
    <row r="24" customFormat="false" ht="15" hidden="false" customHeight="false" outlineLevel="1" collapsed="false">
      <c r="A24" s="3" t="s">
        <v>61</v>
      </c>
      <c r="B24" s="10" t="s">
        <v>42</v>
      </c>
      <c r="C24" s="12" t="n">
        <f aca="false">C22/C23-1</f>
        <v>-0.0342747384155456</v>
      </c>
      <c r="D24" s="12" t="n">
        <f aca="false">D22/D23-1</f>
        <v>-0.167525452050372</v>
      </c>
      <c r="E24" s="12" t="n">
        <f aca="false">E22/E23-1</f>
        <v>-0.183861656968069</v>
      </c>
      <c r="I24" s="10" t="s">
        <v>62</v>
      </c>
    </row>
    <row r="25" customFormat="false" ht="15" hidden="false" customHeight="false" outlineLevel="1" collapsed="false">
      <c r="A25" s="3" t="s">
        <v>63</v>
      </c>
      <c r="B25" s="10" t="s">
        <v>56</v>
      </c>
      <c r="C25" s="9" t="n">
        <f aca="false">C22-C23</f>
        <v>-0.0458596</v>
      </c>
      <c r="D25" s="9" t="n">
        <f aca="false">D22-D23</f>
        <v>-1.03765265</v>
      </c>
      <c r="E25" s="9" t="n">
        <f aca="false">E22-E23</f>
        <v>-2.46448165</v>
      </c>
      <c r="I25" s="5" t="s">
        <v>64</v>
      </c>
    </row>
    <row r="26" customFormat="false" ht="15" hidden="false" customHeight="false" outlineLevel="1" collapsed="false">
      <c r="A26" s="3" t="s">
        <v>65</v>
      </c>
      <c r="B26" s="10" t="s">
        <v>42</v>
      </c>
      <c r="C26" s="12" t="n">
        <f aca="false">C22/C19</f>
        <v>0.425816576042182</v>
      </c>
      <c r="D26" s="12" t="n">
        <f aca="false">D22/D19</f>
        <v>0.477200968959964</v>
      </c>
      <c r="E26" s="12" t="n">
        <f aca="false">E22/E19</f>
        <v>0.47938082436098</v>
      </c>
    </row>
    <row r="27" customFormat="false" ht="15" hidden="false" customHeight="false" outlineLevel="1" collapsed="false">
      <c r="A27" s="3" t="s">
        <v>66</v>
      </c>
      <c r="B27" s="10" t="s">
        <v>42</v>
      </c>
      <c r="C27" s="12" t="n">
        <f aca="false">輸入與假設!$C$230</f>
        <v>0.396</v>
      </c>
      <c r="D27" s="12" t="n">
        <f aca="false">輸入與假設!$D$230</f>
        <v>0.542</v>
      </c>
      <c r="E27" s="12" t="n">
        <f aca="false">輸入與假設!$E$230</f>
        <v>0.625</v>
      </c>
    </row>
    <row r="28" customFormat="false" ht="15" hidden="false" customHeight="false" outlineLevel="1" collapsed="false">
      <c r="A28" s="3" t="s">
        <v>67</v>
      </c>
      <c r="B28" s="10" t="s">
        <v>68</v>
      </c>
      <c r="C28" s="12" t="n">
        <f aca="false">C26-C27</f>
        <v>0.0298165760421816</v>
      </c>
      <c r="D28" s="12" t="n">
        <f aca="false">D26-D27</f>
        <v>-0.0647990310400356</v>
      </c>
      <c r="E28" s="12" t="n">
        <f aca="false">E26-E27</f>
        <v>-0.14561917563902</v>
      </c>
      <c r="I28" s="10" t="s">
        <v>69</v>
      </c>
    </row>
    <row r="29" customFormat="false" ht="15" hidden="false" customHeight="false" outlineLevel="1" collapsed="false">
      <c r="A29" s="3" t="s">
        <v>70</v>
      </c>
      <c r="B29" s="10" t="s">
        <v>56</v>
      </c>
      <c r="C29" s="9" t="n">
        <f aca="false">輸入與假設!$C$181+輸入與假設!C$90</f>
        <v>29.0696</v>
      </c>
      <c r="D29" s="9" t="n">
        <f aca="false">輸入與假設!D$90</f>
        <v>29.1508</v>
      </c>
      <c r="E29" s="9" t="n">
        <f aca="false">輸入與假設!E$90</f>
        <v>29.1508</v>
      </c>
    </row>
    <row r="30" customFormat="false" ht="15" hidden="false" customHeight="false" outlineLevel="1" collapsed="false">
      <c r="A30" s="3" t="s">
        <v>71</v>
      </c>
      <c r="B30" s="10" t="s">
        <v>56</v>
      </c>
      <c r="C30" s="9" t="n">
        <f aca="false">輸入與假設!$C$234</f>
        <v>22.489</v>
      </c>
      <c r="D30" s="9" t="n">
        <f aca="false">輸入與假設!$D$234</f>
        <v>27.243</v>
      </c>
      <c r="E30" s="9" t="n">
        <f aca="false">輸入與假設!$E$234</f>
        <v>38.39</v>
      </c>
    </row>
    <row r="31" customFormat="false" ht="15" hidden="false" customHeight="false" outlineLevel="1" collapsed="false">
      <c r="A31" s="3" t="s">
        <v>72</v>
      </c>
      <c r="B31" s="10" t="s">
        <v>42</v>
      </c>
      <c r="C31" s="12" t="n">
        <f aca="false">C29/C30-1</f>
        <v>0.292614166926052</v>
      </c>
      <c r="D31" s="12" t="n">
        <f aca="false">D29/D30-1</f>
        <v>0.0700289982747862</v>
      </c>
      <c r="E31" s="12" t="n">
        <f aca="false">E29/E30-1</f>
        <v>-0.240666840323001</v>
      </c>
      <c r="I31" s="5" t="s">
        <v>73</v>
      </c>
    </row>
    <row r="32" customFormat="false" ht="15" hidden="false" customHeight="false" outlineLevel="1" collapsed="false">
      <c r="A32" s="3" t="s">
        <v>74</v>
      </c>
      <c r="B32" s="10" t="s">
        <v>56</v>
      </c>
      <c r="C32" s="9" t="n">
        <f aca="false">資產負債_新債與新股!C24</f>
        <v>6.04982001826012</v>
      </c>
      <c r="D32" s="9" t="n">
        <f aca="false">資產負債_新債與新股!D24</f>
        <v>20.741161</v>
      </c>
      <c r="E32" s="9" t="n">
        <f aca="false">資產負債_新債與新股!E24</f>
        <v>26.790802</v>
      </c>
    </row>
    <row r="33" customFormat="false" ht="15" hidden="false" customHeight="false" outlineLevel="1" collapsed="false">
      <c r="A33" s="3" t="s">
        <v>75</v>
      </c>
      <c r="B33" s="10" t="s">
        <v>56</v>
      </c>
      <c r="C33" s="9" t="n">
        <f aca="false">輸入與假設!$C$236</f>
        <v>15.446</v>
      </c>
      <c r="D33" s="9" t="n">
        <f aca="false">輸入與假設!$D$236</f>
        <v>31.876</v>
      </c>
      <c r="E33" s="9" t="n">
        <f aca="false">輸入與假設!$E$236</f>
        <v>38.685</v>
      </c>
    </row>
    <row r="34" customFormat="false" ht="15" hidden="false" customHeight="false" outlineLevel="1" collapsed="false">
      <c r="A34" s="3" t="s">
        <v>76</v>
      </c>
      <c r="B34" s="10" t="s">
        <v>42</v>
      </c>
      <c r="C34" s="12" t="n">
        <f aca="false">C32/C33-1</f>
        <v>-0.608324484121448</v>
      </c>
      <c r="D34" s="12" t="n">
        <f aca="false">D32/D33-1</f>
        <v>-0.34931732337809</v>
      </c>
      <c r="E34" s="12" t="n">
        <f aca="false">E32/E33-1</f>
        <v>-0.307462789194778</v>
      </c>
      <c r="I34" s="5" t="s">
        <v>77</v>
      </c>
    </row>
    <row r="35" customFormat="false" ht="15" hidden="false" customHeight="false" outlineLevel="1" collapsed="false">
      <c r="A35" s="3" t="s">
        <v>78</v>
      </c>
      <c r="B35" s="10" t="s">
        <v>56</v>
      </c>
      <c r="C35" s="9" t="n">
        <f aca="false">C32-C33</f>
        <v>-9.39617998173988</v>
      </c>
      <c r="D35" s="9" t="n">
        <f aca="false">D32-D33</f>
        <v>-11.134839</v>
      </c>
      <c r="E35" s="9" t="n">
        <f aca="false">E32-E33</f>
        <v>-11.894198</v>
      </c>
      <c r="I35" s="5" t="s">
        <v>64</v>
      </c>
    </row>
    <row r="36" customFormat="false" ht="15" hidden="false" customHeight="false" outlineLevel="1" collapsed="false">
      <c r="A36" s="3" t="s">
        <v>79</v>
      </c>
      <c r="C36" s="9" t="str">
        <f aca="false">MID(IF(ABS(C21)&gt;輸入與假設!$C$273,"、營收 "&amp;IF(C21&lt;0,"−","+")&amp;TEXT(ABS(C21)*100,"0.0")&amp;"%","")&amp;IF(ABS(C24)&gt;輸入與假設!$C$273,"、EBITDA "&amp;IF(C25&lt;0,"−","+")&amp;"$"&amp;TEXT(ABS(C25),"#,##0.00")&amp;"bn"&amp;"／"&amp;IF(C28&lt;0,"−","+")&amp;TEXT(ABS(C28)*100,"0.0")&amp;"pt","")&amp;IF(ABS(C31)&gt;輸入與假設!$C$273,"、CapEx "&amp;IF(C31&lt;0,"−","+")&amp;TEXT(ABS(C31)*100,"0.0")&amp;"%",""),2,999)</f>
        <v>營收 −10.2%、CapEx +29.3%</v>
      </c>
      <c r="D36" s="9" t="str">
        <f aca="false">MID(IF(ABS(D21)&gt;輸入與假設!$C$273,"、營收 "&amp;IF(D21&lt;0,"−","+")&amp;TEXT(ABS(D21)*100,"0.0")&amp;"%","")&amp;IF(ABS(D24)&gt;輸入與假設!$C$273,"、EBITDA "&amp;IF(D25&lt;0,"−","+")&amp;"$"&amp;TEXT(ABS(D25),"#,##0.00")&amp;"bn"&amp;"／"&amp;IF(D28&lt;0,"−","+")&amp;TEXT(ABS(D28)*100,"0.0")&amp;"pt","")&amp;IF(ABS(D31)&gt;輸入與假設!$C$273,"、CapEx "&amp;IF(D31&lt;0,"−","+")&amp;TEXT(ABS(D31)*100,"0.0")&amp;"%",""),2,999)</f>
        <v>營收 −5.4%、EBITDA −$1.04bn／−6.5pt、CapEx +7.0%</v>
      </c>
      <c r="E36" s="9" t="str">
        <f aca="false">MID(IF(ABS(E21)&gt;輸入與假設!$C$273,"、營收 "&amp;IF(E21&lt;0,"−","+")&amp;TEXT(ABS(E21)*100,"0.0")&amp;"%","")&amp;IF(ABS(E24)&gt;輸入與假設!$C$273,"、EBITDA "&amp;IF(E25&lt;0,"−","+")&amp;"$"&amp;TEXT(ABS(E25),"#,##0.00")&amp;"bn"&amp;"／"&amp;IF(E28&lt;0,"−","+")&amp;TEXT(ABS(E28)*100,"0.0")&amp;"pt","")&amp;IF(ABS(E31)&gt;輸入與假設!$C$273,"、CapEx "&amp;IF(E31&lt;0,"−","+")&amp;TEXT(ABS(E31)*100,"0.0")&amp;"%",""),2,999)</f>
        <v>營收 +6.3%、EBITDA −$2.46bn／−14.6pt、CapEx −24.1%</v>
      </c>
      <c r="I36" s="5" t="s">
        <v>80</v>
      </c>
    </row>
    <row r="37" customFormat="false" ht="15" hidden="false" customHeight="false" outlineLevel="1" collapsed="false">
      <c r="A37" s="3" t="s">
        <v>81</v>
      </c>
      <c r="C37" s="8" t="n">
        <f aca="false">IF(C36&lt;&gt;"",1,IF(D36&lt;&gt;"",2,IF(E36&lt;&gt;"",3,0)))</f>
        <v>1</v>
      </c>
    </row>
    <row r="38" customFormat="false" ht="15" hidden="false" customHeight="false" outlineLevel="1" collapsed="false">
      <c r="A38" s="2" t="s">
        <v>82</v>
      </c>
      <c r="C38" s="9" t="str">
        <f aca="false">CHOOSE(C37+1,"FY26–FY28 營收、EBITDA、CapEx 與共識差距皆在 "&amp;IF(ROUND(ABS(輸入與假設!$C$273)*100,4)=INT(ROUND(ABS(輸入與假設!$C$273)*100,4)),TEXT(ROUND(ABS(輸入與假設!$C$273)*100,4),"0"),TEXT(ROUND(ABS(輸入與假設!$C$273)*100,4),"0.0"))&amp;"%"&amp;" 以內。","分歧始於 FY26（"&amp;C36&amp;"）"&amp;"；FY27 "&amp;IF(D36="","回到 "&amp;IF(ROUND(ABS(輸入與假設!$C$273)*100,4)=INT(ROUND(ABS(輸入與假設!$C$273)*100,4)),TEXT(ROUND(ABS(輸入與假設!$C$273)*100,4),"0"),TEXT(ROUND(ABS(輸入與假設!$C$273)*100,4),"0.0"))&amp;"%"&amp;" 以內",D36)&amp;"；FY28 "&amp;IF(E36="","回到 "&amp;IF(ROUND(ABS(輸入與假設!$C$273)*100,4)=INT(ROUND(ABS(輸入與假設!$C$273)*100,4)),TEXT(ROUND(ABS(輸入與假設!$C$273)*100,4),"0"),TEXT(ROUND(ABS(輸入與假設!$C$273)*100,4),"0.0"))&amp;"%"&amp;" 以內",E36)&amp;"。","FY26 營收、EBITDA、CapEx 與共識差距在 "&amp;IF(ROUND(ABS(輸入與假設!$C$273)*100,4)=INT(ROUND(ABS(輸入與假設!$C$273)*100,4)),TEXT(ROUND(ABS(輸入與假設!$C$273)*100,4),"0"),TEXT(ROUND(ABS(輸入與假設!$C$273)*100,4),"0.0"))&amp;"%"&amp;" 以內；分歧始於 FY27（"&amp;D36&amp;"）"&amp;"；FY28 "&amp;IF(E36="","回到 "&amp;IF(ROUND(ABS(輸入與假設!$C$273)*100,4)=INT(ROUND(ABS(輸入與假設!$C$273)*100,4)),TEXT(ROUND(ABS(輸入與假設!$C$273)*100,4),"0"),TEXT(ROUND(ABS(輸入與假設!$C$273)*100,4),"0.0"))&amp;"%"&amp;" 以內",E36)&amp;"。","FY26–FY27 營收、EBITDA、CapEx 與共識差距在 "&amp;IF(ROUND(ABS(輸入與假設!$C$273)*100,4)=INT(ROUND(ABS(輸入與假設!$C$273)*100,4)),TEXT(ROUND(ABS(輸入與假設!$C$273)*100,4),"0"),TEXT(ROUND(ABS(輸入與假設!$C$273)*100,4),"0.0"))&amp;"%"&amp;" 以內；分歧始於 FY28（"&amp;E36&amp;"）。")</f>
        <v>分歧始於 FY26（營收 −10.2%、CapEx +29.3%）；FY27 營收 −5.4%、EBITDA −$1.04bn／−6.5pt、CapEx +7.0%；FY28 營收 +6.3%、EBITDA −$2.46bn／−14.6pt、CapEx −24.1%。</v>
      </c>
    </row>
    <row r="39" customFormat="false" ht="15" hidden="false" customHeight="false" outlineLevel="1" collapsed="false">
      <c r="A39" s="3" t="s">
        <v>83</v>
      </c>
      <c r="C39" s="9" t="str">
        <f aca="false">IF(ABS(C21)&gt;輸入與假設!$C$273,"觀點","")</f>
        <v>觀點</v>
      </c>
      <c r="D39" s="9" t="str">
        <f aca="false">IF(ABS(C21)&gt;輸入與假設!$C$273,"營收＝可計費 MW × 每 MW 年收入（Tokenomics 正向推導）；首期以最新季實際營收年化校準期初可計費 MW，可計費 MW 依爬坡係數（60%／80%／100%）收斂到已連網 MW（v0.1c）；年底已連網 "&amp;IF((輸入與假設!C$39)&lt;0,"−","")&amp;TEXT(ABS((輸入與假設!C$39)),"#,##0")&amp;" MW（目前情境）；共識未揭露 MW 假設","")</f>
        <v>營收＝可計費 MW × 每 MW 年收入（Tokenomics 正向推導）；首期以最新季實際營收年化校準期初可計費 MW，可計費 MW 依爬坡係數（60%／80%／100%）收斂到已連網 MW（v0.1c）；年底已連網 750 MW（目前情境）；共識未揭露 MW 假設</v>
      </c>
      <c r="I39" s="10" t="s">
        <v>84</v>
      </c>
    </row>
    <row r="40" customFormat="false" ht="15" hidden="false" customHeight="false" outlineLevel="1" collapsed="false">
      <c r="A40" s="3" t="s">
        <v>85</v>
      </c>
      <c r="C40" s="9" t="str">
        <f aca="false">IF(ABS(C28)&gt;輸入與假設!$C$274,"觀點","")</f>
        <v>觀點</v>
      </c>
      <c r="D40" s="9" t="str">
        <f aca="false">IF(ABS(C28)&gt;輸入與假設!$C$274,"營收差距 "&amp;IF((C21)&lt;0,"−","+")&amp;TEXT(ABS((C21))*100,"#,##0.0")&amp;"%"&amp;"；EBITDA 率 "&amp;IF((C26)&lt;0,"−","")&amp;TEXT(ABS((C26))*100,"#,##0.0")&amp;"%"&amp;" 對共識 "&amp;IF((C27)&lt;0,"−","")&amp;TEXT(ABS((C27))*100,"#,##0.0")&amp;"%"&amp;"（模型由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−10.2%；EBITDA 率 42.6% 對共識 39.6%（模型由 50% 走向穩態 47%，取可觀察 neocloud 區間）</v>
      </c>
    </row>
    <row r="41" customFormat="false" ht="15" hidden="false" customHeight="false" outlineLevel="1" collapsed="false">
      <c r="A41" s="3" t="s">
        <v>86</v>
      </c>
      <c r="C41" s="9" t="str">
        <f aca="false">IF(ABS(C31)&gt;輸入與假設!$C$273,"觀點","")</f>
        <v>觀點</v>
      </c>
      <c r="D41" s="9" t="str">
        <f aca="false">IF(ABS(C31)&gt;輸入與假設!$C$273,"CapEx 依新增 MW 計算：新增 "&amp;IF((輸入與假設!C$83)&lt;0,"−","")&amp;TEXT(ABS((輸入與假設!C$83)),"#,##0")&amp;" MW × 每 MW $"&amp;IF((輸入與假設!C$69)&lt;0,"−","")&amp;TEXT(ABS((輸入與假設!C$69)),"#,##0")&amp;"m（含次年預建）；共識口徑未揭露","")</f>
        <v>CapEx 依新增 MW 計算：新增 580 MW × 每 MW $50m（含次年預建）；共識口徑未揭露</v>
      </c>
    </row>
    <row r="42" customFormat="false" ht="15" hidden="false" customHeight="false" outlineLevel="1" collapsed="false">
      <c r="A42" s="3" t="s">
        <v>87</v>
      </c>
      <c r="C42" s="9" t="str">
        <f aca="false">IF(ABS(C34)&gt;輸入與假設!$C$273,"觀點","")</f>
        <v>觀點</v>
      </c>
      <c r="D42" s="9" t="str">
        <f aca="false">IF(ABS(C34)&gt;輸入與假設!$C$273,"淨負債隨 CapEx、客戶預付與融資需求而定（模型 CapEx 差距 "&amp;IF((C31)&lt;0,"−","+")&amp;TEXT(ABS((C31))*100,"#,##0.0")&amp;"%"&amp;"）；共識淨負債口徑未揭露","")</f>
        <v>淨負債隨 CapEx、客戶預付與融資需求而定（模型 CapEx 差距 +29.3%）；共識淨負債口徑未揭露</v>
      </c>
    </row>
    <row r="43" customFormat="false" ht="15" hidden="false" customHeight="false" outlineLevel="1" collapsed="false">
      <c r="A43" s="3" t="s">
        <v>88</v>
      </c>
      <c r="C43" s="9" t="str">
        <f aca="false">IF(ABS(D21)&gt;輸入與假設!$C$273,"觀點","")</f>
        <v>觀點</v>
      </c>
      <c r="D43" s="9" t="str">
        <f aca="false">IF(ABS(D21)&gt;輸入與假設!$C$273,"營收＝可計費 MW × 每 MW 年收入（Tokenomics 正向推導）；首期以最新季實際營收年化校準期初可計費 MW，可計費 MW 依爬坡係數（60%／80%／100%）收斂到已連網 MW（v0.1c）；年底已連網 "&amp;IF((輸入與假設!D$39)&lt;0,"−","")&amp;TEXT(ABS((輸入與假設!D$39)),"#,##0")&amp;" MW（目前情境）；共識未揭露 MW 假設","")</f>
        <v>營收＝可計費 MW × 每 MW 年收入（Tokenomics 正向推導）；首期以最新季實際營收年化校準期初可計費 MW，可計費 MW 依爬坡係數（60%／80%／100%）收斂到已連網 MW（v0.1c）；年底已連網 1,330 MW（目前情境）；共識未揭露 MW 假設</v>
      </c>
    </row>
    <row r="44" customFormat="false" ht="15" hidden="false" customHeight="false" outlineLevel="1" collapsed="false">
      <c r="A44" s="3" t="s">
        <v>89</v>
      </c>
      <c r="C44" s="9" t="str">
        <f aca="false">IF(ABS(D28)&gt;輸入與假設!$C$274,"觀點","")</f>
        <v>觀點</v>
      </c>
      <c r="D44" s="9" t="str">
        <f aca="false">IF(ABS(D28)&gt;輸入與假設!$C$274,"營收差距 "&amp;IF((D21)&lt;0,"−","+")&amp;TEXT(ABS((D21))*100,"#,##0.0")&amp;"%"&amp;"；EBITDA 率 "&amp;IF((D26)&lt;0,"−","")&amp;TEXT(ABS((D26))*100,"#,##0.0")&amp;"%"&amp;" 對共識 "&amp;IF((D27)&lt;0,"−","")&amp;TEXT(ABS((D27))*100,"#,##0.0")&amp;"%"&amp;"（模型由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−5.4%；EBITDA 率 47.7% 對共識 54.2%（模型由 50% 走向穩態 47%，取可觀察 neocloud 區間）</v>
      </c>
    </row>
    <row r="45" customFormat="false" ht="15" hidden="false" customHeight="false" outlineLevel="1" collapsed="false">
      <c r="A45" s="3" t="s">
        <v>90</v>
      </c>
      <c r="C45" s="9" t="str">
        <f aca="false">IF(ABS(D31)&gt;輸入與假設!$C$273,"觀點","")</f>
        <v>觀點</v>
      </c>
      <c r="D45" s="9" t="str">
        <f aca="false">IF(ABS(D31)&gt;輸入與假設!$C$273,"CapEx 依新增 MW 計算：新增 "&amp;IF((輸入與假設!D$83)&lt;0,"−","")&amp;TEXT(ABS((輸入與假設!D$83)),"#,##0")&amp;" MW × 每 MW $"&amp;IF((輸入與假設!D$69)&lt;0,"−","")&amp;TEXT(ABS((輸入與假設!D$69)),"#,##0")&amp;"m（含次年預建）；共識口徑未揭露","")</f>
        <v>CapEx 依新增 MW 計算：新增 580 MW × 每 MW $50m（含次年預建）；共識口徑未揭露</v>
      </c>
    </row>
    <row r="46" customFormat="false" ht="15" hidden="false" customHeight="false" outlineLevel="1" collapsed="false">
      <c r="A46" s="3" t="s">
        <v>91</v>
      </c>
      <c r="C46" s="9" t="str">
        <f aca="false">IF(ABS(D34)&gt;輸入與假設!$C$273,"觀點","")</f>
        <v>觀點</v>
      </c>
      <c r="D46" s="9" t="str">
        <f aca="false">IF(ABS(D34)&gt;輸入與假設!$C$273,"淨負債隨 CapEx、客戶預付與融資需求而定（模型 CapEx 差距 "&amp;IF((D31)&lt;0,"−","+")&amp;TEXT(ABS((D31))*100,"#,##0.0")&amp;"%"&amp;"）；共識淨負債口徑未揭露","")</f>
        <v>淨負債隨 CapEx、客戶預付與融資需求而定（模型 CapEx 差距 +7.0%）；共識淨負債口徑未揭露</v>
      </c>
    </row>
    <row r="47" customFormat="false" ht="15" hidden="false" customHeight="false" outlineLevel="1" collapsed="false">
      <c r="A47" s="3" t="s">
        <v>92</v>
      </c>
      <c r="C47" s="9" t="str">
        <f aca="false">IF(ABS(E21)&gt;輸入與假設!$C$273,"觀點","")</f>
        <v>觀點</v>
      </c>
      <c r="D47" s="9" t="str">
        <f aca="false">IF(ABS(E21)&gt;輸入與假設!$C$273,"營收＝可計費 MW × 每 MW 年收入（Tokenomics 正向推導）；首期以最新季實際營收年化校準期初可計費 MW，可計費 MW 依爬坡係數（60%／80%／100%）收斂到已連網 MW（v0.1c）；年底已連網 "&amp;IF((輸入與假設!E$39)&lt;0,"−","")&amp;TEXT(ABS((輸入與假設!E$39)),"#,##0")&amp;" MW（目前情境）；共識未揭露 MW 假設","")</f>
        <v>營收＝可計費 MW × 每 MW 年收入（Tokenomics 正向推導）；首期以最新季實際營收年化校準期初可計費 MW，可計費 MW 依爬坡係數（60%／80%／100%）收斂到已連網 MW（v0.1c）；年底已連網 1,910 MW（目前情境）；共識未揭露 MW 假設</v>
      </c>
    </row>
    <row r="48" customFormat="false" ht="15" hidden="false" customHeight="false" outlineLevel="1" collapsed="false">
      <c r="A48" s="3" t="s">
        <v>93</v>
      </c>
      <c r="C48" s="9" t="str">
        <f aca="false">IF(ABS(E28)&gt;輸入與假設!$C$274,"觀點","")</f>
        <v>觀點</v>
      </c>
      <c r="D48" s="9" t="str">
        <f aca="false">IF(ABS(E28)&gt;輸入與假設!$C$274,"營收差距 "&amp;IF((E21)&lt;0,"−","+")&amp;TEXT(ABS((E21))*100,"#,##0.0")&amp;"%"&amp;"；EBITDA 率 "&amp;IF((E26)&lt;0,"−","")&amp;TEXT(ABS((E26))*100,"#,##0.0")&amp;"%"&amp;" 對共識 "&amp;IF((E27)&lt;0,"−","")&amp;TEXT(ABS((E27))*100,"#,##0.0")&amp;"%"&amp;"（模型由 "&amp;IF((輸入與假設!$C$50)&lt;0,"−","")&amp;TEXT(ABS((輸入與假設!$C$50))*100,"#,##0")&amp;"%"&amp;" 走向穩態 "&amp;IF((輸入與假設!$C$51)&lt;0,"−","")&amp;TEXT(ABS((輸入與假設!$C$51))*100,"#,##0")&amp;"%"&amp;"，取可觀察 neocloud 區間）","")</f>
        <v>營收差距 +6.3%；EBITDA 率 47.9% 對共識 62.5%（模型由 50% 走向穩態 47%，取可觀察 neocloud 區間）</v>
      </c>
    </row>
    <row r="49" customFormat="false" ht="15" hidden="false" customHeight="false" outlineLevel="1" collapsed="false">
      <c r="A49" s="3" t="s">
        <v>94</v>
      </c>
      <c r="C49" s="9" t="str">
        <f aca="false">IF(ABS(E31)&gt;輸入與假設!$C$273,"觀點","")</f>
        <v>觀點</v>
      </c>
      <c r="D49" s="9" t="str">
        <f aca="false">IF(ABS(E31)&gt;輸入與假設!$C$273,"CapEx 依新增 MW 計算：新增 "&amp;IF((輸入與假設!E$83)&lt;0,"−","")&amp;TEXT(ABS((輸入與假設!E$83)),"#,##0")&amp;" MW × 每 MW $"&amp;IF((輸入與假設!E$69)&lt;0,"−","")&amp;TEXT(ABS((輸入與假設!E$69)),"#,##0")&amp;"m（含次年預建）；共識口徑未揭露","")</f>
        <v>CapEx 依新增 MW 計算：新增 580 MW × 每 MW $50m（含次年預建）；共識口徑未揭露</v>
      </c>
    </row>
    <row r="50" customFormat="false" ht="15" hidden="false" customHeight="false" outlineLevel="1" collapsed="false">
      <c r="A50" s="3" t="s">
        <v>95</v>
      </c>
      <c r="C50" s="9" t="str">
        <f aca="false">IF(ABS(E34)&gt;輸入與假設!$C$273,"觀點","")</f>
        <v>觀點</v>
      </c>
      <c r="D50" s="9" t="str">
        <f aca="false">IF(ABS(E34)&gt;輸入與假設!$C$273,"淨負債隨 CapEx、客戶預付與融資需求而定（模型 CapEx 差距 "&amp;IF((E31)&lt;0,"−","+")&amp;TEXT(ABS((E31))*100,"#,##0.0")&amp;"%"&amp;"）；共識淨負債口徑未揭露","")</f>
        <v>淨負債隨 CapEx、客戶預付與融資需求而定（模型 CapEx 差距 −24.1%）；共識淨負債口徑未揭露</v>
      </c>
    </row>
    <row r="51" customFormat="false" ht="15" hidden="false" customHeight="false" outlineLevel="1" collapsed="false">
      <c r="A51" s="3" t="s">
        <v>96</v>
      </c>
      <c r="C51" s="8" t="n">
        <f aca="false">SUMPRODUCT(--(ABS(C21:E21)&gt;輸入與假設!$C$273))+SUMPRODUCT(--(ABS(C28:E28)&gt;輸入與假設!$C$274))+SUMPRODUCT(--(ABS(C31:E31)&gt;輸入與假設!$C$273))+SUMPRODUCT(--(ABS(C34:E34)&gt;輸入與假設!$C$273))</f>
        <v>12</v>
      </c>
      <c r="I51" s="5" t="s">
        <v>97</v>
      </c>
    </row>
    <row r="52" customFormat="false" ht="15" hidden="false" customHeight="false" outlineLevel="1" collapsed="false">
      <c r="A52" s="3" t="s">
        <v>98</v>
      </c>
      <c r="C52" s="9" t="str">
        <f aca="false">IF(C51=0,"","需附原因的 "&amp;C51&amp;" 項差距："&amp;MID(IF((COUNTIF(C39,"觀點")+COUNTIF(C40,"觀點")+COUNTIF(C41,"觀點")+COUNTIF(C42,"觀點")+COUNTIF(C43,"觀點")+COUNTIF(C44,"觀點")+COUNTIF(C45,"觀點")+COUNTIF(C46,"觀點")+COUNTIF(C47,"觀點")+COUNTIF(C48,"觀點")+COUNTIF(C49,"觀點")+COUNTIF(C50,"觀點"))&gt;0,"、觀點 "&amp;(COUNTIF(C39,"觀點")+COUNTIF(C40,"觀點")+COUNTIF(C41,"觀點")+COUNTIF(C42,"觀點")+COUNTIF(C43,"觀點")+COUNTIF(C44,"觀點")+COUNTIF(C45,"觀點")+COUNTIF(C46,"觀點")+COUNTIF(C47,"觀點")+COUNTIF(C48,"觀點")+COUNTIF(C49,"觀點")+COUNTIF(C50,"觀點"))&amp;" 項","")&amp;IF((COUNTIF(C39,"拆法")+COUNTIF(C40,"拆法")+COUNTIF(C41,"拆法")+COUNTIF(C42,"拆法")+COUNTIF(C43,"拆法")+COUNTIF(C44,"拆法")+COUNTIF(C45,"拆法")+COUNTIF(C46,"拆法")+COUNTIF(C47,"拆法")+COUNTIF(C48,"拆法")+COUNTIF(C49,"拆法")+COUNTIF(C50,"拆法"))&gt;0,"、拆法 "&amp;(COUNTIF(C39,"拆法")+COUNTIF(C40,"拆法")+COUNTIF(C41,"拆法")+COUNTIF(C42,"拆法")+COUNTIF(C43,"拆法")+COUNTIF(C44,"拆法")+COUNTIF(C45,"拆法")+COUNTIF(C46,"拆法")+COUNTIF(C47,"拆法")+COUNTIF(C48,"拆法")+COUNTIF(C49,"拆法")+COUNTIF(C50,"拆法"))&amp;" 項","")&amp;IF(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&gt;0,"、已知限制 "&amp;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&amp;" 項","")&amp;IF((C51-((COUNTIF(C39,"觀點")+COUNTIF(C40,"觀點")+COUNTIF(C41,"觀點")+COUNTIF(C42,"觀點")+COUNTIF(C43,"觀點")+COUNTIF(C44,"觀點")+COUNTIF(C45,"觀點")+COUNTIF(C46,"觀點")+COUNTIF(C47,"觀點")+COUNTIF(C48,"觀點")+COUNTIF(C49,"觀點")+COUNTIF(C50,"觀點"))+(COUNTIF(C39,"拆法")+COUNTIF(C40,"拆法")+COUNTIF(C41,"拆法")+COUNTIF(C42,"拆法")+COUNTIF(C43,"拆法")+COUNTIF(C44,"拆法")+COUNTIF(C45,"拆法")+COUNTIF(C46,"拆法")+COUNTIF(C47,"拆法")+COUNTIF(C48,"拆法")+COUNTIF(C49,"拆法")+COUNTIF(C50,"拆法"))+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))&gt;0,"、未歸類 "&amp;(C51-((COUNTIF(C39,"觀點")+COUNTIF(C40,"觀點")+COUNTIF(C41,"觀點")+COUNTIF(C42,"觀點")+COUNTIF(C43,"觀點")+COUNTIF(C44,"觀點")+COUNTIF(C45,"觀點")+COUNTIF(C46,"觀點")+COUNTIF(C47,"觀點")+COUNTIF(C48,"觀點")+COUNTIF(C49,"觀點")+COUNTIF(C50,"觀點"))+(COUNTIF(C39,"拆法")+COUNTIF(C40,"拆法")+COUNTIF(C41,"拆法")+COUNTIF(C42,"拆法")+COUNTIF(C43,"拆法")+COUNTIF(C44,"拆法")+COUNTIF(C45,"拆法")+COUNTIF(C46,"拆法")+COUNTIF(C47,"拆法")+COUNTIF(C48,"拆法")+COUNTIF(C49,"拆法")+COUNTIF(C50,"拆法"))+(COUNTIF(C39,"已知限制")+COUNTIF(C40,"已知限制")+COUNTIF(C41,"已知限制")+COUNTIF(C42,"已知限制")+COUNTIF(C43,"已知限制")+COUNTIF(C44,"已知限制")+COUNTIF(C45,"已知限制")+COUNTIF(C46,"已知限制")+COUNTIF(C47,"已知限制")+COUNTIF(C48,"已知限制")+COUNTIF(C49,"已知限制")+COUNTIF(C50,"已知限制"))))&amp;" 項",""),2,999)&amp;"；原因見「損益與評價 → 市場共識」。")</f>
        <v>需附原因的 12 項差距：觀點 12 項；原因見「損益與評價 → 市場共識」。</v>
      </c>
      <c r="I52" s="5" t="s">
        <v>99</v>
      </c>
    </row>
    <row r="54" customFormat="false" ht="15" hidden="false" customHeight="false" outlineLevel="0" collapsed="false">
      <c r="A54" s="6" t="s">
        <v>100</v>
      </c>
      <c r="B54" s="7"/>
      <c r="C54" s="7"/>
      <c r="D54" s="7"/>
      <c r="E54" s="7"/>
      <c r="F54" s="7"/>
      <c r="G54" s="7"/>
      <c r="H54" s="7"/>
    </row>
    <row r="55" customFormat="false" ht="15" hidden="false" customHeight="false" outlineLevel="1" collapsed="false">
      <c r="A55" s="3" t="s">
        <v>101</v>
      </c>
      <c r="B55" s="10" t="s">
        <v>102</v>
      </c>
      <c r="C55" s="15" t="n">
        <f aca="false">(輸入與假設!$C$208*輸入與假設!$C$125+輸入與假設!$E$236)/輸入與假設!$E$229</f>
        <v>9.64130811698001</v>
      </c>
      <c r="I55" s="5" t="s">
        <v>103</v>
      </c>
    </row>
    <row r="56" customFormat="false" ht="15" hidden="false" customHeight="false" outlineLevel="1" collapsed="false">
      <c r="A56" s="3" t="s">
        <v>104</v>
      </c>
      <c r="B56" s="10" t="s">
        <v>102</v>
      </c>
      <c r="C56" s="15" t="n">
        <f aca="false">(輸入與假設!$C$124*輸入與假設!$C$125+輸入與假設!$E$236)/輸入與假設!$E$229</f>
        <v>8.83829386750224</v>
      </c>
      <c r="I56" s="5" t="s">
        <v>105</v>
      </c>
    </row>
    <row r="57" customFormat="false" ht="15" hidden="false" customHeight="false" outlineLevel="1" collapsed="false">
      <c r="A57" s="3" t="s">
        <v>106</v>
      </c>
      <c r="B57" s="10" t="s">
        <v>102</v>
      </c>
      <c r="C57" s="15" t="n">
        <f aca="false">MAX(輸入與假設!$C$145,輸入與假設!$C$146)</f>
        <v>6</v>
      </c>
      <c r="I57" s="5" t="s">
        <v>107</v>
      </c>
    </row>
    <row r="58" customFormat="false" ht="15" hidden="false" customHeight="false" outlineLevel="1" collapsed="false">
      <c r="A58" s="2" t="s">
        <v>108</v>
      </c>
      <c r="C58" s="9" t="str">
        <f aca="false">"共識平均目標價 $"&amp;TEXT(輸入與假設!$C$208,"0.00")&amp;" 隱含 FY28 EV/EBITDA "&amp;TEXT(C55,"0.0")&amp;"x，"&amp;IF(ROUND(C55,1)&gt;C57,"高於",IF(ROUND(C55,1)&lt;C57,"低於","等於"))&amp;"模型方法區間上緣 "&amp;IF(C57=INT(C57),TEXT(C57,"0"),TEXT(C57,"0.0"))&amp;"x；現價 $"&amp;TEXT(輸入與假設!$C$124,"0.00")&amp;" 隱含 "&amp;TEXT(C56,"0.0")&amp;"x。"</f>
        <v>共識平均目標價 $283.58 隱含 FY28 EV/EBITDA 9.6x，高於模型方法區間上緣 6x；現價 $249.87 隱含 8.8x。</v>
      </c>
    </row>
    <row r="59" customFormat="false" ht="15" hidden="false" customHeight="false" outlineLevel="1" collapsed="false">
      <c r="A59" s="3" t="s">
        <v>109</v>
      </c>
      <c r="C59" s="16" t="n">
        <f aca="false">評價_反向DCF!B18</f>
        <v>17.4</v>
      </c>
      <c r="D59" s="16" t="n">
        <f aca="false">評價_反向DCF!C18</f>
        <v>32.4806</v>
      </c>
      <c r="E59" s="12" t="n">
        <f aca="false">評價_反向DCF!D18</f>
        <v>0.8667</v>
      </c>
      <c r="I59" s="5" t="s">
        <v>110</v>
      </c>
    </row>
    <row r="60" customFormat="false" ht="15" hidden="false" customHeight="false" outlineLevel="1" collapsed="false">
      <c r="A60" s="3" t="s">
        <v>111</v>
      </c>
      <c r="C60" s="16" t="n">
        <f aca="false">評價_反向DCF!B19</f>
        <v>50.26</v>
      </c>
      <c r="D60" s="16" t="n">
        <f aca="false">評價_反向DCF!C19</f>
        <v>11.6296</v>
      </c>
      <c r="E60" s="12" t="n">
        <f aca="false">評價_反向DCF!D19</f>
        <v>-0.7686</v>
      </c>
    </row>
    <row r="61" customFormat="false" ht="15" hidden="false" customHeight="false" outlineLevel="1" collapsed="false">
      <c r="A61" s="3" t="s">
        <v>112</v>
      </c>
      <c r="C61" s="12" t="n">
        <f aca="false">評價_反向DCF!B20</f>
        <v>0.47</v>
      </c>
      <c r="D61" s="12" t="n">
        <f aca="false">評價_反向DCF!C20</f>
        <v>0.9059</v>
      </c>
      <c r="E61" s="12" t="n">
        <f aca="false">評價_反向DCF!D20</f>
        <v>0.4359</v>
      </c>
    </row>
    <row r="62" customFormat="false" ht="15" hidden="false" customHeight="false" outlineLevel="1" collapsed="false">
      <c r="A62" s="3" t="s">
        <v>113</v>
      </c>
      <c r="C62" s="16" t="n">
        <f aca="false">評價_反向DCF!B21</f>
        <v>17.4</v>
      </c>
      <c r="D62" s="16" t="n">
        <f aca="false">評價_反向DCF!C21</f>
        <v>29.6284</v>
      </c>
      <c r="E62" s="12" t="n">
        <f aca="false">評價_反向DCF!D21</f>
        <v>0.7028</v>
      </c>
    </row>
    <row r="64" customFormat="false" ht="15" hidden="false" customHeight="false" outlineLevel="0" collapsed="false">
      <c r="A64" s="6" t="s">
        <v>114</v>
      </c>
      <c r="B64" s="7"/>
      <c r="C64" s="7"/>
      <c r="D64" s="7"/>
      <c r="E64" s="7"/>
      <c r="F64" s="7"/>
      <c r="G64" s="7"/>
      <c r="H64" s="7"/>
    </row>
    <row r="65" customFormat="false" ht="15" hidden="false" customHeight="false" outlineLevel="1" collapsed="false">
      <c r="A65" s="3" t="s">
        <v>115</v>
      </c>
      <c r="C65" s="9" t="str">
        <f aca="false">季度追蹤!C12</f>
        <v>Q3'26</v>
      </c>
      <c r="I65" s="5" t="s">
        <v>116</v>
      </c>
    </row>
    <row r="66" customFormat="false" ht="15" hidden="false" customHeight="false" outlineLevel="1" collapsed="false">
      <c r="A66" s="3" t="s">
        <v>117</v>
      </c>
      <c r="B66" s="10" t="s">
        <v>56</v>
      </c>
      <c r="C66" s="9" t="n">
        <f aca="false">季度追蹤!C6</f>
        <v>0.8785</v>
      </c>
      <c r="D66" s="9" t="n">
        <f aca="false">季度追蹤!D6</f>
        <v>0.8994</v>
      </c>
      <c r="E66" s="9" t="str">
        <f aca="false">季度追蹤!F6</f>
        <v>不適用</v>
      </c>
      <c r="F66" s="9" t="str">
        <f aca="false">季度追蹤!G6</f>
        <v>不適用</v>
      </c>
      <c r="G66" s="9" t="str">
        <f aca="false">季度追蹤!I6</f>
        <v>待公布</v>
      </c>
      <c r="I66" s="5" t="s">
        <v>118</v>
      </c>
    </row>
    <row r="67" customFormat="false" ht="15" hidden="false" customHeight="false" outlineLevel="1" collapsed="false">
      <c r="A67" s="2" t="s">
        <v>119</v>
      </c>
      <c r="C67" s="9" t="str">
        <f aca="false">INDEX(季度追蹤!$C$124:$H$124,輸入與假設!$C$279)</f>
        <v>營收：模型 $0.88bn｜共識 $0.90bn（−2.3%）</v>
      </c>
    </row>
    <row r="68" customFormat="false" ht="15" hidden="false" customHeight="false" outlineLevel="1" collapsed="false">
      <c r="A68" s="3" t="s">
        <v>120</v>
      </c>
      <c r="B68" s="10" t="s">
        <v>56</v>
      </c>
      <c r="C68" s="9" t="n">
        <f aca="false">季度追蹤!C7</f>
        <v>0.392329843739862</v>
      </c>
      <c r="D68" s="9" t="n">
        <f aca="false">季度追蹤!D7</f>
        <v>0.3624</v>
      </c>
      <c r="E68" s="9" t="str">
        <f aca="false">季度追蹤!F7</f>
        <v>不適用</v>
      </c>
      <c r="F68" s="9" t="str">
        <f aca="false">季度追蹤!G7</f>
        <v>不適用</v>
      </c>
      <c r="G68" s="9" t="str">
        <f aca="false">季度追蹤!I7</f>
        <v>待公布</v>
      </c>
      <c r="I68" s="5" t="s">
        <v>118</v>
      </c>
    </row>
    <row r="69" customFormat="false" ht="15" hidden="false" customHeight="false" outlineLevel="1" collapsed="false">
      <c r="A69" s="2" t="s">
        <v>121</v>
      </c>
      <c r="C69" s="9" t="str">
        <f aca="false">INDEX(季度追蹤!$C$125:$H$125,輸入與假設!$C$279)</f>
        <v>調整後 EBITDA：模型 $0.39bn｜共識 $0.36bn（+$0.03bn／+4.4pt）〔拆法〕</v>
      </c>
    </row>
    <row r="70" customFormat="false" ht="15" hidden="false" customHeight="false" outlineLevel="1" collapsed="false">
      <c r="A70" s="3" t="s">
        <v>122</v>
      </c>
      <c r="B70" s="10" t="s">
        <v>56</v>
      </c>
      <c r="C70" s="9" t="n">
        <f aca="false">季度追蹤!C10</f>
        <v>10.46965</v>
      </c>
      <c r="D70" s="9" t="str">
        <f aca="false">季度追蹤!D10</f>
        <v>不適用</v>
      </c>
      <c r="E70" s="9" t="str">
        <f aca="false">季度追蹤!F10</f>
        <v>不適用</v>
      </c>
      <c r="F70" s="9" t="str">
        <f aca="false">季度追蹤!G10</f>
        <v>不適用</v>
      </c>
      <c r="G70" s="9" t="str">
        <f aca="false">季度追蹤!I10</f>
        <v>待公布</v>
      </c>
      <c r="I70" s="5" t="s">
        <v>118</v>
      </c>
    </row>
    <row r="71" customFormat="false" ht="15" hidden="false" customHeight="false" outlineLevel="1" collapsed="false">
      <c r="A71" s="2" t="s">
        <v>123</v>
      </c>
      <c r="C71" s="9" t="str">
        <f aca="false">INDEX(季度追蹤!$C$128:$H$128,輸入與假設!$C$279)</f>
        <v>CapEx（毛額）：模型 $10.47bn</v>
      </c>
    </row>
    <row r="72" customFormat="false" ht="15" hidden="false" customHeight="false" outlineLevel="1" collapsed="false">
      <c r="A72" s="3" t="s">
        <v>124</v>
      </c>
      <c r="B72" s="5" t="s">
        <v>125</v>
      </c>
      <c r="C72" s="8" t="n">
        <f aca="false">輸入與假設!$C$221</f>
        <v>4</v>
      </c>
      <c r="D72" s="8" t="n">
        <f aca="false">輸入與假設!$C$222</f>
        <v>1</v>
      </c>
      <c r="E72" s="8" t="n">
        <f aca="false">輸入與假設!$C$223</f>
        <v>3</v>
      </c>
      <c r="F72" s="8" t="n">
        <f aca="false">輸入與假設!$C$224</f>
        <v>0</v>
      </c>
      <c r="G72" s="8" t="n">
        <f aca="false">輸入與假設!$C$225</f>
        <v>1</v>
      </c>
      <c r="I72" s="10" t="s">
        <v>126</v>
      </c>
    </row>
    <row r="73" customFormat="false" ht="15" hidden="false" customHeight="false" outlineLevel="1" collapsed="false">
      <c r="A73" s="3" t="s">
        <v>127</v>
      </c>
      <c r="B73" s="10" t="s">
        <v>39</v>
      </c>
      <c r="C73" s="11" t="n">
        <f aca="false">輸入與假設!$C$208</f>
        <v>283.58</v>
      </c>
      <c r="D73" s="11" t="n">
        <f aca="false">輸入與假設!$C$209</f>
        <v>300</v>
      </c>
      <c r="E73" s="11" t="n">
        <f aca="false">輸入與假設!$C$210</f>
        <v>84</v>
      </c>
      <c r="F73" s="11" t="n">
        <f aca="false">輸入與假設!$C$211</f>
        <v>415</v>
      </c>
      <c r="I73" s="10" t="s">
        <v>128</v>
      </c>
    </row>
    <row r="74" customFormat="false" ht="15" hidden="false" customHeight="false" outlineLevel="1" collapsed="false"/>
    <row r="75" customFormat="false" ht="15" hidden="false" customHeight="false" outlineLevel="1" collapsed="false">
      <c r="A75" s="5" t="s">
        <v>129</v>
      </c>
    </row>
    <row r="76" customFormat="false" ht="15" hidden="false" customHeight="false" outlineLevel="1" collapsed="false">
      <c r="A76" s="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10" t="s">
        <v>132</v>
      </c>
    </row>
    <row r="4" customFormat="false" ht="15" hidden="false" customHeight="false" outlineLevel="0" collapsed="false">
      <c r="A4" s="6" t="s">
        <v>133</v>
      </c>
      <c r="B4" s="7"/>
      <c r="C4" s="7"/>
      <c r="D4" s="7"/>
      <c r="E4" s="7"/>
      <c r="F4" s="7"/>
      <c r="G4" s="7"/>
      <c r="H4" s="7"/>
    </row>
    <row r="5" customFormat="false" ht="15" hidden="false" customHeight="false" outlineLevel="1" collapsed="false">
      <c r="A5" s="2" t="s">
        <v>134</v>
      </c>
      <c r="C5" s="17" t="n">
        <v>2</v>
      </c>
      <c r="D5" s="2" t="str">
        <f aca="false">CHOOSE(C5,"保守 已簽約 3.5 GW","基準 合約 5 GW","積極 每年 &gt;1 GW")</f>
        <v>基準 合約 5 GW</v>
      </c>
      <c r="I5" s="5" t="s">
        <v>135</v>
      </c>
    </row>
    <row r="6" customFormat="false" ht="15" hidden="false" customHeight="false" outlineLevel="1" collapsed="false">
      <c r="A6" s="18" t="s">
        <v>136</v>
      </c>
      <c r="B6" s="19"/>
      <c r="C6" s="19"/>
      <c r="D6" s="19"/>
      <c r="E6" s="19"/>
      <c r="F6" s="19"/>
      <c r="G6" s="19"/>
      <c r="H6" s="19"/>
    </row>
    <row r="7" customFormat="false" ht="17.15" hidden="false" customHeight="false" outlineLevel="2" collapsed="false">
      <c r="A7" s="13" t="s">
        <v>137</v>
      </c>
      <c r="B7" s="13" t="s">
        <v>51</v>
      </c>
      <c r="C7" s="14" t="s">
        <v>52</v>
      </c>
      <c r="D7" s="14" t="s">
        <v>53</v>
      </c>
      <c r="E7" s="14" t="s">
        <v>54</v>
      </c>
      <c r="F7" s="14" t="s">
        <v>138</v>
      </c>
      <c r="G7" s="14" t="s">
        <v>139</v>
      </c>
      <c r="I7" s="14" t="s">
        <v>140</v>
      </c>
    </row>
    <row r="8" customFormat="false" ht="15" hidden="false" customHeight="false" outlineLevel="2" collapsed="false">
      <c r="A8" s="3" t="s">
        <v>141</v>
      </c>
      <c r="B8" s="10" t="s">
        <v>142</v>
      </c>
      <c r="C8" s="20" t="n">
        <v>750</v>
      </c>
      <c r="I8" s="10" t="s">
        <v>143</v>
      </c>
    </row>
    <row r="9" customFormat="false" ht="15" hidden="false" customHeight="false" outlineLevel="2" collapsed="false">
      <c r="A9" s="3" t="s">
        <v>144</v>
      </c>
      <c r="B9" s="10" t="s">
        <v>142</v>
      </c>
      <c r="C9" s="20" t="n">
        <v>2917</v>
      </c>
      <c r="D9" s="20" t="n">
        <v>2917</v>
      </c>
      <c r="E9" s="20" t="n">
        <v>2917</v>
      </c>
      <c r="F9" s="20" t="n">
        <v>2917</v>
      </c>
      <c r="G9" s="20" t="n">
        <v>2917</v>
      </c>
      <c r="I9" s="10" t="s">
        <v>145</v>
      </c>
    </row>
    <row r="10" customFormat="false" ht="15" hidden="false" customHeight="false" outlineLevel="2" collapsed="false">
      <c r="A10" s="3" t="s">
        <v>146</v>
      </c>
      <c r="B10" s="10" t="s">
        <v>147</v>
      </c>
      <c r="C10" s="20" t="n">
        <v>580</v>
      </c>
      <c r="I10" s="10" t="s">
        <v>148</v>
      </c>
    </row>
    <row r="11" customFormat="false" ht="15" hidden="false" customHeight="false" outlineLevel="2" collapsed="false">
      <c r="A11" s="3" t="s">
        <v>149</v>
      </c>
      <c r="B11" s="10" t="s">
        <v>142</v>
      </c>
      <c r="C11" s="21" t="n">
        <f aca="false">MIN(C9,輸入與假設!$C$8)</f>
        <v>750</v>
      </c>
      <c r="D11" s="21" t="n">
        <f aca="false">MIN(D9,C11+輸入與假設!$C$10*D$37)</f>
        <v>1330</v>
      </c>
      <c r="E11" s="21" t="n">
        <f aca="false">MIN(E9,D11+輸入與假設!$C$10*E$37)</f>
        <v>1910</v>
      </c>
      <c r="F11" s="21" t="n">
        <f aca="false">MIN(F9,E11+輸入與假設!$C$10*F$37)</f>
        <v>2490</v>
      </c>
      <c r="G11" s="21" t="n">
        <f aca="false">MIN(G9,F11+輸入與假設!$C$10*G$37)</f>
        <v>2917</v>
      </c>
      <c r="I11" s="20" t="n">
        <v>0</v>
      </c>
      <c r="J11" s="5" t="s">
        <v>150</v>
      </c>
    </row>
    <row r="12" customFormat="false" ht="15" hidden="false" customHeight="false" outlineLevel="2" collapsed="false">
      <c r="A12" s="3" t="s">
        <v>151</v>
      </c>
      <c r="B12" s="10" t="s">
        <v>142</v>
      </c>
      <c r="C12" s="20" t="n">
        <v>4167</v>
      </c>
      <c r="D12" s="20" t="n">
        <v>4167</v>
      </c>
      <c r="E12" s="20" t="n">
        <v>4167</v>
      </c>
      <c r="F12" s="20" t="n">
        <v>4167</v>
      </c>
      <c r="G12" s="20" t="n">
        <v>4167</v>
      </c>
      <c r="I12" s="10" t="s">
        <v>145</v>
      </c>
    </row>
    <row r="13" customFormat="false" ht="15" hidden="false" customHeight="false" outlineLevel="2" collapsed="false">
      <c r="A13" s="3" t="s">
        <v>152</v>
      </c>
      <c r="B13" s="10" t="s">
        <v>147</v>
      </c>
      <c r="C13" s="20" t="n">
        <v>580</v>
      </c>
      <c r="I13" s="10" t="s">
        <v>148</v>
      </c>
    </row>
    <row r="14" customFormat="false" ht="15" hidden="false" customHeight="false" outlineLevel="2" collapsed="false">
      <c r="A14" s="3" t="s">
        <v>153</v>
      </c>
      <c r="B14" s="10" t="s">
        <v>142</v>
      </c>
      <c r="C14" s="21" t="n">
        <f aca="false">MIN(C12,輸入與假設!$C$8)</f>
        <v>750</v>
      </c>
      <c r="D14" s="21" t="n">
        <f aca="false">MIN(D12,C14+輸入與假設!$C$13*D$37)</f>
        <v>1330</v>
      </c>
      <c r="E14" s="21" t="n">
        <f aca="false">MIN(E12,D14+輸入與假設!$C$13*E$37)</f>
        <v>1910</v>
      </c>
      <c r="F14" s="21" t="n">
        <f aca="false">MIN(F12,E14+輸入與假設!$C$13*F$37)</f>
        <v>2490</v>
      </c>
      <c r="G14" s="21" t="n">
        <f aca="false">MIN(G12,F14+輸入與假設!$C$13*G$37)</f>
        <v>3070</v>
      </c>
      <c r="I14" s="20" t="n">
        <v>580</v>
      </c>
      <c r="J14" s="10" t="s">
        <v>154</v>
      </c>
    </row>
    <row r="15" customFormat="false" ht="15" hidden="false" customHeight="false" outlineLevel="2" collapsed="false">
      <c r="A15" s="3" t="s">
        <v>155</v>
      </c>
      <c r="B15" s="10" t="s">
        <v>142</v>
      </c>
      <c r="C15" s="20" t="n">
        <v>4167</v>
      </c>
      <c r="D15" s="20" t="n">
        <v>5000</v>
      </c>
      <c r="E15" s="20" t="n">
        <v>5833.3333</v>
      </c>
      <c r="F15" s="20" t="n">
        <v>6666.6667</v>
      </c>
      <c r="G15" s="20" t="n">
        <v>7500</v>
      </c>
      <c r="I15" s="10" t="s">
        <v>145</v>
      </c>
    </row>
    <row r="16" customFormat="false" ht="15" hidden="false" customHeight="false" outlineLevel="2" collapsed="false">
      <c r="A16" s="3" t="s">
        <v>156</v>
      </c>
      <c r="B16" s="10" t="s">
        <v>147</v>
      </c>
      <c r="C16" s="20" t="n">
        <v>833.3333</v>
      </c>
      <c r="I16" s="10" t="s">
        <v>148</v>
      </c>
    </row>
    <row r="17" customFormat="false" ht="15" hidden="false" customHeight="false" outlineLevel="2" collapsed="false">
      <c r="A17" s="3" t="s">
        <v>157</v>
      </c>
      <c r="B17" s="10" t="s">
        <v>142</v>
      </c>
      <c r="C17" s="21" t="n">
        <f aca="false">MIN(C15,輸入與假設!$C$8)</f>
        <v>750</v>
      </c>
      <c r="D17" s="21" t="n">
        <f aca="false">MIN(D15,C17+輸入與假設!$C$16*D$37)</f>
        <v>1583.3333</v>
      </c>
      <c r="E17" s="21" t="n">
        <f aca="false">MIN(E15,D17+輸入與假設!$C$16*E$37)</f>
        <v>2416.6666</v>
      </c>
      <c r="F17" s="21" t="n">
        <f aca="false">MIN(F15,E17+輸入與假設!$C$16*F$37)</f>
        <v>3249.9999</v>
      </c>
      <c r="G17" s="21" t="n">
        <f aca="false">MIN(G15,F17+輸入與假設!$C$16*G$37)</f>
        <v>4083.3332</v>
      </c>
      <c r="I17" s="20" t="n">
        <v>833.3333</v>
      </c>
      <c r="J17" s="10" t="s">
        <v>158</v>
      </c>
    </row>
    <row r="18" customFormat="false" ht="15" hidden="false" customHeight="false" outlineLevel="2" collapsed="false">
      <c r="A18" s="3" t="s">
        <v>159</v>
      </c>
      <c r="B18" s="10" t="s">
        <v>160</v>
      </c>
      <c r="C18" s="22" t="n">
        <v>0.01162</v>
      </c>
      <c r="D18" s="22" t="n">
        <v>0.01162</v>
      </c>
      <c r="E18" s="22" t="n">
        <v>0.01162</v>
      </c>
      <c r="F18" s="22" t="n">
        <v>0.01162</v>
      </c>
      <c r="G18" s="22" t="n">
        <v>0.01162</v>
      </c>
      <c r="I18" s="10" t="s">
        <v>161</v>
      </c>
    </row>
    <row r="19" customFormat="false" ht="15" hidden="false" customHeight="false" outlineLevel="2" collapsed="false">
      <c r="A19" s="3" t="s">
        <v>162</v>
      </c>
      <c r="B19" s="10" t="s">
        <v>160</v>
      </c>
      <c r="C19" s="22" t="n">
        <v>0.0174</v>
      </c>
      <c r="D19" s="22" t="n">
        <v>0.0174</v>
      </c>
      <c r="E19" s="22" t="n">
        <v>0.0174</v>
      </c>
      <c r="F19" s="22" t="n">
        <v>0.0174</v>
      </c>
      <c r="G19" s="22" t="n">
        <v>0.0174</v>
      </c>
      <c r="I19" s="10" t="s">
        <v>161</v>
      </c>
    </row>
    <row r="20" customFormat="false" ht="15" hidden="false" customHeight="false" outlineLevel="2" collapsed="false">
      <c r="A20" s="3" t="s">
        <v>163</v>
      </c>
      <c r="B20" s="10" t="s">
        <v>160</v>
      </c>
      <c r="C20" s="22" t="n">
        <v>0.0242</v>
      </c>
      <c r="D20" s="22" t="n">
        <v>0.0242</v>
      </c>
      <c r="E20" s="22" t="n">
        <v>0.0242</v>
      </c>
      <c r="F20" s="22" t="n">
        <v>0.0242</v>
      </c>
      <c r="G20" s="22" t="n">
        <v>0.0242</v>
      </c>
      <c r="I20" s="10" t="s">
        <v>161</v>
      </c>
    </row>
    <row r="21" customFormat="false" ht="15" hidden="false" customHeight="false" outlineLevel="2" collapsed="false">
      <c r="A21" s="3" t="s">
        <v>164</v>
      </c>
      <c r="B21" s="10" t="s">
        <v>42</v>
      </c>
      <c r="C21" s="23" t="n">
        <v>0.75</v>
      </c>
      <c r="D21" s="23" t="n">
        <v>0.85</v>
      </c>
      <c r="E21" s="23" t="n">
        <v>0.9</v>
      </c>
      <c r="F21" s="23" t="n">
        <v>0.9</v>
      </c>
      <c r="G21" s="23" t="n">
        <v>0.9</v>
      </c>
      <c r="I21" s="5" t="s">
        <v>165</v>
      </c>
    </row>
    <row r="22" customFormat="false" ht="15" hidden="false" customHeight="false" outlineLevel="2" collapsed="false">
      <c r="A22" s="3" t="s">
        <v>166</v>
      </c>
      <c r="B22" s="10" t="s">
        <v>42</v>
      </c>
      <c r="C22" s="23" t="n">
        <v>0.6</v>
      </c>
      <c r="D22" s="23" t="n">
        <v>0.8</v>
      </c>
      <c r="E22" s="23" t="n">
        <v>1</v>
      </c>
      <c r="F22" s="23" t="n">
        <v>1</v>
      </c>
      <c r="G22" s="23" t="n">
        <v>1</v>
      </c>
      <c r="I22" s="10" t="s">
        <v>167</v>
      </c>
    </row>
    <row r="23" customFormat="false" ht="15" hidden="false" customHeight="false" outlineLevel="2" collapsed="false">
      <c r="A23" s="3" t="s">
        <v>168</v>
      </c>
      <c r="B23" s="10" t="s">
        <v>56</v>
      </c>
      <c r="C23" s="24" t="n">
        <v>0.05</v>
      </c>
      <c r="D23" s="24" t="n">
        <v>0.5</v>
      </c>
      <c r="E23" s="24" t="n">
        <v>1</v>
      </c>
      <c r="F23" s="24" t="n">
        <v>1</v>
      </c>
      <c r="G23" s="24" t="n">
        <v>1</v>
      </c>
      <c r="I23" s="5" t="s">
        <v>169</v>
      </c>
    </row>
    <row r="24" customFormat="false" ht="15" hidden="false" customHeight="false" outlineLevel="2" collapsed="false">
      <c r="A24" s="3" t="s">
        <v>170</v>
      </c>
      <c r="B24" s="10" t="s">
        <v>142</v>
      </c>
      <c r="C24" s="20" t="n">
        <v>0</v>
      </c>
      <c r="I24" s="5" t="s">
        <v>171</v>
      </c>
    </row>
    <row r="25" customFormat="false" ht="15" hidden="false" customHeight="false" outlineLevel="0" collapsed="false">
      <c r="A25" s="6" t="s">
        <v>172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4" t="s">
        <v>173</v>
      </c>
      <c r="B26" s="10" t="s">
        <v>56</v>
      </c>
      <c r="C26" s="24" t="n">
        <v>37.4906</v>
      </c>
      <c r="I26" s="5" t="s">
        <v>174</v>
      </c>
    </row>
    <row r="27" customFormat="false" ht="15" hidden="false" customHeight="false" outlineLevel="1" collapsed="false">
      <c r="A27" s="4" t="s">
        <v>175</v>
      </c>
      <c r="B27" s="10" t="s">
        <v>56</v>
      </c>
      <c r="C27" s="24" t="n">
        <v>0</v>
      </c>
      <c r="I27" s="5" t="s">
        <v>176</v>
      </c>
    </row>
    <row r="28" customFormat="false" ht="15" hidden="false" customHeight="false" outlineLevel="1" collapsed="false">
      <c r="A28" s="3" t="s">
        <v>177</v>
      </c>
      <c r="B28" s="10" t="s">
        <v>42</v>
      </c>
      <c r="C28" s="23" t="n">
        <v>0.82</v>
      </c>
      <c r="I28" s="5" t="s">
        <v>178</v>
      </c>
    </row>
    <row r="29" customFormat="false" ht="15" hidden="false" customHeight="false" outlineLevel="1" collapsed="false">
      <c r="A29" s="4" t="s">
        <v>179</v>
      </c>
      <c r="B29" s="10" t="s">
        <v>42</v>
      </c>
      <c r="C29" s="23" t="n">
        <v>0.82</v>
      </c>
      <c r="I29" s="5" t="s">
        <v>180</v>
      </c>
    </row>
    <row r="30" customFormat="false" ht="15" hidden="false" customHeight="false" outlineLevel="1" collapsed="false">
      <c r="A30" s="4" t="s">
        <v>181</v>
      </c>
      <c r="B30" s="10" t="s">
        <v>142</v>
      </c>
      <c r="C30" s="20" t="n">
        <v>170</v>
      </c>
      <c r="I30" s="10" t="s">
        <v>182</v>
      </c>
    </row>
    <row r="31" customFormat="false" ht="15" hidden="false" customHeight="false" outlineLevel="1" collapsed="false">
      <c r="A31" s="3" t="s">
        <v>183</v>
      </c>
      <c r="B31" s="10" t="s">
        <v>56</v>
      </c>
      <c r="C31" s="24" t="n">
        <v>0.5823</v>
      </c>
      <c r="I31" s="5" t="s">
        <v>184</v>
      </c>
    </row>
    <row r="32" customFormat="false" ht="15" hidden="false" customHeight="false" outlineLevel="1" collapsed="false">
      <c r="A32" s="4" t="s">
        <v>185</v>
      </c>
      <c r="B32" s="10" t="s">
        <v>142</v>
      </c>
      <c r="C32" s="21" t="n">
        <f aca="false">ROUND(輸入與假設!$C$31*4/C42,0)</f>
        <v>134</v>
      </c>
      <c r="I32" s="10" t="s">
        <v>186</v>
      </c>
    </row>
    <row r="33" customFormat="false" ht="15" hidden="false" customHeight="false" outlineLevel="1" collapsed="false">
      <c r="A33" s="3" t="s">
        <v>187</v>
      </c>
      <c r="B33" s="5"/>
      <c r="C33" s="20" t="n">
        <v>1</v>
      </c>
      <c r="I33" s="10" t="s">
        <v>188</v>
      </c>
    </row>
    <row r="34" customFormat="false" ht="15" hidden="false" customHeight="false" outlineLevel="1" collapsed="false">
      <c r="A34" s="3" t="s">
        <v>189</v>
      </c>
      <c r="B34" s="5"/>
      <c r="C34" s="25" t="s">
        <v>190</v>
      </c>
      <c r="I34" s="10" t="s">
        <v>191</v>
      </c>
    </row>
    <row r="35" customFormat="false" ht="15" hidden="false" customHeight="false" outlineLevel="1" collapsed="false">
      <c r="A35" s="3" t="s">
        <v>192</v>
      </c>
      <c r="B35" s="10" t="s">
        <v>42</v>
      </c>
      <c r="C35" s="23" t="n">
        <v>1</v>
      </c>
      <c r="I35" s="5" t="s">
        <v>193</v>
      </c>
    </row>
    <row r="36" customFormat="false" ht="15" hidden="false" customHeight="false" outlineLevel="1" collapsed="false">
      <c r="A36" s="13" t="s">
        <v>50</v>
      </c>
      <c r="B36" s="13" t="s">
        <v>51</v>
      </c>
      <c r="C36" s="26" t="s">
        <v>52</v>
      </c>
      <c r="D36" s="26" t="s">
        <v>53</v>
      </c>
      <c r="E36" s="26" t="s">
        <v>54</v>
      </c>
      <c r="F36" s="26" t="s">
        <v>138</v>
      </c>
      <c r="G36" s="26" t="s">
        <v>139</v>
      </c>
      <c r="I36" s="13" t="s">
        <v>194</v>
      </c>
    </row>
    <row r="37" customFormat="false" ht="15" hidden="false" customHeight="false" outlineLevel="1" collapsed="false">
      <c r="A37" s="3" t="s">
        <v>195</v>
      </c>
      <c r="B37" s="5"/>
      <c r="C37" s="24" t="n">
        <v>0.5</v>
      </c>
      <c r="D37" s="24" t="n">
        <v>1</v>
      </c>
      <c r="E37" s="24" t="n">
        <v>1</v>
      </c>
      <c r="F37" s="24" t="n">
        <v>1</v>
      </c>
      <c r="G37" s="24" t="n">
        <v>1</v>
      </c>
      <c r="I37" s="5" t="s">
        <v>196</v>
      </c>
    </row>
    <row r="38" customFormat="false" ht="15" hidden="false" customHeight="false" outlineLevel="1" collapsed="false">
      <c r="A38" s="4" t="s">
        <v>197</v>
      </c>
      <c r="B38" s="10" t="s">
        <v>42</v>
      </c>
      <c r="C38" s="23" t="n">
        <v>0.09</v>
      </c>
      <c r="D38" s="23" t="n">
        <v>0.18</v>
      </c>
      <c r="E38" s="23" t="n">
        <v>0.19</v>
      </c>
      <c r="F38" s="23" t="n">
        <v>0.2</v>
      </c>
      <c r="G38" s="23" t="n">
        <v>0.16</v>
      </c>
      <c r="H38" s="27" t="n">
        <f aca="false">SUM(C38:G38)</f>
        <v>0.82</v>
      </c>
      <c r="I38" s="5" t="s">
        <v>198</v>
      </c>
    </row>
    <row r="39" customFormat="false" ht="15" hidden="false" customHeight="false" outlineLevel="1" collapsed="false">
      <c r="A39" s="4" t="s">
        <v>199</v>
      </c>
      <c r="B39" s="10" t="s">
        <v>142</v>
      </c>
      <c r="C39" s="21" t="n">
        <f aca="false">CHOOSE(輸入與假設!$C$5,C11,C14,C17)</f>
        <v>750</v>
      </c>
      <c r="D39" s="21" t="n">
        <f aca="false">CHOOSE(輸入與假設!$C$5,D11,D14,D17)</f>
        <v>1330</v>
      </c>
      <c r="E39" s="21" t="n">
        <f aca="false">CHOOSE(輸入與假設!$C$5,E11,E14,E17)</f>
        <v>1910</v>
      </c>
      <c r="F39" s="21" t="n">
        <f aca="false">CHOOSE(輸入與假設!$C$5,F11,F14,F17)</f>
        <v>2490</v>
      </c>
      <c r="G39" s="21" t="n">
        <f aca="false">CHOOSE(輸入與假設!$C$5,G11,G14,G17)</f>
        <v>3070</v>
      </c>
      <c r="I39" s="5" t="s">
        <v>200</v>
      </c>
    </row>
    <row r="40" customFormat="false" ht="15" hidden="false" customHeight="false" outlineLevel="1" collapsed="false">
      <c r="A40" s="4" t="s">
        <v>201</v>
      </c>
      <c r="B40" s="10" t="s">
        <v>142</v>
      </c>
      <c r="C40" s="21" t="n">
        <f aca="false">ROUND(C39*C21*C22,0)</f>
        <v>338</v>
      </c>
      <c r="D40" s="21" t="n">
        <f aca="false">ROUND(D39*D21*D22,0)</f>
        <v>904</v>
      </c>
      <c r="E40" s="21" t="n">
        <f aca="false">ROUND(E39*E21*E22,0)</f>
        <v>1719</v>
      </c>
      <c r="F40" s="21" t="n">
        <f aca="false">ROUND(F39*F21*F22,0)</f>
        <v>2241</v>
      </c>
      <c r="G40" s="21" t="n">
        <f aca="false">ROUND(G39*G21*G22,0)</f>
        <v>2763</v>
      </c>
      <c r="I40" s="5" t="s">
        <v>202</v>
      </c>
    </row>
    <row r="41" customFormat="false" ht="15" hidden="false" customHeight="false" outlineLevel="1" collapsed="false">
      <c r="A41" s="3" t="s">
        <v>203</v>
      </c>
      <c r="B41" s="10" t="s">
        <v>42</v>
      </c>
      <c r="C41" s="23" t="n">
        <v>1</v>
      </c>
      <c r="D41" s="23" t="n">
        <v>1</v>
      </c>
      <c r="E41" s="23" t="n">
        <v>1</v>
      </c>
      <c r="F41" s="23" t="n">
        <v>1</v>
      </c>
      <c r="G41" s="23" t="n">
        <v>1</v>
      </c>
      <c r="I41" s="10" t="s">
        <v>204</v>
      </c>
    </row>
    <row r="42" customFormat="false" ht="15" hidden="false" customHeight="false" outlineLevel="1" collapsed="false">
      <c r="A42" s="3" t="s">
        <v>205</v>
      </c>
      <c r="B42" s="10" t="s">
        <v>160</v>
      </c>
      <c r="C42" s="28" t="n">
        <f aca="false">CHOOSE(輸入與假設!$C$5,C18,C19,C20)</f>
        <v>0.0174</v>
      </c>
      <c r="D42" s="28" t="n">
        <f aca="false">CHOOSE(輸入與假設!$C$5,D18,D19,D20)</f>
        <v>0.0174</v>
      </c>
      <c r="E42" s="28" t="n">
        <f aca="false">CHOOSE(輸入與假設!$C$5,E18,E19,E20)</f>
        <v>0.0174</v>
      </c>
      <c r="F42" s="28" t="n">
        <f aca="false">CHOOSE(輸入與假設!$C$5,F18,F19,F20)</f>
        <v>0.0174</v>
      </c>
      <c r="G42" s="28" t="n">
        <f aca="false">CHOOSE(輸入與假設!$C$5,G18,G19,G20)</f>
        <v>0.0174</v>
      </c>
      <c r="I42" s="5" t="s">
        <v>206</v>
      </c>
    </row>
    <row r="43" customFormat="false" ht="15" hidden="false" customHeight="false" outlineLevel="1" collapsed="false">
      <c r="A43" s="3" t="s">
        <v>207</v>
      </c>
      <c r="B43" s="10" t="s">
        <v>42</v>
      </c>
      <c r="C43" s="23" t="n">
        <v>1</v>
      </c>
      <c r="D43" s="23" t="n">
        <v>1</v>
      </c>
      <c r="E43" s="23" t="n">
        <v>1</v>
      </c>
      <c r="F43" s="23" t="n">
        <v>1</v>
      </c>
      <c r="G43" s="23" t="n">
        <v>1</v>
      </c>
      <c r="I43" s="10" t="s">
        <v>208</v>
      </c>
    </row>
    <row r="44" customFormat="false" ht="15" hidden="false" customHeight="false" outlineLevel="1" collapsed="false">
      <c r="A44" s="3" t="s">
        <v>209</v>
      </c>
      <c r="B44" s="10" t="s">
        <v>42</v>
      </c>
      <c r="C44" s="23" t="n">
        <v>0.005</v>
      </c>
      <c r="D44" s="23" t="n">
        <v>0.01</v>
      </c>
      <c r="E44" s="23" t="n">
        <v>0.015</v>
      </c>
      <c r="F44" s="23" t="n">
        <v>0.02</v>
      </c>
      <c r="G44" s="23" t="n">
        <v>0.025</v>
      </c>
      <c r="I44" s="5" t="s">
        <v>210</v>
      </c>
    </row>
    <row r="45" customFormat="false" ht="15" hidden="false" customHeight="false" outlineLevel="1" collapsed="false">
      <c r="A45" s="3" t="s">
        <v>211</v>
      </c>
      <c r="B45" s="10" t="s">
        <v>42</v>
      </c>
      <c r="C45" s="23" t="n">
        <v>0.5</v>
      </c>
      <c r="D45" s="23" t="n">
        <v>0.5</v>
      </c>
      <c r="E45" s="23" t="n">
        <v>0.5</v>
      </c>
      <c r="F45" s="23" t="n">
        <v>0.5</v>
      </c>
      <c r="G45" s="23" t="n">
        <v>0.5</v>
      </c>
      <c r="I45" s="10" t="s">
        <v>212</v>
      </c>
    </row>
    <row r="46" customFormat="false" ht="15" hidden="false" customHeight="false" outlineLevel="1" collapsed="false">
      <c r="A46" s="3" t="s">
        <v>213</v>
      </c>
      <c r="B46" s="10" t="s">
        <v>56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I46" s="5" t="s">
        <v>214</v>
      </c>
    </row>
    <row r="47" customFormat="false" ht="15" hidden="false" customHeight="false" outlineLevel="1" collapsed="false">
      <c r="A47" s="3" t="s">
        <v>215</v>
      </c>
      <c r="B47" s="10" t="s">
        <v>56</v>
      </c>
      <c r="C47" s="24" t="n">
        <v>-0.094</v>
      </c>
      <c r="D47" s="24" t="n">
        <v>-0.141</v>
      </c>
      <c r="E47" s="24" t="n">
        <v>-0.094</v>
      </c>
      <c r="F47" s="24" t="n">
        <v>-0.047</v>
      </c>
      <c r="G47" s="24" t="n">
        <v>0</v>
      </c>
      <c r="I47" s="5" t="s">
        <v>216</v>
      </c>
    </row>
    <row r="49" customFormat="false" ht="15" hidden="false" customHeight="false" outlineLevel="0" collapsed="false">
      <c r="A49" s="6" t="s">
        <v>217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218</v>
      </c>
      <c r="B50" s="10" t="s">
        <v>42</v>
      </c>
      <c r="C50" s="29" t="n">
        <v>0.497</v>
      </c>
      <c r="I50" s="5" t="s">
        <v>219</v>
      </c>
    </row>
    <row r="51" customFormat="false" ht="15" hidden="false" customHeight="false" outlineLevel="1" collapsed="false">
      <c r="A51" s="3" t="s">
        <v>220</v>
      </c>
      <c r="B51" s="10" t="s">
        <v>42</v>
      </c>
      <c r="C51" s="29" t="n">
        <v>0.47</v>
      </c>
      <c r="I51" s="5" t="s">
        <v>221</v>
      </c>
    </row>
    <row r="52" customFormat="false" ht="15" hidden="false" customHeight="false" outlineLevel="1" collapsed="false">
      <c r="A52" s="13" t="s">
        <v>50</v>
      </c>
      <c r="B52" s="13" t="s">
        <v>51</v>
      </c>
      <c r="C52" s="26" t="s">
        <v>52</v>
      </c>
      <c r="D52" s="26" t="s">
        <v>53</v>
      </c>
      <c r="E52" s="26" t="s">
        <v>54</v>
      </c>
      <c r="F52" s="26" t="s">
        <v>138</v>
      </c>
      <c r="G52" s="26" t="s">
        <v>139</v>
      </c>
      <c r="I52" s="13" t="s">
        <v>194</v>
      </c>
    </row>
    <row r="53" customFormat="false" ht="15" hidden="false" customHeight="false" outlineLevel="1" collapsed="false">
      <c r="A53" s="4" t="s">
        <v>222</v>
      </c>
      <c r="B53" s="10" t="s">
        <v>42</v>
      </c>
      <c r="C53" s="30" t="n">
        <f aca="false">輸入與假設!$C$50+(輸入與假設!$C$51-輸入與假設!$C$50)*0/4</f>
        <v>0.497</v>
      </c>
      <c r="D53" s="30" t="n">
        <f aca="false">輸入與假設!$C$50+(輸入與假設!$C$51-輸入與假設!$C$50)*1/4</f>
        <v>0.49025</v>
      </c>
      <c r="E53" s="30" t="n">
        <f aca="false">輸入與假設!$C$50+(輸入與假設!$C$51-輸入與假設!$C$50)*2/4</f>
        <v>0.4835</v>
      </c>
      <c r="F53" s="30" t="n">
        <f aca="false">輸入與假設!$C$50+(輸入與假設!$C$51-輸入與假設!$C$50)*3/4</f>
        <v>0.47675</v>
      </c>
      <c r="G53" s="30" t="n">
        <f aca="false">輸入與假設!$C$50+(輸入與假設!$C$51-輸入與假設!$C$50)*4/4</f>
        <v>0.47</v>
      </c>
      <c r="I53" s="5" t="s">
        <v>223</v>
      </c>
    </row>
    <row r="54" customFormat="false" ht="15" hidden="false" customHeight="false" outlineLevel="1" collapsed="false">
      <c r="A54" s="3" t="s">
        <v>224</v>
      </c>
      <c r="B54" s="10" t="s">
        <v>56</v>
      </c>
      <c r="C54" s="31" t="n">
        <f aca="false">輸入與假設!C$46*運營_產能與收入!C36</f>
        <v>0</v>
      </c>
      <c r="D54" s="31" t="n">
        <f aca="false">輸入與假設!D$46*運營_產能與收入!D36</f>
        <v>0</v>
      </c>
      <c r="E54" s="31" t="n">
        <f aca="false">輸入與假設!E$46*運營_產能與收入!E36</f>
        <v>0</v>
      </c>
      <c r="F54" s="31" t="n">
        <f aca="false">輸入與假設!F$46*運營_產能與收入!F36</f>
        <v>0</v>
      </c>
      <c r="G54" s="31" t="n">
        <f aca="false">輸入與假設!G$46*運營_產能與收入!G36</f>
        <v>0</v>
      </c>
      <c r="I54" s="5" t="s">
        <v>225</v>
      </c>
    </row>
    <row r="55" customFormat="false" ht="15" hidden="false" customHeight="false" outlineLevel="1" collapsed="true">
      <c r="A55" s="18" t="s">
        <v>226</v>
      </c>
      <c r="B55" s="19"/>
      <c r="C55" s="19"/>
      <c r="D55" s="19"/>
      <c r="E55" s="19"/>
      <c r="F55" s="19"/>
      <c r="G55" s="19"/>
      <c r="H55" s="19"/>
    </row>
    <row r="56" customFormat="false" ht="15" hidden="true" customHeight="false" outlineLevel="2" collapsed="false">
      <c r="A56" s="3" t="s">
        <v>227</v>
      </c>
      <c r="B56" s="5"/>
      <c r="C56" s="20" t="n">
        <v>0</v>
      </c>
      <c r="I56" s="10" t="s">
        <v>228</v>
      </c>
    </row>
    <row r="57" customFormat="false" ht="15" hidden="true" customHeight="false" outlineLevel="2" collapsed="false">
      <c r="A57" s="3" t="s">
        <v>229</v>
      </c>
      <c r="B57" s="10" t="s">
        <v>230</v>
      </c>
      <c r="C57" s="20" t="n">
        <v>60</v>
      </c>
      <c r="D57" s="20" t="n">
        <v>62</v>
      </c>
      <c r="E57" s="20" t="n">
        <v>64</v>
      </c>
      <c r="F57" s="20" t="n">
        <v>66</v>
      </c>
      <c r="G57" s="20" t="n">
        <v>68</v>
      </c>
      <c r="I57" s="10" t="s">
        <v>231</v>
      </c>
    </row>
    <row r="58" customFormat="false" ht="15" hidden="true" customHeight="false" outlineLevel="2" collapsed="false">
      <c r="A58" s="4" t="s">
        <v>232</v>
      </c>
      <c r="B58" s="5"/>
      <c r="C58" s="32" t="n">
        <v>1.2</v>
      </c>
      <c r="D58" s="32" t="n">
        <v>1.2</v>
      </c>
      <c r="E58" s="32" t="n">
        <v>1.2</v>
      </c>
      <c r="F58" s="32" t="n">
        <v>1.2</v>
      </c>
      <c r="G58" s="32" t="n">
        <v>1.2</v>
      </c>
      <c r="I58" s="10" t="s">
        <v>231</v>
      </c>
    </row>
    <row r="59" customFormat="false" ht="15" hidden="true" customHeight="false" outlineLevel="2" collapsed="false">
      <c r="A59" s="3" t="s">
        <v>233</v>
      </c>
      <c r="B59" s="10" t="s">
        <v>234</v>
      </c>
      <c r="C59" s="32" t="n">
        <v>0.15</v>
      </c>
      <c r="D59" s="32" t="n">
        <v>0.15</v>
      </c>
      <c r="E59" s="32" t="n">
        <v>0.16</v>
      </c>
      <c r="F59" s="32" t="n">
        <v>0.16</v>
      </c>
      <c r="G59" s="32" t="n">
        <v>0.17</v>
      </c>
      <c r="I59" s="10" t="s">
        <v>231</v>
      </c>
    </row>
    <row r="61" customFormat="false" ht="15" hidden="false" customHeight="false" outlineLevel="0" collapsed="false">
      <c r="A61" s="6" t="s">
        <v>235</v>
      </c>
      <c r="B61" s="7"/>
      <c r="C61" s="7"/>
      <c r="D61" s="7"/>
      <c r="E61" s="7"/>
      <c r="F61" s="7"/>
      <c r="G61" s="7"/>
      <c r="H61" s="7"/>
    </row>
    <row r="62" customFormat="false" ht="15" hidden="false" customHeight="false" outlineLevel="1" collapsed="false">
      <c r="A62" s="3" t="s">
        <v>236</v>
      </c>
      <c r="B62" s="10" t="s">
        <v>42</v>
      </c>
      <c r="C62" s="23" t="n">
        <v>0.35</v>
      </c>
      <c r="I62" s="5" t="s">
        <v>237</v>
      </c>
    </row>
    <row r="63" customFormat="false" ht="15" hidden="false" customHeight="false" outlineLevel="1" collapsed="false">
      <c r="A63" s="4" t="s">
        <v>238</v>
      </c>
      <c r="B63" s="10" t="s">
        <v>142</v>
      </c>
      <c r="C63" s="21" t="n">
        <f aca="false">CHOOSE(輸入與假設!$C$5,I11,I14,I17)</f>
        <v>580</v>
      </c>
      <c r="I63" s="5" t="s">
        <v>239</v>
      </c>
    </row>
    <row r="64" customFormat="false" ht="15" hidden="false" customHeight="false" outlineLevel="1" collapsed="false">
      <c r="A64" s="4" t="s">
        <v>240</v>
      </c>
      <c r="B64" s="10" t="s">
        <v>56</v>
      </c>
      <c r="C64" s="24" t="n">
        <v>20</v>
      </c>
      <c r="I64" s="5" t="s">
        <v>241</v>
      </c>
    </row>
    <row r="65" customFormat="false" ht="15" hidden="false" customHeight="false" outlineLevel="1" collapsed="false">
      <c r="A65" s="4" t="s">
        <v>242</v>
      </c>
      <c r="B65" s="5" t="s">
        <v>243</v>
      </c>
      <c r="C65" s="20" t="n">
        <v>5</v>
      </c>
      <c r="I65" s="5" t="s">
        <v>244</v>
      </c>
    </row>
    <row r="66" customFormat="false" ht="15" hidden="false" customHeight="false" outlineLevel="1" collapsed="false">
      <c r="A66" s="4" t="s">
        <v>245</v>
      </c>
      <c r="B66" s="10" t="s">
        <v>56</v>
      </c>
      <c r="C66" s="24" t="n">
        <v>14.1495</v>
      </c>
      <c r="I66" s="5" t="s">
        <v>246</v>
      </c>
    </row>
    <row r="67" customFormat="false" ht="15" hidden="false" customHeight="false" outlineLevel="1" collapsed="false">
      <c r="A67" s="3" t="s">
        <v>247</v>
      </c>
      <c r="B67" s="10" t="s">
        <v>42</v>
      </c>
      <c r="C67" s="23" t="n">
        <v>1</v>
      </c>
      <c r="I67" s="5" t="s">
        <v>248</v>
      </c>
    </row>
    <row r="68" customFormat="false" ht="15" hidden="false" customHeight="false" outlineLevel="1" collapsed="false">
      <c r="A68" s="13" t="s">
        <v>50</v>
      </c>
      <c r="B68" s="13" t="s">
        <v>51</v>
      </c>
      <c r="C68" s="26" t="s">
        <v>52</v>
      </c>
      <c r="D68" s="26" t="s">
        <v>53</v>
      </c>
      <c r="E68" s="26" t="s">
        <v>54</v>
      </c>
      <c r="F68" s="26" t="s">
        <v>138</v>
      </c>
      <c r="G68" s="26" t="s">
        <v>139</v>
      </c>
      <c r="I68" s="13" t="s">
        <v>194</v>
      </c>
    </row>
    <row r="69" customFormat="false" ht="15" hidden="false" customHeight="false" outlineLevel="1" collapsed="false">
      <c r="A69" s="3" t="s">
        <v>249</v>
      </c>
      <c r="B69" s="10" t="s">
        <v>234</v>
      </c>
      <c r="C69" s="33" t="n">
        <v>50.12</v>
      </c>
      <c r="D69" s="33" t="n">
        <v>50.26</v>
      </c>
      <c r="E69" s="33" t="n">
        <v>50.26</v>
      </c>
      <c r="F69" s="33" t="n">
        <v>50.26</v>
      </c>
      <c r="G69" s="33" t="n">
        <v>50.26</v>
      </c>
      <c r="I69" s="10" t="s">
        <v>250</v>
      </c>
    </row>
    <row r="70" customFormat="false" ht="15" hidden="false" customHeight="false" outlineLevel="1" collapsed="false">
      <c r="A70" s="3" t="s">
        <v>251</v>
      </c>
      <c r="B70" s="10" t="s">
        <v>42</v>
      </c>
      <c r="C70" s="23" t="n">
        <v>0.7</v>
      </c>
      <c r="I70" s="5" t="s">
        <v>252</v>
      </c>
    </row>
    <row r="71" customFormat="false" ht="15" hidden="false" customHeight="false" outlineLevel="1" collapsed="false">
      <c r="A71" s="3" t="s">
        <v>253</v>
      </c>
      <c r="B71" s="10" t="s">
        <v>42</v>
      </c>
      <c r="C71" s="23" t="n">
        <v>0.55</v>
      </c>
      <c r="I71" s="5" t="s">
        <v>254</v>
      </c>
    </row>
    <row r="72" customFormat="false" ht="15" hidden="false" customHeight="false" outlineLevel="1" collapsed="false">
      <c r="A72" s="3" t="s">
        <v>255</v>
      </c>
      <c r="B72" s="5" t="s">
        <v>243</v>
      </c>
      <c r="C72" s="33" t="n">
        <v>3</v>
      </c>
      <c r="I72" s="5" t="s">
        <v>256</v>
      </c>
    </row>
    <row r="73" customFormat="false" ht="15" hidden="false" customHeight="false" outlineLevel="1" collapsed="false">
      <c r="A73" s="4" t="s">
        <v>257</v>
      </c>
      <c r="B73" s="10" t="s">
        <v>56</v>
      </c>
      <c r="C73" s="24" t="n">
        <v>5.9752</v>
      </c>
      <c r="I73" s="5" t="s">
        <v>258</v>
      </c>
    </row>
    <row r="74" customFormat="false" ht="15" hidden="false" customHeight="false" outlineLevel="1" collapsed="false">
      <c r="A74" s="13" t="s">
        <v>50</v>
      </c>
      <c r="B74" s="13" t="s">
        <v>51</v>
      </c>
      <c r="C74" s="26" t="s">
        <v>52</v>
      </c>
      <c r="D74" s="26" t="s">
        <v>53</v>
      </c>
      <c r="E74" s="26" t="s">
        <v>54</v>
      </c>
      <c r="F74" s="26" t="s">
        <v>138</v>
      </c>
      <c r="G74" s="26" t="s">
        <v>139</v>
      </c>
      <c r="I74" s="13" t="s">
        <v>194</v>
      </c>
    </row>
    <row r="75" customFormat="false" ht="15" hidden="false" customHeight="false" outlineLevel="1" collapsed="false">
      <c r="A75" s="3" t="s">
        <v>259</v>
      </c>
      <c r="B75" s="10" t="s">
        <v>42</v>
      </c>
      <c r="C75" s="30" t="n">
        <f aca="false">輸入與假設!$C$70*輸入與假設!$C$71</f>
        <v>0.385</v>
      </c>
      <c r="D75" s="30" t="n">
        <f aca="false">輸入與假設!$C$70*輸入與假設!$C$71</f>
        <v>0.385</v>
      </c>
      <c r="E75" s="30" t="n">
        <f aca="false">輸入與假設!$C$70*輸入與假設!$C$71</f>
        <v>0.385</v>
      </c>
      <c r="F75" s="30" t="n">
        <f aca="false">輸入與假設!$C$70*輸入與假設!$C$71</f>
        <v>0.385</v>
      </c>
      <c r="G75" s="30" t="n">
        <f aca="false">輸入與假設!$C$70*輸入與假設!$C$71</f>
        <v>0.385</v>
      </c>
      <c r="I75" s="5" t="s">
        <v>260</v>
      </c>
    </row>
    <row r="76" customFormat="false" ht="15" hidden="false" customHeight="false" outlineLevel="1" collapsed="false">
      <c r="A76" s="3" t="s">
        <v>261</v>
      </c>
      <c r="B76" s="10" t="s">
        <v>56</v>
      </c>
      <c r="C76" s="24" t="n">
        <v>0.0916</v>
      </c>
      <c r="D76" s="24" t="n">
        <v>0.2352</v>
      </c>
      <c r="E76" s="24" t="n">
        <v>0.2342</v>
      </c>
      <c r="F76" s="24" t="n">
        <v>0.2414</v>
      </c>
      <c r="G76" s="24" t="n">
        <v>0.2427</v>
      </c>
      <c r="I76" s="5" t="s">
        <v>262</v>
      </c>
    </row>
    <row r="77" customFormat="false" ht="15" hidden="false" customHeight="false" outlineLevel="1" collapsed="false">
      <c r="A77" s="3" t="s">
        <v>263</v>
      </c>
      <c r="B77" s="10" t="s">
        <v>56</v>
      </c>
      <c r="C77" s="31" t="n">
        <f aca="false">C23*MAX(0,C39-輸入與假設!$C$24)/(C17-輸入與假設!$C$24)</f>
        <v>0.05</v>
      </c>
      <c r="D77" s="31" t="n">
        <f aca="false">D23*MAX(0,D39-輸入與假設!$C$24)/(D17-輸入與假設!$C$24)</f>
        <v>0.420000008842105</v>
      </c>
      <c r="E77" s="31" t="n">
        <f aca="false">E23*MAX(0,E39-輸入與假設!$C$24)/(E17-輸入與假設!$C$24)</f>
        <v>0.790344849388823</v>
      </c>
      <c r="F77" s="31" t="n">
        <f aca="false">F23*MAX(0,F39-輸入與假設!$C$24)/(F17-輸入與假設!$C$24)</f>
        <v>0.766153869727811</v>
      </c>
      <c r="G77" s="31" t="n">
        <f aca="false">G23*MAX(0,G39-輸入與假設!$C$24)/(G17-輸入與假設!$C$24)</f>
        <v>0.751836759243649</v>
      </c>
      <c r="I77" s="5" t="s">
        <v>264</v>
      </c>
    </row>
    <row r="78" customFormat="false" ht="15" hidden="false" customHeight="false" outlineLevel="1" collapsed="false">
      <c r="A78" s="4" t="s">
        <v>265</v>
      </c>
      <c r="B78" s="10" t="s">
        <v>56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I78" s="5" t="s">
        <v>266</v>
      </c>
    </row>
    <row r="79" customFormat="false" ht="15" hidden="false" customHeight="false" outlineLevel="1" collapsed="false">
      <c r="A79" s="4" t="s">
        <v>267</v>
      </c>
      <c r="B79" s="10" t="s">
        <v>56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I79" s="5" t="s">
        <v>268</v>
      </c>
    </row>
    <row r="80" customFormat="false" ht="15" hidden="false" customHeight="false" outlineLevel="1" collapsed="false">
      <c r="A80" s="4" t="s">
        <v>269</v>
      </c>
      <c r="B80" s="10" t="s">
        <v>56</v>
      </c>
      <c r="C80" s="31" t="n">
        <f aca="false">C78+C79</f>
        <v>0</v>
      </c>
      <c r="D80" s="31" t="n">
        <f aca="false">D78+D79</f>
        <v>0</v>
      </c>
      <c r="E80" s="31" t="n">
        <f aca="false">E78+E79</f>
        <v>0</v>
      </c>
      <c r="F80" s="31" t="n">
        <f aca="false">F78+F79</f>
        <v>0</v>
      </c>
      <c r="G80" s="31" t="n">
        <f aca="false">G78+G79</f>
        <v>0</v>
      </c>
      <c r="I80" s="5" t="s">
        <v>270</v>
      </c>
    </row>
    <row r="81" customFormat="false" ht="15" hidden="false" customHeight="false" outlineLevel="1" collapsed="true">
      <c r="A81" s="34" t="s">
        <v>271</v>
      </c>
      <c r="B81" s="19"/>
      <c r="C81" s="19"/>
      <c r="D81" s="19"/>
      <c r="E81" s="19"/>
      <c r="F81" s="19"/>
      <c r="G81" s="19"/>
      <c r="H81" s="19"/>
    </row>
    <row r="82" customFormat="false" ht="15" hidden="true" customHeight="false" outlineLevel="2" collapsed="false">
      <c r="A82" s="3" t="s">
        <v>272</v>
      </c>
      <c r="B82" s="10" t="s">
        <v>142</v>
      </c>
      <c r="C82" s="21" t="n">
        <f aca="false">輸入與假設!$C$30</f>
        <v>170</v>
      </c>
      <c r="D82" s="21" t="n">
        <f aca="false">C39</f>
        <v>750</v>
      </c>
      <c r="E82" s="21" t="n">
        <f aca="false">D39</f>
        <v>1330</v>
      </c>
      <c r="F82" s="21" t="n">
        <f aca="false">E39</f>
        <v>1910</v>
      </c>
      <c r="G82" s="21" t="n">
        <f aca="false">F39</f>
        <v>2490</v>
      </c>
      <c r="I82" s="10" t="s">
        <v>273</v>
      </c>
    </row>
    <row r="83" customFormat="false" ht="15" hidden="true" customHeight="false" outlineLevel="2" collapsed="false">
      <c r="A83" s="3" t="s">
        <v>274</v>
      </c>
      <c r="B83" s="10" t="s">
        <v>142</v>
      </c>
      <c r="C83" s="21" t="n">
        <f aca="false">C39-C82</f>
        <v>580</v>
      </c>
      <c r="D83" s="21" t="n">
        <f aca="false">D39-D82</f>
        <v>580</v>
      </c>
      <c r="E83" s="21" t="n">
        <f aca="false">E39-E82</f>
        <v>580</v>
      </c>
      <c r="F83" s="21" t="n">
        <f aca="false">F39-F82</f>
        <v>580</v>
      </c>
      <c r="G83" s="21" t="n">
        <f aca="false">G39-G82</f>
        <v>580</v>
      </c>
    </row>
    <row r="84" customFormat="false" ht="15" hidden="true" customHeight="false" outlineLevel="2" collapsed="false">
      <c r="A84" s="3" t="s">
        <v>275</v>
      </c>
      <c r="B84" s="10" t="s">
        <v>142</v>
      </c>
      <c r="C84" s="21" t="n">
        <f aca="false">D39-C39</f>
        <v>580</v>
      </c>
      <c r="D84" s="21" t="n">
        <f aca="false">E39-D39</f>
        <v>580</v>
      </c>
      <c r="E84" s="21" t="n">
        <f aca="false">F39-E39</f>
        <v>580</v>
      </c>
      <c r="F84" s="21" t="n">
        <f aca="false">G39-F39</f>
        <v>580</v>
      </c>
      <c r="G84" s="21" t="n">
        <f aca="false">輸入與假設!$C$63</f>
        <v>580</v>
      </c>
    </row>
    <row r="85" customFormat="false" ht="15" hidden="true" customHeight="false" outlineLevel="2" collapsed="false">
      <c r="A85" s="3" t="s">
        <v>276</v>
      </c>
      <c r="B85" s="10" t="s">
        <v>56</v>
      </c>
      <c r="C85" s="31" t="n">
        <f aca="false">(C83*(1-輸入與假設!$C$62)+C84*輸入與假設!$C$62)*C69*輸入與假設!$C$67/1000</f>
        <v>29.0696</v>
      </c>
      <c r="D85" s="31" t="n">
        <f aca="false">(D83*(1-輸入與假設!$C$62)+D84*輸入與假設!$C$62)*D69*輸入與假設!$C$67/1000</f>
        <v>29.1508</v>
      </c>
      <c r="E85" s="31" t="n">
        <f aca="false">(E83*(1-輸入與假設!$C$62)+E84*輸入與假設!$C$62)*E69*輸入與假設!$C$67/1000</f>
        <v>29.1508</v>
      </c>
      <c r="F85" s="31" t="n">
        <f aca="false">(F83*(1-輸入與假設!$C$62)+F84*輸入與假設!$C$62)*F69*輸入與假設!$C$67/1000</f>
        <v>29.1508</v>
      </c>
      <c r="G85" s="31" t="n">
        <f aca="false">(G83*(1-輸入與假設!$C$62)+G84*輸入與假設!$C$62)*G69*輸入與假設!$C$67/1000</f>
        <v>29.1508</v>
      </c>
      <c r="I85" s="5" t="s">
        <v>277</v>
      </c>
    </row>
    <row r="86" customFormat="false" ht="15" hidden="true" customHeight="false" outlineLevel="2" collapsed="false">
      <c r="A86" s="3" t="s">
        <v>278</v>
      </c>
      <c r="B86" s="10" t="s">
        <v>56</v>
      </c>
      <c r="C86" s="31" t="n">
        <f aca="false">MAX(C85,輸入與假設!$C$64)-輸入與假設!$C$181</f>
        <v>20.9393</v>
      </c>
      <c r="D86" s="31" t="n">
        <f aca="false">D85</f>
        <v>29.1508</v>
      </c>
      <c r="E86" s="31" t="n">
        <f aca="false">E85</f>
        <v>29.1508</v>
      </c>
      <c r="F86" s="31" t="n">
        <f aca="false">F85</f>
        <v>29.1508</v>
      </c>
      <c r="G86" s="31" t="n">
        <f aca="false">G85</f>
        <v>29.1508</v>
      </c>
      <c r="I86" s="10" t="s">
        <v>279</v>
      </c>
    </row>
    <row r="87" customFormat="false" ht="15" hidden="true" customHeight="false" outlineLevel="2" collapsed="false">
      <c r="A87" s="4" t="s">
        <v>280</v>
      </c>
      <c r="B87" s="10" t="s">
        <v>56</v>
      </c>
      <c r="C87" s="31" t="n">
        <f aca="false">IF(2026-輸入與假設!$C$65=2025,輸入與假設!$C$30,0)*C69*輸入與假設!$C$67/1000</f>
        <v>0</v>
      </c>
      <c r="D87" s="31" t="n">
        <f aca="false">IF(2027-輸入與假設!$C$65=2025,輸入與假設!$C$30,0)*D69*輸入與假設!$C$67/1000</f>
        <v>0</v>
      </c>
      <c r="E87" s="31" t="n">
        <f aca="false">IF(2028-輸入與假設!$C$65=2025,輸入與假設!$C$30,0)*E69*輸入與假設!$C$67/1000</f>
        <v>0</v>
      </c>
      <c r="F87" s="31" t="n">
        <f aca="false">IF(2029-輸入與假設!$C$65=2025,輸入與假設!$C$30,0)*F69*輸入與假設!$C$67/1000</f>
        <v>0</v>
      </c>
      <c r="G87" s="31" t="n">
        <f aca="false">IF(2030-輸入與假設!$C$65=2025,輸入與假設!$C$30,0)*G69*輸入與假設!$C$67/1000</f>
        <v>8.5442</v>
      </c>
      <c r="I87" s="5" t="s">
        <v>281</v>
      </c>
    </row>
    <row r="88" customFormat="false" ht="15" hidden="true" customHeight="false" outlineLevel="2" collapsed="false">
      <c r="A88" s="3" t="s">
        <v>282</v>
      </c>
      <c r="B88" s="10" t="s">
        <v>56</v>
      </c>
      <c r="C88" s="31" t="n">
        <f aca="false">輸入與假設!$C$66</f>
        <v>14.1495</v>
      </c>
      <c r="D88" s="31" t="n">
        <f aca="false">C88+C86</f>
        <v>35.0888</v>
      </c>
      <c r="E88" s="31" t="n">
        <f aca="false">D88+D86</f>
        <v>64.2396</v>
      </c>
      <c r="F88" s="31" t="n">
        <f aca="false">E88+E86</f>
        <v>93.3904</v>
      </c>
      <c r="G88" s="31" t="n">
        <f aca="false">F88+F86</f>
        <v>122.5412</v>
      </c>
      <c r="I88" s="5" t="s">
        <v>283</v>
      </c>
    </row>
    <row r="89" customFormat="false" ht="15" hidden="false" customHeight="false" outlineLevel="1" collapsed="false">
      <c r="A89" s="34" t="s">
        <v>284</v>
      </c>
      <c r="B89" s="19"/>
      <c r="C89" s="19"/>
      <c r="D89" s="19"/>
      <c r="E89" s="19"/>
      <c r="F89" s="19"/>
      <c r="G89" s="19"/>
      <c r="H89" s="19"/>
    </row>
    <row r="90" customFormat="false" ht="15" hidden="false" customHeight="false" outlineLevel="2" collapsed="false">
      <c r="A90" s="3" t="s">
        <v>285</v>
      </c>
      <c r="B90" s="10" t="s">
        <v>56</v>
      </c>
      <c r="C90" s="35" t="n">
        <f aca="false">C86+C87</f>
        <v>20.9393</v>
      </c>
      <c r="D90" s="35" t="n">
        <f aca="false">D86+D87</f>
        <v>29.1508</v>
      </c>
      <c r="E90" s="35" t="n">
        <f aca="false">E86+E87</f>
        <v>29.1508</v>
      </c>
      <c r="F90" s="35" t="n">
        <f aca="false">F86+F87</f>
        <v>29.1508</v>
      </c>
      <c r="G90" s="35" t="n">
        <f aca="false">G86+G87</f>
        <v>37.695</v>
      </c>
      <c r="I90" s="5" t="s">
        <v>286</v>
      </c>
    </row>
    <row r="91" customFormat="false" ht="15" hidden="false" customHeight="false" outlineLevel="2" collapsed="false">
      <c r="A91" s="4" t="s">
        <v>287</v>
      </c>
      <c r="B91" s="10" t="s">
        <v>56</v>
      </c>
      <c r="C91" s="35" t="n">
        <f aca="false">(C88+0.5*C86)/輸入與假設!$C$65*C37</f>
        <v>2.461915</v>
      </c>
      <c r="D91" s="35" t="n">
        <f aca="false">(D88+0.5*D86)/輸入與假設!$C$65*D37</f>
        <v>9.93284</v>
      </c>
      <c r="E91" s="35" t="n">
        <f aca="false">(E88+0.5*E86)/輸入與假設!$C$65*E37</f>
        <v>15.763</v>
      </c>
      <c r="F91" s="35" t="n">
        <f aca="false">(F88+0.5*F86)/輸入與假設!$C$65*F37</f>
        <v>21.59316</v>
      </c>
      <c r="G91" s="35" t="n">
        <f aca="false">(G88+0.5*G86)/輸入與假設!$C$65*G37</f>
        <v>27.42332</v>
      </c>
      <c r="I91" s="5" t="s">
        <v>288</v>
      </c>
    </row>
    <row r="93" customFormat="false" ht="15" hidden="false" customHeight="false" outlineLevel="0" collapsed="false">
      <c r="A93" s="6" t="s">
        <v>289</v>
      </c>
      <c r="B93" s="7"/>
      <c r="C93" s="7"/>
      <c r="D93" s="7"/>
      <c r="E93" s="7"/>
      <c r="F93" s="7"/>
      <c r="G93" s="7"/>
      <c r="H93" s="7"/>
    </row>
    <row r="94" customFormat="false" ht="15" hidden="false" customHeight="false" outlineLevel="1" collapsed="false">
      <c r="A94" s="3" t="s">
        <v>290</v>
      </c>
      <c r="B94" s="10" t="s">
        <v>56</v>
      </c>
      <c r="C94" s="24" t="n">
        <v>8.0421</v>
      </c>
      <c r="I94" s="5" t="s">
        <v>291</v>
      </c>
    </row>
    <row r="95" customFormat="false" ht="15" hidden="false" customHeight="false" outlineLevel="1" collapsed="false">
      <c r="A95" s="3" t="s">
        <v>292</v>
      </c>
      <c r="B95" s="10" t="s">
        <v>56</v>
      </c>
      <c r="C95" s="24" t="n">
        <v>5.68</v>
      </c>
      <c r="I95" s="10" t="s">
        <v>293</v>
      </c>
    </row>
    <row r="96" customFormat="false" ht="15" hidden="false" customHeight="false" outlineLevel="1" collapsed="false">
      <c r="A96" s="3" t="s">
        <v>294</v>
      </c>
      <c r="B96" s="5"/>
      <c r="C96" s="20" t="n">
        <v>1</v>
      </c>
      <c r="I96" s="5" t="s">
        <v>295</v>
      </c>
    </row>
    <row r="97" customFormat="false" ht="15" hidden="false" customHeight="false" outlineLevel="1" collapsed="false">
      <c r="A97" s="3" t="s">
        <v>296</v>
      </c>
      <c r="B97" s="10" t="s">
        <v>56</v>
      </c>
      <c r="C97" s="24" t="n">
        <v>0.775</v>
      </c>
      <c r="I97" s="5" t="s">
        <v>297</v>
      </c>
    </row>
    <row r="98" customFormat="false" ht="15" hidden="false" customHeight="false" outlineLevel="1" collapsed="false">
      <c r="A98" s="3" t="s">
        <v>298</v>
      </c>
      <c r="B98" s="5"/>
      <c r="C98" s="20" t="n">
        <v>1</v>
      </c>
      <c r="I98" s="5" t="s">
        <v>299</v>
      </c>
    </row>
    <row r="99" customFormat="false" ht="15" hidden="false" customHeight="false" outlineLevel="1" collapsed="false">
      <c r="A99" s="3" t="s">
        <v>300</v>
      </c>
      <c r="B99" s="5"/>
      <c r="C99" s="20" t="n">
        <v>1</v>
      </c>
      <c r="I99" s="5" t="s">
        <v>301</v>
      </c>
    </row>
    <row r="100" customFormat="false" ht="15" hidden="false" customHeight="false" outlineLevel="1" collapsed="false">
      <c r="A100" s="3" t="s">
        <v>302</v>
      </c>
      <c r="B100" s="10" t="s">
        <v>102</v>
      </c>
      <c r="C100" s="36" t="n">
        <v>0.5</v>
      </c>
      <c r="I100" s="5" t="s">
        <v>303</v>
      </c>
    </row>
    <row r="101" customFormat="false" ht="15" hidden="false" customHeight="false" outlineLevel="1" collapsed="false">
      <c r="A101" s="3" t="s">
        <v>304</v>
      </c>
      <c r="B101" s="5" t="s">
        <v>243</v>
      </c>
      <c r="C101" s="20" t="n">
        <v>3</v>
      </c>
      <c r="I101" s="5" t="s">
        <v>305</v>
      </c>
    </row>
    <row r="102" customFormat="false" ht="15" hidden="false" customHeight="false" outlineLevel="1" collapsed="false">
      <c r="A102" s="3" t="s">
        <v>306</v>
      </c>
      <c r="B102" s="10" t="s">
        <v>56</v>
      </c>
      <c r="C102" s="24" t="n">
        <v>2</v>
      </c>
      <c r="I102" s="5" t="s">
        <v>307</v>
      </c>
    </row>
    <row r="103" customFormat="false" ht="15" hidden="false" customHeight="false" outlineLevel="1" collapsed="false">
      <c r="A103" s="3" t="s">
        <v>308</v>
      </c>
      <c r="B103" s="10" t="s">
        <v>39</v>
      </c>
      <c r="C103" s="37" t="n">
        <v>249.87</v>
      </c>
      <c r="I103" s="5" t="s">
        <v>309</v>
      </c>
    </row>
    <row r="104" customFormat="false" ht="15" hidden="false" customHeight="false" outlineLevel="1" collapsed="false">
      <c r="A104" s="3" t="s">
        <v>310</v>
      </c>
      <c r="B104" s="10" t="s">
        <v>42</v>
      </c>
      <c r="C104" s="23" t="n">
        <v>0.1</v>
      </c>
      <c r="I104" s="5" t="s">
        <v>311</v>
      </c>
    </row>
    <row r="105" customFormat="false" ht="15" hidden="false" customHeight="false" outlineLevel="1" collapsed="false">
      <c r="A105" s="3" t="s">
        <v>312</v>
      </c>
      <c r="B105" s="10" t="s">
        <v>42</v>
      </c>
      <c r="C105" s="23" t="n">
        <v>0.2</v>
      </c>
      <c r="I105" s="5" t="s">
        <v>313</v>
      </c>
    </row>
    <row r="106" customFormat="false" ht="15" hidden="false" customHeight="false" outlineLevel="1" collapsed="false">
      <c r="A106" s="3" t="s">
        <v>314</v>
      </c>
      <c r="B106" s="10" t="s">
        <v>315</v>
      </c>
      <c r="C106" s="22" t="n">
        <v>0.3088</v>
      </c>
      <c r="I106" s="5" t="s">
        <v>316</v>
      </c>
    </row>
    <row r="107" customFormat="false" ht="15" hidden="false" customHeight="false" outlineLevel="1" collapsed="false">
      <c r="A107" s="3" t="s">
        <v>317</v>
      </c>
      <c r="B107" s="10" t="s">
        <v>318</v>
      </c>
      <c r="C107" s="24" t="n">
        <v>0</v>
      </c>
      <c r="I107" s="5" t="s">
        <v>319</v>
      </c>
    </row>
    <row r="108" customFormat="false" ht="15" hidden="false" customHeight="false" outlineLevel="1" collapsed="false">
      <c r="A108" s="3" t="s">
        <v>320</v>
      </c>
      <c r="B108" s="10" t="s">
        <v>318</v>
      </c>
      <c r="C108" s="24" t="n">
        <v>5</v>
      </c>
      <c r="I108" s="5" t="s">
        <v>319</v>
      </c>
    </row>
    <row r="109" customFormat="false" ht="15" hidden="false" customHeight="false" outlineLevel="1" collapsed="false">
      <c r="A109" s="3" t="s">
        <v>321</v>
      </c>
      <c r="B109" s="10" t="s">
        <v>318</v>
      </c>
      <c r="C109" s="24" t="n">
        <v>10</v>
      </c>
      <c r="I109" s="5" t="s">
        <v>319</v>
      </c>
    </row>
    <row r="110" customFormat="false" ht="15" hidden="false" customHeight="false" outlineLevel="1" collapsed="false">
      <c r="A110" s="3" t="s">
        <v>322</v>
      </c>
      <c r="B110" s="10" t="s">
        <v>318</v>
      </c>
      <c r="C110" s="31" t="n">
        <f aca="false">CHOOSE(輸入與假設!$C$5,輸入與假設!$C$107,輸入與假設!$C$108,輸入與假設!$C$109)</f>
        <v>5</v>
      </c>
      <c r="I110" s="5" t="s">
        <v>323</v>
      </c>
    </row>
    <row r="111" customFormat="false" ht="15" hidden="false" customHeight="false" outlineLevel="1" collapsed="false">
      <c r="A111" s="3" t="s">
        <v>324</v>
      </c>
      <c r="B111" s="10" t="s">
        <v>42</v>
      </c>
      <c r="C111" s="23" t="n">
        <v>0.021</v>
      </c>
      <c r="I111" s="10" t="s">
        <v>325</v>
      </c>
    </row>
    <row r="112" customFormat="false" ht="15" hidden="false" customHeight="false" outlineLevel="1" collapsed="false">
      <c r="A112" s="3" t="s">
        <v>326</v>
      </c>
      <c r="B112" s="10" t="s">
        <v>42</v>
      </c>
      <c r="C112" s="23" t="n">
        <v>0.45</v>
      </c>
      <c r="I112" s="10" t="s">
        <v>327</v>
      </c>
    </row>
    <row r="113" customFormat="false" ht="15" hidden="false" customHeight="false" outlineLevel="1" collapsed="false">
      <c r="A113" s="3" t="s">
        <v>328</v>
      </c>
      <c r="B113" s="10" t="s">
        <v>42</v>
      </c>
      <c r="C113" s="23" t="n">
        <v>0.12</v>
      </c>
      <c r="I113" s="5" t="s">
        <v>329</v>
      </c>
    </row>
    <row r="114" customFormat="false" ht="15" hidden="false" customHeight="false" outlineLevel="1" collapsed="false">
      <c r="A114" s="4" t="s">
        <v>330</v>
      </c>
      <c r="B114" s="10" t="s">
        <v>331</v>
      </c>
      <c r="C114" s="20"/>
      <c r="I114" s="5" t="s">
        <v>332</v>
      </c>
    </row>
    <row r="115" customFormat="false" ht="15" hidden="false" customHeight="false" outlineLevel="1" collapsed="false">
      <c r="A115" s="4" t="s">
        <v>333</v>
      </c>
      <c r="B115" s="5"/>
      <c r="C115" s="20" t="n">
        <v>0</v>
      </c>
      <c r="I115" s="5" t="s">
        <v>334</v>
      </c>
    </row>
    <row r="116" customFormat="false" ht="15" hidden="false" customHeight="false" outlineLevel="1" collapsed="false">
      <c r="A116" s="4" t="s">
        <v>335</v>
      </c>
      <c r="B116" s="10" t="s">
        <v>331</v>
      </c>
      <c r="C116" s="20" t="n">
        <v>450</v>
      </c>
      <c r="I116" s="10" t="s">
        <v>336</v>
      </c>
    </row>
    <row r="117" customFormat="false" ht="15" hidden="false" customHeight="false" outlineLevel="1" collapsed="false">
      <c r="A117" s="4" t="s">
        <v>337</v>
      </c>
      <c r="B117" s="10" t="s">
        <v>42</v>
      </c>
      <c r="C117" s="23" t="n">
        <v>0.4</v>
      </c>
      <c r="I117" s="5" t="s">
        <v>338</v>
      </c>
    </row>
    <row r="118" customFormat="false" ht="15" hidden="false" customHeight="false" outlineLevel="1" collapsed="false">
      <c r="A118" s="13" t="s">
        <v>50</v>
      </c>
      <c r="B118" s="13" t="s">
        <v>51</v>
      </c>
      <c r="C118" s="26" t="s">
        <v>52</v>
      </c>
      <c r="D118" s="26" t="s">
        <v>53</v>
      </c>
      <c r="E118" s="26" t="s">
        <v>54</v>
      </c>
      <c r="F118" s="26" t="s">
        <v>138</v>
      </c>
      <c r="G118" s="26" t="s">
        <v>139</v>
      </c>
      <c r="I118" s="13" t="s">
        <v>194</v>
      </c>
    </row>
    <row r="119" customFormat="false" ht="15" hidden="false" customHeight="false" outlineLevel="1" collapsed="false">
      <c r="A119" s="3" t="s">
        <v>339</v>
      </c>
      <c r="B119" s="10" t="s">
        <v>56</v>
      </c>
      <c r="C119" s="24" t="n">
        <v>0.0467</v>
      </c>
      <c r="D119" s="24" t="n">
        <v>0</v>
      </c>
      <c r="E119" s="24" t="n">
        <v>0</v>
      </c>
      <c r="F119" s="24" t="n">
        <v>0</v>
      </c>
      <c r="G119" s="24" t="n">
        <v>0</v>
      </c>
      <c r="I119" s="5" t="s">
        <v>340</v>
      </c>
    </row>
    <row r="120" customFormat="false" ht="15" hidden="false" customHeight="false" outlineLevel="1" collapsed="false">
      <c r="A120" s="3" t="s">
        <v>341</v>
      </c>
      <c r="B120" s="10" t="s">
        <v>42</v>
      </c>
      <c r="C120" s="23" t="n">
        <v>0.065</v>
      </c>
      <c r="D120" s="23" t="n">
        <v>0.065</v>
      </c>
      <c r="E120" s="23" t="n">
        <v>0.065</v>
      </c>
      <c r="F120" s="23" t="n">
        <v>0.065</v>
      </c>
      <c r="G120" s="23" t="n">
        <v>0.065</v>
      </c>
      <c r="I120" s="5" t="s">
        <v>342</v>
      </c>
    </row>
    <row r="121" customFormat="false" ht="15" hidden="false" customHeight="false" outlineLevel="1" collapsed="false">
      <c r="A121" s="3" t="s">
        <v>343</v>
      </c>
      <c r="B121" s="10" t="s">
        <v>56</v>
      </c>
      <c r="C121" s="38" t="n">
        <f aca="false">資產負債_既有債務!C46</f>
        <v>0.060375</v>
      </c>
      <c r="D121" s="38" t="n">
        <f aca="false">資產負債_既有債務!D46</f>
        <v>0.12075</v>
      </c>
      <c r="E121" s="38" t="n">
        <f aca="false">資產負債_既有債務!E46</f>
        <v>0.12075</v>
      </c>
      <c r="F121" s="38" t="n">
        <f aca="false">資產負債_既有債務!F46</f>
        <v>0.12075</v>
      </c>
      <c r="G121" s="38" t="n">
        <f aca="false">資產負債_既有債務!G46</f>
        <v>0.112125</v>
      </c>
      <c r="I121" s="5" t="s">
        <v>344</v>
      </c>
    </row>
    <row r="123" customFormat="false" ht="15" hidden="false" customHeight="false" outlineLevel="0" collapsed="false">
      <c r="A123" s="6" t="s">
        <v>345</v>
      </c>
      <c r="B123" s="7"/>
      <c r="C123" s="7"/>
      <c r="D123" s="7"/>
      <c r="E123" s="7"/>
      <c r="F123" s="7"/>
      <c r="G123" s="7"/>
      <c r="H123" s="7"/>
    </row>
    <row r="124" customFormat="false" ht="15" hidden="false" customHeight="false" outlineLevel="1" collapsed="false">
      <c r="A124" s="3" t="s">
        <v>346</v>
      </c>
      <c r="B124" s="10" t="s">
        <v>39</v>
      </c>
      <c r="C124" s="37" t="n">
        <v>249.87</v>
      </c>
      <c r="I124" s="10" t="s">
        <v>347</v>
      </c>
    </row>
    <row r="125" customFormat="false" ht="15" hidden="false" customHeight="false" outlineLevel="1" collapsed="false">
      <c r="A125" s="3" t="s">
        <v>348</v>
      </c>
      <c r="B125" s="10" t="s">
        <v>315</v>
      </c>
      <c r="C125" s="22" t="n">
        <v>0.3193</v>
      </c>
      <c r="I125" s="5" t="s">
        <v>349</v>
      </c>
    </row>
    <row r="126" customFormat="false" ht="15" hidden="false" customHeight="false" outlineLevel="1" collapsed="false">
      <c r="A126" s="3" t="s">
        <v>350</v>
      </c>
      <c r="B126" s="10" t="s">
        <v>56</v>
      </c>
      <c r="C126" s="24" t="n">
        <v>-13.6754</v>
      </c>
      <c r="I126" s="5" t="s">
        <v>351</v>
      </c>
    </row>
    <row r="127" customFormat="false" ht="15" hidden="false" customHeight="false" outlineLevel="1" collapsed="false">
      <c r="A127" s="4" t="s">
        <v>352</v>
      </c>
      <c r="B127" s="10" t="s">
        <v>56</v>
      </c>
      <c r="C127" s="24" t="n">
        <v>15</v>
      </c>
      <c r="I127" s="10" t="s">
        <v>353</v>
      </c>
    </row>
    <row r="128" customFormat="false" ht="15" hidden="false" customHeight="false" outlineLevel="1" collapsed="false">
      <c r="A128" s="4" t="s">
        <v>354</v>
      </c>
      <c r="B128" s="10" t="s">
        <v>42</v>
      </c>
      <c r="C128" s="23" t="n">
        <v>0.25</v>
      </c>
      <c r="I128" s="5"/>
    </row>
    <row r="129" customFormat="false" ht="15" hidden="false" customHeight="false" outlineLevel="1" collapsed="false">
      <c r="A129" s="4" t="s">
        <v>355</v>
      </c>
      <c r="B129" s="10" t="s">
        <v>56</v>
      </c>
      <c r="C129" s="24" t="n">
        <v>0.0865</v>
      </c>
      <c r="I129" s="5" t="s">
        <v>356</v>
      </c>
    </row>
    <row r="130" customFormat="false" ht="15" hidden="false" customHeight="false" outlineLevel="1" collapsed="false">
      <c r="A130" s="4" t="s">
        <v>357</v>
      </c>
      <c r="B130" s="10" t="s">
        <v>42</v>
      </c>
      <c r="C130" s="23" t="n">
        <v>1</v>
      </c>
      <c r="I130" s="5"/>
    </row>
    <row r="131" customFormat="false" ht="15" hidden="false" customHeight="false" outlineLevel="1" collapsed="false">
      <c r="A131" s="3" t="s">
        <v>358</v>
      </c>
      <c r="B131" s="10" t="s">
        <v>42</v>
      </c>
      <c r="C131" s="23" t="n">
        <v>0.3</v>
      </c>
      <c r="I131" s="5" t="s">
        <v>359</v>
      </c>
    </row>
    <row r="132" customFormat="false" ht="15" hidden="false" customHeight="false" outlineLevel="1" collapsed="false">
      <c r="A132" s="3" t="s">
        <v>360</v>
      </c>
      <c r="B132" s="10" t="s">
        <v>56</v>
      </c>
      <c r="C132" s="24" t="n">
        <v>0.1781</v>
      </c>
      <c r="I132" s="10" t="s">
        <v>361</v>
      </c>
    </row>
    <row r="133" customFormat="false" ht="15" hidden="false" customHeight="false" outlineLevel="1" collapsed="false">
      <c r="A133" s="3" t="s">
        <v>362</v>
      </c>
      <c r="B133" s="10" t="s">
        <v>56</v>
      </c>
      <c r="C133" s="31" t="n">
        <f aca="false">輸入與假設!$C$132-(輸入與假設!$C$127*輸入與假設!$C$128+輸入與假設!$C$129*輸入與假設!$C$130)*(1-輸入與假設!$C$131)</f>
        <v>-2.50745</v>
      </c>
      <c r="I133" s="5" t="s">
        <v>363</v>
      </c>
    </row>
    <row r="134" customFormat="false" ht="15" hidden="false" customHeight="false" outlineLevel="1" collapsed="false">
      <c r="A134" s="4" t="s">
        <v>364</v>
      </c>
      <c r="B134" s="10" t="s">
        <v>42</v>
      </c>
      <c r="C134" s="23" t="n">
        <v>0.11</v>
      </c>
      <c r="I134" s="5" t="s">
        <v>365</v>
      </c>
    </row>
    <row r="135" customFormat="false" ht="15" hidden="false" customHeight="false" outlineLevel="1" collapsed="false">
      <c r="A135" s="3" t="s">
        <v>366</v>
      </c>
      <c r="B135" s="10" t="s">
        <v>42</v>
      </c>
      <c r="C135" s="23" t="n">
        <v>0.03</v>
      </c>
      <c r="I135" s="10" t="s">
        <v>212</v>
      </c>
    </row>
    <row r="136" customFormat="false" ht="15" hidden="false" customHeight="false" outlineLevel="1" collapsed="false">
      <c r="A136" s="3" t="s">
        <v>367</v>
      </c>
      <c r="B136" s="10" t="s">
        <v>42</v>
      </c>
      <c r="C136" s="23" t="n">
        <v>0.8</v>
      </c>
      <c r="I136" s="5" t="s">
        <v>368</v>
      </c>
    </row>
    <row r="137" customFormat="false" ht="15" hidden="false" customHeight="false" outlineLevel="1" collapsed="false">
      <c r="A137" s="3" t="s">
        <v>369</v>
      </c>
      <c r="B137" s="10" t="s">
        <v>42</v>
      </c>
      <c r="C137" s="23" t="n">
        <v>0.258</v>
      </c>
      <c r="I137" s="5" t="s">
        <v>370</v>
      </c>
    </row>
    <row r="138" customFormat="false" ht="15" hidden="false" customHeight="false" outlineLevel="1" collapsed="false">
      <c r="A138" s="3" t="s">
        <v>371</v>
      </c>
      <c r="B138" s="10" t="s">
        <v>56</v>
      </c>
      <c r="C138" s="24" t="n">
        <v>0.8</v>
      </c>
      <c r="I138" s="10" t="s">
        <v>372</v>
      </c>
    </row>
    <row r="139" customFormat="false" ht="15" hidden="false" customHeight="false" outlineLevel="1" collapsed="false">
      <c r="A139" s="4" t="s">
        <v>373</v>
      </c>
      <c r="B139" s="10" t="s">
        <v>42</v>
      </c>
      <c r="C139" s="23" t="n">
        <v>0.5</v>
      </c>
      <c r="I139" s="5" t="s">
        <v>374</v>
      </c>
    </row>
    <row r="140" customFormat="false" ht="15" hidden="false" customHeight="false" outlineLevel="1" collapsed="false">
      <c r="A140" s="3" t="s">
        <v>375</v>
      </c>
      <c r="B140" s="10" t="s">
        <v>42</v>
      </c>
      <c r="C140" s="23" t="n">
        <v>0.02</v>
      </c>
      <c r="I140" s="5" t="s">
        <v>376</v>
      </c>
    </row>
    <row r="141" customFormat="false" ht="15" hidden="false" customHeight="false" outlineLevel="1" collapsed="false">
      <c r="A141" s="4" t="s">
        <v>377</v>
      </c>
      <c r="B141" s="10" t="s">
        <v>102</v>
      </c>
      <c r="C141" s="39" t="n">
        <v>6</v>
      </c>
      <c r="I141" s="5" t="s">
        <v>378</v>
      </c>
    </row>
    <row r="142" customFormat="false" ht="15" hidden="false" customHeight="false" outlineLevel="1" collapsed="false">
      <c r="A142" s="4" t="s">
        <v>379</v>
      </c>
      <c r="B142" s="5"/>
      <c r="C142" s="17" t="n">
        <v>3</v>
      </c>
      <c r="I142" s="5" t="s">
        <v>380</v>
      </c>
    </row>
    <row r="143" customFormat="false" ht="15" hidden="false" customHeight="false" outlineLevel="1" collapsed="false">
      <c r="A143" s="3" t="s">
        <v>381</v>
      </c>
      <c r="B143" s="10" t="s">
        <v>42</v>
      </c>
      <c r="C143" s="23" t="n">
        <v>0.45</v>
      </c>
      <c r="I143" s="5"/>
    </row>
    <row r="144" customFormat="false" ht="15" hidden="false" customHeight="false" outlineLevel="1" collapsed="false">
      <c r="A144" s="3" t="s">
        <v>382</v>
      </c>
      <c r="B144" s="10" t="s">
        <v>42</v>
      </c>
      <c r="C144" s="23" t="n">
        <v>0.55</v>
      </c>
      <c r="I144" s="5"/>
    </row>
    <row r="145" customFormat="false" ht="15" hidden="false" customHeight="false" outlineLevel="1" collapsed="false">
      <c r="A145" s="3" t="s">
        <v>383</v>
      </c>
      <c r="B145" s="10" t="s">
        <v>102</v>
      </c>
      <c r="C145" s="39" t="n">
        <v>5</v>
      </c>
      <c r="I145" s="10" t="s">
        <v>384</v>
      </c>
    </row>
    <row r="146" customFormat="false" ht="15" hidden="false" customHeight="false" outlineLevel="1" collapsed="false">
      <c r="A146" s="3" t="s">
        <v>385</v>
      </c>
      <c r="B146" s="10" t="s">
        <v>102</v>
      </c>
      <c r="C146" s="39" t="n">
        <v>6</v>
      </c>
      <c r="I146" s="5"/>
    </row>
    <row r="147" customFormat="false" ht="15" hidden="false" customHeight="false" outlineLevel="1" collapsed="false">
      <c r="A147" s="3" t="s">
        <v>386</v>
      </c>
      <c r="B147" s="10" t="s">
        <v>42</v>
      </c>
      <c r="C147" s="23" t="n">
        <v>0.01</v>
      </c>
      <c r="I147" s="5" t="s">
        <v>387</v>
      </c>
    </row>
    <row r="148" customFormat="false" ht="15" hidden="false" customHeight="false" outlineLevel="1" collapsed="false">
      <c r="A148" s="3" t="s">
        <v>388</v>
      </c>
      <c r="B148" s="10" t="s">
        <v>56</v>
      </c>
      <c r="C148" s="24" t="n">
        <v>0.13</v>
      </c>
      <c r="I148" s="5" t="s">
        <v>389</v>
      </c>
    </row>
    <row r="149" customFormat="false" ht="15" hidden="false" customHeight="false" outlineLevel="1" collapsed="false">
      <c r="A149" s="34" t="s">
        <v>390</v>
      </c>
      <c r="B149" s="19"/>
      <c r="C149" s="19"/>
      <c r="D149" s="19"/>
      <c r="E149" s="19"/>
      <c r="F149" s="19"/>
      <c r="G149" s="19"/>
      <c r="H149" s="19"/>
    </row>
    <row r="150" customFormat="false" ht="15" hidden="false" customHeight="false" outlineLevel="2" collapsed="false">
      <c r="A150" s="4" t="s">
        <v>391</v>
      </c>
      <c r="B150" s="5"/>
      <c r="C150" s="17" t="n">
        <v>1</v>
      </c>
      <c r="I150" s="10" t="s">
        <v>392</v>
      </c>
    </row>
    <row r="151" customFormat="false" ht="15" hidden="false" customHeight="false" outlineLevel="2" collapsed="false">
      <c r="A151" s="3" t="s">
        <v>393</v>
      </c>
      <c r="B151" s="10" t="s">
        <v>42</v>
      </c>
      <c r="C151" s="23" t="n">
        <v>0.5</v>
      </c>
      <c r="I151" s="5" t="s">
        <v>394</v>
      </c>
    </row>
    <row r="152" customFormat="false" ht="15" hidden="false" customHeight="false" outlineLevel="2" collapsed="false">
      <c r="A152" s="3" t="s">
        <v>395</v>
      </c>
      <c r="B152" s="10" t="s">
        <v>42</v>
      </c>
      <c r="C152" s="23" t="n">
        <v>0.04</v>
      </c>
      <c r="I152" s="5" t="s">
        <v>394</v>
      </c>
    </row>
    <row r="153" customFormat="false" ht="15" hidden="false" customHeight="false" outlineLevel="2" collapsed="false">
      <c r="A153" s="3" t="s">
        <v>396</v>
      </c>
      <c r="B153" s="5" t="s">
        <v>243</v>
      </c>
      <c r="C153" s="33" t="n">
        <v>4.5</v>
      </c>
      <c r="I153" s="5" t="s">
        <v>397</v>
      </c>
    </row>
    <row r="154" customFormat="false" ht="15" hidden="false" customHeight="false" outlineLevel="1" collapsed="false">
      <c r="A154" s="18" t="s">
        <v>398</v>
      </c>
      <c r="B154" s="19"/>
      <c r="C154" s="19"/>
      <c r="D154" s="19"/>
      <c r="E154" s="19"/>
      <c r="F154" s="19"/>
      <c r="G154" s="19"/>
      <c r="H154" s="19"/>
    </row>
    <row r="155" customFormat="false" ht="15" hidden="false" customHeight="false" outlineLevel="2" collapsed="false">
      <c r="A155" s="3" t="s">
        <v>399</v>
      </c>
      <c r="B155" s="5" t="s">
        <v>400</v>
      </c>
      <c r="C155" s="21" t="n">
        <v>12</v>
      </c>
      <c r="I155" s="10" t="s">
        <v>401</v>
      </c>
    </row>
    <row r="156" customFormat="false" ht="15" hidden="false" customHeight="false" outlineLevel="2" collapsed="false">
      <c r="A156" s="3" t="s">
        <v>402</v>
      </c>
      <c r="B156" s="5"/>
      <c r="C156" s="40" t="s">
        <v>403</v>
      </c>
      <c r="I156" s="10" t="s">
        <v>404</v>
      </c>
    </row>
    <row r="157" customFormat="false" ht="15" hidden="false" customHeight="false" outlineLevel="2" collapsed="false">
      <c r="A157" s="3" t="s">
        <v>405</v>
      </c>
      <c r="B157" s="5"/>
      <c r="C157" s="40" t="s">
        <v>406</v>
      </c>
      <c r="I157" s="10" t="s">
        <v>407</v>
      </c>
    </row>
    <row r="158" customFormat="false" ht="15" hidden="false" customHeight="false" outlineLevel="2" collapsed="false">
      <c r="A158" s="3" t="s">
        <v>408</v>
      </c>
      <c r="B158" s="5"/>
      <c r="C158" s="40" t="s">
        <v>409</v>
      </c>
      <c r="I158" s="5" t="s">
        <v>410</v>
      </c>
    </row>
    <row r="159" customFormat="false" ht="15" hidden="false" customHeight="false" outlineLevel="2" collapsed="false">
      <c r="A159" s="3" t="s">
        <v>411</v>
      </c>
      <c r="B159" s="5" t="s">
        <v>243</v>
      </c>
      <c r="C159" s="31" t="n">
        <v>1</v>
      </c>
      <c r="I159" s="5"/>
    </row>
    <row r="160" customFormat="false" ht="15" hidden="false" customHeight="false" outlineLevel="2" collapsed="false">
      <c r="A160" s="3" t="s">
        <v>412</v>
      </c>
      <c r="B160" s="5"/>
      <c r="C160" s="40" t="s">
        <v>413</v>
      </c>
      <c r="I160" s="5" t="s">
        <v>414</v>
      </c>
    </row>
    <row r="161" customFormat="false" ht="15" hidden="false" customHeight="false" outlineLevel="2" collapsed="false">
      <c r="A161" s="3" t="s">
        <v>415</v>
      </c>
      <c r="B161" s="5"/>
      <c r="C161" s="40" t="s">
        <v>416</v>
      </c>
      <c r="I161" s="10" t="s">
        <v>417</v>
      </c>
    </row>
    <row r="162" customFormat="false" ht="15" hidden="false" customHeight="false" outlineLevel="2" collapsed="false">
      <c r="A162" s="3" t="s">
        <v>418</v>
      </c>
      <c r="B162" s="5"/>
      <c r="C162" s="40" t="s">
        <v>419</v>
      </c>
      <c r="I162" s="10" t="s">
        <v>420</v>
      </c>
    </row>
    <row r="163" customFormat="false" ht="15" hidden="false" customHeight="false" outlineLevel="2" collapsed="false">
      <c r="A163" s="3" t="s">
        <v>421</v>
      </c>
      <c r="B163" s="5" t="s">
        <v>243</v>
      </c>
      <c r="C163" s="31" t="n">
        <v>0.5</v>
      </c>
      <c r="I163" s="10" t="s">
        <v>422</v>
      </c>
    </row>
    <row r="164" customFormat="false" ht="15" hidden="false" customHeight="false" outlineLevel="2" collapsed="false">
      <c r="A164" s="13" t="s">
        <v>423</v>
      </c>
      <c r="B164" s="13" t="s">
        <v>51</v>
      </c>
      <c r="C164" s="26" t="s">
        <v>52</v>
      </c>
      <c r="D164" s="26" t="s">
        <v>53</v>
      </c>
      <c r="E164" s="26" t="s">
        <v>54</v>
      </c>
      <c r="F164" s="26" t="s">
        <v>138</v>
      </c>
      <c r="G164" s="26" t="s">
        <v>139</v>
      </c>
      <c r="I164" s="13" t="s">
        <v>194</v>
      </c>
    </row>
    <row r="165" customFormat="false" ht="15" hidden="false" customHeight="false" outlineLevel="2" collapsed="false">
      <c r="A165" s="3" t="s">
        <v>424</v>
      </c>
      <c r="B165" s="5"/>
      <c r="C165" s="40" t="s">
        <v>425</v>
      </c>
      <c r="D165" s="40" t="s">
        <v>426</v>
      </c>
      <c r="E165" s="40" t="s">
        <v>427</v>
      </c>
      <c r="F165" s="40" t="s">
        <v>428</v>
      </c>
      <c r="G165" s="40" t="s">
        <v>429</v>
      </c>
      <c r="I165" s="5" t="s">
        <v>430</v>
      </c>
    </row>
    <row r="166" customFormat="false" ht="15" hidden="false" customHeight="false" outlineLevel="2" collapsed="false">
      <c r="A166" s="3" t="s">
        <v>431</v>
      </c>
      <c r="B166" s="5" t="s">
        <v>243</v>
      </c>
      <c r="C166" s="31" t="n">
        <v>0.5</v>
      </c>
      <c r="D166" s="31" t="n">
        <v>1.5</v>
      </c>
      <c r="E166" s="31" t="n">
        <v>2.5</v>
      </c>
      <c r="F166" s="31" t="n">
        <v>3.5</v>
      </c>
      <c r="G166" s="31" t="n">
        <v>4.5</v>
      </c>
      <c r="I166" s="5" t="s">
        <v>430</v>
      </c>
    </row>
    <row r="167" customFormat="false" ht="15" hidden="false" customHeight="false" outlineLevel="2" collapsed="false">
      <c r="A167" s="3" t="s">
        <v>432</v>
      </c>
      <c r="B167" s="5" t="s">
        <v>243</v>
      </c>
      <c r="C167" s="31" t="n">
        <v>0</v>
      </c>
      <c r="D167" s="31" t="n">
        <v>0.5</v>
      </c>
      <c r="E167" s="31" t="n">
        <v>1.5</v>
      </c>
      <c r="F167" s="31" t="n">
        <v>2.5</v>
      </c>
      <c r="G167" s="31" t="n">
        <v>3.5</v>
      </c>
      <c r="I167" s="5" t="s">
        <v>430</v>
      </c>
    </row>
    <row r="168" customFormat="false" ht="15" hidden="false" customHeight="false" outlineLevel="1" collapsed="false">
      <c r="A168" s="18" t="s">
        <v>433</v>
      </c>
      <c r="B168" s="19"/>
      <c r="C168" s="19"/>
      <c r="D168" s="19"/>
      <c r="E168" s="19"/>
      <c r="F168" s="19"/>
      <c r="G168" s="19"/>
      <c r="H168" s="19"/>
    </row>
    <row r="169" customFormat="false" ht="15" hidden="false" customHeight="false" outlineLevel="2" collapsed="false">
      <c r="A169" s="3" t="s">
        <v>434</v>
      </c>
      <c r="B169" s="10" t="s">
        <v>42</v>
      </c>
      <c r="C169" s="23" t="n">
        <v>0.25</v>
      </c>
      <c r="I169" s="5" t="s">
        <v>435</v>
      </c>
    </row>
    <row r="170" customFormat="false" ht="15" hidden="false" customHeight="false" outlineLevel="2" collapsed="false">
      <c r="A170" s="3" t="s">
        <v>436</v>
      </c>
      <c r="B170" s="10" t="s">
        <v>42</v>
      </c>
      <c r="C170" s="23" t="n">
        <v>0.9</v>
      </c>
      <c r="I170" s="5" t="s">
        <v>437</v>
      </c>
    </row>
    <row r="171" customFormat="false" ht="15" hidden="false" customHeight="false" outlineLevel="2" collapsed="false">
      <c r="A171" s="3" t="s">
        <v>438</v>
      </c>
      <c r="B171" s="10" t="s">
        <v>42</v>
      </c>
      <c r="C171" s="23" t="n">
        <v>-0.15</v>
      </c>
      <c r="I171" s="5" t="s">
        <v>439</v>
      </c>
    </row>
    <row r="172" customFormat="false" ht="15" hidden="false" customHeight="false" outlineLevel="2" collapsed="false">
      <c r="A172" s="3" t="s">
        <v>440</v>
      </c>
      <c r="B172" s="10" t="s">
        <v>102</v>
      </c>
      <c r="C172" s="39" t="n">
        <v>1.5</v>
      </c>
      <c r="I172" s="5" t="s">
        <v>441</v>
      </c>
    </row>
    <row r="173" customFormat="false" ht="15" hidden="false" customHeight="false" outlineLevel="2" collapsed="false">
      <c r="A173" s="3" t="s">
        <v>442</v>
      </c>
      <c r="B173" s="10" t="s">
        <v>42</v>
      </c>
      <c r="C173" s="23" t="n">
        <v>-0.08</v>
      </c>
      <c r="I173" s="5" t="s">
        <v>443</v>
      </c>
    </row>
    <row r="174" customFormat="false" ht="15" hidden="false" customHeight="false" outlineLevel="2" collapsed="false">
      <c r="A174" s="3" t="s">
        <v>444</v>
      </c>
      <c r="B174" s="10" t="s">
        <v>42</v>
      </c>
      <c r="C174" s="23" t="n">
        <v>0.05</v>
      </c>
      <c r="I174" s="5" t="s">
        <v>445</v>
      </c>
    </row>
    <row r="175" customFormat="false" ht="15" hidden="false" customHeight="false" outlineLevel="2" collapsed="false">
      <c r="A175" s="3" t="s">
        <v>446</v>
      </c>
      <c r="B175" s="10" t="s">
        <v>42</v>
      </c>
      <c r="C175" s="23" t="n">
        <v>0.85</v>
      </c>
      <c r="I175" s="5" t="s">
        <v>447</v>
      </c>
    </row>
    <row r="177" customFormat="false" ht="15" hidden="false" customHeight="false" outlineLevel="0" collapsed="true">
      <c r="A177" s="6" t="s">
        <v>448</v>
      </c>
      <c r="B177" s="7"/>
      <c r="C177" s="7"/>
      <c r="D177" s="7"/>
      <c r="E177" s="7"/>
      <c r="F177" s="7"/>
      <c r="G177" s="7"/>
      <c r="H177" s="7"/>
    </row>
    <row r="178" customFormat="false" ht="15" hidden="true" customHeight="false" outlineLevel="1" collapsed="false">
      <c r="A178" s="4" t="s">
        <v>449</v>
      </c>
      <c r="B178" s="10" t="s">
        <v>56</v>
      </c>
      <c r="C178" s="24" t="n">
        <v>3.6781</v>
      </c>
      <c r="I178" s="10" t="s">
        <v>450</v>
      </c>
    </row>
    <row r="179" customFormat="false" ht="15" hidden="true" customHeight="false" outlineLevel="1" collapsed="false">
      <c r="A179" s="3" t="s">
        <v>451</v>
      </c>
      <c r="B179" s="10" t="s">
        <v>56</v>
      </c>
      <c r="C179" s="24" t="n">
        <v>4.5041</v>
      </c>
      <c r="I179" s="10" t="s">
        <v>452</v>
      </c>
    </row>
    <row r="180" customFormat="false" ht="15" hidden="true" customHeight="false" outlineLevel="1" collapsed="false">
      <c r="A180" s="3" t="s">
        <v>453</v>
      </c>
      <c r="B180" s="10" t="s">
        <v>56</v>
      </c>
      <c r="C180" s="24" t="n">
        <v>8.1303</v>
      </c>
      <c r="I180" s="10" t="s">
        <v>454</v>
      </c>
    </row>
    <row r="181" customFormat="false" ht="15" hidden="true" customHeight="false" outlineLevel="1" collapsed="false">
      <c r="A181" s="4" t="s">
        <v>455</v>
      </c>
      <c r="B181" s="10" t="s">
        <v>56</v>
      </c>
      <c r="C181" s="24" t="n">
        <v>8.1303</v>
      </c>
      <c r="I181" s="5" t="s">
        <v>456</v>
      </c>
    </row>
    <row r="182" customFormat="false" ht="15" hidden="true" customHeight="false" outlineLevel="1" collapsed="false">
      <c r="A182" s="4" t="s">
        <v>457</v>
      </c>
      <c r="B182" s="10" t="s">
        <v>56</v>
      </c>
      <c r="C182" s="24" t="n">
        <v>0.2516</v>
      </c>
      <c r="I182" s="5" t="s">
        <v>458</v>
      </c>
    </row>
    <row r="183" customFormat="false" ht="15" hidden="true" customHeight="false" outlineLevel="1" collapsed="false">
      <c r="A183" s="3" t="s">
        <v>459</v>
      </c>
      <c r="B183" s="10" t="s">
        <v>56</v>
      </c>
      <c r="C183" s="24" t="n">
        <v>4.3375</v>
      </c>
      <c r="I183" s="10" t="s">
        <v>460</v>
      </c>
    </row>
    <row r="184" customFormat="false" ht="15" hidden="true" customHeight="false" outlineLevel="1" collapsed="false">
      <c r="A184" s="3" t="s">
        <v>461</v>
      </c>
      <c r="B184" s="10" t="s">
        <v>56</v>
      </c>
      <c r="C184" s="24" t="n">
        <v>0</v>
      </c>
      <c r="I184" s="5" t="s">
        <v>462</v>
      </c>
    </row>
    <row r="185" customFormat="false" ht="15" hidden="true" customHeight="false" outlineLevel="1" collapsed="false">
      <c r="A185" s="4" t="s">
        <v>463</v>
      </c>
      <c r="B185" s="10" t="s">
        <v>56</v>
      </c>
      <c r="C185" s="24" t="n">
        <v>0</v>
      </c>
      <c r="I185" s="5" t="s">
        <v>464</v>
      </c>
    </row>
    <row r="186" customFormat="false" ht="15" hidden="true" customHeight="false" outlineLevel="1" collapsed="false">
      <c r="A186" s="3" t="s">
        <v>465</v>
      </c>
      <c r="B186" s="10" t="s">
        <v>56</v>
      </c>
      <c r="C186" s="24" t="n">
        <v>4.8111</v>
      </c>
      <c r="I186" s="10" t="s">
        <v>466</v>
      </c>
    </row>
    <row r="187" customFormat="false" ht="15" hidden="true" customHeight="false" outlineLevel="1" collapsed="false">
      <c r="A187" s="3" t="s">
        <v>467</v>
      </c>
      <c r="B187" s="10" t="s">
        <v>56</v>
      </c>
      <c r="C187" s="24" t="n">
        <v>0.1828</v>
      </c>
      <c r="I187" s="10" t="s">
        <v>468</v>
      </c>
    </row>
    <row r="188" customFormat="false" ht="15" hidden="true" customHeight="false" outlineLevel="1" collapsed="false">
      <c r="A188" s="3" t="s">
        <v>469</v>
      </c>
      <c r="B188" s="10" t="s">
        <v>56</v>
      </c>
      <c r="C188" s="24" t="n">
        <v>0</v>
      </c>
      <c r="I188" s="5" t="s">
        <v>470</v>
      </c>
    </row>
    <row r="189" customFormat="false" ht="15" hidden="true" customHeight="false" outlineLevel="1" collapsed="false">
      <c r="A189" s="3" t="s">
        <v>471</v>
      </c>
      <c r="B189" s="10" t="s">
        <v>56</v>
      </c>
      <c r="C189" s="24" t="n">
        <v>0.9813</v>
      </c>
      <c r="I189" s="10" t="s">
        <v>472</v>
      </c>
    </row>
    <row r="190" customFormat="false" ht="15" hidden="true" customHeight="false" outlineLevel="1" collapsed="false">
      <c r="A190" s="4" t="s">
        <v>473</v>
      </c>
      <c r="B190" s="10" t="s">
        <v>56</v>
      </c>
      <c r="C190" s="24" t="n">
        <v>-0.3039</v>
      </c>
      <c r="I190" s="10" t="s">
        <v>474</v>
      </c>
    </row>
    <row r="191" customFormat="false" ht="15" hidden="true" customHeight="false" outlineLevel="1" collapsed="false">
      <c r="A191" s="3" t="s">
        <v>475</v>
      </c>
      <c r="B191" s="10" t="s">
        <v>56</v>
      </c>
      <c r="C191" s="24" t="n">
        <v>0.4308</v>
      </c>
      <c r="I191" s="5" t="s">
        <v>476</v>
      </c>
    </row>
    <row r="192" customFormat="false" ht="15" hidden="true" customHeight="false" outlineLevel="1" collapsed="false">
      <c r="A192" s="3" t="s">
        <v>477</v>
      </c>
      <c r="B192" s="10" t="s">
        <v>56</v>
      </c>
      <c r="C192" s="24" t="n">
        <v>4.552</v>
      </c>
      <c r="I192" s="5" t="s">
        <v>478</v>
      </c>
    </row>
    <row r="193" customFormat="false" ht="15" hidden="true" customHeight="false" outlineLevel="1" collapsed="false">
      <c r="A193" s="4" t="s">
        <v>479</v>
      </c>
      <c r="B193" s="10" t="s">
        <v>56</v>
      </c>
      <c r="C193" s="24" t="n">
        <v>0.4717</v>
      </c>
      <c r="I193" s="10" t="s">
        <v>480</v>
      </c>
    </row>
    <row r="194" customFormat="false" ht="15" hidden="true" customHeight="false" outlineLevel="1" collapsed="false">
      <c r="A194" s="4" t="s">
        <v>481</v>
      </c>
      <c r="B194" s="10" t="s">
        <v>56</v>
      </c>
      <c r="C194" s="24" t="n">
        <v>0.1378</v>
      </c>
      <c r="I194" s="10" t="s">
        <v>482</v>
      </c>
    </row>
    <row r="195" customFormat="false" ht="15" hidden="true" customHeight="false" outlineLevel="1" collapsed="false">
      <c r="A195" s="4" t="s">
        <v>483</v>
      </c>
      <c r="B195" s="10" t="s">
        <v>39</v>
      </c>
      <c r="C195" s="24" t="n">
        <v>1.6</v>
      </c>
      <c r="I195" s="5" t="s">
        <v>484</v>
      </c>
    </row>
    <row r="196" customFormat="false" ht="15" hidden="true" customHeight="false" outlineLevel="1" collapsed="false">
      <c r="A196" s="4" t="s">
        <v>485</v>
      </c>
      <c r="B196" s="10" t="s">
        <v>39</v>
      </c>
      <c r="C196" s="24" t="n">
        <v>2.11</v>
      </c>
      <c r="I196" s="10" t="s">
        <v>486</v>
      </c>
    </row>
    <row r="197" customFormat="false" ht="15" hidden="true" customHeight="false" outlineLevel="1" collapsed="false">
      <c r="A197" s="3" t="s">
        <v>487</v>
      </c>
      <c r="B197" s="10" t="s">
        <v>56</v>
      </c>
      <c r="C197" s="24" t="n">
        <v>0.3657</v>
      </c>
      <c r="I197" s="10" t="s">
        <v>488</v>
      </c>
    </row>
    <row r="199" customFormat="false" ht="15" hidden="false" customHeight="false" outlineLevel="0" collapsed="false">
      <c r="A199" s="6" t="s">
        <v>489</v>
      </c>
      <c r="B199" s="7"/>
      <c r="C199" s="7"/>
      <c r="D199" s="7"/>
      <c r="E199" s="7"/>
      <c r="F199" s="7"/>
      <c r="G199" s="7"/>
      <c r="H199" s="7"/>
      <c r="I199" s="5" t="s">
        <v>490</v>
      </c>
    </row>
    <row r="200" customFormat="false" ht="15" hidden="false" customHeight="false" outlineLevel="1" collapsed="false">
      <c r="A200" s="3" t="s">
        <v>491</v>
      </c>
      <c r="D200" s="11" t="n">
        <f aca="false">評價_DCF與目標價!C49</f>
        <v>61.7199481496045</v>
      </c>
      <c r="E200" s="8" t="n">
        <f aca="false">評價_DCF與目標價!C76</f>
        <v>-1</v>
      </c>
    </row>
    <row r="201" customFormat="false" ht="15" hidden="false" customHeight="false" outlineLevel="1" collapsed="false">
      <c r="A201" s="3" t="s">
        <v>492</v>
      </c>
      <c r="C201" s="8" t="n">
        <v>1</v>
      </c>
      <c r="D201" s="41" t="n">
        <f t="dataTable" ref="D201:E203" dt2D="0" dtr="0" r1="C5"/>
        <v>63.8014107642874</v>
      </c>
      <c r="E201" s="42" t="n">
        <v>-1</v>
      </c>
    </row>
    <row r="202" customFormat="false" ht="15" hidden="false" customHeight="false" outlineLevel="1" collapsed="false">
      <c r="A202" s="3" t="s">
        <v>493</v>
      </c>
      <c r="C202" s="8" t="n">
        <v>2</v>
      </c>
      <c r="D202" s="41" t="n">
        <v>61.7199481496045</v>
      </c>
      <c r="E202" s="42" t="n">
        <v>-1</v>
      </c>
    </row>
    <row r="203" customFormat="false" ht="15" hidden="false" customHeight="false" outlineLevel="1" collapsed="false">
      <c r="A203" s="3" t="s">
        <v>494</v>
      </c>
      <c r="C203" s="8" t="n">
        <v>3</v>
      </c>
      <c r="D203" s="41" t="n">
        <v>154.558384092823</v>
      </c>
      <c r="E203" s="42" t="n">
        <v>-1</v>
      </c>
    </row>
    <row r="205" customFormat="false" ht="15" hidden="false" customHeight="false" outlineLevel="0" collapsed="false">
      <c r="A205" s="6" t="s">
        <v>495</v>
      </c>
      <c r="B205" s="7"/>
      <c r="C205" s="7"/>
      <c r="D205" s="7"/>
      <c r="E205" s="7"/>
      <c r="F205" s="7"/>
      <c r="G205" s="7"/>
      <c r="H205" s="7"/>
      <c r="I205" s="5" t="s">
        <v>496</v>
      </c>
    </row>
    <row r="206" customFormat="false" ht="15" hidden="false" customHeight="false" outlineLevel="1" collapsed="false">
      <c r="A206" s="13" t="s">
        <v>497</v>
      </c>
      <c r="B206" s="13" t="s">
        <v>51</v>
      </c>
      <c r="C206" s="13" t="s">
        <v>498</v>
      </c>
      <c r="D206" s="13"/>
      <c r="E206" s="13"/>
      <c r="F206" s="13" t="s">
        <v>499</v>
      </c>
      <c r="G206" s="13" t="s">
        <v>500</v>
      </c>
      <c r="H206" s="13"/>
      <c r="I206" s="13" t="s">
        <v>501</v>
      </c>
      <c r="J206" s="13" t="s">
        <v>502</v>
      </c>
    </row>
    <row r="207" customFormat="false" ht="15" hidden="false" customHeight="false" outlineLevel="1" collapsed="false">
      <c r="A207" s="3" t="s">
        <v>503</v>
      </c>
      <c r="B207" s="10" t="s">
        <v>39</v>
      </c>
      <c r="C207" s="37" t="n">
        <v>249.87</v>
      </c>
      <c r="F207" s="10" t="s">
        <v>419</v>
      </c>
      <c r="G207" s="10" t="s">
        <v>504</v>
      </c>
      <c r="I207" s="10" t="s">
        <v>505</v>
      </c>
      <c r="J207" s="5" t="s">
        <v>506</v>
      </c>
    </row>
    <row r="208" customFormat="false" ht="15" hidden="false" customHeight="false" outlineLevel="1" collapsed="false">
      <c r="A208" s="3" t="s">
        <v>507</v>
      </c>
      <c r="B208" s="10" t="s">
        <v>39</v>
      </c>
      <c r="C208" s="37" t="n">
        <v>283.58</v>
      </c>
      <c r="F208" s="10" t="s">
        <v>416</v>
      </c>
      <c r="G208" s="10" t="s">
        <v>508</v>
      </c>
      <c r="I208" s="10" t="s">
        <v>509</v>
      </c>
      <c r="J208" s="5"/>
    </row>
    <row r="209" customFormat="false" ht="15" hidden="false" customHeight="false" outlineLevel="1" collapsed="false">
      <c r="A209" s="3" t="s">
        <v>510</v>
      </c>
      <c r="B209" s="10" t="s">
        <v>39</v>
      </c>
      <c r="C209" s="37" t="n">
        <v>300</v>
      </c>
      <c r="F209" s="10" t="s">
        <v>416</v>
      </c>
      <c r="G209" s="10" t="s">
        <v>508</v>
      </c>
      <c r="I209" s="10" t="s">
        <v>509</v>
      </c>
      <c r="J209" s="5"/>
    </row>
    <row r="210" customFormat="false" ht="15" hidden="false" customHeight="false" outlineLevel="1" collapsed="false">
      <c r="A210" s="3" t="s">
        <v>511</v>
      </c>
      <c r="B210" s="10" t="s">
        <v>39</v>
      </c>
      <c r="C210" s="37" t="n">
        <v>84</v>
      </c>
      <c r="F210" s="10" t="s">
        <v>416</v>
      </c>
      <c r="G210" s="10" t="s">
        <v>508</v>
      </c>
      <c r="I210" s="10" t="s">
        <v>509</v>
      </c>
      <c r="J210" s="5"/>
    </row>
    <row r="211" customFormat="false" ht="15" hidden="false" customHeight="false" outlineLevel="1" collapsed="false">
      <c r="A211" s="3" t="s">
        <v>512</v>
      </c>
      <c r="B211" s="10" t="s">
        <v>39</v>
      </c>
      <c r="C211" s="37" t="n">
        <v>415</v>
      </c>
      <c r="F211" s="10" t="s">
        <v>416</v>
      </c>
      <c r="G211" s="10" t="s">
        <v>508</v>
      </c>
      <c r="I211" s="10" t="s">
        <v>509</v>
      </c>
      <c r="J211" s="5"/>
    </row>
    <row r="212" customFormat="false" ht="15" hidden="false" customHeight="false" outlineLevel="1" collapsed="false">
      <c r="A212" s="3" t="s">
        <v>513</v>
      </c>
      <c r="B212" s="5" t="s">
        <v>125</v>
      </c>
      <c r="C212" s="20" t="n">
        <v>19</v>
      </c>
      <c r="F212" s="10" t="s">
        <v>416</v>
      </c>
      <c r="G212" s="10" t="s">
        <v>508</v>
      </c>
      <c r="I212" s="10" t="s">
        <v>509</v>
      </c>
      <c r="J212" s="5"/>
    </row>
    <row r="213" customFormat="false" ht="15" hidden="false" customHeight="false" outlineLevel="1" collapsed="false">
      <c r="A213" s="3" t="s">
        <v>514</v>
      </c>
      <c r="B213" s="5"/>
      <c r="C213" s="4" t="s">
        <v>515</v>
      </c>
      <c r="F213" s="10" t="s">
        <v>416</v>
      </c>
      <c r="G213" s="10" t="s">
        <v>508</v>
      </c>
      <c r="I213" s="10" t="s">
        <v>509</v>
      </c>
      <c r="J213" s="5"/>
    </row>
    <row r="214" customFormat="false" ht="15" hidden="false" customHeight="false" outlineLevel="1" collapsed="false">
      <c r="A214" s="3" t="s">
        <v>516</v>
      </c>
      <c r="B214" s="10" t="s">
        <v>39</v>
      </c>
      <c r="C214" s="37" t="n">
        <v>241.8</v>
      </c>
      <c r="F214" s="10" t="s">
        <v>416</v>
      </c>
      <c r="G214" s="10" t="s">
        <v>508</v>
      </c>
      <c r="I214" s="10" t="s">
        <v>517</v>
      </c>
      <c r="J214" s="5"/>
    </row>
    <row r="215" customFormat="false" ht="15" hidden="false" customHeight="false" outlineLevel="1" collapsed="false">
      <c r="A215" s="3" t="s">
        <v>518</v>
      </c>
      <c r="B215" s="5" t="s">
        <v>125</v>
      </c>
      <c r="C215" s="20" t="n">
        <v>20</v>
      </c>
      <c r="F215" s="10" t="s">
        <v>416</v>
      </c>
      <c r="G215" s="10" t="s">
        <v>508</v>
      </c>
      <c r="I215" s="10" t="s">
        <v>517</v>
      </c>
      <c r="J215" s="5"/>
    </row>
    <row r="216" customFormat="false" ht="15" hidden="false" customHeight="false" outlineLevel="1" collapsed="false">
      <c r="A216" s="3" t="s">
        <v>519</v>
      </c>
      <c r="B216" s="5"/>
      <c r="C216" s="4" t="s">
        <v>520</v>
      </c>
      <c r="F216" s="10" t="s">
        <v>416</v>
      </c>
      <c r="G216" s="10" t="s">
        <v>508</v>
      </c>
      <c r="I216" s="10" t="s">
        <v>517</v>
      </c>
      <c r="J216" s="5"/>
    </row>
    <row r="217" customFormat="false" ht="15" hidden="false" customHeight="false" outlineLevel="1" collapsed="false">
      <c r="A217" s="3" t="s">
        <v>521</v>
      </c>
      <c r="B217" s="10" t="s">
        <v>39</v>
      </c>
      <c r="C217" s="37" t="n">
        <v>250.75</v>
      </c>
      <c r="F217" s="10" t="s">
        <v>416</v>
      </c>
      <c r="G217" s="10" t="s">
        <v>508</v>
      </c>
      <c r="I217" s="10" t="s">
        <v>522</v>
      </c>
      <c r="J217" s="5" t="s">
        <v>523</v>
      </c>
    </row>
    <row r="218" customFormat="false" ht="15" hidden="false" customHeight="false" outlineLevel="1" collapsed="false">
      <c r="A218" s="3" t="s">
        <v>524</v>
      </c>
      <c r="B218" s="5" t="s">
        <v>125</v>
      </c>
      <c r="C218" s="20" t="n">
        <v>18</v>
      </c>
      <c r="F218" s="10" t="s">
        <v>416</v>
      </c>
      <c r="G218" s="10" t="s">
        <v>508</v>
      </c>
      <c r="I218" s="10" t="s">
        <v>522</v>
      </c>
      <c r="J218" s="5"/>
    </row>
    <row r="219" customFormat="false" ht="15" hidden="false" customHeight="false" outlineLevel="1" collapsed="false">
      <c r="A219" s="3" t="s">
        <v>525</v>
      </c>
      <c r="B219" s="5"/>
      <c r="C219" s="4" t="s">
        <v>526</v>
      </c>
      <c r="F219" s="10" t="s">
        <v>416</v>
      </c>
      <c r="G219" s="10" t="s">
        <v>508</v>
      </c>
      <c r="I219" s="10" t="s">
        <v>522</v>
      </c>
      <c r="J219" s="5"/>
    </row>
    <row r="220" customFormat="false" ht="17.15" hidden="false" customHeight="false" outlineLevel="1" collapsed="false">
      <c r="A220" s="13" t="s">
        <v>527</v>
      </c>
      <c r="B220" s="13" t="s">
        <v>51</v>
      </c>
      <c r="C220" s="13" t="s">
        <v>498</v>
      </c>
      <c r="D220" s="13"/>
      <c r="E220" s="13"/>
      <c r="F220" s="13" t="s">
        <v>499</v>
      </c>
      <c r="G220" s="13" t="s">
        <v>500</v>
      </c>
      <c r="H220" s="13"/>
      <c r="I220" s="13" t="s">
        <v>501</v>
      </c>
      <c r="J220" s="13" t="s">
        <v>502</v>
      </c>
    </row>
    <row r="221" customFormat="false" ht="15" hidden="false" customHeight="false" outlineLevel="1" collapsed="false">
      <c r="A221" s="3" t="s">
        <v>528</v>
      </c>
      <c r="B221" s="5" t="s">
        <v>125</v>
      </c>
      <c r="C221" s="20" t="n">
        <v>4</v>
      </c>
      <c r="F221" s="10" t="s">
        <v>416</v>
      </c>
      <c r="G221" s="10" t="s">
        <v>508</v>
      </c>
      <c r="I221" s="10" t="s">
        <v>509</v>
      </c>
      <c r="J221" s="5"/>
    </row>
    <row r="222" customFormat="false" ht="15" hidden="false" customHeight="false" outlineLevel="1" collapsed="false">
      <c r="A222" s="3" t="s">
        <v>529</v>
      </c>
      <c r="B222" s="5" t="s">
        <v>125</v>
      </c>
      <c r="C222" s="20" t="n">
        <v>1</v>
      </c>
      <c r="F222" s="10" t="s">
        <v>416</v>
      </c>
      <c r="G222" s="10" t="s">
        <v>508</v>
      </c>
      <c r="I222" s="10" t="s">
        <v>509</v>
      </c>
      <c r="J222" s="5"/>
    </row>
    <row r="223" customFormat="false" ht="15" hidden="false" customHeight="false" outlineLevel="1" collapsed="false">
      <c r="A223" s="3" t="s">
        <v>530</v>
      </c>
      <c r="B223" s="5" t="s">
        <v>125</v>
      </c>
      <c r="C223" s="20" t="n">
        <v>3</v>
      </c>
      <c r="F223" s="10" t="s">
        <v>416</v>
      </c>
      <c r="G223" s="10" t="s">
        <v>508</v>
      </c>
      <c r="I223" s="10" t="s">
        <v>509</v>
      </c>
      <c r="J223" s="5"/>
    </row>
    <row r="224" customFormat="false" ht="15" hidden="false" customHeight="false" outlineLevel="1" collapsed="false">
      <c r="A224" s="3" t="s">
        <v>531</v>
      </c>
      <c r="B224" s="5" t="s">
        <v>125</v>
      </c>
      <c r="C224" s="20" t="n">
        <v>0</v>
      </c>
      <c r="F224" s="10" t="s">
        <v>416</v>
      </c>
      <c r="G224" s="10" t="s">
        <v>508</v>
      </c>
      <c r="I224" s="10" t="s">
        <v>509</v>
      </c>
      <c r="J224" s="5"/>
    </row>
    <row r="225" customFormat="false" ht="15" hidden="false" customHeight="false" outlineLevel="1" collapsed="false">
      <c r="A225" s="3" t="s">
        <v>532</v>
      </c>
      <c r="B225" s="5" t="s">
        <v>125</v>
      </c>
      <c r="C225" s="20" t="n">
        <v>1</v>
      </c>
      <c r="F225" s="10" t="s">
        <v>416</v>
      </c>
      <c r="G225" s="10" t="s">
        <v>508</v>
      </c>
      <c r="I225" s="10" t="s">
        <v>509</v>
      </c>
      <c r="J225" s="5"/>
    </row>
    <row r="226" customFormat="false" ht="15" hidden="false" customHeight="false" outlineLevel="1" collapsed="false">
      <c r="A226" s="3" t="s">
        <v>533</v>
      </c>
      <c r="B226" s="5" t="s">
        <v>125</v>
      </c>
      <c r="C226" s="20" t="n">
        <v>9</v>
      </c>
      <c r="F226" s="10" t="s">
        <v>416</v>
      </c>
      <c r="G226" s="10" t="s">
        <v>508</v>
      </c>
      <c r="I226" s="10" t="s">
        <v>509</v>
      </c>
      <c r="J226" s="5"/>
    </row>
    <row r="227" customFormat="false" ht="17.15" hidden="false" customHeight="false" outlineLevel="1" collapsed="false">
      <c r="A227" s="13" t="s">
        <v>534</v>
      </c>
      <c r="B227" s="13" t="s">
        <v>51</v>
      </c>
      <c r="C227" s="13" t="s">
        <v>498</v>
      </c>
      <c r="D227" s="13"/>
      <c r="E227" s="13"/>
      <c r="F227" s="13" t="s">
        <v>499</v>
      </c>
      <c r="G227" s="13" t="s">
        <v>500</v>
      </c>
      <c r="H227" s="13"/>
      <c r="I227" s="13" t="s">
        <v>501</v>
      </c>
      <c r="J227" s="13" t="s">
        <v>502</v>
      </c>
    </row>
    <row r="228" customFormat="false" ht="15" hidden="false" customHeight="false" outlineLevel="1" collapsed="false">
      <c r="A228" s="3" t="s">
        <v>535</v>
      </c>
      <c r="B228" s="10" t="s">
        <v>56</v>
      </c>
      <c r="C228" s="43" t="n">
        <v>3.379</v>
      </c>
      <c r="D228" s="43" t="n">
        <v>11.418</v>
      </c>
      <c r="E228" s="43" t="n">
        <v>21.458</v>
      </c>
      <c r="F228" s="10" t="s">
        <v>416</v>
      </c>
      <c r="G228" s="10" t="s">
        <v>508</v>
      </c>
      <c r="I228" s="10" t="s">
        <v>536</v>
      </c>
      <c r="J228" s="5"/>
    </row>
    <row r="229" customFormat="false" ht="15" hidden="false" customHeight="false" outlineLevel="1" collapsed="false">
      <c r="A229" s="3" t="s">
        <v>537</v>
      </c>
      <c r="B229" s="10" t="s">
        <v>56</v>
      </c>
      <c r="C229" s="43" t="n">
        <v>1.338</v>
      </c>
      <c r="D229" s="43" t="n">
        <v>6.194</v>
      </c>
      <c r="E229" s="43" t="n">
        <v>13.404</v>
      </c>
      <c r="F229" s="10" t="s">
        <v>416</v>
      </c>
      <c r="G229" s="10" t="s">
        <v>508</v>
      </c>
      <c r="I229" s="10" t="s">
        <v>536</v>
      </c>
      <c r="J229" s="5"/>
    </row>
    <row r="230" customFormat="false" ht="15" hidden="false" customHeight="false" outlineLevel="1" collapsed="false">
      <c r="A230" s="3" t="s">
        <v>538</v>
      </c>
      <c r="B230" s="10" t="s">
        <v>42</v>
      </c>
      <c r="C230" s="23" t="n">
        <v>0.396</v>
      </c>
      <c r="D230" s="23" t="n">
        <v>0.542</v>
      </c>
      <c r="E230" s="23" t="n">
        <v>0.625</v>
      </c>
      <c r="F230" s="10" t="s">
        <v>416</v>
      </c>
      <c r="G230" s="10" t="s">
        <v>508</v>
      </c>
      <c r="I230" s="10" t="s">
        <v>536</v>
      </c>
      <c r="J230" s="5"/>
    </row>
    <row r="231" customFormat="false" ht="15" hidden="false" customHeight="false" outlineLevel="1" collapsed="false">
      <c r="A231" s="3" t="s">
        <v>539</v>
      </c>
      <c r="B231" s="10" t="s">
        <v>56</v>
      </c>
      <c r="C231" s="43" t="n">
        <v>-0.9245</v>
      </c>
      <c r="D231" s="43" t="n">
        <v>-0.2319</v>
      </c>
      <c r="E231" s="43" t="n">
        <v>2.675</v>
      </c>
      <c r="F231" s="10" t="s">
        <v>416</v>
      </c>
      <c r="G231" s="10" t="s">
        <v>508</v>
      </c>
      <c r="I231" s="10" t="s">
        <v>536</v>
      </c>
      <c r="J231" s="5"/>
    </row>
    <row r="232" customFormat="false" ht="15" hidden="false" customHeight="false" outlineLevel="1" collapsed="false">
      <c r="A232" s="3" t="s">
        <v>540</v>
      </c>
      <c r="B232" s="10" t="s">
        <v>56</v>
      </c>
      <c r="C232" s="43" t="n">
        <v>-0.7855</v>
      </c>
      <c r="D232" s="43" t="n">
        <v>-1.165</v>
      </c>
      <c r="E232" s="43" t="n">
        <v>-0.08631</v>
      </c>
      <c r="F232" s="10" t="s">
        <v>416</v>
      </c>
      <c r="G232" s="10" t="s">
        <v>508</v>
      </c>
      <c r="I232" s="10" t="s">
        <v>536</v>
      </c>
      <c r="J232" s="5"/>
    </row>
    <row r="233" customFormat="false" ht="15" hidden="false" customHeight="false" outlineLevel="1" collapsed="false">
      <c r="A233" s="3" t="s">
        <v>541</v>
      </c>
      <c r="B233" s="10" t="s">
        <v>39</v>
      </c>
      <c r="C233" s="37" t="n">
        <v>-2.8</v>
      </c>
      <c r="D233" s="37" t="n">
        <v>-5.827</v>
      </c>
      <c r="E233" s="37" t="n">
        <v>2.737</v>
      </c>
      <c r="F233" s="10" t="s">
        <v>416</v>
      </c>
      <c r="G233" s="10" t="s">
        <v>508</v>
      </c>
      <c r="I233" s="10" t="s">
        <v>536</v>
      </c>
      <c r="J233" s="5"/>
    </row>
    <row r="234" customFormat="false" ht="15" hidden="false" customHeight="false" outlineLevel="1" collapsed="false">
      <c r="A234" s="3" t="s">
        <v>542</v>
      </c>
      <c r="B234" s="10" t="s">
        <v>56</v>
      </c>
      <c r="C234" s="43" t="n">
        <v>22.489</v>
      </c>
      <c r="D234" s="43" t="n">
        <v>27.243</v>
      </c>
      <c r="E234" s="43" t="n">
        <v>38.39</v>
      </c>
      <c r="F234" s="10" t="s">
        <v>416</v>
      </c>
      <c r="G234" s="10" t="s">
        <v>508</v>
      </c>
      <c r="I234" s="10" t="s">
        <v>536</v>
      </c>
      <c r="J234" s="5"/>
    </row>
    <row r="235" customFormat="false" ht="15" hidden="false" customHeight="false" outlineLevel="1" collapsed="false">
      <c r="A235" s="3" t="s">
        <v>543</v>
      </c>
      <c r="B235" s="10" t="s">
        <v>56</v>
      </c>
      <c r="C235" s="43" t="n">
        <v>-19.073</v>
      </c>
      <c r="D235" s="43" t="n">
        <v>-21.308</v>
      </c>
      <c r="E235" s="43" t="n">
        <v>-18.622</v>
      </c>
      <c r="F235" s="10" t="s">
        <v>416</v>
      </c>
      <c r="G235" s="10" t="s">
        <v>508</v>
      </c>
      <c r="I235" s="10" t="s">
        <v>536</v>
      </c>
      <c r="J235" s="5"/>
    </row>
    <row r="236" customFormat="false" ht="15" hidden="false" customHeight="false" outlineLevel="1" collapsed="false">
      <c r="A236" s="3" t="s">
        <v>544</v>
      </c>
      <c r="B236" s="10" t="s">
        <v>56</v>
      </c>
      <c r="C236" s="43" t="n">
        <v>15.446</v>
      </c>
      <c r="D236" s="43" t="n">
        <v>31.876</v>
      </c>
      <c r="E236" s="43" t="n">
        <v>38.685</v>
      </c>
      <c r="F236" s="10" t="s">
        <v>416</v>
      </c>
      <c r="G236" s="10" t="s">
        <v>508</v>
      </c>
      <c r="I236" s="10" t="s">
        <v>536</v>
      </c>
      <c r="J236" s="5"/>
    </row>
    <row r="237" customFormat="false" ht="15" hidden="false" customHeight="false" outlineLevel="1" collapsed="false">
      <c r="A237" s="3" t="s">
        <v>545</v>
      </c>
      <c r="B237" s="5"/>
      <c r="C237" s="4" t="s">
        <v>546</v>
      </c>
      <c r="F237" s="10" t="s">
        <v>416</v>
      </c>
      <c r="G237" s="10" t="s">
        <v>508</v>
      </c>
      <c r="I237" s="10" t="s">
        <v>536</v>
      </c>
      <c r="J237" s="5"/>
    </row>
    <row r="238" customFormat="false" ht="17.15" hidden="false" customHeight="false" outlineLevel="1" collapsed="false">
      <c r="A238" s="14" t="s">
        <v>547</v>
      </c>
      <c r="B238" s="13" t="s">
        <v>51</v>
      </c>
      <c r="C238" s="13" t="s">
        <v>498</v>
      </c>
      <c r="D238" s="13"/>
      <c r="E238" s="13"/>
      <c r="F238" s="13" t="s">
        <v>499</v>
      </c>
      <c r="G238" s="13" t="s">
        <v>500</v>
      </c>
      <c r="H238" s="13"/>
      <c r="I238" s="13" t="s">
        <v>501</v>
      </c>
      <c r="J238" s="13" t="s">
        <v>502</v>
      </c>
    </row>
    <row r="239" customFormat="false" ht="15" hidden="false" customHeight="false" outlineLevel="1" collapsed="false">
      <c r="A239" s="3" t="s">
        <v>548</v>
      </c>
      <c r="B239" s="10" t="s">
        <v>56</v>
      </c>
      <c r="C239" s="43" t="n">
        <v>3.34</v>
      </c>
      <c r="F239" s="10" t="s">
        <v>416</v>
      </c>
      <c r="G239" s="10" t="s">
        <v>508</v>
      </c>
      <c r="I239" s="10" t="s">
        <v>509</v>
      </c>
      <c r="J239" s="5"/>
    </row>
    <row r="240" customFormat="false" ht="15" hidden="false" customHeight="false" outlineLevel="1" collapsed="false">
      <c r="A240" s="3" t="s">
        <v>549</v>
      </c>
      <c r="B240" s="10" t="s">
        <v>56</v>
      </c>
      <c r="C240" s="43" t="n">
        <v>3</v>
      </c>
      <c r="D240" s="43" t="n">
        <v>3.6</v>
      </c>
      <c r="F240" s="10" t="s">
        <v>416</v>
      </c>
      <c r="G240" s="10" t="s">
        <v>508</v>
      </c>
      <c r="I240" s="10" t="s">
        <v>509</v>
      </c>
      <c r="J240" s="5"/>
    </row>
    <row r="241" customFormat="false" ht="15" hidden="false" customHeight="false" outlineLevel="1" collapsed="false">
      <c r="A241" s="3" t="s">
        <v>550</v>
      </c>
      <c r="B241" s="10" t="s">
        <v>39</v>
      </c>
      <c r="C241" s="37" t="n">
        <v>-2.23</v>
      </c>
      <c r="F241" s="10" t="s">
        <v>416</v>
      </c>
      <c r="G241" s="10" t="s">
        <v>508</v>
      </c>
      <c r="I241" s="10" t="s">
        <v>509</v>
      </c>
      <c r="J241" s="5"/>
    </row>
    <row r="242" customFormat="false" ht="15" hidden="false" customHeight="false" outlineLevel="1" collapsed="false">
      <c r="A242" s="3" t="s">
        <v>551</v>
      </c>
      <c r="B242" s="10" t="s">
        <v>39</v>
      </c>
      <c r="C242" s="37" t="n">
        <v>-4.42</v>
      </c>
      <c r="D242" s="37" t="n">
        <v>0.27</v>
      </c>
      <c r="F242" s="10" t="s">
        <v>416</v>
      </c>
      <c r="G242" s="10" t="s">
        <v>508</v>
      </c>
      <c r="I242" s="10" t="s">
        <v>509</v>
      </c>
      <c r="J242" s="10" t="s">
        <v>552</v>
      </c>
    </row>
    <row r="243" customFormat="false" ht="17.15" hidden="false" customHeight="false" outlineLevel="1" collapsed="false">
      <c r="A243" s="13" t="s">
        <v>553</v>
      </c>
      <c r="B243" s="13" t="s">
        <v>51</v>
      </c>
      <c r="C243" s="13" t="s">
        <v>498</v>
      </c>
      <c r="D243" s="13"/>
      <c r="E243" s="13"/>
      <c r="F243" s="13" t="s">
        <v>499</v>
      </c>
      <c r="G243" s="13" t="s">
        <v>500</v>
      </c>
      <c r="H243" s="13"/>
      <c r="I243" s="13" t="s">
        <v>501</v>
      </c>
      <c r="J243" s="13" t="s">
        <v>502</v>
      </c>
    </row>
    <row r="244" customFormat="false" ht="15" hidden="false" customHeight="false" outlineLevel="1" collapsed="false">
      <c r="A244" s="3" t="s">
        <v>554</v>
      </c>
      <c r="B244" s="10" t="s">
        <v>56</v>
      </c>
      <c r="C244" s="43" t="n">
        <v>0.8994</v>
      </c>
      <c r="D244" s="43" t="n">
        <v>1.521</v>
      </c>
      <c r="F244" s="10" t="s">
        <v>416</v>
      </c>
      <c r="G244" s="10" t="s">
        <v>508</v>
      </c>
      <c r="I244" s="10" t="s">
        <v>536</v>
      </c>
      <c r="J244" s="5"/>
    </row>
    <row r="245" customFormat="false" ht="15" hidden="false" customHeight="false" outlineLevel="1" collapsed="false">
      <c r="A245" s="3" t="s">
        <v>555</v>
      </c>
      <c r="B245" s="10" t="s">
        <v>56</v>
      </c>
      <c r="C245" s="43" t="n">
        <v>0.3624</v>
      </c>
      <c r="D245" s="43" t="n">
        <v>0.74</v>
      </c>
      <c r="F245" s="10" t="s">
        <v>416</v>
      </c>
      <c r="G245" s="10" t="s">
        <v>508</v>
      </c>
      <c r="I245" s="10" t="s">
        <v>536</v>
      </c>
      <c r="J245" s="5"/>
    </row>
    <row r="246" customFormat="false" ht="15" hidden="false" customHeight="false" outlineLevel="1" collapsed="false">
      <c r="A246" s="3" t="s">
        <v>556</v>
      </c>
      <c r="B246" s="10" t="s">
        <v>56</v>
      </c>
      <c r="C246" s="43" t="n">
        <v>-0.2239</v>
      </c>
      <c r="D246" s="43" t="n">
        <v>-0.1615</v>
      </c>
      <c r="F246" s="10" t="s">
        <v>416</v>
      </c>
      <c r="G246" s="10" t="s">
        <v>508</v>
      </c>
      <c r="I246" s="10" t="s">
        <v>536</v>
      </c>
      <c r="J246" s="5"/>
    </row>
    <row r="247" customFormat="false" ht="15" hidden="false" customHeight="false" outlineLevel="1" collapsed="false">
      <c r="A247" s="3" t="s">
        <v>557</v>
      </c>
      <c r="B247" s="10" t="s">
        <v>56</v>
      </c>
      <c r="C247" s="43" t="n">
        <v>-0.4157</v>
      </c>
      <c r="D247" s="43" t="n">
        <v>-0.5043</v>
      </c>
      <c r="F247" s="10" t="s">
        <v>416</v>
      </c>
      <c r="G247" s="10" t="s">
        <v>508</v>
      </c>
      <c r="I247" s="10" t="s">
        <v>536</v>
      </c>
      <c r="J247" s="5"/>
    </row>
    <row r="248" customFormat="false" ht="15" hidden="false" customHeight="false" outlineLevel="1" collapsed="false">
      <c r="A248" s="3" t="s">
        <v>558</v>
      </c>
      <c r="B248" s="5"/>
      <c r="C248" s="4" t="s">
        <v>559</v>
      </c>
      <c r="F248" s="10" t="s">
        <v>416</v>
      </c>
      <c r="G248" s="10" t="s">
        <v>508</v>
      </c>
      <c r="I248" s="10" t="s">
        <v>536</v>
      </c>
      <c r="J248" s="5"/>
    </row>
    <row r="249" customFormat="false" ht="15" hidden="false" customHeight="false" outlineLevel="1" collapsed="false">
      <c r="A249" s="13" t="s">
        <v>560</v>
      </c>
      <c r="B249" s="13" t="s">
        <v>51</v>
      </c>
      <c r="C249" s="13" t="s">
        <v>498</v>
      </c>
      <c r="D249" s="13"/>
      <c r="E249" s="13"/>
      <c r="F249" s="13" t="s">
        <v>499</v>
      </c>
      <c r="G249" s="13" t="s">
        <v>500</v>
      </c>
      <c r="H249" s="13"/>
      <c r="I249" s="13" t="s">
        <v>501</v>
      </c>
      <c r="J249" s="13" t="s">
        <v>502</v>
      </c>
    </row>
    <row r="250" customFormat="false" ht="15" hidden="false" customHeight="false" outlineLevel="1" collapsed="false">
      <c r="A250" s="3" t="s">
        <v>561</v>
      </c>
      <c r="B250" s="10" t="s">
        <v>56</v>
      </c>
      <c r="C250" s="43" t="n">
        <v>3</v>
      </c>
      <c r="D250" s="43" t="n">
        <v>3.4</v>
      </c>
      <c r="F250" s="5" t="s">
        <v>562</v>
      </c>
      <c r="G250" s="10" t="s">
        <v>508</v>
      </c>
      <c r="I250" s="10" t="s">
        <v>563</v>
      </c>
      <c r="J250" s="5"/>
    </row>
    <row r="251" customFormat="false" ht="15" hidden="false" customHeight="false" outlineLevel="1" collapsed="false">
      <c r="A251" s="3" t="s">
        <v>564</v>
      </c>
      <c r="B251" s="10" t="s">
        <v>56</v>
      </c>
      <c r="C251" s="43" t="n">
        <v>20</v>
      </c>
      <c r="D251" s="43" t="n">
        <v>25</v>
      </c>
      <c r="F251" s="5" t="s">
        <v>562</v>
      </c>
      <c r="G251" s="10" t="s">
        <v>508</v>
      </c>
      <c r="I251" s="10" t="s">
        <v>563</v>
      </c>
      <c r="J251" s="5"/>
    </row>
    <row r="252" customFormat="false" ht="15" hidden="false" customHeight="false" outlineLevel="1" collapsed="false">
      <c r="A252" s="3" t="s">
        <v>565</v>
      </c>
      <c r="B252" s="10" t="s">
        <v>56</v>
      </c>
      <c r="C252" s="43" t="n">
        <v>7</v>
      </c>
      <c r="D252" s="43" t="n">
        <v>9</v>
      </c>
      <c r="F252" s="5" t="s">
        <v>562</v>
      </c>
      <c r="G252" s="10" t="s">
        <v>508</v>
      </c>
      <c r="I252" s="10" t="s">
        <v>563</v>
      </c>
      <c r="J252" s="5"/>
    </row>
    <row r="253" customFormat="false" ht="15" hidden="false" customHeight="false" outlineLevel="1" collapsed="false">
      <c r="A253" s="3" t="s">
        <v>566</v>
      </c>
      <c r="B253" s="10" t="s">
        <v>42</v>
      </c>
      <c r="C253" s="23" t="n">
        <v>0.4</v>
      </c>
      <c r="F253" s="5" t="s">
        <v>562</v>
      </c>
      <c r="G253" s="10" t="s">
        <v>508</v>
      </c>
      <c r="I253" s="10" t="s">
        <v>563</v>
      </c>
      <c r="J253" s="5"/>
    </row>
    <row r="254" customFormat="false" ht="15" hidden="false" customHeight="false" outlineLevel="1" collapsed="false">
      <c r="A254" s="3" t="s">
        <v>567</v>
      </c>
      <c r="B254" s="10" t="s">
        <v>568</v>
      </c>
      <c r="C254" s="33" t="n">
        <v>5</v>
      </c>
      <c r="F254" s="5" t="s">
        <v>562</v>
      </c>
      <c r="G254" s="10" t="s">
        <v>508</v>
      </c>
      <c r="I254" s="10" t="s">
        <v>563</v>
      </c>
      <c r="J254" s="5"/>
    </row>
    <row r="255" customFormat="false" ht="15" hidden="false" customHeight="false" outlineLevel="1" collapsed="false">
      <c r="A255" s="3" t="s">
        <v>569</v>
      </c>
      <c r="B255" s="10" t="s">
        <v>568</v>
      </c>
      <c r="C255" s="33" t="n">
        <v>0.8</v>
      </c>
      <c r="D255" s="33" t="n">
        <v>1</v>
      </c>
      <c r="F255" s="5" t="s">
        <v>562</v>
      </c>
      <c r="G255" s="10" t="s">
        <v>508</v>
      </c>
      <c r="I255" s="10" t="s">
        <v>563</v>
      </c>
      <c r="J255" s="5"/>
    </row>
    <row r="256" customFormat="false" ht="15" hidden="false" customHeight="false" outlineLevel="1" collapsed="false">
      <c r="A256" s="3" t="s">
        <v>570</v>
      </c>
      <c r="B256" s="10" t="s">
        <v>56</v>
      </c>
      <c r="C256" s="43" t="n">
        <v>9</v>
      </c>
      <c r="F256" s="5" t="s">
        <v>562</v>
      </c>
      <c r="G256" s="10" t="s">
        <v>508</v>
      </c>
      <c r="I256" s="10" t="s">
        <v>563</v>
      </c>
      <c r="J256" s="5" t="s">
        <v>571</v>
      </c>
    </row>
    <row r="257" customFormat="false" ht="17.15" hidden="false" customHeight="false" outlineLevel="1" collapsed="false">
      <c r="A257" s="13" t="s">
        <v>572</v>
      </c>
      <c r="B257" s="13" t="s">
        <v>51</v>
      </c>
      <c r="C257" s="13" t="s">
        <v>498</v>
      </c>
      <c r="D257" s="13"/>
      <c r="E257" s="13"/>
      <c r="F257" s="13" t="s">
        <v>499</v>
      </c>
      <c r="G257" s="13" t="s">
        <v>500</v>
      </c>
      <c r="H257" s="13"/>
      <c r="I257" s="13" t="s">
        <v>501</v>
      </c>
      <c r="J257" s="13" t="s">
        <v>502</v>
      </c>
    </row>
    <row r="258" customFormat="false" ht="15" hidden="false" customHeight="false" outlineLevel="1" collapsed="false">
      <c r="A258" s="3" t="s">
        <v>573</v>
      </c>
      <c r="B258" s="10" t="s">
        <v>56</v>
      </c>
      <c r="C258" s="43" t="n">
        <v>0.5738</v>
      </c>
      <c r="F258" s="10" t="s">
        <v>574</v>
      </c>
      <c r="G258" s="10" t="s">
        <v>508</v>
      </c>
      <c r="I258" s="10" t="s">
        <v>575</v>
      </c>
      <c r="J258" s="5"/>
    </row>
    <row r="259" customFormat="false" ht="15" hidden="false" customHeight="false" outlineLevel="1" collapsed="false">
      <c r="A259" s="3" t="s">
        <v>576</v>
      </c>
      <c r="B259" s="10" t="s">
        <v>39</v>
      </c>
      <c r="C259" s="37" t="n">
        <v>-0.67</v>
      </c>
      <c r="F259" s="10" t="s">
        <v>574</v>
      </c>
      <c r="G259" s="10" t="s">
        <v>508</v>
      </c>
      <c r="I259" s="10" t="s">
        <v>575</v>
      </c>
      <c r="J259" s="5"/>
    </row>
    <row r="260" customFormat="false" ht="15" hidden="false" customHeight="false" outlineLevel="1" collapsed="false">
      <c r="A260" s="3" t="s">
        <v>577</v>
      </c>
      <c r="B260" s="5" t="s">
        <v>125</v>
      </c>
      <c r="C260" s="20" t="n">
        <v>4</v>
      </c>
      <c r="F260" s="10" t="s">
        <v>574</v>
      </c>
      <c r="G260" s="10" t="s">
        <v>508</v>
      </c>
      <c r="I260" s="10" t="s">
        <v>575</v>
      </c>
      <c r="J260" s="10" t="s">
        <v>578</v>
      </c>
    </row>
    <row r="261" customFormat="false" ht="15" hidden="false" customHeight="false" outlineLevel="1" collapsed="false">
      <c r="A261" s="13" t="s">
        <v>579</v>
      </c>
      <c r="B261" s="13" t="s">
        <v>51</v>
      </c>
      <c r="C261" s="13" t="s">
        <v>498</v>
      </c>
      <c r="D261" s="13"/>
      <c r="E261" s="13"/>
      <c r="F261" s="13" t="s">
        <v>499</v>
      </c>
      <c r="G261" s="13" t="s">
        <v>500</v>
      </c>
      <c r="H261" s="13"/>
      <c r="I261" s="13" t="s">
        <v>501</v>
      </c>
      <c r="J261" s="13" t="s">
        <v>502</v>
      </c>
    </row>
    <row r="262" customFormat="false" ht="15" hidden="false" customHeight="false" outlineLevel="1" collapsed="false">
      <c r="A262" s="3" t="s">
        <v>580</v>
      </c>
      <c r="B262" s="10" t="s">
        <v>39</v>
      </c>
      <c r="C262" s="3" t="s">
        <v>581</v>
      </c>
      <c r="F262" s="10" t="s">
        <v>416</v>
      </c>
      <c r="G262" s="10" t="s">
        <v>508</v>
      </c>
      <c r="I262" s="10" t="s">
        <v>582</v>
      </c>
      <c r="J262" s="10" t="s">
        <v>583</v>
      </c>
    </row>
    <row r="263" customFormat="false" ht="15" hidden="false" customHeight="false" outlineLevel="1" collapsed="false">
      <c r="A263" s="3" t="s">
        <v>584</v>
      </c>
      <c r="B263" s="10" t="s">
        <v>39</v>
      </c>
      <c r="C263" s="3" t="s">
        <v>581</v>
      </c>
      <c r="F263" s="10" t="s">
        <v>416</v>
      </c>
      <c r="G263" s="10" t="s">
        <v>508</v>
      </c>
      <c r="I263" s="10" t="s">
        <v>582</v>
      </c>
      <c r="J263" s="10" t="s">
        <v>585</v>
      </c>
    </row>
    <row r="264" customFormat="false" ht="15" hidden="false" customHeight="false" outlineLevel="1" collapsed="false">
      <c r="A264" s="3" t="s">
        <v>586</v>
      </c>
      <c r="B264" s="10" t="s">
        <v>39</v>
      </c>
      <c r="C264" s="37" t="n">
        <v>399</v>
      </c>
      <c r="F264" s="10" t="s">
        <v>416</v>
      </c>
      <c r="G264" s="10" t="s">
        <v>508</v>
      </c>
      <c r="I264" s="10" t="s">
        <v>582</v>
      </c>
      <c r="J264" s="10" t="s">
        <v>587</v>
      </c>
    </row>
    <row r="265" customFormat="false" ht="15" hidden="false" customHeight="false" outlineLevel="1" collapsed="false">
      <c r="A265" s="3" t="s">
        <v>588</v>
      </c>
      <c r="B265" s="10" t="s">
        <v>39</v>
      </c>
      <c r="C265" s="37" t="n">
        <v>410</v>
      </c>
      <c r="F265" s="10" t="s">
        <v>416</v>
      </c>
      <c r="G265" s="10" t="s">
        <v>508</v>
      </c>
      <c r="I265" s="10" t="s">
        <v>582</v>
      </c>
      <c r="J265" s="10" t="s">
        <v>589</v>
      </c>
    </row>
    <row r="266" customFormat="false" ht="15" hidden="false" customHeight="false" outlineLevel="1" collapsed="false">
      <c r="A266" s="3" t="s">
        <v>590</v>
      </c>
      <c r="B266" s="10" t="s">
        <v>39</v>
      </c>
      <c r="C266" s="37" t="n">
        <v>355</v>
      </c>
      <c r="F266" s="10" t="s">
        <v>416</v>
      </c>
      <c r="G266" s="10" t="s">
        <v>508</v>
      </c>
      <c r="I266" s="10" t="s">
        <v>582</v>
      </c>
      <c r="J266" s="10" t="s">
        <v>591</v>
      </c>
    </row>
    <row r="267" customFormat="false" ht="15" hidden="false" customHeight="false" outlineLevel="1" collapsed="false">
      <c r="A267" s="13" t="s">
        <v>592</v>
      </c>
      <c r="B267" s="13" t="s">
        <v>51</v>
      </c>
      <c r="C267" s="13" t="s">
        <v>498</v>
      </c>
      <c r="D267" s="13"/>
      <c r="E267" s="13"/>
      <c r="F267" s="13" t="s">
        <v>499</v>
      </c>
      <c r="G267" s="13" t="s">
        <v>500</v>
      </c>
      <c r="H267" s="13"/>
      <c r="I267" s="13" t="s">
        <v>501</v>
      </c>
      <c r="J267" s="13" t="s">
        <v>502</v>
      </c>
    </row>
    <row r="268" customFormat="false" ht="15" hidden="false" customHeight="false" outlineLevel="1" collapsed="false">
      <c r="A268" s="3" t="s">
        <v>593</v>
      </c>
      <c r="B268" s="5"/>
      <c r="C268" s="4" t="s">
        <v>594</v>
      </c>
      <c r="F268" s="10" t="s">
        <v>416</v>
      </c>
      <c r="G268" s="5"/>
      <c r="I268" s="5" t="s">
        <v>595</v>
      </c>
      <c r="J268" s="5"/>
    </row>
    <row r="269" customFormat="false" ht="15" hidden="false" customHeight="false" outlineLevel="1" collapsed="false">
      <c r="A269" s="3" t="s">
        <v>596</v>
      </c>
      <c r="B269" s="5"/>
      <c r="C269" s="4" t="s">
        <v>597</v>
      </c>
      <c r="F269" s="10" t="s">
        <v>416</v>
      </c>
      <c r="G269" s="5"/>
      <c r="I269" s="5" t="s">
        <v>595</v>
      </c>
      <c r="J269" s="5"/>
    </row>
    <row r="270" customFormat="false" ht="15" hidden="false" customHeight="false" outlineLevel="1" collapsed="false">
      <c r="A270" s="3" t="s">
        <v>598</v>
      </c>
      <c r="B270" s="5"/>
      <c r="C270" s="4" t="s">
        <v>599</v>
      </c>
      <c r="F270" s="10" t="s">
        <v>416</v>
      </c>
      <c r="G270" s="5"/>
      <c r="I270" s="5" t="s">
        <v>595</v>
      </c>
      <c r="J270" s="5"/>
    </row>
    <row r="271" customFormat="false" ht="15" hidden="false" customHeight="false" outlineLevel="1" collapsed="false">
      <c r="A271" s="3" t="s">
        <v>600</v>
      </c>
      <c r="B271" s="5"/>
      <c r="C271" s="4" t="s">
        <v>601</v>
      </c>
      <c r="F271" s="10" t="s">
        <v>416</v>
      </c>
      <c r="G271" s="5"/>
      <c r="I271" s="5" t="s">
        <v>595</v>
      </c>
      <c r="J271" s="5"/>
    </row>
    <row r="272" customFormat="false" ht="15" hidden="false" customHeight="false" outlineLevel="1" collapsed="false">
      <c r="A272" s="3" t="s">
        <v>602</v>
      </c>
      <c r="B272" s="5"/>
      <c r="C272" s="4" t="s">
        <v>603</v>
      </c>
      <c r="F272" s="10" t="s">
        <v>416</v>
      </c>
      <c r="G272" s="5"/>
      <c r="I272" s="5" t="s">
        <v>595</v>
      </c>
      <c r="J272" s="5"/>
    </row>
    <row r="273" customFormat="false" ht="15" hidden="false" customHeight="false" outlineLevel="1" collapsed="false">
      <c r="A273" s="3" t="s">
        <v>604</v>
      </c>
      <c r="B273" s="10" t="s">
        <v>42</v>
      </c>
      <c r="C273" s="23" t="n">
        <v>0.05</v>
      </c>
      <c r="I273" s="5" t="s">
        <v>605</v>
      </c>
    </row>
    <row r="274" customFormat="false" ht="15" hidden="false" customHeight="false" outlineLevel="1" collapsed="false">
      <c r="A274" s="3" t="s">
        <v>606</v>
      </c>
      <c r="B274" s="10" t="s">
        <v>68</v>
      </c>
      <c r="C274" s="23" t="n">
        <v>0.02</v>
      </c>
      <c r="I274" s="5" t="s">
        <v>607</v>
      </c>
    </row>
    <row r="276" customFormat="false" ht="15" hidden="false" customHeight="false" outlineLevel="0" collapsed="false">
      <c r="A276" s="6" t="s">
        <v>608</v>
      </c>
      <c r="B276" s="7"/>
      <c r="C276" s="7"/>
      <c r="D276" s="7"/>
      <c r="E276" s="7"/>
      <c r="F276" s="7"/>
      <c r="G276" s="7"/>
      <c r="H276" s="7"/>
    </row>
    <row r="277" customFormat="false" ht="15" hidden="false" customHeight="false" outlineLevel="1" collapsed="false">
      <c r="A277" s="13" t="s">
        <v>609</v>
      </c>
      <c r="B277" s="13" t="s">
        <v>51</v>
      </c>
      <c r="C277" s="14" t="s">
        <v>610</v>
      </c>
      <c r="D277" s="14" t="s">
        <v>611</v>
      </c>
      <c r="E277" s="14" t="s">
        <v>612</v>
      </c>
      <c r="F277" s="14" t="s">
        <v>613</v>
      </c>
      <c r="G277" s="14" t="s">
        <v>614</v>
      </c>
      <c r="H277" s="14" t="s">
        <v>615</v>
      </c>
      <c r="J277" s="13" t="s">
        <v>616</v>
      </c>
    </row>
    <row r="278" customFormat="false" ht="15" hidden="false" customHeight="false" outlineLevel="1" collapsed="false">
      <c r="A278" s="3" t="s">
        <v>617</v>
      </c>
      <c r="C278" s="21" t="n">
        <v>1</v>
      </c>
      <c r="D278" s="21" t="n">
        <v>1</v>
      </c>
      <c r="E278" s="21" t="n">
        <v>2</v>
      </c>
      <c r="F278" s="21" t="n">
        <v>2</v>
      </c>
      <c r="G278" s="21" t="n">
        <v>2</v>
      </c>
      <c r="H278" s="21" t="n">
        <v>2</v>
      </c>
      <c r="J278" s="5" t="s">
        <v>618</v>
      </c>
    </row>
    <row r="279" customFormat="false" ht="15" hidden="false" customHeight="false" outlineLevel="1" collapsed="false">
      <c r="A279" s="3" t="s">
        <v>619</v>
      </c>
      <c r="C279" s="17" t="n">
        <v>1</v>
      </c>
      <c r="J279" s="5" t="s">
        <v>620</v>
      </c>
    </row>
    <row r="280" customFormat="false" ht="15" hidden="false" customHeight="false" outlineLevel="1" collapsed="false">
      <c r="A280" s="3" t="s">
        <v>621</v>
      </c>
      <c r="B280" s="10" t="s">
        <v>56</v>
      </c>
      <c r="C280" s="43" t="n">
        <v>0.5823</v>
      </c>
      <c r="J280" s="5" t="s">
        <v>622</v>
      </c>
    </row>
    <row r="281" customFormat="false" ht="15" hidden="false" customHeight="false" outlineLevel="1" collapsed="false">
      <c r="A281" s="3" t="s">
        <v>623</v>
      </c>
      <c r="B281" s="10" t="s">
        <v>142</v>
      </c>
      <c r="C281" s="20" t="n">
        <v>460</v>
      </c>
      <c r="J281" s="10" t="s">
        <v>624</v>
      </c>
    </row>
    <row r="282" customFormat="false" ht="15" hidden="false" customHeight="false" outlineLevel="1" collapsed="false">
      <c r="A282" s="3" t="s">
        <v>625</v>
      </c>
      <c r="B282" s="10" t="s">
        <v>56</v>
      </c>
      <c r="C282" s="43"/>
      <c r="D282" s="43"/>
      <c r="E282" s="43"/>
      <c r="F282" s="43"/>
      <c r="G282" s="43"/>
      <c r="H282" s="43"/>
      <c r="J282" s="5" t="s">
        <v>626</v>
      </c>
    </row>
    <row r="283" customFormat="false" ht="15" hidden="false" customHeight="false" outlineLevel="1" collapsed="false">
      <c r="A283" s="3" t="s">
        <v>627</v>
      </c>
      <c r="B283" s="10" t="s">
        <v>56</v>
      </c>
      <c r="C283" s="43"/>
      <c r="D283" s="43"/>
      <c r="E283" s="43"/>
      <c r="F283" s="43"/>
      <c r="G283" s="43"/>
      <c r="H283" s="43"/>
    </row>
    <row r="284" customFormat="false" ht="15" hidden="false" customHeight="false" outlineLevel="1" collapsed="false">
      <c r="A284" s="3" t="s">
        <v>628</v>
      </c>
      <c r="B284" s="10" t="s">
        <v>56</v>
      </c>
      <c r="C284" s="43"/>
      <c r="D284" s="43"/>
      <c r="E284" s="43"/>
      <c r="F284" s="43"/>
      <c r="G284" s="43"/>
      <c r="H284" s="43"/>
    </row>
    <row r="285" customFormat="false" ht="15" hidden="false" customHeight="false" outlineLevel="1" collapsed="false">
      <c r="A285" s="3" t="s">
        <v>629</v>
      </c>
      <c r="B285" s="10" t="s">
        <v>56</v>
      </c>
      <c r="C285" s="43"/>
      <c r="D285" s="43"/>
      <c r="E285" s="43"/>
      <c r="F285" s="43"/>
      <c r="G285" s="43"/>
      <c r="H285" s="43"/>
    </row>
    <row r="286" customFormat="false" ht="15" hidden="false" customHeight="false" outlineLevel="1" collapsed="false">
      <c r="A286" s="3" t="s">
        <v>630</v>
      </c>
      <c r="B286" s="10" t="s">
        <v>142</v>
      </c>
      <c r="C286" s="20"/>
      <c r="D286" s="20"/>
      <c r="E286" s="20"/>
      <c r="F286" s="20"/>
      <c r="G286" s="20"/>
      <c r="H286" s="20"/>
    </row>
    <row r="287" customFormat="false" ht="15" hidden="false" customHeight="false" outlineLevel="1" collapsed="false">
      <c r="A287" s="3" t="s">
        <v>631</v>
      </c>
      <c r="C287" s="25"/>
      <c r="D287" s="25"/>
      <c r="E287" s="25"/>
      <c r="F287" s="25"/>
      <c r="G287" s="25"/>
      <c r="H287" s="25"/>
    </row>
    <row r="288" customFormat="false" ht="15" hidden="false" customHeight="false" outlineLevel="1" collapsed="false">
      <c r="A288" s="3" t="s">
        <v>632</v>
      </c>
      <c r="C288" s="25"/>
      <c r="D288" s="25"/>
      <c r="E288" s="25"/>
      <c r="F288" s="25"/>
      <c r="G288" s="25"/>
      <c r="H288" s="25"/>
    </row>
    <row r="289" customFormat="false" ht="15" hidden="false" customHeight="false" outlineLevel="1" collapsed="false">
      <c r="A289" s="3" t="s">
        <v>633</v>
      </c>
      <c r="C289" s="25"/>
      <c r="D289" s="25"/>
      <c r="E289" s="25"/>
      <c r="F289" s="25"/>
      <c r="G289" s="25"/>
      <c r="H289" s="25"/>
    </row>
    <row r="290" customFormat="false" ht="15" hidden="false" customHeight="false" outlineLevel="1" collapsed="false">
      <c r="A290" s="3" t="s">
        <v>634</v>
      </c>
      <c r="B290" s="10" t="s">
        <v>56</v>
      </c>
      <c r="C290" s="43" t="n">
        <v>3</v>
      </c>
      <c r="D290" s="43" t="n">
        <v>3.4</v>
      </c>
      <c r="E290" s="43" t="n">
        <v>0.9813</v>
      </c>
      <c r="J290" s="5" t="s">
        <v>635</v>
      </c>
    </row>
    <row r="291" customFormat="false" ht="15" hidden="false" customHeight="false" outlineLevel="1" collapsed="false">
      <c r="A291" s="3" t="s">
        <v>636</v>
      </c>
      <c r="B291" s="10" t="s">
        <v>56</v>
      </c>
      <c r="C291" s="43" t="n">
        <v>20</v>
      </c>
      <c r="D291" s="43" t="n">
        <v>25</v>
      </c>
      <c r="E291" s="43" t="n">
        <v>8.1303</v>
      </c>
      <c r="J291" s="5" t="s">
        <v>635</v>
      </c>
    </row>
  </sheetData>
  <dataValidations count="1">
    <dataValidation allowBlank="false" error="請輸入 1–4" errorStyle="stop" errorTitle="錨定年度" operator="between" showDropDown="false" showErrorMessage="true" showInputMessage="false" sqref="C142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1" t="s">
        <v>637</v>
      </c>
    </row>
    <row r="2" customFormat="false" ht="15" hidden="false" customHeight="false" outlineLevel="0" collapsed="false">
      <c r="A2" s="10" t="s">
        <v>638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138</v>
      </c>
      <c r="G4" s="26" t="s">
        <v>139</v>
      </c>
      <c r="I4" s="13" t="s">
        <v>639</v>
      </c>
    </row>
    <row r="5" customFormat="false" ht="15" hidden="false" customHeight="false" outlineLevel="0" collapsed="false">
      <c r="A5" s="44" t="s">
        <v>640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641</v>
      </c>
      <c r="B6" s="10" t="s">
        <v>56</v>
      </c>
      <c r="C6" s="31" t="n">
        <f aca="false">輸入與假設!$C$181+輸入與假設!C$90</f>
        <v>29.0696</v>
      </c>
      <c r="D6" s="31" t="n">
        <f aca="false">輸入與假設!D$90</f>
        <v>29.1508</v>
      </c>
      <c r="E6" s="31" t="n">
        <f aca="false">輸入與假設!E$90</f>
        <v>29.1508</v>
      </c>
      <c r="F6" s="31" t="n">
        <f aca="false">輸入與假設!F$90</f>
        <v>29.1508</v>
      </c>
      <c r="G6" s="31" t="n">
        <f aca="false">輸入與假設!G$90</f>
        <v>37.695</v>
      </c>
      <c r="I6" s="10" t="s">
        <v>642</v>
      </c>
    </row>
    <row r="7" customFormat="false" ht="15" hidden="false" customHeight="false" outlineLevel="1" collapsed="false">
      <c r="A7" s="3" t="s">
        <v>643</v>
      </c>
      <c r="B7" s="10" t="s">
        <v>42</v>
      </c>
      <c r="C7" s="45" t="n">
        <f aca="false">輸入與假設!C$75</f>
        <v>0.385</v>
      </c>
      <c r="D7" s="45" t="n">
        <f aca="false">輸入與假設!D$75</f>
        <v>0.385</v>
      </c>
      <c r="E7" s="45" t="n">
        <f aca="false">輸入與假設!E$75</f>
        <v>0.385</v>
      </c>
      <c r="F7" s="45" t="n">
        <f aca="false">輸入與假設!F$75</f>
        <v>0.385</v>
      </c>
      <c r="G7" s="45" t="n">
        <f aca="false">輸入與假設!G$75</f>
        <v>0.385</v>
      </c>
    </row>
    <row r="8" customFormat="false" ht="15" hidden="false" customHeight="false" outlineLevel="1" collapsed="false">
      <c r="A8" s="3" t="s">
        <v>644</v>
      </c>
      <c r="B8" s="10" t="s">
        <v>56</v>
      </c>
      <c r="C8" s="31" t="n">
        <f aca="false">輸入與假設!C$86*C7</f>
        <v>8.0616305</v>
      </c>
      <c r="D8" s="31" t="n">
        <f aca="false">輸入與假設!D$86*D7</f>
        <v>11.223058</v>
      </c>
      <c r="E8" s="31" t="n">
        <f aca="false">輸入與假設!E$86*E7</f>
        <v>11.223058</v>
      </c>
      <c r="F8" s="31" t="n">
        <f aca="false">輸入與假設!F$86*F7</f>
        <v>11.223058</v>
      </c>
      <c r="G8" s="31" t="n">
        <f aca="false">輸入與假設!G$86*G7</f>
        <v>11.223058</v>
      </c>
      <c r="I8" s="5" t="s">
        <v>645</v>
      </c>
    </row>
    <row r="9" customFormat="false" ht="15" hidden="false" customHeight="false" outlineLevel="1" collapsed="false">
      <c r="A9" s="3" t="s">
        <v>646</v>
      </c>
      <c r="B9" s="10" t="s">
        <v>56</v>
      </c>
      <c r="C9" s="31" t="n">
        <f aca="false">輸入與假設!$C$73</f>
        <v>5.9752</v>
      </c>
      <c r="D9" s="31" t="n">
        <f aca="false">C11</f>
        <v>13.0409638333333</v>
      </c>
      <c r="E9" s="31" t="n">
        <f aca="false">D11</f>
        <v>19.9170338888889</v>
      </c>
      <c r="F9" s="31" t="n">
        <f aca="false">E11</f>
        <v>24.5010805925926</v>
      </c>
      <c r="G9" s="31" t="n">
        <f aca="false">F11</f>
        <v>27.5571117283951</v>
      </c>
      <c r="I9" s="10" t="s">
        <v>647</v>
      </c>
    </row>
    <row r="10" customFormat="false" ht="15" hidden="false" customHeight="false" outlineLevel="1" collapsed="false">
      <c r="A10" s="3" t="s">
        <v>648</v>
      </c>
      <c r="B10" s="10" t="s">
        <v>56</v>
      </c>
      <c r="C10" s="31" t="n">
        <f aca="false">MIN(C9,C9/輸入與假設!$C$72*運營_產能與收入!C7)</f>
        <v>0.995866666666667</v>
      </c>
      <c r="D10" s="31" t="n">
        <f aca="false">MIN(D9,D9/輸入與假設!$C$72*運營_產能與收入!D7)</f>
        <v>4.34698794444444</v>
      </c>
      <c r="E10" s="31" t="n">
        <f aca="false">MIN(E9,E9/輸入與假設!$C$72*運營_產能與收入!E7)</f>
        <v>6.6390112962963</v>
      </c>
      <c r="F10" s="31" t="n">
        <f aca="false">MIN(F9,F9/輸入與假設!$C$72*運營_產能與收入!F7)</f>
        <v>8.16702686419753</v>
      </c>
      <c r="G10" s="31" t="n">
        <f aca="false">MIN(G9,G9/輸入與假設!$C$72*運營_產能與收入!G7)</f>
        <v>9.18570390946502</v>
      </c>
      <c r="I10" s="5" t="s">
        <v>649</v>
      </c>
    </row>
    <row r="11" customFormat="false" ht="15" hidden="false" customHeight="false" outlineLevel="1" collapsed="false">
      <c r="A11" s="3" t="s">
        <v>650</v>
      </c>
      <c r="B11" s="10" t="s">
        <v>56</v>
      </c>
      <c r="C11" s="31" t="n">
        <f aca="false">C9+C8-C10</f>
        <v>13.0409638333333</v>
      </c>
      <c r="D11" s="31" t="n">
        <f aca="false">D9+D8-D10</f>
        <v>19.9170338888889</v>
      </c>
      <c r="E11" s="31" t="n">
        <f aca="false">E9+E8-E10</f>
        <v>24.5010805925926</v>
      </c>
      <c r="F11" s="31" t="n">
        <f aca="false">F9+F8-F10</f>
        <v>27.5571117283951</v>
      </c>
      <c r="G11" s="31" t="n">
        <f aca="false">G9+G8-G10</f>
        <v>29.59446581893</v>
      </c>
      <c r="I11" s="5" t="s">
        <v>651</v>
      </c>
    </row>
    <row r="12" customFormat="false" ht="15" hidden="false" customHeight="false" outlineLevel="1" collapsed="false">
      <c r="A12" s="4" t="s">
        <v>652</v>
      </c>
      <c r="B12" s="10" t="s">
        <v>56</v>
      </c>
      <c r="C12" s="31" t="n">
        <f aca="false">輸入與假設!$C$180+輸入與假設!C$90</f>
        <v>29.0696</v>
      </c>
      <c r="D12" s="31" t="n">
        <f aca="false">輸入與假設!D$90</f>
        <v>29.1508</v>
      </c>
      <c r="E12" s="31" t="n">
        <f aca="false">輸入與假設!E$90</f>
        <v>29.1508</v>
      </c>
      <c r="F12" s="31" t="n">
        <f aca="false">輸入與假設!F$90</f>
        <v>29.1508</v>
      </c>
      <c r="G12" s="31" t="n">
        <f aca="false">輸入與假設!G$90</f>
        <v>37.695</v>
      </c>
      <c r="I12" s="10" t="s">
        <v>653</v>
      </c>
    </row>
    <row r="13" customFormat="false" ht="15" hidden="false" customHeight="false" outlineLevel="1" collapsed="false">
      <c r="A13" s="3" t="s">
        <v>654</v>
      </c>
      <c r="B13" s="10" t="s">
        <v>56</v>
      </c>
      <c r="C13" s="38" t="n">
        <f aca="false">輸入與假設!C$76</f>
        <v>0.0916</v>
      </c>
      <c r="D13" s="38" t="n">
        <f aca="false">輸入與假設!D$76</f>
        <v>0.2352</v>
      </c>
      <c r="E13" s="38" t="n">
        <f aca="false">輸入與假設!E$76</f>
        <v>0.2342</v>
      </c>
      <c r="F13" s="38" t="n">
        <f aca="false">輸入與假設!F$76</f>
        <v>0.2414</v>
      </c>
      <c r="G13" s="38" t="n">
        <f aca="false">輸入與假設!G$76</f>
        <v>0.2427</v>
      </c>
      <c r="I13" s="5" t="s">
        <v>655</v>
      </c>
    </row>
    <row r="14" customFormat="false" ht="15" hidden="false" customHeight="false" outlineLevel="1" collapsed="false">
      <c r="A14" s="3" t="s">
        <v>656</v>
      </c>
      <c r="B14" s="10" t="s">
        <v>56</v>
      </c>
      <c r="C14" s="38" t="n">
        <f aca="false">輸入與假設!C$77</f>
        <v>0.05</v>
      </c>
      <c r="D14" s="38" t="n">
        <f aca="false">輸入與假設!D$77</f>
        <v>0.420000008842105</v>
      </c>
      <c r="E14" s="38" t="n">
        <f aca="false">輸入與假設!E$77</f>
        <v>0.790344849388823</v>
      </c>
      <c r="F14" s="38" t="n">
        <f aca="false">輸入與假設!F$77</f>
        <v>0.766153869727811</v>
      </c>
      <c r="G14" s="38" t="n">
        <f aca="false">輸入與假設!G$77</f>
        <v>0.751836759243649</v>
      </c>
      <c r="I14" s="5" t="s">
        <v>657</v>
      </c>
    </row>
    <row r="15" customFormat="false" ht="15" hidden="false" customHeight="false" outlineLevel="1" collapsed="false">
      <c r="A15" s="3" t="s">
        <v>658</v>
      </c>
      <c r="B15" s="10" t="s">
        <v>56</v>
      </c>
      <c r="C15" s="31" t="n">
        <f aca="false">C13+C14</f>
        <v>0.1416</v>
      </c>
      <c r="D15" s="31" t="n">
        <f aca="false">D13+D14</f>
        <v>0.655200008842105</v>
      </c>
      <c r="E15" s="31" t="n">
        <f aca="false">E13+E14</f>
        <v>1.02454484938882</v>
      </c>
      <c r="F15" s="31" t="n">
        <f aca="false">F13+F14</f>
        <v>1.00755386972781</v>
      </c>
      <c r="G15" s="31" t="n">
        <f aca="false">G13+G14</f>
        <v>0.994536759243649</v>
      </c>
    </row>
    <row r="16" customFormat="false" ht="15" hidden="false" customHeight="false" outlineLevel="1" collapsed="false">
      <c r="A16" s="3" t="s">
        <v>659</v>
      </c>
      <c r="B16" s="10" t="s">
        <v>56</v>
      </c>
      <c r="C16" s="38" t="n">
        <f aca="false">輸入與假設!C$121</f>
        <v>0.060375</v>
      </c>
      <c r="D16" s="38" t="n">
        <f aca="false">輸入與假設!D$121</f>
        <v>0.12075</v>
      </c>
      <c r="E16" s="38" t="n">
        <f aca="false">輸入與假設!E$121</f>
        <v>0.12075</v>
      </c>
      <c r="F16" s="38" t="n">
        <f aca="false">輸入與假設!F$121</f>
        <v>0.12075</v>
      </c>
      <c r="G16" s="38" t="n">
        <f aca="false">輸入與假設!G$121</f>
        <v>0.112125</v>
      </c>
      <c r="I16" s="5" t="str">
        <f aca="false">"6/30 債務餘額的利息。FY26 全年利息＝1H 實際 0.1828＋2H "&amp;TEXT(C16,"0.0")&amp;"＝"&amp;TEXT(0.1828+C16,"0.00")&amp;"（見下方備忘）"</f>
        <v>6/30 債務餘額的利息。FY26 全年利息＝1H 實際 0.1828＋2H 0.1＝0.24（見下方備忘）</v>
      </c>
    </row>
    <row r="17" customFormat="false" ht="15" hidden="false" customHeight="false" outlineLevel="1" collapsed="false">
      <c r="A17" s="3" t="s">
        <v>660</v>
      </c>
      <c r="B17" s="10" t="s">
        <v>56</v>
      </c>
      <c r="C17" s="31" t="n">
        <f aca="false">輸入與假設!$C$178</f>
        <v>3.6781</v>
      </c>
      <c r="D17" s="31" t="n">
        <f aca="false">C47</f>
        <v>2</v>
      </c>
      <c r="E17" s="31" t="n">
        <f aca="false">D47</f>
        <v>2</v>
      </c>
      <c r="F17" s="31" t="n">
        <f aca="false">E47</f>
        <v>2</v>
      </c>
      <c r="G17" s="31" t="n">
        <f aca="false">F47</f>
        <v>2</v>
      </c>
      <c r="I17" s="10" t="s">
        <v>661</v>
      </c>
    </row>
    <row r="18" customFormat="false" ht="15" hidden="false" customHeight="false" outlineLevel="1" collapsed="false">
      <c r="A18" s="3" t="s">
        <v>662</v>
      </c>
      <c r="B18" s="10" t="s">
        <v>42</v>
      </c>
      <c r="C18" s="30" t="n">
        <f aca="false">IF(輸入與假設!$C$115=1,輸入與假設!C$120+MAX(0,輸入與假設!$C$114-450)/100*0.004,輸入與假設!C$120)</f>
        <v>0.065</v>
      </c>
      <c r="D18" s="30" t="n">
        <f aca="false">IF(輸入與假設!$C$115=1,輸入與假設!D$120+MAX(0,輸入與假設!$C$114-450)/100*0.004,輸入與假設!D$120)</f>
        <v>0.065</v>
      </c>
      <c r="E18" s="30" t="n">
        <f aca="false">IF(輸入與假設!$C$115=1,輸入與假設!E$120+MAX(0,輸入與假設!$C$114-450)/100*0.004,輸入與假設!E$120)</f>
        <v>0.065</v>
      </c>
      <c r="F18" s="30" t="n">
        <f aca="false">IF(輸入與假設!$C$115=1,輸入與假設!F$120+MAX(0,輸入與假設!$C$114-450)/100*0.004,輸入與假設!F$120)</f>
        <v>0.065</v>
      </c>
      <c r="G18" s="30" t="n">
        <f aca="false">IF(輸入與假設!$C$115=1,輸入與假設!G$120+MAX(0,輸入與假設!$C$114-450)/100*0.004,輸入與假設!G$120)</f>
        <v>0.065</v>
      </c>
      <c r="I18" s="10" t="s">
        <v>663</v>
      </c>
    </row>
    <row r="19" customFormat="false" ht="15" hidden="false" customHeight="false" outlineLevel="1" collapsed="false">
      <c r="A19" s="3" t="s">
        <v>664</v>
      </c>
      <c r="B19" s="10" t="s">
        <v>56</v>
      </c>
      <c r="C19" s="31" t="n">
        <f aca="false">C74</f>
        <v>0.0448441505934539</v>
      </c>
      <c r="D19" s="31" t="n">
        <f aca="false">D74</f>
        <v>0.824625465</v>
      </c>
      <c r="E19" s="31" t="n">
        <f aca="false">E74</f>
        <v>0.99785213</v>
      </c>
      <c r="F19" s="31" t="n">
        <f aca="false">F74</f>
        <v>1.10285213</v>
      </c>
      <c r="G19" s="31" t="n">
        <f aca="false">G74</f>
        <v>1.22796501622121</v>
      </c>
      <c r="I19" s="5" t="s">
        <v>665</v>
      </c>
    </row>
    <row r="20" customFormat="false" ht="15" hidden="false" customHeight="false" outlineLevel="1" collapsed="false">
      <c r="A20" s="3" t="s">
        <v>666</v>
      </c>
      <c r="B20" s="10" t="s">
        <v>56</v>
      </c>
      <c r="C20" s="31" t="n">
        <f aca="false">C16+C19</f>
        <v>0.105219150593454</v>
      </c>
      <c r="D20" s="31" t="n">
        <f aca="false">D16+D19</f>
        <v>0.945375465</v>
      </c>
      <c r="E20" s="31" t="n">
        <f aca="false">E16+E19</f>
        <v>1.11860213</v>
      </c>
      <c r="F20" s="31" t="n">
        <f aca="false">F16+F19</f>
        <v>1.22360213</v>
      </c>
      <c r="G20" s="31" t="n">
        <f aca="false">G16+G19</f>
        <v>1.34009001622121</v>
      </c>
    </row>
    <row r="21" customFormat="false" ht="15" hidden="false" customHeight="false" outlineLevel="1" collapsed="false">
      <c r="A21" s="4" t="s">
        <v>667</v>
      </c>
      <c r="B21" s="10" t="s">
        <v>56</v>
      </c>
      <c r="C21" s="31" t="n">
        <f aca="false">輸入與假設!$C$182+輸入與假設!C$80</f>
        <v>0.2516</v>
      </c>
      <c r="D21" s="31" t="n">
        <f aca="false">輸入與假設!D$80</f>
        <v>0</v>
      </c>
      <c r="E21" s="31" t="n">
        <f aca="false">輸入與假設!E$80</f>
        <v>0</v>
      </c>
      <c r="F21" s="31" t="n">
        <f aca="false">輸入與假設!F$80</f>
        <v>0</v>
      </c>
      <c r="G21" s="31" t="n">
        <f aca="false">輸入與假設!G$80</f>
        <v>0</v>
      </c>
      <c r="I21" s="10" t="s">
        <v>668</v>
      </c>
    </row>
    <row r="22" customFormat="false" ht="15" hidden="false" customHeight="false" outlineLevel="1" collapsed="false">
      <c r="A22" s="3" t="s">
        <v>669</v>
      </c>
      <c r="B22" s="10" t="s">
        <v>56</v>
      </c>
      <c r="C22" s="31" t="n">
        <f aca="false">IF(輸入與假設!$C$56=1,運營_產能與收入!C9*8760*輸入與假設!C$58*輸入與假設!C$57/1000000000*運營_產能與收入!C7,0)</f>
        <v>0</v>
      </c>
      <c r="D22" s="31" t="n">
        <f aca="false">IF(輸入與假設!$C$56=1,運營_產能與收入!D9*8760*輸入與假設!D$58*輸入與假設!D$57/1000000000*運營_產能與收入!D7,0)</f>
        <v>0</v>
      </c>
      <c r="E22" s="31" t="n">
        <f aca="false">IF(輸入與假設!$C$56=1,運營_產能與收入!E9*8760*輸入與假設!E$58*輸入與假設!E$57/1000000000*運營_產能與收入!E7,0)</f>
        <v>0</v>
      </c>
      <c r="F22" s="31" t="n">
        <f aca="false">IF(輸入與假設!$C$56=1,運營_產能與收入!F9*8760*輸入與假設!F$58*輸入與假設!F$57/1000000000*運營_產能與收入!F7,0)</f>
        <v>0</v>
      </c>
      <c r="G22" s="31" t="n">
        <f aca="false">IF(輸入與假設!$C$56=1,運營_產能與收入!G9*8760*輸入與假設!G$58*輸入與假設!G$57/1000000000*運營_產能與收入!G7,0)</f>
        <v>0</v>
      </c>
      <c r="I22" s="5" t="s">
        <v>670</v>
      </c>
    </row>
    <row r="23" customFormat="false" ht="15" hidden="false" customHeight="false" outlineLevel="1" collapsed="false">
      <c r="A23" s="3" t="s">
        <v>671</v>
      </c>
      <c r="B23" s="10" t="s">
        <v>56</v>
      </c>
      <c r="C23" s="31" t="n">
        <f aca="false">IF(輸入與假設!$C$56=1,運營_產能與收入!C9*輸入與假設!C$59/1000*運營_產能與收入!C7,0)</f>
        <v>0</v>
      </c>
      <c r="D23" s="31" t="n">
        <f aca="false">IF(輸入與假設!$C$56=1,運營_產能與收入!D9*輸入與假設!D$59/1000*運營_產能與收入!D7,0)</f>
        <v>0</v>
      </c>
      <c r="E23" s="31" t="n">
        <f aca="false">IF(輸入與假設!$C$56=1,運營_產能與收入!E9*輸入與假設!E$59/1000*運營_產能與收入!E7,0)</f>
        <v>0</v>
      </c>
      <c r="F23" s="31" t="n">
        <f aca="false">IF(輸入與假設!$C$56=1,運營_產能與收入!F9*輸入與假設!F$59/1000*運營_產能與收入!F7,0)</f>
        <v>0</v>
      </c>
      <c r="G23" s="31" t="n">
        <f aca="false">IF(輸入與假設!$C$56=1,運營_產能與收入!G9*輸入與假設!G$59/1000*運營_產能與收入!G7,0)</f>
        <v>0</v>
      </c>
    </row>
    <row r="24" customFormat="false" ht="15" hidden="false" customHeight="false" outlineLevel="1" collapsed="false">
      <c r="A24" s="3" t="s">
        <v>672</v>
      </c>
      <c r="B24" s="10" t="s">
        <v>56</v>
      </c>
      <c r="C24" s="31" t="n">
        <f aca="false">輸入與假設!$C$184+IF(輸入與假設!$C$99=1,輸入與假設!C$119,0)+資產負債_既有債務!C42</f>
        <v>0.0467</v>
      </c>
      <c r="D24" s="31" t="n">
        <f aca="false">IF(輸入與假設!$C$99=1,輸入與假設!D$119,0)+資產負債_既有債務!D42</f>
        <v>0</v>
      </c>
      <c r="E24" s="31" t="n">
        <f aca="false">IF(輸入與假設!$C$99=1,輸入與假設!E$119,0)+資產負債_既有債務!E42</f>
        <v>0</v>
      </c>
      <c r="F24" s="31" t="n">
        <f aca="false">IF(輸入與假設!$C$99=1,輸入與假設!F$119,0)+資產負債_既有債務!F42</f>
        <v>0</v>
      </c>
      <c r="G24" s="31" t="n">
        <f aca="false">IF(輸入與假設!$C$99=1,輸入與假設!G$119,0)+資產負債_既有債務!G42</f>
        <v>3.795</v>
      </c>
      <c r="I24" s="10" t="s">
        <v>673</v>
      </c>
    </row>
    <row r="25" customFormat="false" ht="15" hidden="false" customHeight="false" outlineLevel="1" collapsed="false">
      <c r="A25" s="4" t="s">
        <v>674</v>
      </c>
      <c r="B25" s="10" t="s">
        <v>56</v>
      </c>
      <c r="C25" s="31" t="n">
        <f aca="false">輸入與假設!$C$185</f>
        <v>0</v>
      </c>
      <c r="D25" s="31" t="n">
        <f aca="false">0</f>
        <v>0</v>
      </c>
      <c r="E25" s="31" t="n">
        <f aca="false">0</f>
        <v>0</v>
      </c>
      <c r="F25" s="31" t="n">
        <f aca="false">0</f>
        <v>0</v>
      </c>
      <c r="G25" s="31" t="n">
        <f aca="false">0</f>
        <v>0</v>
      </c>
      <c r="I25" s="5" t="s">
        <v>675</v>
      </c>
    </row>
    <row r="26" customFormat="false" ht="15" hidden="false" customHeight="false" outlineLevel="1" collapsed="false">
      <c r="A26" s="2" t="s">
        <v>676</v>
      </c>
      <c r="B26" s="10" t="s">
        <v>56</v>
      </c>
      <c r="C26" s="35" t="n">
        <f aca="false">C12+C15+C20+C21+C22+C23+C24+C25</f>
        <v>29.6147191505934</v>
      </c>
      <c r="D26" s="35" t="n">
        <f aca="false">D12+D15+D20+D21+D22+D23+D24+D25</f>
        <v>30.7513754738421</v>
      </c>
      <c r="E26" s="35" t="n">
        <f aca="false">E12+E15+E20+E21+E22+E23+E24+E25</f>
        <v>31.2939469793888</v>
      </c>
      <c r="F26" s="35" t="n">
        <f aca="false">F12+F15+F20+F21+F22+F23+F24+F25</f>
        <v>31.3819559997278</v>
      </c>
      <c r="G26" s="35" t="n">
        <f aca="false">G12+G15+G20+G21+G22+G23+G24+G25</f>
        <v>43.8246267754649</v>
      </c>
      <c r="I26" s="10" t="s">
        <v>677</v>
      </c>
    </row>
    <row r="27" customFormat="false" ht="15" hidden="false" customHeight="false" outlineLevel="0" collapsed="false">
      <c r="A27" s="44" t="s">
        <v>678</v>
      </c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1" collapsed="false">
      <c r="A28" s="4" t="s">
        <v>679</v>
      </c>
      <c r="B28" s="10" t="s">
        <v>56</v>
      </c>
      <c r="C28" s="38" t="n">
        <f aca="false">輸入與假設!$C$179</f>
        <v>4.5041</v>
      </c>
      <c r="D28" s="38" t="n">
        <f aca="false">0</f>
        <v>0</v>
      </c>
      <c r="E28" s="38" t="n">
        <f aca="false">0</f>
        <v>0</v>
      </c>
      <c r="F28" s="38" t="n">
        <f aca="false">0</f>
        <v>0</v>
      </c>
      <c r="G28" s="38" t="n">
        <f aca="false">0</f>
        <v>0</v>
      </c>
      <c r="I28" s="5" t="s">
        <v>680</v>
      </c>
    </row>
    <row r="29" customFormat="false" ht="15" hidden="false" customHeight="false" outlineLevel="1" collapsed="false">
      <c r="A29" s="4" t="s">
        <v>681</v>
      </c>
      <c r="B29" s="10" t="s">
        <v>56</v>
      </c>
      <c r="C29" s="38" t="n">
        <f aca="false">運營_產能與收入!C37</f>
        <v>1.159135299</v>
      </c>
      <c r="D29" s="38" t="n">
        <f aca="false">運營_產能與收入!D37</f>
        <v>3.69896300435364</v>
      </c>
      <c r="E29" s="38" t="n">
        <f aca="false">運營_產能與收入!E37</f>
        <v>3.73565292703846</v>
      </c>
      <c r="F29" s="38" t="n">
        <f aca="false">運營_產能與收入!F37</f>
        <v>3.75607222237366</v>
      </c>
      <c r="G29" s="38" t="n">
        <f aca="false">運營_產能與收入!G37</f>
        <v>2.91937250904087</v>
      </c>
    </row>
    <row r="30" customFormat="false" ht="15" hidden="false" customHeight="false" outlineLevel="1" collapsed="false">
      <c r="A30" s="3" t="s">
        <v>682</v>
      </c>
      <c r="B30" s="10" t="s">
        <v>56</v>
      </c>
      <c r="C30" s="38" t="n">
        <f aca="false">運營_產能與收入!C38</f>
        <v>0</v>
      </c>
      <c r="D30" s="38" t="n">
        <f aca="false">運營_產能與收入!D38</f>
        <v>2.22382161769426</v>
      </c>
      <c r="E30" s="38" t="n">
        <f aca="false">運營_產能與收入!E38</f>
        <v>8.23197479835494</v>
      </c>
      <c r="F30" s="38" t="n">
        <f aca="false">運營_產能與收入!F38</f>
        <v>13.5021471986569</v>
      </c>
      <c r="G30" s="38" t="n">
        <f aca="false">運營_產能與收入!G38</f>
        <v>18.2683215907122</v>
      </c>
    </row>
    <row r="31" customFormat="false" ht="15" hidden="false" customHeight="false" outlineLevel="1" collapsed="false">
      <c r="A31" s="3" t="s">
        <v>683</v>
      </c>
      <c r="B31" s="10" t="s">
        <v>56</v>
      </c>
      <c r="C31" s="38" t="n">
        <f aca="false">輸入與假設!C$54</f>
        <v>0</v>
      </c>
      <c r="D31" s="38" t="n">
        <f aca="false">輸入與假設!D$54</f>
        <v>0</v>
      </c>
      <c r="E31" s="38" t="n">
        <f aca="false">輸入與假設!E$54</f>
        <v>0</v>
      </c>
      <c r="F31" s="38" t="n">
        <f aca="false">輸入與假設!F$54</f>
        <v>0</v>
      </c>
      <c r="G31" s="38" t="n">
        <f aca="false">輸入與假設!G$54</f>
        <v>0</v>
      </c>
    </row>
    <row r="32" customFormat="false" ht="15" hidden="false" customHeight="false" outlineLevel="1" collapsed="false">
      <c r="A32" s="4" t="s">
        <v>684</v>
      </c>
      <c r="B32" s="10" t="s">
        <v>56</v>
      </c>
      <c r="C32" s="38" t="n">
        <f aca="false">輸入與假設!C$47</f>
        <v>-0.094</v>
      </c>
      <c r="D32" s="38" t="n">
        <f aca="false">輸入與假設!D$47</f>
        <v>-0.141</v>
      </c>
      <c r="E32" s="38" t="n">
        <f aca="false">輸入與假設!E$47</f>
        <v>-0.094</v>
      </c>
      <c r="F32" s="38" t="n">
        <f aca="false">輸入與假設!F$47</f>
        <v>-0.047</v>
      </c>
      <c r="G32" s="38" t="n">
        <f aca="false">輸入與假設!G$47</f>
        <v>0</v>
      </c>
      <c r="I32" s="10" t="s">
        <v>685</v>
      </c>
    </row>
    <row r="33" customFormat="false" ht="15" hidden="false" customHeight="false" outlineLevel="1" collapsed="false">
      <c r="A33" s="3" t="s">
        <v>686</v>
      </c>
      <c r="B33" s="10" t="s">
        <v>56</v>
      </c>
      <c r="C33" s="31" t="n">
        <f aca="false">C8</f>
        <v>8.0616305</v>
      </c>
      <c r="D33" s="31" t="n">
        <f aca="false">D8</f>
        <v>11.223058</v>
      </c>
      <c r="E33" s="31" t="n">
        <f aca="false">E8</f>
        <v>11.223058</v>
      </c>
      <c r="F33" s="31" t="n">
        <f aca="false">F8</f>
        <v>11.223058</v>
      </c>
      <c r="G33" s="31" t="n">
        <f aca="false">G8</f>
        <v>11.223058</v>
      </c>
    </row>
    <row r="34" customFormat="false" ht="15" hidden="false" customHeight="false" outlineLevel="1" collapsed="false">
      <c r="A34" s="4" t="s">
        <v>687</v>
      </c>
      <c r="B34" s="10" t="s">
        <v>56</v>
      </c>
      <c r="C34" s="31" t="n">
        <f aca="false">-C10</f>
        <v>-0.995866666666667</v>
      </c>
      <c r="D34" s="31" t="n">
        <f aca="false">-D10</f>
        <v>-4.34698794444444</v>
      </c>
      <c r="E34" s="31" t="n">
        <f aca="false">-E10</f>
        <v>-6.6390112962963</v>
      </c>
      <c r="F34" s="31" t="n">
        <f aca="false">-F10</f>
        <v>-8.16702686419753</v>
      </c>
      <c r="G34" s="31" t="n">
        <f aca="false">-G10</f>
        <v>-9.18570390946502</v>
      </c>
      <c r="I34" s="5" t="s">
        <v>688</v>
      </c>
    </row>
    <row r="35" customFormat="false" ht="15" hidden="false" customHeight="false" outlineLevel="1" collapsed="false">
      <c r="A35" s="2" t="s">
        <v>689</v>
      </c>
      <c r="B35" s="10" t="s">
        <v>56</v>
      </c>
      <c r="C35" s="35" t="n">
        <f aca="false">C28+C29+C30+C31+C32+C33+C34</f>
        <v>12.6349991323333</v>
      </c>
      <c r="D35" s="35" t="n">
        <f aca="false">D28+D29+D30+D31+D32+D33+D34</f>
        <v>12.6578546776035</v>
      </c>
      <c r="E35" s="35" t="n">
        <f aca="false">E28+E29+E30+E31+E32+E33+E34</f>
        <v>16.4576744290971</v>
      </c>
      <c r="F35" s="35" t="n">
        <f aca="false">F28+F29+F30+F31+F32+F33+F34</f>
        <v>20.267250556833</v>
      </c>
      <c r="G35" s="35" t="n">
        <f aca="false">G28+G29+G30+G31+G32+G33+G34</f>
        <v>23.2250481902881</v>
      </c>
    </row>
    <row r="36" customFormat="false" ht="15" hidden="false" customHeight="false" outlineLevel="1" collapsed="false">
      <c r="A36" s="3" t="s">
        <v>690</v>
      </c>
      <c r="B36" s="10" t="s">
        <v>56</v>
      </c>
      <c r="C36" s="31" t="n">
        <f aca="false">輸入與假設!$C$186+IF(輸入與假設!$C$96=1,輸入與假設!$C$95,0)</f>
        <v>10.4911</v>
      </c>
      <c r="D36" s="31" t="n">
        <f aca="false">0</f>
        <v>0</v>
      </c>
      <c r="E36" s="31" t="n">
        <f aca="false">0</f>
        <v>0</v>
      </c>
      <c r="F36" s="31" t="n">
        <f aca="false">0</f>
        <v>0</v>
      </c>
      <c r="G36" s="31" t="n">
        <f aca="false">0</f>
        <v>0</v>
      </c>
      <c r="I36" s="10" t="s">
        <v>691</v>
      </c>
    </row>
    <row r="37" customFormat="false" ht="15" hidden="false" customHeight="false" outlineLevel="1" collapsed="false">
      <c r="A37" s="4" t="s">
        <v>692</v>
      </c>
      <c r="B37" s="10" t="s">
        <v>56</v>
      </c>
      <c r="C37" s="38" t="n">
        <f aca="false">輸入與假設!$C$183</f>
        <v>4.3375</v>
      </c>
      <c r="D37" s="38" t="n">
        <f aca="false">0</f>
        <v>0</v>
      </c>
      <c r="E37" s="38" t="n">
        <f aca="false">0</f>
        <v>0</v>
      </c>
      <c r="F37" s="38" t="n">
        <f aca="false">0</f>
        <v>0</v>
      </c>
      <c r="G37" s="38" t="n">
        <f aca="false">0</f>
        <v>0</v>
      </c>
      <c r="I37" s="5" t="s">
        <v>693</v>
      </c>
    </row>
    <row r="38" customFormat="false" ht="15" hidden="false" customHeight="false" outlineLevel="1" collapsed="false">
      <c r="A38" s="3" t="s">
        <v>694</v>
      </c>
      <c r="B38" s="10" t="s">
        <v>56</v>
      </c>
      <c r="C38" s="31" t="n">
        <f aca="false">C66</f>
        <v>1.37982001826012</v>
      </c>
      <c r="D38" s="31" t="n">
        <f aca="false">D66</f>
        <v>9.69134098173988</v>
      </c>
      <c r="E38" s="31" t="n">
        <f aca="false">E66</f>
        <v>1.049641</v>
      </c>
      <c r="F38" s="31" t="n">
        <f aca="false">F66</f>
        <v>0</v>
      </c>
      <c r="G38" s="31" t="n">
        <f aca="false">G66</f>
        <v>0</v>
      </c>
      <c r="I38" s="5" t="s">
        <v>695</v>
      </c>
    </row>
    <row r="39" customFormat="false" ht="15" hidden="false" customHeight="false" outlineLevel="1" collapsed="false">
      <c r="A39" s="4" t="s">
        <v>696</v>
      </c>
      <c r="B39" s="10" t="s">
        <v>56</v>
      </c>
      <c r="C39" s="31" t="n">
        <f aca="false">C69</f>
        <v>0</v>
      </c>
      <c r="D39" s="31" t="n">
        <f aca="false">D69</f>
        <v>5</v>
      </c>
      <c r="E39" s="31" t="n">
        <f aca="false">E69</f>
        <v>5</v>
      </c>
      <c r="F39" s="31" t="n">
        <f aca="false">F69</f>
        <v>5</v>
      </c>
      <c r="G39" s="31" t="n">
        <f aca="false">G69</f>
        <v>5</v>
      </c>
      <c r="I39" s="5" t="s">
        <v>697</v>
      </c>
    </row>
    <row r="40" customFormat="false" ht="15" hidden="false" customHeight="false" outlineLevel="1" collapsed="false">
      <c r="A40" s="3" t="s">
        <v>698</v>
      </c>
      <c r="B40" s="10" t="s">
        <v>56</v>
      </c>
      <c r="C40" s="31" t="n">
        <f aca="false">C72</f>
        <v>0</v>
      </c>
      <c r="D40" s="31" t="n">
        <f aca="false">D72</f>
        <v>3.40217981449877</v>
      </c>
      <c r="E40" s="31" t="n">
        <f aca="false">E72</f>
        <v>8.78663155029171</v>
      </c>
      <c r="F40" s="31" t="n">
        <f aca="false">F72</f>
        <v>6.11470544289481</v>
      </c>
      <c r="G40" s="31" t="n">
        <f aca="false">G72</f>
        <v>15.4319712</v>
      </c>
      <c r="I40" s="5" t="s">
        <v>699</v>
      </c>
    </row>
    <row r="41" customFormat="false" ht="15" hidden="false" customHeight="false" outlineLevel="1" collapsed="false">
      <c r="A41" s="3" t="s">
        <v>700</v>
      </c>
      <c r="B41" s="10" t="s">
        <v>56</v>
      </c>
      <c r="C41" s="31" t="n">
        <f aca="false">C73</f>
        <v>0</v>
      </c>
      <c r="D41" s="31" t="n">
        <f aca="false">D73</f>
        <v>0</v>
      </c>
      <c r="E41" s="31" t="n">
        <f aca="false">E73</f>
        <v>0</v>
      </c>
      <c r="F41" s="31" t="n">
        <f aca="false">F73</f>
        <v>0</v>
      </c>
      <c r="G41" s="31" t="n">
        <f aca="false">G73</f>
        <v>0.167607385176778</v>
      </c>
      <c r="I41" s="5" t="s">
        <v>701</v>
      </c>
    </row>
    <row r="42" customFormat="false" ht="15" hidden="false" customHeight="false" outlineLevel="1" collapsed="false">
      <c r="A42" s="2" t="s">
        <v>702</v>
      </c>
      <c r="B42" s="10" t="s">
        <v>56</v>
      </c>
      <c r="C42" s="35" t="n">
        <f aca="false">C35+C36+C37+C38+C39+C40+C41</f>
        <v>28.8434191505935</v>
      </c>
      <c r="D42" s="35" t="n">
        <f aca="false">D35+D36+D37+D38+D39+D40+D41</f>
        <v>30.7513754738421</v>
      </c>
      <c r="E42" s="35" t="n">
        <f aca="false">E35+E36+E37+E38+E39+E40+E41</f>
        <v>31.2939469793888</v>
      </c>
      <c r="F42" s="35" t="n">
        <f aca="false">F35+F36+F37+F38+F39+F40+F41</f>
        <v>31.3819559997278</v>
      </c>
      <c r="G42" s="35" t="n">
        <f aca="false">G35+G36+G37+G38+G39+G40+G41</f>
        <v>43.8246267754649</v>
      </c>
    </row>
    <row r="43" customFormat="false" ht="15" hidden="false" customHeight="false" outlineLevel="0" collapsed="false">
      <c r="A43" s="44" t="s">
        <v>703</v>
      </c>
      <c r="B43" s="7"/>
      <c r="C43" s="7"/>
      <c r="D43" s="7"/>
      <c r="E43" s="7"/>
      <c r="F43" s="7"/>
      <c r="G43" s="7"/>
      <c r="H43" s="7"/>
    </row>
    <row r="44" customFormat="false" ht="15" hidden="false" customHeight="false" outlineLevel="1" collapsed="false">
      <c r="A44" s="3" t="s">
        <v>704</v>
      </c>
      <c r="B44" s="10" t="s">
        <v>56</v>
      </c>
      <c r="C44" s="31" t="n">
        <f aca="false">輸入與假設!$C$94-(輸入與假設!$C$178+輸入與假設!$C$179+輸入與假設!$C$183+輸入與假設!$C$186-輸入與假設!$C$180-輸入與假設!$C$182-輸入與假設!$C$184-輸入與假設!$C$185)</f>
        <v>-0.906800000000001</v>
      </c>
      <c r="D44" s="31" t="n">
        <f aca="false">0</f>
        <v>0</v>
      </c>
      <c r="E44" s="31" t="n">
        <f aca="false">0</f>
        <v>0</v>
      </c>
      <c r="F44" s="31" t="n">
        <f aca="false">0</f>
        <v>0</v>
      </c>
      <c r="G44" s="31" t="n">
        <f aca="false">0</f>
        <v>0</v>
      </c>
      <c r="I44" s="5" t="s">
        <v>705</v>
      </c>
    </row>
    <row r="45" customFormat="false" ht="15" hidden="false" customHeight="false" outlineLevel="1" collapsed="false">
      <c r="A45" s="2" t="s">
        <v>706</v>
      </c>
      <c r="B45" s="10" t="s">
        <v>56</v>
      </c>
      <c r="C45" s="35" t="n">
        <f aca="false">C35-(C26-C24-C25)</f>
        <v>-16.9330200182601</v>
      </c>
      <c r="D45" s="35" t="n">
        <f aca="false">D35-(D26-D24-D25)</f>
        <v>-18.0935207962387</v>
      </c>
      <c r="E45" s="35" t="n">
        <f aca="false">E35-(E26-E24-E25)</f>
        <v>-14.8362725502917</v>
      </c>
      <c r="F45" s="35" t="n">
        <f aca="false">F35-(F26-F24-F25)</f>
        <v>-11.1147054428948</v>
      </c>
      <c r="G45" s="35" t="n">
        <f aca="false">G35-(G26-G24-G25)</f>
        <v>-16.8045785851768</v>
      </c>
      <c r="I45" s="5" t="s">
        <v>707</v>
      </c>
    </row>
    <row r="46" customFormat="false" ht="15" hidden="false" customHeight="false" outlineLevel="1" collapsed="false">
      <c r="A46" s="3" t="s">
        <v>708</v>
      </c>
      <c r="B46" s="10" t="s">
        <v>56</v>
      </c>
      <c r="C46" s="31" t="n">
        <f aca="false">C42-C26+C44</f>
        <v>-1.6781</v>
      </c>
      <c r="D46" s="31" t="n">
        <f aca="false">D42-D26+D44</f>
        <v>0</v>
      </c>
      <c r="E46" s="31" t="n">
        <f aca="false">E42-E26+E44</f>
        <v>0</v>
      </c>
      <c r="F46" s="31" t="n">
        <f aca="false">F42-F26+F44</f>
        <v>0</v>
      </c>
      <c r="G46" s="31" t="n">
        <f aca="false">G42-G26+G44</f>
        <v>0</v>
      </c>
    </row>
    <row r="47" customFormat="false" ht="15" hidden="false" customHeight="false" outlineLevel="1" collapsed="false">
      <c r="A47" s="2" t="s">
        <v>709</v>
      </c>
      <c r="B47" s="10" t="s">
        <v>56</v>
      </c>
      <c r="C47" s="35" t="n">
        <f aca="false">C17+C46</f>
        <v>2</v>
      </c>
      <c r="D47" s="35" t="n">
        <f aca="false">D17+D46</f>
        <v>2</v>
      </c>
      <c r="E47" s="35" t="n">
        <f aca="false">E17+E46</f>
        <v>2</v>
      </c>
      <c r="F47" s="35" t="n">
        <f aca="false">F17+F46</f>
        <v>2</v>
      </c>
      <c r="G47" s="35" t="n">
        <f aca="false">G17+G46</f>
        <v>2</v>
      </c>
      <c r="I47" s="5" t="s">
        <v>710</v>
      </c>
    </row>
    <row r="49" customFormat="false" ht="15" hidden="false" customHeight="false" outlineLevel="0" collapsed="false">
      <c r="A49" s="44" t="s">
        <v>711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1" collapsed="false">
      <c r="A50" s="3" t="s">
        <v>712</v>
      </c>
      <c r="B50" s="10" t="s">
        <v>56</v>
      </c>
      <c r="C50" s="31" t="n">
        <f aca="false">C12+C15+C16+C21+C22+C23+C24+C25</f>
        <v>29.569875</v>
      </c>
      <c r="D50" s="31" t="n">
        <f aca="false">D12+D15+D16+D21+D22+D23+D24+D25</f>
        <v>29.9267500088421</v>
      </c>
      <c r="E50" s="31" t="n">
        <f aca="false">E12+E15+E16+E21+E22+E23+E24+E25</f>
        <v>30.2960948493888</v>
      </c>
      <c r="F50" s="31" t="n">
        <f aca="false">F12+F15+F16+F21+F22+F23+F24+F25</f>
        <v>30.2791038697278</v>
      </c>
      <c r="G50" s="31" t="n">
        <f aca="false">G12+G15+G16+G21+G22+G23+G24+G25</f>
        <v>42.5966617592437</v>
      </c>
      <c r="I50" s="5" t="s">
        <v>713</v>
      </c>
    </row>
    <row r="51" customFormat="false" ht="15" hidden="false" customHeight="false" outlineLevel="1" collapsed="false">
      <c r="A51" s="3" t="s">
        <v>714</v>
      </c>
      <c r="B51" s="10" t="s">
        <v>56</v>
      </c>
      <c r="C51" s="31" t="n">
        <f aca="false">0</f>
        <v>0</v>
      </c>
      <c r="D51" s="31" t="n">
        <f aca="false">C78</f>
        <v>1.37982001826012</v>
      </c>
      <c r="E51" s="31" t="n">
        <f aca="false">D78</f>
        <v>11.071161</v>
      </c>
      <c r="F51" s="31" t="n">
        <f aca="false">E78</f>
        <v>12.120802</v>
      </c>
      <c r="G51" s="31" t="n">
        <f aca="false">F78</f>
        <v>12.120802</v>
      </c>
    </row>
    <row r="52" customFormat="false" ht="15" hidden="false" customHeight="false" outlineLevel="1" collapsed="false">
      <c r="A52" s="3" t="s">
        <v>715</v>
      </c>
      <c r="B52" s="10" t="s">
        <v>42</v>
      </c>
      <c r="C52" s="46" t="n">
        <f aca="false">C18*運營_產能與收入!C7</f>
        <v>0.0325</v>
      </c>
      <c r="D52" s="46" t="n">
        <f aca="false">D18*運營_產能與收入!D7</f>
        <v>0.065</v>
      </c>
      <c r="E52" s="46" t="n">
        <f aca="false">E18*運營_產能與收入!E7</f>
        <v>0.065</v>
      </c>
      <c r="F52" s="46" t="n">
        <f aca="false">F18*運營_產能與收入!F7</f>
        <v>0.065</v>
      </c>
      <c r="G52" s="46" t="n">
        <f aca="false">G18*運營_產能與收入!G7</f>
        <v>0.065</v>
      </c>
    </row>
    <row r="53" customFormat="false" ht="15" hidden="false" customHeight="false" outlineLevel="1" collapsed="false">
      <c r="A53" s="3" t="s">
        <v>716</v>
      </c>
      <c r="B53" s="10" t="s">
        <v>56</v>
      </c>
      <c r="C53" s="31" t="n">
        <f aca="false">0</f>
        <v>0</v>
      </c>
      <c r="D53" s="31" t="n">
        <f aca="false">C80</f>
        <v>0</v>
      </c>
      <c r="E53" s="31" t="n">
        <f aca="false">D80</f>
        <v>0</v>
      </c>
      <c r="F53" s="31" t="n">
        <f aca="false">E80</f>
        <v>0</v>
      </c>
      <c r="G53" s="31" t="n">
        <f aca="false">F80</f>
        <v>0</v>
      </c>
    </row>
    <row r="54" customFormat="false" ht="15" hidden="false" customHeight="false" outlineLevel="1" collapsed="false">
      <c r="A54" s="3" t="s">
        <v>717</v>
      </c>
      <c r="B54" s="10" t="s">
        <v>56</v>
      </c>
      <c r="C54" s="31" t="n">
        <f aca="false">0</f>
        <v>0</v>
      </c>
      <c r="D54" s="31" t="n">
        <f aca="false">C81</f>
        <v>0</v>
      </c>
      <c r="E54" s="31" t="n">
        <f aca="false">D81</f>
        <v>5</v>
      </c>
      <c r="F54" s="31" t="n">
        <f aca="false">E81</f>
        <v>10</v>
      </c>
      <c r="G54" s="31" t="n">
        <f aca="false">F81</f>
        <v>15</v>
      </c>
    </row>
    <row r="55" customFormat="false" ht="15" hidden="false" customHeight="false" outlineLevel="1" collapsed="false">
      <c r="A55" s="3" t="s">
        <v>718</v>
      </c>
      <c r="B55" s="10" t="s">
        <v>42</v>
      </c>
      <c r="C55" s="46" t="n">
        <f aca="false">輸入與假設!$C$111*運營_產能與收入!C7</f>
        <v>0.0105</v>
      </c>
      <c r="D55" s="46" t="n">
        <f aca="false">輸入與假設!$C$111*運營_產能與收入!D7</f>
        <v>0.021</v>
      </c>
      <c r="E55" s="46" t="n">
        <f aca="false">輸入與假設!$C$111*運營_產能與收入!E7</f>
        <v>0.021</v>
      </c>
      <c r="F55" s="46" t="n">
        <f aca="false">輸入與假設!$C$111*運營_產能與收入!F7</f>
        <v>0.021</v>
      </c>
      <c r="G55" s="46" t="n">
        <f aca="false">輸入與假設!$C$111*運營_產能與收入!G7</f>
        <v>0.021</v>
      </c>
    </row>
    <row r="56" customFormat="false" ht="15" hidden="false" customHeight="false" outlineLevel="1" collapsed="false">
      <c r="A56" s="3" t="s">
        <v>719</v>
      </c>
      <c r="B56" s="10" t="s">
        <v>42</v>
      </c>
      <c r="C56" s="46" t="n">
        <f aca="false">(輸入與假設!$C$113+IF(輸入與假設!$C$115=1,MAX(0,輸入與假設!$C$114-輸入與假設!$C$116)/10000*輸入與假設!$C$117,0))*運營_產能與收入!C7</f>
        <v>0.06</v>
      </c>
      <c r="D56" s="46" t="n">
        <f aca="false">(輸入與假設!$C$113+IF(輸入與假設!$C$115=1,MAX(0,輸入與假設!$C$114-輸入與假設!$C$116)/10000*輸入與假設!$C$117,0))*運營_產能與收入!D7</f>
        <v>0.12</v>
      </c>
      <c r="E56" s="46" t="n">
        <f aca="false">(輸入與假設!$C$113+IF(輸入與假設!$C$115=1,MAX(0,輸入與假設!$C$114-輸入與假設!$C$116)/10000*輸入與假設!$C$117,0))*運營_產能與收入!E7</f>
        <v>0.12</v>
      </c>
      <c r="F56" s="46" t="n">
        <f aca="false">(輸入與假設!$C$113+IF(輸入與假設!$C$115=1,MAX(0,輸入與假設!$C$114-輸入與假設!$C$116)/10000*輸入與假設!$C$117,0))*運營_產能與收入!F7</f>
        <v>0.12</v>
      </c>
      <c r="G56" s="46" t="n">
        <f aca="false">(輸入與假設!$C$113+IF(輸入與假設!$C$115=1,MAX(0,輸入與假設!$C$114-輸入與假設!$C$116)/10000*輸入與假設!$C$117,0))*運營_產能與收入!G7</f>
        <v>0.12</v>
      </c>
    </row>
    <row r="57" customFormat="false" ht="15" hidden="false" customHeight="false" outlineLevel="1" collapsed="false">
      <c r="A57" s="3" t="s">
        <v>720</v>
      </c>
      <c r="B57" s="10" t="s">
        <v>56</v>
      </c>
      <c r="C57" s="31" t="n">
        <f aca="false">C17+C35+C36+C37+C44-C50-C52*C51-C56*C53-C55*C54</f>
        <v>0.665024132333333</v>
      </c>
      <c r="D57" s="31" t="n">
        <f aca="false">D17+D35+D36+D37+D44-D50-D52*D51-D56*D53-D55*D54</f>
        <v>-15.3585836324256</v>
      </c>
      <c r="E57" s="31" t="n">
        <f aca="false">E17+E35+E36+E37+E44-E50-E52*E51-E56*E53-E55*E54</f>
        <v>-12.6630458852917</v>
      </c>
      <c r="F57" s="31" t="n">
        <f aca="false">F17+F35+F36+F37+F44-F50-F52*F51-F56*F53-F55*F54</f>
        <v>-9.00970544289481</v>
      </c>
      <c r="G57" s="31" t="n">
        <f aca="false">G17+G35+G36+G37+G44-G50-G52*G51-G56*G53-G55*G54</f>
        <v>-18.4744656989556</v>
      </c>
    </row>
    <row r="58" customFormat="false" ht="15" hidden="false" customHeight="false" outlineLevel="1" collapsed="false">
      <c r="A58" s="2" t="s">
        <v>721</v>
      </c>
      <c r="B58" s="10" t="s">
        <v>56</v>
      </c>
      <c r="C58" s="35" t="n">
        <f aca="false">MAX(0,輸入與假設!$C$102-C57)</f>
        <v>1.33497586766667</v>
      </c>
      <c r="D58" s="35" t="n">
        <f aca="false">MAX(0,輸入與假設!$C$102-D57)</f>
        <v>17.3585836324256</v>
      </c>
      <c r="E58" s="35" t="n">
        <f aca="false">MAX(0,輸入與假設!$C$102-E57)</f>
        <v>14.6630458852917</v>
      </c>
      <c r="F58" s="35" t="n">
        <f aca="false">MAX(0,輸入與假設!$C$102-F57)</f>
        <v>11.0097054428948</v>
      </c>
      <c r="G58" s="35" t="n">
        <f aca="false">MAX(0,輸入與假設!$C$102-G57)</f>
        <v>20.4744656989556</v>
      </c>
    </row>
    <row r="59" customFormat="false" ht="15" hidden="false" customHeight="false" outlineLevel="1" collapsed="false">
      <c r="A59" s="3" t="s">
        <v>722</v>
      </c>
      <c r="B59" s="10" t="s">
        <v>56</v>
      </c>
      <c r="C59" s="31" t="n">
        <f aca="false">輸入與假設!$C$26+輸入與假設!$C$27</f>
        <v>37.4906</v>
      </c>
      <c r="D59" s="31" t="n">
        <f aca="false">C61</f>
        <v>34.116446</v>
      </c>
      <c r="E59" s="31" t="n">
        <f aca="false">D61</f>
        <v>35.482322</v>
      </c>
      <c r="F59" s="31" t="n">
        <f aca="false">E61</f>
        <v>47.581604</v>
      </c>
      <c r="G59" s="31" t="n">
        <f aca="false">F61</f>
        <v>46.900586</v>
      </c>
      <c r="I59" s="10" t="s">
        <v>723</v>
      </c>
    </row>
    <row r="60" customFormat="false" ht="15" hidden="false" customHeight="false" outlineLevel="1" collapsed="false">
      <c r="A60" s="3" t="s">
        <v>724</v>
      </c>
      <c r="B60" s="10" t="s">
        <v>56</v>
      </c>
      <c r="C60" s="31" t="n">
        <f aca="false">MAX(0,運營_產能與收入!C23/運營_產能與收入!C7-0)*輸入與假設!$C$101</f>
        <v>0</v>
      </c>
      <c r="D60" s="31" t="n">
        <f aca="false">MAX(0,運營_產能與收入!D23/運營_產能與收入!D7-運營_產能與收入!C23/運營_產能與收入!C7)*輸入與假設!$C$101</f>
        <v>12.171276</v>
      </c>
      <c r="E60" s="31" t="n">
        <f aca="false">MAX(0,運營_產能與收入!E23/運營_產能與收入!E7-運營_產能與收入!D23/運營_產能與收入!D7)*輸入與假設!$C$101</f>
        <v>34.919382</v>
      </c>
      <c r="F60" s="31" t="n">
        <f aca="false">MAX(0,運營_產能與收入!F23/運營_產能與收入!F7-運營_產能與收入!E23/運營_產能與收入!E7)*輸入與假設!$C$101</f>
        <v>33.770982</v>
      </c>
      <c r="G60" s="31" t="n">
        <f aca="false">MAX(0,運營_產能與收入!G23/運營_產能與收入!G7-運營_產能與收入!F23/運營_產能與收入!F7)*輸入與假設!$C$101</f>
        <v>31.747272</v>
      </c>
    </row>
    <row r="61" customFormat="false" ht="15" hidden="false" customHeight="false" outlineLevel="1" collapsed="false">
      <c r="A61" s="3" t="s">
        <v>725</v>
      </c>
      <c r="B61" s="10" t="s">
        <v>56</v>
      </c>
      <c r="C61" s="31" t="n">
        <f aca="false">C59-運營_產能與收入!C17-運營_產能與收入!C23+C60</f>
        <v>34.116446</v>
      </c>
      <c r="D61" s="31" t="n">
        <f aca="false">D59-運營_產能與收入!D17-運營_產能與收入!D23+D60</f>
        <v>35.482322</v>
      </c>
      <c r="E61" s="31" t="n">
        <f aca="false">E59-運營_產能與收入!E17-運營_產能與收入!E23+E60</f>
        <v>47.581604</v>
      </c>
      <c r="F61" s="31" t="n">
        <f aca="false">F59-運營_產能與收入!F17-運營_產能與收入!F23+F60</f>
        <v>46.900586</v>
      </c>
      <c r="G61" s="31" t="n">
        <f aca="false">G59-運營_產能與收入!G17-運營_產能與收入!G23+G60</f>
        <v>35.113058</v>
      </c>
      <c r="I61" s="5" t="s">
        <v>726</v>
      </c>
    </row>
    <row r="62" customFormat="false" ht="15" hidden="false" customHeight="false" outlineLevel="1" collapsed="false">
      <c r="A62" s="3" t="s">
        <v>727</v>
      </c>
      <c r="B62" s="10" t="s">
        <v>56</v>
      </c>
      <c r="C62" s="31" t="n">
        <f aca="false">IF(輸入與假設!$C$99=1,資產負債_既有債務!C38,資產負債_既有債務!$E$6)+資產負債_既有債務!$E$9+資產負債_既有債務!C43</f>
        <v>6.67</v>
      </c>
      <c r="D62" s="31" t="n">
        <f aca="false">IF(輸入與假設!$C$99=1,資產負債_既有債務!D38,資產負債_既有債務!$E$6)+資產負債_既有債務!$E$9+資產負債_既有債務!D43</f>
        <v>6.67</v>
      </c>
      <c r="E62" s="31" t="n">
        <f aca="false">IF(輸入與假設!$C$99=1,資產負債_既有債務!E38,資產負債_既有債務!$E$6)+資產負債_既有債務!$E$9+資產負債_既有債務!E43</f>
        <v>6.67</v>
      </c>
      <c r="F62" s="31" t="n">
        <f aca="false">IF(輸入與假設!$C$99=1,資產負債_既有債務!F38,資產負債_既有債務!$E$6)+資產負債_既有債務!$E$9+資產負債_既有債務!F43</f>
        <v>6.67</v>
      </c>
      <c r="G62" s="31" t="n">
        <f aca="false">IF(輸入與假設!$C$99=1,資產負債_既有債務!G38,資產負債_既有債務!$E$6)+資產負債_既有債務!$E$9+資產負債_既有債務!G43</f>
        <v>2.875</v>
      </c>
      <c r="I62" s="5" t="s">
        <v>728</v>
      </c>
    </row>
    <row r="63" customFormat="false" ht="15" hidden="false" customHeight="false" outlineLevel="1" collapsed="false">
      <c r="A63" s="3" t="s">
        <v>729</v>
      </c>
      <c r="B63" s="10" t="s">
        <v>56</v>
      </c>
      <c r="C63" s="31" t="n">
        <f aca="false">輸入與假設!$C$100*C61</f>
        <v>17.058223</v>
      </c>
      <c r="D63" s="31" t="n">
        <f aca="false">輸入與假設!$C$100*D61</f>
        <v>17.741161</v>
      </c>
      <c r="E63" s="31" t="n">
        <f aca="false">輸入與假設!$C$100*E61</f>
        <v>23.790802</v>
      </c>
      <c r="F63" s="31" t="n">
        <f aca="false">輸入與假設!$C$100*F61</f>
        <v>23.450293</v>
      </c>
      <c r="G63" s="31" t="n">
        <f aca="false">輸入與假設!$C$100*G61</f>
        <v>17.556529</v>
      </c>
    </row>
    <row r="64" customFormat="false" ht="15" hidden="false" customHeight="false" outlineLevel="1" collapsed="false">
      <c r="A64" s="3" t="s">
        <v>730</v>
      </c>
      <c r="B64" s="10" t="s">
        <v>56</v>
      </c>
      <c r="C64" s="31" t="n">
        <f aca="false">IF(輸入與假設!$C$98=1,輸入與假設!$C$97,0)</f>
        <v>0.775</v>
      </c>
      <c r="D64" s="31" t="n">
        <f aca="false">C79</f>
        <v>0</v>
      </c>
      <c r="E64" s="31" t="n">
        <f aca="false">D79</f>
        <v>0</v>
      </c>
      <c r="F64" s="31" t="n">
        <f aca="false">E79</f>
        <v>0</v>
      </c>
      <c r="G64" s="31" t="n">
        <f aca="false">F79</f>
        <v>0</v>
      </c>
    </row>
    <row r="65" customFormat="false" ht="15" hidden="false" customHeight="false" outlineLevel="1" collapsed="false">
      <c r="A65" s="3" t="s">
        <v>731</v>
      </c>
      <c r="B65" s="10" t="s">
        <v>56</v>
      </c>
      <c r="C65" s="31" t="n">
        <f aca="false">MAX(0,C63-(C62+C51+C54),C64)</f>
        <v>10.388223</v>
      </c>
      <c r="D65" s="31" t="n">
        <f aca="false">MAX(0,D63-(D62+D51+D54),D64)</f>
        <v>9.69134098173988</v>
      </c>
      <c r="E65" s="31" t="n">
        <f aca="false">MAX(0,E63-(E62+E51+E54),E64)</f>
        <v>1.049641</v>
      </c>
      <c r="F65" s="31" t="n">
        <f aca="false">MAX(0,F63-(F62+F51+F54),F64)</f>
        <v>0</v>
      </c>
      <c r="G65" s="31" t="n">
        <f aca="false">MAX(0,G63-(G62+G51+G54),G64)</f>
        <v>0</v>
      </c>
      <c r="I65" s="5" t="s">
        <v>732</v>
      </c>
    </row>
    <row r="66" customFormat="false" ht="15" hidden="false" customHeight="false" outlineLevel="1" collapsed="false">
      <c r="A66" s="2" t="s">
        <v>733</v>
      </c>
      <c r="B66" s="10" t="s">
        <v>56</v>
      </c>
      <c r="C66" s="35" t="n">
        <f aca="false">MIN(C65,C58/(1-C52))</f>
        <v>1.37982001826012</v>
      </c>
      <c r="D66" s="35" t="n">
        <f aca="false">MIN(D65,D58/(1-D52))</f>
        <v>9.69134098173988</v>
      </c>
      <c r="E66" s="35" t="n">
        <f aca="false">MIN(E65,E58/(1-E52))</f>
        <v>1.049641</v>
      </c>
      <c r="F66" s="35" t="n">
        <f aca="false">MIN(F65,F58/(1-F52))</f>
        <v>0</v>
      </c>
      <c r="G66" s="35" t="n">
        <f aca="false">MIN(G65,G58/(1-G52))</f>
        <v>0</v>
      </c>
      <c r="I66" s="5" t="s">
        <v>734</v>
      </c>
    </row>
    <row r="67" customFormat="false" ht="15" hidden="false" customHeight="false" outlineLevel="1" collapsed="false">
      <c r="A67" s="3" t="s">
        <v>735</v>
      </c>
      <c r="B67" s="10" t="s">
        <v>56</v>
      </c>
      <c r="C67" s="31" t="n">
        <f aca="false">MAX(0,C58+C52*C66-C66)</f>
        <v>0</v>
      </c>
      <c r="D67" s="31" t="n">
        <f aca="false">MAX(0,D58+D52*D66-D66)</f>
        <v>8.29717981449877</v>
      </c>
      <c r="E67" s="31" t="n">
        <f aca="false">MAX(0,E58+E52*E66-E66)</f>
        <v>13.6816315502917</v>
      </c>
      <c r="F67" s="31" t="n">
        <f aca="false">MAX(0,F58+F52*F66-F66)</f>
        <v>11.0097054428948</v>
      </c>
      <c r="G67" s="31" t="n">
        <f aca="false">MAX(0,G58+G52*G66-G66)</f>
        <v>20.4744656989556</v>
      </c>
    </row>
    <row r="68" customFormat="false" ht="15" hidden="false" customHeight="false" outlineLevel="1" collapsed="false">
      <c r="A68" s="3" t="s">
        <v>736</v>
      </c>
      <c r="B68" s="10" t="s">
        <v>56</v>
      </c>
      <c r="C68" s="31" t="n">
        <f aca="false">MAX(0,輸入與假設!$C$110)*運營_產能與收入!C7</f>
        <v>2.5</v>
      </c>
      <c r="D68" s="31" t="n">
        <f aca="false">MAX(0,輸入與假設!$C$110)*運營_產能與收入!D7</f>
        <v>5</v>
      </c>
      <c r="E68" s="31" t="n">
        <f aca="false">MAX(0,輸入與假設!$C$110)*運營_產能與收入!E7</f>
        <v>5</v>
      </c>
      <c r="F68" s="31" t="n">
        <f aca="false">MAX(0,輸入與假設!$C$110)*運營_產能與收入!F7</f>
        <v>5</v>
      </c>
      <c r="G68" s="31" t="n">
        <f aca="false">MAX(0,輸入與假設!$C$110)*運營_產能與收入!G7</f>
        <v>5</v>
      </c>
      <c r="I68" s="5" t="s">
        <v>737</v>
      </c>
    </row>
    <row r="69" customFormat="false" ht="15" hidden="false" customHeight="false" outlineLevel="1" collapsed="false">
      <c r="A69" s="2" t="s">
        <v>738</v>
      </c>
      <c r="B69" s="10" t="s">
        <v>56</v>
      </c>
      <c r="C69" s="35" t="n">
        <f aca="false">MIN(C68,C67/(1-C55))</f>
        <v>0</v>
      </c>
      <c r="D69" s="35" t="n">
        <f aca="false">MIN(D68,D67/(1-D55))</f>
        <v>5</v>
      </c>
      <c r="E69" s="35" t="n">
        <f aca="false">MIN(E68,E67/(1-E55))</f>
        <v>5</v>
      </c>
      <c r="F69" s="35" t="n">
        <f aca="false">MIN(F68,F67/(1-F55))</f>
        <v>5</v>
      </c>
      <c r="G69" s="35" t="n">
        <f aca="false">MIN(G68,G67/(1-G55))</f>
        <v>5</v>
      </c>
      <c r="I69" s="5" t="s">
        <v>739</v>
      </c>
    </row>
    <row r="70" customFormat="false" ht="15" hidden="false" customHeight="false" outlineLevel="1" collapsed="false">
      <c r="A70" s="3" t="s">
        <v>740</v>
      </c>
      <c r="B70" s="10" t="s">
        <v>56</v>
      </c>
      <c r="C70" s="31" t="n">
        <f aca="false">MAX(0,C67+C55*C69-C69)</f>
        <v>0</v>
      </c>
      <c r="D70" s="31" t="n">
        <f aca="false">MAX(0,D67+D55*D69-D69)</f>
        <v>3.40217981449877</v>
      </c>
      <c r="E70" s="31" t="n">
        <f aca="false">MAX(0,E67+E55*E69-E69)</f>
        <v>8.78663155029171</v>
      </c>
      <c r="F70" s="31" t="n">
        <f aca="false">MAX(0,F67+F55*F69-F69)</f>
        <v>6.11470544289481</v>
      </c>
      <c r="G70" s="31" t="n">
        <f aca="false">MAX(0,G67+G55*G69-G69)</f>
        <v>15.5794656989556</v>
      </c>
    </row>
    <row r="71" customFormat="false" ht="15" hidden="false" customHeight="false" outlineLevel="1" collapsed="false">
      <c r="A71" s="3" t="s">
        <v>741</v>
      </c>
      <c r="B71" s="10" t="s">
        <v>56</v>
      </c>
      <c r="C71" s="31" t="n">
        <f aca="false">IF(輸入與假設!$C$105&gt;=9,1E+099,輸入與假設!$C$105*輸入與假設!$C$103*輸入與假設!$C$106*運營_產能與收入!C7)</f>
        <v>7.7159856</v>
      </c>
      <c r="D71" s="31" t="n">
        <f aca="false">IF(輸入與假設!$C$105&gt;=9,1E+099,輸入與假設!$C$105*輸入與假設!$C$103*輸入與假設!$C$106*運營_產能與收入!D7)</f>
        <v>15.4319712</v>
      </c>
      <c r="E71" s="31" t="n">
        <f aca="false">IF(輸入與假設!$C$105&gt;=9,1E+099,輸入與假設!$C$105*輸入與假設!$C$103*輸入與假設!$C$106*運營_產能與收入!E7)</f>
        <v>15.4319712</v>
      </c>
      <c r="F71" s="31" t="n">
        <f aca="false">IF(輸入與假設!$C$105&gt;=9,1E+099,輸入與假設!$C$105*輸入與假設!$C$103*輸入與假設!$C$106*運營_產能與收入!F7)</f>
        <v>15.4319712</v>
      </c>
      <c r="G71" s="31" t="n">
        <f aca="false">IF(輸入與假設!$C$105&gt;=9,1E+099,輸入與假設!$C$105*輸入與假設!$C$103*輸入與假設!$C$106*運營_產能與收入!G7)</f>
        <v>15.4319712</v>
      </c>
      <c r="I71" s="5" t="s">
        <v>742</v>
      </c>
    </row>
    <row r="72" customFormat="false" ht="15" hidden="false" customHeight="false" outlineLevel="1" collapsed="false">
      <c r="A72" s="2" t="s">
        <v>743</v>
      </c>
      <c r="B72" s="10" t="s">
        <v>56</v>
      </c>
      <c r="C72" s="35" t="n">
        <f aca="false">MIN(C70,C71)</f>
        <v>0</v>
      </c>
      <c r="D72" s="35" t="n">
        <f aca="false">MIN(D70,D71)</f>
        <v>3.40217981449877</v>
      </c>
      <c r="E72" s="35" t="n">
        <f aca="false">MIN(E70,E71)</f>
        <v>8.78663155029171</v>
      </c>
      <c r="F72" s="35" t="n">
        <f aca="false">MIN(F70,F71)</f>
        <v>6.11470544289481</v>
      </c>
      <c r="G72" s="35" t="n">
        <f aca="false">MIN(G70,G71)</f>
        <v>15.4319712</v>
      </c>
    </row>
    <row r="73" customFormat="false" ht="15" hidden="false" customHeight="false" outlineLevel="1" collapsed="false">
      <c r="A73" s="2" t="s">
        <v>744</v>
      </c>
      <c r="B73" s="10" t="s">
        <v>56</v>
      </c>
      <c r="C73" s="35" t="n">
        <f aca="false">(C70-C72)/(1-C56)</f>
        <v>0</v>
      </c>
      <c r="D73" s="35" t="n">
        <f aca="false">(D70-D72)/(1-D56)</f>
        <v>0</v>
      </c>
      <c r="E73" s="35" t="n">
        <f aca="false">(E70-E72)/(1-E56)</f>
        <v>0</v>
      </c>
      <c r="F73" s="35" t="n">
        <f aca="false">(F70-F72)/(1-F56)</f>
        <v>0</v>
      </c>
      <c r="G73" s="35" t="n">
        <f aca="false">(G70-G72)/(1-G56)</f>
        <v>0.167607385176778</v>
      </c>
    </row>
    <row r="74" customFormat="false" ht="15" hidden="false" customHeight="false" outlineLevel="1" collapsed="false">
      <c r="A74" s="3" t="s">
        <v>745</v>
      </c>
      <c r="B74" s="10" t="s">
        <v>56</v>
      </c>
      <c r="C74" s="31" t="n">
        <f aca="false">C52*(C51+C66)+C56*(C53+C73)+C55*(C54+C69)</f>
        <v>0.0448441505934539</v>
      </c>
      <c r="D74" s="31" t="n">
        <f aca="false">D52*(D51+D66)+D56*(D53+D73)+D55*(D54+D69)</f>
        <v>0.824625465</v>
      </c>
      <c r="E74" s="31" t="n">
        <f aca="false">E52*(E51+E66)+E56*(E53+E73)+E55*(E54+E69)</f>
        <v>0.99785213</v>
      </c>
      <c r="F74" s="31" t="n">
        <f aca="false">F52*(F51+F66)+F56*(F53+F73)+F55*(F54+F69)</f>
        <v>1.10285213</v>
      </c>
      <c r="G74" s="31" t="n">
        <f aca="false">G52*(G51+G66)+G56*(G53+G73)+G55*(G54+G69)</f>
        <v>1.22796501622121</v>
      </c>
      <c r="I74" s="5" t="s">
        <v>746</v>
      </c>
    </row>
    <row r="75" customFormat="false" ht="15" hidden="false" customHeight="false" outlineLevel="1" collapsed="false">
      <c r="A75" s="3" t="s">
        <v>747</v>
      </c>
      <c r="B75" s="10" t="s">
        <v>39</v>
      </c>
      <c r="C75" s="47" t="n">
        <f aca="false">輸入與假設!$C$103*(1-輸入與假設!$C$104)</f>
        <v>224.883</v>
      </c>
      <c r="D75" s="47" t="n">
        <f aca="false">輸入與假設!$C$103*(1-輸入與假設!$C$104)</f>
        <v>224.883</v>
      </c>
      <c r="E75" s="47" t="n">
        <f aca="false">輸入與假設!$C$103*(1-輸入與假設!$C$104)</f>
        <v>224.883</v>
      </c>
      <c r="F75" s="47" t="n">
        <f aca="false">輸入與假設!$C$103*(1-輸入與假設!$C$104)</f>
        <v>224.883</v>
      </c>
      <c r="G75" s="47" t="n">
        <f aca="false">輸入與假設!$C$103*(1-輸入與假設!$C$104)</f>
        <v>224.883</v>
      </c>
    </row>
    <row r="76" customFormat="false" ht="15" hidden="false" customHeight="false" outlineLevel="1" collapsed="false">
      <c r="A76" s="3" t="s">
        <v>748</v>
      </c>
      <c r="B76" s="10" t="s">
        <v>315</v>
      </c>
      <c r="C76" s="48" t="n">
        <f aca="false">C72/C75</f>
        <v>0</v>
      </c>
      <c r="D76" s="48" t="n">
        <f aca="false">D72/D75</f>
        <v>0.0151286660819127</v>
      </c>
      <c r="E76" s="48" t="n">
        <f aca="false">E72/E75</f>
        <v>0.0390720132259518</v>
      </c>
      <c r="F76" s="48" t="n">
        <f aca="false">F72/F75</f>
        <v>0.0271906077511186</v>
      </c>
      <c r="G76" s="48" t="n">
        <f aca="false">G72/G75</f>
        <v>0.0686222222222222</v>
      </c>
    </row>
    <row r="77" customFormat="false" ht="15" hidden="false" customHeight="false" outlineLevel="1" collapsed="false">
      <c r="A77" s="2" t="s">
        <v>749</v>
      </c>
      <c r="B77" s="10" t="s">
        <v>315</v>
      </c>
      <c r="C77" s="49" t="n">
        <f aca="false">C76</f>
        <v>0</v>
      </c>
      <c r="D77" s="49" t="n">
        <f aca="false">C77+D76</f>
        <v>0.0151286660819127</v>
      </c>
      <c r="E77" s="49" t="n">
        <f aca="false">D77+E76</f>
        <v>0.0542006793078645</v>
      </c>
      <c r="F77" s="49" t="n">
        <f aca="false">E77+F76</f>
        <v>0.0813912870589831</v>
      </c>
      <c r="G77" s="49" t="n">
        <f aca="false">F77+G76</f>
        <v>0.150013509281205</v>
      </c>
    </row>
    <row r="78" customFormat="false" ht="15" hidden="false" customHeight="false" outlineLevel="1" collapsed="false">
      <c r="A78" s="3" t="s">
        <v>750</v>
      </c>
      <c r="B78" s="10" t="s">
        <v>56</v>
      </c>
      <c r="C78" s="31" t="n">
        <f aca="false">C51+C66</f>
        <v>1.37982001826012</v>
      </c>
      <c r="D78" s="31" t="n">
        <f aca="false">D51+D66</f>
        <v>11.071161</v>
      </c>
      <c r="E78" s="31" t="n">
        <f aca="false">E51+E66</f>
        <v>12.120802</v>
      </c>
      <c r="F78" s="31" t="n">
        <f aca="false">F51+F66</f>
        <v>12.120802</v>
      </c>
      <c r="G78" s="31" t="n">
        <f aca="false">G51+G66</f>
        <v>12.120802</v>
      </c>
    </row>
    <row r="79" customFormat="false" ht="15" hidden="false" customHeight="false" outlineLevel="1" collapsed="false">
      <c r="A79" s="3" t="s">
        <v>751</v>
      </c>
      <c r="B79" s="10" t="s">
        <v>56</v>
      </c>
      <c r="C79" s="31" t="n">
        <f aca="false">C64-MIN(C64,C66)</f>
        <v>0</v>
      </c>
      <c r="D79" s="31" t="n">
        <f aca="false">D64-MIN(D64,D66)</f>
        <v>0</v>
      </c>
      <c r="E79" s="31" t="n">
        <f aca="false">E64-MIN(E64,E66)</f>
        <v>0</v>
      </c>
      <c r="F79" s="31" t="n">
        <f aca="false">F64-MIN(F64,F66)</f>
        <v>0</v>
      </c>
      <c r="G79" s="31" t="n">
        <f aca="false">G64-MIN(G64,G66)</f>
        <v>0</v>
      </c>
    </row>
    <row r="80" customFormat="false" ht="15" hidden="false" customHeight="false" outlineLevel="1" collapsed="false">
      <c r="A80" s="3" t="s">
        <v>752</v>
      </c>
      <c r="B80" s="10" t="s">
        <v>56</v>
      </c>
      <c r="C80" s="31" t="n">
        <f aca="false">C53+C73</f>
        <v>0</v>
      </c>
      <c r="D80" s="31" t="n">
        <f aca="false">D53+D73</f>
        <v>0</v>
      </c>
      <c r="E80" s="31" t="n">
        <f aca="false">E53+E73</f>
        <v>0</v>
      </c>
      <c r="F80" s="31" t="n">
        <f aca="false">F53+F73</f>
        <v>0</v>
      </c>
      <c r="G80" s="31" t="n">
        <f aca="false">G53+G73</f>
        <v>0.167607385176778</v>
      </c>
    </row>
    <row r="81" customFormat="false" ht="15" hidden="false" customHeight="false" outlineLevel="1" collapsed="false">
      <c r="A81" s="3" t="s">
        <v>753</v>
      </c>
      <c r="B81" s="10" t="s">
        <v>56</v>
      </c>
      <c r="C81" s="31" t="n">
        <f aca="false">C54+C69</f>
        <v>0</v>
      </c>
      <c r="D81" s="31" t="n">
        <f aca="false">D54+D69</f>
        <v>5</v>
      </c>
      <c r="E81" s="31" t="n">
        <f aca="false">E54+E69</f>
        <v>10</v>
      </c>
      <c r="F81" s="31" t="n">
        <f aca="false">F54+F69</f>
        <v>15</v>
      </c>
      <c r="G81" s="31" t="n">
        <f aca="false">G54+G69</f>
        <v>20</v>
      </c>
    </row>
    <row r="82" customFormat="false" ht="15" hidden="false" customHeight="false" outlineLevel="1" collapsed="false">
      <c r="A82" s="2" t="s">
        <v>754</v>
      </c>
      <c r="B82" s="10" t="s">
        <v>56</v>
      </c>
      <c r="C82" s="35" t="n">
        <f aca="false">C62+C78+C81+C80</f>
        <v>8.04982001826012</v>
      </c>
      <c r="D82" s="35" t="n">
        <f aca="false">D62+D78+D81+D80</f>
        <v>22.741161</v>
      </c>
      <c r="E82" s="35" t="n">
        <f aca="false">E62+E78+E81+E80</f>
        <v>28.790802</v>
      </c>
      <c r="F82" s="35" t="n">
        <f aca="false">F62+F78+F81+F80</f>
        <v>33.790802</v>
      </c>
      <c r="G82" s="35" t="n">
        <f aca="false">G62+G78+G81+G80</f>
        <v>35.1634093851768</v>
      </c>
    </row>
    <row r="83" customFormat="false" ht="15" hidden="false" customHeight="false" outlineLevel="1" collapsed="false">
      <c r="A83" s="2" t="s">
        <v>755</v>
      </c>
      <c r="B83" s="10" t="s">
        <v>56</v>
      </c>
      <c r="C83" s="35" t="n">
        <f aca="false">C17+C35+C36+C37+C44-C50</f>
        <v>0.665024132333333</v>
      </c>
      <c r="D83" s="35" t="n">
        <f aca="false">C83+D35+D36-D50</f>
        <v>-16.6038711989053</v>
      </c>
      <c r="E83" s="35" t="n">
        <f aca="false">D83+E35+E36-E50</f>
        <v>-30.442291619197</v>
      </c>
      <c r="F83" s="35" t="n">
        <f aca="false">E83+F35+F36-F50</f>
        <v>-40.4541449320919</v>
      </c>
      <c r="G83" s="35" t="n">
        <f aca="false">F83+G35+G36-G50</f>
        <v>-59.8257585010474</v>
      </c>
      <c r="I83" s="5" t="s">
        <v>756</v>
      </c>
    </row>
    <row r="85" customFormat="false" ht="15" hidden="false" customHeight="false" outlineLevel="0" collapsed="true">
      <c r="A85" s="44" t="s">
        <v>757</v>
      </c>
      <c r="B85" s="7"/>
      <c r="C85" s="7"/>
      <c r="D85" s="7"/>
      <c r="E85" s="7"/>
      <c r="F85" s="7"/>
      <c r="G85" s="7"/>
      <c r="H85" s="7"/>
    </row>
    <row r="86" customFormat="false" ht="15" hidden="true" customHeight="false" outlineLevel="1" collapsed="false">
      <c r="A86" s="3" t="s">
        <v>758</v>
      </c>
      <c r="C86" s="50" t="n">
        <f aca="false">輸入與假設!$C$178</f>
        <v>3.6781</v>
      </c>
    </row>
    <row r="87" customFormat="false" ht="15" hidden="true" customHeight="false" outlineLevel="1" collapsed="false">
      <c r="A87" s="3" t="s">
        <v>759</v>
      </c>
      <c r="C87" s="50" t="n">
        <f aca="false">SUM(C45:G45)</f>
        <v>-77.7820973928621</v>
      </c>
    </row>
    <row r="88" customFormat="false" ht="15" hidden="true" customHeight="false" outlineLevel="1" collapsed="false">
      <c r="A88" s="3" t="s">
        <v>760</v>
      </c>
      <c r="C88" s="50" t="n">
        <f aca="false">SUM(C36:G36)</f>
        <v>10.4911</v>
      </c>
    </row>
    <row r="89" customFormat="false" ht="15" hidden="true" customHeight="false" outlineLevel="1" collapsed="false">
      <c r="A89" s="3" t="s">
        <v>761</v>
      </c>
      <c r="C89" s="50" t="n">
        <f aca="false">SUM(C37:G37)</f>
        <v>4.3375</v>
      </c>
    </row>
    <row r="90" customFormat="false" ht="15" hidden="true" customHeight="false" outlineLevel="1" collapsed="false">
      <c r="A90" s="4" t="s">
        <v>762</v>
      </c>
      <c r="C90" s="50" t="n">
        <f aca="false">-SUM(C25:G25)</f>
        <v>-0</v>
      </c>
    </row>
    <row r="91" customFormat="false" ht="15" hidden="true" customHeight="false" outlineLevel="1" collapsed="false">
      <c r="A91" s="3" t="s">
        <v>763</v>
      </c>
      <c r="C91" s="50" t="n">
        <f aca="false">SUM(C44:G44)</f>
        <v>-0.906800000000001</v>
      </c>
    </row>
    <row r="92" customFormat="false" ht="15" hidden="true" customHeight="false" outlineLevel="1" collapsed="false">
      <c r="A92" s="3" t="s">
        <v>764</v>
      </c>
      <c r="C92" s="50" t="n">
        <f aca="false">SUM(C38:G38)+SUM(C39:G39)+SUM(C40:G40)+SUM(C41:G41)</f>
        <v>66.0238973928621</v>
      </c>
    </row>
    <row r="93" customFormat="false" ht="15" hidden="true" customHeight="false" outlineLevel="1" collapsed="false">
      <c r="A93" s="3" t="s">
        <v>765</v>
      </c>
      <c r="C93" s="50" t="n">
        <f aca="false">-SUM(C24:G24)</f>
        <v>-3.8417</v>
      </c>
    </row>
    <row r="94" customFormat="false" ht="15" hidden="true" customHeight="false" outlineLevel="1" collapsed="false">
      <c r="A94" s="2" t="s">
        <v>766</v>
      </c>
      <c r="C94" s="51" t="n">
        <f aca="false">SUM(C86:C93)</f>
        <v>1.99999999999998</v>
      </c>
    </row>
    <row r="95" customFormat="false" ht="15" hidden="true" customHeight="false" outlineLevel="1" collapsed="false">
      <c r="A95" s="3" t="s">
        <v>767</v>
      </c>
      <c r="C95" s="50" t="n">
        <f aca="false">G47</f>
        <v>2</v>
      </c>
    </row>
    <row r="96" customFormat="false" ht="15" hidden="true" customHeight="false" outlineLevel="1" collapsed="false">
      <c r="A96" s="2" t="s">
        <v>768</v>
      </c>
      <c r="C96" s="50" t="n">
        <f aca="false">C94-C95</f>
        <v>-1.99840144432528E-014</v>
      </c>
      <c r="I96" s="5" t="s">
        <v>769</v>
      </c>
    </row>
    <row r="98" customFormat="false" ht="15" hidden="false" customHeight="false" outlineLevel="0" collapsed="true">
      <c r="A98" s="6" t="s">
        <v>770</v>
      </c>
      <c r="B98" s="7"/>
      <c r="C98" s="7"/>
      <c r="D98" s="7"/>
      <c r="E98" s="7"/>
      <c r="F98" s="7"/>
      <c r="G98" s="7"/>
      <c r="H98" s="7"/>
    </row>
    <row r="99" customFormat="false" ht="15" hidden="true" customHeight="false" outlineLevel="1" collapsed="false">
      <c r="A99" s="4" t="s">
        <v>771</v>
      </c>
      <c r="C99" s="9" t="n">
        <f aca="false">運營_產能與收入!C28</f>
        <v>3.0345</v>
      </c>
      <c r="I99" s="5" t="s">
        <v>772</v>
      </c>
    </row>
    <row r="100" customFormat="false" ht="15" hidden="true" customHeight="false" outlineLevel="1" collapsed="false">
      <c r="A100" s="4" t="s">
        <v>773</v>
      </c>
      <c r="C100" s="9" t="n">
        <f aca="false">C6</f>
        <v>29.0696</v>
      </c>
      <c r="I100" s="5" t="s">
        <v>774</v>
      </c>
    </row>
    <row r="101" customFormat="false" ht="15" hidden="true" customHeight="false" outlineLevel="1" collapsed="false">
      <c r="A101" s="4" t="s">
        <v>775</v>
      </c>
      <c r="C101" s="9" t="n">
        <f aca="false">輸入與假設!$C$187+輸入與假設!C$121+C19</f>
        <v>0.288019150593454</v>
      </c>
      <c r="I101" s="10" t="s">
        <v>776</v>
      </c>
    </row>
    <row r="102" customFormat="false" ht="15" hidden="true" customHeight="false" outlineLevel="1" collapsed="false">
      <c r="A102" s="4" t="s">
        <v>777</v>
      </c>
      <c r="C102" s="9" t="n">
        <f aca="false">輸入與假設!$C$188+C15</f>
        <v>0.1416</v>
      </c>
      <c r="I102" s="10" t="s">
        <v>778</v>
      </c>
    </row>
    <row r="103" customFormat="false" ht="15" hidden="true" customHeight="false" outlineLevel="1" collapsed="false">
      <c r="A103" s="4" t="s">
        <v>779</v>
      </c>
      <c r="C103" s="9" t="n">
        <f aca="false">C24</f>
        <v>0.0467</v>
      </c>
      <c r="I103" s="10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781</v>
      </c>
    </row>
    <row r="2" customFormat="false" ht="15" hidden="false" customHeight="false" outlineLevel="0" collapsed="false">
      <c r="A2" s="5" t="s">
        <v>782</v>
      </c>
    </row>
    <row r="4" customFormat="false" ht="15" hidden="false" customHeight="false" outlineLevel="0" collapsed="false">
      <c r="A4" s="6" t="s">
        <v>783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17.15" hidden="false" customHeight="false" outlineLevel="1" collapsed="false">
      <c r="A5" s="13" t="s">
        <v>784</v>
      </c>
      <c r="B5" s="13" t="s">
        <v>51</v>
      </c>
      <c r="C5" s="13" t="s">
        <v>785</v>
      </c>
      <c r="D5" s="13" t="s">
        <v>786</v>
      </c>
      <c r="E5" s="13" t="s">
        <v>787</v>
      </c>
      <c r="F5" s="13" t="s">
        <v>788</v>
      </c>
      <c r="G5" s="13" t="s">
        <v>789</v>
      </c>
      <c r="H5" s="13" t="s">
        <v>790</v>
      </c>
      <c r="I5" s="13" t="s">
        <v>791</v>
      </c>
      <c r="J5" s="13" t="s">
        <v>792</v>
      </c>
      <c r="K5" s="13" t="s">
        <v>793</v>
      </c>
      <c r="L5" s="13" t="s">
        <v>794</v>
      </c>
      <c r="M5" s="13" t="s">
        <v>795</v>
      </c>
      <c r="N5" s="13" t="s">
        <v>796</v>
      </c>
      <c r="O5" s="13" t="s">
        <v>792</v>
      </c>
      <c r="P5" s="13" t="s">
        <v>793</v>
      </c>
      <c r="Q5" s="13" t="s">
        <v>797</v>
      </c>
    </row>
    <row r="6" customFormat="false" ht="15" hidden="false" customHeight="false" outlineLevel="1" collapsed="false">
      <c r="A6" s="3" t="s">
        <v>798</v>
      </c>
      <c r="B6" s="10" t="s">
        <v>56</v>
      </c>
      <c r="C6" s="52" t="n">
        <f aca="false">INDEX($C$22:$H$22,輸入與假設!$C$279)</f>
        <v>0.8785</v>
      </c>
      <c r="D6" s="52" t="n">
        <f aca="false">INDEX($C$32:$H$32,輸入與假設!$C$279)</f>
        <v>0.8994</v>
      </c>
      <c r="E6" s="53" t="n">
        <f aca="false">INDEX($C$42:$H$42,輸入與假設!$C$279)</f>
        <v>-0.0232377140315765</v>
      </c>
      <c r="F6" s="54" t="s">
        <v>799</v>
      </c>
      <c r="G6" s="54" t="s">
        <v>799</v>
      </c>
      <c r="H6" s="53" t="str">
        <f aca="false">INDEX($C$43:$H$43,輸入與假設!$C$279)</f>
        <v>不適用</v>
      </c>
      <c r="I6" s="52" t="str">
        <f aca="false">IF(ISNUMBER(INDEX($C$36:$H$36,輸入與假設!$C$279)),INDEX($C$36:$H$36,輸入與假設!$C$279),"待公布")</f>
        <v>待公布</v>
      </c>
      <c r="J6" s="53" t="str">
        <f aca="false">INDEX($C$44:$H$44,輸入與假設!$C$279)</f>
        <v/>
      </c>
      <c r="K6" s="53" t="str">
        <f aca="false">INDEX($C$45:$H$45,輸入與假設!$C$279)</f>
        <v/>
      </c>
      <c r="L6" s="53" t="str">
        <f aca="false">INDEX($C$46:$H$46,輸入與假設!$C$279)</f>
        <v/>
      </c>
      <c r="M6" s="53"/>
      <c r="N6" s="53"/>
      <c r="O6" s="53"/>
      <c r="P6" s="53"/>
      <c r="Q6" s="53"/>
    </row>
    <row r="7" customFormat="false" ht="15" hidden="false" customHeight="false" outlineLevel="1" collapsed="false">
      <c r="A7" s="3" t="s">
        <v>800</v>
      </c>
      <c r="B7" s="10" t="s">
        <v>56</v>
      </c>
      <c r="C7" s="52" t="n">
        <f aca="false">INDEX($C$28:$H$28,輸入與假設!$C$279)</f>
        <v>0.392329843739862</v>
      </c>
      <c r="D7" s="52" t="n">
        <f aca="false">INDEX($C$33:$H$33,輸入與假設!$C$279)</f>
        <v>0.3624</v>
      </c>
      <c r="E7" s="52" t="n">
        <f aca="false">INDEX($C$47:$H$47,輸入與假設!$C$279)</f>
        <v>0.0299298437398616</v>
      </c>
      <c r="F7" s="54" t="s">
        <v>799</v>
      </c>
      <c r="G7" s="54" t="s">
        <v>799</v>
      </c>
      <c r="H7" s="52" t="str">
        <f aca="false">INDEX($C$48:$H$48,輸入與假設!$C$279)</f>
        <v>不適用</v>
      </c>
      <c r="I7" s="52" t="str">
        <f aca="false">IF(ISNUMBER(INDEX($C$37:$H$37,輸入與假設!$C$279)),INDEX($C$37:$H$37,輸入與假設!$C$279),"待公布")</f>
        <v>待公布</v>
      </c>
      <c r="J7" s="52" t="str">
        <f aca="false">INDEX($C$49:$H$49,輸入與假設!$C$279)</f>
        <v/>
      </c>
      <c r="K7" s="52" t="str">
        <f aca="false">INDEX($C$50:$H$50,輸入與假設!$C$279)</f>
        <v/>
      </c>
      <c r="L7" s="52" t="str">
        <f aca="false">INDEX($C$51:$H$51,輸入與假設!$C$279)</f>
        <v/>
      </c>
      <c r="M7" s="53" t="n">
        <f aca="false">INDEX($C$52:$H$52,輸入與假設!$C$279)</f>
        <v>0.0436553116731985</v>
      </c>
      <c r="N7" s="53" t="str">
        <f aca="false">INDEX($C$53:$H$53,輸入與假設!$C$279)</f>
        <v>不適用</v>
      </c>
      <c r="O7" s="53" t="str">
        <f aca="false">INDEX($C$54:$H$54,輸入與假設!$C$279)</f>
        <v/>
      </c>
      <c r="P7" s="53" t="str">
        <f aca="false">INDEX($C$55:$H$55,輸入與假設!$C$279)</f>
        <v/>
      </c>
      <c r="Q7" s="53" t="str">
        <f aca="false">INDEX($C$56:$H$56,輸入與假設!$C$279)</f>
        <v/>
      </c>
    </row>
    <row r="8" customFormat="false" ht="15" hidden="false" customHeight="false" outlineLevel="1" collapsed="false">
      <c r="A8" s="3" t="s">
        <v>801</v>
      </c>
      <c r="B8" s="10" t="s">
        <v>42</v>
      </c>
      <c r="C8" s="53" t="n">
        <f aca="false">INDEX($C$27:$H$27,輸入與假設!$C$279)</f>
        <v>0.446590601866661</v>
      </c>
      <c r="D8" s="53" t="n">
        <f aca="false">INDEX($C$34:$H$34,輸入與假設!$C$279)</f>
        <v>0.402935290193462</v>
      </c>
      <c r="E8" s="53" t="n">
        <f aca="false">INDEX($C$57:$H$57,輸入與假設!$C$279)</f>
        <v>0.0436553116731985</v>
      </c>
      <c r="F8" s="55" t="s">
        <v>799</v>
      </c>
      <c r="G8" s="55" t="s">
        <v>799</v>
      </c>
      <c r="H8" s="53" t="str">
        <f aca="false">INDEX($C$58:$H$58,輸入與假設!$C$279)</f>
        <v>不適用</v>
      </c>
      <c r="I8" s="53" t="str">
        <f aca="false">IF(ISNUMBER(INDEX($C$38:$H$38,輸入與假設!$C$279)),INDEX($C$38:$H$38,輸入與假設!$C$279),"待公布")</f>
        <v>待公布</v>
      </c>
      <c r="J8" s="53" t="str">
        <f aca="false">INDEX($C$59:$H$59,輸入與假設!$C$279)</f>
        <v/>
      </c>
      <c r="K8" s="53" t="str">
        <f aca="false">INDEX($C$60:$H$60,輸入與假設!$C$279)</f>
        <v/>
      </c>
      <c r="L8" s="53" t="str">
        <f aca="false">INDEX($C$61:$H$61,輸入與假設!$C$279)</f>
        <v/>
      </c>
      <c r="M8" s="53"/>
      <c r="N8" s="53"/>
      <c r="O8" s="53"/>
      <c r="P8" s="53"/>
      <c r="Q8" s="53"/>
    </row>
    <row r="9" customFormat="false" ht="15" hidden="false" customHeight="false" outlineLevel="1" collapsed="false">
      <c r="A9" s="3" t="s">
        <v>802</v>
      </c>
      <c r="B9" s="10" t="s">
        <v>56</v>
      </c>
      <c r="C9" s="52" t="n">
        <f aca="false">INDEX($C$30:$H$30,輸入與假設!$C$279)</f>
        <v>-0.576886406260138</v>
      </c>
      <c r="D9" s="54" t="s">
        <v>799</v>
      </c>
      <c r="E9" s="52" t="str">
        <f aca="false">INDEX($C$62:$H$62,輸入與假設!$C$279)</f>
        <v>不適用</v>
      </c>
      <c r="F9" s="54" t="s">
        <v>799</v>
      </c>
      <c r="G9" s="54" t="s">
        <v>799</v>
      </c>
      <c r="H9" s="52" t="str">
        <f aca="false">INDEX($C$63:$H$63,輸入與假設!$C$279)</f>
        <v>不適用</v>
      </c>
      <c r="I9" s="52" t="str">
        <f aca="false">IF(ISNUMBER(INDEX($C$39:$H$39,輸入與假設!$C$279)),INDEX($C$39:$H$39,輸入與假設!$C$279),"待公布")</f>
        <v>待公布</v>
      </c>
      <c r="J9" s="52" t="str">
        <f aca="false">INDEX($C$64:$H$64,輸入與假設!$C$279)</f>
        <v/>
      </c>
      <c r="K9" s="52" t="str">
        <f aca="false">INDEX($C$65:$H$65,輸入與假設!$C$279)</f>
        <v/>
      </c>
      <c r="L9" s="52" t="str">
        <f aca="false">INDEX($C$66:$H$66,輸入與假設!$C$279)</f>
        <v/>
      </c>
      <c r="M9" s="53" t="str">
        <f aca="false">INDEX($C$67:$H$67,輸入與假設!$C$279)</f>
        <v>不適用</v>
      </c>
      <c r="N9" s="53" t="str">
        <f aca="false">INDEX($C$68:$H$68,輸入與假設!$C$279)</f>
        <v>不適用</v>
      </c>
      <c r="O9" s="53" t="str">
        <f aca="false">INDEX($C$69:$H$69,輸入與假設!$C$279)</f>
        <v/>
      </c>
      <c r="P9" s="53" t="str">
        <f aca="false">INDEX($C$70:$H$70,輸入與假設!$C$279)</f>
        <v/>
      </c>
      <c r="Q9" s="53" t="str">
        <f aca="false">INDEX($C$71:$H$71,輸入與假設!$C$279)</f>
        <v/>
      </c>
    </row>
    <row r="10" customFormat="false" ht="15" hidden="false" customHeight="false" outlineLevel="1" collapsed="false">
      <c r="A10" s="3" t="s">
        <v>803</v>
      </c>
      <c r="B10" s="10" t="s">
        <v>56</v>
      </c>
      <c r="C10" s="52" t="n">
        <f aca="false">INDEX($C$31:$H$31,輸入與假設!$C$279)</f>
        <v>10.46965</v>
      </c>
      <c r="D10" s="54" t="s">
        <v>799</v>
      </c>
      <c r="E10" s="53" t="str">
        <f aca="false">INDEX($C$72:$H$72,輸入與假設!$C$279)</f>
        <v>不適用</v>
      </c>
      <c r="F10" s="54" t="s">
        <v>799</v>
      </c>
      <c r="G10" s="54" t="s">
        <v>799</v>
      </c>
      <c r="H10" s="53" t="str">
        <f aca="false">INDEX($C$73:$H$73,輸入與假設!$C$279)</f>
        <v>不適用</v>
      </c>
      <c r="I10" s="52" t="str">
        <f aca="false">IF(ISNUMBER(INDEX($C$40:$H$40,輸入與假設!$C$279)),INDEX($C$40:$H$40,輸入與假設!$C$279),"待公布")</f>
        <v>待公布</v>
      </c>
      <c r="J10" s="53" t="str">
        <f aca="false">INDEX($C$74:$H$74,輸入與假設!$C$279)</f>
        <v/>
      </c>
      <c r="K10" s="53" t="str">
        <f aca="false">INDEX($C$75:$H$75,輸入與假設!$C$279)</f>
        <v/>
      </c>
      <c r="L10" s="53" t="str">
        <f aca="false">INDEX($C$76:$H$76,輸入與假設!$C$279)</f>
        <v/>
      </c>
      <c r="M10" s="53"/>
      <c r="N10" s="53"/>
      <c r="O10" s="53"/>
      <c r="P10" s="53"/>
      <c r="Q10" s="53"/>
    </row>
    <row r="11" customFormat="false" ht="15" hidden="false" customHeight="false" outlineLevel="1" collapsed="false">
      <c r="A11" s="3" t="s">
        <v>804</v>
      </c>
      <c r="B11" s="10" t="s">
        <v>142</v>
      </c>
      <c r="C11" s="56" t="n">
        <f aca="false">INDEX($C$19:$H$19,輸入與假設!$C$279)</f>
        <v>605</v>
      </c>
      <c r="D11" s="57" t="s">
        <v>799</v>
      </c>
      <c r="E11" s="56" t="str">
        <f aca="false">INDEX($C$77:$H$77,輸入與假設!$C$279)</f>
        <v>不適用</v>
      </c>
      <c r="F11" s="57" t="s">
        <v>799</v>
      </c>
      <c r="G11" s="57" t="s">
        <v>799</v>
      </c>
      <c r="H11" s="56" t="str">
        <f aca="false">INDEX($C$78:$H$78,輸入與假設!$C$279)</f>
        <v>不適用</v>
      </c>
      <c r="I11" s="56" t="str">
        <f aca="false">IF(ISNUMBER(INDEX($C$41:$H$41,輸入與假設!$C$279)),INDEX($C$41:$H$41,輸入與假設!$C$279),"待公布")</f>
        <v>待公布</v>
      </c>
      <c r="J11" s="56" t="str">
        <f aca="false">INDEX($C$79:$H$79,輸入與假設!$C$279)</f>
        <v/>
      </c>
      <c r="K11" s="56" t="str">
        <f aca="false">INDEX($C$80:$H$80,輸入與假設!$C$279)</f>
        <v/>
      </c>
      <c r="L11" s="56" t="str">
        <f aca="false">INDEX($C$81:$H$81,輸入與假設!$C$279)</f>
        <v/>
      </c>
      <c r="M11" s="53"/>
      <c r="N11" s="53"/>
      <c r="O11" s="53"/>
      <c r="P11" s="53"/>
      <c r="Q11" s="53"/>
    </row>
    <row r="12" customFormat="false" ht="15" hidden="false" customHeight="false" outlineLevel="1" collapsed="false">
      <c r="A12" s="2" t="s">
        <v>805</v>
      </c>
      <c r="C12" s="2" t="str">
        <f aca="false">INDEX($C$16:$H$16,輸入與假設!$C$279)</f>
        <v>Q3'26</v>
      </c>
    </row>
    <row r="13" customFormat="false" ht="17.15" hidden="false" customHeight="false" outlineLevel="1" collapsed="false">
      <c r="A13" s="2" t="s">
        <v>806</v>
      </c>
      <c r="C13" s="0" t="str">
        <f aca="false">IF(INDEX($C$118:$H$118,輸入與假設!$C$279)="","無（差距皆在 "&amp;IF(ROUND(ABS(輸入與假設!$C$273)*100,4)=INT(ROUND(ABS(輸入與假設!$C$273)*100,4)),TEXT(ROUND(ABS(輸入與假設!$C$273)*100,4),"0"),TEXT(ROUND(ABS(輸入與假設!$C$273)*100,4),"0.0"))&amp;"%"&amp;" 以內）",INDEX($C$118:$H$118,輸入與假設!$C$279))</f>
        <v>調整後 EBITDA vs 共識 +$0.03bn／+4.4pt：拆法（分配 +$0.088bn（Q3'26 占 2H26 42.3%，共識合計 32.9%）；水準 −$0.058bn）</v>
      </c>
    </row>
    <row r="15" customFormat="false" ht="15" hidden="false" customHeight="false" outlineLevel="0" collapsed="true">
      <c r="A15" s="6" t="s">
        <v>807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true" customHeight="false" outlineLevel="1" collapsed="false">
      <c r="A16" s="13" t="s">
        <v>50</v>
      </c>
      <c r="B16" s="13" t="s">
        <v>51</v>
      </c>
      <c r="C16" s="14" t="s">
        <v>610</v>
      </c>
      <c r="D16" s="14" t="s">
        <v>611</v>
      </c>
      <c r="E16" s="14" t="s">
        <v>612</v>
      </c>
      <c r="F16" s="14" t="s">
        <v>613</v>
      </c>
      <c r="G16" s="14" t="s">
        <v>614</v>
      </c>
      <c r="H16" s="14" t="s">
        <v>615</v>
      </c>
    </row>
    <row r="17" customFormat="false" ht="15" hidden="true" customHeight="false" outlineLevel="1" collapsed="false">
      <c r="A17" s="3" t="s">
        <v>808</v>
      </c>
      <c r="C17" s="58" t="n">
        <f aca="false">輸入與假設!C$278</f>
        <v>1</v>
      </c>
      <c r="D17" s="58" t="n">
        <f aca="false">輸入與假設!D$278</f>
        <v>1</v>
      </c>
      <c r="E17" s="58" t="n">
        <f aca="false">輸入與假設!E$278</f>
        <v>2</v>
      </c>
      <c r="F17" s="58" t="n">
        <f aca="false">輸入與假設!F$278</f>
        <v>2</v>
      </c>
      <c r="G17" s="58" t="n">
        <f aca="false">輸入與假設!G$278</f>
        <v>2</v>
      </c>
      <c r="H17" s="58" t="n">
        <f aca="false">輸入與假設!H$278</f>
        <v>2</v>
      </c>
      <c r="J17" s="10" t="s">
        <v>809</v>
      </c>
    </row>
    <row r="18" customFormat="false" ht="15" hidden="true" customHeight="false" outlineLevel="1" collapsed="false">
      <c r="A18" s="3" t="s">
        <v>810</v>
      </c>
      <c r="C18" s="21" t="n">
        <v>1</v>
      </c>
      <c r="D18" s="21" t="n">
        <v>2</v>
      </c>
      <c r="E18" s="21" t="n">
        <v>3</v>
      </c>
      <c r="F18" s="21" t="n">
        <v>4</v>
      </c>
      <c r="G18" s="21" t="n">
        <v>5</v>
      </c>
      <c r="H18" s="21" t="n">
        <v>6</v>
      </c>
      <c r="J18" s="10" t="s">
        <v>811</v>
      </c>
    </row>
    <row r="19" customFormat="false" ht="15" hidden="true" customHeight="false" outlineLevel="1" collapsed="false">
      <c r="A19" s="3" t="s">
        <v>812</v>
      </c>
      <c r="B19" s="10" t="s">
        <v>142</v>
      </c>
      <c r="C19" s="21" t="n">
        <f aca="false">輸入與假設!$C$281+(輸入與假設!C$39-輸入與假設!$C$281)*1/2</f>
        <v>605</v>
      </c>
      <c r="D19" s="21" t="n">
        <f aca="false">輸入與假設!$C$281+(輸入與假設!C$39-輸入與假設!$C$281)*2/2</f>
        <v>750</v>
      </c>
      <c r="E19" s="21" t="n">
        <f aca="false">輸入與假設!C$39+(輸入與假設!D$39-輸入與假設!C$39)*1/4</f>
        <v>895</v>
      </c>
      <c r="F19" s="21" t="n">
        <f aca="false">輸入與假設!C$39+(輸入與假設!D$39-輸入與假設!C$39)*2/4</f>
        <v>1040</v>
      </c>
      <c r="G19" s="21" t="n">
        <f aca="false">輸入與假設!C$39+(輸入與假設!D$39-輸入與假設!C$39)*3/4</f>
        <v>1185</v>
      </c>
      <c r="H19" s="21" t="n">
        <f aca="false">輸入與假設!C$39+(輸入與假設!D$39-輸入與假設!C$39)*4/4</f>
        <v>1330</v>
      </c>
      <c r="J19" s="5" t="s">
        <v>813</v>
      </c>
    </row>
    <row r="20" customFormat="false" ht="15" hidden="true" customHeight="false" outlineLevel="1" collapsed="false">
      <c r="A20" s="3" t="s">
        <v>814</v>
      </c>
      <c r="B20" s="10" t="s">
        <v>142</v>
      </c>
      <c r="C20" s="21" t="n">
        <f aca="false">輸入與假設!$C$32+(輸入與假設!C$40-輸入與假設!$C$32)*1/4</f>
        <v>185</v>
      </c>
      <c r="D20" s="21" t="n">
        <f aca="false">輸入與假設!$C$32+(輸入與假設!C$40-輸入與假設!$C$32)*3/4</f>
        <v>287</v>
      </c>
      <c r="E20" s="21" t="n">
        <f aca="false">輸入與假設!C$40+(輸入與假設!D$40-輸入與假設!C$40)*1/8</f>
        <v>408.75</v>
      </c>
      <c r="F20" s="21" t="n">
        <f aca="false">輸入與假設!C$40+(輸入與假設!D$40-輸入與假設!C$40)*3/8</f>
        <v>550.25</v>
      </c>
      <c r="G20" s="21" t="n">
        <f aca="false">輸入與假設!C$40+(輸入與假設!D$40-輸入與假設!C$40)*5/8</f>
        <v>691.75</v>
      </c>
      <c r="H20" s="21" t="n">
        <f aca="false">輸入與假設!C$40+(輸入與假設!D$40-輸入與假設!C$40)*7/8</f>
        <v>833.25</v>
      </c>
      <c r="J20" s="5" t="s">
        <v>815</v>
      </c>
    </row>
    <row r="21" customFormat="false" ht="15" hidden="true" customHeight="false" outlineLevel="1" collapsed="false">
      <c r="A21" s="3" t="s">
        <v>816</v>
      </c>
      <c r="B21" s="10" t="s">
        <v>142</v>
      </c>
      <c r="C21" s="21" t="n">
        <f aca="false">C19-輸入與假設!$C$281</f>
        <v>145</v>
      </c>
      <c r="D21" s="21" t="n">
        <f aca="false">D19-C19</f>
        <v>145</v>
      </c>
      <c r="E21" s="21" t="n">
        <f aca="false">E19-輸入與假設!C$39</f>
        <v>145</v>
      </c>
      <c r="F21" s="21" t="n">
        <f aca="false">F19-E19</f>
        <v>145</v>
      </c>
      <c r="G21" s="21" t="n">
        <f aca="false">G19-F19</f>
        <v>145</v>
      </c>
      <c r="H21" s="21" t="n">
        <f aca="false">H19-G19</f>
        <v>145</v>
      </c>
      <c r="J21" s="10" t="s">
        <v>817</v>
      </c>
    </row>
    <row r="22" customFormat="false" ht="15" hidden="true" customHeight="false" outlineLevel="1" collapsed="false">
      <c r="A22" s="3" t="s">
        <v>818</v>
      </c>
      <c r="B22" s="10" t="s">
        <v>56</v>
      </c>
      <c r="C22" s="31" t="n">
        <f aca="false">輸入與假設!$C$280+1*(損益!C8-2*輸入與假設!$C$280)/3</f>
        <v>0.8785</v>
      </c>
      <c r="D22" s="31" t="n">
        <f aca="false">輸入與假設!$C$280+2*(損益!C8-2*輸入與假設!$C$280)/3</f>
        <v>1.1747</v>
      </c>
      <c r="E22" s="31" t="n">
        <f aca="false">損益!D8*E20/(E20+F20+G20+H20)</f>
        <v>1.7780625</v>
      </c>
      <c r="F22" s="31" t="n">
        <f aca="false">損益!D8*F20/(E20+F20+G20+H20)</f>
        <v>2.3935875</v>
      </c>
      <c r="G22" s="31" t="n">
        <f aca="false">損益!D8*G20/(E20+F20+G20+H20)</f>
        <v>3.0091125</v>
      </c>
      <c r="H22" s="31" t="n">
        <f aca="false">損益!D8*H20/(E20+F20+G20+H20)</f>
        <v>3.6246375</v>
      </c>
      <c r="J22" s="5" t="s">
        <v>819</v>
      </c>
    </row>
    <row r="23" customFormat="false" ht="15" hidden="true" customHeight="false" outlineLevel="1" collapsed="false">
      <c r="A23" s="4" t="s">
        <v>820</v>
      </c>
      <c r="C23" s="52" t="n">
        <f aca="false">C22+D22</f>
        <v>2.0532</v>
      </c>
      <c r="D23" s="52" t="n">
        <f aca="false">E22+F22+G22+H22</f>
        <v>10.8054</v>
      </c>
      <c r="J23" s="5" t="s">
        <v>821</v>
      </c>
    </row>
    <row r="24" customFormat="false" ht="15" hidden="true" customHeight="false" outlineLevel="1" collapsed="false">
      <c r="A24" s="4" t="s">
        <v>822</v>
      </c>
      <c r="C24" s="52" t="n">
        <f aca="false">C22*C18+D22*D18</f>
        <v>3.2279</v>
      </c>
      <c r="D24" s="52" t="n">
        <f aca="false">E22*E18+F22*F18+G22*G18+H22*H18</f>
        <v>51.701925</v>
      </c>
      <c r="J24" s="5" t="s">
        <v>821</v>
      </c>
    </row>
    <row r="25" customFormat="false" ht="15" hidden="true" customHeight="false" outlineLevel="1" collapsed="false">
      <c r="A25" s="4" t="s">
        <v>823</v>
      </c>
      <c r="C25" s="52" t="n">
        <f aca="false">損益!C19</f>
        <v>0.9264404</v>
      </c>
      <c r="D25" s="52" t="n">
        <f aca="false">損益!D19</f>
        <v>5.15634735</v>
      </c>
      <c r="J25" s="5" t="s">
        <v>821</v>
      </c>
    </row>
    <row r="26" customFormat="false" ht="15" hidden="true" customHeight="false" outlineLevel="1" collapsed="false">
      <c r="A26" s="4" t="s">
        <v>824</v>
      </c>
      <c r="C26" s="59" t="n">
        <f aca="false">(C25*D24-C24*D25)/(C23*D24-C24*D23)</f>
        <v>0.438502940125474</v>
      </c>
      <c r="D26" s="59" t="n">
        <f aca="false">(C23*D25-D23*C25)/(C23*D24-C24*D23)</f>
        <v>0.00808766174118662</v>
      </c>
      <c r="J26" s="5" t="s">
        <v>825</v>
      </c>
    </row>
    <row r="27" customFormat="false" ht="15" hidden="true" customHeight="false" outlineLevel="1" collapsed="false">
      <c r="A27" s="4" t="s">
        <v>826</v>
      </c>
      <c r="B27" s="10" t="s">
        <v>42</v>
      </c>
      <c r="C27" s="30" t="n">
        <f aca="false">$C$26+$D$26*C18</f>
        <v>0.446590601866661</v>
      </c>
      <c r="D27" s="30" t="n">
        <f aca="false">$C$26+$D$26*D18</f>
        <v>0.454678263607847</v>
      </c>
      <c r="E27" s="30" t="n">
        <f aca="false">$C$26+$D$26*E18</f>
        <v>0.462765925349034</v>
      </c>
      <c r="F27" s="30" t="n">
        <f aca="false">$C$26+$D$26*F18</f>
        <v>0.470853587090221</v>
      </c>
      <c r="G27" s="30" t="n">
        <f aca="false">$C$26+$D$26*G18</f>
        <v>0.478941248831407</v>
      </c>
      <c r="H27" s="30" t="n">
        <f aca="false">$C$26+$D$26*H18</f>
        <v>0.487028910572594</v>
      </c>
      <c r="J27" s="5" t="s">
        <v>827</v>
      </c>
    </row>
    <row r="28" customFormat="false" ht="15" hidden="true" customHeight="false" outlineLevel="1" collapsed="false">
      <c r="A28" s="3" t="s">
        <v>828</v>
      </c>
      <c r="B28" s="10" t="s">
        <v>56</v>
      </c>
      <c r="C28" s="31" t="n">
        <f aca="false">C22*C27</f>
        <v>0.392329843739862</v>
      </c>
      <c r="D28" s="31" t="n">
        <f aca="false">D22*D27</f>
        <v>0.534110556260139</v>
      </c>
      <c r="E28" s="31" t="n">
        <f aca="false">E22*E27</f>
        <v>0.822826738140917</v>
      </c>
      <c r="F28" s="31" t="n">
        <f aca="false">F22*F27</f>
        <v>1.12702926038931</v>
      </c>
      <c r="G28" s="31" t="n">
        <f aca="false">G22*G27</f>
        <v>1.4411880986242</v>
      </c>
      <c r="H28" s="31" t="n">
        <f aca="false">H22*H27</f>
        <v>1.76530325284557</v>
      </c>
    </row>
    <row r="29" customFormat="false" ht="15" hidden="true" customHeight="false" outlineLevel="1" collapsed="false">
      <c r="A29" s="3" t="s">
        <v>829</v>
      </c>
      <c r="B29" s="10" t="s">
        <v>56</v>
      </c>
      <c r="C29" s="31" t="n">
        <f aca="false">(輸入與假設!C$88+輸入與假設!C$86*1/4)/輸入與假設!$C$65*輸入與假設!C$37/2</f>
        <v>0.96921625</v>
      </c>
      <c r="D29" s="31" t="n">
        <f aca="false">(輸入與假設!C$88+輸入與假設!C$86*3/4)/輸入與假設!$C$65*輸入與假設!C$37/2</f>
        <v>1.49269875</v>
      </c>
      <c r="E29" s="31" t="n">
        <f aca="false">(輸入與假設!D$88+輸入與假設!D$86*1/8)/輸入與假設!$C$65*輸入與假設!D$37/4</f>
        <v>1.9366325</v>
      </c>
      <c r="F29" s="31" t="n">
        <f aca="false">(輸入與假設!D$88+輸入與假設!D$86*3/8)/輸入與假設!$C$65*輸入與假設!D$37/4</f>
        <v>2.3010175</v>
      </c>
      <c r="G29" s="31" t="n">
        <f aca="false">(輸入與假設!D$88+輸入與假設!D$86*5/8)/輸入與假設!$C$65*輸入與假設!D$37/4</f>
        <v>2.6654025</v>
      </c>
      <c r="H29" s="31" t="n">
        <f aca="false">(輸入與假設!D$88+輸入與假設!D$86*7/8)/輸入與假設!$C$65*輸入與假設!D$37/4</f>
        <v>3.0297875</v>
      </c>
      <c r="J29" s="5" t="s">
        <v>830</v>
      </c>
    </row>
    <row r="30" customFormat="false" ht="15" hidden="true" customHeight="false" outlineLevel="1" collapsed="false">
      <c r="A30" s="3" t="s">
        <v>831</v>
      </c>
      <c r="B30" s="10" t="s">
        <v>56</v>
      </c>
      <c r="C30" s="31" t="n">
        <f aca="false">C28-C29</f>
        <v>-0.576886406260138</v>
      </c>
      <c r="D30" s="31" t="n">
        <f aca="false">D28-D29</f>
        <v>-0.958588193739862</v>
      </c>
      <c r="E30" s="31" t="n">
        <f aca="false">E28-E29</f>
        <v>-1.11380576185908</v>
      </c>
      <c r="F30" s="31" t="n">
        <f aca="false">F28-F29</f>
        <v>-1.17398823961069</v>
      </c>
      <c r="G30" s="31" t="n">
        <f aca="false">G28-G29</f>
        <v>-1.2242144013758</v>
      </c>
      <c r="H30" s="31" t="n">
        <f aca="false">H28-H29</f>
        <v>-1.26448424715443</v>
      </c>
      <c r="J30" s="5" t="s">
        <v>832</v>
      </c>
    </row>
    <row r="31" customFormat="false" ht="15" hidden="true" customHeight="false" outlineLevel="1" collapsed="false">
      <c r="A31" s="4" t="s">
        <v>833</v>
      </c>
      <c r="B31" s="10" t="s">
        <v>56</v>
      </c>
      <c r="C31" s="31" t="n">
        <f aca="false">IF((C21+D21)&gt;0,輸入與假設!C$90*C21/(C21+D21),輸入與假設!C$90/2)</f>
        <v>10.46965</v>
      </c>
      <c r="D31" s="31" t="n">
        <f aca="false">IF((C21+D21)&gt;0,輸入與假設!C$90*D21/(C21+D21),輸入與假設!C$90/2)</f>
        <v>10.46965</v>
      </c>
      <c r="E31" s="31" t="n">
        <f aca="false">IF((E21+F21+G21+H21)&gt;0,輸入與假設!D$90*E21/(E21+F21+G21+H21),輸入與假設!D$90/4)</f>
        <v>7.2877</v>
      </c>
      <c r="F31" s="31" t="n">
        <f aca="false">IF((E21+F21+G21+H21)&gt;0,輸入與假設!D$90*F21/(E21+F21+G21+H21),輸入與假設!D$90/4)</f>
        <v>7.2877</v>
      </c>
      <c r="G31" s="31" t="n">
        <f aca="false">IF((E21+F21+G21+H21)&gt;0,輸入與假設!D$90*G21/(E21+F21+G21+H21),輸入與假設!D$90/4)</f>
        <v>7.2877</v>
      </c>
      <c r="H31" s="31" t="n">
        <f aca="false">IF((E21+F21+G21+H21)&gt;0,輸入與假設!D$90*H21/(E21+F21+G21+H21),輸入與假設!D$90/4)</f>
        <v>7.2877</v>
      </c>
      <c r="J31" s="5" t="s">
        <v>834</v>
      </c>
    </row>
    <row r="32" customFormat="false" ht="15" hidden="true" customHeight="false" outlineLevel="1" collapsed="false">
      <c r="A32" s="3" t="s">
        <v>835</v>
      </c>
      <c r="B32" s="10" t="s">
        <v>56</v>
      </c>
      <c r="C32" s="31" t="n">
        <f aca="false">IF(ISNUMBER(輸入與假設!$C$244),輸入與假設!$C$244,"不適用")</f>
        <v>0.8994</v>
      </c>
      <c r="D32" s="31" t="n">
        <f aca="false">IF(ISNUMBER(輸入與假設!$D$244),輸入與假設!$D$244,"不適用")</f>
        <v>1.521</v>
      </c>
      <c r="E32" s="60" t="s">
        <v>799</v>
      </c>
      <c r="F32" s="60" t="s">
        <v>799</v>
      </c>
      <c r="G32" s="60" t="s">
        <v>799</v>
      </c>
      <c r="H32" s="60" t="s">
        <v>799</v>
      </c>
      <c r="J32" s="10" t="s">
        <v>836</v>
      </c>
    </row>
    <row r="33" customFormat="false" ht="15" hidden="true" customHeight="false" outlineLevel="1" collapsed="false">
      <c r="A33" s="3" t="s">
        <v>837</v>
      </c>
      <c r="B33" s="10" t="s">
        <v>56</v>
      </c>
      <c r="C33" s="60" t="n">
        <f aca="false">IF(ISNUMBER(輸入與假設!$C$245),輸入與假設!$C$245,"不適用")</f>
        <v>0.3624</v>
      </c>
      <c r="D33" s="60" t="n">
        <f aca="false">IF(ISNUMBER(輸入與假設!$D$245),輸入與假設!$D$245,"不適用")</f>
        <v>0.74</v>
      </c>
      <c r="E33" s="60" t="s">
        <v>799</v>
      </c>
      <c r="F33" s="60" t="s">
        <v>799</v>
      </c>
      <c r="G33" s="60" t="s">
        <v>799</v>
      </c>
      <c r="H33" s="60" t="s">
        <v>799</v>
      </c>
      <c r="J33" s="10" t="s">
        <v>836</v>
      </c>
    </row>
    <row r="34" customFormat="false" ht="15" hidden="true" customHeight="false" outlineLevel="1" collapsed="false">
      <c r="A34" s="3" t="s">
        <v>838</v>
      </c>
      <c r="B34" s="10" t="s">
        <v>42</v>
      </c>
      <c r="C34" s="30" t="n">
        <f aca="false">IF(AND(ISNUMBER(輸入與假設!$C$245),ISNUMBER(輸入與假設!$C$244)),輸入與假設!$C$245/輸入與假設!$C$244,"不適用")</f>
        <v>0.402935290193462</v>
      </c>
      <c r="D34" s="30" t="n">
        <f aca="false">IF(AND(ISNUMBER(輸入與假設!$D$245),ISNUMBER(輸入與假設!$D$244)),輸入與假設!$D$245/輸入與假設!$D$244,"不適用")</f>
        <v>0.486522024983563</v>
      </c>
      <c r="E34" s="61" t="s">
        <v>799</v>
      </c>
      <c r="F34" s="61" t="s">
        <v>799</v>
      </c>
      <c r="G34" s="61" t="s">
        <v>799</v>
      </c>
      <c r="H34" s="61" t="s">
        <v>799</v>
      </c>
      <c r="J34" s="5" t="s">
        <v>839</v>
      </c>
    </row>
    <row r="35" customFormat="false" ht="15" hidden="true" customHeight="false" outlineLevel="1" collapsed="false">
      <c r="A35" s="3" t="s">
        <v>840</v>
      </c>
      <c r="B35" s="10" t="s">
        <v>56</v>
      </c>
      <c r="C35" s="60" t="n">
        <f aca="false">IF(ISNUMBER(輸入與假設!$C$246),輸入與假設!$C$246,"不適用")</f>
        <v>-0.2239</v>
      </c>
      <c r="D35" s="60" t="n">
        <f aca="false">IF(ISNUMBER(輸入與假設!$D$246),輸入與假設!$D$246,"不適用")</f>
        <v>-0.1615</v>
      </c>
      <c r="E35" s="60" t="s">
        <v>799</v>
      </c>
      <c r="F35" s="60" t="s">
        <v>799</v>
      </c>
      <c r="G35" s="60" t="s">
        <v>799</v>
      </c>
      <c r="H35" s="60" t="s">
        <v>799</v>
      </c>
      <c r="J35" s="5" t="s">
        <v>841</v>
      </c>
    </row>
    <row r="36" customFormat="false" ht="15" hidden="true" customHeight="false" outlineLevel="1" collapsed="false">
      <c r="A36" s="3" t="s">
        <v>842</v>
      </c>
      <c r="B36" s="10" t="s">
        <v>56</v>
      </c>
      <c r="C36" s="38" t="str">
        <f aca="false">IF(ISNUMBER(輸入與假設!C$282),輸入與假設!C$282,"")</f>
        <v/>
      </c>
      <c r="D36" s="38" t="str">
        <f aca="false">IF(ISNUMBER(輸入與假設!D$282),輸入與假設!D$282,"")</f>
        <v/>
      </c>
      <c r="E36" s="38" t="str">
        <f aca="false">IF(ISNUMBER(輸入與假設!E$282),輸入與假設!E$282,"")</f>
        <v/>
      </c>
      <c r="F36" s="38" t="str">
        <f aca="false">IF(ISNUMBER(輸入與假設!F$282),輸入與假設!F$282,"")</f>
        <v/>
      </c>
      <c r="G36" s="38" t="str">
        <f aca="false">IF(ISNUMBER(輸入與假設!G$282),輸入與假設!G$282,"")</f>
        <v/>
      </c>
      <c r="H36" s="38" t="str">
        <f aca="false">IF(ISNUMBER(輸入與假設!H$282),輸入與假設!H$282,"")</f>
        <v/>
      </c>
    </row>
    <row r="37" customFormat="false" ht="15" hidden="true" customHeight="false" outlineLevel="1" collapsed="false">
      <c r="A37" s="3" t="s">
        <v>843</v>
      </c>
      <c r="B37" s="10" t="s">
        <v>56</v>
      </c>
      <c r="C37" s="38" t="str">
        <f aca="false">IF(ISNUMBER(輸入與假設!C$283),輸入與假設!C$283,"")</f>
        <v/>
      </c>
      <c r="D37" s="38" t="str">
        <f aca="false">IF(ISNUMBER(輸入與假設!D$283),輸入與假設!D$283,"")</f>
        <v/>
      </c>
      <c r="E37" s="38" t="str">
        <f aca="false">IF(ISNUMBER(輸入與假設!E$283),輸入與假設!E$283,"")</f>
        <v/>
      </c>
      <c r="F37" s="38" t="str">
        <f aca="false">IF(ISNUMBER(輸入與假設!F$283),輸入與假設!F$283,"")</f>
        <v/>
      </c>
      <c r="G37" s="38" t="str">
        <f aca="false">IF(ISNUMBER(輸入與假設!G$283),輸入與假設!G$283,"")</f>
        <v/>
      </c>
      <c r="H37" s="38" t="str">
        <f aca="false">IF(ISNUMBER(輸入與假設!H$283),輸入與假設!H$283,"")</f>
        <v/>
      </c>
    </row>
    <row r="38" customFormat="false" ht="15" hidden="true" customHeight="false" outlineLevel="1" collapsed="false">
      <c r="A38" s="3" t="s">
        <v>844</v>
      </c>
      <c r="B38" s="10" t="s">
        <v>42</v>
      </c>
      <c r="C38" s="61" t="str">
        <f aca="false">IF(AND(ISNUMBER(輸入與假設!C$283),ISNUMBER(輸入與假設!C$282)),輸入與假設!C$283/輸入與假設!C$282,"")</f>
        <v/>
      </c>
      <c r="D38" s="61" t="str">
        <f aca="false">IF(AND(ISNUMBER(輸入與假設!D$283),ISNUMBER(輸入與假設!D$282)),輸入與假設!D$283/輸入與假設!D$282,"")</f>
        <v/>
      </c>
      <c r="E38" s="61" t="str">
        <f aca="false">IF(AND(ISNUMBER(輸入與假設!E$283),ISNUMBER(輸入與假設!E$282)),輸入與假設!E$283/輸入與假設!E$282,"")</f>
        <v/>
      </c>
      <c r="F38" s="61" t="str">
        <f aca="false">IF(AND(ISNUMBER(輸入與假設!F$283),ISNUMBER(輸入與假設!F$282)),輸入與假設!F$283/輸入與假設!F$282,"")</f>
        <v/>
      </c>
      <c r="G38" s="61" t="str">
        <f aca="false">IF(AND(ISNUMBER(輸入與假設!G$283),ISNUMBER(輸入與假設!G$282)),輸入與假設!G$283/輸入與假設!G$282,"")</f>
        <v/>
      </c>
      <c r="H38" s="61" t="str">
        <f aca="false">IF(AND(ISNUMBER(輸入與假設!H$283),ISNUMBER(輸入與假設!H$282)),輸入與假設!H$283/輸入與假設!H$282,"")</f>
        <v/>
      </c>
      <c r="J38" s="5" t="s">
        <v>845</v>
      </c>
    </row>
    <row r="39" customFormat="false" ht="15" hidden="true" customHeight="false" outlineLevel="1" collapsed="false">
      <c r="A39" s="3" t="s">
        <v>846</v>
      </c>
      <c r="B39" s="10" t="s">
        <v>56</v>
      </c>
      <c r="C39" s="38" t="str">
        <f aca="false">IF(ISNUMBER(輸入與假設!C$284),輸入與假設!C$284,"")</f>
        <v/>
      </c>
      <c r="D39" s="38" t="str">
        <f aca="false">IF(ISNUMBER(輸入與假設!D$284),輸入與假設!D$284,"")</f>
        <v/>
      </c>
      <c r="E39" s="38" t="str">
        <f aca="false">IF(ISNUMBER(輸入與假設!E$284),輸入與假設!E$284,"")</f>
        <v/>
      </c>
      <c r="F39" s="38" t="str">
        <f aca="false">IF(ISNUMBER(輸入與假設!F$284),輸入與假設!F$284,"")</f>
        <v/>
      </c>
      <c r="G39" s="38" t="str">
        <f aca="false">IF(ISNUMBER(輸入與假設!G$284),輸入與假設!G$284,"")</f>
        <v/>
      </c>
      <c r="H39" s="38" t="str">
        <f aca="false">IF(ISNUMBER(輸入與假設!H$284),輸入與假設!H$284,"")</f>
        <v/>
      </c>
    </row>
    <row r="40" customFormat="false" ht="15" hidden="true" customHeight="false" outlineLevel="1" collapsed="false">
      <c r="A40" s="3" t="s">
        <v>847</v>
      </c>
      <c r="B40" s="10" t="s">
        <v>56</v>
      </c>
      <c r="C40" s="38" t="str">
        <f aca="false">IF(ISNUMBER(輸入與假設!C$285),輸入與假設!C$285,"")</f>
        <v/>
      </c>
      <c r="D40" s="38" t="str">
        <f aca="false">IF(ISNUMBER(輸入與假設!D$285),輸入與假設!D$285,"")</f>
        <v/>
      </c>
      <c r="E40" s="38" t="str">
        <f aca="false">IF(ISNUMBER(輸入與假設!E$285),輸入與假設!E$285,"")</f>
        <v/>
      </c>
      <c r="F40" s="38" t="str">
        <f aca="false">IF(ISNUMBER(輸入與假設!F$285),輸入與假設!F$285,"")</f>
        <v/>
      </c>
      <c r="G40" s="38" t="str">
        <f aca="false">IF(ISNUMBER(輸入與假設!G$285),輸入與假設!G$285,"")</f>
        <v/>
      </c>
      <c r="H40" s="38" t="str">
        <f aca="false">IF(ISNUMBER(輸入與假設!H$285),輸入與假設!H$285,"")</f>
        <v/>
      </c>
    </row>
    <row r="41" customFormat="false" ht="15" hidden="true" customHeight="false" outlineLevel="1" collapsed="false">
      <c r="A41" s="3" t="s">
        <v>848</v>
      </c>
      <c r="B41" s="10" t="s">
        <v>142</v>
      </c>
      <c r="C41" s="38" t="str">
        <f aca="false">IF(ISNUMBER(輸入與假設!C$286),輸入與假設!C$286,"")</f>
        <v/>
      </c>
      <c r="D41" s="38" t="str">
        <f aca="false">IF(ISNUMBER(輸入與假設!D$286),輸入與假設!D$286,"")</f>
        <v/>
      </c>
      <c r="E41" s="38" t="str">
        <f aca="false">IF(ISNUMBER(輸入與假設!E$286),輸入與假設!E$286,"")</f>
        <v/>
      </c>
      <c r="F41" s="38" t="str">
        <f aca="false">IF(ISNUMBER(輸入與假設!F$286),輸入與假設!F$286,"")</f>
        <v/>
      </c>
      <c r="G41" s="38" t="str">
        <f aca="false">IF(ISNUMBER(輸入與假設!G$286),輸入與假設!G$286,"")</f>
        <v/>
      </c>
      <c r="H41" s="38" t="str">
        <f aca="false">IF(ISNUMBER(輸入與假設!H$286),輸入與假設!H$286,"")</f>
        <v/>
      </c>
    </row>
    <row r="42" customFormat="false" ht="15" hidden="true" customHeight="false" outlineLevel="1" collapsed="false">
      <c r="A42" s="3" t="s">
        <v>849</v>
      </c>
      <c r="B42" s="10" t="s">
        <v>42</v>
      </c>
      <c r="C42" s="61" t="n">
        <f aca="false">IF(AND(ISNUMBER(C22),ISNUMBER(C32),C32&lt;&gt;0),C22/(C32)-1,"不適用")</f>
        <v>-0.0232377140315765</v>
      </c>
      <c r="D42" s="61" t="n">
        <f aca="false">IF(AND(ISNUMBER(D22),ISNUMBER(D32),D32&lt;&gt;0),D22/(D32)-1,"不適用")</f>
        <v>-0.227679158448389</v>
      </c>
      <c r="E42" s="61" t="str">
        <f aca="false">IF(AND(ISNUMBER(E22),ISNUMBER(E32),E32&lt;&gt;0),E22/(E32)-1,"不適用")</f>
        <v>不適用</v>
      </c>
      <c r="F42" s="61" t="str">
        <f aca="false">IF(AND(ISNUMBER(F22),ISNUMBER(F32),F32&lt;&gt;0),F22/(F32)-1,"不適用")</f>
        <v>不適用</v>
      </c>
      <c r="G42" s="61" t="str">
        <f aca="false">IF(AND(ISNUMBER(G22),ISNUMBER(G32),G32&lt;&gt;0),G22/(G32)-1,"不適用")</f>
        <v>不適用</v>
      </c>
      <c r="H42" s="61" t="str">
        <f aca="false">IF(AND(ISNUMBER(H22),ISNUMBER(H32),H32&lt;&gt;0),H22/(H32)-1,"不適用")</f>
        <v>不適用</v>
      </c>
    </row>
    <row r="43" customFormat="false" ht="15" hidden="true" customHeight="false" outlineLevel="1" collapsed="false">
      <c r="A43" s="3" t="s">
        <v>850</v>
      </c>
      <c r="B43" s="10" t="s">
        <v>42</v>
      </c>
      <c r="C43" s="61" t="s">
        <v>799</v>
      </c>
      <c r="D43" s="61" t="s">
        <v>799</v>
      </c>
      <c r="E43" s="61" t="s">
        <v>799</v>
      </c>
      <c r="F43" s="61" t="s">
        <v>799</v>
      </c>
      <c r="G43" s="61" t="s">
        <v>799</v>
      </c>
      <c r="H43" s="61" t="s">
        <v>799</v>
      </c>
    </row>
    <row r="44" customFormat="false" ht="15" hidden="true" customHeight="false" outlineLevel="1" collapsed="false">
      <c r="A44" s="3" t="s">
        <v>851</v>
      </c>
      <c r="B44" s="10" t="s">
        <v>42</v>
      </c>
      <c r="C44" s="61" t="str">
        <f aca="false">IF(ISNUMBER(C36),IF(AND(ISNUMBER(C22),C22&lt;&gt;0),C36/(C22)-1,"不適用"),"")</f>
        <v/>
      </c>
      <c r="D44" s="61" t="str">
        <f aca="false">IF(ISNUMBER(D36),IF(AND(ISNUMBER(D22),D22&lt;&gt;0),D36/(D22)-1,"不適用"),"")</f>
        <v/>
      </c>
      <c r="E44" s="61" t="str">
        <f aca="false">IF(ISNUMBER(E36),IF(AND(ISNUMBER(E22),E22&lt;&gt;0),E36/(E22)-1,"不適用"),"")</f>
        <v/>
      </c>
      <c r="F44" s="61" t="str">
        <f aca="false">IF(ISNUMBER(F36),IF(AND(ISNUMBER(F22),F22&lt;&gt;0),F36/(F22)-1,"不適用"),"")</f>
        <v/>
      </c>
      <c r="G44" s="61" t="str">
        <f aca="false">IF(ISNUMBER(G36),IF(AND(ISNUMBER(G22),G22&lt;&gt;0),G36/(G22)-1,"不適用"),"")</f>
        <v/>
      </c>
      <c r="H44" s="61" t="str">
        <f aca="false">IF(ISNUMBER(H36),IF(AND(ISNUMBER(H22),H22&lt;&gt;0),H36/(H22)-1,"不適用"),"")</f>
        <v/>
      </c>
    </row>
    <row r="45" customFormat="false" ht="15" hidden="true" customHeight="false" outlineLevel="1" collapsed="false">
      <c r="A45" s="3" t="s">
        <v>852</v>
      </c>
      <c r="B45" s="10" t="s">
        <v>42</v>
      </c>
      <c r="C45" s="61" t="str">
        <f aca="false">IF(ISNUMBER(C36),IF(AND(ISNUMBER(C32),C32&lt;&gt;0),C36/(C32)-1,"不適用"),"")</f>
        <v/>
      </c>
      <c r="D45" s="61" t="str">
        <f aca="false">IF(ISNUMBER(D36),IF(AND(ISNUMBER(D32),D32&lt;&gt;0),D36/(D32)-1,"不適用"),"")</f>
        <v/>
      </c>
      <c r="E45" s="61" t="str">
        <f aca="false">IF(ISNUMBER(E36),IF(AND(ISNUMBER(E32),E32&lt;&gt;0),E36/(E32)-1,"不適用"),"")</f>
        <v/>
      </c>
      <c r="F45" s="61" t="str">
        <f aca="false">IF(ISNUMBER(F36),IF(AND(ISNUMBER(F32),F32&lt;&gt;0),F36/(F32)-1,"不適用"),"")</f>
        <v/>
      </c>
      <c r="G45" s="61" t="str">
        <f aca="false">IF(ISNUMBER(G36),IF(AND(ISNUMBER(G32),G32&lt;&gt;0),G36/(G32)-1,"不適用"),"")</f>
        <v/>
      </c>
      <c r="H45" s="61" t="str">
        <f aca="false">IF(ISNUMBER(H36),IF(AND(ISNUMBER(H32),H32&lt;&gt;0),H36/(H32)-1,"不適用"),"")</f>
        <v/>
      </c>
    </row>
    <row r="46" customFormat="false" ht="15" hidden="true" customHeight="false" outlineLevel="1" collapsed="false">
      <c r="A46" s="3" t="s">
        <v>853</v>
      </c>
      <c r="B46" s="10" t="s">
        <v>42</v>
      </c>
      <c r="C46" s="61" t="str">
        <f aca="false">IF(ISNUMBER(C36),"不適用","")</f>
        <v/>
      </c>
      <c r="D46" s="61" t="str">
        <f aca="false">IF(ISNUMBER(D36),"不適用","")</f>
        <v/>
      </c>
      <c r="E46" s="61" t="str">
        <f aca="false">IF(ISNUMBER(E36),"不適用","")</f>
        <v/>
      </c>
      <c r="F46" s="61" t="str">
        <f aca="false">IF(ISNUMBER(F36),"不適用","")</f>
        <v/>
      </c>
      <c r="G46" s="61" t="str">
        <f aca="false">IF(ISNUMBER(G36),"不適用","")</f>
        <v/>
      </c>
      <c r="H46" s="61" t="str">
        <f aca="false">IF(ISNUMBER(H36),"不適用","")</f>
        <v/>
      </c>
    </row>
    <row r="47" customFormat="false" ht="15" hidden="true" customHeight="false" outlineLevel="1" collapsed="false">
      <c r="A47" s="3" t="s">
        <v>854</v>
      </c>
      <c r="B47" s="10" t="s">
        <v>56</v>
      </c>
      <c r="C47" s="60" t="n">
        <f aca="false">IF(AND(ISNUMBER(C28),ISNUMBER(C33)),C28-(C33),"不適用")</f>
        <v>0.0299298437398616</v>
      </c>
      <c r="D47" s="60" t="n">
        <f aca="false">IF(AND(ISNUMBER(D28),ISNUMBER(D33)),D28-(D33),"不適用")</f>
        <v>-0.205889443739862</v>
      </c>
      <c r="E47" s="60" t="str">
        <f aca="false">IF(AND(ISNUMBER(E28),ISNUMBER(E33)),E28-(E33),"不適用")</f>
        <v>不適用</v>
      </c>
      <c r="F47" s="60" t="str">
        <f aca="false">IF(AND(ISNUMBER(F28),ISNUMBER(F33)),F28-(F33),"不適用")</f>
        <v>不適用</v>
      </c>
      <c r="G47" s="60" t="str">
        <f aca="false">IF(AND(ISNUMBER(G28),ISNUMBER(G33)),G28-(G33),"不適用")</f>
        <v>不適用</v>
      </c>
      <c r="H47" s="60" t="str">
        <f aca="false">IF(AND(ISNUMBER(H28),ISNUMBER(H33)),H28-(H33),"不適用")</f>
        <v>不適用</v>
      </c>
    </row>
    <row r="48" customFormat="false" ht="15" hidden="true" customHeight="false" outlineLevel="1" collapsed="false">
      <c r="A48" s="3" t="s">
        <v>855</v>
      </c>
      <c r="B48" s="10" t="s">
        <v>56</v>
      </c>
      <c r="C48" s="60" t="s">
        <v>799</v>
      </c>
      <c r="D48" s="60" t="s">
        <v>799</v>
      </c>
      <c r="E48" s="60" t="s">
        <v>799</v>
      </c>
      <c r="F48" s="60" t="s">
        <v>799</v>
      </c>
      <c r="G48" s="60" t="s">
        <v>799</v>
      </c>
      <c r="H48" s="60" t="s">
        <v>799</v>
      </c>
    </row>
    <row r="49" customFormat="false" ht="15" hidden="true" customHeight="false" outlineLevel="1" collapsed="false">
      <c r="A49" s="3" t="s">
        <v>856</v>
      </c>
      <c r="B49" s="10" t="s">
        <v>56</v>
      </c>
      <c r="C49" s="60" t="str">
        <f aca="false">IF(ISNUMBER(C37),IF(AND(ISNUMBER(C28)),C37-(C28),"不適用"),"")</f>
        <v/>
      </c>
      <c r="D49" s="60" t="str">
        <f aca="false">IF(ISNUMBER(D37),IF(AND(ISNUMBER(D28)),D37-(D28),"不適用"),"")</f>
        <v/>
      </c>
      <c r="E49" s="60" t="str">
        <f aca="false">IF(ISNUMBER(E37),IF(AND(ISNUMBER(E28)),E37-(E28),"不適用"),"")</f>
        <v/>
      </c>
      <c r="F49" s="60" t="str">
        <f aca="false">IF(ISNUMBER(F37),IF(AND(ISNUMBER(F28)),F37-(F28),"不適用"),"")</f>
        <v/>
      </c>
      <c r="G49" s="60" t="str">
        <f aca="false">IF(ISNUMBER(G37),IF(AND(ISNUMBER(G28)),G37-(G28),"不適用"),"")</f>
        <v/>
      </c>
      <c r="H49" s="60" t="str">
        <f aca="false">IF(ISNUMBER(H37),IF(AND(ISNUMBER(H28)),H37-(H28),"不適用"),"")</f>
        <v/>
      </c>
    </row>
    <row r="50" customFormat="false" ht="15" hidden="true" customHeight="false" outlineLevel="1" collapsed="false">
      <c r="A50" s="3" t="s">
        <v>857</v>
      </c>
      <c r="B50" s="10" t="s">
        <v>56</v>
      </c>
      <c r="C50" s="60" t="str">
        <f aca="false">IF(ISNUMBER(C37),IF(AND(ISNUMBER(C33)),C37-(C33),"不適用"),"")</f>
        <v/>
      </c>
      <c r="D50" s="60" t="str">
        <f aca="false">IF(ISNUMBER(D37),IF(AND(ISNUMBER(D33)),D37-(D33),"不適用"),"")</f>
        <v/>
      </c>
      <c r="E50" s="60" t="str">
        <f aca="false">IF(ISNUMBER(E37),IF(AND(ISNUMBER(E33)),E37-(E33),"不適用"),"")</f>
        <v/>
      </c>
      <c r="F50" s="60" t="str">
        <f aca="false">IF(ISNUMBER(F37),IF(AND(ISNUMBER(F33)),F37-(F33),"不適用"),"")</f>
        <v/>
      </c>
      <c r="G50" s="60" t="str">
        <f aca="false">IF(ISNUMBER(G37),IF(AND(ISNUMBER(G33)),G37-(G33),"不適用"),"")</f>
        <v/>
      </c>
      <c r="H50" s="60" t="str">
        <f aca="false">IF(ISNUMBER(H37),IF(AND(ISNUMBER(H33)),H37-(H33),"不適用"),"")</f>
        <v/>
      </c>
    </row>
    <row r="51" customFormat="false" ht="15" hidden="true" customHeight="false" outlineLevel="1" collapsed="false">
      <c r="A51" s="3" t="s">
        <v>858</v>
      </c>
      <c r="B51" s="10" t="s">
        <v>56</v>
      </c>
      <c r="C51" s="60" t="str">
        <f aca="false">IF(ISNUMBER(C37),"不適用","")</f>
        <v/>
      </c>
      <c r="D51" s="60" t="str">
        <f aca="false">IF(ISNUMBER(D37),"不適用","")</f>
        <v/>
      </c>
      <c r="E51" s="60" t="str">
        <f aca="false">IF(ISNUMBER(E37),"不適用","")</f>
        <v/>
      </c>
      <c r="F51" s="60" t="str">
        <f aca="false">IF(ISNUMBER(F37),"不適用","")</f>
        <v/>
      </c>
      <c r="G51" s="60" t="str">
        <f aca="false">IF(ISNUMBER(G37),"不適用","")</f>
        <v/>
      </c>
      <c r="H51" s="60" t="str">
        <f aca="false">IF(ISNUMBER(H37),"不適用","")</f>
        <v/>
      </c>
    </row>
    <row r="52" customFormat="false" ht="15" hidden="true" customHeight="false" outlineLevel="1" collapsed="false">
      <c r="A52" s="3" t="s">
        <v>859</v>
      </c>
      <c r="B52" s="10" t="s">
        <v>68</v>
      </c>
      <c r="C52" s="61" t="n">
        <f aca="false">IF(AND(ISNUMBER(C28),ISNUMBER(C22),C22&lt;&gt;0,ISNUMBER(C33),ISNUMBER(C32),C32&lt;&gt;0),C28/C22-C33/C32,"不適用")</f>
        <v>0.0436553116731985</v>
      </c>
      <c r="D52" s="61" t="n">
        <f aca="false">IF(AND(ISNUMBER(D28),ISNUMBER(D22),D22&lt;&gt;0,ISNUMBER(D33),ISNUMBER(D32),D32&lt;&gt;0),D28/D22-D33/D32,"不適用")</f>
        <v>-0.031843761375716</v>
      </c>
      <c r="E52" s="61" t="str">
        <f aca="false">IF(AND(ISNUMBER(E28),ISNUMBER(E22),E22&lt;&gt;0,ISNUMBER(E33),ISNUMBER(E32),E32&lt;&gt;0),E28/E22-E33/E32,"不適用")</f>
        <v>不適用</v>
      </c>
      <c r="F52" s="61" t="str">
        <f aca="false">IF(AND(ISNUMBER(F28),ISNUMBER(F22),F22&lt;&gt;0,ISNUMBER(F33),ISNUMBER(F32),F32&lt;&gt;0),F28/F22-F33/F32,"不適用")</f>
        <v>不適用</v>
      </c>
      <c r="G52" s="61" t="str">
        <f aca="false">IF(AND(ISNUMBER(G28),ISNUMBER(G22),G22&lt;&gt;0,ISNUMBER(G33),ISNUMBER(G32),G32&lt;&gt;0),G28/G22-G33/G32,"不適用")</f>
        <v>不適用</v>
      </c>
      <c r="H52" s="61" t="str">
        <f aca="false">IF(AND(ISNUMBER(H28),ISNUMBER(H22),H22&lt;&gt;0,ISNUMBER(H33),ISNUMBER(H32),H32&lt;&gt;0),H28/H22-H33/H32,"不適用")</f>
        <v>不適用</v>
      </c>
    </row>
    <row r="53" customFormat="false" ht="15" hidden="true" customHeight="false" outlineLevel="1" collapsed="false">
      <c r="A53" s="3" t="s">
        <v>860</v>
      </c>
      <c r="B53" s="10" t="s">
        <v>68</v>
      </c>
      <c r="C53" s="61" t="s">
        <v>799</v>
      </c>
      <c r="D53" s="61" t="s">
        <v>799</v>
      </c>
      <c r="E53" s="61" t="s">
        <v>799</v>
      </c>
      <c r="F53" s="61" t="s">
        <v>799</v>
      </c>
      <c r="G53" s="61" t="s">
        <v>799</v>
      </c>
      <c r="H53" s="61" t="s">
        <v>799</v>
      </c>
    </row>
    <row r="54" customFormat="false" ht="15" hidden="true" customHeight="false" outlineLevel="1" collapsed="false">
      <c r="A54" s="3" t="s">
        <v>861</v>
      </c>
      <c r="B54" s="10" t="s">
        <v>68</v>
      </c>
      <c r="C54" s="61" t="str">
        <f aca="false">IF(ISNUMBER(C37),IF(AND(ISNUMBER(C37),ISNUMBER(C36),C36&lt;&gt;0,ISNUMBER(C28),ISNUMBER(C22),C22&lt;&gt;0),C37/C36-C28/C22,"不適用"),"")</f>
        <v/>
      </c>
      <c r="D54" s="61" t="str">
        <f aca="false">IF(ISNUMBER(D37),IF(AND(ISNUMBER(D37),ISNUMBER(D36),D36&lt;&gt;0,ISNUMBER(D28),ISNUMBER(D22),D22&lt;&gt;0),D37/D36-D28/D22,"不適用"),"")</f>
        <v/>
      </c>
      <c r="E54" s="61" t="str">
        <f aca="false">IF(ISNUMBER(E37),IF(AND(ISNUMBER(E37),ISNUMBER(E36),E36&lt;&gt;0,ISNUMBER(E28),ISNUMBER(E22),E22&lt;&gt;0),E37/E36-E28/E22,"不適用"),"")</f>
        <v/>
      </c>
      <c r="F54" s="61" t="str">
        <f aca="false">IF(ISNUMBER(F37),IF(AND(ISNUMBER(F37),ISNUMBER(F36),F36&lt;&gt;0,ISNUMBER(F28),ISNUMBER(F22),F22&lt;&gt;0),F37/F36-F28/F22,"不適用"),"")</f>
        <v/>
      </c>
      <c r="G54" s="61" t="str">
        <f aca="false">IF(ISNUMBER(G37),IF(AND(ISNUMBER(G37),ISNUMBER(G36),G36&lt;&gt;0,ISNUMBER(G28),ISNUMBER(G22),G22&lt;&gt;0),G37/G36-G28/G22,"不適用"),"")</f>
        <v/>
      </c>
      <c r="H54" s="61" t="str">
        <f aca="false">IF(ISNUMBER(H37),IF(AND(ISNUMBER(H37),ISNUMBER(H36),H36&lt;&gt;0,ISNUMBER(H28),ISNUMBER(H22),H22&lt;&gt;0),H37/H36-H28/H22,"不適用"),"")</f>
        <v/>
      </c>
    </row>
    <row r="55" customFormat="false" ht="15" hidden="true" customHeight="false" outlineLevel="1" collapsed="false">
      <c r="A55" s="3" t="s">
        <v>862</v>
      </c>
      <c r="B55" s="10" t="s">
        <v>68</v>
      </c>
      <c r="C55" s="61" t="str">
        <f aca="false">IF(ISNUMBER(C37),IF(AND(ISNUMBER(C37),ISNUMBER(C36),C36&lt;&gt;0,ISNUMBER(C33),ISNUMBER(C32),C32&lt;&gt;0),C37/C36-C33/C32,"不適用"),"")</f>
        <v/>
      </c>
      <c r="D55" s="61" t="str">
        <f aca="false">IF(ISNUMBER(D37),IF(AND(ISNUMBER(D37),ISNUMBER(D36),D36&lt;&gt;0,ISNUMBER(D33),ISNUMBER(D32),D32&lt;&gt;0),D37/D36-D33/D32,"不適用"),"")</f>
        <v/>
      </c>
      <c r="E55" s="61" t="str">
        <f aca="false">IF(ISNUMBER(E37),IF(AND(ISNUMBER(E37),ISNUMBER(E36),E36&lt;&gt;0,ISNUMBER(E33),ISNUMBER(E32),E32&lt;&gt;0),E37/E36-E33/E32,"不適用"),"")</f>
        <v/>
      </c>
      <c r="F55" s="61" t="str">
        <f aca="false">IF(ISNUMBER(F37),IF(AND(ISNUMBER(F37),ISNUMBER(F36),F36&lt;&gt;0,ISNUMBER(F33),ISNUMBER(F32),F32&lt;&gt;0),F37/F36-F33/F32,"不適用"),"")</f>
        <v/>
      </c>
      <c r="G55" s="61" t="str">
        <f aca="false">IF(ISNUMBER(G37),IF(AND(ISNUMBER(G37),ISNUMBER(G36),G36&lt;&gt;0,ISNUMBER(G33),ISNUMBER(G32),G32&lt;&gt;0),G37/G36-G33/G32,"不適用"),"")</f>
        <v/>
      </c>
      <c r="H55" s="61" t="str">
        <f aca="false">IF(ISNUMBER(H37),IF(AND(ISNUMBER(H37),ISNUMBER(H36),H36&lt;&gt;0,ISNUMBER(H33),ISNUMBER(H32),H32&lt;&gt;0),H37/H36-H33/H32,"不適用"),"")</f>
        <v/>
      </c>
    </row>
    <row r="56" customFormat="false" ht="15" hidden="true" customHeight="false" outlineLevel="1" collapsed="false">
      <c r="A56" s="3" t="s">
        <v>863</v>
      </c>
      <c r="B56" s="10" t="s">
        <v>68</v>
      </c>
      <c r="C56" s="61" t="str">
        <f aca="false">IF(ISNUMBER(C37),"不適用","")</f>
        <v/>
      </c>
      <c r="D56" s="61" t="str">
        <f aca="false">IF(ISNUMBER(D37),"不適用","")</f>
        <v/>
      </c>
      <c r="E56" s="61" t="str">
        <f aca="false">IF(ISNUMBER(E37),"不適用","")</f>
        <v/>
      </c>
      <c r="F56" s="61" t="str">
        <f aca="false">IF(ISNUMBER(F37),"不適用","")</f>
        <v/>
      </c>
      <c r="G56" s="61" t="str">
        <f aca="false">IF(ISNUMBER(G37),"不適用","")</f>
        <v/>
      </c>
      <c r="H56" s="61" t="str">
        <f aca="false">IF(ISNUMBER(H37),"不適用","")</f>
        <v/>
      </c>
    </row>
    <row r="57" customFormat="false" ht="15" hidden="true" customHeight="false" outlineLevel="1" collapsed="false">
      <c r="A57" s="3" t="s">
        <v>864</v>
      </c>
      <c r="B57" s="10" t="s">
        <v>68</v>
      </c>
      <c r="C57" s="61" t="n">
        <f aca="false">IF(AND(ISNUMBER(C27),ISNUMBER(C34)),C27-(C34),"不適用")</f>
        <v>0.0436553116731985</v>
      </c>
      <c r="D57" s="61" t="n">
        <f aca="false">IF(AND(ISNUMBER(D27),ISNUMBER(D34)),D27-(D34),"不適用")</f>
        <v>-0.031843761375716</v>
      </c>
      <c r="E57" s="61" t="str">
        <f aca="false">IF(AND(ISNUMBER(E27),ISNUMBER(E34)),E27-(E34),"不適用")</f>
        <v>不適用</v>
      </c>
      <c r="F57" s="61" t="str">
        <f aca="false">IF(AND(ISNUMBER(F27),ISNUMBER(F34)),F27-(F34),"不適用")</f>
        <v>不適用</v>
      </c>
      <c r="G57" s="61" t="str">
        <f aca="false">IF(AND(ISNUMBER(G27),ISNUMBER(G34)),G27-(G34),"不適用")</f>
        <v>不適用</v>
      </c>
      <c r="H57" s="61" t="str">
        <f aca="false">IF(AND(ISNUMBER(H27),ISNUMBER(H34)),H27-(H34),"不適用")</f>
        <v>不適用</v>
      </c>
    </row>
    <row r="58" customFormat="false" ht="15" hidden="true" customHeight="false" outlineLevel="1" collapsed="false">
      <c r="A58" s="3" t="s">
        <v>865</v>
      </c>
      <c r="B58" s="10" t="s">
        <v>68</v>
      </c>
      <c r="C58" s="61" t="s">
        <v>799</v>
      </c>
      <c r="D58" s="61" t="s">
        <v>799</v>
      </c>
      <c r="E58" s="61" t="s">
        <v>799</v>
      </c>
      <c r="F58" s="61" t="s">
        <v>799</v>
      </c>
      <c r="G58" s="61" t="s">
        <v>799</v>
      </c>
      <c r="H58" s="61" t="s">
        <v>799</v>
      </c>
    </row>
    <row r="59" customFormat="false" ht="15" hidden="true" customHeight="false" outlineLevel="1" collapsed="false">
      <c r="A59" s="3" t="s">
        <v>866</v>
      </c>
      <c r="B59" s="10" t="s">
        <v>68</v>
      </c>
      <c r="C59" s="61" t="str">
        <f aca="false">IF(ISNUMBER(C38),IF(AND(ISNUMBER(C27)),C38-(C27),"不適用"),"")</f>
        <v/>
      </c>
      <c r="D59" s="61" t="str">
        <f aca="false">IF(ISNUMBER(D38),IF(AND(ISNUMBER(D27)),D38-(D27),"不適用"),"")</f>
        <v/>
      </c>
      <c r="E59" s="61" t="str">
        <f aca="false">IF(ISNUMBER(E38),IF(AND(ISNUMBER(E27)),E38-(E27),"不適用"),"")</f>
        <v/>
      </c>
      <c r="F59" s="61" t="str">
        <f aca="false">IF(ISNUMBER(F38),IF(AND(ISNUMBER(F27)),F38-(F27),"不適用"),"")</f>
        <v/>
      </c>
      <c r="G59" s="61" t="str">
        <f aca="false">IF(ISNUMBER(G38),IF(AND(ISNUMBER(G27)),G38-(G27),"不適用"),"")</f>
        <v/>
      </c>
      <c r="H59" s="61" t="str">
        <f aca="false">IF(ISNUMBER(H38),IF(AND(ISNUMBER(H27)),H38-(H27),"不適用"),"")</f>
        <v/>
      </c>
    </row>
    <row r="60" customFormat="false" ht="15" hidden="true" customHeight="false" outlineLevel="1" collapsed="false">
      <c r="A60" s="3" t="s">
        <v>867</v>
      </c>
      <c r="B60" s="10" t="s">
        <v>68</v>
      </c>
      <c r="C60" s="61" t="str">
        <f aca="false">IF(ISNUMBER(C38),IF(AND(ISNUMBER(C34)),C38-(C34),"不適用"),"")</f>
        <v/>
      </c>
      <c r="D60" s="61" t="str">
        <f aca="false">IF(ISNUMBER(D38),IF(AND(ISNUMBER(D34)),D38-(D34),"不適用"),"")</f>
        <v/>
      </c>
      <c r="E60" s="61" t="str">
        <f aca="false">IF(ISNUMBER(E38),IF(AND(ISNUMBER(E34)),E38-(E34),"不適用"),"")</f>
        <v/>
      </c>
      <c r="F60" s="61" t="str">
        <f aca="false">IF(ISNUMBER(F38),IF(AND(ISNUMBER(F34)),F38-(F34),"不適用"),"")</f>
        <v/>
      </c>
      <c r="G60" s="61" t="str">
        <f aca="false">IF(ISNUMBER(G38),IF(AND(ISNUMBER(G34)),G38-(G34),"不適用"),"")</f>
        <v/>
      </c>
      <c r="H60" s="61" t="str">
        <f aca="false">IF(ISNUMBER(H38),IF(AND(ISNUMBER(H34)),H38-(H34),"不適用"),"")</f>
        <v/>
      </c>
    </row>
    <row r="61" customFormat="false" ht="15" hidden="true" customHeight="false" outlineLevel="1" collapsed="false">
      <c r="A61" s="3" t="s">
        <v>868</v>
      </c>
      <c r="B61" s="10" t="s">
        <v>68</v>
      </c>
      <c r="C61" s="61" t="str">
        <f aca="false">IF(ISNUMBER(C38),"不適用","")</f>
        <v/>
      </c>
      <c r="D61" s="61" t="str">
        <f aca="false">IF(ISNUMBER(D38),"不適用","")</f>
        <v/>
      </c>
      <c r="E61" s="61" t="str">
        <f aca="false">IF(ISNUMBER(E38),"不適用","")</f>
        <v/>
      </c>
      <c r="F61" s="61" t="str">
        <f aca="false">IF(ISNUMBER(F38),"不適用","")</f>
        <v/>
      </c>
      <c r="G61" s="61" t="str">
        <f aca="false">IF(ISNUMBER(G38),"不適用","")</f>
        <v/>
      </c>
      <c r="H61" s="61" t="str">
        <f aca="false">IF(ISNUMBER(H38),"不適用","")</f>
        <v/>
      </c>
    </row>
    <row r="62" customFormat="false" ht="15" hidden="true" customHeight="false" outlineLevel="1" collapsed="false">
      <c r="A62" s="3" t="s">
        <v>869</v>
      </c>
      <c r="B62" s="10" t="s">
        <v>56</v>
      </c>
      <c r="C62" s="60" t="s">
        <v>799</v>
      </c>
      <c r="D62" s="60" t="s">
        <v>799</v>
      </c>
      <c r="E62" s="60" t="s">
        <v>799</v>
      </c>
      <c r="F62" s="60" t="s">
        <v>799</v>
      </c>
      <c r="G62" s="60" t="s">
        <v>799</v>
      </c>
      <c r="H62" s="60" t="s">
        <v>799</v>
      </c>
    </row>
    <row r="63" customFormat="false" ht="15" hidden="true" customHeight="false" outlineLevel="1" collapsed="false">
      <c r="A63" s="3" t="s">
        <v>870</v>
      </c>
      <c r="B63" s="10" t="s">
        <v>56</v>
      </c>
      <c r="C63" s="60" t="s">
        <v>799</v>
      </c>
      <c r="D63" s="60" t="s">
        <v>799</v>
      </c>
      <c r="E63" s="60" t="s">
        <v>799</v>
      </c>
      <c r="F63" s="60" t="s">
        <v>799</v>
      </c>
      <c r="G63" s="60" t="s">
        <v>799</v>
      </c>
      <c r="H63" s="60" t="s">
        <v>799</v>
      </c>
    </row>
    <row r="64" customFormat="false" ht="15" hidden="true" customHeight="false" outlineLevel="1" collapsed="false">
      <c r="A64" s="3" t="s">
        <v>871</v>
      </c>
      <c r="B64" s="10" t="s">
        <v>56</v>
      </c>
      <c r="C64" s="60" t="str">
        <f aca="false">IF(ISNUMBER(C39),IF(AND(ISNUMBER(C30)),C39-(C30),"不適用"),"")</f>
        <v/>
      </c>
      <c r="D64" s="60" t="str">
        <f aca="false">IF(ISNUMBER(D39),IF(AND(ISNUMBER(D30)),D39-(D30),"不適用"),"")</f>
        <v/>
      </c>
      <c r="E64" s="60" t="str">
        <f aca="false">IF(ISNUMBER(E39),IF(AND(ISNUMBER(E30)),E39-(E30),"不適用"),"")</f>
        <v/>
      </c>
      <c r="F64" s="60" t="str">
        <f aca="false">IF(ISNUMBER(F39),IF(AND(ISNUMBER(F30)),F39-(F30),"不適用"),"")</f>
        <v/>
      </c>
      <c r="G64" s="60" t="str">
        <f aca="false">IF(ISNUMBER(G39),IF(AND(ISNUMBER(G30)),G39-(G30),"不適用"),"")</f>
        <v/>
      </c>
      <c r="H64" s="60" t="str">
        <f aca="false">IF(ISNUMBER(H39),IF(AND(ISNUMBER(H30)),H39-(H30),"不適用"),"")</f>
        <v/>
      </c>
    </row>
    <row r="65" customFormat="false" ht="15" hidden="true" customHeight="false" outlineLevel="1" collapsed="false">
      <c r="A65" s="3" t="s">
        <v>872</v>
      </c>
      <c r="B65" s="10" t="s">
        <v>56</v>
      </c>
      <c r="C65" s="60" t="str">
        <f aca="false">IF(ISNUMBER(C39),"不適用","")</f>
        <v/>
      </c>
      <c r="D65" s="60" t="str">
        <f aca="false">IF(ISNUMBER(D39),"不適用","")</f>
        <v/>
      </c>
      <c r="E65" s="60" t="str">
        <f aca="false">IF(ISNUMBER(E39),"不適用","")</f>
        <v/>
      </c>
      <c r="F65" s="60" t="str">
        <f aca="false">IF(ISNUMBER(F39),"不適用","")</f>
        <v/>
      </c>
      <c r="G65" s="60" t="str">
        <f aca="false">IF(ISNUMBER(G39),"不適用","")</f>
        <v/>
      </c>
      <c r="H65" s="60" t="str">
        <f aca="false">IF(ISNUMBER(H39),"不適用","")</f>
        <v/>
      </c>
    </row>
    <row r="66" customFormat="false" ht="15" hidden="true" customHeight="false" outlineLevel="1" collapsed="false">
      <c r="A66" s="3" t="s">
        <v>873</v>
      </c>
      <c r="B66" s="10" t="s">
        <v>56</v>
      </c>
      <c r="C66" s="60" t="str">
        <f aca="false">IF(ISNUMBER(C39),"不適用","")</f>
        <v/>
      </c>
      <c r="D66" s="60" t="str">
        <f aca="false">IF(ISNUMBER(D39),"不適用","")</f>
        <v/>
      </c>
      <c r="E66" s="60" t="str">
        <f aca="false">IF(ISNUMBER(E39),"不適用","")</f>
        <v/>
      </c>
      <c r="F66" s="60" t="str">
        <f aca="false">IF(ISNUMBER(F39),"不適用","")</f>
        <v/>
      </c>
      <c r="G66" s="60" t="str">
        <f aca="false">IF(ISNUMBER(G39),"不適用","")</f>
        <v/>
      </c>
      <c r="H66" s="60" t="str">
        <f aca="false">IF(ISNUMBER(H39),"不適用","")</f>
        <v/>
      </c>
    </row>
    <row r="67" customFormat="false" ht="15" hidden="true" customHeight="false" outlineLevel="1" collapsed="false">
      <c r="A67" s="3" t="s">
        <v>874</v>
      </c>
      <c r="B67" s="10" t="s">
        <v>68</v>
      </c>
      <c r="C67" s="61" t="s">
        <v>799</v>
      </c>
      <c r="D67" s="61" t="s">
        <v>799</v>
      </c>
      <c r="E67" s="61" t="s">
        <v>799</v>
      </c>
      <c r="F67" s="61" t="s">
        <v>799</v>
      </c>
      <c r="G67" s="61" t="s">
        <v>799</v>
      </c>
      <c r="H67" s="61" t="s">
        <v>799</v>
      </c>
    </row>
    <row r="68" customFormat="false" ht="15" hidden="true" customHeight="false" outlineLevel="1" collapsed="false">
      <c r="A68" s="3" t="s">
        <v>875</v>
      </c>
      <c r="B68" s="10" t="s">
        <v>68</v>
      </c>
      <c r="C68" s="61" t="s">
        <v>799</v>
      </c>
      <c r="D68" s="61" t="s">
        <v>799</v>
      </c>
      <c r="E68" s="61" t="s">
        <v>799</v>
      </c>
      <c r="F68" s="61" t="s">
        <v>799</v>
      </c>
      <c r="G68" s="61" t="s">
        <v>799</v>
      </c>
      <c r="H68" s="61" t="s">
        <v>799</v>
      </c>
    </row>
    <row r="69" customFormat="false" ht="15" hidden="true" customHeight="false" outlineLevel="1" collapsed="false">
      <c r="A69" s="3" t="s">
        <v>876</v>
      </c>
      <c r="B69" s="10" t="s">
        <v>68</v>
      </c>
      <c r="C69" s="61" t="str">
        <f aca="false">IF(ISNUMBER(C39),IF(AND(ISNUMBER(C39),ISNUMBER(C36),C36&lt;&gt;0,ISNUMBER(C30),ISNUMBER(C22),C22&lt;&gt;0),C39/C36-C30/C22,"不適用"),"")</f>
        <v/>
      </c>
      <c r="D69" s="61" t="str">
        <f aca="false">IF(ISNUMBER(D39),IF(AND(ISNUMBER(D39),ISNUMBER(D36),D36&lt;&gt;0,ISNUMBER(D30),ISNUMBER(D22),D22&lt;&gt;0),D39/D36-D30/D22,"不適用"),"")</f>
        <v/>
      </c>
      <c r="E69" s="61" t="str">
        <f aca="false">IF(ISNUMBER(E39),IF(AND(ISNUMBER(E39),ISNUMBER(E36),E36&lt;&gt;0,ISNUMBER(E30),ISNUMBER(E22),E22&lt;&gt;0),E39/E36-E30/E22,"不適用"),"")</f>
        <v/>
      </c>
      <c r="F69" s="61" t="str">
        <f aca="false">IF(ISNUMBER(F39),IF(AND(ISNUMBER(F39),ISNUMBER(F36),F36&lt;&gt;0,ISNUMBER(F30),ISNUMBER(F22),F22&lt;&gt;0),F39/F36-F30/F22,"不適用"),"")</f>
        <v/>
      </c>
      <c r="G69" s="61" t="str">
        <f aca="false">IF(ISNUMBER(G39),IF(AND(ISNUMBER(G39),ISNUMBER(G36),G36&lt;&gt;0,ISNUMBER(G30),ISNUMBER(G22),G22&lt;&gt;0),G39/G36-G30/G22,"不適用"),"")</f>
        <v/>
      </c>
      <c r="H69" s="61" t="str">
        <f aca="false">IF(ISNUMBER(H39),IF(AND(ISNUMBER(H39),ISNUMBER(H36),H36&lt;&gt;0,ISNUMBER(H30),ISNUMBER(H22),H22&lt;&gt;0),H39/H36-H30/H22,"不適用"),"")</f>
        <v/>
      </c>
    </row>
    <row r="70" customFormat="false" ht="15" hidden="true" customHeight="false" outlineLevel="1" collapsed="false">
      <c r="A70" s="3" t="s">
        <v>877</v>
      </c>
      <c r="B70" s="10" t="s">
        <v>68</v>
      </c>
      <c r="C70" s="61" t="str">
        <f aca="false">IF(ISNUMBER(C39),"不適用","")</f>
        <v/>
      </c>
      <c r="D70" s="61" t="str">
        <f aca="false">IF(ISNUMBER(D39),"不適用","")</f>
        <v/>
      </c>
      <c r="E70" s="61" t="str">
        <f aca="false">IF(ISNUMBER(E39),"不適用","")</f>
        <v/>
      </c>
      <c r="F70" s="61" t="str">
        <f aca="false">IF(ISNUMBER(F39),"不適用","")</f>
        <v/>
      </c>
      <c r="G70" s="61" t="str">
        <f aca="false">IF(ISNUMBER(G39),"不適用","")</f>
        <v/>
      </c>
      <c r="H70" s="61" t="str">
        <f aca="false">IF(ISNUMBER(H39),"不適用","")</f>
        <v/>
      </c>
    </row>
    <row r="71" customFormat="false" ht="15" hidden="true" customHeight="false" outlineLevel="1" collapsed="false">
      <c r="A71" s="3" t="s">
        <v>878</v>
      </c>
      <c r="B71" s="10" t="s">
        <v>68</v>
      </c>
      <c r="C71" s="61" t="str">
        <f aca="false">IF(ISNUMBER(C39),"不適用","")</f>
        <v/>
      </c>
      <c r="D71" s="61" t="str">
        <f aca="false">IF(ISNUMBER(D39),"不適用","")</f>
        <v/>
      </c>
      <c r="E71" s="61" t="str">
        <f aca="false">IF(ISNUMBER(E39),"不適用","")</f>
        <v/>
      </c>
      <c r="F71" s="61" t="str">
        <f aca="false">IF(ISNUMBER(F39),"不適用","")</f>
        <v/>
      </c>
      <c r="G71" s="61" t="str">
        <f aca="false">IF(ISNUMBER(G39),"不適用","")</f>
        <v/>
      </c>
      <c r="H71" s="61" t="str">
        <f aca="false">IF(ISNUMBER(H39),"不適用","")</f>
        <v/>
      </c>
    </row>
    <row r="72" customFormat="false" ht="15" hidden="true" customHeight="false" outlineLevel="1" collapsed="false">
      <c r="A72" s="3" t="s">
        <v>879</v>
      </c>
      <c r="B72" s="10" t="s">
        <v>42</v>
      </c>
      <c r="C72" s="61" t="s">
        <v>799</v>
      </c>
      <c r="D72" s="61" t="s">
        <v>799</v>
      </c>
      <c r="E72" s="61" t="s">
        <v>799</v>
      </c>
      <c r="F72" s="61" t="s">
        <v>799</v>
      </c>
      <c r="G72" s="61" t="s">
        <v>799</v>
      </c>
      <c r="H72" s="61" t="s">
        <v>799</v>
      </c>
    </row>
    <row r="73" customFormat="false" ht="15" hidden="true" customHeight="false" outlineLevel="1" collapsed="false">
      <c r="A73" s="3" t="s">
        <v>880</v>
      </c>
      <c r="B73" s="10" t="s">
        <v>42</v>
      </c>
      <c r="C73" s="61" t="s">
        <v>799</v>
      </c>
      <c r="D73" s="61" t="s">
        <v>799</v>
      </c>
      <c r="E73" s="61" t="s">
        <v>799</v>
      </c>
      <c r="F73" s="61" t="s">
        <v>799</v>
      </c>
      <c r="G73" s="61" t="s">
        <v>799</v>
      </c>
      <c r="H73" s="61" t="s">
        <v>799</v>
      </c>
    </row>
    <row r="74" customFormat="false" ht="15" hidden="true" customHeight="false" outlineLevel="1" collapsed="false">
      <c r="A74" s="3" t="s">
        <v>881</v>
      </c>
      <c r="B74" s="10" t="s">
        <v>42</v>
      </c>
      <c r="C74" s="61" t="str">
        <f aca="false">IF(ISNUMBER(C40),IF(AND(ISNUMBER(C31),C31&lt;&gt;0),C40/(C31)-1,"不適用"),"")</f>
        <v/>
      </c>
      <c r="D74" s="61" t="str">
        <f aca="false">IF(ISNUMBER(D40),IF(AND(ISNUMBER(D31),D31&lt;&gt;0),D40/(D31)-1,"不適用"),"")</f>
        <v/>
      </c>
      <c r="E74" s="61" t="str">
        <f aca="false">IF(ISNUMBER(E40),IF(AND(ISNUMBER(E31),E31&lt;&gt;0),E40/(E31)-1,"不適用"),"")</f>
        <v/>
      </c>
      <c r="F74" s="61" t="str">
        <f aca="false">IF(ISNUMBER(F40),IF(AND(ISNUMBER(F31),F31&lt;&gt;0),F40/(F31)-1,"不適用"),"")</f>
        <v/>
      </c>
      <c r="G74" s="61" t="str">
        <f aca="false">IF(ISNUMBER(G40),IF(AND(ISNUMBER(G31),G31&lt;&gt;0),G40/(G31)-1,"不適用"),"")</f>
        <v/>
      </c>
      <c r="H74" s="61" t="str">
        <f aca="false">IF(ISNUMBER(H40),IF(AND(ISNUMBER(H31),H31&lt;&gt;0),H40/(H31)-1,"不適用"),"")</f>
        <v/>
      </c>
    </row>
    <row r="75" customFormat="false" ht="15" hidden="true" customHeight="false" outlineLevel="1" collapsed="false">
      <c r="A75" s="3" t="s">
        <v>882</v>
      </c>
      <c r="B75" s="10" t="s">
        <v>42</v>
      </c>
      <c r="C75" s="61" t="str">
        <f aca="false">IF(ISNUMBER(C40),"不適用","")</f>
        <v/>
      </c>
      <c r="D75" s="61" t="str">
        <f aca="false">IF(ISNUMBER(D40),"不適用","")</f>
        <v/>
      </c>
      <c r="E75" s="61" t="str">
        <f aca="false">IF(ISNUMBER(E40),"不適用","")</f>
        <v/>
      </c>
      <c r="F75" s="61" t="str">
        <f aca="false">IF(ISNUMBER(F40),"不適用","")</f>
        <v/>
      </c>
      <c r="G75" s="61" t="str">
        <f aca="false">IF(ISNUMBER(G40),"不適用","")</f>
        <v/>
      </c>
      <c r="H75" s="61" t="str">
        <f aca="false">IF(ISNUMBER(H40),"不適用","")</f>
        <v/>
      </c>
    </row>
    <row r="76" customFormat="false" ht="15" hidden="true" customHeight="false" outlineLevel="1" collapsed="false">
      <c r="A76" s="3" t="s">
        <v>883</v>
      </c>
      <c r="B76" s="10" t="s">
        <v>42</v>
      </c>
      <c r="C76" s="61" t="str">
        <f aca="false">IF(ISNUMBER(C40),"不適用","")</f>
        <v/>
      </c>
      <c r="D76" s="61" t="str">
        <f aca="false">IF(ISNUMBER(D40),"不適用","")</f>
        <v/>
      </c>
      <c r="E76" s="61" t="str">
        <f aca="false">IF(ISNUMBER(E40),"不適用","")</f>
        <v/>
      </c>
      <c r="F76" s="61" t="str">
        <f aca="false">IF(ISNUMBER(F40),"不適用","")</f>
        <v/>
      </c>
      <c r="G76" s="61" t="str">
        <f aca="false">IF(ISNUMBER(G40),"不適用","")</f>
        <v/>
      </c>
      <c r="H76" s="61" t="str">
        <f aca="false">IF(ISNUMBER(H40),"不適用","")</f>
        <v/>
      </c>
    </row>
    <row r="77" customFormat="false" ht="15" hidden="true" customHeight="false" outlineLevel="1" collapsed="false">
      <c r="A77" s="3" t="s">
        <v>884</v>
      </c>
      <c r="B77" s="10" t="s">
        <v>142</v>
      </c>
      <c r="C77" s="62" t="s">
        <v>799</v>
      </c>
      <c r="D77" s="62" t="s">
        <v>799</v>
      </c>
      <c r="E77" s="62" t="s">
        <v>799</v>
      </c>
      <c r="F77" s="62" t="s">
        <v>799</v>
      </c>
      <c r="G77" s="62" t="s">
        <v>799</v>
      </c>
      <c r="H77" s="62" t="s">
        <v>799</v>
      </c>
    </row>
    <row r="78" customFormat="false" ht="15" hidden="true" customHeight="false" outlineLevel="1" collapsed="false">
      <c r="A78" s="3" t="s">
        <v>885</v>
      </c>
      <c r="B78" s="10" t="s">
        <v>142</v>
      </c>
      <c r="C78" s="62" t="s">
        <v>799</v>
      </c>
      <c r="D78" s="62" t="s">
        <v>799</v>
      </c>
      <c r="E78" s="62" t="s">
        <v>799</v>
      </c>
      <c r="F78" s="62" t="s">
        <v>799</v>
      </c>
      <c r="G78" s="62" t="s">
        <v>799</v>
      </c>
      <c r="H78" s="62" t="s">
        <v>799</v>
      </c>
    </row>
    <row r="79" customFormat="false" ht="15" hidden="true" customHeight="false" outlineLevel="1" collapsed="false">
      <c r="A79" s="3" t="s">
        <v>886</v>
      </c>
      <c r="B79" s="10" t="s">
        <v>142</v>
      </c>
      <c r="C79" s="62" t="str">
        <f aca="false">IF(ISNUMBER(C41),IF(AND(ISNUMBER(C19)),C41-(C19),"不適用"),"")</f>
        <v/>
      </c>
      <c r="D79" s="62" t="str">
        <f aca="false">IF(ISNUMBER(D41),IF(AND(ISNUMBER(D19)),D41-(D19),"不適用"),"")</f>
        <v/>
      </c>
      <c r="E79" s="62" t="str">
        <f aca="false">IF(ISNUMBER(E41),IF(AND(ISNUMBER(E19)),E41-(E19),"不適用"),"")</f>
        <v/>
      </c>
      <c r="F79" s="62" t="str">
        <f aca="false">IF(ISNUMBER(F41),IF(AND(ISNUMBER(F19)),F41-(F19),"不適用"),"")</f>
        <v/>
      </c>
      <c r="G79" s="62" t="str">
        <f aca="false">IF(ISNUMBER(G41),IF(AND(ISNUMBER(G19)),G41-(G19),"不適用"),"")</f>
        <v/>
      </c>
      <c r="H79" s="62" t="str">
        <f aca="false">IF(ISNUMBER(H41),IF(AND(ISNUMBER(H19)),H41-(H19),"不適用"),"")</f>
        <v/>
      </c>
    </row>
    <row r="80" customFormat="false" ht="15" hidden="true" customHeight="false" outlineLevel="1" collapsed="false">
      <c r="A80" s="3" t="s">
        <v>887</v>
      </c>
      <c r="B80" s="10" t="s">
        <v>142</v>
      </c>
      <c r="C80" s="62" t="str">
        <f aca="false">IF(ISNUMBER(C41),"不適用","")</f>
        <v/>
      </c>
      <c r="D80" s="62" t="str">
        <f aca="false">IF(ISNUMBER(D41),"不適用","")</f>
        <v/>
      </c>
      <c r="E80" s="62" t="str">
        <f aca="false">IF(ISNUMBER(E41),"不適用","")</f>
        <v/>
      </c>
      <c r="F80" s="62" t="str">
        <f aca="false">IF(ISNUMBER(F41),"不適用","")</f>
        <v/>
      </c>
      <c r="G80" s="62" t="str">
        <f aca="false">IF(ISNUMBER(G41),"不適用","")</f>
        <v/>
      </c>
      <c r="H80" s="62" t="str">
        <f aca="false">IF(ISNUMBER(H41),"不適用","")</f>
        <v/>
      </c>
    </row>
    <row r="81" customFormat="false" ht="15" hidden="true" customHeight="false" outlineLevel="1" collapsed="false">
      <c r="A81" s="3" t="s">
        <v>888</v>
      </c>
      <c r="B81" s="10" t="s">
        <v>142</v>
      </c>
      <c r="C81" s="62" t="str">
        <f aca="false">IF(ISNUMBER(C41),"不適用","")</f>
        <v/>
      </c>
      <c r="D81" s="62" t="str">
        <f aca="false">IF(ISNUMBER(D41),"不適用","")</f>
        <v/>
      </c>
      <c r="E81" s="62" t="str">
        <f aca="false">IF(ISNUMBER(E41),"不適用","")</f>
        <v/>
      </c>
      <c r="F81" s="62" t="str">
        <f aca="false">IF(ISNUMBER(F41),"不適用","")</f>
        <v/>
      </c>
      <c r="G81" s="62" t="str">
        <f aca="false">IF(ISNUMBER(G41),"不適用","")</f>
        <v/>
      </c>
      <c r="H81" s="62" t="str">
        <f aca="false">IF(ISNUMBER(H41),"不適用","")</f>
        <v/>
      </c>
    </row>
    <row r="82" customFormat="false" ht="15" hidden="true" customHeight="false" outlineLevel="1" collapsed="false">
      <c r="A82" s="3" t="s">
        <v>889</v>
      </c>
      <c r="B82" s="10" t="s">
        <v>56</v>
      </c>
      <c r="C82" s="60" t="n">
        <f aca="false">IF(COUNT(C32,D32)=2,C32+D32,"不適用")</f>
        <v>2.4204</v>
      </c>
      <c r="D82" s="60" t="n">
        <f aca="false">IF(COUNT(C32,D32)=2,C32+D32,"不適用")</f>
        <v>2.4204</v>
      </c>
      <c r="E82" s="60" t="str">
        <f aca="false">IF(COUNT(E32,F32,G32,H32)=4,E32+F32+G32+H32,"不適用")</f>
        <v>不適用</v>
      </c>
      <c r="F82" s="60" t="str">
        <f aca="false">IF(COUNT(E32,F32,G32,H32)=4,E32+F32+G32+H32,"不適用")</f>
        <v>不適用</v>
      </c>
      <c r="G82" s="60" t="str">
        <f aca="false">IF(COUNT(E32,F32,G32,H32)=4,E32+F32+G32+H32,"不適用")</f>
        <v>不適用</v>
      </c>
      <c r="H82" s="60" t="str">
        <f aca="false">IF(COUNT(E32,F32,G32,H32)=4,E32+F32+G32+H32,"不適用")</f>
        <v>不適用</v>
      </c>
      <c r="J82" s="5" t="s">
        <v>890</v>
      </c>
    </row>
    <row r="83" customFormat="false" ht="15" hidden="true" customHeight="false" outlineLevel="1" collapsed="false">
      <c r="A83" s="3" t="s">
        <v>891</v>
      </c>
      <c r="B83" s="10" t="s">
        <v>56</v>
      </c>
      <c r="C83" s="60" t="n">
        <f aca="false">IF(AND(ISNUMBER(C82),C82&lt;&gt;0,ISNUMBER(C32),ISNUMBER(C22)),(損益!C8-C82)*(C32)/C82,"不適用")</f>
        <v>-0.136448388696083</v>
      </c>
      <c r="D83" s="60" t="n">
        <f aca="false">IF(AND(ISNUMBER(D82),D82&lt;&gt;0,ISNUMBER(D32),ISNUMBER(D22)),(損益!C8-D82)*(D32)/D82,"不適用")</f>
        <v>-0.230751611303917</v>
      </c>
      <c r="E83" s="60" t="str">
        <f aca="false">IF(AND(ISNUMBER(E82),E82&lt;&gt;0,ISNUMBER(E32),ISNUMBER(E22)),(損益!D8-E82)*(E32)/E82,"不適用")</f>
        <v>不適用</v>
      </c>
      <c r="F83" s="60" t="str">
        <f aca="false">IF(AND(ISNUMBER(F82),F82&lt;&gt;0,ISNUMBER(F32),ISNUMBER(F22)),(損益!D8-F82)*(F32)/F82,"不適用")</f>
        <v>不適用</v>
      </c>
      <c r="G83" s="60" t="str">
        <f aca="false">IF(AND(ISNUMBER(G82),G82&lt;&gt;0,ISNUMBER(G32),ISNUMBER(G22)),(損益!D8-G82)*(G32)/G82,"不適用")</f>
        <v>不適用</v>
      </c>
      <c r="H83" s="60" t="str">
        <f aca="false">IF(AND(ISNUMBER(H82),H82&lt;&gt;0,ISNUMBER(H32),ISNUMBER(H22)),(損益!D8-H82)*(H32)/H82,"不適用")</f>
        <v>不適用</v>
      </c>
      <c r="J83" s="10" t="s">
        <v>892</v>
      </c>
    </row>
    <row r="84" customFormat="false" ht="15" hidden="true" customHeight="false" outlineLevel="1" collapsed="false">
      <c r="A84" s="3" t="s">
        <v>893</v>
      </c>
      <c r="B84" s="10" t="s">
        <v>56</v>
      </c>
      <c r="C84" s="60" t="n">
        <f aca="false">IF(AND(ISNUMBER(C82),C82&lt;&gt;0,ISNUMBER(C32),ISNUMBER(C22)),(C22/損益!C8-(C32)/C82)*損益!C8,"不適用")</f>
        <v>0.115548388696083</v>
      </c>
      <c r="D84" s="60" t="n">
        <f aca="false">IF(AND(ISNUMBER(D82),D82&lt;&gt;0,ISNUMBER(D32),ISNUMBER(D22)),(D22/損益!C8-(D32)/D82)*損益!C8,"不適用")</f>
        <v>-0.115548388696083</v>
      </c>
      <c r="E84" s="60" t="str">
        <f aca="false">IF(AND(ISNUMBER(E82),E82&lt;&gt;0,ISNUMBER(E32),ISNUMBER(E22)),(E22/損益!D8-(E32)/E82)*損益!D8,"不適用")</f>
        <v>不適用</v>
      </c>
      <c r="F84" s="60" t="str">
        <f aca="false">IF(AND(ISNUMBER(F82),F82&lt;&gt;0,ISNUMBER(F32),ISNUMBER(F22)),(F22/損益!D8-(F32)/F82)*損益!D8,"不適用")</f>
        <v>不適用</v>
      </c>
      <c r="G84" s="60" t="str">
        <f aca="false">IF(AND(ISNUMBER(G82),G82&lt;&gt;0,ISNUMBER(G32),ISNUMBER(G22)),(G22/損益!D8-(G32)/G82)*損益!D8,"不適用")</f>
        <v>不適用</v>
      </c>
      <c r="H84" s="60" t="str">
        <f aca="false">IF(AND(ISNUMBER(H82),H82&lt;&gt;0,ISNUMBER(H32),ISNUMBER(H22)),(H22/損益!D8-(H32)/H82)*損益!D8,"不適用")</f>
        <v>不適用</v>
      </c>
      <c r="J84" s="10" t="s">
        <v>894</v>
      </c>
    </row>
    <row r="85" customFormat="false" ht="15" hidden="true" customHeight="false" outlineLevel="1" collapsed="false">
      <c r="A85" s="3" t="s">
        <v>895</v>
      </c>
      <c r="C85" s="40" t="str">
        <f aca="false">IF(ISNUMBER(C42),IF(ABS(C42)&gt;輸入與假設!$C$273,IF(ISNUMBER(C83),IF(ABS(C84)&gt;ABS(C83),"營收 vs 共識 "&amp;IF(C42&lt;0,"−","+")&amp;TEXT(ABS(C42)*100,"#,##0.0")&amp;"%"&amp;"：拆法（分配 "&amp;IF(C84&lt;0,"−","+")&amp;IF(ABS(C84)&lt;0,"−","")&amp;"$"&amp;TEXT(ABS(ABS(C84)),"#,##0.000")&amp;"bn"&amp;"（Q3'26 占 2H26 "&amp;TEXT((C22/損益!C8)*100,"#,##0.0")&amp;"%"&amp;"，共識合計 "&amp;TEXT(((C32)/C82)*100,"#,##0.0")&amp;"%"&amp;"）；水準 "&amp;IF(C83&lt;0,"−","+")&amp;IF(ABS(C83)&lt;0,"−","")&amp;"$"&amp;TEXT(ABS(ABS(C83)),"#,##0.000")&amp;"bn"&amp;"）","營收 vs 共識 "&amp;IF(C42&lt;0,"−","+")&amp;TEXT(ABS(C42)*100,"#,##0.0")&amp;"%"&amp;"：觀點（水準 "&amp;IF(C83&lt;0,"−","+")&amp;IF(ABS(C83)&lt;0,"−","")&amp;"$"&amp;TEXT(ABS(ABS(C83)),"#,##0.000")&amp;"bn"&amp;"（2H26 模型 "&amp;IF(損益!C8&lt;0,"−","")&amp;"$"&amp;TEXT(ABS(損益!C8),"#,##0.000")&amp;"bn"&amp;"，共識合計 "&amp;IF(C82&lt;0,"−","")&amp;"$"&amp;TEXT(ABS(C82),"#,##0.000")&amp;"bn"&amp;"）；分配 "&amp;IF(C84&lt;0,"−","+")&amp;IF(ABS(C84)&lt;0,"−","")&amp;"$"&amp;TEXT(ABS(ABS(C84)),"#,##0.000")&amp;"bn"&amp;"；"&amp;"每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"&amp;IF(C42&lt;0,"−","+")&amp;TEXT(ABS(C42)*100,"#,##0.0")&amp;"%"&amp;"：觀點（"&amp;"每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  <c r="D85" s="40" t="str">
        <f aca="false">IF(ISNUMBER(D42),IF(ABS(D42)&gt;輸入與假設!$C$273,IF(ISNUMBER(D83),IF(ABS(D84)&gt;ABS(D83),"營收 vs 共識 "&amp;IF(D42&lt;0,"−","+")&amp;TEXT(ABS(D42)*100,"#,##0.0")&amp;"%"&amp;"：拆法（分配 "&amp;IF(D84&lt;0,"−","+")&amp;IF(ABS(D84)&lt;0,"−","")&amp;"$"&amp;TEXT(ABS(ABS(D84)),"#,##0.000")&amp;"bn"&amp;"（Q4'26 占 2H26 "&amp;TEXT((D22/損益!C8)*100,"#,##0.0")&amp;"%"&amp;"，共識合計 "&amp;TEXT(((D32)/D82)*100,"#,##0.0")&amp;"%"&amp;"）；水準 "&amp;IF(D83&lt;0,"−","+")&amp;IF(ABS(D83)&lt;0,"−","")&amp;"$"&amp;TEXT(ABS(ABS(D83)),"#,##0.000")&amp;"bn"&amp;"）","營收 vs 共識 "&amp;IF(D42&lt;0,"−","+")&amp;TEXT(ABS(D42)*100,"#,##0.0")&amp;"%"&amp;"：觀點（水準 "&amp;IF(D83&lt;0,"−","+")&amp;IF(ABS(D83)&lt;0,"−","")&amp;"$"&amp;TEXT(ABS(ABS(D83)),"#,##0.000")&amp;"bn"&amp;"（2H26 模型 "&amp;IF(損益!C8&lt;0,"−","")&amp;"$"&amp;TEXT(ABS(損益!C8),"#,##0.000")&amp;"bn"&amp;"，共識合計 "&amp;IF(D82&lt;0,"−","")&amp;"$"&amp;TEXT(ABS(D82),"#,##0.000")&amp;"bn"&amp;"）；分配 "&amp;IF(D84&lt;0,"−","+")&amp;IF(ABS(D84)&lt;0,"−","")&amp;"$"&amp;TEXT(ABS(ABS(D84)),"#,##0.000")&amp;"bn"&amp;"；"&amp;"每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"&amp;IF(D42&lt;0,"−","+")&amp;TEXT(ABS(D42)*100,"#,##0.0")&amp;"%"&amp;"：觀點（"&amp;"每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>營收 vs 共識 −22.8%：觀點（水準 −$0.231bn（2H26 模型 $2.053bn，共識合計 $2.420bn）；分配 −$0.116bn；每 MW 年收入採 Tokenomics 正向推導的新約值（GB300／VR200）；期初可計費 MW 以最新季實際營收年化校準，可計費 MW 依爬坡係數逐步收斂到已連網 MW（v0.1c）；共識未揭露 MW 與單價假設）</v>
      </c>
      <c r="E85" s="40" t="str">
        <f aca="false">IF(ISNUMBER(E42),IF(ABS(E42)&gt;輸入與假設!$C$273,IF(ISNUMBER(E83),IF(ABS(E84)&gt;ABS(E83),"營收 vs 共識 "&amp;IF(E42&lt;0,"−","+")&amp;TEXT(ABS(E42)*100,"#,##0.0")&amp;"%"&amp;"：拆法（分配 "&amp;IF(E84&lt;0,"−","+")&amp;IF(ABS(E84)&lt;0,"−","")&amp;"$"&amp;TEXT(ABS(ABS(E84)),"#,##0.000")&amp;"bn"&amp;"（Q1'27 占 FY27 "&amp;TEXT((E22/損益!D8)*100,"#,##0.0")&amp;"%"&amp;"，共識合計 "&amp;TEXT(((E32)/E82)*100,"#,##0.0")&amp;"%"&amp;"）；水準 "&amp;IF(E83&lt;0,"−","+")&amp;IF(ABS(E83)&lt;0,"−","")&amp;"$"&amp;TEXT(ABS(ABS(E83)),"#,##0.000")&amp;"bn"&amp;"）","營收 vs 共識 "&amp;IF(E42&lt;0,"−","+")&amp;TEXT(ABS(E42)*100,"#,##0.0")&amp;"%"&amp;"：觀點（水準 "&amp;IF(E83&lt;0,"−","+")&amp;IF(ABS(E83)&lt;0,"−","")&amp;"$"&amp;TEXT(ABS(ABS(E83)),"#,##0.000")&amp;"bn"&amp;"（FY27 模型 "&amp;IF(損益!D8&lt;0,"−","")&amp;"$"&amp;TEXT(ABS(損益!D8),"#,##0.000")&amp;"bn"&amp;"，共識合計 "&amp;IF(E82&lt;0,"−","")&amp;"$"&amp;TEXT(ABS(E82),"#,##0.000")&amp;"bn"&amp;"）；分配 "&amp;IF(E84&lt;0,"−","+")&amp;IF(ABS(E84)&lt;0,"−","")&amp;"$"&amp;TEXT(ABS(ABS(E84)),"#,##0.000")&amp;"bn"&amp;"；"&amp;"每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"&amp;IF(E42&lt;0,"−","+")&amp;TEXT(ABS(E42)*100,"#,##0.0")&amp;"%"&amp;"：觀點（"&amp;"每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  <c r="F85" s="40" t="str">
        <f aca="false">IF(ISNUMBER(F42),IF(ABS(F42)&gt;輸入與假設!$C$273,IF(ISNUMBER(F83),IF(ABS(F84)&gt;ABS(F83),"營收 vs 共識 "&amp;IF(F42&lt;0,"−","+")&amp;TEXT(ABS(F42)*100,"#,##0.0")&amp;"%"&amp;"：拆法（分配 "&amp;IF(F84&lt;0,"−","+")&amp;IF(ABS(F84)&lt;0,"−","")&amp;"$"&amp;TEXT(ABS(ABS(F84)),"#,##0.000")&amp;"bn"&amp;"（Q2'27 占 FY27 "&amp;TEXT((F22/損益!D8)*100,"#,##0.0")&amp;"%"&amp;"，共識合計 "&amp;TEXT(((F32)/F82)*100,"#,##0.0")&amp;"%"&amp;"）；水準 "&amp;IF(F83&lt;0,"−","+")&amp;IF(ABS(F83)&lt;0,"−","")&amp;"$"&amp;TEXT(ABS(ABS(F83)),"#,##0.000")&amp;"bn"&amp;"）","營收 vs 共識 "&amp;IF(F42&lt;0,"−","+")&amp;TEXT(ABS(F42)*100,"#,##0.0")&amp;"%"&amp;"：觀點（水準 "&amp;IF(F83&lt;0,"−","+")&amp;IF(ABS(F83)&lt;0,"−","")&amp;"$"&amp;TEXT(ABS(ABS(F83)),"#,##0.000")&amp;"bn"&amp;"（FY27 模型 "&amp;IF(損益!D8&lt;0,"−","")&amp;"$"&amp;TEXT(ABS(損益!D8),"#,##0.000")&amp;"bn"&amp;"，共識合計 "&amp;IF(F82&lt;0,"−","")&amp;"$"&amp;TEXT(ABS(F82),"#,##0.000")&amp;"bn"&amp;"）；分配 "&amp;IF(F84&lt;0,"−","+")&amp;IF(ABS(F84)&lt;0,"−","")&amp;"$"&amp;TEXT(ABS(ABS(F84)),"#,##0.000")&amp;"bn"&amp;"；"&amp;"每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"&amp;IF(F42&lt;0,"−","+")&amp;TEXT(ABS(F42)*100,"#,##0.0")&amp;"%"&amp;"：觀點（"&amp;"每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  <c r="G85" s="40" t="str">
        <f aca="false">IF(ISNUMBER(G42),IF(ABS(G42)&gt;輸入與假設!$C$273,IF(ISNUMBER(G83),IF(ABS(G84)&gt;ABS(G83),"營收 vs 共識 "&amp;IF(G42&lt;0,"−","+")&amp;TEXT(ABS(G42)*100,"#,##0.0")&amp;"%"&amp;"：拆法（分配 "&amp;IF(G84&lt;0,"−","+")&amp;IF(ABS(G84)&lt;0,"−","")&amp;"$"&amp;TEXT(ABS(ABS(G84)),"#,##0.000")&amp;"bn"&amp;"（Q3'27 占 FY27 "&amp;TEXT((G22/損益!D8)*100,"#,##0.0")&amp;"%"&amp;"，共識合計 "&amp;TEXT(((G32)/G82)*100,"#,##0.0")&amp;"%"&amp;"）；水準 "&amp;IF(G83&lt;0,"−","+")&amp;IF(ABS(G83)&lt;0,"−","")&amp;"$"&amp;TEXT(ABS(ABS(G83)),"#,##0.000")&amp;"bn"&amp;"）","營收 vs 共識 "&amp;IF(G42&lt;0,"−","+")&amp;TEXT(ABS(G42)*100,"#,##0.0")&amp;"%"&amp;"：觀點（水準 "&amp;IF(G83&lt;0,"−","+")&amp;IF(ABS(G83)&lt;0,"−","")&amp;"$"&amp;TEXT(ABS(ABS(G83)),"#,##0.000")&amp;"bn"&amp;"（FY27 模型 "&amp;IF(損益!D8&lt;0,"−","")&amp;"$"&amp;TEXT(ABS(損益!D8),"#,##0.000")&amp;"bn"&amp;"，共識合計 "&amp;IF(G82&lt;0,"−","")&amp;"$"&amp;TEXT(ABS(G82),"#,##0.000")&amp;"bn"&amp;"）；分配 "&amp;IF(G84&lt;0,"−","+")&amp;IF(ABS(G84)&lt;0,"−","")&amp;"$"&amp;TEXT(ABS(ABS(G84)),"#,##0.000")&amp;"bn"&amp;"；"&amp;"每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"&amp;IF(G42&lt;0,"−","+")&amp;TEXT(ABS(G42)*100,"#,##0.0")&amp;"%"&amp;"：觀點（"&amp;"每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  <c r="H85" s="40" t="str">
        <f aca="false">IF(ISNUMBER(H42),IF(ABS(H42)&gt;輸入與假設!$C$273,IF(ISNUMBER(H83),IF(ABS(H84)&gt;ABS(H83),"營收 vs 共識 "&amp;IF(H42&lt;0,"−","+")&amp;TEXT(ABS(H42)*100,"#,##0.0")&amp;"%"&amp;"：拆法（分配 "&amp;IF(H84&lt;0,"−","+")&amp;IF(ABS(H84)&lt;0,"−","")&amp;"$"&amp;TEXT(ABS(ABS(H84)),"#,##0.000")&amp;"bn"&amp;"（Q4'27 占 FY27 "&amp;TEXT((H22/損益!D8)*100,"#,##0.0")&amp;"%"&amp;"，共識合計 "&amp;TEXT(((H32)/H82)*100,"#,##0.0")&amp;"%"&amp;"）；水準 "&amp;IF(H83&lt;0,"−","+")&amp;IF(ABS(H83)&lt;0,"−","")&amp;"$"&amp;TEXT(ABS(ABS(H83)),"#,##0.000")&amp;"bn"&amp;"）","營收 vs 共識 "&amp;IF(H42&lt;0,"−","+")&amp;TEXT(ABS(H42)*100,"#,##0.0")&amp;"%"&amp;"：觀點（水準 "&amp;IF(H83&lt;0,"−","+")&amp;IF(ABS(H83)&lt;0,"−","")&amp;"$"&amp;TEXT(ABS(ABS(H83)),"#,##0.000")&amp;"bn"&amp;"（FY27 模型 "&amp;IF(損益!D8&lt;0,"−","")&amp;"$"&amp;TEXT(ABS(損益!D8),"#,##0.000")&amp;"bn"&amp;"，共識合計 "&amp;IF(H82&lt;0,"−","")&amp;"$"&amp;TEXT(ABS(H82),"#,##0.000")&amp;"bn"&amp;"）；分配 "&amp;IF(H84&lt;0,"−","+")&amp;IF(ABS(H84)&lt;0,"−","")&amp;"$"&amp;TEXT(ABS(ABS(H84)),"#,##0.000")&amp;"bn"&amp;"；"&amp;"每 MW 年收入採 Tokenomics 正向推導的新約值（GB300／VR200）；期初可計費 MW 以最新季實際營收年化校準，可計費 MW 依爬坡係數逐步收斂到已連網 MW（v0.1c）；共識未揭露 MW 與單價假設"&amp;"）"),"營收 vs 共識 "&amp;IF(H42&lt;0,"−","+")&amp;TEXT(ABS(H42)*100,"#,##0.0")&amp;"%"&amp;"：觀點（"&amp;"每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與單價假設"&amp;"）"),""),"")</f>
        <v/>
      </c>
    </row>
    <row r="86" customFormat="false" ht="15" hidden="true" customHeight="false" outlineLevel="1" collapsed="false">
      <c r="A86" s="3" t="s">
        <v>896</v>
      </c>
      <c r="C86" s="40" t="str">
        <f aca="false">IF(ISNUMBER(C42),IF(ABS(C42)&gt;輸入與假設!$C$273,IF(ISNUMBER(C83),IF(ABS(C84)&gt;ABS(C83),"拆法","觀點"),"觀點"),""),"")</f>
        <v/>
      </c>
      <c r="D86" s="40" t="str">
        <f aca="false">IF(ISNUMBER(D42),IF(ABS(D42)&gt;輸入與假設!$C$273,IF(ISNUMBER(D83),IF(ABS(D84)&gt;ABS(D83),"拆法","觀點"),"觀點"),""),"")</f>
        <v>觀點</v>
      </c>
      <c r="E86" s="40" t="str">
        <f aca="false">IF(ISNUMBER(E42),IF(ABS(E42)&gt;輸入與假設!$C$273,IF(ISNUMBER(E83),IF(ABS(E84)&gt;ABS(E83),"拆法","觀點"),"觀點"),""),"")</f>
        <v/>
      </c>
      <c r="F86" s="40" t="str">
        <f aca="false">IF(ISNUMBER(F42),IF(ABS(F42)&gt;輸入與假設!$C$273,IF(ISNUMBER(F83),IF(ABS(F84)&gt;ABS(F83),"拆法","觀點"),"觀點"),""),"")</f>
        <v/>
      </c>
      <c r="G86" s="40" t="str">
        <f aca="false">IF(ISNUMBER(G42),IF(ABS(G42)&gt;輸入與假設!$C$273,IF(ISNUMBER(G83),IF(ABS(G84)&gt;ABS(G83),"拆法","觀點"),"觀點"),""),"")</f>
        <v/>
      </c>
      <c r="H86" s="40" t="str">
        <f aca="false">IF(ISNUMBER(H42),IF(ABS(H42)&gt;輸入與假設!$C$273,IF(ISNUMBER(H83),IF(ABS(H84)&gt;ABS(H83),"拆法","觀點"),"觀點"),""),"")</f>
        <v/>
      </c>
    </row>
    <row r="87" customFormat="false" ht="15" hidden="true" customHeight="false" outlineLevel="1" collapsed="false">
      <c r="A87" s="3" t="s">
        <v>897</v>
      </c>
      <c r="C87" s="40"/>
      <c r="D87" s="40"/>
      <c r="E87" s="40"/>
      <c r="F87" s="40"/>
      <c r="G87" s="40"/>
      <c r="H87" s="40"/>
    </row>
    <row r="88" customFormat="false" ht="15" hidden="true" customHeight="false" outlineLevel="1" collapsed="false">
      <c r="A88" s="3" t="s">
        <v>898</v>
      </c>
      <c r="C88" s="40"/>
      <c r="D88" s="40"/>
      <c r="E88" s="40"/>
      <c r="F88" s="40"/>
      <c r="G88" s="40"/>
      <c r="H88" s="40"/>
    </row>
    <row r="89" customFormat="false" ht="15" hidden="true" customHeight="false" outlineLevel="1" collapsed="false">
      <c r="A89" s="3" t="s">
        <v>899</v>
      </c>
      <c r="C89" s="40" t="str">
        <f aca="false">IF(ISNUMBER(C44),IF(ABS(C44)&gt;輸入與假設!$C$273,"營收 實際 vs 模型 "&amp;IF(C44&lt;0,"−","+")&amp;TEXT(ABS(C44)*100,"#,##0.0")&amp;"%"&amp;"：觀點（"&amp;"每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D89" s="40" t="str">
        <f aca="false">IF(ISNUMBER(D44),IF(ABS(D44)&gt;輸入與假設!$C$273,"營收 實際 vs 模型 "&amp;IF(D44&lt;0,"−","+")&amp;TEXT(ABS(D44)*100,"#,##0.0")&amp;"%"&amp;"：觀點（"&amp;"每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E89" s="40" t="str">
        <f aca="false">IF(ISNUMBER(E44),IF(ABS(E44)&gt;輸入與假設!$C$273,"營收 實際 vs 模型 "&amp;IF(E44&lt;0,"−","+")&amp;TEXT(ABS(E44)*100,"#,##0.0")&amp;"%"&amp;"：觀點（"&amp;"每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F89" s="40" t="str">
        <f aca="false">IF(ISNUMBER(F44),IF(ABS(F44)&gt;輸入與假設!$C$273,"營收 實際 vs 模型 "&amp;IF(F44&lt;0,"−","+")&amp;TEXT(ABS(F44)*100,"#,##0.0")&amp;"%"&amp;"：觀點（"&amp;"每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G89" s="40" t="str">
        <f aca="false">IF(ISNUMBER(G44),IF(ABS(G44)&gt;輸入與假設!$C$273,"營收 實際 vs 模型 "&amp;IF(G44&lt;0,"−","+")&amp;TEXT(ABS(G44)*100,"#,##0.0")&amp;"%"&amp;"：觀點（"&amp;"每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  <c r="H89" s="40" t="str">
        <f aca="false">IF(ISNUMBER(H44),IF(ABS(H44)&gt;輸入與假設!$C$273,"營收 實際 vs 模型 "&amp;IF(H44&lt;0,"−","+")&amp;TEXT(ABS(H44)*100,"#,##0.0")&amp;"%"&amp;"：觀點（"&amp;"每 MW 年收入採 Tokenomics 正向推導的新約值（GB300／VR200）；期初可計費 MW 以最新季實際營收年化校準，可計費 MW 依爬坡係數逐步收斂到已連網 MW（v0.1c）；共識未揭露 MW 與單價假設"&amp;"）",""),"")</f>
        <v/>
      </c>
    </row>
    <row r="90" customFormat="false" ht="15" hidden="true" customHeight="false" outlineLevel="1" collapsed="false">
      <c r="A90" s="3" t="s">
        <v>900</v>
      </c>
      <c r="C90" s="40" t="str">
        <f aca="false">IF(ISNUMBER(C44),IF(ABS(C44)&gt;輸入與假設!$C$273,"觀點",""),"")</f>
        <v/>
      </c>
      <c r="D90" s="40" t="str">
        <f aca="false">IF(ISNUMBER(D44),IF(ABS(D44)&gt;輸入與假設!$C$273,"觀點",""),"")</f>
        <v/>
      </c>
      <c r="E90" s="40" t="str">
        <f aca="false">IF(ISNUMBER(E44),IF(ABS(E44)&gt;輸入與假設!$C$273,"觀點",""),"")</f>
        <v/>
      </c>
      <c r="F90" s="40" t="str">
        <f aca="false">IF(ISNUMBER(F44),IF(ABS(F44)&gt;輸入與假設!$C$273,"觀點",""),"")</f>
        <v/>
      </c>
      <c r="G90" s="40" t="str">
        <f aca="false">IF(ISNUMBER(G44),IF(ABS(G44)&gt;輸入與假設!$C$273,"觀點",""),"")</f>
        <v/>
      </c>
      <c r="H90" s="40" t="str">
        <f aca="false">IF(ISNUMBER(H44),IF(ABS(H44)&gt;輸入與假設!$C$273,"觀點",""),"")</f>
        <v/>
      </c>
    </row>
    <row r="91" customFormat="false" ht="15" hidden="true" customHeight="false" outlineLevel="1" collapsed="false">
      <c r="A91" s="3" t="s">
        <v>901</v>
      </c>
      <c r="B91" s="10" t="s">
        <v>56</v>
      </c>
      <c r="C91" s="60" t="n">
        <f aca="false">IF(COUNT(C33,D33)=2,C33+D33,"不適用")</f>
        <v>1.1024</v>
      </c>
      <c r="D91" s="60" t="n">
        <f aca="false">IF(COUNT(C33,D33)=2,C33+D33,"不適用")</f>
        <v>1.1024</v>
      </c>
      <c r="E91" s="60" t="str">
        <f aca="false">IF(COUNT(E33,F33,G33,H33)=4,E33+F33+G33+H33,"不適用")</f>
        <v>不適用</v>
      </c>
      <c r="F91" s="60" t="str">
        <f aca="false">IF(COUNT(E33,F33,G33,H33)=4,E33+F33+G33+H33,"不適用")</f>
        <v>不適用</v>
      </c>
      <c r="G91" s="60" t="str">
        <f aca="false">IF(COUNT(E33,F33,G33,H33)=4,E33+F33+G33+H33,"不適用")</f>
        <v>不適用</v>
      </c>
      <c r="H91" s="60" t="str">
        <f aca="false">IF(COUNT(E33,F33,G33,H33)=4,E33+F33+G33+H33,"不適用")</f>
        <v>不適用</v>
      </c>
      <c r="J91" s="5" t="s">
        <v>890</v>
      </c>
    </row>
    <row r="92" customFormat="false" ht="15" hidden="true" customHeight="false" outlineLevel="1" collapsed="false">
      <c r="A92" s="3" t="s">
        <v>902</v>
      </c>
      <c r="B92" s="10" t="s">
        <v>56</v>
      </c>
      <c r="C92" s="60" t="n">
        <f aca="false">IF(AND(ISNUMBER(C91),C91&lt;&gt;0,ISNUMBER(C33),ISNUMBER(C28)),(損益!C19-C91)*(C33)/C91,"不適用")</f>
        <v>-0.0578444838896952</v>
      </c>
      <c r="D92" s="60" t="n">
        <f aca="false">IF(AND(ISNUMBER(D91),D91&lt;&gt;0,ISNUMBER(D33),ISNUMBER(D28)),(損益!C19-D91)*(D33)/D91,"不適用")</f>
        <v>-0.118115116110305</v>
      </c>
      <c r="E92" s="60" t="str">
        <f aca="false">IF(AND(ISNUMBER(E91),E91&lt;&gt;0,ISNUMBER(E33),ISNUMBER(E28)),(損益!D19-E91)*(E33)/E91,"不適用")</f>
        <v>不適用</v>
      </c>
      <c r="F92" s="60" t="str">
        <f aca="false">IF(AND(ISNUMBER(F91),F91&lt;&gt;0,ISNUMBER(F33),ISNUMBER(F28)),(損益!D19-F91)*(F33)/F91,"不適用")</f>
        <v>不適用</v>
      </c>
      <c r="G92" s="60" t="str">
        <f aca="false">IF(AND(ISNUMBER(G91),G91&lt;&gt;0,ISNUMBER(G33),ISNUMBER(G28)),(損益!D19-G91)*(G33)/G91,"不適用")</f>
        <v>不適用</v>
      </c>
      <c r="H92" s="60" t="str">
        <f aca="false">IF(AND(ISNUMBER(H91),H91&lt;&gt;0,ISNUMBER(H33),ISNUMBER(H28)),(損益!D19-H91)*(H33)/H91,"不適用")</f>
        <v>不適用</v>
      </c>
      <c r="J92" s="10" t="s">
        <v>892</v>
      </c>
    </row>
    <row r="93" customFormat="false" ht="15" hidden="true" customHeight="false" outlineLevel="1" collapsed="false">
      <c r="A93" s="3" t="s">
        <v>903</v>
      </c>
      <c r="B93" s="10" t="s">
        <v>56</v>
      </c>
      <c r="C93" s="60" t="n">
        <f aca="false">IF(AND(ISNUMBER(C91),C91&lt;&gt;0,ISNUMBER(C33),ISNUMBER(C28)),(C28/損益!C19-(C33)/C91)*損益!C19,"不適用")</f>
        <v>0.0877743276295567</v>
      </c>
      <c r="D93" s="60" t="n">
        <f aca="false">IF(AND(ISNUMBER(D91),D91&lt;&gt;0,ISNUMBER(D33),ISNUMBER(D28)),(D28/損益!C19-(D33)/D91)*損益!C19,"不適用")</f>
        <v>-0.0877743276295567</v>
      </c>
      <c r="E93" s="60" t="str">
        <f aca="false">IF(AND(ISNUMBER(E91),E91&lt;&gt;0,ISNUMBER(E33),ISNUMBER(E28)),(E28/損益!D19-(E33)/E91)*損益!D19,"不適用")</f>
        <v>不適用</v>
      </c>
      <c r="F93" s="60" t="str">
        <f aca="false">IF(AND(ISNUMBER(F91),F91&lt;&gt;0,ISNUMBER(F33),ISNUMBER(F28)),(F28/損益!D19-(F33)/F91)*損益!D19,"不適用")</f>
        <v>不適用</v>
      </c>
      <c r="G93" s="60" t="str">
        <f aca="false">IF(AND(ISNUMBER(G91),G91&lt;&gt;0,ISNUMBER(G33),ISNUMBER(G28)),(G28/損益!D19-(G33)/G91)*損益!D19,"不適用")</f>
        <v>不適用</v>
      </c>
      <c r="H93" s="60" t="str">
        <f aca="false">IF(AND(ISNUMBER(H91),H91&lt;&gt;0,ISNUMBER(H33),ISNUMBER(H28)),(H28/損益!D19-(H33)/H91)*損益!D19,"不適用")</f>
        <v>不適用</v>
      </c>
      <c r="J93" s="10" t="s">
        <v>894</v>
      </c>
    </row>
    <row r="94" customFormat="false" ht="15" hidden="true" customHeight="false" outlineLevel="1" collapsed="false">
      <c r="A94" s="3" t="s">
        <v>904</v>
      </c>
      <c r="C94" s="40" t="str">
        <f aca="false">IF(ISNUMBER(C47),IF(IF(ISNUMBER(C52),ABS(C52)&gt;輸入與假設!$C$274,OR(AND(C33&lt;&gt;0,ABS(C47)&gt;輸入與假設!$C$273*ABS(C33)),AND(C33=0,C47&lt;&gt;0))),IF(ISNUMBER(C92),IF(ABS(C93)&gt;ABS(C92),"調整後 EBITDA vs 共識 "&amp;IF(C47&lt;0,"−","+")&amp;IF(ABS(C47)&lt;0,"−","")&amp;"$"&amp;TEXT(ABS(ABS(C47)),"#,##0.00")&amp;"bn"&amp;IF(ISNUMBER(C52),"／"&amp;IF(C52&lt;0,"−","+")&amp;TEXT(ABS(C52)*100,"#,##0.0")&amp;"pt","")&amp;"：拆法（分配 "&amp;IF(C93&lt;0,"−","+")&amp;IF(ABS(C93)&lt;0,"−","")&amp;"$"&amp;TEXT(ABS(ABS(C93)),"#,##0.000")&amp;"bn"&amp;"（Q3'26 占 2H26 "&amp;TEXT((C28/損益!C19)*100,"#,##0.0")&amp;"%"&amp;"，共識合計 "&amp;TEXT(((C33)/C91)*100,"#,##0.0")&amp;"%"&amp;"）；水準 "&amp;IF(C92&lt;0,"−","+")&amp;IF(ABS(C92)&lt;0,"−","")&amp;"$"&amp;TEXT(ABS(ABS(C92)),"#,##0.000")&amp;"bn"&amp;"）","調整後 EBITDA vs 共識 "&amp;IF(C47&lt;0,"−","+")&amp;IF(ABS(C47)&lt;0,"−","")&amp;"$"&amp;TEXT(ABS(ABS(C47)),"#,##0.00")&amp;"bn"&amp;IF(ISNUMBER(C52),"／"&amp;IF(C52&lt;0,"−","+")&amp;TEXT(ABS(C52)*100,"#,##0.0")&amp;"pt","")&amp;"：觀點（水準 "&amp;IF(C92&lt;0,"−","+")&amp;IF(ABS(C92)&lt;0,"−","")&amp;"$"&amp;TEXT(ABS(ABS(C92)),"#,##0.000")&amp;"bn"&amp;"（2H26 模型 "&amp;IF(損益!C19&lt;0,"−","")&amp;"$"&amp;TEXT(ABS(損益!C19),"#,##0.000")&amp;"bn"&amp;"，共識合計 "&amp;IF(C91&lt;0,"−","")&amp;"$"&amp;TEXT(ABS(C91),"#,##0.000")&amp;"bn"&amp;"）；分配 "&amp;IF(C93&lt;0,"−","+")&amp;IF(ABS(C93)&lt;0,"−","")&amp;"$"&amp;TEXT(ABS(ABS(C93)),"#,##0.000")&amp;"bn"&amp;"；"&amp;"模型 EBITDA 率 "&amp;IF((C27)&lt;0,"−","")&amp;TEXT(ABS((C27))*100,"#,##0.0")&amp;"%"&amp;"；季度共識 EBITDA "&amp;IF((輸入與假設!$C$245)&lt;0,"−","")&amp;TEXT(ABS((輸入與假設!$C$245)),"#,##0.00")&amp;"、營收 "&amp;IF((輸入與假設!$C$244)&lt;0,"−","")&amp;TEXT(ABS((輸入與假設!$C$244)),"#,##0.00")&amp;"（口徑未揭露）"&amp;"）"),"調整後 EBITDA vs 共識 "&amp;IF(C47&lt;0,"−","+")&amp;IF(ABS(C47)&lt;0,"−","")&amp;"$"&amp;TEXT(ABS(ABS(C47)),"#,##0.00")&amp;"bn"&amp;IF(ISNUMBER(C52),"／"&amp;IF(C52&lt;0,"−","+")&amp;TEXT(ABS(C52)*100,"#,##0.0")&amp;"pt","")&amp;"：觀點（"&amp;"模型 EBITDA 率 "&amp;IF((C27)&lt;0,"−","")&amp;TEXT(ABS((C27))*100,"#,##0.0")&amp;"%"&amp;"；季度共識 EBITDA "&amp;IF((輸入與假設!$C$245)&lt;0,"−","")&amp;TEXT(ABS((輸入與假設!$C$245)),"#,##0.00")&amp;"、營收 "&amp;IF((輸入與假設!$C$244)&lt;0,"−","")&amp;TEXT(ABS((輸入與假設!$C$244)),"#,##0.00")&amp;"（口徑未揭露）"&amp;"）"),""),"")</f>
        <v>調整後 EBITDA vs 共識 +$0.03bn／+4.4pt：拆法（分配 +$0.088bn（Q3'26 占 2H26 42.3%，共識合計 32.9%）；水準 −$0.058bn）</v>
      </c>
      <c r="D94" s="40" t="str">
        <f aca="false">IF(ISNUMBER(D47),IF(IF(ISNUMBER(D52),ABS(D52)&gt;輸入與假設!$C$274,OR(AND(D33&lt;&gt;0,ABS(D47)&gt;輸入與假設!$C$273*ABS(D33)),AND(D33=0,D47&lt;&gt;0))),IF(ISNUMBER(D92),IF(ABS(D93)&gt;ABS(D92),"調整後 EBITDA vs 共識 "&amp;IF(D47&lt;0,"−","+")&amp;IF(ABS(D47)&lt;0,"−","")&amp;"$"&amp;TEXT(ABS(ABS(D47)),"#,##0.00")&amp;"bn"&amp;IF(ISNUMBER(D52),"／"&amp;IF(D52&lt;0,"−","+")&amp;TEXT(ABS(D52)*100,"#,##0.0")&amp;"pt","")&amp;"：拆法（分配 "&amp;IF(D93&lt;0,"−","+")&amp;IF(ABS(D93)&lt;0,"−","")&amp;"$"&amp;TEXT(ABS(ABS(D93)),"#,##0.000")&amp;"bn"&amp;"（Q4'26 占 2H26 "&amp;TEXT((D28/損益!C19)*100,"#,##0.0")&amp;"%"&amp;"，共識合計 "&amp;TEXT(((D33)/D91)*100,"#,##0.0")&amp;"%"&amp;"）；水準 "&amp;IF(D92&lt;0,"−","+")&amp;IF(ABS(D92)&lt;0,"−","")&amp;"$"&amp;TEXT(ABS(ABS(D92)),"#,##0.000")&amp;"bn"&amp;"）","調整後 EBITDA vs 共識 "&amp;IF(D47&lt;0,"−","+")&amp;IF(ABS(D47)&lt;0,"−","")&amp;"$"&amp;TEXT(ABS(ABS(D47)),"#,##0.00")&amp;"bn"&amp;IF(ISNUMBER(D52),"／"&amp;IF(D52&lt;0,"−","+")&amp;TEXT(ABS(D52)*100,"#,##0.0")&amp;"pt","")&amp;"：觀點（水準 "&amp;IF(D92&lt;0,"−","+")&amp;IF(ABS(D92)&lt;0,"−","")&amp;"$"&amp;TEXT(ABS(ABS(D92)),"#,##0.000")&amp;"bn"&amp;"（2H26 模型 "&amp;IF(損益!C19&lt;0,"−","")&amp;"$"&amp;TEXT(ABS(損益!C19),"#,##0.000")&amp;"bn"&amp;"，共識合計 "&amp;IF(D91&lt;0,"−","")&amp;"$"&amp;TEXT(ABS(D91),"#,##0.000")&amp;"bn"&amp;"）；分配 "&amp;IF(D93&lt;0,"−","+")&amp;IF(ABS(D93)&lt;0,"−","")&amp;"$"&amp;TEXT(ABS(ABS(D93)),"#,##0.000")&amp;"bn"&amp;"；"&amp;"模型 EBITDA 率 "&amp;IF((D27)&lt;0,"−","")&amp;TEXT(ABS((D27))*100,"#,##0.0")&amp;"%"&amp;"；季度共識 EBITDA "&amp;IF((輸入與假設!$D$245)&lt;0,"−","")&amp;TEXT(ABS((輸入與假設!$D$245)),"#,##0.00")&amp;"、營收 "&amp;IF((輸入與假設!$D$244)&lt;0,"−","")&amp;TEXT(ABS((輸入與假設!$D$244)),"#,##0.00")&amp;"（口徑未揭露）"&amp;"）"),"調整後 EBITDA vs 共識 "&amp;IF(D47&lt;0,"−","+")&amp;IF(ABS(D47)&lt;0,"−","")&amp;"$"&amp;TEXT(ABS(ABS(D47)),"#,##0.00")&amp;"bn"&amp;IF(ISNUMBER(D52),"／"&amp;IF(D52&lt;0,"−","+")&amp;TEXT(ABS(D52)*100,"#,##0.0")&amp;"pt","")&amp;"：觀點（"&amp;"模型 EBITDA 率 "&amp;IF((D27)&lt;0,"−","")&amp;TEXT(ABS((D27))*100,"#,##0.0")&amp;"%"&amp;"；季度共識 EBITDA "&amp;IF((輸入與假設!$D$245)&lt;0,"−","")&amp;TEXT(ABS((輸入與假設!$D$245)),"#,##0.00")&amp;"、營收 "&amp;IF((輸入與假設!$D$244)&lt;0,"−","")&amp;TEXT(ABS((輸入與假設!$D$244)),"#,##0.00")&amp;"（口徑未揭露）"&amp;"）"),""),"")</f>
        <v>調整後 EBITDA vs 共識 −$0.21bn／−3.2pt：觀點（水準 −$0.118bn（2H26 模型 $0.926bn，共識合計 $1.102bn）；分配 −$0.088bn；模型 EBITDA 率 45.5%；季度共識 EBITDA 0.74、營收 1.52（口徑未揭露））</v>
      </c>
      <c r="E94" s="40" t="str">
        <f aca="false">IF(ISNUMBER(E47),IF(IF(ISNUMBER(E52),ABS(E52)&gt;輸入與假設!$C$274,OR(AND(E33&lt;&gt;0,ABS(E47)&gt;輸入與假設!$C$273*ABS(E33)),AND(E33=0,E47&lt;&gt;0))),IF(ISNUMBER(E92),IF(ABS(E93)&gt;ABS(E92),"調整後 EBITDA vs 共識 "&amp;IF(E47&lt;0,"−","+")&amp;IF(ABS(E47)&lt;0,"−","")&amp;"$"&amp;TEXT(ABS(ABS(E47)),"#,##0.00")&amp;"bn"&amp;IF(ISNUMBER(E52),"／"&amp;IF(E52&lt;0,"−","+")&amp;TEXT(ABS(E52)*100,"#,##0.0")&amp;"pt","")&amp;"：拆法（分配 "&amp;IF(E93&lt;0,"−","+")&amp;IF(ABS(E93)&lt;0,"−","")&amp;"$"&amp;TEXT(ABS(ABS(E93)),"#,##0.000")&amp;"bn"&amp;"（Q1'27 占 FY27 "&amp;TEXT((E28/損益!D19)*100,"#,##0.0")&amp;"%"&amp;"，共識合計 "&amp;TEXT(((E33)/E91)*100,"#,##0.0")&amp;"%"&amp;"）；水準 "&amp;IF(E92&lt;0,"−","+")&amp;IF(ABS(E92)&lt;0,"−","")&amp;"$"&amp;TEXT(ABS(ABS(E92)),"#,##0.000")&amp;"bn"&amp;"）","調整後 EBITDA vs 共識 "&amp;IF(E47&lt;0,"−","+")&amp;IF(ABS(E47)&lt;0,"−","")&amp;"$"&amp;TEXT(ABS(ABS(E47)),"#,##0.00")&amp;"bn"&amp;IF(ISNUMBER(E52),"／"&amp;IF(E52&lt;0,"−","+")&amp;TEXT(ABS(E52)*100,"#,##0.0")&amp;"pt","")&amp;"：觀點（水準 "&amp;IF(E92&lt;0,"−","+")&amp;IF(ABS(E92)&lt;0,"−","")&amp;"$"&amp;TEXT(ABS(ABS(E92)),"#,##0.000")&amp;"bn"&amp;"（FY27 模型 "&amp;IF(損益!D19&lt;0,"−","")&amp;"$"&amp;TEXT(ABS(損益!D19),"#,##0.000")&amp;"bn"&amp;"，共識合計 "&amp;IF(E91&lt;0,"−","")&amp;"$"&amp;TEXT(ABS(E91),"#,##0.000")&amp;"bn"&amp;"）；分配 "&amp;IF(E93&lt;0,"−","+")&amp;IF(ABS(E93)&lt;0,"−","")&amp;"$"&amp;TEXT(ABS(ABS(E93)),"#,##0.000")&amp;"bn"&amp;"；"&amp;"模型 EBITDA 率 "&amp;IF((E27)&lt;0,"−","")&amp;TEXT(ABS((E27))*100,"#,##0.0")&amp;"%"&amp;"；季度共識 EBITDA "&amp;"不適用"&amp;"、營收 "&amp;"不適用"&amp;"（口徑未揭露）"&amp;"）"),"調整後 EBITDA vs 共識 "&amp;IF(E47&lt;0,"−","+")&amp;IF(ABS(E47)&lt;0,"−","")&amp;"$"&amp;TEXT(ABS(ABS(E47)),"#,##0.00")&amp;"bn"&amp;IF(ISNUMBER(E52),"／"&amp;IF(E52&lt;0,"−","+")&amp;TEXT(ABS(E52)*100,"#,##0.0")&amp;"pt","")&amp;"：觀點（"&amp;"模型 EBITDA 率 "&amp;IF((E27)&lt;0,"−","")&amp;TEXT(ABS((E27))*100,"#,##0.0")&amp;"%"&amp;"；季度共識 EBITDA "&amp;"不適用"&amp;"、營收 "&amp;"不適用"&amp;"（口徑未揭露）"&amp;"）"),""),"")</f>
        <v/>
      </c>
      <c r="F94" s="40" t="str">
        <f aca="false">IF(ISNUMBER(F47),IF(IF(ISNUMBER(F52),ABS(F52)&gt;輸入與假設!$C$274,OR(AND(F33&lt;&gt;0,ABS(F47)&gt;輸入與假設!$C$273*ABS(F33)),AND(F33=0,F47&lt;&gt;0))),IF(ISNUMBER(F92),IF(ABS(F93)&gt;ABS(F92),"調整後 EBITDA vs 共識 "&amp;IF(F47&lt;0,"−","+")&amp;IF(ABS(F47)&lt;0,"−","")&amp;"$"&amp;TEXT(ABS(ABS(F47)),"#,##0.00")&amp;"bn"&amp;IF(ISNUMBER(F52),"／"&amp;IF(F52&lt;0,"−","+")&amp;TEXT(ABS(F52)*100,"#,##0.0")&amp;"pt","")&amp;"：拆法（分配 "&amp;IF(F93&lt;0,"−","+")&amp;IF(ABS(F93)&lt;0,"−","")&amp;"$"&amp;TEXT(ABS(ABS(F93)),"#,##0.000")&amp;"bn"&amp;"（Q2'27 占 FY27 "&amp;TEXT((F28/損益!D19)*100,"#,##0.0")&amp;"%"&amp;"，共識合計 "&amp;TEXT(((F33)/F91)*100,"#,##0.0")&amp;"%"&amp;"）；水準 "&amp;IF(F92&lt;0,"−","+")&amp;IF(ABS(F92)&lt;0,"−","")&amp;"$"&amp;TEXT(ABS(ABS(F92)),"#,##0.000")&amp;"bn"&amp;"）","調整後 EBITDA vs 共識 "&amp;IF(F47&lt;0,"−","+")&amp;IF(ABS(F47)&lt;0,"−","")&amp;"$"&amp;TEXT(ABS(ABS(F47)),"#,##0.00")&amp;"bn"&amp;IF(ISNUMBER(F52),"／"&amp;IF(F52&lt;0,"−","+")&amp;TEXT(ABS(F52)*100,"#,##0.0")&amp;"pt","")&amp;"：觀點（水準 "&amp;IF(F92&lt;0,"−","+")&amp;IF(ABS(F92)&lt;0,"−","")&amp;"$"&amp;TEXT(ABS(ABS(F92)),"#,##0.000")&amp;"bn"&amp;"（FY27 模型 "&amp;IF(損益!D19&lt;0,"−","")&amp;"$"&amp;TEXT(ABS(損益!D19),"#,##0.000")&amp;"bn"&amp;"，共識合計 "&amp;IF(F91&lt;0,"−","")&amp;"$"&amp;TEXT(ABS(F91),"#,##0.000")&amp;"bn"&amp;"）；分配 "&amp;IF(F93&lt;0,"−","+")&amp;IF(ABS(F93)&lt;0,"−","")&amp;"$"&amp;TEXT(ABS(ABS(F93)),"#,##0.000")&amp;"bn"&amp;"；"&amp;"模型 EBITDA 率 "&amp;IF((F27)&lt;0,"−","")&amp;TEXT(ABS((F27))*100,"#,##0.0")&amp;"%"&amp;"；季度共識 EBITDA "&amp;"不適用"&amp;"、營收 "&amp;"不適用"&amp;"（口徑未揭露）"&amp;"）"),"調整後 EBITDA vs 共識 "&amp;IF(F47&lt;0,"−","+")&amp;IF(ABS(F47)&lt;0,"−","")&amp;"$"&amp;TEXT(ABS(ABS(F47)),"#,##0.00")&amp;"bn"&amp;IF(ISNUMBER(F52),"／"&amp;IF(F52&lt;0,"−","+")&amp;TEXT(ABS(F52)*100,"#,##0.0")&amp;"pt","")&amp;"：觀點（"&amp;"模型 EBITDA 率 "&amp;IF((F27)&lt;0,"−","")&amp;TEXT(ABS((F27))*100,"#,##0.0")&amp;"%"&amp;"；季度共識 EBITDA "&amp;"不適用"&amp;"、營收 "&amp;"不適用"&amp;"（口徑未揭露）"&amp;"）"),""),"")</f>
        <v/>
      </c>
      <c r="G94" s="40" t="str">
        <f aca="false">IF(ISNUMBER(G47),IF(IF(ISNUMBER(G52),ABS(G52)&gt;輸入與假設!$C$274,OR(AND(G33&lt;&gt;0,ABS(G47)&gt;輸入與假設!$C$273*ABS(G33)),AND(G33=0,G47&lt;&gt;0))),IF(ISNUMBER(G92),IF(ABS(G93)&gt;ABS(G92),"調整後 EBITDA vs 共識 "&amp;IF(G47&lt;0,"−","+")&amp;IF(ABS(G47)&lt;0,"−","")&amp;"$"&amp;TEXT(ABS(ABS(G47)),"#,##0.00")&amp;"bn"&amp;IF(ISNUMBER(G52),"／"&amp;IF(G52&lt;0,"−","+")&amp;TEXT(ABS(G52)*100,"#,##0.0")&amp;"pt","")&amp;"：拆法（分配 "&amp;IF(G93&lt;0,"−","+")&amp;IF(ABS(G93)&lt;0,"−","")&amp;"$"&amp;TEXT(ABS(ABS(G93)),"#,##0.000")&amp;"bn"&amp;"（Q3'27 占 FY27 "&amp;TEXT((G28/損益!D19)*100,"#,##0.0")&amp;"%"&amp;"，共識合計 "&amp;TEXT(((G33)/G91)*100,"#,##0.0")&amp;"%"&amp;"）；水準 "&amp;IF(G92&lt;0,"−","+")&amp;IF(ABS(G92)&lt;0,"−","")&amp;"$"&amp;TEXT(ABS(ABS(G92)),"#,##0.000")&amp;"bn"&amp;"）","調整後 EBITDA vs 共識 "&amp;IF(G47&lt;0,"−","+")&amp;IF(ABS(G47)&lt;0,"−","")&amp;"$"&amp;TEXT(ABS(ABS(G47)),"#,##0.00")&amp;"bn"&amp;IF(ISNUMBER(G52),"／"&amp;IF(G52&lt;0,"−","+")&amp;TEXT(ABS(G52)*100,"#,##0.0")&amp;"pt","")&amp;"：觀點（水準 "&amp;IF(G92&lt;0,"−","+")&amp;IF(ABS(G92)&lt;0,"−","")&amp;"$"&amp;TEXT(ABS(ABS(G92)),"#,##0.000")&amp;"bn"&amp;"（FY27 模型 "&amp;IF(損益!D19&lt;0,"−","")&amp;"$"&amp;TEXT(ABS(損益!D19),"#,##0.000")&amp;"bn"&amp;"，共識合計 "&amp;IF(G91&lt;0,"−","")&amp;"$"&amp;TEXT(ABS(G91),"#,##0.000")&amp;"bn"&amp;"）；分配 "&amp;IF(G93&lt;0,"−","+")&amp;IF(ABS(G93)&lt;0,"−","")&amp;"$"&amp;TEXT(ABS(ABS(G93)),"#,##0.000")&amp;"bn"&amp;"；"&amp;"模型 EBITDA 率 "&amp;IF((G27)&lt;0,"−","")&amp;TEXT(ABS((G27))*100,"#,##0.0")&amp;"%"&amp;"；季度共識 EBITDA "&amp;"不適用"&amp;"、營收 "&amp;"不適用"&amp;"（口徑未揭露）"&amp;"）"),"調整後 EBITDA vs 共識 "&amp;IF(G47&lt;0,"−","+")&amp;IF(ABS(G47)&lt;0,"−","")&amp;"$"&amp;TEXT(ABS(ABS(G47)),"#,##0.00")&amp;"bn"&amp;IF(ISNUMBER(G52),"／"&amp;IF(G52&lt;0,"−","+")&amp;TEXT(ABS(G52)*100,"#,##0.0")&amp;"pt","")&amp;"：觀點（"&amp;"模型 EBITDA 率 "&amp;IF((G27)&lt;0,"−","")&amp;TEXT(ABS((G27))*100,"#,##0.0")&amp;"%"&amp;"；季度共識 EBITDA "&amp;"不適用"&amp;"、營收 "&amp;"不適用"&amp;"（口徑未揭露）"&amp;"）"),""),"")</f>
        <v/>
      </c>
      <c r="H94" s="40" t="str">
        <f aca="false">IF(ISNUMBER(H47),IF(IF(ISNUMBER(H52),ABS(H52)&gt;輸入與假設!$C$274,OR(AND(H33&lt;&gt;0,ABS(H47)&gt;輸入與假設!$C$273*ABS(H33)),AND(H33=0,H47&lt;&gt;0))),IF(ISNUMBER(H92),IF(ABS(H93)&gt;ABS(H92),"調整後 EBITDA vs 共識 "&amp;IF(H47&lt;0,"−","+")&amp;IF(ABS(H47)&lt;0,"−","")&amp;"$"&amp;TEXT(ABS(ABS(H47)),"#,##0.00")&amp;"bn"&amp;IF(ISNUMBER(H52),"／"&amp;IF(H52&lt;0,"−","+")&amp;TEXT(ABS(H52)*100,"#,##0.0")&amp;"pt","")&amp;"：拆法（分配 "&amp;IF(H93&lt;0,"−","+")&amp;IF(ABS(H93)&lt;0,"−","")&amp;"$"&amp;TEXT(ABS(ABS(H93)),"#,##0.000")&amp;"bn"&amp;"（Q4'27 占 FY27 "&amp;TEXT((H28/損益!D19)*100,"#,##0.0")&amp;"%"&amp;"，共識合計 "&amp;TEXT(((H33)/H91)*100,"#,##0.0")&amp;"%"&amp;"）；水準 "&amp;IF(H92&lt;0,"−","+")&amp;IF(ABS(H92)&lt;0,"−","")&amp;"$"&amp;TEXT(ABS(ABS(H92)),"#,##0.000")&amp;"bn"&amp;"）","調整後 EBITDA vs 共識 "&amp;IF(H47&lt;0,"−","+")&amp;IF(ABS(H47)&lt;0,"−","")&amp;"$"&amp;TEXT(ABS(ABS(H47)),"#,##0.00")&amp;"bn"&amp;IF(ISNUMBER(H52),"／"&amp;IF(H52&lt;0,"−","+")&amp;TEXT(ABS(H52)*100,"#,##0.0")&amp;"pt","")&amp;"：觀點（水準 "&amp;IF(H92&lt;0,"−","+")&amp;IF(ABS(H92)&lt;0,"−","")&amp;"$"&amp;TEXT(ABS(ABS(H92)),"#,##0.000")&amp;"bn"&amp;"（FY27 模型 "&amp;IF(損益!D19&lt;0,"−","")&amp;"$"&amp;TEXT(ABS(損益!D19),"#,##0.000")&amp;"bn"&amp;"，共識合計 "&amp;IF(H91&lt;0,"−","")&amp;"$"&amp;TEXT(ABS(H91),"#,##0.000")&amp;"bn"&amp;"）；分配 "&amp;IF(H93&lt;0,"−","+")&amp;IF(ABS(H93)&lt;0,"−","")&amp;"$"&amp;TEXT(ABS(ABS(H93)),"#,##0.000")&amp;"bn"&amp;"；"&amp;"模型 EBITDA 率 "&amp;IF((H27)&lt;0,"−","")&amp;TEXT(ABS((H27))*100,"#,##0.0")&amp;"%"&amp;"；季度共識 EBITDA "&amp;"不適用"&amp;"、營收 "&amp;"不適用"&amp;"（口徑未揭露）"&amp;"）"),"調整後 EBITDA vs 共識 "&amp;IF(H47&lt;0,"−","+")&amp;IF(ABS(H47)&lt;0,"−","")&amp;"$"&amp;TEXT(ABS(ABS(H47)),"#,##0.00")&amp;"bn"&amp;IF(ISNUMBER(H52),"／"&amp;IF(H52&lt;0,"−","+")&amp;TEXT(ABS(H52)*100,"#,##0.0")&amp;"pt","")&amp;"：觀點（"&amp;"模型 EBITDA 率 "&amp;IF((H27)&lt;0,"−","")&amp;TEXT(ABS((H27))*100,"#,##0.0")&amp;"%"&amp;"；季度共識 EBITDA "&amp;"不適用"&amp;"、營收 "&amp;"不適用"&amp;"（口徑未揭露）"&amp;"）"),""),"")</f>
        <v/>
      </c>
    </row>
    <row r="95" customFormat="false" ht="15" hidden="true" customHeight="false" outlineLevel="1" collapsed="false">
      <c r="A95" s="3" t="s">
        <v>905</v>
      </c>
      <c r="C95" s="40" t="str">
        <f aca="false">IF(ISNUMBER(C47),IF(IF(ISNUMBER(C52),ABS(C52)&gt;輸入與假設!$C$274,OR(AND(C33&lt;&gt;0,ABS(C47)&gt;輸入與假設!$C$273*ABS(C33)),AND(C33=0,C47&lt;&gt;0))),IF(ISNUMBER(C92),IF(ABS(C93)&gt;ABS(C92),"拆法","觀點"),"觀點"),""),"")</f>
        <v>拆法</v>
      </c>
      <c r="D95" s="40" t="str">
        <f aca="false">IF(ISNUMBER(D47),IF(IF(ISNUMBER(D52),ABS(D52)&gt;輸入與假設!$C$274,OR(AND(D33&lt;&gt;0,ABS(D47)&gt;輸入與假設!$C$273*ABS(D33)),AND(D33=0,D47&lt;&gt;0))),IF(ISNUMBER(D92),IF(ABS(D93)&gt;ABS(D92),"拆法","觀點"),"觀點"),""),"")</f>
        <v>觀點</v>
      </c>
      <c r="E95" s="40" t="str">
        <f aca="false">IF(ISNUMBER(E47),IF(IF(ISNUMBER(E52),ABS(E52)&gt;輸入與假設!$C$274,OR(AND(E33&lt;&gt;0,ABS(E47)&gt;輸入與假設!$C$273*ABS(E33)),AND(E33=0,E47&lt;&gt;0))),IF(ISNUMBER(E92),IF(ABS(E93)&gt;ABS(E92),"拆法","觀點"),"觀點"),""),"")</f>
        <v/>
      </c>
      <c r="F95" s="40" t="str">
        <f aca="false">IF(ISNUMBER(F47),IF(IF(ISNUMBER(F52),ABS(F52)&gt;輸入與假設!$C$274,OR(AND(F33&lt;&gt;0,ABS(F47)&gt;輸入與假設!$C$273*ABS(F33)),AND(F33=0,F47&lt;&gt;0))),IF(ISNUMBER(F92),IF(ABS(F93)&gt;ABS(F92),"拆法","觀點"),"觀點"),""),"")</f>
        <v/>
      </c>
      <c r="G95" s="40" t="str">
        <f aca="false">IF(ISNUMBER(G47),IF(IF(ISNUMBER(G52),ABS(G52)&gt;輸入與假設!$C$274,OR(AND(G33&lt;&gt;0,ABS(G47)&gt;輸入與假設!$C$273*ABS(G33)),AND(G33=0,G47&lt;&gt;0))),IF(ISNUMBER(G92),IF(ABS(G93)&gt;ABS(G92),"拆法","觀點"),"觀點"),""),"")</f>
        <v/>
      </c>
      <c r="H95" s="40" t="str">
        <f aca="false">IF(ISNUMBER(H47),IF(IF(ISNUMBER(H52),ABS(H52)&gt;輸入與假設!$C$274,OR(AND(H33&lt;&gt;0,ABS(H47)&gt;輸入與假設!$C$273*ABS(H33)),AND(H33=0,H47&lt;&gt;0))),IF(ISNUMBER(H92),IF(ABS(H93)&gt;ABS(H92),"拆法","觀點"),"觀點"),""),"")</f>
        <v/>
      </c>
    </row>
    <row r="96" customFormat="false" ht="15" hidden="true" customHeight="false" outlineLevel="1" collapsed="false">
      <c r="A96" s="3" t="s">
        <v>906</v>
      </c>
      <c r="C96" s="40"/>
      <c r="D96" s="40"/>
      <c r="E96" s="40"/>
      <c r="F96" s="40"/>
      <c r="G96" s="40"/>
      <c r="H96" s="40"/>
    </row>
    <row r="97" customFormat="false" ht="15" hidden="true" customHeight="false" outlineLevel="1" collapsed="false">
      <c r="A97" s="3" t="s">
        <v>907</v>
      </c>
      <c r="C97" s="40"/>
      <c r="D97" s="40"/>
      <c r="E97" s="40"/>
      <c r="F97" s="40"/>
      <c r="G97" s="40"/>
      <c r="H97" s="40"/>
    </row>
    <row r="98" customFormat="false" ht="15" hidden="true" customHeight="false" outlineLevel="1" collapsed="false">
      <c r="A98" s="3" t="s">
        <v>908</v>
      </c>
      <c r="C98" s="40" t="str">
        <f aca="false">IF(ISNUMBER(C49),IF(IF(ISNUMBER(C54),ABS(C54)&gt;輸入與假設!$C$274,OR(AND(C28&lt;&gt;0,ABS(C49)&gt;輸入與假設!$C$273*ABS(C28)),AND(C28=0,C49&lt;&gt;0))),"調整後 EBITDA 實際 vs 模型 "&amp;IF(C49&lt;0,"−","+")&amp;IF(ABS(C49)&lt;0,"−","")&amp;"$"&amp;TEXT(ABS(ABS(C49)),"#,##0.00")&amp;"bn"&amp;IF(ISNUMBER(C54),"／"&amp;IF(C54&lt;0,"−","+")&amp;TEXT(ABS(C54)*100,"#,##0.0")&amp;"pt","")&amp;"：觀點（"&amp;"模型 EBITDA 率 "&amp;IF((C27)&lt;0,"−","")&amp;TEXT(ABS((C27))*100,"#,##0.0")&amp;"%"&amp;"；季度共識 EBITDA "&amp;IF((輸入與假設!$C$245)&lt;0,"−","")&amp;TEXT(ABS((輸入與假設!$C$245)),"#,##0.00")&amp;"、營收 "&amp;IF((輸入與假設!$C$244)&lt;0,"−","")&amp;TEXT(ABS((輸入與假設!$C$244)),"#,##0.00")&amp;"（口徑未揭露）"&amp;"）",""),"")</f>
        <v/>
      </c>
      <c r="D98" s="40" t="str">
        <f aca="false">IF(ISNUMBER(D49),IF(IF(ISNUMBER(D54),ABS(D54)&gt;輸入與假設!$C$274,OR(AND(D28&lt;&gt;0,ABS(D49)&gt;輸入與假設!$C$273*ABS(D28)),AND(D28=0,D49&lt;&gt;0))),"調整後 EBITDA 實際 vs 模型 "&amp;IF(D49&lt;0,"−","+")&amp;IF(ABS(D49)&lt;0,"−","")&amp;"$"&amp;TEXT(ABS(ABS(D49)),"#,##0.00")&amp;"bn"&amp;IF(ISNUMBER(D54),"／"&amp;IF(D54&lt;0,"−","+")&amp;TEXT(ABS(D54)*100,"#,##0.0")&amp;"pt","")&amp;"：觀點（"&amp;"模型 EBITDA 率 "&amp;IF((D27)&lt;0,"−","")&amp;TEXT(ABS((D27))*100,"#,##0.0")&amp;"%"&amp;"；季度共識 EBITDA "&amp;IF((輸入與假設!$D$245)&lt;0,"−","")&amp;TEXT(ABS((輸入與假設!$D$245)),"#,##0.00")&amp;"、營收 "&amp;IF((輸入與假設!$D$244)&lt;0,"−","")&amp;TEXT(ABS((輸入與假設!$D$244)),"#,##0.00")&amp;"（口徑未揭露）"&amp;"）",""),"")</f>
        <v/>
      </c>
      <c r="E98" s="40" t="str">
        <f aca="false">IF(ISNUMBER(E49),IF(IF(ISNUMBER(E54),ABS(E54)&gt;輸入與假設!$C$274,OR(AND(E28&lt;&gt;0,ABS(E49)&gt;輸入與假設!$C$273*ABS(E28)),AND(E28=0,E49&lt;&gt;0))),"調整後 EBITDA 實際 vs 模型 "&amp;IF(E49&lt;0,"−","+")&amp;IF(ABS(E49)&lt;0,"−","")&amp;"$"&amp;TEXT(ABS(ABS(E49)),"#,##0.00")&amp;"bn"&amp;IF(ISNUMBER(E54),"／"&amp;IF(E54&lt;0,"−","+")&amp;TEXT(ABS(E54)*100,"#,##0.0")&amp;"pt","")&amp;"：觀點（"&amp;"模型 EBITDA 率 "&amp;IF((E27)&lt;0,"−","")&amp;TEXT(ABS((E27))*100,"#,##0.0")&amp;"%"&amp;"；季度共識 EBITDA "&amp;"不適用"&amp;"、營收 "&amp;"不適用"&amp;"（口徑未揭露）"&amp;"）",""),"")</f>
        <v/>
      </c>
      <c r="F98" s="40" t="str">
        <f aca="false">IF(ISNUMBER(F49),IF(IF(ISNUMBER(F54),ABS(F54)&gt;輸入與假設!$C$274,OR(AND(F28&lt;&gt;0,ABS(F49)&gt;輸入與假設!$C$273*ABS(F28)),AND(F28=0,F49&lt;&gt;0))),"調整後 EBITDA 實際 vs 模型 "&amp;IF(F49&lt;0,"−","+")&amp;IF(ABS(F49)&lt;0,"−","")&amp;"$"&amp;TEXT(ABS(ABS(F49)),"#,##0.00")&amp;"bn"&amp;IF(ISNUMBER(F54),"／"&amp;IF(F54&lt;0,"−","+")&amp;TEXT(ABS(F54)*100,"#,##0.0")&amp;"pt","")&amp;"：觀點（"&amp;"模型 EBITDA 率 "&amp;IF((F27)&lt;0,"−","")&amp;TEXT(ABS((F27))*100,"#,##0.0")&amp;"%"&amp;"；季度共識 EBITDA "&amp;"不適用"&amp;"、營收 "&amp;"不適用"&amp;"（口徑未揭露）"&amp;"）",""),"")</f>
        <v/>
      </c>
      <c r="G98" s="40" t="str">
        <f aca="false">IF(ISNUMBER(G49),IF(IF(ISNUMBER(G54),ABS(G54)&gt;輸入與假設!$C$274,OR(AND(G28&lt;&gt;0,ABS(G49)&gt;輸入與假設!$C$273*ABS(G28)),AND(G28=0,G49&lt;&gt;0))),"調整後 EBITDA 實際 vs 模型 "&amp;IF(G49&lt;0,"−","+")&amp;IF(ABS(G49)&lt;0,"−","")&amp;"$"&amp;TEXT(ABS(ABS(G49)),"#,##0.00")&amp;"bn"&amp;IF(ISNUMBER(G54),"／"&amp;IF(G54&lt;0,"−","+")&amp;TEXT(ABS(G54)*100,"#,##0.0")&amp;"pt","")&amp;"：觀點（"&amp;"模型 EBITDA 率 "&amp;IF((G27)&lt;0,"−","")&amp;TEXT(ABS((G27))*100,"#,##0.0")&amp;"%"&amp;"；季度共識 EBITDA "&amp;"不適用"&amp;"、營收 "&amp;"不適用"&amp;"（口徑未揭露）"&amp;"）",""),"")</f>
        <v/>
      </c>
      <c r="H98" s="40" t="str">
        <f aca="false">IF(ISNUMBER(H49),IF(IF(ISNUMBER(H54),ABS(H54)&gt;輸入與假設!$C$274,OR(AND(H28&lt;&gt;0,ABS(H49)&gt;輸入與假設!$C$273*ABS(H28)),AND(H28=0,H49&lt;&gt;0))),"調整後 EBITDA 實際 vs 模型 "&amp;IF(H49&lt;0,"−","+")&amp;IF(ABS(H49)&lt;0,"−","")&amp;"$"&amp;TEXT(ABS(ABS(H49)),"#,##0.00")&amp;"bn"&amp;IF(ISNUMBER(H54),"／"&amp;IF(H54&lt;0,"−","+")&amp;TEXT(ABS(H54)*100,"#,##0.0")&amp;"pt","")&amp;"：觀點（"&amp;"模型 EBITDA 率 "&amp;IF((H27)&lt;0,"−","")&amp;TEXT(ABS((H27))*100,"#,##0.0")&amp;"%"&amp;"；季度共識 EBITDA "&amp;"不適用"&amp;"、營收 "&amp;"不適用"&amp;"（口徑未揭露）"&amp;"）",""),"")</f>
        <v/>
      </c>
    </row>
    <row r="99" customFormat="false" ht="15" hidden="true" customHeight="false" outlineLevel="1" collapsed="false">
      <c r="A99" s="3" t="s">
        <v>909</v>
      </c>
      <c r="C99" s="40" t="str">
        <f aca="false">IF(ISNUMBER(C49),IF(IF(ISNUMBER(C54),ABS(C54)&gt;輸入與假設!$C$274,OR(AND(C28&lt;&gt;0,ABS(C49)&gt;輸入與假設!$C$273*ABS(C28)),AND(C28=0,C49&lt;&gt;0))),"觀點",""),"")</f>
        <v/>
      </c>
      <c r="D99" s="40" t="str">
        <f aca="false">IF(ISNUMBER(D49),IF(IF(ISNUMBER(D54),ABS(D54)&gt;輸入與假設!$C$274,OR(AND(D28&lt;&gt;0,ABS(D49)&gt;輸入與假設!$C$273*ABS(D28)),AND(D28=0,D49&lt;&gt;0))),"觀點",""),"")</f>
        <v/>
      </c>
      <c r="E99" s="40" t="str">
        <f aca="false">IF(ISNUMBER(E49),IF(IF(ISNUMBER(E54),ABS(E54)&gt;輸入與假設!$C$274,OR(AND(E28&lt;&gt;0,ABS(E49)&gt;輸入與假設!$C$273*ABS(E28)),AND(E28=0,E49&lt;&gt;0))),"觀點",""),"")</f>
        <v/>
      </c>
      <c r="F99" s="40" t="str">
        <f aca="false">IF(ISNUMBER(F49),IF(IF(ISNUMBER(F54),ABS(F54)&gt;輸入與假設!$C$274,OR(AND(F28&lt;&gt;0,ABS(F49)&gt;輸入與假設!$C$273*ABS(F28)),AND(F28=0,F49&lt;&gt;0))),"觀點",""),"")</f>
        <v/>
      </c>
      <c r="G99" s="40" t="str">
        <f aca="false">IF(ISNUMBER(G49),IF(IF(ISNUMBER(G54),ABS(G54)&gt;輸入與假設!$C$274,OR(AND(G28&lt;&gt;0,ABS(G49)&gt;輸入與假設!$C$273*ABS(G28)),AND(G28=0,G49&lt;&gt;0))),"觀點",""),"")</f>
        <v/>
      </c>
      <c r="H99" s="40" t="str">
        <f aca="false">IF(ISNUMBER(H49),IF(IF(ISNUMBER(H54),ABS(H54)&gt;輸入與假設!$C$274,OR(AND(H28&lt;&gt;0,ABS(H49)&gt;輸入與假設!$C$273*ABS(H28)),AND(H28=0,H49&lt;&gt;0))),"觀點",""),"")</f>
        <v/>
      </c>
    </row>
    <row r="100" customFormat="false" ht="15" hidden="true" customHeight="false" outlineLevel="1" collapsed="false">
      <c r="A100" s="3" t="s">
        <v>910</v>
      </c>
      <c r="C100" s="40"/>
      <c r="D100" s="40"/>
      <c r="E100" s="40"/>
      <c r="F100" s="40"/>
      <c r="G100" s="40"/>
      <c r="H100" s="40"/>
    </row>
    <row r="101" customFormat="false" ht="15" hidden="true" customHeight="false" outlineLevel="1" collapsed="false">
      <c r="A101" s="3" t="s">
        <v>911</v>
      </c>
      <c r="C101" s="40"/>
      <c r="D101" s="40"/>
      <c r="E101" s="40"/>
      <c r="F101" s="40"/>
      <c r="G101" s="40"/>
      <c r="H101" s="40"/>
    </row>
    <row r="102" customFormat="false" ht="15" hidden="true" customHeight="false" outlineLevel="1" collapsed="false">
      <c r="A102" s="3" t="s">
        <v>912</v>
      </c>
      <c r="C102" s="40"/>
      <c r="D102" s="40"/>
      <c r="E102" s="40"/>
      <c r="F102" s="40"/>
      <c r="G102" s="40"/>
      <c r="H102" s="40"/>
    </row>
    <row r="103" customFormat="false" ht="15" hidden="true" customHeight="false" outlineLevel="1" collapsed="false">
      <c r="A103" s="3" t="s">
        <v>913</v>
      </c>
      <c r="C103" s="40"/>
      <c r="D103" s="40"/>
      <c r="E103" s="40"/>
      <c r="F103" s="40"/>
      <c r="G103" s="40"/>
      <c r="H103" s="40"/>
    </row>
    <row r="104" customFormat="false" ht="15" hidden="true" customHeight="false" outlineLevel="1" collapsed="false">
      <c r="A104" s="3" t="s">
        <v>914</v>
      </c>
      <c r="C104" s="40" t="str">
        <f aca="false">IF(ISNUMBER(C64),IF(IF(ISNUMBER(C69),ABS(C69)&gt;輸入與假設!$C$274,OR(AND(C30&lt;&gt;0,ABS(C64)&gt;輸入與假設!$C$273*ABS(C30)),AND(C30=0,C64&lt;&gt;0))),"調整後營業利益 實際 vs 模型 "&amp;IF(C64&lt;0,"−","+")&amp;IF(ABS(C64)&lt;0,"−","")&amp;"$"&amp;TEXT(ABS(ABS(C64)),"#,##0.00")&amp;"bn"&amp;IF(ISNUMBER(C69),"／"&amp;IF(C69&lt;0,"−","+")&amp;TEXT(ABS(C69)*100,"#,##0.0")&amp;"pt","")&amp;"：已知限制（"&amp;"模型車隊折舊 "&amp;IF((C29)&lt;0,"−","")&amp;TEXT(ABS((C29)),"#,##0.00")&amp;" 以期初毛 PP&amp;E（含尚未啟用資產）計，高於實際走勢（同 CRWV 模板待辦 6，不在本次範圍）"&amp;"）",""),"")</f>
        <v/>
      </c>
      <c r="D104" s="40" t="str">
        <f aca="false">IF(ISNUMBER(D64),IF(IF(ISNUMBER(D69),ABS(D69)&gt;輸入與假設!$C$274,OR(AND(D30&lt;&gt;0,ABS(D64)&gt;輸入與假設!$C$273*ABS(D30)),AND(D30=0,D64&lt;&gt;0))),"調整後營業利益 實際 vs 模型 "&amp;IF(D64&lt;0,"−","+")&amp;IF(ABS(D64)&lt;0,"−","")&amp;"$"&amp;TEXT(ABS(ABS(D64)),"#,##0.00")&amp;"bn"&amp;IF(ISNUMBER(D69),"／"&amp;IF(D69&lt;0,"−","+")&amp;TEXT(ABS(D69)*100,"#,##0.0")&amp;"pt","")&amp;"：已知限制（"&amp;"模型車隊折舊 "&amp;IF((D29)&lt;0,"−","")&amp;TEXT(ABS((D29)),"#,##0.00")&amp;" 以期初毛 PP&amp;E（含尚未啟用資產）計，高於實際走勢（同 CRWV 模板待辦 6，不在本次範圍）"&amp;"）",""),"")</f>
        <v/>
      </c>
      <c r="E104" s="40" t="str">
        <f aca="false">IF(ISNUMBER(E64),IF(IF(ISNUMBER(E69),ABS(E69)&gt;輸入與假設!$C$274,OR(AND(E30&lt;&gt;0,ABS(E64)&gt;輸入與假設!$C$273*ABS(E30)),AND(E30=0,E64&lt;&gt;0))),"調整後營業利益 實際 vs 模型 "&amp;IF(E64&lt;0,"−","+")&amp;IF(ABS(E64)&lt;0,"−","")&amp;"$"&amp;TEXT(ABS(ABS(E64)),"#,##0.00")&amp;"bn"&amp;IF(ISNUMBER(E69),"／"&amp;IF(E69&lt;0,"−","+")&amp;TEXT(ABS(E69)*100,"#,##0.0")&amp;"pt","")&amp;"：已知限制（"&amp;"模型車隊折舊 "&amp;IF((E29)&lt;0,"−","")&amp;TEXT(ABS((E29)),"#,##0.00")&amp;" 以期初毛 PP&amp;E（含尚未啟用資產）計，高於實際走勢（同 CRWV 模板待辦 6，不在本次範圍）"&amp;"）",""),"")</f>
        <v/>
      </c>
      <c r="F104" s="40" t="str">
        <f aca="false">IF(ISNUMBER(F64),IF(IF(ISNUMBER(F69),ABS(F69)&gt;輸入與假設!$C$274,OR(AND(F30&lt;&gt;0,ABS(F64)&gt;輸入與假設!$C$273*ABS(F30)),AND(F30=0,F64&lt;&gt;0))),"調整後營業利益 實際 vs 模型 "&amp;IF(F64&lt;0,"−","+")&amp;IF(ABS(F64)&lt;0,"−","")&amp;"$"&amp;TEXT(ABS(ABS(F64)),"#,##0.00")&amp;"bn"&amp;IF(ISNUMBER(F69),"／"&amp;IF(F69&lt;0,"−","+")&amp;TEXT(ABS(F69)*100,"#,##0.0")&amp;"pt","")&amp;"：已知限制（"&amp;"模型車隊折舊 "&amp;IF((F29)&lt;0,"−","")&amp;TEXT(ABS((F29)),"#,##0.00")&amp;" 以期初毛 PP&amp;E（含尚未啟用資產）計，高於實際走勢（同 CRWV 模板待辦 6，不在本次範圍）"&amp;"）",""),"")</f>
        <v/>
      </c>
      <c r="G104" s="40" t="str">
        <f aca="false">IF(ISNUMBER(G64),IF(IF(ISNUMBER(G69),ABS(G69)&gt;輸入與假設!$C$274,OR(AND(G30&lt;&gt;0,ABS(G64)&gt;輸入與假設!$C$273*ABS(G30)),AND(G30=0,G64&lt;&gt;0))),"調整後營業利益 實際 vs 模型 "&amp;IF(G64&lt;0,"−","+")&amp;IF(ABS(G64)&lt;0,"−","")&amp;"$"&amp;TEXT(ABS(ABS(G64)),"#,##0.00")&amp;"bn"&amp;IF(ISNUMBER(G69),"／"&amp;IF(G69&lt;0,"−","+")&amp;TEXT(ABS(G69)*100,"#,##0.0")&amp;"pt","")&amp;"：已知限制（"&amp;"模型車隊折舊 "&amp;IF((G29)&lt;0,"−","")&amp;TEXT(ABS((G29)),"#,##0.00")&amp;" 以期初毛 PP&amp;E（含尚未啟用資產）計，高於實際走勢（同 CRWV 模板待辦 6，不在本次範圍）"&amp;"）",""),"")</f>
        <v/>
      </c>
      <c r="H104" s="40" t="str">
        <f aca="false">IF(ISNUMBER(H64),IF(IF(ISNUMBER(H69),ABS(H69)&gt;輸入與假設!$C$274,OR(AND(H30&lt;&gt;0,ABS(H64)&gt;輸入與假設!$C$273*ABS(H30)),AND(H30=0,H64&lt;&gt;0))),"調整後營業利益 實際 vs 模型 "&amp;IF(H64&lt;0,"−","+")&amp;IF(ABS(H64)&lt;0,"−","")&amp;"$"&amp;TEXT(ABS(ABS(H64)),"#,##0.00")&amp;"bn"&amp;IF(ISNUMBER(H69),"／"&amp;IF(H69&lt;0,"−","+")&amp;TEXT(ABS(H69)*100,"#,##0.0")&amp;"pt","")&amp;"：已知限制（"&amp;"模型車隊折舊 "&amp;IF((H29)&lt;0,"−","")&amp;TEXT(ABS((H29)),"#,##0.00")&amp;" 以期初毛 PP&amp;E（含尚未啟用資產）計，高於實際走勢（同 CRWV 模板待辦 6，不在本次範圍）"&amp;"）",""),"")</f>
        <v/>
      </c>
    </row>
    <row r="105" customFormat="false" ht="15" hidden="true" customHeight="false" outlineLevel="1" collapsed="false">
      <c r="A105" s="3" t="s">
        <v>915</v>
      </c>
      <c r="C105" s="40" t="str">
        <f aca="false">IF(ISNUMBER(C64),IF(IF(ISNUMBER(C69),ABS(C69)&gt;輸入與假設!$C$274,OR(AND(C30&lt;&gt;0,ABS(C64)&gt;輸入與假設!$C$273*ABS(C30)),AND(C30=0,C64&lt;&gt;0))),"已知限制",""),"")</f>
        <v/>
      </c>
      <c r="D105" s="40" t="str">
        <f aca="false">IF(ISNUMBER(D64),IF(IF(ISNUMBER(D69),ABS(D69)&gt;輸入與假設!$C$274,OR(AND(D30&lt;&gt;0,ABS(D64)&gt;輸入與假設!$C$273*ABS(D30)),AND(D30=0,D64&lt;&gt;0))),"已知限制",""),"")</f>
        <v/>
      </c>
      <c r="E105" s="40" t="str">
        <f aca="false">IF(ISNUMBER(E64),IF(IF(ISNUMBER(E69),ABS(E69)&gt;輸入與假設!$C$274,OR(AND(E30&lt;&gt;0,ABS(E64)&gt;輸入與假設!$C$273*ABS(E30)),AND(E30=0,E64&lt;&gt;0))),"已知限制",""),"")</f>
        <v/>
      </c>
      <c r="F105" s="40" t="str">
        <f aca="false">IF(ISNUMBER(F64),IF(IF(ISNUMBER(F69),ABS(F69)&gt;輸入與假設!$C$274,OR(AND(F30&lt;&gt;0,ABS(F64)&gt;輸入與假設!$C$273*ABS(F30)),AND(F30=0,F64&lt;&gt;0))),"已知限制",""),"")</f>
        <v/>
      </c>
      <c r="G105" s="40" t="str">
        <f aca="false">IF(ISNUMBER(G64),IF(IF(ISNUMBER(G69),ABS(G69)&gt;輸入與假設!$C$274,OR(AND(G30&lt;&gt;0,ABS(G64)&gt;輸入與假設!$C$273*ABS(G30)),AND(G30=0,G64&lt;&gt;0))),"已知限制",""),"")</f>
        <v/>
      </c>
      <c r="H105" s="40" t="str">
        <f aca="false">IF(ISNUMBER(H64),IF(IF(ISNUMBER(H69),ABS(H69)&gt;輸入與假設!$C$274,OR(AND(H30&lt;&gt;0,ABS(H64)&gt;輸入與假設!$C$273*ABS(H30)),AND(H30=0,H64&lt;&gt;0))),"已知限制",""),"")</f>
        <v/>
      </c>
    </row>
    <row r="106" customFormat="false" ht="15" hidden="true" customHeight="false" outlineLevel="1" collapsed="false">
      <c r="A106" s="3" t="s">
        <v>916</v>
      </c>
      <c r="C106" s="40"/>
      <c r="D106" s="40"/>
      <c r="E106" s="40"/>
      <c r="F106" s="40"/>
      <c r="G106" s="40"/>
      <c r="H106" s="40"/>
    </row>
    <row r="107" customFormat="false" ht="15" hidden="true" customHeight="false" outlineLevel="1" collapsed="false">
      <c r="A107" s="3" t="s">
        <v>917</v>
      </c>
      <c r="C107" s="40"/>
      <c r="D107" s="40"/>
      <c r="E107" s="40"/>
      <c r="F107" s="40"/>
      <c r="G107" s="40"/>
      <c r="H107" s="40"/>
    </row>
    <row r="108" customFormat="false" ht="15" hidden="true" customHeight="false" outlineLevel="1" collapsed="false">
      <c r="A108" s="3" t="s">
        <v>918</v>
      </c>
      <c r="C108" s="40"/>
      <c r="D108" s="40"/>
      <c r="E108" s="40"/>
      <c r="F108" s="40"/>
      <c r="G108" s="40"/>
      <c r="H108" s="40"/>
    </row>
    <row r="109" customFormat="false" ht="15" hidden="true" customHeight="false" outlineLevel="1" collapsed="false">
      <c r="A109" s="3" t="s">
        <v>919</v>
      </c>
      <c r="C109" s="40"/>
      <c r="D109" s="40"/>
      <c r="E109" s="40"/>
      <c r="F109" s="40"/>
      <c r="G109" s="40"/>
      <c r="H109" s="40"/>
    </row>
    <row r="110" customFormat="false" ht="15" hidden="true" customHeight="false" outlineLevel="1" collapsed="false">
      <c r="A110" s="3" t="s">
        <v>920</v>
      </c>
      <c r="C110" s="40" t="str">
        <f aca="false">IF(ISNUMBER(C74),IF(ABS(C74)&gt;輸入與假設!$C$273,"CapEx（毛額） 實際 vs 模型 "&amp;IF(C74&lt;0,"−","+")&amp;TEXT(ABS(C74)*100,"#,##0.0")&amp;"%"&amp;"：觀點（"&amp;"CapEx 依新增已連網 MW × 每 MW 建置成本（Tokenomics IF_CapexTotal）計算；共識口徑未揭露"&amp;"）",""),"")</f>
        <v/>
      </c>
      <c r="D110" s="40" t="str">
        <f aca="false">IF(ISNUMBER(D74),IF(ABS(D74)&gt;輸入與假設!$C$273,"CapEx（毛額） 實際 vs 模型 "&amp;IF(D74&lt;0,"−","+")&amp;TEXT(ABS(D74)*100,"#,##0.0")&amp;"%"&amp;"：觀點（"&amp;"CapEx 依新增已連網 MW × 每 MW 建置成本（Tokenomics IF_CapexTotal）計算；共識口徑未揭露"&amp;"）",""),"")</f>
        <v/>
      </c>
      <c r="E110" s="40" t="str">
        <f aca="false">IF(ISNUMBER(E74),IF(ABS(E74)&gt;輸入與假設!$C$273,"CapEx（毛額） 實際 vs 模型 "&amp;IF(E74&lt;0,"−","+")&amp;TEXT(ABS(E74)*100,"#,##0.0")&amp;"%"&amp;"：觀點（"&amp;"CapEx 依新增已連網 MW × 每 MW 建置成本（Tokenomics IF_CapexTotal）計算；共識口徑未揭露"&amp;"）",""),"")</f>
        <v/>
      </c>
      <c r="F110" s="40" t="str">
        <f aca="false">IF(ISNUMBER(F74),IF(ABS(F74)&gt;輸入與假設!$C$273,"CapEx（毛額） 實際 vs 模型 "&amp;IF(F74&lt;0,"−","+")&amp;TEXT(ABS(F74)*100,"#,##0.0")&amp;"%"&amp;"：觀點（"&amp;"CapEx 依新增已連網 MW × 每 MW 建置成本（Tokenomics IF_CapexTotal）計算；共識口徑未揭露"&amp;"）",""),"")</f>
        <v/>
      </c>
      <c r="G110" s="40" t="str">
        <f aca="false">IF(ISNUMBER(G74),IF(ABS(G74)&gt;輸入與假設!$C$273,"CapEx（毛額） 實際 vs 模型 "&amp;IF(G74&lt;0,"−","+")&amp;TEXT(ABS(G74)*100,"#,##0.0")&amp;"%"&amp;"：觀點（"&amp;"CapEx 依新增已連網 MW × 每 MW 建置成本（Tokenomics IF_CapexTotal）計算；共識口徑未揭露"&amp;"）",""),"")</f>
        <v/>
      </c>
      <c r="H110" s="40" t="str">
        <f aca="false">IF(ISNUMBER(H74),IF(ABS(H74)&gt;輸入與假設!$C$273,"CapEx（毛額） 實際 vs 模型 "&amp;IF(H74&lt;0,"−","+")&amp;TEXT(ABS(H74)*100,"#,##0.0")&amp;"%"&amp;"：觀點（"&amp;"CapEx 依新增已連網 MW × 每 MW 建置成本（Tokenomics IF_CapexTotal）計算；共識口徑未揭露"&amp;"）",""),"")</f>
        <v/>
      </c>
    </row>
    <row r="111" customFormat="false" ht="15" hidden="true" customHeight="false" outlineLevel="1" collapsed="false">
      <c r="A111" s="3" t="s">
        <v>921</v>
      </c>
      <c r="C111" s="40" t="str">
        <f aca="false">IF(ISNUMBER(C74),IF(ABS(C74)&gt;輸入與假設!$C$273,"觀點",""),"")</f>
        <v/>
      </c>
      <c r="D111" s="40" t="str">
        <f aca="false">IF(ISNUMBER(D74),IF(ABS(D74)&gt;輸入與假設!$C$273,"觀點",""),"")</f>
        <v/>
      </c>
      <c r="E111" s="40" t="str">
        <f aca="false">IF(ISNUMBER(E74),IF(ABS(E74)&gt;輸入與假設!$C$273,"觀點",""),"")</f>
        <v/>
      </c>
      <c r="F111" s="40" t="str">
        <f aca="false">IF(ISNUMBER(F74),IF(ABS(F74)&gt;輸入與假設!$C$273,"觀點",""),"")</f>
        <v/>
      </c>
      <c r="G111" s="40" t="str">
        <f aca="false">IF(ISNUMBER(G74),IF(ABS(G74)&gt;輸入與假設!$C$273,"觀點",""),"")</f>
        <v/>
      </c>
      <c r="H111" s="40" t="str">
        <f aca="false">IF(ISNUMBER(H74),IF(ABS(H74)&gt;輸入與假設!$C$273,"觀點",""),"")</f>
        <v/>
      </c>
    </row>
    <row r="112" customFormat="false" ht="15" hidden="true" customHeight="false" outlineLevel="1" collapsed="false">
      <c r="A112" s="3" t="s">
        <v>922</v>
      </c>
      <c r="C112" s="40"/>
      <c r="D112" s="40"/>
      <c r="E112" s="40"/>
      <c r="F112" s="40"/>
      <c r="G112" s="40"/>
      <c r="H112" s="40"/>
    </row>
    <row r="113" customFormat="false" ht="15" hidden="true" customHeight="false" outlineLevel="1" collapsed="false">
      <c r="A113" s="3" t="s">
        <v>923</v>
      </c>
      <c r="C113" s="40"/>
      <c r="D113" s="40"/>
      <c r="E113" s="40"/>
      <c r="F113" s="40"/>
      <c r="G113" s="40"/>
      <c r="H113" s="40"/>
    </row>
    <row r="114" customFormat="false" ht="15" hidden="true" customHeight="false" outlineLevel="1" collapsed="false">
      <c r="A114" s="3" t="s">
        <v>924</v>
      </c>
      <c r="C114" s="40"/>
      <c r="D114" s="40"/>
      <c r="E114" s="40"/>
      <c r="F114" s="40"/>
      <c r="G114" s="40"/>
      <c r="H114" s="40"/>
    </row>
    <row r="115" customFormat="false" ht="15" hidden="true" customHeight="false" outlineLevel="1" collapsed="false">
      <c r="A115" s="3" t="s">
        <v>925</v>
      </c>
      <c r="C115" s="40"/>
      <c r="D115" s="40"/>
      <c r="E115" s="40"/>
      <c r="F115" s="40"/>
      <c r="G115" s="40"/>
      <c r="H115" s="40"/>
    </row>
    <row r="116" customFormat="false" ht="15" hidden="true" customHeight="false" outlineLevel="1" collapsed="false">
      <c r="A116" s="3" t="s">
        <v>926</v>
      </c>
      <c r="C116" s="40"/>
      <c r="D116" s="40"/>
      <c r="E116" s="40"/>
      <c r="F116" s="40"/>
      <c r="G116" s="40"/>
      <c r="H116" s="40"/>
    </row>
    <row r="117" customFormat="false" ht="15" hidden="true" customHeight="false" outlineLevel="1" collapsed="false">
      <c r="A117" s="3" t="s">
        <v>927</v>
      </c>
      <c r="C117" s="40"/>
      <c r="D117" s="40"/>
      <c r="E117" s="40"/>
      <c r="F117" s="40"/>
      <c r="G117" s="40"/>
      <c r="H117" s="40"/>
    </row>
    <row r="118" customFormat="false" ht="15" hidden="true" customHeight="false" outlineLevel="1" collapsed="false">
      <c r="A118" s="3" t="s">
        <v>928</v>
      </c>
      <c r="C118" s="40" t="str">
        <f aca="false">MID(IF(C85&lt;&gt;"","；"&amp;C85,"")&amp;IF(C87&lt;&gt;"","；"&amp;C87,"")&amp;IF(C89&lt;&gt;"","；"&amp;C89,"")&amp;IF(C94&lt;&gt;"","；"&amp;C94,"")&amp;IF(C96&lt;&gt;"","；"&amp;C96,"")&amp;IF(C98&lt;&gt;"","；"&amp;C98,"")&amp;IF(C100&lt;&gt;"","；"&amp;C100,"")&amp;IF(C102&lt;&gt;"","；"&amp;C102,"")&amp;IF(C104&lt;&gt;"","；"&amp;C104,"")&amp;IF(C106&lt;&gt;"","；"&amp;C106,"")&amp;IF(C108&lt;&gt;"","；"&amp;C108,"")&amp;IF(C110&lt;&gt;"","；"&amp;C110,"")&amp;IF(C112&lt;&gt;"","；"&amp;C112,"")&amp;IF(C114&lt;&gt;"","；"&amp;C114,"")&amp;IF(C116&lt;&gt;"","；"&amp;C116,""),2,9999)</f>
        <v>調整後 EBITDA vs 共識 +$0.03bn／+4.4pt：拆法（分配 +$0.088bn（Q3'26 占 2H26 42.3%，共識合計 32.9%）；水準 −$0.058bn）</v>
      </c>
      <c r="D118" s="40" t="str">
        <f aca="false">MID(IF(D85&lt;&gt;"","；"&amp;D85,"")&amp;IF(D87&lt;&gt;"","；"&amp;D87,"")&amp;IF(D89&lt;&gt;"","；"&amp;D89,"")&amp;IF(D94&lt;&gt;"","；"&amp;D94,"")&amp;IF(D96&lt;&gt;"","；"&amp;D96,"")&amp;IF(D98&lt;&gt;"","；"&amp;D98,"")&amp;IF(D100&lt;&gt;"","；"&amp;D100,"")&amp;IF(D102&lt;&gt;"","；"&amp;D102,"")&amp;IF(D104&lt;&gt;"","；"&amp;D104,"")&amp;IF(D106&lt;&gt;"","；"&amp;D106,"")&amp;IF(D108&lt;&gt;"","；"&amp;D108,"")&amp;IF(D110&lt;&gt;"","；"&amp;D110,"")&amp;IF(D112&lt;&gt;"","；"&amp;D112,"")&amp;IF(D114&lt;&gt;"","；"&amp;D114,"")&amp;IF(D116&lt;&gt;"","；"&amp;D116,""),2,9999)</f>
        <v>營收 vs 共識 −22.8%：觀點（水準 −$0.231bn（2H26 模型 $2.053bn，共識合計 $2.420bn）；分配 −$0.116bn；每 MW 年收入採 Tokenomics 正向推導的新約值（GB300／VR200）；期初可計費 MW 以最新季實際營收年化校準，可計費 MW 依爬坡係數逐步收斂到已連網 MW（v0.1c）；共識未揭露 MW 與單價假設）；調整後 EBITDA vs 共識 −$0.21bn／−3.2pt：觀點（水準 −$0.118bn（2H26 模型 $0.926bn，共識合計 $1.102bn）；分配 −$0.088bn；模型 EBITDA 率 45.5%；季度共識 EBITDA 0.74、營收 1.52（口徑未揭露））</v>
      </c>
      <c r="E118" s="40" t="str">
        <f aca="false">MID(IF(E85&lt;&gt;"","；"&amp;E85,"")&amp;IF(E87&lt;&gt;"","；"&amp;E87,"")&amp;IF(E89&lt;&gt;"","；"&amp;E89,"")&amp;IF(E94&lt;&gt;"","；"&amp;E94,"")&amp;IF(E96&lt;&gt;"","；"&amp;E96,"")&amp;IF(E98&lt;&gt;"","；"&amp;E98,"")&amp;IF(E100&lt;&gt;"","；"&amp;E100,"")&amp;IF(E102&lt;&gt;"","；"&amp;E102,"")&amp;IF(E104&lt;&gt;"","；"&amp;E104,"")&amp;IF(E106&lt;&gt;"","；"&amp;E106,"")&amp;IF(E108&lt;&gt;"","；"&amp;E108,"")&amp;IF(E110&lt;&gt;"","；"&amp;E110,"")&amp;IF(E112&lt;&gt;"","；"&amp;E112,"")&amp;IF(E114&lt;&gt;"","；"&amp;E114,"")&amp;IF(E116&lt;&gt;"","；"&amp;E116,""),2,9999)</f>
        <v/>
      </c>
      <c r="F118" s="40" t="str">
        <f aca="false">MID(IF(F85&lt;&gt;"","；"&amp;F85,"")&amp;IF(F87&lt;&gt;"","；"&amp;F87,"")&amp;IF(F89&lt;&gt;"","；"&amp;F89,"")&amp;IF(F94&lt;&gt;"","；"&amp;F94,"")&amp;IF(F96&lt;&gt;"","；"&amp;F96,"")&amp;IF(F98&lt;&gt;"","；"&amp;F98,"")&amp;IF(F100&lt;&gt;"","；"&amp;F100,"")&amp;IF(F102&lt;&gt;"","；"&amp;F102,"")&amp;IF(F104&lt;&gt;"","；"&amp;F104,"")&amp;IF(F106&lt;&gt;"","；"&amp;F106,"")&amp;IF(F108&lt;&gt;"","；"&amp;F108,"")&amp;IF(F110&lt;&gt;"","；"&amp;F110,"")&amp;IF(F112&lt;&gt;"","；"&amp;F112,"")&amp;IF(F114&lt;&gt;"","；"&amp;F114,"")&amp;IF(F116&lt;&gt;"","；"&amp;F116,""),2,9999)</f>
        <v/>
      </c>
      <c r="G118" s="40" t="str">
        <f aca="false">MID(IF(G85&lt;&gt;"","；"&amp;G85,"")&amp;IF(G87&lt;&gt;"","；"&amp;G87,"")&amp;IF(G89&lt;&gt;"","；"&amp;G89,"")&amp;IF(G94&lt;&gt;"","；"&amp;G94,"")&amp;IF(G96&lt;&gt;"","；"&amp;G96,"")&amp;IF(G98&lt;&gt;"","；"&amp;G98,"")&amp;IF(G100&lt;&gt;"","；"&amp;G100,"")&amp;IF(G102&lt;&gt;"","；"&amp;G102,"")&amp;IF(G104&lt;&gt;"","；"&amp;G104,"")&amp;IF(G106&lt;&gt;"","；"&amp;G106,"")&amp;IF(G108&lt;&gt;"","；"&amp;G108,"")&amp;IF(G110&lt;&gt;"","；"&amp;G110,"")&amp;IF(G112&lt;&gt;"","；"&amp;G112,"")&amp;IF(G114&lt;&gt;"","；"&amp;G114,"")&amp;IF(G116&lt;&gt;"","；"&amp;G116,""),2,9999)</f>
        <v/>
      </c>
      <c r="H118" s="40" t="str">
        <f aca="false">MID(IF(H85&lt;&gt;"","；"&amp;H85,"")&amp;IF(H87&lt;&gt;"","；"&amp;H87,"")&amp;IF(H89&lt;&gt;"","；"&amp;H89,"")&amp;IF(H94&lt;&gt;"","；"&amp;H94,"")&amp;IF(H96&lt;&gt;"","；"&amp;H96,"")&amp;IF(H98&lt;&gt;"","；"&amp;H98,"")&amp;IF(H100&lt;&gt;"","；"&amp;H100,"")&amp;IF(H102&lt;&gt;"","；"&amp;H102,"")&amp;IF(H104&lt;&gt;"","；"&amp;H104,"")&amp;IF(H106&lt;&gt;"","；"&amp;H106,"")&amp;IF(H108&lt;&gt;"","；"&amp;H108,"")&amp;IF(H110&lt;&gt;"","；"&amp;H110,"")&amp;IF(H112&lt;&gt;"","；"&amp;H112,"")&amp;IF(H114&lt;&gt;"","；"&amp;H114,"")&amp;IF(H116&lt;&gt;"","；"&amp;H116,""),2,9999)</f>
        <v/>
      </c>
    </row>
    <row r="119" customFormat="false" ht="15" hidden="true" customHeight="false" outlineLevel="1" collapsed="false">
      <c r="A119" s="3" t="s">
        <v>929</v>
      </c>
      <c r="C119" s="40" t="str">
        <f aca="false">IF((C86&amp;IF(AND(C88&lt;&gt;"",C88&lt;&gt;C86),IF((C86)&lt;&gt;"","、","")&amp;C88,"")&amp;IF(AND(C90&lt;&gt;"",C90&lt;&gt;C86,C90&lt;&gt;C88),IF((C86&amp;C88)&lt;&gt;"","、","")&amp;C90,""))&lt;&gt;"","〔"&amp;(C86&amp;IF(AND(C88&lt;&gt;"",C88&lt;&gt;C86),IF((C86)&lt;&gt;"","、","")&amp;C88,"")&amp;IF(AND(C90&lt;&gt;"",C90&lt;&gt;C86,C90&lt;&gt;C88),IF((C86&amp;C88)&lt;&gt;"","、","")&amp;C90,""))&amp;"〕","")</f>
        <v/>
      </c>
      <c r="D119" s="40" t="str">
        <f aca="false">IF((D86&amp;IF(AND(D88&lt;&gt;"",D88&lt;&gt;D86),IF((D86)&lt;&gt;"","、","")&amp;D88,"")&amp;IF(AND(D90&lt;&gt;"",D90&lt;&gt;D86,D90&lt;&gt;D88),IF((D86&amp;D88)&lt;&gt;"","、","")&amp;D90,""))&lt;&gt;"","〔"&amp;(D86&amp;IF(AND(D88&lt;&gt;"",D88&lt;&gt;D86),IF((D86)&lt;&gt;"","、","")&amp;D88,"")&amp;IF(AND(D90&lt;&gt;"",D90&lt;&gt;D86,D90&lt;&gt;D88),IF((D86&amp;D88)&lt;&gt;"","、","")&amp;D90,""))&amp;"〕","")</f>
        <v>〔觀點〕</v>
      </c>
      <c r="E119" s="40" t="str">
        <f aca="false">IF((E86&amp;IF(AND(E88&lt;&gt;"",E88&lt;&gt;E86),IF((E86)&lt;&gt;"","、","")&amp;E88,"")&amp;IF(AND(E90&lt;&gt;"",E90&lt;&gt;E86,E90&lt;&gt;E88),IF((E86&amp;E88)&lt;&gt;"","、","")&amp;E90,""))&lt;&gt;"","〔"&amp;(E86&amp;IF(AND(E88&lt;&gt;"",E88&lt;&gt;E86),IF((E86)&lt;&gt;"","、","")&amp;E88,"")&amp;IF(AND(E90&lt;&gt;"",E90&lt;&gt;E86,E90&lt;&gt;E88),IF((E86&amp;E88)&lt;&gt;"","、","")&amp;E90,""))&amp;"〕","")</f>
        <v/>
      </c>
      <c r="F119" s="40" t="str">
        <f aca="false">IF((F86&amp;IF(AND(F88&lt;&gt;"",F88&lt;&gt;F86),IF((F86)&lt;&gt;"","、","")&amp;F88,"")&amp;IF(AND(F90&lt;&gt;"",F90&lt;&gt;F86,F90&lt;&gt;F88),IF((F86&amp;F88)&lt;&gt;"","、","")&amp;F90,""))&lt;&gt;"","〔"&amp;(F86&amp;IF(AND(F88&lt;&gt;"",F88&lt;&gt;F86),IF((F86)&lt;&gt;"","、","")&amp;F88,"")&amp;IF(AND(F90&lt;&gt;"",F90&lt;&gt;F86,F90&lt;&gt;F88),IF((F86&amp;F88)&lt;&gt;"","、","")&amp;F90,""))&amp;"〕","")</f>
        <v/>
      </c>
      <c r="G119" s="40" t="str">
        <f aca="false">IF((G86&amp;IF(AND(G88&lt;&gt;"",G88&lt;&gt;G86),IF((G86)&lt;&gt;"","、","")&amp;G88,"")&amp;IF(AND(G90&lt;&gt;"",G90&lt;&gt;G86,G90&lt;&gt;G88),IF((G86&amp;G88)&lt;&gt;"","、","")&amp;G90,""))&lt;&gt;"","〔"&amp;(G86&amp;IF(AND(G88&lt;&gt;"",G88&lt;&gt;G86),IF((G86)&lt;&gt;"","、","")&amp;G88,"")&amp;IF(AND(G90&lt;&gt;"",G90&lt;&gt;G86,G90&lt;&gt;G88),IF((G86&amp;G88)&lt;&gt;"","、","")&amp;G90,""))&amp;"〕","")</f>
        <v/>
      </c>
      <c r="H119" s="40" t="str">
        <f aca="false">IF((H86&amp;IF(AND(H88&lt;&gt;"",H88&lt;&gt;H86),IF((H86)&lt;&gt;"","、","")&amp;H88,"")&amp;IF(AND(H90&lt;&gt;"",H90&lt;&gt;H86,H90&lt;&gt;H88),IF((H86&amp;H88)&lt;&gt;"","、","")&amp;H90,""))&lt;&gt;"","〔"&amp;(H86&amp;IF(AND(H88&lt;&gt;"",H88&lt;&gt;H86),IF((H86)&lt;&gt;"","、","")&amp;H88,"")&amp;IF(AND(H90&lt;&gt;"",H90&lt;&gt;H86,H90&lt;&gt;H88),IF((H86&amp;H88)&lt;&gt;"","、","")&amp;H90,""))&amp;"〕","")</f>
        <v/>
      </c>
    </row>
    <row r="120" customFormat="false" ht="15" hidden="true" customHeight="false" outlineLevel="1" collapsed="false">
      <c r="A120" s="3" t="s">
        <v>930</v>
      </c>
      <c r="C120" s="40" t="str">
        <f aca="false">IF((C95&amp;IF(AND(C97&lt;&gt;"",C97&lt;&gt;C95),IF((C95)&lt;&gt;"","、","")&amp;C97,"")&amp;IF(AND(C99&lt;&gt;"",C99&lt;&gt;C95,C99&lt;&gt;C97),IF((C95&amp;C97)&lt;&gt;"","、","")&amp;C99,""))&lt;&gt;"","〔"&amp;(C95&amp;IF(AND(C97&lt;&gt;"",C97&lt;&gt;C95),IF((C95)&lt;&gt;"","、","")&amp;C97,"")&amp;IF(AND(C99&lt;&gt;"",C99&lt;&gt;C95,C99&lt;&gt;C97),IF((C95&amp;C97)&lt;&gt;"","、","")&amp;C99,""))&amp;"〕","")</f>
        <v>〔拆法〕</v>
      </c>
      <c r="D120" s="40" t="str">
        <f aca="false">IF((D95&amp;IF(AND(D97&lt;&gt;"",D97&lt;&gt;D95),IF((D95)&lt;&gt;"","、","")&amp;D97,"")&amp;IF(AND(D99&lt;&gt;"",D99&lt;&gt;D95,D99&lt;&gt;D97),IF((D95&amp;D97)&lt;&gt;"","、","")&amp;D99,""))&lt;&gt;"","〔"&amp;(D95&amp;IF(AND(D97&lt;&gt;"",D97&lt;&gt;D95),IF((D95)&lt;&gt;"","、","")&amp;D97,"")&amp;IF(AND(D99&lt;&gt;"",D99&lt;&gt;D95,D99&lt;&gt;D97),IF((D95&amp;D97)&lt;&gt;"","、","")&amp;D99,""))&amp;"〕","")</f>
        <v>〔觀點〕</v>
      </c>
      <c r="E120" s="40" t="str">
        <f aca="false">IF((E95&amp;IF(AND(E97&lt;&gt;"",E97&lt;&gt;E95),IF((E95)&lt;&gt;"","、","")&amp;E97,"")&amp;IF(AND(E99&lt;&gt;"",E99&lt;&gt;E95,E99&lt;&gt;E97),IF((E95&amp;E97)&lt;&gt;"","、","")&amp;E99,""))&lt;&gt;"","〔"&amp;(E95&amp;IF(AND(E97&lt;&gt;"",E97&lt;&gt;E95),IF((E95)&lt;&gt;"","、","")&amp;E97,"")&amp;IF(AND(E99&lt;&gt;"",E99&lt;&gt;E95,E99&lt;&gt;E97),IF((E95&amp;E97)&lt;&gt;"","、","")&amp;E99,""))&amp;"〕","")</f>
        <v/>
      </c>
      <c r="F120" s="40" t="str">
        <f aca="false">IF((F95&amp;IF(AND(F97&lt;&gt;"",F97&lt;&gt;F95),IF((F95)&lt;&gt;"","、","")&amp;F97,"")&amp;IF(AND(F99&lt;&gt;"",F99&lt;&gt;F95,F99&lt;&gt;F97),IF((F95&amp;F97)&lt;&gt;"","、","")&amp;F99,""))&lt;&gt;"","〔"&amp;(F95&amp;IF(AND(F97&lt;&gt;"",F97&lt;&gt;F95),IF((F95)&lt;&gt;"","、","")&amp;F97,"")&amp;IF(AND(F99&lt;&gt;"",F99&lt;&gt;F95,F99&lt;&gt;F97),IF((F95&amp;F97)&lt;&gt;"","、","")&amp;F99,""))&amp;"〕","")</f>
        <v/>
      </c>
      <c r="G120" s="40" t="str">
        <f aca="false">IF((G95&amp;IF(AND(G97&lt;&gt;"",G97&lt;&gt;G95),IF((G95)&lt;&gt;"","、","")&amp;G97,"")&amp;IF(AND(G99&lt;&gt;"",G99&lt;&gt;G95,G99&lt;&gt;G97),IF((G95&amp;G97)&lt;&gt;"","、","")&amp;G99,""))&lt;&gt;"","〔"&amp;(G95&amp;IF(AND(G97&lt;&gt;"",G97&lt;&gt;G95),IF((G95)&lt;&gt;"","、","")&amp;G97,"")&amp;IF(AND(G99&lt;&gt;"",G99&lt;&gt;G95,G99&lt;&gt;G97),IF((G95&amp;G97)&lt;&gt;"","、","")&amp;G99,""))&amp;"〕","")</f>
        <v/>
      </c>
      <c r="H120" s="40" t="str">
        <f aca="false">IF((H95&amp;IF(AND(H97&lt;&gt;"",H97&lt;&gt;H95),IF((H95)&lt;&gt;"","、","")&amp;H97,"")&amp;IF(AND(H99&lt;&gt;"",H99&lt;&gt;H95,H99&lt;&gt;H97),IF((H95&amp;H97)&lt;&gt;"","、","")&amp;H99,""))&lt;&gt;"","〔"&amp;(H95&amp;IF(AND(H97&lt;&gt;"",H97&lt;&gt;H95),IF((H95)&lt;&gt;"","、","")&amp;H97,"")&amp;IF(AND(H99&lt;&gt;"",H99&lt;&gt;H95,H99&lt;&gt;H97),IF((H95&amp;H97)&lt;&gt;"","、","")&amp;H99,""))&amp;"〕","")</f>
        <v/>
      </c>
    </row>
    <row r="121" customFormat="false" ht="15" hidden="true" customHeight="false" outlineLevel="1" collapsed="false">
      <c r="A121" s="3" t="s">
        <v>931</v>
      </c>
      <c r="C121" s="40" t="str">
        <f aca="false">IF((C101&amp;IF(AND(C103&lt;&gt;"",C103&lt;&gt;C101),IF((C101)&lt;&gt;"","、","")&amp;C103,"")&amp;IF(AND(C105&lt;&gt;"",C105&lt;&gt;C101,C105&lt;&gt;C103),IF((C101&amp;C103)&lt;&gt;"","、","")&amp;C105,""))&lt;&gt;"","〔"&amp;(C101&amp;IF(AND(C103&lt;&gt;"",C103&lt;&gt;C101),IF((C101)&lt;&gt;"","、","")&amp;C103,"")&amp;IF(AND(C105&lt;&gt;"",C105&lt;&gt;C101,C105&lt;&gt;C103),IF((C101&amp;C103)&lt;&gt;"","、","")&amp;C105,""))&amp;"〕","")</f>
        <v/>
      </c>
      <c r="D121" s="40" t="str">
        <f aca="false">IF((D101&amp;IF(AND(D103&lt;&gt;"",D103&lt;&gt;D101),IF((D101)&lt;&gt;"","、","")&amp;D103,"")&amp;IF(AND(D105&lt;&gt;"",D105&lt;&gt;D101,D105&lt;&gt;D103),IF((D101&amp;D103)&lt;&gt;"","、","")&amp;D105,""))&lt;&gt;"","〔"&amp;(D101&amp;IF(AND(D103&lt;&gt;"",D103&lt;&gt;D101),IF((D101)&lt;&gt;"","、","")&amp;D103,"")&amp;IF(AND(D105&lt;&gt;"",D105&lt;&gt;D101,D105&lt;&gt;D103),IF((D101&amp;D103)&lt;&gt;"","、","")&amp;D105,""))&amp;"〕","")</f>
        <v/>
      </c>
      <c r="E121" s="40" t="str">
        <f aca="false">IF((E101&amp;IF(AND(E103&lt;&gt;"",E103&lt;&gt;E101),IF((E101)&lt;&gt;"","、","")&amp;E103,"")&amp;IF(AND(E105&lt;&gt;"",E105&lt;&gt;E101,E105&lt;&gt;E103),IF((E101&amp;E103)&lt;&gt;"","、","")&amp;E105,""))&lt;&gt;"","〔"&amp;(E101&amp;IF(AND(E103&lt;&gt;"",E103&lt;&gt;E101),IF((E101)&lt;&gt;"","、","")&amp;E103,"")&amp;IF(AND(E105&lt;&gt;"",E105&lt;&gt;E101,E105&lt;&gt;E103),IF((E101&amp;E103)&lt;&gt;"","、","")&amp;E105,""))&amp;"〕","")</f>
        <v/>
      </c>
      <c r="F121" s="40" t="str">
        <f aca="false">IF((F101&amp;IF(AND(F103&lt;&gt;"",F103&lt;&gt;F101),IF((F101)&lt;&gt;"","、","")&amp;F103,"")&amp;IF(AND(F105&lt;&gt;"",F105&lt;&gt;F101,F105&lt;&gt;F103),IF((F101&amp;F103)&lt;&gt;"","、","")&amp;F105,""))&lt;&gt;"","〔"&amp;(F101&amp;IF(AND(F103&lt;&gt;"",F103&lt;&gt;F101),IF((F101)&lt;&gt;"","、","")&amp;F103,"")&amp;IF(AND(F105&lt;&gt;"",F105&lt;&gt;F101,F105&lt;&gt;F103),IF((F101&amp;F103)&lt;&gt;"","、","")&amp;F105,""))&amp;"〕","")</f>
        <v/>
      </c>
      <c r="G121" s="40" t="str">
        <f aca="false">IF((G101&amp;IF(AND(G103&lt;&gt;"",G103&lt;&gt;G101),IF((G101)&lt;&gt;"","、","")&amp;G103,"")&amp;IF(AND(G105&lt;&gt;"",G105&lt;&gt;G101,G105&lt;&gt;G103),IF((G101&amp;G103)&lt;&gt;"","、","")&amp;G105,""))&lt;&gt;"","〔"&amp;(G101&amp;IF(AND(G103&lt;&gt;"",G103&lt;&gt;G101),IF((G101)&lt;&gt;"","、","")&amp;G103,"")&amp;IF(AND(G105&lt;&gt;"",G105&lt;&gt;G101,G105&lt;&gt;G103),IF((G101&amp;G103)&lt;&gt;"","、","")&amp;G105,""))&amp;"〕","")</f>
        <v/>
      </c>
      <c r="H121" s="40" t="str">
        <f aca="false">IF((H101&amp;IF(AND(H103&lt;&gt;"",H103&lt;&gt;H101),IF((H101)&lt;&gt;"","、","")&amp;H103,"")&amp;IF(AND(H105&lt;&gt;"",H105&lt;&gt;H101,H105&lt;&gt;H103),IF((H101&amp;H103)&lt;&gt;"","、","")&amp;H105,""))&lt;&gt;"","〔"&amp;(H101&amp;IF(AND(H103&lt;&gt;"",H103&lt;&gt;H101),IF((H101)&lt;&gt;"","、","")&amp;H103,"")&amp;IF(AND(H105&lt;&gt;"",H105&lt;&gt;H101,H105&lt;&gt;H103),IF((H101&amp;H103)&lt;&gt;"","、","")&amp;H105,""))&amp;"〕","")</f>
        <v/>
      </c>
    </row>
    <row r="122" customFormat="false" ht="15" hidden="true" customHeight="false" outlineLevel="1" collapsed="false">
      <c r="A122" s="3" t="s">
        <v>932</v>
      </c>
      <c r="C122" s="40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22" s="40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/>
      </c>
      <c r="E122" s="40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22" s="40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22" s="40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22" s="40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23" customFormat="false" ht="15" hidden="true" customHeight="false" outlineLevel="1" collapsed="false">
      <c r="A123" s="3" t="s">
        <v>933</v>
      </c>
      <c r="C123" s="40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/>
      </c>
      <c r="D123" s="40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23" s="40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23" s="40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23" s="40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23" s="40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24" customFormat="false" ht="15" hidden="true" customHeight="false" outlineLevel="1" collapsed="false">
      <c r="A124" s="3" t="s">
        <v>934</v>
      </c>
      <c r="C124" s="40" t="str">
        <f aca="false">"營收：模型 "&amp;IF(ISNUMBER(C22),IF(C22&lt;0,"−","")&amp;"$"&amp;TEXT(ABS(C22),"#,##0.00")&amp;"bn","不適用")&amp;IF(ISNUMBER(C32),"｜共識 "&amp;IF(C32&lt;0,"−","")&amp;"$"&amp;TEXT(ABS(C32),"#,##0.00")&amp;"bn"&amp;"（"&amp;IF(ISNUMBER(C42),IF(C42&lt;0,"−","+")&amp;TEXT(ABS(C42)*100,"#,##0.0")&amp;"%","不適用")&amp;"）","")&amp;IF(ISNUMBER(C36),"｜實際 "&amp;IF(C36&lt;0,"−","")&amp;"$"&amp;TEXT(ABS(C36),"#,##0.00")&amp;"bn"&amp;"（較模型 "&amp;IF(ISNUMBER(C44),IF(C44&lt;0,"−","+")&amp;TEXT(ABS(C44)*100,"#,##0.0")&amp;"%","不適用")&amp;IF(ISNUMBER(C32),"、較共識 "&amp;IF(ISNUMBER(C45),IF(C45&lt;0,"−","+")&amp;TEXT(ABS(C45)*100,"#,##0.0")&amp;"%","不適用"),"")&amp;"）","")&amp;C119</f>
        <v>營收：模型 $0.88bn｜共識 $0.90bn（−2.3%）</v>
      </c>
      <c r="D124" s="40" t="str">
        <f aca="false">"營收：模型 "&amp;IF(ISNUMBER(D22),IF(D22&lt;0,"−","")&amp;"$"&amp;TEXT(ABS(D22),"#,##0.00")&amp;"bn","不適用")&amp;IF(ISNUMBER(D32),"｜共識 "&amp;IF(D32&lt;0,"−","")&amp;"$"&amp;TEXT(ABS(D32),"#,##0.00")&amp;"bn"&amp;"（"&amp;IF(ISNUMBER(D42),IF(D42&lt;0,"−","+")&amp;TEXT(ABS(D42)*100,"#,##0.0")&amp;"%","不適用")&amp;"）","")&amp;IF(ISNUMBER(D36),"｜實際 "&amp;IF(D36&lt;0,"−","")&amp;"$"&amp;TEXT(ABS(D36),"#,##0.00")&amp;"bn"&amp;"（較模型 "&amp;IF(ISNUMBER(D44),IF(D44&lt;0,"−","+")&amp;TEXT(ABS(D44)*100,"#,##0.0")&amp;"%","不適用")&amp;IF(ISNUMBER(D32),"、較共識 "&amp;IF(ISNUMBER(D45),IF(D45&lt;0,"−","+")&amp;TEXT(ABS(D45)*100,"#,##0.0")&amp;"%","不適用"),"")&amp;"）","")&amp;D119</f>
        <v>營收：模型 $1.17bn｜共識 $1.52bn（−22.8%）〔觀點〕</v>
      </c>
      <c r="E124" s="40" t="str">
        <f aca="false">"營收：模型 "&amp;IF(ISNUMBER(E22),IF(E22&lt;0,"−","")&amp;"$"&amp;TEXT(ABS(E22),"#,##0.00")&amp;"bn","不適用")&amp;IF(ISNUMBER(E32),"｜共識 "&amp;IF(E32&lt;0,"−","")&amp;"$"&amp;TEXT(ABS(E32),"#,##0.00")&amp;"bn"&amp;"（"&amp;IF(ISNUMBER(E42),IF(E42&lt;0,"−","+")&amp;TEXT(ABS(E42)*100,"#,##0.0")&amp;"%","不適用")&amp;"）","")&amp;IF(ISNUMBER(E36),"｜實際 "&amp;IF(E36&lt;0,"−","")&amp;"$"&amp;TEXT(ABS(E36),"#,##0.00")&amp;"bn"&amp;"（較模型 "&amp;IF(ISNUMBER(E44),IF(E44&lt;0,"−","+")&amp;TEXT(ABS(E44)*100,"#,##0.0")&amp;"%","不適用")&amp;IF(ISNUMBER(E32),"、較共識 "&amp;IF(ISNUMBER(E45),IF(E45&lt;0,"−","+")&amp;TEXT(ABS(E45)*100,"#,##0.0")&amp;"%","不適用"),"")&amp;"）","")&amp;E119</f>
        <v>營收：模型 $1.78bn</v>
      </c>
      <c r="F124" s="40" t="str">
        <f aca="false">"營收：模型 "&amp;IF(ISNUMBER(F22),IF(F22&lt;0,"−","")&amp;"$"&amp;TEXT(ABS(F22),"#,##0.00")&amp;"bn","不適用")&amp;IF(ISNUMBER(F32),"｜共識 "&amp;IF(F32&lt;0,"−","")&amp;"$"&amp;TEXT(ABS(F32),"#,##0.00")&amp;"bn"&amp;"（"&amp;IF(ISNUMBER(F42),IF(F42&lt;0,"−","+")&amp;TEXT(ABS(F42)*100,"#,##0.0")&amp;"%","不適用")&amp;"）","")&amp;IF(ISNUMBER(F36),"｜實際 "&amp;IF(F36&lt;0,"−","")&amp;"$"&amp;TEXT(ABS(F36),"#,##0.00")&amp;"bn"&amp;"（較模型 "&amp;IF(ISNUMBER(F44),IF(F44&lt;0,"−","+")&amp;TEXT(ABS(F44)*100,"#,##0.0")&amp;"%","不適用")&amp;IF(ISNUMBER(F32),"、較共識 "&amp;IF(ISNUMBER(F45),IF(F45&lt;0,"−","+")&amp;TEXT(ABS(F45)*100,"#,##0.0")&amp;"%","不適用"),"")&amp;"）","")&amp;F119</f>
        <v>營收：模型 $2.39bn</v>
      </c>
      <c r="G124" s="40" t="str">
        <f aca="false">"營收：模型 "&amp;IF(ISNUMBER(G22),IF(G22&lt;0,"−","")&amp;"$"&amp;TEXT(ABS(G22),"#,##0.00")&amp;"bn","不適用")&amp;IF(ISNUMBER(G32),"｜共識 "&amp;IF(G32&lt;0,"−","")&amp;"$"&amp;TEXT(ABS(G32),"#,##0.00")&amp;"bn"&amp;"（"&amp;IF(ISNUMBER(G42),IF(G42&lt;0,"−","+")&amp;TEXT(ABS(G42)*100,"#,##0.0")&amp;"%","不適用")&amp;"）","")&amp;IF(ISNUMBER(G36),"｜實際 "&amp;IF(G36&lt;0,"−","")&amp;"$"&amp;TEXT(ABS(G36),"#,##0.00")&amp;"bn"&amp;"（較模型 "&amp;IF(ISNUMBER(G44),IF(G44&lt;0,"−","+")&amp;TEXT(ABS(G44)*100,"#,##0.0")&amp;"%","不適用")&amp;IF(ISNUMBER(G32),"、較共識 "&amp;IF(ISNUMBER(G45),IF(G45&lt;0,"−","+")&amp;TEXT(ABS(G45)*100,"#,##0.0")&amp;"%","不適用"),"")&amp;"）","")&amp;G119</f>
        <v>營收：模型 $3.01bn</v>
      </c>
      <c r="H124" s="40" t="str">
        <f aca="false">"營收：模型 "&amp;IF(ISNUMBER(H22),IF(H22&lt;0,"−","")&amp;"$"&amp;TEXT(ABS(H22),"#,##0.00")&amp;"bn","不適用")&amp;IF(ISNUMBER(H32),"｜共識 "&amp;IF(H32&lt;0,"−","")&amp;"$"&amp;TEXT(ABS(H32),"#,##0.00")&amp;"bn"&amp;"（"&amp;IF(ISNUMBER(H42),IF(H42&lt;0,"−","+")&amp;TEXT(ABS(H42)*100,"#,##0.0")&amp;"%","不適用")&amp;"）","")&amp;IF(ISNUMBER(H36),"｜實際 "&amp;IF(H36&lt;0,"−","")&amp;"$"&amp;TEXT(ABS(H36),"#,##0.00")&amp;"bn"&amp;"（較模型 "&amp;IF(ISNUMBER(H44),IF(H44&lt;0,"−","+")&amp;TEXT(ABS(H44)*100,"#,##0.0")&amp;"%","不適用")&amp;IF(ISNUMBER(H32),"、較共識 "&amp;IF(ISNUMBER(H45),IF(H45&lt;0,"−","+")&amp;TEXT(ABS(H45)*100,"#,##0.0")&amp;"%","不適用"),"")&amp;"）","")&amp;H119</f>
        <v>營收：模型 $3.62bn</v>
      </c>
    </row>
    <row r="125" customFormat="false" ht="15" hidden="true" customHeight="false" outlineLevel="1" collapsed="false">
      <c r="A125" s="3" t="s">
        <v>935</v>
      </c>
      <c r="C125" s="40" t="str">
        <f aca="false">"調整後 EBITDA：模型 "&amp;IF(ISNUMBER(C28),IF(C28&lt;0,"−","")&amp;"$"&amp;TEXT(ABS(C28),"#,##0.00")&amp;"bn","不適用")&amp;IF(ISNUMBER(C33),"｜共識 "&amp;IF(C33&lt;0,"−","")&amp;"$"&amp;TEXT(ABS(C33),"#,##0.00")&amp;"bn"&amp;"（"&amp;IF(ISNUMBER(C47),IF(C47&lt;0,"−","+")&amp;IF(ABS(C47)&lt;0,"−","")&amp;"$"&amp;TEXT(ABS(ABS(C47)),"#,##0.00")&amp;"bn"&amp;IF(ISNUMBER(C52),"／"&amp;IF(C52&lt;0,"−","+")&amp;TEXT(ABS(C52)*100,"#,##0.0")&amp;"pt",""),"不適用")&amp;"）","")&amp;IF(ISNUMBER(C37),"｜實際 "&amp;IF(C37&lt;0,"−","")&amp;"$"&amp;TEXT(ABS(C37),"#,##0.00")&amp;"bn"&amp;"（較模型 "&amp;IF(ISNUMBER(C49),IF(C49&lt;0,"−","+")&amp;IF(ABS(C49)&lt;0,"−","")&amp;"$"&amp;TEXT(ABS(ABS(C49)),"#,##0.00")&amp;"bn"&amp;IF(ISNUMBER(C54),"／"&amp;IF(C54&lt;0,"−","+")&amp;TEXT(ABS(C54)*100,"#,##0.0")&amp;"pt",""),"不適用")&amp;IF(ISNUMBER(C33),"、較共識 "&amp;IF(ISNUMBER(C50),IF(C50&lt;0,"−","+")&amp;IF(ABS(C50)&lt;0,"−","")&amp;"$"&amp;TEXT(ABS(ABS(C50)),"#,##0.00")&amp;"bn"&amp;IF(ISNUMBER(C55),"／"&amp;IF(C55&lt;0,"−","+")&amp;TEXT(ABS(C55)*100,"#,##0.0")&amp;"pt",""),"不適用"),"")&amp;"）","")&amp;C120</f>
        <v>調整後 EBITDA：模型 $0.39bn｜共識 $0.36bn（+$0.03bn／+4.4pt）〔拆法〕</v>
      </c>
      <c r="D125" s="40" t="str">
        <f aca="false">"調整後 EBITDA：模型 "&amp;IF(ISNUMBER(D28),IF(D28&lt;0,"−","")&amp;"$"&amp;TEXT(ABS(D28),"#,##0.00")&amp;"bn","不適用")&amp;IF(ISNUMBER(D33),"｜共識 "&amp;IF(D33&lt;0,"−","")&amp;"$"&amp;TEXT(ABS(D33),"#,##0.00")&amp;"bn"&amp;"（"&amp;IF(ISNUMBER(D47),IF(D47&lt;0,"−","+")&amp;IF(ABS(D47)&lt;0,"−","")&amp;"$"&amp;TEXT(ABS(ABS(D47)),"#,##0.00")&amp;"bn"&amp;IF(ISNUMBER(D52),"／"&amp;IF(D52&lt;0,"−","+")&amp;TEXT(ABS(D52)*100,"#,##0.0")&amp;"pt",""),"不適用")&amp;"）","")&amp;IF(ISNUMBER(D37),"｜實際 "&amp;IF(D37&lt;0,"−","")&amp;"$"&amp;TEXT(ABS(D37),"#,##0.00")&amp;"bn"&amp;"（較模型 "&amp;IF(ISNUMBER(D49),IF(D49&lt;0,"−","+")&amp;IF(ABS(D49)&lt;0,"−","")&amp;"$"&amp;TEXT(ABS(ABS(D49)),"#,##0.00")&amp;"bn"&amp;IF(ISNUMBER(D54),"／"&amp;IF(D54&lt;0,"−","+")&amp;TEXT(ABS(D54)*100,"#,##0.0")&amp;"pt",""),"不適用")&amp;IF(ISNUMBER(D33),"、較共識 "&amp;IF(ISNUMBER(D50),IF(D50&lt;0,"−","+")&amp;IF(ABS(D50)&lt;0,"−","")&amp;"$"&amp;TEXT(ABS(ABS(D50)),"#,##0.00")&amp;"bn"&amp;IF(ISNUMBER(D55),"／"&amp;IF(D55&lt;0,"−","+")&amp;TEXT(ABS(D55)*100,"#,##0.0")&amp;"pt",""),"不適用"),"")&amp;"）","")&amp;D120</f>
        <v>調整後 EBITDA：模型 $0.53bn｜共識 $0.74bn（−$0.21bn／−3.2pt）〔觀點〕</v>
      </c>
      <c r="E125" s="40" t="str">
        <f aca="false">"調整後 EBITDA：模型 "&amp;IF(ISNUMBER(E28),IF(E28&lt;0,"−","")&amp;"$"&amp;TEXT(ABS(E28),"#,##0.00")&amp;"bn","不適用")&amp;IF(ISNUMBER(E33),"｜共識 "&amp;IF(E33&lt;0,"−","")&amp;"$"&amp;TEXT(ABS(E33),"#,##0.00")&amp;"bn"&amp;"（"&amp;IF(ISNUMBER(E47),IF(E47&lt;0,"−","+")&amp;IF(ABS(E47)&lt;0,"−","")&amp;"$"&amp;TEXT(ABS(ABS(E47)),"#,##0.00")&amp;"bn"&amp;IF(ISNUMBER(E52),"／"&amp;IF(E52&lt;0,"−","+")&amp;TEXT(ABS(E52)*100,"#,##0.0")&amp;"pt",""),"不適用")&amp;"）","")&amp;IF(ISNUMBER(E37),"｜實際 "&amp;IF(E37&lt;0,"−","")&amp;"$"&amp;TEXT(ABS(E37),"#,##0.00")&amp;"bn"&amp;"（較模型 "&amp;IF(ISNUMBER(E49),IF(E49&lt;0,"−","+")&amp;IF(ABS(E49)&lt;0,"−","")&amp;"$"&amp;TEXT(ABS(ABS(E49)),"#,##0.00")&amp;"bn"&amp;IF(ISNUMBER(E54),"／"&amp;IF(E54&lt;0,"−","+")&amp;TEXT(ABS(E54)*100,"#,##0.0")&amp;"pt",""),"不適用")&amp;IF(ISNUMBER(E33),"、較共識 "&amp;IF(ISNUMBER(E50),IF(E50&lt;0,"−","+")&amp;IF(ABS(E50)&lt;0,"−","")&amp;"$"&amp;TEXT(ABS(ABS(E50)),"#,##0.00")&amp;"bn"&amp;IF(ISNUMBER(E55),"／"&amp;IF(E55&lt;0,"−","+")&amp;TEXT(ABS(E55)*100,"#,##0.0")&amp;"pt",""),"不適用"),"")&amp;"）","")&amp;E120</f>
        <v>調整後 EBITDA：模型 $0.82bn</v>
      </c>
      <c r="F125" s="40" t="str">
        <f aca="false">"調整後 EBITDA：模型 "&amp;IF(ISNUMBER(F28),IF(F28&lt;0,"−","")&amp;"$"&amp;TEXT(ABS(F28),"#,##0.00")&amp;"bn","不適用")&amp;IF(ISNUMBER(F33),"｜共識 "&amp;IF(F33&lt;0,"−","")&amp;"$"&amp;TEXT(ABS(F33),"#,##0.00")&amp;"bn"&amp;"（"&amp;IF(ISNUMBER(F47),IF(F47&lt;0,"−","+")&amp;IF(ABS(F47)&lt;0,"−","")&amp;"$"&amp;TEXT(ABS(ABS(F47)),"#,##0.00")&amp;"bn"&amp;IF(ISNUMBER(F52),"／"&amp;IF(F52&lt;0,"−","+")&amp;TEXT(ABS(F52)*100,"#,##0.0")&amp;"pt",""),"不適用")&amp;"）","")&amp;IF(ISNUMBER(F37),"｜實際 "&amp;IF(F37&lt;0,"−","")&amp;"$"&amp;TEXT(ABS(F37),"#,##0.00")&amp;"bn"&amp;"（較模型 "&amp;IF(ISNUMBER(F49),IF(F49&lt;0,"−","+")&amp;IF(ABS(F49)&lt;0,"−","")&amp;"$"&amp;TEXT(ABS(ABS(F49)),"#,##0.00")&amp;"bn"&amp;IF(ISNUMBER(F54),"／"&amp;IF(F54&lt;0,"−","+")&amp;TEXT(ABS(F54)*100,"#,##0.0")&amp;"pt",""),"不適用")&amp;IF(ISNUMBER(F33),"、較共識 "&amp;IF(ISNUMBER(F50),IF(F50&lt;0,"−","+")&amp;IF(ABS(F50)&lt;0,"−","")&amp;"$"&amp;TEXT(ABS(ABS(F50)),"#,##0.00")&amp;"bn"&amp;IF(ISNUMBER(F55),"／"&amp;IF(F55&lt;0,"−","+")&amp;TEXT(ABS(F55)*100,"#,##0.0")&amp;"pt",""),"不適用"),"")&amp;"）","")&amp;F120</f>
        <v>調整後 EBITDA：模型 $1.13bn</v>
      </c>
      <c r="G125" s="40" t="str">
        <f aca="false">"調整後 EBITDA：模型 "&amp;IF(ISNUMBER(G28),IF(G28&lt;0,"−","")&amp;"$"&amp;TEXT(ABS(G28),"#,##0.00")&amp;"bn","不適用")&amp;IF(ISNUMBER(G33),"｜共識 "&amp;IF(G33&lt;0,"−","")&amp;"$"&amp;TEXT(ABS(G33),"#,##0.00")&amp;"bn"&amp;"（"&amp;IF(ISNUMBER(G47),IF(G47&lt;0,"−","+")&amp;IF(ABS(G47)&lt;0,"−","")&amp;"$"&amp;TEXT(ABS(ABS(G47)),"#,##0.00")&amp;"bn"&amp;IF(ISNUMBER(G52),"／"&amp;IF(G52&lt;0,"−","+")&amp;TEXT(ABS(G52)*100,"#,##0.0")&amp;"pt",""),"不適用")&amp;"）","")&amp;IF(ISNUMBER(G37),"｜實際 "&amp;IF(G37&lt;0,"−","")&amp;"$"&amp;TEXT(ABS(G37),"#,##0.00")&amp;"bn"&amp;"（較模型 "&amp;IF(ISNUMBER(G49),IF(G49&lt;0,"−","+")&amp;IF(ABS(G49)&lt;0,"−","")&amp;"$"&amp;TEXT(ABS(ABS(G49)),"#,##0.00")&amp;"bn"&amp;IF(ISNUMBER(G54),"／"&amp;IF(G54&lt;0,"−","+")&amp;TEXT(ABS(G54)*100,"#,##0.0")&amp;"pt",""),"不適用")&amp;IF(ISNUMBER(G33),"、較共識 "&amp;IF(ISNUMBER(G50),IF(G50&lt;0,"−","+")&amp;IF(ABS(G50)&lt;0,"−","")&amp;"$"&amp;TEXT(ABS(ABS(G50)),"#,##0.00")&amp;"bn"&amp;IF(ISNUMBER(G55),"／"&amp;IF(G55&lt;0,"−","+")&amp;TEXT(ABS(G55)*100,"#,##0.0")&amp;"pt",""),"不適用"),"")&amp;"）","")&amp;G120</f>
        <v>調整後 EBITDA：模型 $1.44bn</v>
      </c>
      <c r="H125" s="40" t="str">
        <f aca="false">"調整後 EBITDA：模型 "&amp;IF(ISNUMBER(H28),IF(H28&lt;0,"−","")&amp;"$"&amp;TEXT(ABS(H28),"#,##0.00")&amp;"bn","不適用")&amp;IF(ISNUMBER(H33),"｜共識 "&amp;IF(H33&lt;0,"−","")&amp;"$"&amp;TEXT(ABS(H33),"#,##0.00")&amp;"bn"&amp;"（"&amp;IF(ISNUMBER(H47),IF(H47&lt;0,"−","+")&amp;IF(ABS(H47)&lt;0,"−","")&amp;"$"&amp;TEXT(ABS(ABS(H47)),"#,##0.00")&amp;"bn"&amp;IF(ISNUMBER(H52),"／"&amp;IF(H52&lt;0,"−","+")&amp;TEXT(ABS(H52)*100,"#,##0.0")&amp;"pt",""),"不適用")&amp;"）","")&amp;IF(ISNUMBER(H37),"｜實際 "&amp;IF(H37&lt;0,"−","")&amp;"$"&amp;TEXT(ABS(H37),"#,##0.00")&amp;"bn"&amp;"（較模型 "&amp;IF(ISNUMBER(H49),IF(H49&lt;0,"−","+")&amp;IF(ABS(H49)&lt;0,"−","")&amp;"$"&amp;TEXT(ABS(ABS(H49)),"#,##0.00")&amp;"bn"&amp;IF(ISNUMBER(H54),"／"&amp;IF(H54&lt;0,"−","+")&amp;TEXT(ABS(H54)*100,"#,##0.0")&amp;"pt",""),"不適用")&amp;IF(ISNUMBER(H33),"、較共識 "&amp;IF(ISNUMBER(H50),IF(H50&lt;0,"−","+")&amp;IF(ABS(H50)&lt;0,"−","")&amp;"$"&amp;TEXT(ABS(ABS(H50)),"#,##0.00")&amp;"bn"&amp;IF(ISNUMBER(H55),"／"&amp;IF(H55&lt;0,"−","+")&amp;TEXT(ABS(H55)*100,"#,##0.0")&amp;"pt",""),"不適用"),"")&amp;"）","")&amp;H120</f>
        <v>調整後 EBITDA：模型 $1.77bn</v>
      </c>
    </row>
    <row r="126" customFormat="false" ht="15" hidden="true" customHeight="false" outlineLevel="1" collapsed="false">
      <c r="A126" s="3" t="s">
        <v>936</v>
      </c>
      <c r="C126" s="40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"&amp;IF(C34&lt;0,"−","")&amp;TEXT(ABS(C34)*100,"#,##0.0")&amp;"%"&amp;"（"&amp;IF(ISNUMBER(C57),IF(C57&lt;0,"−","+")&amp;TEXT(ABS(C57)*100,"#,##0.0")&amp;"pt","不適用")&amp;"）","")&amp;IF(ISNUMBER(C38),"｜實際 "&amp;IF(C38&lt;0,"−","")&amp;TEXT(ABS(C38)*100,"#,##0.0")&amp;"%"&amp;"（較模型 "&amp;IF(ISNUMBER(C59),IF(C59&lt;0,"−","+")&amp;TEXT(ABS(C59)*100,"#,##0.0")&amp;"pt","不適用")&amp;IF(ISNUMBER(C34),"、較共識 "&amp;IF(ISNUMBER(C60),IF(C60&lt;0,"−","+")&amp;TEXT(ABS(C60)*100,"#,##0.0")&amp;"pt","不適用"),"")&amp;"）","")</f>
        <v>EBITDA 率：模型 44.7%｜共識 40.3%（+4.4pt）</v>
      </c>
      <c r="D126" s="40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"&amp;IF(D34&lt;0,"−","")&amp;TEXT(ABS(D34)*100,"#,##0.0")&amp;"%"&amp;"（"&amp;IF(ISNUMBER(D57),IF(D57&lt;0,"−","+")&amp;TEXT(ABS(D57)*100,"#,##0.0")&amp;"pt","不適用")&amp;"）","")&amp;IF(ISNUMBER(D38),"｜實際 "&amp;IF(D38&lt;0,"−","")&amp;TEXT(ABS(D38)*100,"#,##0.0")&amp;"%"&amp;"（較模型 "&amp;IF(ISNUMBER(D59),IF(D59&lt;0,"−","+")&amp;TEXT(ABS(D59)*100,"#,##0.0")&amp;"pt","不適用")&amp;IF(ISNUMBER(D34),"、較共識 "&amp;IF(ISNUMBER(D60),IF(D60&lt;0,"−","+")&amp;TEXT(ABS(D60)*100,"#,##0.0")&amp;"pt","不適用"),"")&amp;"）","")</f>
        <v>EBITDA 率：模型 45.5%｜共識 48.7%（−3.2pt）</v>
      </c>
      <c r="E126" s="40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"&amp;IF(E34&lt;0,"−","")&amp;TEXT(ABS(E34)*100,"#,##0.0")&amp;"%"&amp;"（"&amp;IF(ISNUMBER(E57),IF(E57&lt;0,"−","+")&amp;TEXT(ABS(E57)*100,"#,##0.0")&amp;"pt","不適用")&amp;"）","")&amp;IF(ISNUMBER(E38),"｜實際 "&amp;IF(E38&lt;0,"−","")&amp;TEXT(ABS(E38)*100,"#,##0.0")&amp;"%"&amp;"（較模型 "&amp;IF(ISNUMBER(E59),IF(E59&lt;0,"−","+")&amp;TEXT(ABS(E59)*100,"#,##0.0")&amp;"pt","不適用")&amp;IF(ISNUMBER(E34),"、較共識 "&amp;IF(ISNUMBER(E60),IF(E60&lt;0,"−","+")&amp;TEXT(ABS(E60)*100,"#,##0.0")&amp;"pt","不適用"),"")&amp;"）","")</f>
        <v>EBITDA 率：模型 46.3%</v>
      </c>
      <c r="F126" s="40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"&amp;IF(F34&lt;0,"−","")&amp;TEXT(ABS(F34)*100,"#,##0.0")&amp;"%"&amp;"（"&amp;IF(ISNUMBER(F57),IF(F57&lt;0,"−","+")&amp;TEXT(ABS(F57)*100,"#,##0.0")&amp;"pt","不適用")&amp;"）","")&amp;IF(ISNUMBER(F38),"｜實際 "&amp;IF(F38&lt;0,"−","")&amp;TEXT(ABS(F38)*100,"#,##0.0")&amp;"%"&amp;"（較模型 "&amp;IF(ISNUMBER(F59),IF(F59&lt;0,"−","+")&amp;TEXT(ABS(F59)*100,"#,##0.0")&amp;"pt","不適用")&amp;IF(ISNUMBER(F34),"、較共識 "&amp;IF(ISNUMBER(F60),IF(F60&lt;0,"−","+")&amp;TEXT(ABS(F60)*100,"#,##0.0")&amp;"pt","不適用"),"")&amp;"）","")</f>
        <v>EBITDA 率：模型 47.1%</v>
      </c>
      <c r="G126" s="40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"&amp;IF(G34&lt;0,"−","")&amp;TEXT(ABS(G34)*100,"#,##0.0")&amp;"%"&amp;"（"&amp;IF(ISNUMBER(G57),IF(G57&lt;0,"−","+")&amp;TEXT(ABS(G57)*100,"#,##0.0")&amp;"pt","不適用")&amp;"）","")&amp;IF(ISNUMBER(G38),"｜實際 "&amp;IF(G38&lt;0,"−","")&amp;TEXT(ABS(G38)*100,"#,##0.0")&amp;"%"&amp;"（較模型 "&amp;IF(ISNUMBER(G59),IF(G59&lt;0,"−","+")&amp;TEXT(ABS(G59)*100,"#,##0.0")&amp;"pt","不適用")&amp;IF(ISNUMBER(G34),"、較共識 "&amp;IF(ISNUMBER(G60),IF(G60&lt;0,"−","+")&amp;TEXT(ABS(G60)*100,"#,##0.0")&amp;"pt","不適用"),"")&amp;"）","")</f>
        <v>EBITDA 率：模型 47.9%</v>
      </c>
      <c r="H126" s="40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"&amp;IF(H34&lt;0,"−","")&amp;TEXT(ABS(H34)*100,"#,##0.0")&amp;"%"&amp;"（"&amp;IF(ISNUMBER(H57),IF(H57&lt;0,"−","+")&amp;TEXT(ABS(H57)*100,"#,##0.0")&amp;"pt","不適用")&amp;"）","")&amp;IF(ISNUMBER(H38),"｜實際 "&amp;IF(H38&lt;0,"−","")&amp;TEXT(ABS(H38)*100,"#,##0.0")&amp;"%"&amp;"（較模型 "&amp;IF(ISNUMBER(H59),IF(H59&lt;0,"−","+")&amp;TEXT(ABS(H59)*100,"#,##0.0")&amp;"pt","不適用")&amp;IF(ISNUMBER(H34),"、較共識 "&amp;IF(ISNUMBER(H60),IF(H60&lt;0,"−","+")&amp;TEXT(ABS(H60)*100,"#,##0.0")&amp;"pt","不適用"),"")&amp;"）","")</f>
        <v>EBITDA 率：模型 48.7%</v>
      </c>
    </row>
    <row r="127" customFormat="false" ht="15" hidden="true" customHeight="false" outlineLevel="1" collapsed="false">
      <c r="A127" s="3" t="s">
        <v>937</v>
      </c>
      <c r="C127" s="40" t="str">
        <f aca="false">"調整後營業利益：模型 "&amp;IF(ISNUMBER(C30),IF(C30&lt;0,"−","")&amp;"$"&amp;TEXT(ABS(C30),"#,##0.00")&amp;"bn","不適用")&amp;IF(ISNUMBER(C39),"｜實際 "&amp;IF(C39&lt;0,"−","")&amp;"$"&amp;TEXT(ABS(C39),"#,##0.00")&amp;"bn"&amp;"（較模型 "&amp;IF(ISNUMBER(C64),IF(C64&lt;0,"−","+")&amp;IF(ABS(C64)&lt;0,"−","")&amp;"$"&amp;TEXT(ABS(ABS(C64)),"#,##0.00")&amp;"bn"&amp;IF(ISNUMBER(C69),"／"&amp;IF(C69&lt;0,"−","+")&amp;TEXT(ABS(C69)*100,"#,##0.0")&amp;"pt",""),"不適用")&amp;"）","")&amp;C121</f>
        <v>調整後營業利益：模型 −$0.58bn</v>
      </c>
      <c r="D127" s="40" t="str">
        <f aca="false">"調整後營業利益：模型 "&amp;IF(ISNUMBER(D30),IF(D30&lt;0,"−","")&amp;"$"&amp;TEXT(ABS(D30),"#,##0.00")&amp;"bn","不適用")&amp;IF(ISNUMBER(D39),"｜實際 "&amp;IF(D39&lt;0,"−","")&amp;"$"&amp;TEXT(ABS(D39),"#,##0.00")&amp;"bn"&amp;"（較模型 "&amp;IF(ISNUMBER(D64),IF(D64&lt;0,"−","+")&amp;IF(ABS(D64)&lt;0,"−","")&amp;"$"&amp;TEXT(ABS(ABS(D64)),"#,##0.00")&amp;"bn"&amp;IF(ISNUMBER(D69),"／"&amp;IF(D69&lt;0,"−","+")&amp;TEXT(ABS(D69)*100,"#,##0.0")&amp;"pt",""),"不適用")&amp;"）","")&amp;D121</f>
        <v>調整後營業利益：模型 −$0.96bn</v>
      </c>
      <c r="E127" s="40" t="str">
        <f aca="false">"調整後營業利益：模型 "&amp;IF(ISNUMBER(E30),IF(E30&lt;0,"−","")&amp;"$"&amp;TEXT(ABS(E30),"#,##0.00")&amp;"bn","不適用")&amp;IF(ISNUMBER(E39),"｜實際 "&amp;IF(E39&lt;0,"−","")&amp;"$"&amp;TEXT(ABS(E39),"#,##0.00")&amp;"bn"&amp;"（較模型 "&amp;IF(ISNUMBER(E64),IF(E64&lt;0,"−","+")&amp;IF(ABS(E64)&lt;0,"−","")&amp;"$"&amp;TEXT(ABS(ABS(E64)),"#,##0.00")&amp;"bn"&amp;IF(ISNUMBER(E69),"／"&amp;IF(E69&lt;0,"−","+")&amp;TEXT(ABS(E69)*100,"#,##0.0")&amp;"pt",""),"不適用")&amp;"）","")&amp;E121</f>
        <v>調整後營業利益：模型 −$1.11bn</v>
      </c>
      <c r="F127" s="40" t="str">
        <f aca="false">"調整後營業利益：模型 "&amp;IF(ISNUMBER(F30),IF(F30&lt;0,"−","")&amp;"$"&amp;TEXT(ABS(F30),"#,##0.00")&amp;"bn","不適用")&amp;IF(ISNUMBER(F39),"｜實際 "&amp;IF(F39&lt;0,"−","")&amp;"$"&amp;TEXT(ABS(F39),"#,##0.00")&amp;"bn"&amp;"（較模型 "&amp;IF(ISNUMBER(F64),IF(F64&lt;0,"−","+")&amp;IF(ABS(F64)&lt;0,"−","")&amp;"$"&amp;TEXT(ABS(ABS(F64)),"#,##0.00")&amp;"bn"&amp;IF(ISNUMBER(F69),"／"&amp;IF(F69&lt;0,"−","+")&amp;TEXT(ABS(F69)*100,"#,##0.0")&amp;"pt",""),"不適用")&amp;"）","")&amp;F121</f>
        <v>調整後營業利益：模型 −$1.17bn</v>
      </c>
      <c r="G127" s="40" t="str">
        <f aca="false">"調整後營業利益：模型 "&amp;IF(ISNUMBER(G30),IF(G30&lt;0,"−","")&amp;"$"&amp;TEXT(ABS(G30),"#,##0.00")&amp;"bn","不適用")&amp;IF(ISNUMBER(G39),"｜實際 "&amp;IF(G39&lt;0,"−","")&amp;"$"&amp;TEXT(ABS(G39),"#,##0.00")&amp;"bn"&amp;"（較模型 "&amp;IF(ISNUMBER(G64),IF(G64&lt;0,"−","+")&amp;IF(ABS(G64)&lt;0,"−","")&amp;"$"&amp;TEXT(ABS(ABS(G64)),"#,##0.00")&amp;"bn"&amp;IF(ISNUMBER(G69),"／"&amp;IF(G69&lt;0,"−","+")&amp;TEXT(ABS(G69)*100,"#,##0.0")&amp;"pt",""),"不適用")&amp;"）","")&amp;G121</f>
        <v>調整後營業利益：模型 −$1.22bn</v>
      </c>
      <c r="H127" s="40" t="str">
        <f aca="false">"調整後營業利益：模型 "&amp;IF(ISNUMBER(H30),IF(H30&lt;0,"−","")&amp;"$"&amp;TEXT(ABS(H30),"#,##0.00")&amp;"bn","不適用")&amp;IF(ISNUMBER(H39),"｜實際 "&amp;IF(H39&lt;0,"−","")&amp;"$"&amp;TEXT(ABS(H39),"#,##0.00")&amp;"bn"&amp;"（較模型 "&amp;IF(ISNUMBER(H64),IF(H64&lt;0,"−","+")&amp;IF(ABS(H64)&lt;0,"−","")&amp;"$"&amp;TEXT(ABS(ABS(H64)),"#,##0.00")&amp;"bn"&amp;IF(ISNUMBER(H69),"／"&amp;IF(H69&lt;0,"−","+")&amp;TEXT(ABS(H69)*100,"#,##0.0")&amp;"pt",""),"不適用")&amp;"）","")&amp;H121</f>
        <v>調整後營業利益：模型 −$1.26bn</v>
      </c>
    </row>
    <row r="128" customFormat="false" ht="15" hidden="true" customHeight="false" outlineLevel="1" collapsed="false">
      <c r="A128" s="3" t="s">
        <v>938</v>
      </c>
      <c r="C128" s="40" t="str">
        <f aca="false">"CapEx（毛額）：模型 "&amp;IF(ISNUMBER(C31),IF(C31&lt;0,"−","")&amp;"$"&amp;TEXT(ABS(C31),"#,##0.00")&amp;"bn","不適用")&amp;IF(ISNUMBER(C40),"｜實際 "&amp;IF(C40&lt;0,"−","")&amp;"$"&amp;TEXT(ABS(C40),"#,##0.00")&amp;"bn"&amp;"（較模型 "&amp;IF(ISNUMBER(C74),IF(C74&lt;0,"−","+")&amp;TEXT(ABS(C74)*100,"#,##0.0")&amp;"%","不適用")&amp;"）","")&amp;C122</f>
        <v>CapEx（毛額）：模型 $10.47bn</v>
      </c>
      <c r="D128" s="40" t="str">
        <f aca="false">"CapEx（毛額）：模型 "&amp;IF(ISNUMBER(D31),IF(D31&lt;0,"−","")&amp;"$"&amp;TEXT(ABS(D31),"#,##0.00")&amp;"bn","不適用")&amp;IF(ISNUMBER(D40),"｜實際 "&amp;IF(D40&lt;0,"−","")&amp;"$"&amp;TEXT(ABS(D40),"#,##0.00")&amp;"bn"&amp;"（較模型 "&amp;IF(ISNUMBER(D74),IF(D74&lt;0,"−","+")&amp;TEXT(ABS(D74)*100,"#,##0.0")&amp;"%","不適用")&amp;"）","")&amp;D122</f>
        <v>CapEx（毛額）：模型 $10.47bn</v>
      </c>
      <c r="E128" s="40" t="str">
        <f aca="false">"CapEx（毛額）：模型 "&amp;IF(ISNUMBER(E31),IF(E31&lt;0,"−","")&amp;"$"&amp;TEXT(ABS(E31),"#,##0.00")&amp;"bn","不適用")&amp;IF(ISNUMBER(E40),"｜實際 "&amp;IF(E40&lt;0,"−","")&amp;"$"&amp;TEXT(ABS(E40),"#,##0.00")&amp;"bn"&amp;"（較模型 "&amp;IF(ISNUMBER(E74),IF(E74&lt;0,"−","+")&amp;TEXT(ABS(E74)*100,"#,##0.0")&amp;"%","不適用")&amp;"）","")&amp;E122</f>
        <v>CapEx（毛額）：模型 $7.29bn</v>
      </c>
      <c r="F128" s="40" t="str">
        <f aca="false">"CapEx（毛額）：模型 "&amp;IF(ISNUMBER(F31),IF(F31&lt;0,"−","")&amp;"$"&amp;TEXT(ABS(F31),"#,##0.00")&amp;"bn","不適用")&amp;IF(ISNUMBER(F40),"｜實際 "&amp;IF(F40&lt;0,"−","")&amp;"$"&amp;TEXT(ABS(F40),"#,##0.00")&amp;"bn"&amp;"（較模型 "&amp;IF(ISNUMBER(F74),IF(F74&lt;0,"−","+")&amp;TEXT(ABS(F74)*100,"#,##0.0")&amp;"%","不適用")&amp;"）","")&amp;F122</f>
        <v>CapEx（毛額）：模型 $7.29bn</v>
      </c>
      <c r="G128" s="40" t="str">
        <f aca="false">"CapEx（毛額）：模型 "&amp;IF(ISNUMBER(G31),IF(G31&lt;0,"−","")&amp;"$"&amp;TEXT(ABS(G31),"#,##0.00")&amp;"bn","不適用")&amp;IF(ISNUMBER(G40),"｜實際 "&amp;IF(G40&lt;0,"−","")&amp;"$"&amp;TEXT(ABS(G40),"#,##0.00")&amp;"bn"&amp;"（較模型 "&amp;IF(ISNUMBER(G74),IF(G74&lt;0,"−","+")&amp;TEXT(ABS(G74)*100,"#,##0.0")&amp;"%","不適用")&amp;"）","")&amp;G122</f>
        <v>CapEx（毛額）：模型 $7.29bn</v>
      </c>
      <c r="H128" s="40" t="str">
        <f aca="false">"CapEx（毛額）：模型 "&amp;IF(ISNUMBER(H31),IF(H31&lt;0,"−","")&amp;"$"&amp;TEXT(ABS(H31),"#,##0.00")&amp;"bn","不適用")&amp;IF(ISNUMBER(H40),"｜實際 "&amp;IF(H40&lt;0,"−","")&amp;"$"&amp;TEXT(ABS(H40),"#,##0.00")&amp;"bn"&amp;"（較模型 "&amp;IF(ISNUMBER(H74),IF(H74&lt;0,"−","+")&amp;TEXT(ABS(H74)*100,"#,##0.0")&amp;"%","不適用")&amp;"）","")&amp;H122</f>
        <v>CapEx（毛額）：模型 $7.29bn</v>
      </c>
    </row>
    <row r="129" customFormat="false" ht="15" hidden="true" customHeight="false" outlineLevel="1" collapsed="false">
      <c r="A129" s="3" t="s">
        <v>939</v>
      </c>
      <c r="C129" s="40" t="str">
        <f aca="false">"季末已連網 MW-IT：模型 "&amp;IF(ISNUMBER(C19),IF(C19&lt;0,"−","")&amp;TEXT(ABS(C19),"#,##0")&amp;" MW","不適用")&amp;IF(ISNUMBER(C41),"｜實際 "&amp;IF(C41&lt;0,"−","")&amp;TEXT(ABS(C41),"#,##0")&amp;" MW"&amp;"（較模型 "&amp;IF(ISNUMBER(C79),IF(C79&lt;0,"−","+")&amp;IF(ABS(C79)&lt;0,"−","")&amp;TEXT(ABS(ABS(C79)),"#,##0")&amp;" MW","不適用")&amp;"）","")&amp;C123</f>
        <v>季末已連網 MW-IT：模型 605 MW</v>
      </c>
      <c r="D129" s="40" t="str">
        <f aca="false">"季末已連網 MW-IT：模型 "&amp;IF(ISNUMBER(D19),IF(D19&lt;0,"−","")&amp;TEXT(ABS(D19),"#,##0")&amp;" MW","不適用")&amp;IF(ISNUMBER(D41),"｜實際 "&amp;IF(D41&lt;0,"−","")&amp;TEXT(ABS(D41),"#,##0")&amp;" MW"&amp;"（較模型 "&amp;IF(ISNUMBER(D79),IF(D79&lt;0,"−","+")&amp;IF(ABS(D79)&lt;0,"−","")&amp;TEXT(ABS(ABS(D79)),"#,##0")&amp;" MW","不適用")&amp;"）","")&amp;D123</f>
        <v>季末已連網 MW-IT：模型 750 MW</v>
      </c>
      <c r="E129" s="40" t="str">
        <f aca="false">"季末已連網 MW-IT：模型 "&amp;IF(ISNUMBER(E19),IF(E19&lt;0,"−","")&amp;TEXT(ABS(E19),"#,##0")&amp;" MW","不適用")&amp;IF(ISNUMBER(E41),"｜實際 "&amp;IF(E41&lt;0,"−","")&amp;TEXT(ABS(E41),"#,##0")&amp;" MW"&amp;"（較模型 "&amp;IF(ISNUMBER(E79),IF(E79&lt;0,"−","+")&amp;IF(ABS(E79)&lt;0,"−","")&amp;TEXT(ABS(ABS(E79)),"#,##0")&amp;" MW","不適用")&amp;"）","")&amp;E123</f>
        <v>季末已連網 MW-IT：模型 895 MW</v>
      </c>
      <c r="F129" s="40" t="str">
        <f aca="false">"季末已連網 MW-IT：模型 "&amp;IF(ISNUMBER(F19),IF(F19&lt;0,"−","")&amp;TEXT(ABS(F19),"#,##0")&amp;" MW","不適用")&amp;IF(ISNUMBER(F41),"｜實際 "&amp;IF(F41&lt;0,"−","")&amp;TEXT(ABS(F41),"#,##0")&amp;" MW"&amp;"（較模型 "&amp;IF(ISNUMBER(F79),IF(F79&lt;0,"−","+")&amp;IF(ABS(F79)&lt;0,"−","")&amp;TEXT(ABS(ABS(F79)),"#,##0")&amp;" MW","不適用")&amp;"）","")&amp;F123</f>
        <v>季末已連網 MW-IT：模型 1,040 MW</v>
      </c>
      <c r="G129" s="40" t="str">
        <f aca="false">"季末已連網 MW-IT：模型 "&amp;IF(ISNUMBER(G19),IF(G19&lt;0,"−","")&amp;TEXT(ABS(G19),"#,##0")&amp;" MW","不適用")&amp;IF(ISNUMBER(G41),"｜實際 "&amp;IF(G41&lt;0,"−","")&amp;TEXT(ABS(G41),"#,##0")&amp;" MW"&amp;"（較模型 "&amp;IF(ISNUMBER(G79),IF(G79&lt;0,"−","+")&amp;IF(ABS(G79)&lt;0,"−","")&amp;TEXT(ABS(ABS(G79)),"#,##0")&amp;" MW","不適用")&amp;"）","")&amp;G123</f>
        <v>季末已連網 MW-IT：模型 1,185 MW</v>
      </c>
      <c r="H129" s="40" t="str">
        <f aca="false">"季末已連網 MW-IT：模型 "&amp;IF(ISNUMBER(H19),IF(H19&lt;0,"−","")&amp;TEXT(ABS(H19),"#,##0")&amp;" MW","不適用")&amp;IF(ISNUMBER(H41),"｜實際 "&amp;IF(H41&lt;0,"−","")&amp;TEXT(ABS(H41),"#,##0")&amp;" MW"&amp;"（較模型 "&amp;IF(ISNUMBER(H79),IF(H79&lt;0,"−","+")&amp;IF(ABS(H79)&lt;0,"−","")&amp;TEXT(ABS(ABS(H79)),"#,##0")&amp;" MW","不適用")&amp;"）","")&amp;H123</f>
        <v>季末已連網 MW-IT：模型 1,330 MW</v>
      </c>
    </row>
    <row r="130" customFormat="false" ht="15" hidden="true" customHeight="false" outlineLevel="1" collapsed="false"/>
    <row r="131" customFormat="false" ht="15" hidden="true" customHeight="false" outlineLevel="1" collapsed="false">
      <c r="A131" s="2" t="s">
        <v>940</v>
      </c>
    </row>
    <row r="132" customFormat="false" ht="15" hidden="true" customHeight="false" outlineLevel="1" collapsed="false">
      <c r="A132" s="3" t="s">
        <v>941</v>
      </c>
      <c r="C132" s="63" t="n">
        <f aca="false">C22+D22-損益!C8</f>
        <v>0</v>
      </c>
      <c r="D132" s="63" t="n">
        <f aca="false">E22+F22+G22+H22-損益!D8</f>
        <v>0</v>
      </c>
    </row>
    <row r="133" customFormat="false" ht="15" hidden="true" customHeight="false" outlineLevel="1" collapsed="false">
      <c r="A133" s="3" t="s">
        <v>942</v>
      </c>
      <c r="C133" s="63" t="n">
        <f aca="false">C28+D28-損益!C19</f>
        <v>0</v>
      </c>
      <c r="D133" s="63" t="n">
        <f aca="false">E28+F28+G28+H28-損益!D19</f>
        <v>0</v>
      </c>
    </row>
    <row r="134" customFormat="false" ht="15" hidden="true" customHeight="false" outlineLevel="1" collapsed="false">
      <c r="A134" s="3" t="s">
        <v>943</v>
      </c>
      <c r="C134" s="63" t="n">
        <f aca="false">C30+D30-損益!C10</f>
        <v>0</v>
      </c>
      <c r="D134" s="63" t="n">
        <f aca="false">E30+F30+G30+H30-損益!D10</f>
        <v>0</v>
      </c>
    </row>
    <row r="135" customFormat="false" ht="15" hidden="true" customHeight="false" outlineLevel="1" collapsed="false">
      <c r="A135" s="3" t="s">
        <v>944</v>
      </c>
      <c r="C135" s="63" t="n">
        <f aca="false">C31+D31-輸入與假設!C$90</f>
        <v>0</v>
      </c>
      <c r="D135" s="63" t="n">
        <f aca="false">E31+F31+G31+H31-輸入與假設!D$90</f>
        <v>0</v>
      </c>
    </row>
    <row r="136" customFormat="false" ht="15" hidden="true" customHeight="false" outlineLevel="1" collapsed="false">
      <c r="A136" s="3" t="s">
        <v>945</v>
      </c>
      <c r="C136" s="63" t="n">
        <f aca="false">C29+D29-輸入與假設!C$91</f>
        <v>0</v>
      </c>
      <c r="D136" s="63" t="n">
        <f aca="false">E29+F29+G29+H29-輸入與假設!D$91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1" t="s">
        <v>946</v>
      </c>
    </row>
    <row r="2" customFormat="false" ht="15" hidden="false" customHeight="false" outlineLevel="0" collapsed="false">
      <c r="A2" s="5" t="s">
        <v>947</v>
      </c>
    </row>
    <row r="3" customFormat="false" ht="15" hidden="false" customHeight="false" outlineLevel="0" collapsed="false">
      <c r="A3" s="10" t="s">
        <v>948</v>
      </c>
    </row>
    <row r="5" customFormat="false" ht="15" hidden="false" customHeight="false" outlineLevel="0" collapsed="false">
      <c r="A5" s="13" t="s">
        <v>50</v>
      </c>
      <c r="B5" s="13" t="s">
        <v>51</v>
      </c>
      <c r="C5" s="26" t="s">
        <v>52</v>
      </c>
      <c r="D5" s="26" t="s">
        <v>53</v>
      </c>
      <c r="E5" s="26" t="s">
        <v>54</v>
      </c>
      <c r="F5" s="26" t="s">
        <v>138</v>
      </c>
      <c r="G5" s="26" t="s">
        <v>139</v>
      </c>
      <c r="I5" s="13" t="s">
        <v>639</v>
      </c>
    </row>
    <row r="6" customFormat="false" ht="15" hidden="false" customHeight="false" outlineLevel="0" collapsed="false">
      <c r="A6" s="3" t="s">
        <v>412</v>
      </c>
      <c r="B6" s="5"/>
      <c r="C6" s="60" t="str">
        <f aca="false">"2026-07-01~12-31"</f>
        <v>2026-07-01~12-31</v>
      </c>
      <c r="D6" s="60" t="str">
        <f aca="false">"2027 全年"</f>
        <v>2027 全年</v>
      </c>
      <c r="E6" s="60" t="str">
        <f aca="false">"2028 全年"</f>
        <v>2028 全年</v>
      </c>
      <c r="F6" s="60" t="str">
        <f aca="false">"2029 全年"</f>
        <v>2029 全年</v>
      </c>
      <c r="G6" s="60" t="str">
        <f aca="false">"2030 全年"</f>
        <v>2030 全年</v>
      </c>
      <c r="I6" s="10" t="s">
        <v>949</v>
      </c>
    </row>
    <row r="7" customFormat="false" ht="15" hidden="false" customHeight="false" outlineLevel="0" collapsed="false">
      <c r="A7" s="3" t="s">
        <v>195</v>
      </c>
      <c r="B7" s="5"/>
      <c r="C7" s="38" t="n">
        <f aca="false">輸入與假設!C$37</f>
        <v>0.5</v>
      </c>
      <c r="D7" s="38" t="n">
        <f aca="false">輸入與假設!D$37</f>
        <v>1</v>
      </c>
      <c r="E7" s="38" t="n">
        <f aca="false">輸入與假設!E$37</f>
        <v>1</v>
      </c>
      <c r="F7" s="38" t="n">
        <f aca="false">輸入與假設!F$37</f>
        <v>1</v>
      </c>
      <c r="G7" s="38" t="n">
        <f aca="false">輸入與假設!G$37</f>
        <v>1</v>
      </c>
      <c r="I7" s="5" t="s">
        <v>950</v>
      </c>
    </row>
    <row r="8" customFormat="false" ht="15" hidden="false" customHeight="false" outlineLevel="0" collapsed="false">
      <c r="A8" s="44" t="s">
        <v>951</v>
      </c>
      <c r="B8" s="7"/>
      <c r="C8" s="7"/>
      <c r="D8" s="7"/>
      <c r="E8" s="7"/>
      <c r="F8" s="7"/>
      <c r="G8" s="7"/>
      <c r="H8" s="7"/>
    </row>
    <row r="9" customFormat="false" ht="15" hidden="false" customHeight="false" outlineLevel="1" collapsed="false">
      <c r="A9" s="4" t="s">
        <v>952</v>
      </c>
      <c r="B9" s="10" t="s">
        <v>142</v>
      </c>
      <c r="C9" s="62" t="n">
        <f aca="false">MAX(0,輸入與假設!C$39)</f>
        <v>750</v>
      </c>
      <c r="D9" s="62" t="n">
        <f aca="false">MAX(輸入與假設!D$39,C9)</f>
        <v>1330</v>
      </c>
      <c r="E9" s="62" t="n">
        <f aca="false">MAX(輸入與假設!E$39,D9)</f>
        <v>1910</v>
      </c>
      <c r="F9" s="62" t="n">
        <f aca="false">MAX(輸入與假設!F$39,E9)</f>
        <v>2490</v>
      </c>
      <c r="G9" s="62" t="n">
        <f aca="false">MAX(輸入與假設!G$39,F9)</f>
        <v>3070</v>
      </c>
      <c r="I9" s="5" t="s">
        <v>953</v>
      </c>
    </row>
    <row r="10" customFormat="false" ht="15" hidden="false" customHeight="false" outlineLevel="1" collapsed="false">
      <c r="A10" s="4" t="s">
        <v>954</v>
      </c>
      <c r="B10" s="10" t="s">
        <v>142</v>
      </c>
      <c r="C10" s="62" t="n">
        <f aca="false">MIN(MAX(0,輸入與假設!C$40),C9)</f>
        <v>338</v>
      </c>
      <c r="D10" s="62" t="n">
        <f aca="false">MIN(MAX(0,輸入與假設!D$40),D9)</f>
        <v>904</v>
      </c>
      <c r="E10" s="62" t="n">
        <f aca="false">MIN(MAX(0,輸入與假設!E$40),E9)</f>
        <v>1719</v>
      </c>
      <c r="F10" s="62" t="n">
        <f aca="false">MIN(MAX(0,輸入與假設!F$40),F9)</f>
        <v>2241</v>
      </c>
      <c r="G10" s="62" t="n">
        <f aca="false">MIN(MAX(0,輸入與假設!G$40),G9)</f>
        <v>2763</v>
      </c>
      <c r="I10" s="5" t="s">
        <v>955</v>
      </c>
    </row>
    <row r="11" customFormat="false" ht="15" hidden="false" customHeight="false" outlineLevel="1" collapsed="false">
      <c r="A11" s="3" t="s">
        <v>956</v>
      </c>
      <c r="B11" s="10" t="s">
        <v>142</v>
      </c>
      <c r="C11" s="62" t="n">
        <f aca="false">輸入與假設!$C$32</f>
        <v>134</v>
      </c>
      <c r="D11" s="62" t="n">
        <f aca="false">C10</f>
        <v>338</v>
      </c>
      <c r="E11" s="62" t="n">
        <f aca="false">D10</f>
        <v>904</v>
      </c>
      <c r="F11" s="62" t="n">
        <f aca="false">E10</f>
        <v>1719</v>
      </c>
      <c r="G11" s="62" t="n">
        <f aca="false">F10</f>
        <v>2241</v>
      </c>
      <c r="I11" s="5" t="s">
        <v>957</v>
      </c>
    </row>
    <row r="12" customFormat="false" ht="15" hidden="false" customHeight="false" outlineLevel="1" collapsed="false">
      <c r="A12" s="3" t="s">
        <v>958</v>
      </c>
      <c r="B12" s="10" t="s">
        <v>142</v>
      </c>
      <c r="C12" s="62" t="n">
        <f aca="false">IF(輸入與假設!$C$33=1,(C11+C10)/2,C10)</f>
        <v>236</v>
      </c>
      <c r="D12" s="62" t="n">
        <f aca="false">IF(輸入與假設!$C$33=1,(D11+D10)/2,D10)</f>
        <v>621</v>
      </c>
      <c r="E12" s="62" t="n">
        <f aca="false">IF(輸入與假設!$C$33=1,(E11+E10)/2,E10)</f>
        <v>1311.5</v>
      </c>
      <c r="F12" s="62" t="n">
        <f aca="false">IF(輸入與假設!$C$33=1,(F11+F10)/2,F10)</f>
        <v>1980</v>
      </c>
      <c r="G12" s="62" t="n">
        <f aca="false">IF(輸入與假設!$C$33=1,(G11+G10)/2,G10)</f>
        <v>2502</v>
      </c>
      <c r="I12" s="5" t="s">
        <v>959</v>
      </c>
    </row>
    <row r="13" customFormat="false" ht="15" hidden="false" customHeight="false" outlineLevel="1" collapsed="false">
      <c r="A13" s="3" t="s">
        <v>203</v>
      </c>
      <c r="B13" s="10" t="s">
        <v>42</v>
      </c>
      <c r="C13" s="45" t="n">
        <f aca="false">輸入與假設!C$41</f>
        <v>1</v>
      </c>
      <c r="D13" s="45" t="n">
        <f aca="false">輸入與假設!D$41</f>
        <v>1</v>
      </c>
      <c r="E13" s="45" t="n">
        <f aca="false">輸入與假設!E$41</f>
        <v>1</v>
      </c>
      <c r="F13" s="45" t="n">
        <f aca="false">輸入與假設!F$41</f>
        <v>1</v>
      </c>
      <c r="G13" s="45" t="n">
        <f aca="false">輸入與假設!G$41</f>
        <v>1</v>
      </c>
    </row>
    <row r="14" customFormat="false" ht="15" hidden="false" customHeight="false" outlineLevel="1" collapsed="false">
      <c r="A14" s="3" t="s">
        <v>205</v>
      </c>
      <c r="B14" s="10" t="s">
        <v>160</v>
      </c>
      <c r="C14" s="64" t="n">
        <f aca="false">輸入與假設!C$42</f>
        <v>0.0174</v>
      </c>
      <c r="D14" s="64" t="n">
        <f aca="false">輸入與假設!D$42</f>
        <v>0.0174</v>
      </c>
      <c r="E14" s="64" t="n">
        <f aca="false">輸入與假設!E$42</f>
        <v>0.0174</v>
      </c>
      <c r="F14" s="64" t="n">
        <f aca="false">輸入與假設!F$42</f>
        <v>0.0174</v>
      </c>
      <c r="G14" s="64" t="n">
        <f aca="false">輸入與假設!G$42</f>
        <v>0.0174</v>
      </c>
    </row>
    <row r="15" customFormat="false" ht="15" hidden="false" customHeight="false" outlineLevel="1" collapsed="false">
      <c r="A15" s="3" t="s">
        <v>960</v>
      </c>
      <c r="B15" s="10" t="s">
        <v>56</v>
      </c>
      <c r="C15" s="35" t="n">
        <f aca="false">C12*輸入與假設!C$42*輸入與假設!$C$35*輸入與假設!C$41*C7</f>
        <v>2.0532</v>
      </c>
      <c r="D15" s="35" t="n">
        <f aca="false">D12*輸入與假設!D$42*輸入與假設!$C$35*輸入與假設!D$41*D7</f>
        <v>10.8054</v>
      </c>
      <c r="E15" s="35" t="n">
        <f aca="false">E12*輸入與假設!E$42*輸入與假設!$C$35*輸入與假設!E$41*E7</f>
        <v>22.8201</v>
      </c>
      <c r="F15" s="35" t="n">
        <f aca="false">F12*輸入與假設!F$42*輸入與假設!$C$35*輸入與假設!F$41*F7</f>
        <v>34.452</v>
      </c>
      <c r="G15" s="35" t="n">
        <f aca="false">G12*輸入與假設!G$42*輸入與假設!$C$35*輸入與假設!G$41*G7</f>
        <v>43.5348</v>
      </c>
      <c r="I15" s="5" t="s">
        <v>961</v>
      </c>
    </row>
    <row r="16" customFormat="false" ht="15" hidden="false" customHeight="false" outlineLevel="0" collapsed="false">
      <c r="A16" s="44" t="s">
        <v>962</v>
      </c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1" collapsed="false">
      <c r="A17" s="3" t="s">
        <v>963</v>
      </c>
      <c r="B17" s="10" t="s">
        <v>56</v>
      </c>
      <c r="C17" s="60" t="n">
        <f aca="false">(輸入與假設!$C$26+輸入與假設!$C$27)*(輸入與假設!C$38/輸入與假設!$C$29)*輸入與假設!$C$28</f>
        <v>3.374154</v>
      </c>
      <c r="D17" s="60" t="n">
        <f aca="false">(輸入與假設!$C$26+輸入與假設!$C$27)*(輸入與假設!D$38/輸入與假設!$C$29)*輸入與假設!$C$28</f>
        <v>6.748308</v>
      </c>
      <c r="E17" s="60" t="n">
        <f aca="false">(輸入與假設!$C$26+輸入與假設!$C$27)*(輸入與假設!E$38/輸入與假設!$C$29)*輸入與假設!$C$28</f>
        <v>7.123214</v>
      </c>
      <c r="F17" s="60" t="n">
        <f aca="false">(輸入與假設!$C$26+輸入與假設!$C$27)*(輸入與假設!F$38/輸入與假設!$C$29)*輸入與假設!$C$28</f>
        <v>7.49812</v>
      </c>
      <c r="G17" s="60" t="n">
        <f aca="false">(輸入與假設!$C$26+輸入與假設!$C$27)*(輸入與假設!G$38/輸入與假設!$C$29)*輸入與假設!$C$28</f>
        <v>5.998496</v>
      </c>
      <c r="I17" s="5" t="s">
        <v>964</v>
      </c>
    </row>
    <row r="18" customFormat="false" ht="15" hidden="false" customHeight="false" outlineLevel="0" collapsed="false">
      <c r="A18" s="44" t="s">
        <v>965</v>
      </c>
      <c r="B18" s="7"/>
      <c r="C18" s="7"/>
      <c r="D18" s="7"/>
      <c r="E18" s="7"/>
      <c r="F18" s="7"/>
      <c r="G18" s="7"/>
      <c r="H18" s="7"/>
    </row>
    <row r="19" customFormat="false" ht="15" hidden="false" customHeight="false" outlineLevel="1" collapsed="false">
      <c r="A19" s="3" t="s">
        <v>966</v>
      </c>
      <c r="B19" s="10" t="s">
        <v>56</v>
      </c>
      <c r="C19" s="35" t="n">
        <f aca="false">MAX(0,C17-C15)</f>
        <v>1.320954</v>
      </c>
      <c r="D19" s="35" t="n">
        <f aca="false">MAX(0,D17-D15)</f>
        <v>0</v>
      </c>
      <c r="E19" s="35" t="n">
        <f aca="false">MAX(0,E17-E15)</f>
        <v>0</v>
      </c>
      <c r="F19" s="35" t="n">
        <f aca="false">MAX(0,F17-F15)</f>
        <v>0</v>
      </c>
      <c r="G19" s="35" t="n">
        <f aca="false">MAX(0,G17-G15)</f>
        <v>0</v>
      </c>
      <c r="I19" s="5" t="s">
        <v>967</v>
      </c>
    </row>
    <row r="20" customFormat="false" ht="15" hidden="false" customHeight="false" outlineLevel="1" collapsed="false">
      <c r="A20" s="3" t="s">
        <v>968</v>
      </c>
      <c r="B20" s="10" t="s">
        <v>56</v>
      </c>
      <c r="C20" s="60" t="n">
        <f aca="false">C17-C19</f>
        <v>2.0532</v>
      </c>
      <c r="D20" s="60" t="n">
        <f aca="false">D17-D19</f>
        <v>6.748308</v>
      </c>
      <c r="E20" s="60" t="n">
        <f aca="false">E17-E19</f>
        <v>7.123214</v>
      </c>
      <c r="F20" s="60" t="n">
        <f aca="false">F17-F19</f>
        <v>7.49812</v>
      </c>
      <c r="G20" s="60" t="n">
        <f aca="false">G17-G19</f>
        <v>5.998496</v>
      </c>
      <c r="I20" s="5" t="s">
        <v>969</v>
      </c>
    </row>
    <row r="21" customFormat="false" ht="15" hidden="false" customHeight="false" outlineLevel="1" collapsed="false">
      <c r="A21" s="3" t="s">
        <v>970</v>
      </c>
      <c r="B21" s="10" t="s">
        <v>56</v>
      </c>
      <c r="C21" s="60" t="n">
        <f aca="false">MAX(0,C15-C17)</f>
        <v>0</v>
      </c>
      <c r="D21" s="60" t="n">
        <f aca="false">MAX(0,D15-D17)</f>
        <v>4.057092</v>
      </c>
      <c r="E21" s="60" t="n">
        <f aca="false">MAX(0,E15-E17)</f>
        <v>15.696886</v>
      </c>
      <c r="F21" s="60" t="n">
        <f aca="false">MAX(0,F15-F17)</f>
        <v>26.95388</v>
      </c>
      <c r="G21" s="60" t="n">
        <f aca="false">MAX(0,G15-G17)</f>
        <v>37.536304</v>
      </c>
      <c r="I21" s="5" t="s">
        <v>971</v>
      </c>
    </row>
    <row r="22" customFormat="false" ht="15" hidden="false" customHeight="false" outlineLevel="1" collapsed="false">
      <c r="A22" s="3" t="s">
        <v>207</v>
      </c>
      <c r="B22" s="10" t="s">
        <v>42</v>
      </c>
      <c r="C22" s="45" t="n">
        <f aca="false">IF(輸入與假設!$C$34="mw",1,輸入與假設!C$43)</f>
        <v>1</v>
      </c>
      <c r="D22" s="45" t="n">
        <f aca="false">IF(輸入與假設!$C$34="mw",1,輸入與假設!D$43)</f>
        <v>1</v>
      </c>
      <c r="E22" s="45" t="n">
        <f aca="false">IF(輸入與假設!$C$34="mw",1,輸入與假設!E$43)</f>
        <v>1</v>
      </c>
      <c r="F22" s="45" t="n">
        <f aca="false">IF(輸入與假設!$C$34="mw",1,輸入與假設!F$43)</f>
        <v>1</v>
      </c>
      <c r="G22" s="45" t="n">
        <f aca="false">IF(輸入與假設!$C$34="mw",1,輸入與假設!G$43)</f>
        <v>1</v>
      </c>
      <c r="I22" s="10" t="s">
        <v>972</v>
      </c>
    </row>
    <row r="23" customFormat="false" ht="15" hidden="false" customHeight="false" outlineLevel="1" collapsed="false">
      <c r="A23" s="3" t="s">
        <v>973</v>
      </c>
      <c r="B23" s="10" t="s">
        <v>56</v>
      </c>
      <c r="C23" s="60" t="n">
        <f aca="false">C21*C22</f>
        <v>0</v>
      </c>
      <c r="D23" s="60" t="n">
        <f aca="false">D21*D22</f>
        <v>4.057092</v>
      </c>
      <c r="E23" s="60" t="n">
        <f aca="false">E21*E22</f>
        <v>15.696886</v>
      </c>
      <c r="F23" s="60" t="n">
        <f aca="false">F21*F22</f>
        <v>26.95388</v>
      </c>
      <c r="G23" s="60" t="n">
        <f aca="false">G21*G22</f>
        <v>37.536304</v>
      </c>
      <c r="I23" s="5" t="s">
        <v>974</v>
      </c>
    </row>
    <row r="24" customFormat="false" ht="15" hidden="false" customHeight="false" outlineLevel="1" collapsed="false">
      <c r="A24" s="3" t="s">
        <v>975</v>
      </c>
      <c r="B24" s="10" t="s">
        <v>56</v>
      </c>
      <c r="C24" s="60" t="n">
        <f aca="false">MAX(0,C15-C20-C23)</f>
        <v>0</v>
      </c>
      <c r="D24" s="60" t="n">
        <f aca="false">MAX(0,D15-D20-D23)</f>
        <v>0</v>
      </c>
      <c r="E24" s="60" t="n">
        <f aca="false">MAX(0,E15-E20-E23)</f>
        <v>0</v>
      </c>
      <c r="F24" s="60" t="n">
        <f aca="false">MAX(0,F15-F20-F23)</f>
        <v>0</v>
      </c>
      <c r="G24" s="60" t="n">
        <f aca="false">MAX(0,G15-G20-G23)</f>
        <v>0</v>
      </c>
      <c r="I24" s="5" t="s">
        <v>976</v>
      </c>
    </row>
    <row r="25" customFormat="false" ht="15" hidden="false" customHeight="false" outlineLevel="1" collapsed="false">
      <c r="A25" s="3" t="s">
        <v>977</v>
      </c>
      <c r="B25" s="10" t="s">
        <v>56</v>
      </c>
      <c r="C25" s="35" t="n">
        <f aca="false">C20+C23</f>
        <v>2.0532</v>
      </c>
      <c r="D25" s="35" t="n">
        <f aca="false">D20+D23</f>
        <v>10.8054</v>
      </c>
      <c r="E25" s="35" t="n">
        <f aca="false">E20+E23</f>
        <v>22.8201</v>
      </c>
      <c r="F25" s="35" t="n">
        <f aca="false">F20+F23</f>
        <v>34.452</v>
      </c>
      <c r="G25" s="35" t="n">
        <f aca="false">G20+G23</f>
        <v>43.5348</v>
      </c>
      <c r="I25" s="5" t="s">
        <v>978</v>
      </c>
    </row>
    <row r="26" customFormat="false" ht="15" hidden="false" customHeight="false" outlineLevel="1" collapsed="false">
      <c r="A26" s="3" t="s">
        <v>979</v>
      </c>
      <c r="B26" s="10" t="s">
        <v>56</v>
      </c>
      <c r="C26" s="60" t="n">
        <f aca="false">C25-C12*輸入與假設!C$42*輸入與假設!$C$35*輸入與假設!C$41*C7</f>
        <v>0</v>
      </c>
      <c r="D26" s="60" t="n">
        <f aca="false">D25-D12*輸入與假設!D$42*輸入與假設!$C$35*輸入與假設!D$41*D7</f>
        <v>0</v>
      </c>
      <c r="E26" s="60" t="n">
        <f aca="false">E25-E12*輸入與假設!E$42*輸入與假設!$C$35*輸入與假設!E$41*E7</f>
        <v>0</v>
      </c>
      <c r="F26" s="60" t="n">
        <f aca="false">F25-F12*輸入與假設!F$42*輸入與假設!$C$35*輸入與假設!F$41*F7</f>
        <v>0</v>
      </c>
      <c r="G26" s="60" t="n">
        <f aca="false">G25-G12*輸入與假設!G$42*輸入與假設!$C$35*輸入與假設!G$41*G7</f>
        <v>0</v>
      </c>
      <c r="I26" s="10" t="s">
        <v>980</v>
      </c>
    </row>
    <row r="27" customFormat="false" ht="15" hidden="false" customHeight="false" outlineLevel="1" collapsed="false">
      <c r="A27" s="4" t="s">
        <v>981</v>
      </c>
      <c r="B27" s="10" t="s">
        <v>56</v>
      </c>
      <c r="C27" s="38" t="n">
        <f aca="false">輸入與假設!$C$189</f>
        <v>0.9813</v>
      </c>
      <c r="D27" s="38" t="n">
        <f aca="false">0</f>
        <v>0</v>
      </c>
      <c r="E27" s="38" t="n">
        <f aca="false">0</f>
        <v>0</v>
      </c>
      <c r="F27" s="38" t="n">
        <f aca="false">0</f>
        <v>0</v>
      </c>
      <c r="G27" s="38" t="n">
        <f aca="false">0</f>
        <v>0</v>
      </c>
      <c r="I27" s="10" t="s">
        <v>982</v>
      </c>
    </row>
    <row r="28" customFormat="false" ht="15" hidden="false" customHeight="false" outlineLevel="1" collapsed="false">
      <c r="A28" s="4" t="s">
        <v>983</v>
      </c>
      <c r="B28" s="10" t="s">
        <v>56</v>
      </c>
      <c r="C28" s="65" t="n">
        <f aca="false">C27+C25+輸入與假設!C$46</f>
        <v>3.0345</v>
      </c>
      <c r="D28" s="35" t="n">
        <f aca="false">D27+D25+輸入與假設!D$46</f>
        <v>10.8054</v>
      </c>
      <c r="E28" s="35" t="n">
        <f aca="false">E27+E25+輸入與假設!E$46</f>
        <v>22.8201</v>
      </c>
      <c r="F28" s="35" t="n">
        <f aca="false">F27+F25+輸入與假設!F$46</f>
        <v>34.452</v>
      </c>
      <c r="G28" s="35" t="n">
        <f aca="false">G27+G25+輸入與假設!G$46</f>
        <v>43.5348</v>
      </c>
      <c r="I28" s="10" t="s">
        <v>984</v>
      </c>
    </row>
    <row r="29" customFormat="false" ht="15" hidden="false" customHeight="false" outlineLevel="0" collapsed="false">
      <c r="A29" s="44" t="s">
        <v>985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209</v>
      </c>
      <c r="B30" s="10" t="s">
        <v>42</v>
      </c>
      <c r="C30" s="45" t="n">
        <f aca="false">輸入與假設!C$44</f>
        <v>0.005</v>
      </c>
      <c r="D30" s="45" t="n">
        <f aca="false">輸入與假設!D$44</f>
        <v>0.01</v>
      </c>
      <c r="E30" s="45" t="n">
        <f aca="false">輸入與假設!E$44</f>
        <v>0.015</v>
      </c>
      <c r="F30" s="45" t="n">
        <f aca="false">輸入與假設!F$44</f>
        <v>0.02</v>
      </c>
      <c r="G30" s="45" t="n">
        <f aca="false">輸入與假設!G$44</f>
        <v>0.025</v>
      </c>
    </row>
    <row r="31" customFormat="false" ht="15" hidden="false" customHeight="false" outlineLevel="1" collapsed="false">
      <c r="A31" s="3" t="s">
        <v>211</v>
      </c>
      <c r="B31" s="10" t="s">
        <v>42</v>
      </c>
      <c r="C31" s="45" t="n">
        <f aca="false">輸入與假設!C$45</f>
        <v>0.5</v>
      </c>
      <c r="D31" s="45" t="n">
        <f aca="false">輸入與假設!D$45</f>
        <v>0.5</v>
      </c>
      <c r="E31" s="45" t="n">
        <f aca="false">輸入與假設!E$45</f>
        <v>0.5</v>
      </c>
      <c r="F31" s="45" t="n">
        <f aca="false">輸入與假設!F$45</f>
        <v>0.5</v>
      </c>
      <c r="G31" s="45" t="n">
        <f aca="false">輸入與假設!G$45</f>
        <v>0.5</v>
      </c>
    </row>
    <row r="32" customFormat="false" ht="15" hidden="false" customHeight="false" outlineLevel="1" collapsed="false">
      <c r="A32" s="3" t="s">
        <v>986</v>
      </c>
      <c r="B32" s="10" t="s">
        <v>56</v>
      </c>
      <c r="C32" s="60" t="n">
        <f aca="false">C20*輸入與假設!C$44*(1-輸入與假設!C$45)</f>
        <v>0.005133</v>
      </c>
      <c r="D32" s="60" t="n">
        <f aca="false">D20*輸入與假設!D$44*(1-輸入與假設!D$45)</f>
        <v>0.03374154</v>
      </c>
      <c r="E32" s="60" t="n">
        <f aca="false">E20*輸入與假設!E$44*(1-輸入與假設!E$45)</f>
        <v>0.053424105</v>
      </c>
      <c r="F32" s="60" t="n">
        <f aca="false">F20*輸入與假設!F$44*(1-輸入與假設!F$45)</f>
        <v>0.0749812</v>
      </c>
      <c r="G32" s="60" t="n">
        <f aca="false">G20*輸入與假設!G$44*(1-輸入與假設!G$45)</f>
        <v>0.0749812</v>
      </c>
      <c r="I32" s="5" t="s">
        <v>987</v>
      </c>
    </row>
    <row r="33" customFormat="false" ht="15" hidden="false" customHeight="false" outlineLevel="1" collapsed="false">
      <c r="A33" s="3" t="s">
        <v>988</v>
      </c>
      <c r="B33" s="10" t="s">
        <v>56</v>
      </c>
      <c r="C33" s="60" t="n">
        <f aca="false">C20-C32</f>
        <v>2.048067</v>
      </c>
      <c r="D33" s="60" t="n">
        <f aca="false">D20-D32</f>
        <v>6.71456646</v>
      </c>
      <c r="E33" s="60" t="n">
        <f aca="false">E20-E32</f>
        <v>7.069789895</v>
      </c>
      <c r="F33" s="60" t="n">
        <f aca="false">F20-F32</f>
        <v>7.4231388</v>
      </c>
      <c r="G33" s="60" t="n">
        <f aca="false">G20-G32</f>
        <v>5.9235148</v>
      </c>
    </row>
    <row r="34" customFormat="false" ht="15" hidden="false" customHeight="false" outlineLevel="1" collapsed="false">
      <c r="A34" s="4" t="s">
        <v>989</v>
      </c>
      <c r="B34" s="10" t="s">
        <v>42</v>
      </c>
      <c r="C34" s="45" t="n">
        <f aca="false">輸入與假設!C$53</f>
        <v>0.497</v>
      </c>
      <c r="D34" s="45" t="n">
        <f aca="false">輸入與假設!D$53</f>
        <v>0.49025</v>
      </c>
      <c r="E34" s="45" t="n">
        <f aca="false">輸入與假設!E$53</f>
        <v>0.4835</v>
      </c>
      <c r="F34" s="45" t="n">
        <f aca="false">輸入與假設!F$53</f>
        <v>0.47675</v>
      </c>
      <c r="G34" s="45" t="n">
        <f aca="false">輸入與假設!G$53</f>
        <v>0.47</v>
      </c>
      <c r="I34" s="5" t="s">
        <v>990</v>
      </c>
    </row>
    <row r="35" customFormat="false" ht="15" hidden="false" customHeight="false" outlineLevel="1" collapsed="false">
      <c r="A35" s="3" t="s">
        <v>991</v>
      </c>
      <c r="B35" s="10" t="s">
        <v>56</v>
      </c>
      <c r="C35" s="60" t="n">
        <f aca="false">C25+輸入與假設!C$46</f>
        <v>2.0532</v>
      </c>
      <c r="D35" s="60" t="n">
        <f aca="false">D25+輸入與假設!D$46</f>
        <v>10.8054</v>
      </c>
      <c r="E35" s="60" t="n">
        <f aca="false">E25+輸入與假設!E$46</f>
        <v>22.8201</v>
      </c>
      <c r="F35" s="60" t="n">
        <f aca="false">F25+輸入與假設!F$46</f>
        <v>34.452</v>
      </c>
      <c r="G35" s="60" t="n">
        <f aca="false">G25+輸入與假設!G$46</f>
        <v>43.5348</v>
      </c>
    </row>
    <row r="36" customFormat="false" ht="15" hidden="false" customHeight="false" outlineLevel="1" collapsed="false">
      <c r="A36" s="4" t="s">
        <v>992</v>
      </c>
      <c r="B36" s="10" t="s">
        <v>42</v>
      </c>
      <c r="C36" s="66" t="n">
        <f aca="false">輸入與假設!C$53+各期收支!C15/MAX(0.01,C35)</f>
        <v>0.565965517241379</v>
      </c>
      <c r="D36" s="66" t="n">
        <f aca="false">輸入與假設!D$53+各期收支!D15/MAX(0.01,D35)</f>
        <v>0.550886349310725</v>
      </c>
      <c r="E36" s="66" t="n">
        <f aca="false">輸入與假設!E$53+各期收支!E15/MAX(0.01,E35)</f>
        <v>0.528396597709424</v>
      </c>
      <c r="F36" s="66" t="n">
        <f aca="false">輸入與假設!F$53+各期收支!F15/MAX(0.01,F35)</f>
        <v>0.505995148894921</v>
      </c>
      <c r="G36" s="66" t="n">
        <f aca="false">輸入與假設!G$53+各期收支!G15/MAX(0.01,G35)</f>
        <v>0.492844638294965</v>
      </c>
      <c r="I36" s="5" t="s">
        <v>993</v>
      </c>
    </row>
    <row r="37" customFormat="false" ht="15" hidden="false" customHeight="false" outlineLevel="1" collapsed="false">
      <c r="A37" s="4" t="s">
        <v>994</v>
      </c>
      <c r="B37" s="10" t="s">
        <v>56</v>
      </c>
      <c r="C37" s="35" t="n">
        <f aca="false">C33*C36</f>
        <v>1.159135299</v>
      </c>
      <c r="D37" s="35" t="n">
        <f aca="false">D33*D36</f>
        <v>3.69896300435364</v>
      </c>
      <c r="E37" s="35" t="n">
        <f aca="false">E33*E36</f>
        <v>3.73565292703846</v>
      </c>
      <c r="F37" s="35" t="n">
        <f aca="false">F33*F36</f>
        <v>3.75607222237366</v>
      </c>
      <c r="G37" s="35" t="n">
        <f aca="false">G33*G36</f>
        <v>2.91937250904087</v>
      </c>
      <c r="I37" s="10" t="s">
        <v>995</v>
      </c>
    </row>
    <row r="38" customFormat="false" ht="15" hidden="false" customHeight="false" outlineLevel="1" collapsed="false">
      <c r="A38" s="3" t="s">
        <v>996</v>
      </c>
      <c r="B38" s="10" t="s">
        <v>56</v>
      </c>
      <c r="C38" s="60" t="n">
        <f aca="false">C23*(1-輸入與假設!C$44*(1-輸入與假設!C$45))*C36</f>
        <v>0</v>
      </c>
      <c r="D38" s="60" t="n">
        <f aca="false">D23*(1-輸入與假設!D$44*(1-輸入與假設!D$45))*D36</f>
        <v>2.22382161769426</v>
      </c>
      <c r="E38" s="60" t="n">
        <f aca="false">E23*(1-輸入與假設!E$44*(1-輸入與假設!E$45))*E36</f>
        <v>8.23197479835494</v>
      </c>
      <c r="F38" s="60" t="n">
        <f aca="false">F23*(1-輸入與假設!F$44*(1-輸入與假設!F$45))*F36</f>
        <v>13.5021471986569</v>
      </c>
      <c r="G38" s="60" t="n">
        <f aca="false">G23*(1-輸入與假設!G$44*(1-輸入與假設!G$45))*G36</f>
        <v>18.2683215907122</v>
      </c>
      <c r="I38" s="5" t="s">
        <v>997</v>
      </c>
    </row>
    <row r="39" customFormat="false" ht="15" hidden="false" customHeight="false" outlineLevel="1" collapsed="false"/>
    <row r="40" customFormat="false" ht="15" hidden="false" customHeight="false" outlineLevel="1" collapsed="false">
      <c r="A40" s="2" t="s">
        <v>998</v>
      </c>
    </row>
    <row r="41" customFormat="false" ht="15" hidden="false" customHeight="false" outlineLevel="1" collapsed="false">
      <c r="A41" s="5" t="s"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1" t="s">
        <v>1000</v>
      </c>
    </row>
    <row r="2" customFormat="false" ht="15" hidden="false" customHeight="false" outlineLevel="0" collapsed="false">
      <c r="A2" s="5" t="s">
        <v>1001</v>
      </c>
    </row>
    <row r="4" customFormat="false" ht="17.15" hidden="false" customHeight="false" outlineLevel="0" collapsed="false">
      <c r="A4" s="13" t="s">
        <v>1002</v>
      </c>
      <c r="B4" s="13" t="s">
        <v>1003</v>
      </c>
      <c r="C4" s="13" t="s">
        <v>1004</v>
      </c>
      <c r="D4" s="13" t="s">
        <v>1005</v>
      </c>
      <c r="E4" s="13" t="s">
        <v>1006</v>
      </c>
      <c r="F4" s="13" t="s">
        <v>1007</v>
      </c>
      <c r="G4" s="13" t="s">
        <v>1008</v>
      </c>
      <c r="H4" s="13" t="s">
        <v>1009</v>
      </c>
      <c r="I4" s="13" t="s">
        <v>1010</v>
      </c>
      <c r="J4" s="13" t="s">
        <v>1011</v>
      </c>
      <c r="K4" s="13" t="s">
        <v>616</v>
      </c>
    </row>
    <row r="5" customFormat="false" ht="15" hidden="false" customHeight="false" outlineLevel="0" collapsed="false">
      <c r="A5" s="4" t="s">
        <v>1012</v>
      </c>
      <c r="B5" s="10" t="s">
        <v>1013</v>
      </c>
      <c r="C5" s="20" t="n">
        <v>258</v>
      </c>
      <c r="D5" s="20" t="n">
        <v>0</v>
      </c>
      <c r="E5" s="67" t="s">
        <v>1014</v>
      </c>
      <c r="F5" s="67" t="s">
        <v>1014</v>
      </c>
      <c r="I5" s="10" t="s">
        <v>1015</v>
      </c>
      <c r="J5" s="10" t="s">
        <v>1016</v>
      </c>
      <c r="K5" s="10" t="s">
        <v>1017</v>
      </c>
    </row>
    <row r="6" customFormat="false" ht="15" hidden="false" customHeight="false" outlineLevel="0" collapsed="false">
      <c r="A6" s="4" t="s">
        <v>1018</v>
      </c>
      <c r="B6" s="10" t="s">
        <v>1019</v>
      </c>
      <c r="C6" s="20" t="n">
        <v>1000</v>
      </c>
      <c r="D6" s="20" t="n">
        <v>0</v>
      </c>
      <c r="E6" s="67" t="s">
        <v>1014</v>
      </c>
      <c r="F6" s="67" t="s">
        <v>1014</v>
      </c>
      <c r="I6" s="10" t="s">
        <v>1015</v>
      </c>
      <c r="J6" s="10" t="s">
        <v>1016</v>
      </c>
      <c r="K6" s="5" t="s">
        <v>1020</v>
      </c>
    </row>
    <row r="7" customFormat="false" ht="15" hidden="false" customHeight="false" outlineLevel="0" collapsed="false">
      <c r="A7" s="4" t="s">
        <v>1021</v>
      </c>
      <c r="B7" s="10" t="s">
        <v>1013</v>
      </c>
      <c r="C7" s="20" t="n">
        <v>1000</v>
      </c>
      <c r="D7" s="20" t="n">
        <v>0</v>
      </c>
      <c r="E7" s="67" t="s">
        <v>1014</v>
      </c>
      <c r="F7" s="67" t="s">
        <v>1014</v>
      </c>
      <c r="I7" s="10" t="s">
        <v>1022</v>
      </c>
      <c r="J7" s="10" t="s">
        <v>1016</v>
      </c>
      <c r="K7" s="5" t="s">
        <v>1023</v>
      </c>
    </row>
    <row r="8" customFormat="false" ht="15" hidden="false" customHeight="false" outlineLevel="0" collapsed="false">
      <c r="A8" s="4" t="s">
        <v>1024</v>
      </c>
      <c r="B8" s="10" t="s">
        <v>1025</v>
      </c>
      <c r="C8" s="20" t="n">
        <v>0</v>
      </c>
      <c r="D8" s="20" t="n">
        <v>0</v>
      </c>
      <c r="E8" s="67" t="s">
        <v>1014</v>
      </c>
      <c r="F8" s="67" t="s">
        <v>1014</v>
      </c>
      <c r="I8" s="10" t="s">
        <v>1026</v>
      </c>
      <c r="J8" s="10" t="s">
        <v>1016</v>
      </c>
      <c r="K8" s="10" t="s">
        <v>1027</v>
      </c>
    </row>
    <row r="9" customFormat="false" ht="15" hidden="false" customHeight="false" outlineLevel="0" collapsed="false">
      <c r="A9" s="4" t="s">
        <v>1028</v>
      </c>
      <c r="B9" s="10" t="s">
        <v>1029</v>
      </c>
      <c r="C9" s="20" t="n">
        <v>0</v>
      </c>
      <c r="D9" s="20" t="n">
        <v>0</v>
      </c>
      <c r="E9" s="67" t="s">
        <v>1014</v>
      </c>
      <c r="F9" s="67" t="s">
        <v>1014</v>
      </c>
      <c r="I9" s="10" t="s">
        <v>1015</v>
      </c>
      <c r="J9" s="10" t="s">
        <v>1016</v>
      </c>
      <c r="K9" s="5" t="s">
        <v>1030</v>
      </c>
    </row>
    <row r="10" customFormat="false" ht="15" hidden="false" customHeight="false" outlineLevel="0" collapsed="false">
      <c r="A10" s="4" t="s">
        <v>1031</v>
      </c>
      <c r="B10" s="10" t="s">
        <v>1032</v>
      </c>
      <c r="C10" s="20" t="n">
        <v>0</v>
      </c>
      <c r="D10" s="20" t="n">
        <v>0</v>
      </c>
      <c r="E10" s="67" t="s">
        <v>1014</v>
      </c>
      <c r="F10" s="67" t="s">
        <v>1014</v>
      </c>
      <c r="I10" s="5" t="s">
        <v>1033</v>
      </c>
      <c r="J10" s="10" t="s">
        <v>1016</v>
      </c>
      <c r="K10" s="5" t="s">
        <v>1034</v>
      </c>
    </row>
    <row r="11" customFormat="false" ht="15" hidden="false" customHeight="false" outlineLevel="0" collapsed="false">
      <c r="A11" s="2" t="s">
        <v>1035</v>
      </c>
      <c r="C11" s="68" t="n">
        <f aca="false">SUM(C5:C10)</f>
        <v>2258</v>
      </c>
      <c r="D11" s="68" t="n">
        <f aca="false">SUM(D5:D10)</f>
        <v>0</v>
      </c>
      <c r="E11" s="51" t="n">
        <f aca="false">SUM(E5:E10)</f>
        <v>0</v>
      </c>
      <c r="G11" s="51" t="n">
        <f aca="false">SUM(G5:G10)</f>
        <v>0</v>
      </c>
      <c r="H11" s="69" t="n">
        <f aca="false">IF(I11&gt;0,G11/I11*1000,0)</f>
        <v>0</v>
      </c>
      <c r="I11" s="42" t="n">
        <f aca="false">SUMPRODUCT(ISNUMBER(G5:G10)*C5:C10)</f>
        <v>0</v>
      </c>
      <c r="K11" s="5" t="s">
        <v>1036</v>
      </c>
    </row>
    <row r="13" customFormat="false" ht="15" hidden="false" customHeight="false" outlineLevel="0" collapsed="false">
      <c r="A13" s="44" t="s">
        <v>1037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1" collapsed="false">
      <c r="A14" s="3" t="s">
        <v>1038</v>
      </c>
      <c r="E14" s="24" t="n">
        <v>2.1751</v>
      </c>
      <c r="K14" s="10" t="s">
        <v>1039</v>
      </c>
    </row>
    <row r="15" customFormat="false" ht="15" hidden="false" customHeight="false" outlineLevel="1" collapsed="false">
      <c r="A15" s="3" t="s">
        <v>1040</v>
      </c>
      <c r="E15" s="24" t="n">
        <v>12.0541</v>
      </c>
      <c r="K15" s="10" t="s">
        <v>1041</v>
      </c>
    </row>
    <row r="16" customFormat="false" ht="15" hidden="false" customHeight="false" outlineLevel="1" collapsed="false">
      <c r="A16" s="3" t="s">
        <v>1042</v>
      </c>
      <c r="E16" s="24" t="n">
        <v>0</v>
      </c>
      <c r="K16" s="10" t="s">
        <v>1043</v>
      </c>
    </row>
    <row r="17" customFormat="false" ht="15" hidden="false" customHeight="false" outlineLevel="1" collapsed="false">
      <c r="A17" s="2" t="s">
        <v>1044</v>
      </c>
      <c r="E17" s="51" t="n">
        <f aca="false">SUM(E14:E16)</f>
        <v>14.2292</v>
      </c>
      <c r="K17" s="5" t="s">
        <v>1045</v>
      </c>
    </row>
    <row r="18" customFormat="false" ht="15" hidden="false" customHeight="false" outlineLevel="1" collapsed="false">
      <c r="A18" s="3" t="s">
        <v>1046</v>
      </c>
      <c r="E18" s="50" t="n">
        <f aca="false">-E11</f>
        <v>-0</v>
      </c>
    </row>
    <row r="19" customFormat="false" ht="15" hidden="false" customHeight="false" outlineLevel="1" collapsed="false">
      <c r="A19" s="2" t="s">
        <v>1047</v>
      </c>
      <c r="E19" s="51" t="n">
        <f aca="false">E17+E18</f>
        <v>14.2292</v>
      </c>
      <c r="K19" s="5" t="s">
        <v>1048</v>
      </c>
    </row>
    <row r="20" customFormat="false" ht="15" hidden="false" customHeight="false" outlineLevel="1" collapsed="false">
      <c r="A20" s="3" t="s">
        <v>1049</v>
      </c>
      <c r="E20" s="27" t="n">
        <f aca="false">IF(E17&lt;&gt;0,E19/E17,0)</f>
        <v>1</v>
      </c>
    </row>
    <row r="22" customFormat="false" ht="15" hidden="false" customHeight="false" outlineLevel="0" collapsed="false">
      <c r="A22" s="44" t="s">
        <v>1050</v>
      </c>
      <c r="B22" s="7"/>
      <c r="C22" s="7"/>
      <c r="D22" s="7"/>
      <c r="E22" s="7"/>
      <c r="F22" s="7"/>
      <c r="G22" s="7"/>
      <c r="H22" s="7"/>
      <c r="I22" s="7"/>
      <c r="J22" s="7"/>
      <c r="K22" s="7"/>
    </row>
    <row r="23" customFormat="false" ht="15" hidden="false" customHeight="false" outlineLevel="1" collapsed="false">
      <c r="A23" s="13" t="s">
        <v>50</v>
      </c>
      <c r="B23" s="13" t="s">
        <v>51</v>
      </c>
      <c r="C23" s="14" t="s">
        <v>52</v>
      </c>
      <c r="D23" s="14" t="s">
        <v>53</v>
      </c>
      <c r="E23" s="14" t="s">
        <v>54</v>
      </c>
      <c r="F23" s="14" t="s">
        <v>138</v>
      </c>
      <c r="G23" s="14" t="s">
        <v>139</v>
      </c>
    </row>
    <row r="24" customFormat="false" ht="15" hidden="false" customHeight="false" outlineLevel="1" collapsed="false">
      <c r="A24" s="3" t="s">
        <v>1051</v>
      </c>
      <c r="B24" s="10" t="s">
        <v>56</v>
      </c>
      <c r="C24" s="60" t="n">
        <f aca="false">各期收支!C15</f>
        <v>0.1416</v>
      </c>
      <c r="D24" s="60" t="n">
        <f aca="false">各期收支!D15</f>
        <v>0.655200008842105</v>
      </c>
      <c r="E24" s="60" t="n">
        <f aca="false">各期收支!E15</f>
        <v>1.02454484938882</v>
      </c>
      <c r="F24" s="60" t="n">
        <f aca="false">各期收支!F15</f>
        <v>1.00755386972781</v>
      </c>
      <c r="G24" s="60" t="n">
        <f aca="false">各期收支!G15</f>
        <v>0.994536759243649</v>
      </c>
    </row>
    <row r="25" customFormat="false" ht="15" hidden="false" customHeight="false" outlineLevel="1" collapsed="false">
      <c r="A25" s="3" t="s">
        <v>1052</v>
      </c>
      <c r="B25" s="10" t="s">
        <v>142</v>
      </c>
      <c r="C25" s="62" t="n">
        <f aca="false">(輸入與假設!C$82+輸入與假設!C$39)/2</f>
        <v>460</v>
      </c>
      <c r="D25" s="62" t="n">
        <f aca="false">(輸入與假設!D$82+輸入與假設!D$39)/2</f>
        <v>1040</v>
      </c>
      <c r="E25" s="62" t="n">
        <f aca="false">(輸入與假設!E$82+輸入與假設!E$39)/2</f>
        <v>1620</v>
      </c>
      <c r="F25" s="62" t="n">
        <f aca="false">(輸入與假設!F$82+輸入與假設!F$39)/2</f>
        <v>2200</v>
      </c>
      <c r="G25" s="62" t="n">
        <f aca="false">(輸入與假設!G$82+輸入與假設!G$39)/2</f>
        <v>2780</v>
      </c>
    </row>
    <row r="26" customFormat="false" ht="15" hidden="false" customHeight="false" outlineLevel="1" collapsed="false">
      <c r="A26" s="3" t="s">
        <v>195</v>
      </c>
      <c r="B26" s="5" t="s">
        <v>243</v>
      </c>
      <c r="C26" s="60" t="n">
        <f aca="false">輸入與假設!C$37</f>
        <v>0.5</v>
      </c>
      <c r="D26" s="60" t="n">
        <f aca="false">輸入與假設!D$37</f>
        <v>1</v>
      </c>
      <c r="E26" s="60" t="n">
        <f aca="false">輸入與假設!E$37</f>
        <v>1</v>
      </c>
      <c r="F26" s="60" t="n">
        <f aca="false">輸入與假設!F$37</f>
        <v>1</v>
      </c>
      <c r="G26" s="60" t="n">
        <f aca="false">輸入與假設!G$37</f>
        <v>1</v>
      </c>
    </row>
    <row r="27" customFormat="false" ht="15" hidden="false" customHeight="false" outlineLevel="1" collapsed="false">
      <c r="A27" s="2" t="s">
        <v>1053</v>
      </c>
      <c r="B27" s="10" t="s">
        <v>234</v>
      </c>
      <c r="C27" s="35" t="n">
        <f aca="false">C24/C26/C25*1000</f>
        <v>0.615652173913044</v>
      </c>
      <c r="D27" s="35" t="n">
        <f aca="false">D24/D26/D25*1000</f>
        <v>0.630000008502024</v>
      </c>
      <c r="E27" s="35" t="n">
        <f aca="false">E24/E26/E25*1000</f>
        <v>0.632435092215323</v>
      </c>
      <c r="F27" s="35" t="n">
        <f aca="false">F24/F26/F25*1000</f>
        <v>0.45797903169446</v>
      </c>
      <c r="G27" s="35" t="n">
        <f aca="false">G24/G26/G25*1000</f>
        <v>0.357747035699154</v>
      </c>
      <c r="K27" s="10" t="s">
        <v>1054</v>
      </c>
    </row>
    <row r="28" customFormat="false" ht="15" hidden="false" customHeight="false" outlineLevel="1" collapsed="false">
      <c r="A28" s="3" t="s">
        <v>1055</v>
      </c>
      <c r="C28" s="23" t="n">
        <v>0.25</v>
      </c>
      <c r="K28" s="5" t="s">
        <v>1056</v>
      </c>
    </row>
    <row r="29" customFormat="false" ht="15" hidden="false" customHeight="false" outlineLevel="1" collapsed="false">
      <c r="A29" s="3" t="s">
        <v>1057</v>
      </c>
      <c r="B29" s="10" t="s">
        <v>56</v>
      </c>
      <c r="C29" s="60" t="n">
        <f aca="false">C25*運營_站點!$H$11/1000*$C$28*C26</f>
        <v>0</v>
      </c>
      <c r="D29" s="60" t="n">
        <f aca="false">D25*運營_站點!$H$11/1000*$C$28*D26</f>
        <v>0</v>
      </c>
      <c r="E29" s="60" t="n">
        <f aca="false">E25*運營_站點!$H$11/1000*$C$28*E26</f>
        <v>0</v>
      </c>
      <c r="F29" s="60" t="n">
        <f aca="false">F25*運營_站點!$H$11/1000*$C$28*F26</f>
        <v>0</v>
      </c>
      <c r="G29" s="60" t="n">
        <f aca="false">G25*運營_站點!$H$11/1000*$C$28*G26</f>
        <v>0</v>
      </c>
      <c r="K29" s="5" t="s">
        <v>1058</v>
      </c>
    </row>
    <row r="30" customFormat="false" ht="15" hidden="false" customHeight="false" outlineLevel="1" collapsed="false">
      <c r="A30" s="2" t="s">
        <v>1059</v>
      </c>
      <c r="B30" s="10" t="s">
        <v>56</v>
      </c>
      <c r="C30" s="35" t="n">
        <f aca="false">C29-C24</f>
        <v>-0.1416</v>
      </c>
      <c r="D30" s="35" t="n">
        <f aca="false">D29-D24</f>
        <v>-0.655200008842105</v>
      </c>
      <c r="E30" s="35" t="n">
        <f aca="false">E29-E24</f>
        <v>-1.02454484938882</v>
      </c>
      <c r="F30" s="35" t="n">
        <f aca="false">F29-F24</f>
        <v>-1.00755386972781</v>
      </c>
      <c r="G30" s="35" t="n">
        <f aca="false">G29-G24</f>
        <v>-0.994536759243649</v>
      </c>
      <c r="K30" s="5" t="s">
        <v>1060</v>
      </c>
    </row>
    <row r="31" customFormat="false" ht="15" hidden="false" customHeight="false" outlineLevel="1" collapsed="false">
      <c r="A31" s="2" t="s">
        <v>1061</v>
      </c>
      <c r="C31" s="69" t="n">
        <f aca="false">SUM(C30:G30)</f>
        <v>-3.82343548720239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1" t="s">
        <v>1062</v>
      </c>
    </row>
    <row r="2" customFormat="false" ht="15" hidden="false" customHeight="false" outlineLevel="0" collapsed="false">
      <c r="A2" s="5" t="s">
        <v>1063</v>
      </c>
    </row>
    <row r="4" customFormat="false" ht="17.15" hidden="false" customHeight="false" outlineLevel="0" collapsed="false">
      <c r="A4" s="13" t="s">
        <v>1064</v>
      </c>
      <c r="B4" s="13" t="s">
        <v>1065</v>
      </c>
      <c r="C4" s="13" t="s">
        <v>1066</v>
      </c>
      <c r="D4" s="13" t="s">
        <v>1067</v>
      </c>
      <c r="E4" s="14" t="s">
        <v>1068</v>
      </c>
      <c r="F4" s="13" t="s">
        <v>1069</v>
      </c>
      <c r="I4" s="13" t="s">
        <v>502</v>
      </c>
    </row>
    <row r="5" customFormat="false" ht="15" hidden="false" customHeight="false" outlineLevel="0" collapsed="false">
      <c r="A5" s="3" t="s">
        <v>1070</v>
      </c>
      <c r="B5" s="5" t="s">
        <v>1071</v>
      </c>
      <c r="C5" s="10" t="s">
        <v>1072</v>
      </c>
      <c r="D5" s="23" t="n">
        <v>0</v>
      </c>
      <c r="E5" s="24" t="n">
        <v>0.0467</v>
      </c>
      <c r="F5" s="60" t="n">
        <f aca="false">D5*E5</f>
        <v>0</v>
      </c>
      <c r="I5" s="5" t="s">
        <v>1073</v>
      </c>
    </row>
    <row r="6" customFormat="false" ht="15" hidden="false" customHeight="false" outlineLevel="0" collapsed="false">
      <c r="A6" s="2" t="s">
        <v>1074</v>
      </c>
      <c r="E6" s="51" t="n">
        <f aca="false">SUM(E5:E5)</f>
        <v>0.0467</v>
      </c>
      <c r="F6" s="51" t="n">
        <f aca="false">SUM(F5:F5)</f>
        <v>0</v>
      </c>
      <c r="I6" s="5" t="s">
        <v>1075</v>
      </c>
    </row>
    <row r="7" customFormat="false" ht="15" hidden="false" customHeight="false" outlineLevel="0" collapsed="false">
      <c r="A7" s="2" t="s">
        <v>1076</v>
      </c>
      <c r="D7" s="70" t="n">
        <f aca="false">F6/E6</f>
        <v>0</v>
      </c>
      <c r="I7" s="5" t="s">
        <v>1077</v>
      </c>
    </row>
    <row r="9" customFormat="false" ht="15" hidden="false" customHeight="false" outlineLevel="0" collapsed="false">
      <c r="A9" s="3" t="s">
        <v>1078</v>
      </c>
      <c r="D9" s="71" t="n">
        <v>0</v>
      </c>
      <c r="E9" s="24" t="n">
        <v>0</v>
      </c>
      <c r="F9" s="9" t="n">
        <f aca="false">D9*E9</f>
        <v>0</v>
      </c>
      <c r="I9" s="10" t="s">
        <v>1079</v>
      </c>
    </row>
    <row r="11" customFormat="false" ht="15" hidden="false" customHeight="false" outlineLevel="0" collapsed="false">
      <c r="A11" s="44" t="s">
        <v>1080</v>
      </c>
      <c r="B11" s="7"/>
      <c r="C11" s="7"/>
      <c r="D11" s="7"/>
      <c r="E11" s="7"/>
      <c r="F11" s="7"/>
      <c r="G11" s="7"/>
      <c r="H11" s="7"/>
    </row>
    <row r="12" customFormat="false" ht="15" hidden="false" customHeight="false" outlineLevel="1" collapsed="false">
      <c r="A12" s="13" t="s">
        <v>1081</v>
      </c>
      <c r="B12" s="13" t="s">
        <v>1066</v>
      </c>
      <c r="C12" s="13" t="s">
        <v>1082</v>
      </c>
      <c r="D12" s="13" t="s">
        <v>1083</v>
      </c>
      <c r="E12" s="13" t="s">
        <v>1084</v>
      </c>
      <c r="F12" s="13" t="s">
        <v>1085</v>
      </c>
      <c r="G12" s="13" t="s">
        <v>1086</v>
      </c>
      <c r="I12" s="13" t="s">
        <v>502</v>
      </c>
    </row>
    <row r="13" customFormat="false" ht="15" hidden="false" customHeight="false" outlineLevel="1" collapsed="false">
      <c r="A13" s="4" t="s">
        <v>1087</v>
      </c>
      <c r="B13" s="10" t="s">
        <v>1088</v>
      </c>
      <c r="C13" s="71" t="n">
        <v>0.02</v>
      </c>
      <c r="D13" s="22" t="n">
        <v>0.0875</v>
      </c>
      <c r="E13" s="72" t="n">
        <v>1.2</v>
      </c>
      <c r="F13" s="37" t="n">
        <v>51.45</v>
      </c>
      <c r="G13" s="62" t="n">
        <v>3</v>
      </c>
      <c r="I13" s="10" t="s">
        <v>1089</v>
      </c>
    </row>
    <row r="14" customFormat="false" ht="15" hidden="false" customHeight="false" outlineLevel="1" collapsed="false">
      <c r="A14" s="4" t="s">
        <v>1090</v>
      </c>
      <c r="B14" s="10" t="s">
        <v>1091</v>
      </c>
      <c r="C14" s="71" t="n">
        <v>0.03</v>
      </c>
      <c r="D14" s="22" t="n">
        <v>0.0875</v>
      </c>
      <c r="E14" s="72" t="n">
        <v>1.25</v>
      </c>
      <c r="F14" s="37" t="n">
        <v>51.45</v>
      </c>
      <c r="G14" s="62" t="n">
        <v>5</v>
      </c>
      <c r="I14" s="5" t="s">
        <v>1092</v>
      </c>
    </row>
    <row r="15" customFormat="false" ht="15" hidden="false" customHeight="false" outlineLevel="1" collapsed="false">
      <c r="A15" s="4" t="s">
        <v>1093</v>
      </c>
      <c r="B15" s="10" t="s">
        <v>1094</v>
      </c>
      <c r="C15" s="71" t="n">
        <v>0.01</v>
      </c>
      <c r="D15" s="22" t="n">
        <v>1.58125</v>
      </c>
      <c r="E15" s="72" t="n">
        <v>1.15</v>
      </c>
      <c r="F15" s="37" t="n">
        <v>138.75</v>
      </c>
      <c r="G15" s="62" t="n">
        <v>4</v>
      </c>
      <c r="I15" s="5" t="s">
        <v>1095</v>
      </c>
    </row>
    <row r="16" customFormat="false" ht="15" hidden="false" customHeight="false" outlineLevel="1" collapsed="false">
      <c r="A16" s="4" t="s">
        <v>1096</v>
      </c>
      <c r="B16" s="10" t="s">
        <v>1097</v>
      </c>
      <c r="C16" s="71" t="n">
        <v>0.0275</v>
      </c>
      <c r="D16" s="22" t="n">
        <v>1.58125</v>
      </c>
      <c r="E16" s="72" t="n">
        <v>1.15</v>
      </c>
      <c r="F16" s="37" t="n">
        <v>138.75</v>
      </c>
      <c r="G16" s="62" t="n">
        <v>5</v>
      </c>
      <c r="I16" s="5" t="s">
        <v>1098</v>
      </c>
    </row>
    <row r="17" customFormat="false" ht="15" hidden="false" customHeight="false" outlineLevel="1" collapsed="false">
      <c r="A17" s="4" t="s">
        <v>1099</v>
      </c>
      <c r="B17" s="10" t="s">
        <v>1100</v>
      </c>
      <c r="C17" s="71" t="n">
        <v>0.0125</v>
      </c>
      <c r="D17" s="22" t="n">
        <v>2.5875</v>
      </c>
      <c r="E17" s="72" t="n">
        <v>1.2</v>
      </c>
      <c r="F17" s="37" t="n">
        <v>183.22</v>
      </c>
      <c r="G17" s="62" t="n">
        <v>5</v>
      </c>
      <c r="I17" s="5" t="s">
        <v>1101</v>
      </c>
    </row>
    <row r="18" customFormat="false" ht="15" hidden="false" customHeight="false" outlineLevel="1" collapsed="false">
      <c r="A18" s="4" t="s">
        <v>1102</v>
      </c>
      <c r="B18" s="10" t="s">
        <v>1103</v>
      </c>
      <c r="C18" s="71" t="n">
        <v>0.02625</v>
      </c>
      <c r="D18" s="22" t="n">
        <v>1.75</v>
      </c>
      <c r="E18" s="72" t="n">
        <v>1.2</v>
      </c>
      <c r="F18" s="37" t="n">
        <v>180.31</v>
      </c>
      <c r="G18" s="62" t="n">
        <v>5</v>
      </c>
      <c r="I18" s="5" t="s">
        <v>1104</v>
      </c>
    </row>
    <row r="19" customFormat="false" ht="15" hidden="false" customHeight="false" outlineLevel="1" collapsed="false">
      <c r="A19" s="4" t="s">
        <v>1105</v>
      </c>
      <c r="B19" s="10" t="s">
        <v>1106</v>
      </c>
      <c r="C19" s="71" t="n">
        <v>0.005</v>
      </c>
      <c r="D19" s="22" t="n">
        <v>3.45</v>
      </c>
      <c r="E19" s="72" t="n">
        <v>1.1</v>
      </c>
      <c r="F19" s="37" t="n">
        <v>313.46</v>
      </c>
      <c r="G19" s="62" t="n">
        <v>4</v>
      </c>
      <c r="I19" s="10" t="s">
        <v>1107</v>
      </c>
    </row>
    <row r="20" customFormat="false" ht="15" hidden="false" customHeight="false" outlineLevel="1" collapsed="false">
      <c r="A20" s="4" t="s">
        <v>1108</v>
      </c>
      <c r="B20" s="10" t="s">
        <v>1109</v>
      </c>
      <c r="C20" s="71" t="n">
        <v>0.045</v>
      </c>
      <c r="D20" s="22" t="n">
        <v>2.3</v>
      </c>
      <c r="E20" s="72" t="n">
        <v>1.25</v>
      </c>
      <c r="F20" s="37" t="n">
        <v>324.65</v>
      </c>
      <c r="G20" s="62" t="n">
        <v>5</v>
      </c>
      <c r="I20" s="10" t="s">
        <v>1110</v>
      </c>
    </row>
    <row r="21" customFormat="false" ht="15" hidden="false" customHeight="false" outlineLevel="1" collapsed="false">
      <c r="I21" s="5" t="s">
        <v>1111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3" t="s">
        <v>1112</v>
      </c>
      <c r="C23" s="13" t="s">
        <v>1113</v>
      </c>
      <c r="D23" s="13" t="s">
        <v>1114</v>
      </c>
      <c r="E23" s="13" t="s">
        <v>1115</v>
      </c>
      <c r="F23" s="13" t="s">
        <v>1116</v>
      </c>
      <c r="G23" s="13" t="s">
        <v>1117</v>
      </c>
      <c r="H23" s="13" t="s">
        <v>1118</v>
      </c>
      <c r="I23" s="13" t="s">
        <v>616</v>
      </c>
    </row>
    <row r="24" customFormat="false" ht="15" hidden="false" customHeight="false" outlineLevel="1" collapsed="false">
      <c r="A24" s="3" t="str">
        <f aca="false">A13</f>
        <v>2.00% 2029（2025-06）</v>
      </c>
      <c r="C24" s="28" t="n">
        <f aca="false">D13*E13</f>
        <v>0.105</v>
      </c>
      <c r="D24" s="28" t="n">
        <f aca="false">D13/F13</f>
        <v>0.00170068027210884</v>
      </c>
      <c r="E24" s="47" t="n">
        <f aca="false">F13*E13</f>
        <v>61.74</v>
      </c>
      <c r="F24" s="62" t="n">
        <f aca="false">IF(E24&lt;輸入與假設!$C$103,1,0)</f>
        <v>1</v>
      </c>
      <c r="G24" s="62" t="n">
        <f aca="false">IF(E24&lt;輸入與假設!$C$124,1,0)</f>
        <v>1</v>
      </c>
      <c r="H24" s="62" t="n">
        <f aca="false">IF(E24&lt;評價_DCF與目標價!$C$64,1,0)</f>
        <v>1</v>
      </c>
    </row>
    <row r="25" customFormat="false" ht="15" hidden="false" customHeight="false" outlineLevel="1" collapsed="false">
      <c r="A25" s="3" t="str">
        <f aca="false">A14</f>
        <v>3.00% 2031（2025-06）</v>
      </c>
      <c r="C25" s="28" t="n">
        <f aca="false">D14*E14</f>
        <v>0.109375</v>
      </c>
      <c r="D25" s="28" t="n">
        <f aca="false">D14/F14</f>
        <v>0.00170068027210884</v>
      </c>
      <c r="E25" s="47" t="n">
        <f aca="false">F14*E14</f>
        <v>64.3125</v>
      </c>
      <c r="F25" s="62" t="n">
        <f aca="false">IF(E25&lt;輸入與假設!$C$103,1,0)</f>
        <v>1</v>
      </c>
      <c r="G25" s="62" t="n">
        <f aca="false">IF(E25&lt;輸入與假設!$C$124,1,0)</f>
        <v>1</v>
      </c>
      <c r="H25" s="62" t="n">
        <f aca="false">IF(E25&lt;評價_DCF與目標價!$C$64,1,0)</f>
        <v>0</v>
      </c>
    </row>
    <row r="26" customFormat="false" ht="15" hidden="false" customHeight="false" outlineLevel="1" collapsed="false">
      <c r="A26" s="3" t="str">
        <f aca="false">A15</f>
        <v>1.00% 2030（2025-09）</v>
      </c>
      <c r="C26" s="28" t="n">
        <f aca="false">D15*E15</f>
        <v>1.8184375</v>
      </c>
      <c r="D26" s="28" t="n">
        <f aca="false">D15/F15</f>
        <v>0.0113963963963964</v>
      </c>
      <c r="E26" s="47" t="n">
        <f aca="false">F15*E15</f>
        <v>159.5625</v>
      </c>
      <c r="F26" s="62" t="n">
        <f aca="false">IF(E26&lt;輸入與假設!$C$103,1,0)</f>
        <v>1</v>
      </c>
      <c r="G26" s="62" t="n">
        <f aca="false">IF(E26&lt;輸入與假設!$C$124,1,0)</f>
        <v>1</v>
      </c>
      <c r="H26" s="62" t="n">
        <f aca="false">IF(E26&lt;評價_DCF與目標價!$C$64,1,0)</f>
        <v>0</v>
      </c>
    </row>
    <row r="27" customFormat="false" ht="15" hidden="false" customHeight="false" outlineLevel="1" collapsed="false">
      <c r="A27" s="3" t="str">
        <f aca="false">A16</f>
        <v>2.75% 2032（2025-09）</v>
      </c>
      <c r="C27" s="28" t="n">
        <f aca="false">D16*E16</f>
        <v>1.8184375</v>
      </c>
      <c r="D27" s="28" t="n">
        <f aca="false">D16/F16</f>
        <v>0.0113963963963964</v>
      </c>
      <c r="E27" s="47" t="n">
        <f aca="false">F16*E16</f>
        <v>159.5625</v>
      </c>
      <c r="F27" s="62" t="n">
        <f aca="false">IF(E27&lt;輸入與假設!$C$103,1,0)</f>
        <v>1</v>
      </c>
      <c r="G27" s="62" t="n">
        <f aca="false">IF(E27&lt;輸入與假設!$C$124,1,0)</f>
        <v>1</v>
      </c>
      <c r="H27" s="62" t="n">
        <f aca="false">IF(E27&lt;評價_DCF與目標價!$C$64,1,0)</f>
        <v>0</v>
      </c>
    </row>
    <row r="28" customFormat="false" ht="15" hidden="false" customHeight="false" outlineLevel="1" collapsed="false">
      <c r="A28" s="3" t="str">
        <f aca="false">A17</f>
        <v>1.25% 2031（2026-03）</v>
      </c>
      <c r="C28" s="28" t="n">
        <f aca="false">D17*E17</f>
        <v>3.105</v>
      </c>
      <c r="D28" s="28" t="n">
        <f aca="false">D17/F17</f>
        <v>0.0141223665538697</v>
      </c>
      <c r="E28" s="47" t="n">
        <f aca="false">F17*E17</f>
        <v>219.864</v>
      </c>
      <c r="F28" s="62" t="n">
        <f aca="false">IF(E28&lt;輸入與假設!$C$103,1,0)</f>
        <v>1</v>
      </c>
      <c r="G28" s="62" t="n">
        <f aca="false">IF(E28&lt;輸入與假設!$C$124,1,0)</f>
        <v>1</v>
      </c>
      <c r="H28" s="62" t="n">
        <f aca="false">IF(E28&lt;評價_DCF與目標價!$C$64,1,0)</f>
        <v>0</v>
      </c>
    </row>
    <row r="29" customFormat="false" ht="15" hidden="false" customHeight="false" outlineLevel="1" collapsed="false">
      <c r="A29" s="3" t="str">
        <f aca="false">A18</f>
        <v>2.625% 2033（2026-03）</v>
      </c>
      <c r="C29" s="28" t="n">
        <f aca="false">D18*E18</f>
        <v>2.1</v>
      </c>
      <c r="D29" s="28" t="n">
        <f aca="false">D18/F18</f>
        <v>0.00970550718207532</v>
      </c>
      <c r="E29" s="47" t="n">
        <f aca="false">F18*E18</f>
        <v>216.372</v>
      </c>
      <c r="F29" s="62" t="n">
        <f aca="false">IF(E29&lt;輸入與假設!$C$103,1,0)</f>
        <v>1</v>
      </c>
      <c r="G29" s="62" t="n">
        <f aca="false">IF(E29&lt;輸入與假設!$C$124,1,0)</f>
        <v>1</v>
      </c>
      <c r="H29" s="62" t="n">
        <f aca="false">IF(E29&lt;評價_DCF與目標價!$C$64,1,0)</f>
        <v>0</v>
      </c>
    </row>
    <row r="30" customFormat="false" ht="15" hidden="false" customHeight="false" outlineLevel="1" collapsed="false">
      <c r="A30" s="3" t="str">
        <f aca="false">A19</f>
        <v>0.50% 2030（2026-08）</v>
      </c>
      <c r="C30" s="28" t="n">
        <f aca="false">D19*E19</f>
        <v>3.795</v>
      </c>
      <c r="D30" s="28" t="n">
        <f aca="false">D19/F19</f>
        <v>0.0110061889874306</v>
      </c>
      <c r="E30" s="47" t="n">
        <f aca="false">F19*E19</f>
        <v>344.806</v>
      </c>
      <c r="F30" s="62" t="n">
        <f aca="false">IF(E30&lt;輸入與假設!$C$103,1,0)</f>
        <v>0</v>
      </c>
      <c r="G30" s="62" t="n">
        <f aca="false">IF(E30&lt;輸入與假設!$C$124,1,0)</f>
        <v>0</v>
      </c>
      <c r="H30" s="62" t="n">
        <f aca="false">IF(E30&lt;評價_DCF與目標價!$C$64,1,0)</f>
        <v>0</v>
      </c>
    </row>
    <row r="31" customFormat="false" ht="15" hidden="false" customHeight="false" outlineLevel="1" collapsed="false">
      <c r="A31" s="3" t="str">
        <f aca="false">A20</f>
        <v>4.50% 2034（2026-08）</v>
      </c>
      <c r="C31" s="28" t="n">
        <f aca="false">D20*E20</f>
        <v>2.875</v>
      </c>
      <c r="D31" s="28" t="n">
        <f aca="false">D20/F20</f>
        <v>0.00708455259510242</v>
      </c>
      <c r="E31" s="47" t="n">
        <f aca="false">F20*E20</f>
        <v>405.8125</v>
      </c>
      <c r="F31" s="62" t="n">
        <f aca="false">IF(E31&lt;輸入與假設!$C$103,1,0)</f>
        <v>0</v>
      </c>
      <c r="G31" s="62" t="n">
        <f aca="false">IF(E31&lt;輸入與假設!$C$124,1,0)</f>
        <v>0</v>
      </c>
      <c r="H31" s="62" t="n">
        <f aca="false">IF(E31&lt;評價_DCF與目標價!$C$64,1,0)</f>
        <v>0</v>
      </c>
    </row>
    <row r="32" customFormat="false" ht="15" hidden="false" customHeight="false" outlineLevel="1" collapsed="false">
      <c r="A32" s="2" t="s">
        <v>1119</v>
      </c>
      <c r="C32" s="73" t="n">
        <f aca="false">SUM(C24:C31)</f>
        <v>15.72625</v>
      </c>
      <c r="D32" s="73" t="n">
        <f aca="false">SUM(D24:D31)</f>
        <v>0.0681127686554885</v>
      </c>
      <c r="I32" s="5" t="s">
        <v>1120</v>
      </c>
    </row>
    <row r="34" customFormat="false" ht="15" hidden="false" customHeight="false" outlineLevel="0" collapsed="false">
      <c r="A34" s="44" t="s">
        <v>1121</v>
      </c>
      <c r="B34" s="7"/>
      <c r="C34" s="7"/>
      <c r="D34" s="7"/>
      <c r="E34" s="7"/>
      <c r="F34" s="7"/>
      <c r="G34" s="7"/>
      <c r="H34" s="7"/>
    </row>
    <row r="35" customFormat="false" ht="15" hidden="false" customHeight="false" outlineLevel="1" collapsed="false">
      <c r="A35" s="13" t="s">
        <v>50</v>
      </c>
      <c r="B35" s="13" t="s">
        <v>51</v>
      </c>
      <c r="C35" s="26" t="s">
        <v>52</v>
      </c>
      <c r="D35" s="26" t="s">
        <v>53</v>
      </c>
      <c r="E35" s="26" t="s">
        <v>54</v>
      </c>
      <c r="F35" s="26" t="s">
        <v>138</v>
      </c>
      <c r="G35" s="26" t="s">
        <v>139</v>
      </c>
      <c r="I35" s="13" t="s">
        <v>639</v>
      </c>
    </row>
    <row r="36" customFormat="false" ht="15" hidden="false" customHeight="false" outlineLevel="1" collapsed="false">
      <c r="A36" s="3" t="s">
        <v>1122</v>
      </c>
      <c r="B36" s="10" t="s">
        <v>56</v>
      </c>
      <c r="C36" s="60" t="n">
        <f aca="false">E6</f>
        <v>0.0467</v>
      </c>
      <c r="D36" s="60" t="n">
        <f aca="false">C38</f>
        <v>0</v>
      </c>
      <c r="E36" s="60" t="n">
        <f aca="false">D38</f>
        <v>0</v>
      </c>
      <c r="F36" s="60" t="n">
        <f aca="false">E38</f>
        <v>0</v>
      </c>
      <c r="G36" s="60" t="n">
        <f aca="false">F38</f>
        <v>0</v>
      </c>
      <c r="I36" s="10" t="s">
        <v>1123</v>
      </c>
    </row>
    <row r="37" customFormat="false" ht="15" hidden="false" customHeight="false" outlineLevel="1" collapsed="false">
      <c r="A37" s="3" t="s">
        <v>1124</v>
      </c>
      <c r="B37" s="10" t="s">
        <v>56</v>
      </c>
      <c r="C37" s="38" t="n">
        <f aca="false">輸入與假設!C$119</f>
        <v>0.0467</v>
      </c>
      <c r="D37" s="38" t="n">
        <f aca="false">輸入與假設!D$119</f>
        <v>0</v>
      </c>
      <c r="E37" s="38" t="n">
        <f aca="false">輸入與假設!E$119</f>
        <v>0</v>
      </c>
      <c r="F37" s="38" t="n">
        <f aca="false">輸入與假設!F$119</f>
        <v>0</v>
      </c>
      <c r="G37" s="38" t="n">
        <f aca="false">輸入與假設!G$119</f>
        <v>0</v>
      </c>
      <c r="I37" s="5" t="s">
        <v>1125</v>
      </c>
    </row>
    <row r="38" customFormat="false" ht="15" hidden="false" customHeight="false" outlineLevel="1" collapsed="false">
      <c r="A38" s="3" t="s">
        <v>1126</v>
      </c>
      <c r="B38" s="10" t="s">
        <v>56</v>
      </c>
      <c r="C38" s="60" t="n">
        <f aca="false">C36-C37</f>
        <v>0</v>
      </c>
      <c r="D38" s="60" t="n">
        <f aca="false">D36-D37</f>
        <v>0</v>
      </c>
      <c r="E38" s="60" t="n">
        <f aca="false">E36-E37</f>
        <v>0</v>
      </c>
      <c r="F38" s="60" t="n">
        <f aca="false">F36-F37</f>
        <v>0</v>
      </c>
      <c r="G38" s="60" t="n">
        <f aca="false">G36-G37</f>
        <v>0</v>
      </c>
    </row>
    <row r="39" customFormat="false" ht="15" hidden="false" customHeight="false" outlineLevel="1" collapsed="false">
      <c r="A39" s="3" t="s">
        <v>1127</v>
      </c>
      <c r="B39" s="10" t="s">
        <v>56</v>
      </c>
      <c r="C39" s="60" t="n">
        <f aca="false">(C36+C38)/2</f>
        <v>0.02335</v>
      </c>
      <c r="D39" s="60" t="n">
        <f aca="false">(D36+D38)/2</f>
        <v>0</v>
      </c>
      <c r="E39" s="60" t="n">
        <f aca="false">(E36+E38)/2</f>
        <v>0</v>
      </c>
      <c r="F39" s="60" t="n">
        <f aca="false">(F36+F38)/2</f>
        <v>0</v>
      </c>
      <c r="G39" s="60" t="n">
        <f aca="false">(G36+G38)/2</f>
        <v>0</v>
      </c>
    </row>
    <row r="40" customFormat="false" ht="15" hidden="false" customHeight="false" outlineLevel="1" collapsed="false">
      <c r="A40" s="3" t="s">
        <v>1128</v>
      </c>
      <c r="B40" s="10" t="s">
        <v>56</v>
      </c>
      <c r="C40" s="60" t="n">
        <f aca="false">C39*資產負債_既有債務!$D$7*輸入與假設!C$37</f>
        <v>0</v>
      </c>
      <c r="D40" s="60" t="n">
        <f aca="false">D39*資產負債_既有債務!$D$7*輸入與假設!D$37</f>
        <v>0</v>
      </c>
      <c r="E40" s="60" t="n">
        <f aca="false">E39*資產負債_既有債務!$D$7*輸入與假設!E$37</f>
        <v>0</v>
      </c>
      <c r="F40" s="60" t="n">
        <f aca="false">F39*資產負債_既有債務!$D$7*輸入與假設!F$37</f>
        <v>0</v>
      </c>
      <c r="G40" s="60" t="n">
        <f aca="false">G39*資產負債_既有債務!$D$7*輸入與假設!G$37</f>
        <v>0</v>
      </c>
      <c r="I40" s="5" t="s">
        <v>1129</v>
      </c>
    </row>
    <row r="41" customFormat="false" ht="15" hidden="false" customHeight="false" outlineLevel="1" collapsed="false">
      <c r="A41" s="3" t="s">
        <v>1130</v>
      </c>
      <c r="B41" s="10" t="s">
        <v>56</v>
      </c>
      <c r="C41" s="60" t="n">
        <f aca="false">資產負債_既有債務!$F$9*輸入與假設!C$37</f>
        <v>0</v>
      </c>
      <c r="D41" s="60" t="n">
        <f aca="false">資產負債_既有債務!$F$9*輸入與假設!D$37</f>
        <v>0</v>
      </c>
      <c r="E41" s="60" t="n">
        <f aca="false">資產負債_既有債務!$F$9*輸入與假設!E$37</f>
        <v>0</v>
      </c>
      <c r="F41" s="60" t="n">
        <f aca="false">資產負債_既有債務!$F$9*輸入與假設!F$37</f>
        <v>0</v>
      </c>
      <c r="G41" s="60" t="n">
        <f aca="false">資產負債_既有債務!$F$9*輸入與假設!G$37</f>
        <v>0</v>
      </c>
    </row>
    <row r="42" customFormat="false" ht="15" hidden="false" customHeight="false" outlineLevel="1" collapsed="false">
      <c r="A42" s="3" t="s">
        <v>1131</v>
      </c>
      <c r="B42" s="10" t="s">
        <v>56</v>
      </c>
      <c r="C42" s="60" t="n">
        <f aca="false">IF(輸入與假設!$C$99=1,SUMPRODUCT((1-資產負債_既有債務!$F$24:$F$31)*資產負債_既有債務!$C$24:$C$31*(資產負債_既有債務!$G$13:$G$20=0)),0)</f>
        <v>0</v>
      </c>
      <c r="D42" s="60" t="n">
        <f aca="false">IF(輸入與假設!$C$99=1,SUMPRODUCT((1-資產負債_既有債務!$F$24:$F$31)*資產負債_既有債務!$C$24:$C$31*(資產負債_既有債務!$G$13:$G$20=1)),0)</f>
        <v>0</v>
      </c>
      <c r="E42" s="60" t="n">
        <f aca="false">IF(輸入與假設!$C$99=1,SUMPRODUCT((1-資產負債_既有債務!$F$24:$F$31)*資產負債_既有債務!$C$24:$C$31*(資產負債_既有債務!$G$13:$G$20=2)),0)</f>
        <v>0</v>
      </c>
      <c r="F42" s="60" t="n">
        <f aca="false">IF(輸入與假設!$C$99=1,SUMPRODUCT((1-資產負債_既有債務!$F$24:$F$31)*資產負債_既有債務!$C$24:$C$31*(資產負債_既有債務!$G$13:$G$20=3)),0)</f>
        <v>0</v>
      </c>
      <c r="G42" s="60" t="n">
        <f aca="false">IF(輸入與假設!$C$99=1,SUMPRODUCT((1-資產負債_既有債務!$F$24:$F$31)*資產負債_既有債務!$C$24:$C$31*(資產負債_既有債務!$G$13:$G$20=4)),0)</f>
        <v>3.795</v>
      </c>
      <c r="I42" s="5" t="s">
        <v>1132</v>
      </c>
    </row>
    <row r="43" customFormat="false" ht="15" hidden="false" customHeight="false" outlineLevel="1" collapsed="false">
      <c r="A43" s="3" t="s">
        <v>1133</v>
      </c>
      <c r="B43" s="10" t="s">
        <v>56</v>
      </c>
      <c r="C43" s="60" t="n">
        <f aca="false">IF(輸入與假設!$C$99=1,SUMPRODUCT((1-資產負債_既有債務!$F$24:$F$31)*資產負債_既有債務!$C$24:$C$31*(資產負債_既有債務!$G$13:$G$20&gt;0)),SUMPRODUCT((1-資產負債_既有債務!$F$24:$F$31)*資產負債_既有債務!$C$24:$C$31))</f>
        <v>6.67</v>
      </c>
      <c r="D43" s="60" t="n">
        <f aca="false">IF(輸入與假設!$C$99=1,SUMPRODUCT((1-資產負債_既有債務!$F$24:$F$31)*資產負債_既有債務!$C$24:$C$31*(資產負債_既有債務!$G$13:$G$20&gt;1)),SUMPRODUCT((1-資產負債_既有債務!$F$24:$F$31)*資產負債_既有債務!$C$24:$C$31))</f>
        <v>6.67</v>
      </c>
      <c r="E43" s="60" t="n">
        <f aca="false">IF(輸入與假設!$C$99=1,SUMPRODUCT((1-資產負債_既有債務!$F$24:$F$31)*資產負債_既有債務!$C$24:$C$31*(資產負債_既有債務!$G$13:$G$20&gt;2)),SUMPRODUCT((1-資產負債_既有債務!$F$24:$F$31)*資產負債_既有債務!$C$24:$C$31))</f>
        <v>6.67</v>
      </c>
      <c r="F43" s="60" t="n">
        <f aca="false">IF(輸入與假設!$C$99=1,SUMPRODUCT((1-資產負債_既有債務!$F$24:$F$31)*資產負債_既有債務!$C$24:$C$31*(資產負債_既有債務!$G$13:$G$20&gt;3)),SUMPRODUCT((1-資產負債_既有債務!$F$24:$F$31)*資產負債_既有債務!$C$24:$C$31))</f>
        <v>6.67</v>
      </c>
      <c r="G43" s="60" t="n">
        <f aca="false">IF(輸入與假設!$C$99=1,SUMPRODUCT((1-資產負債_既有債務!$F$24:$F$31)*資產負債_既有債務!$C$24:$C$31*(資產負債_既有債務!$G$13:$G$20&gt;4)),SUMPRODUCT((1-資產負債_既有債務!$F$24:$F$31)*資產負債_既有債務!$C$24:$C$31))</f>
        <v>2.875</v>
      </c>
      <c r="I43" s="5" t="s">
        <v>1134</v>
      </c>
    </row>
    <row r="44" customFormat="false" ht="15" hidden="false" customHeight="false" outlineLevel="1" collapsed="false">
      <c r="A44" s="3" t="s">
        <v>1135</v>
      </c>
      <c r="B44" s="10" t="s">
        <v>56</v>
      </c>
      <c r="C44" s="60" t="n">
        <f aca="false">IF(輸入與假設!$C$99=1,SUMPRODUCT((1-資產負債_既有債務!$F$24:$F$31)*資產負債_既有債務!$D$13:$D$20*資產負債_既有債務!$C$13:$C$20*((資產負債_既有債務!$G$13:$G$20&gt;0)+0.5*(資產負債_既有債務!$G$13:$G$20=0))),SUMPRODUCT((1-資產負債_既有債務!$F$24:$F$31)*資產負債_既有債務!$D$13:$D$20*資產負債_既有債務!$C$13:$C$20))*輸入與假設!C$37</f>
        <v>0.060375</v>
      </c>
      <c r="D44" s="60" t="n">
        <f aca="false">IF(輸入與假設!$C$99=1,SUMPRODUCT((1-資產負債_既有債務!$F$24:$F$31)*資產負債_既有債務!$D$13:$D$20*資產負債_既有債務!$C$13:$C$20*((資產負債_既有債務!$G$13:$G$20&gt;1)+0.5*(資產負債_既有債務!$G$13:$G$20=1))),SUMPRODUCT((1-資產負債_既有債務!$F$24:$F$31)*資產負債_既有債務!$D$13:$D$20*資產負債_既有債務!$C$13:$C$20))*輸入與假設!D$37</f>
        <v>0.12075</v>
      </c>
      <c r="E44" s="60" t="n">
        <f aca="false">IF(輸入與假設!$C$99=1,SUMPRODUCT((1-資產負債_既有債務!$F$24:$F$31)*資產負債_既有債務!$D$13:$D$20*資產負債_既有債務!$C$13:$C$20*((資產負債_既有債務!$G$13:$G$20&gt;2)+0.5*(資產負債_既有債務!$G$13:$G$20=2))),SUMPRODUCT((1-資產負債_既有債務!$F$24:$F$31)*資產負債_既有債務!$D$13:$D$20*資產負債_既有債務!$C$13:$C$20))*輸入與假設!E$37</f>
        <v>0.12075</v>
      </c>
      <c r="F44" s="60" t="n">
        <f aca="false">IF(輸入與假設!$C$99=1,SUMPRODUCT((1-資產負債_既有債務!$F$24:$F$31)*資產負債_既有債務!$D$13:$D$20*資產負債_既有債務!$C$13:$C$20*((資產負債_既有債務!$G$13:$G$20&gt;3)+0.5*(資產負債_既有債務!$G$13:$G$20=3))),SUMPRODUCT((1-資產負債_既有債務!$F$24:$F$31)*資產負債_既有債務!$D$13:$D$20*資產負債_既有債務!$C$13:$C$20))*輸入與假設!F$37</f>
        <v>0.12075</v>
      </c>
      <c r="G44" s="60" t="n">
        <f aca="false">IF(輸入與假設!$C$99=1,SUMPRODUCT((1-資產負債_既有債務!$F$24:$F$31)*資產負債_既有債務!$D$13:$D$20*資產負債_既有債務!$C$13:$C$20*((資產負債_既有債務!$G$13:$G$20&gt;4)+0.5*(資產負債_既有債務!$G$13:$G$20=4))),SUMPRODUCT((1-資產負債_既有債務!$F$24:$F$31)*資產負債_既有債務!$D$13:$D$20*資產負債_既有債務!$C$13:$C$20))*輸入與假設!G$37</f>
        <v>0.112125</v>
      </c>
      <c r="I44" s="5" t="s">
        <v>1136</v>
      </c>
    </row>
    <row r="45" customFormat="false" ht="15" hidden="false" customHeight="false" outlineLevel="1" collapsed="false">
      <c r="A45" s="4" t="s">
        <v>1137</v>
      </c>
      <c r="B45" s="10" t="s">
        <v>56</v>
      </c>
      <c r="C45" s="24" t="n">
        <f aca="false">0</f>
        <v>0</v>
      </c>
      <c r="D45" s="24" t="n">
        <f aca="false">0</f>
        <v>0</v>
      </c>
      <c r="E45" s="24" t="n">
        <f aca="false">0</f>
        <v>0</v>
      </c>
      <c r="F45" s="24" t="n">
        <f aca="false">0</f>
        <v>0</v>
      </c>
      <c r="G45" s="24" t="n">
        <f aca="false">0</f>
        <v>0</v>
      </c>
      <c r="I45" s="5" t="s">
        <v>1138</v>
      </c>
    </row>
    <row r="46" customFormat="false" ht="15" hidden="false" customHeight="false" outlineLevel="1" collapsed="false">
      <c r="A46" s="2" t="s">
        <v>1139</v>
      </c>
      <c r="B46" s="10" t="s">
        <v>56</v>
      </c>
      <c r="C46" s="35" t="n">
        <f aca="false">C40+C41+C44+C45</f>
        <v>0.060375</v>
      </c>
      <c r="D46" s="35" t="n">
        <f aca="false">D40+D41+D44+D45</f>
        <v>0.12075</v>
      </c>
      <c r="E46" s="35" t="n">
        <f aca="false">E40+E41+E44+E45</f>
        <v>0.12075</v>
      </c>
      <c r="F46" s="35" t="n">
        <f aca="false">F40+F41+F44+F45</f>
        <v>0.12075</v>
      </c>
      <c r="G46" s="35" t="n">
        <f aca="false">G40+G41+G44+G45</f>
        <v>0.112125</v>
      </c>
      <c r="I46" s="5" t="s"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1141</v>
      </c>
    </row>
    <row r="2" customFormat="false" ht="15" hidden="false" customHeight="false" outlineLevel="0" collapsed="false">
      <c r="A2" s="5" t="s">
        <v>1142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138</v>
      </c>
      <c r="G4" s="26" t="s">
        <v>139</v>
      </c>
      <c r="I4" s="13" t="s">
        <v>639</v>
      </c>
    </row>
    <row r="5" customFormat="false" ht="15" hidden="false" customHeight="false" outlineLevel="0" collapsed="false">
      <c r="A5" s="44" t="s">
        <v>1143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1144</v>
      </c>
      <c r="B6" s="10" t="s">
        <v>56</v>
      </c>
      <c r="C6" s="60" t="n">
        <f aca="false">輸入與假設!$C$94</f>
        <v>8.0421</v>
      </c>
      <c r="D6" s="60" t="n">
        <f aca="false">各期收支!C47</f>
        <v>2</v>
      </c>
      <c r="E6" s="60" t="n">
        <f aca="false">各期收支!D47</f>
        <v>2</v>
      </c>
      <c r="F6" s="60" t="n">
        <f aca="false">各期收支!E47</f>
        <v>2</v>
      </c>
      <c r="G6" s="60" t="n">
        <f aca="false">各期收支!F47</f>
        <v>2</v>
      </c>
      <c r="I6" s="10" t="s">
        <v>1145</v>
      </c>
    </row>
    <row r="7" customFormat="false" ht="15" hidden="false" customHeight="false" outlineLevel="1" collapsed="false">
      <c r="A7" s="3" t="s">
        <v>1146</v>
      </c>
      <c r="B7" s="10" t="s">
        <v>56</v>
      </c>
      <c r="C7" s="60" t="n">
        <f aca="false">各期收支!C83-輸入與假設!$C$94</f>
        <v>-7.37707586766667</v>
      </c>
      <c r="D7" s="60" t="n">
        <f aca="false">各期收支!D83-各期收支!C83</f>
        <v>-17.2688953312387</v>
      </c>
      <c r="E7" s="60" t="n">
        <f aca="false">各期收支!E83-各期收支!D83</f>
        <v>-13.8384204202917</v>
      </c>
      <c r="F7" s="60" t="n">
        <f aca="false">各期收支!F83-各期收支!E83</f>
        <v>-10.0118533128948</v>
      </c>
      <c r="G7" s="60" t="n">
        <f aca="false">各期收支!G83-各期收支!F83</f>
        <v>-19.3716135689556</v>
      </c>
      <c r="I7" s="5" t="s">
        <v>1147</v>
      </c>
    </row>
    <row r="8" customFormat="false" ht="15" hidden="false" customHeight="false" outlineLevel="1" collapsed="false">
      <c r="A8" s="3" t="s">
        <v>1148</v>
      </c>
      <c r="B8" s="10" t="s">
        <v>56</v>
      </c>
      <c r="C8" s="60" t="n">
        <f aca="false">各期收支!C66</f>
        <v>1.37982001826012</v>
      </c>
      <c r="D8" s="60" t="n">
        <f aca="false">各期收支!D66</f>
        <v>9.69134098173988</v>
      </c>
      <c r="E8" s="60" t="n">
        <f aca="false">各期收支!E66</f>
        <v>1.049641</v>
      </c>
      <c r="F8" s="60" t="n">
        <f aca="false">各期收支!F66</f>
        <v>0</v>
      </c>
      <c r="G8" s="60" t="n">
        <f aca="false">各期收支!G66</f>
        <v>0</v>
      </c>
    </row>
    <row r="9" customFormat="false" ht="15" hidden="false" customHeight="false" outlineLevel="1" collapsed="false">
      <c r="A9" s="3" t="s">
        <v>1149</v>
      </c>
      <c r="B9" s="10" t="s">
        <v>56</v>
      </c>
      <c r="C9" s="60" t="n">
        <f aca="false">各期收支!C69</f>
        <v>0</v>
      </c>
      <c r="D9" s="60" t="n">
        <f aca="false">各期收支!D69</f>
        <v>5</v>
      </c>
      <c r="E9" s="60" t="n">
        <f aca="false">各期收支!E69</f>
        <v>5</v>
      </c>
      <c r="F9" s="60" t="n">
        <f aca="false">各期收支!F69</f>
        <v>5</v>
      </c>
      <c r="G9" s="60" t="n">
        <f aca="false">各期收支!G69</f>
        <v>5</v>
      </c>
    </row>
    <row r="10" customFormat="false" ht="15" hidden="false" customHeight="false" outlineLevel="1" collapsed="false">
      <c r="A10" s="3" t="s">
        <v>1150</v>
      </c>
      <c r="B10" s="10" t="s">
        <v>56</v>
      </c>
      <c r="C10" s="60" t="n">
        <f aca="false">各期收支!C73</f>
        <v>0</v>
      </c>
      <c r="D10" s="60" t="n">
        <f aca="false">各期收支!D73</f>
        <v>0</v>
      </c>
      <c r="E10" s="60" t="n">
        <f aca="false">各期收支!E73</f>
        <v>0</v>
      </c>
      <c r="F10" s="60" t="n">
        <f aca="false">各期收支!F73</f>
        <v>0</v>
      </c>
      <c r="G10" s="60" t="n">
        <f aca="false">各期收支!G73</f>
        <v>0.167607385176778</v>
      </c>
    </row>
    <row r="11" customFormat="false" ht="15" hidden="false" customHeight="false" outlineLevel="1" collapsed="false">
      <c r="A11" s="3" t="s">
        <v>1151</v>
      </c>
      <c r="B11" s="10" t="s">
        <v>56</v>
      </c>
      <c r="C11" s="60" t="n">
        <f aca="false">各期收支!C72</f>
        <v>0</v>
      </c>
      <c r="D11" s="60" t="n">
        <f aca="false">各期收支!D72</f>
        <v>3.40217981449877</v>
      </c>
      <c r="E11" s="60" t="n">
        <f aca="false">各期收支!E72</f>
        <v>8.78663155029171</v>
      </c>
      <c r="F11" s="60" t="n">
        <f aca="false">各期收支!F72</f>
        <v>6.11470544289481</v>
      </c>
      <c r="G11" s="60" t="n">
        <f aca="false">各期收支!G72</f>
        <v>15.4319712</v>
      </c>
    </row>
    <row r="12" customFormat="false" ht="15" hidden="false" customHeight="false" outlineLevel="1" collapsed="false">
      <c r="A12" s="3" t="s">
        <v>1152</v>
      </c>
      <c r="B12" s="10" t="s">
        <v>56</v>
      </c>
      <c r="C12" s="60" t="n">
        <f aca="false">-各期收支!C74</f>
        <v>-0.0448441505934539</v>
      </c>
      <c r="D12" s="60" t="n">
        <f aca="false">-各期收支!D74</f>
        <v>-0.824625465</v>
      </c>
      <c r="E12" s="60" t="n">
        <f aca="false">-各期收支!E74</f>
        <v>-0.99785213</v>
      </c>
      <c r="F12" s="60" t="n">
        <f aca="false">-各期收支!F74</f>
        <v>-1.10285213</v>
      </c>
      <c r="G12" s="60" t="n">
        <f aca="false">-各期收支!G74</f>
        <v>-1.22796501622121</v>
      </c>
    </row>
    <row r="13" customFormat="false" ht="15" hidden="false" customHeight="false" outlineLevel="1" collapsed="false">
      <c r="A13" s="2" t="s">
        <v>1153</v>
      </c>
      <c r="B13" s="10" t="s">
        <v>56</v>
      </c>
      <c r="C13" s="35" t="n">
        <f aca="false">SUM(C6:C12)</f>
        <v>2</v>
      </c>
      <c r="D13" s="35" t="n">
        <f aca="false">SUM(D6:D12)</f>
        <v>2</v>
      </c>
      <c r="E13" s="35" t="n">
        <f aca="false">SUM(E6:E12)</f>
        <v>2</v>
      </c>
      <c r="F13" s="35" t="n">
        <f aca="false">SUM(F6:F12)</f>
        <v>2</v>
      </c>
      <c r="G13" s="35" t="n">
        <f aca="false">SUM(G6:G12)</f>
        <v>2</v>
      </c>
      <c r="I13" s="5" t="s">
        <v>1154</v>
      </c>
    </row>
    <row r="14" customFormat="false" ht="15" hidden="false" customHeight="false" outlineLevel="1" collapsed="false">
      <c r="A14" s="3" t="s">
        <v>1155</v>
      </c>
      <c r="B14" s="10" t="s">
        <v>56</v>
      </c>
      <c r="C14" s="60" t="n">
        <f aca="false">C13-各期收支!C47</f>
        <v>0</v>
      </c>
      <c r="D14" s="60" t="n">
        <f aca="false">D13-各期收支!D47</f>
        <v>0</v>
      </c>
      <c r="E14" s="60" t="n">
        <f aca="false">E13-各期收支!E47</f>
        <v>0</v>
      </c>
      <c r="F14" s="60" t="n">
        <f aca="false">F13-各期收支!F47</f>
        <v>0</v>
      </c>
      <c r="G14" s="60" t="n">
        <f aca="false">G13-各期收支!G47</f>
        <v>0</v>
      </c>
      <c r="I14" s="5" t="s">
        <v>1156</v>
      </c>
    </row>
    <row r="15" customFormat="false" ht="15" hidden="false" customHeight="false" outlineLevel="0" collapsed="false">
      <c r="A15" s="44" t="s">
        <v>1157</v>
      </c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1" collapsed="false">
      <c r="A16" s="3" t="s">
        <v>1158</v>
      </c>
      <c r="B16" s="10" t="s">
        <v>56</v>
      </c>
      <c r="C16" s="60" t="n">
        <f aca="false">資產負債_既有債務!$E$6+SUMPRODUCT((1-資產負債_既有債務!$F$24:$F$31)*資產負債_既有債務!$C$24:$C$31)</f>
        <v>6.7167</v>
      </c>
      <c r="D16" s="60" t="n">
        <f aca="false">C18</f>
        <v>6.67</v>
      </c>
      <c r="E16" s="60" t="n">
        <f aca="false">D18</f>
        <v>6.67</v>
      </c>
      <c r="F16" s="60" t="n">
        <f aca="false">E18</f>
        <v>6.67</v>
      </c>
      <c r="G16" s="60" t="n">
        <f aca="false">F18</f>
        <v>6.67</v>
      </c>
      <c r="I16" s="10" t="s">
        <v>1159</v>
      </c>
    </row>
    <row r="17" customFormat="false" ht="15" hidden="false" customHeight="false" outlineLevel="1" collapsed="false">
      <c r="A17" s="3" t="s">
        <v>1160</v>
      </c>
      <c r="B17" s="10" t="s">
        <v>56</v>
      </c>
      <c r="C17" s="60" t="n">
        <f aca="false">-IF(輸入與假設!$C$99=1,輸入與假設!C$119,0)-資產負債_既有債務!C42</f>
        <v>-0.0467</v>
      </c>
      <c r="D17" s="60" t="n">
        <f aca="false">-IF(輸入與假設!$C$99=1,輸入與假設!D$119,0)-資產負債_既有債務!D42</f>
        <v>-0</v>
      </c>
      <c r="E17" s="60" t="n">
        <f aca="false">-IF(輸入與假設!$C$99=1,輸入與假設!E$119,0)-資產負債_既有債務!E42</f>
        <v>-0</v>
      </c>
      <c r="F17" s="60" t="n">
        <f aca="false">-IF(輸入與假設!$C$99=1,輸入與假設!F$119,0)-資產負債_既有債務!F42</f>
        <v>-0</v>
      </c>
      <c r="G17" s="60" t="n">
        <f aca="false">-IF(輸入與假設!$C$99=1,輸入與假設!G$119,0)-資產負債_既有債務!G42</f>
        <v>-3.795</v>
      </c>
    </row>
    <row r="18" customFormat="false" ht="15" hidden="false" customHeight="false" outlineLevel="1" collapsed="false">
      <c r="A18" s="3" t="s">
        <v>1161</v>
      </c>
      <c r="B18" s="10" t="s">
        <v>56</v>
      </c>
      <c r="C18" s="60" t="n">
        <f aca="false">各期收支!C62-0</f>
        <v>6.67</v>
      </c>
      <c r="D18" s="60" t="n">
        <f aca="false">各期收支!D62-0</f>
        <v>6.67</v>
      </c>
      <c r="E18" s="60" t="n">
        <f aca="false">各期收支!E62-0</f>
        <v>6.67</v>
      </c>
      <c r="F18" s="60" t="n">
        <f aca="false">各期收支!F62-0</f>
        <v>6.67</v>
      </c>
      <c r="G18" s="60" t="n">
        <f aca="false">各期收支!G62-0</f>
        <v>2.875</v>
      </c>
      <c r="I18" s="5" t="s">
        <v>1162</v>
      </c>
    </row>
    <row r="19" customFormat="false" ht="15" hidden="false" customHeight="false" outlineLevel="1" collapsed="false">
      <c r="A19" s="3" t="s">
        <v>1163</v>
      </c>
      <c r="B19" s="10" t="s">
        <v>56</v>
      </c>
      <c r="C19" s="60" t="n">
        <f aca="false">0</f>
        <v>0</v>
      </c>
      <c r="D19" s="60" t="n">
        <f aca="false">0</f>
        <v>0</v>
      </c>
      <c r="E19" s="60" t="n">
        <f aca="false">0</f>
        <v>0</v>
      </c>
      <c r="F19" s="60" t="n">
        <f aca="false">0</f>
        <v>0</v>
      </c>
      <c r="G19" s="60" t="n">
        <f aca="false">0</f>
        <v>0</v>
      </c>
    </row>
    <row r="20" customFormat="false" ht="15" hidden="false" customHeight="false" outlineLevel="1" collapsed="false">
      <c r="A20" s="3" t="s">
        <v>1164</v>
      </c>
      <c r="B20" s="10" t="s">
        <v>56</v>
      </c>
      <c r="C20" s="60" t="n">
        <f aca="false">各期收支!C78</f>
        <v>1.37982001826012</v>
      </c>
      <c r="D20" s="60" t="n">
        <f aca="false">各期收支!D78</f>
        <v>11.071161</v>
      </c>
      <c r="E20" s="60" t="n">
        <f aca="false">各期收支!E78</f>
        <v>12.120802</v>
      </c>
      <c r="F20" s="60" t="n">
        <f aca="false">各期收支!F78</f>
        <v>12.120802</v>
      </c>
      <c r="G20" s="60" t="n">
        <f aca="false">各期收支!G78</f>
        <v>12.120802</v>
      </c>
    </row>
    <row r="21" customFormat="false" ht="15" hidden="false" customHeight="false" outlineLevel="1" collapsed="false">
      <c r="A21" s="3" t="s">
        <v>1165</v>
      </c>
      <c r="B21" s="10" t="s">
        <v>56</v>
      </c>
      <c r="C21" s="60" t="n">
        <f aca="false">各期收支!C81</f>
        <v>0</v>
      </c>
      <c r="D21" s="60" t="n">
        <f aca="false">各期收支!D81</f>
        <v>5</v>
      </c>
      <c r="E21" s="60" t="n">
        <f aca="false">各期收支!E81</f>
        <v>10</v>
      </c>
      <c r="F21" s="60" t="n">
        <f aca="false">各期收支!F81</f>
        <v>15</v>
      </c>
      <c r="G21" s="60" t="n">
        <f aca="false">各期收支!G81</f>
        <v>20</v>
      </c>
    </row>
    <row r="22" customFormat="false" ht="15" hidden="false" customHeight="false" outlineLevel="1" collapsed="false">
      <c r="A22" s="3" t="s">
        <v>1166</v>
      </c>
      <c r="B22" s="10" t="s">
        <v>56</v>
      </c>
      <c r="C22" s="60" t="n">
        <f aca="false">各期收支!C80</f>
        <v>0</v>
      </c>
      <c r="D22" s="60" t="n">
        <f aca="false">各期收支!D80</f>
        <v>0</v>
      </c>
      <c r="E22" s="60" t="n">
        <f aca="false">各期收支!E80</f>
        <v>0</v>
      </c>
      <c r="F22" s="60" t="n">
        <f aca="false">各期收支!F80</f>
        <v>0</v>
      </c>
      <c r="G22" s="60" t="n">
        <f aca="false">各期收支!G80</f>
        <v>0.167607385176778</v>
      </c>
    </row>
    <row r="23" customFormat="false" ht="15" hidden="false" customHeight="false" outlineLevel="1" collapsed="false">
      <c r="A23" s="2" t="s">
        <v>1167</v>
      </c>
      <c r="B23" s="10" t="s">
        <v>56</v>
      </c>
      <c r="C23" s="35" t="n">
        <f aca="false">SUM(C18:C22)</f>
        <v>8.04982001826012</v>
      </c>
      <c r="D23" s="35" t="n">
        <f aca="false">SUM(D18:D22)</f>
        <v>22.741161</v>
      </c>
      <c r="E23" s="35" t="n">
        <f aca="false">SUM(E18:E22)</f>
        <v>28.790802</v>
      </c>
      <c r="F23" s="35" t="n">
        <f aca="false">SUM(F18:F22)</f>
        <v>33.790802</v>
      </c>
      <c r="G23" s="35" t="n">
        <f aca="false">SUM(G18:G22)</f>
        <v>35.1634093851768</v>
      </c>
      <c r="I23" s="5" t="s">
        <v>1168</v>
      </c>
    </row>
    <row r="24" customFormat="false" ht="15" hidden="false" customHeight="false" outlineLevel="1" collapsed="false">
      <c r="A24" s="2" t="s">
        <v>1169</v>
      </c>
      <c r="B24" s="10" t="s">
        <v>56</v>
      </c>
      <c r="C24" s="35" t="n">
        <f aca="false">C23-C13</f>
        <v>6.04982001826012</v>
      </c>
      <c r="D24" s="35" t="n">
        <f aca="false">D23-D13</f>
        <v>20.741161</v>
      </c>
      <c r="E24" s="35" t="n">
        <f aca="false">E23-E13</f>
        <v>26.790802</v>
      </c>
      <c r="F24" s="35" t="n">
        <f aca="false">F23-F13</f>
        <v>31.790802</v>
      </c>
      <c r="G24" s="35" t="n">
        <f aca="false">G23-G13</f>
        <v>33.1634093851768</v>
      </c>
    </row>
    <row r="25" customFormat="false" ht="15" hidden="false" customHeight="false" outlineLevel="0" collapsed="false">
      <c r="A25" s="44" t="s">
        <v>1170</v>
      </c>
      <c r="B25" s="7"/>
      <c r="C25" s="7"/>
      <c r="D25" s="7"/>
      <c r="E25" s="7"/>
      <c r="F25" s="7"/>
      <c r="G25" s="7"/>
      <c r="H25" s="7"/>
    </row>
    <row r="26" customFormat="false" ht="15" hidden="false" customHeight="false" outlineLevel="1" collapsed="false">
      <c r="A26" s="3" t="s">
        <v>1171</v>
      </c>
      <c r="B26" s="10" t="s">
        <v>315</v>
      </c>
      <c r="C26" s="48" t="n">
        <f aca="false">損益!C20</f>
        <v>0.321000680272109</v>
      </c>
      <c r="D26" s="48" t="n">
        <f aca="false">損益!D20</f>
        <v>0.32421068707483</v>
      </c>
      <c r="E26" s="48" t="n">
        <f aca="false">損益!E20</f>
        <v>0.327452793945578</v>
      </c>
      <c r="F26" s="48" t="n">
        <f aca="false">損益!F20</f>
        <v>0.330727321885034</v>
      </c>
      <c r="G26" s="48" t="n">
        <f aca="false">損益!G20</f>
        <v>0.334034595103884</v>
      </c>
    </row>
    <row r="27" customFormat="false" ht="15" hidden="false" customHeight="false" outlineLevel="1" collapsed="false">
      <c r="A27" s="3" t="s">
        <v>1172</v>
      </c>
      <c r="B27" s="10" t="s">
        <v>315</v>
      </c>
      <c r="C27" s="48" t="n">
        <f aca="false">各期收支!C76</f>
        <v>0</v>
      </c>
      <c r="D27" s="48" t="n">
        <f aca="false">各期收支!D76</f>
        <v>0.0151286660819127</v>
      </c>
      <c r="E27" s="48" t="n">
        <f aca="false">各期收支!E76</f>
        <v>0.0390720132259518</v>
      </c>
      <c r="F27" s="48" t="n">
        <f aca="false">各期收支!F76</f>
        <v>0.0271906077511186</v>
      </c>
      <c r="G27" s="48" t="n">
        <f aca="false">各期收支!G76</f>
        <v>0.0686222222222222</v>
      </c>
    </row>
    <row r="28" customFormat="false" ht="15" hidden="false" customHeight="false" outlineLevel="1" collapsed="false">
      <c r="A28" s="2" t="s">
        <v>1173</v>
      </c>
      <c r="B28" s="10" t="s">
        <v>315</v>
      </c>
      <c r="C28" s="49" t="n">
        <f aca="false">損益!C21</f>
        <v>0.321000680272109</v>
      </c>
      <c r="D28" s="49" t="n">
        <f aca="false">損益!D21</f>
        <v>0.339339353156743</v>
      </c>
      <c r="E28" s="49" t="n">
        <f aca="false">損益!E21</f>
        <v>0.381653473253443</v>
      </c>
      <c r="F28" s="49" t="n">
        <f aca="false">損益!F21</f>
        <v>0.412118608944017</v>
      </c>
      <c r="G28" s="49" t="n">
        <f aca="false">損益!G21</f>
        <v>0.48404810438509</v>
      </c>
      <c r="I28" s="5" t="s">
        <v>1174</v>
      </c>
    </row>
    <row r="29" customFormat="false" ht="15" hidden="false" customHeight="false" outlineLevel="0" collapsed="false">
      <c r="A29" s="44" t="s">
        <v>1175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1" collapsed="false">
      <c r="A30" s="3" t="s">
        <v>725</v>
      </c>
      <c r="B30" s="10" t="s">
        <v>56</v>
      </c>
      <c r="C30" s="60" t="n">
        <f aca="false">各期收支!C61</f>
        <v>34.116446</v>
      </c>
      <c r="D30" s="60" t="n">
        <f aca="false">各期收支!D61</f>
        <v>35.482322</v>
      </c>
      <c r="E30" s="60" t="n">
        <f aca="false">各期收支!E61</f>
        <v>47.581604</v>
      </c>
      <c r="F30" s="60" t="n">
        <f aca="false">各期收支!F61</f>
        <v>46.900586</v>
      </c>
      <c r="G30" s="60" t="n">
        <f aca="false">各期收支!G61</f>
        <v>35.113058</v>
      </c>
    </row>
    <row r="31" customFormat="false" ht="15" hidden="false" customHeight="false" outlineLevel="1" collapsed="false">
      <c r="A31" s="3" t="s">
        <v>729</v>
      </c>
      <c r="B31" s="10" t="s">
        <v>56</v>
      </c>
      <c r="C31" s="60" t="n">
        <f aca="false">各期收支!C63</f>
        <v>17.058223</v>
      </c>
      <c r="D31" s="60" t="n">
        <f aca="false">各期收支!D63</f>
        <v>17.741161</v>
      </c>
      <c r="E31" s="60" t="n">
        <f aca="false">各期收支!E63</f>
        <v>23.790802</v>
      </c>
      <c r="F31" s="60" t="n">
        <f aca="false">各期收支!F63</f>
        <v>23.450293</v>
      </c>
      <c r="G31" s="60" t="n">
        <f aca="false">各期收支!G63</f>
        <v>17.556529</v>
      </c>
    </row>
    <row r="32" customFormat="false" ht="15" hidden="false" customHeight="false" outlineLevel="1" collapsed="false">
      <c r="A32" s="3" t="s">
        <v>1176</v>
      </c>
      <c r="B32" s="10" t="s">
        <v>102</v>
      </c>
      <c r="C32" s="74" t="n">
        <f aca="false">C23/MAX(0.01,C30)</f>
        <v>0.235951306834836</v>
      </c>
      <c r="D32" s="74" t="n">
        <f aca="false">D23/MAX(0.01,D30)</f>
        <v>0.640915242243729</v>
      </c>
      <c r="E32" s="74" t="n">
        <f aca="false">E23/MAX(0.01,E30)</f>
        <v>0.605082628151838</v>
      </c>
      <c r="F32" s="74" t="n">
        <f aca="false">F23/MAX(0.01,F30)</f>
        <v>0.720477181244601</v>
      </c>
      <c r="G32" s="74" t="n">
        <f aca="false">G23/MAX(0.01,G30)</f>
        <v>1.00143397892536</v>
      </c>
      <c r="I32" s="5" t="s">
        <v>1177</v>
      </c>
    </row>
    <row r="33" customFormat="false" ht="15" hidden="false" customHeight="false" outlineLevel="1" collapsed="false">
      <c r="A33" s="3" t="s">
        <v>1178</v>
      </c>
      <c r="B33" s="10" t="s">
        <v>102</v>
      </c>
      <c r="C33" s="75" t="n">
        <f aca="false">C23/MAX(0.01,損益!C19/輸入與假設!C$37)</f>
        <v>4.34448887281908</v>
      </c>
      <c r="D33" s="75" t="n">
        <f aca="false">D23/MAX(0.01,損益!D19/輸入與假設!D$37)</f>
        <v>4.41032371490645</v>
      </c>
      <c r="E33" s="75" t="n">
        <f aca="false">E23/MAX(0.01,損益!E19/輸入與假設!E$37)</f>
        <v>2.63181623530985</v>
      </c>
      <c r="F33" s="75" t="n">
        <f aca="false">F23/MAX(0.01,損益!F19/輸入與假設!F$37)</f>
        <v>2.06318357361413</v>
      </c>
      <c r="G33" s="75" t="n">
        <f aca="false">G23/MAX(0.01,損益!G19/輸入與假設!G$37)</f>
        <v>1.71852781336568</v>
      </c>
      <c r="I33" s="10" t="s">
        <v>1179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1" t="s">
        <v>1180</v>
      </c>
    </row>
    <row r="2" customFormat="false" ht="15" hidden="false" customHeight="false" outlineLevel="0" collapsed="false">
      <c r="A2" s="5" t="s">
        <v>1181</v>
      </c>
    </row>
    <row r="4" customFormat="false" ht="15" hidden="false" customHeight="false" outlineLevel="0" collapsed="false">
      <c r="A4" s="2" t="s">
        <v>1182</v>
      </c>
    </row>
    <row r="5" customFormat="false" ht="17.15" hidden="false" customHeight="false" outlineLevel="0" collapsed="false">
      <c r="A5" s="13" t="s">
        <v>50</v>
      </c>
      <c r="B5" s="13" t="s">
        <v>51</v>
      </c>
      <c r="C5" s="14" t="s">
        <v>1183</v>
      </c>
      <c r="D5" s="14" t="s">
        <v>1015</v>
      </c>
      <c r="E5" s="14" t="s">
        <v>1184</v>
      </c>
      <c r="F5" s="14" t="s">
        <v>1185</v>
      </c>
      <c r="G5" s="14" t="s">
        <v>1186</v>
      </c>
      <c r="H5" s="13" t="s">
        <v>1187</v>
      </c>
    </row>
    <row r="6" customFormat="false" ht="15" hidden="false" customHeight="false" outlineLevel="0" collapsed="false">
      <c r="A6" s="3" t="s">
        <v>1188</v>
      </c>
      <c r="B6" s="10" t="s">
        <v>56</v>
      </c>
      <c r="C6" s="24" t="n">
        <v>0.0916</v>
      </c>
      <c r="D6" s="24" t="n">
        <v>0.2352</v>
      </c>
      <c r="E6" s="24" t="n">
        <v>0.2342</v>
      </c>
      <c r="F6" s="24" t="n">
        <v>0.2414</v>
      </c>
      <c r="G6" s="24" t="n">
        <v>0.2427</v>
      </c>
      <c r="H6" s="24" t="n">
        <v>1.13</v>
      </c>
    </row>
    <row r="7" customFormat="false" ht="15" hidden="false" customHeight="false" outlineLevel="0" collapsed="false">
      <c r="A7" s="3" t="s">
        <v>1189</v>
      </c>
      <c r="B7" s="10" t="s">
        <v>56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1190</v>
      </c>
      <c r="C8" s="51" t="n">
        <f aca="false">SUM(C6:C7)</f>
        <v>0.0916</v>
      </c>
      <c r="D8" s="51" t="n">
        <f aca="false">SUM(D6:D7)</f>
        <v>0.2352</v>
      </c>
      <c r="E8" s="51" t="n">
        <f aca="false">SUM(E6:E7)</f>
        <v>0.2342</v>
      </c>
      <c r="F8" s="51" t="n">
        <f aca="false">SUM(F6:F7)</f>
        <v>0.2414</v>
      </c>
      <c r="G8" s="51" t="n">
        <f aca="false">SUM(G6:G7)</f>
        <v>0.2427</v>
      </c>
      <c r="H8" s="51" t="n">
        <f aca="false">SUM(H6:H7)</f>
        <v>1.13</v>
      </c>
      <c r="I8" s="5" t="s">
        <v>1191</v>
      </c>
    </row>
    <row r="10" customFormat="false" ht="15" hidden="false" customHeight="false" outlineLevel="0" collapsed="false">
      <c r="A10" s="2" t="s">
        <v>1192</v>
      </c>
    </row>
    <row r="11" customFormat="false" ht="17.15" hidden="false" customHeight="false" outlineLevel="0" collapsed="false">
      <c r="A11" s="13" t="s">
        <v>50</v>
      </c>
      <c r="B11" s="13" t="s">
        <v>51</v>
      </c>
      <c r="C11" s="14" t="s">
        <v>1183</v>
      </c>
      <c r="D11" s="14" t="s">
        <v>1015</v>
      </c>
      <c r="E11" s="14" t="s">
        <v>1184</v>
      </c>
      <c r="F11" s="14" t="s">
        <v>1185</v>
      </c>
      <c r="G11" s="14" t="s">
        <v>1186</v>
      </c>
      <c r="H11" s="13" t="s">
        <v>1187</v>
      </c>
    </row>
    <row r="12" customFormat="false" ht="15" hidden="false" customHeight="false" outlineLevel="0" collapsed="false">
      <c r="A12" s="3" t="s">
        <v>1193</v>
      </c>
      <c r="B12" s="10" t="s">
        <v>56</v>
      </c>
      <c r="C12" s="24" t="n">
        <v>0.0467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5" t="s">
        <v>1194</v>
      </c>
    </row>
    <row r="13" customFormat="false" ht="15" hidden="false" customHeight="false" outlineLevel="0" collapsed="false">
      <c r="A13" s="2" t="s">
        <v>1119</v>
      </c>
      <c r="C13" s="51" t="n">
        <f aca="false">SUM(C12:H12)</f>
        <v>0.0467</v>
      </c>
    </row>
    <row r="15" customFormat="false" ht="15" hidden="false" customHeight="false" outlineLevel="0" collapsed="false">
      <c r="A15" s="2" t="s">
        <v>1195</v>
      </c>
    </row>
    <row r="16" customFormat="false" ht="15" hidden="false" customHeight="false" outlineLevel="0" collapsed="false">
      <c r="A16" s="13" t="s">
        <v>50</v>
      </c>
      <c r="B16" s="13" t="s">
        <v>51</v>
      </c>
      <c r="C16" s="13" t="s">
        <v>1196</v>
      </c>
      <c r="D16" s="13" t="s">
        <v>1010</v>
      </c>
      <c r="E16" s="13" t="s">
        <v>1197</v>
      </c>
      <c r="F16" s="13" t="s">
        <v>1198</v>
      </c>
    </row>
    <row r="17" customFormat="false" ht="15" hidden="false" customHeight="false" outlineLevel="0" collapsed="false">
      <c r="A17" s="3" t="s">
        <v>1199</v>
      </c>
      <c r="B17" s="10" t="s">
        <v>56</v>
      </c>
      <c r="C17" s="76" t="n">
        <v>12.0541</v>
      </c>
      <c r="D17" s="5" t="s">
        <v>1200</v>
      </c>
      <c r="E17" s="5" t="s">
        <v>1201</v>
      </c>
      <c r="F17" s="5" t="s">
        <v>1202</v>
      </c>
    </row>
    <row r="18" customFormat="false" ht="15" hidden="false" customHeight="false" outlineLevel="0" collapsed="false">
      <c r="A18" s="3" t="s">
        <v>1203</v>
      </c>
      <c r="B18" s="10" t="s">
        <v>56</v>
      </c>
      <c r="C18" s="76" t="n">
        <v>0</v>
      </c>
      <c r="D18" s="5" t="s">
        <v>1204</v>
      </c>
      <c r="E18" s="5" t="s">
        <v>1201</v>
      </c>
      <c r="F18" s="5" t="s">
        <v>1202</v>
      </c>
    </row>
    <row r="19" customFormat="false" ht="15" hidden="false" customHeight="false" outlineLevel="0" collapsed="false">
      <c r="A19" s="3" t="s">
        <v>296</v>
      </c>
      <c r="B19" s="10" t="s">
        <v>56</v>
      </c>
      <c r="C19" s="76" t="n">
        <v>0.775</v>
      </c>
      <c r="D19" s="10" t="s">
        <v>1205</v>
      </c>
      <c r="E19" s="5" t="s">
        <v>1206</v>
      </c>
      <c r="F19" s="5" t="s">
        <v>1207</v>
      </c>
    </row>
    <row r="20" customFormat="false" ht="15" hidden="false" customHeight="false" outlineLevel="0" collapsed="false">
      <c r="A20" s="2" t="s">
        <v>1208</v>
      </c>
      <c r="C20" s="51" t="n">
        <f aca="false">C17+C18</f>
        <v>12.0541</v>
      </c>
    </row>
    <row r="21" customFormat="false" ht="15" hidden="false" customHeight="false" outlineLevel="0" collapsed="false">
      <c r="A21" s="3" t="s">
        <v>1209</v>
      </c>
      <c r="C21" s="77" t="n">
        <f aca="false">SUM(各期收支!C14:G14)</f>
        <v>2.77833548720239</v>
      </c>
    </row>
    <row r="22" customFormat="false" ht="15" hidden="false" customHeight="false" outlineLevel="0" collapsed="false">
      <c r="A22" s="3" t="s">
        <v>1210</v>
      </c>
      <c r="C22" s="50" t="n">
        <f aca="false">各期收支!G14*12</f>
        <v>9.02204111092379</v>
      </c>
    </row>
    <row r="23" customFormat="false" ht="15" hidden="false" customHeight="false" outlineLevel="0" collapsed="false">
      <c r="A23" s="2" t="s">
        <v>1211</v>
      </c>
      <c r="C23" s="78" t="n">
        <f aca="false">(C21+C22)/C20</f>
        <v>0.978951277832951</v>
      </c>
      <c r="I23" s="5" t="s">
        <v>1212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1" t="s">
        <v>1213</v>
      </c>
    </row>
    <row r="2" customFormat="false" ht="15" hidden="false" customHeight="false" outlineLevel="0" collapsed="false">
      <c r="A2" s="5" t="s">
        <v>1214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138</v>
      </c>
      <c r="G4" s="26" t="s">
        <v>139</v>
      </c>
      <c r="I4" s="13" t="s">
        <v>639</v>
      </c>
    </row>
    <row r="5" customFormat="false" ht="15" hidden="false" customHeight="false" outlineLevel="0" collapsed="false">
      <c r="A5" s="44" t="s">
        <v>1215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1216</v>
      </c>
      <c r="B6" s="10" t="s">
        <v>56</v>
      </c>
      <c r="C6" s="38" t="n">
        <f aca="false">運營_產能與收入!C25</f>
        <v>2.0532</v>
      </c>
      <c r="D6" s="38" t="n">
        <f aca="false">運營_產能與收入!D25</f>
        <v>10.8054</v>
      </c>
      <c r="E6" s="38" t="n">
        <f aca="false">運營_產能與收入!E25</f>
        <v>22.8201</v>
      </c>
      <c r="F6" s="38" t="n">
        <f aca="false">運營_產能與收入!F25</f>
        <v>34.452</v>
      </c>
      <c r="G6" s="38" t="n">
        <f aca="false">運營_產能與收入!G25</f>
        <v>43.5348</v>
      </c>
      <c r="I6" s="5" t="s">
        <v>1217</v>
      </c>
    </row>
    <row r="7" customFormat="false" ht="15" hidden="false" customHeight="false" outlineLevel="1" collapsed="false">
      <c r="A7" s="3" t="s">
        <v>1218</v>
      </c>
      <c r="B7" s="10" t="s">
        <v>56</v>
      </c>
      <c r="C7" s="38" t="n">
        <f aca="false">輸入與假設!C$46</f>
        <v>0</v>
      </c>
      <c r="D7" s="38" t="n">
        <f aca="false">輸入與假設!D$46</f>
        <v>0</v>
      </c>
      <c r="E7" s="38" t="n">
        <f aca="false">輸入與假設!E$46</f>
        <v>0</v>
      </c>
      <c r="F7" s="38" t="n">
        <f aca="false">輸入與假設!F$46</f>
        <v>0</v>
      </c>
      <c r="G7" s="38" t="n">
        <f aca="false">輸入與假設!G$46</f>
        <v>0</v>
      </c>
    </row>
    <row r="8" customFormat="false" ht="15" hidden="false" customHeight="false" outlineLevel="1" collapsed="false">
      <c r="A8" s="2" t="s">
        <v>1219</v>
      </c>
      <c r="B8" s="10" t="s">
        <v>56</v>
      </c>
      <c r="C8" s="35" t="n">
        <f aca="false">C6+C7</f>
        <v>2.0532</v>
      </c>
      <c r="D8" s="35" t="n">
        <f aca="false">D6+D7</f>
        <v>10.8054</v>
      </c>
      <c r="E8" s="35" t="n">
        <f aca="false">E6+E7</f>
        <v>22.8201</v>
      </c>
      <c r="F8" s="35" t="n">
        <f aca="false">F6+F7</f>
        <v>34.452</v>
      </c>
      <c r="G8" s="35" t="n">
        <f aca="false">G6+G7</f>
        <v>43.5348</v>
      </c>
    </row>
    <row r="9" customFormat="false" ht="15" hidden="false" customHeight="false" outlineLevel="1" collapsed="false">
      <c r="A9" s="4" t="s">
        <v>222</v>
      </c>
      <c r="B9" s="10" t="s">
        <v>42</v>
      </c>
      <c r="C9" s="45" t="n">
        <f aca="false">輸入與假設!C$53</f>
        <v>0.497</v>
      </c>
      <c r="D9" s="45" t="n">
        <f aca="false">輸入與假設!D$53</f>
        <v>0.49025</v>
      </c>
      <c r="E9" s="45" t="n">
        <f aca="false">輸入與假設!E$53</f>
        <v>0.4835</v>
      </c>
      <c r="F9" s="45" t="n">
        <f aca="false">輸入與假設!F$53</f>
        <v>0.47675</v>
      </c>
      <c r="G9" s="45" t="n">
        <f aca="false">輸入與假設!G$53</f>
        <v>0.47</v>
      </c>
    </row>
    <row r="10" customFormat="false" ht="15" hidden="false" customHeight="false" outlineLevel="1" collapsed="false">
      <c r="A10" s="3" t="s">
        <v>1220</v>
      </c>
      <c r="B10" s="10" t="s">
        <v>56</v>
      </c>
      <c r="C10" s="60" t="n">
        <f aca="false">C8*輸入與假設!C$53+輸入與假設!C$47-輸入與假設!C$91</f>
        <v>-1.5354746</v>
      </c>
      <c r="D10" s="60" t="n">
        <f aca="false">D8*輸入與假設!D$53+輸入與假設!D$47-輸入與假設!D$91</f>
        <v>-4.77649265</v>
      </c>
      <c r="E10" s="60" t="n">
        <f aca="false">E8*輸入與假設!E$53+輸入與假設!E$47-輸入與假設!E$91</f>
        <v>-4.82348165</v>
      </c>
      <c r="F10" s="60" t="n">
        <f aca="false">F8*輸入與假設!F$53+輸入與假設!F$47-輸入與假設!F$91</f>
        <v>-5.215169</v>
      </c>
      <c r="G10" s="60" t="n">
        <f aca="false">G8*輸入與假設!G$53+輸入與假設!G$47-輸入與假設!G$91</f>
        <v>-6.961964</v>
      </c>
      <c r="I10" s="5" t="s">
        <v>1221</v>
      </c>
    </row>
    <row r="11" customFormat="false" ht="15" hidden="false" customHeight="false" outlineLevel="1" collapsed="false">
      <c r="A11" s="3" t="s">
        <v>1222</v>
      </c>
      <c r="B11" s="10" t="s">
        <v>56</v>
      </c>
      <c r="C11" s="38" t="n">
        <f aca="false">各期收支!C20</f>
        <v>0.105219150593454</v>
      </c>
      <c r="D11" s="38" t="n">
        <f aca="false">各期收支!D20</f>
        <v>0.945375465</v>
      </c>
      <c r="E11" s="38" t="n">
        <f aca="false">各期收支!E20</f>
        <v>1.11860213</v>
      </c>
      <c r="F11" s="38" t="n">
        <f aca="false">各期收支!F20</f>
        <v>1.22360213</v>
      </c>
      <c r="G11" s="38" t="n">
        <f aca="false">各期收支!G20</f>
        <v>1.34009001622121</v>
      </c>
    </row>
    <row r="12" customFormat="false" ht="15" hidden="false" customHeight="false" outlineLevel="1" collapsed="false">
      <c r="A12" s="3" t="s">
        <v>1223</v>
      </c>
      <c r="B12" s="10" t="s">
        <v>56</v>
      </c>
      <c r="C12" s="60" t="n">
        <f aca="false">C10-C11</f>
        <v>-1.64069375059345</v>
      </c>
      <c r="D12" s="60" t="n">
        <f aca="false">D10-D11</f>
        <v>-5.721868115</v>
      </c>
      <c r="E12" s="60" t="n">
        <f aca="false">E10-E11</f>
        <v>-5.94208378</v>
      </c>
      <c r="F12" s="60" t="n">
        <f aca="false">F10-F11</f>
        <v>-6.43877113</v>
      </c>
      <c r="G12" s="60" t="n">
        <f aca="false">G10-G11</f>
        <v>-8.30205401622122</v>
      </c>
    </row>
    <row r="13" customFormat="false" ht="15" hidden="false" customHeight="false" outlineLevel="1" collapsed="false">
      <c r="A13" s="4" t="s">
        <v>1224</v>
      </c>
      <c r="B13" s="10" t="s">
        <v>56</v>
      </c>
      <c r="C13" s="60" t="n">
        <f aca="false">輸入與假設!$C$138</f>
        <v>0.8</v>
      </c>
      <c r="D13" s="60" t="n">
        <f aca="false">C15</f>
        <v>2.44069375059345</v>
      </c>
      <c r="E13" s="60" t="n">
        <f aca="false">D15</f>
        <v>8.16256186559345</v>
      </c>
      <c r="F13" s="60" t="n">
        <f aca="false">E15</f>
        <v>14.1046456455935</v>
      </c>
      <c r="G13" s="60" t="n">
        <f aca="false">F15</f>
        <v>20.5434167755935</v>
      </c>
      <c r="I13" s="10" t="s">
        <v>1225</v>
      </c>
    </row>
    <row r="14" customFormat="false" ht="15" hidden="false" customHeight="false" outlineLevel="1" collapsed="false">
      <c r="A14" s="3" t="s">
        <v>1226</v>
      </c>
      <c r="B14" s="10" t="s">
        <v>56</v>
      </c>
      <c r="C14" s="60" t="n">
        <f aca="false">MIN(C13,MAX(0,C12)*輸入與假設!$C$139)</f>
        <v>0</v>
      </c>
      <c r="D14" s="60" t="n">
        <f aca="false">MIN(D13,MAX(0,D12)*輸入與假設!$C$139)</f>
        <v>0</v>
      </c>
      <c r="E14" s="60" t="n">
        <f aca="false">MIN(E13,MAX(0,E12)*輸入與假設!$C$139)</f>
        <v>0</v>
      </c>
      <c r="F14" s="60" t="n">
        <f aca="false">MIN(F13,MAX(0,F12)*輸入與假設!$C$139)</f>
        <v>0</v>
      </c>
      <c r="G14" s="60" t="n">
        <f aca="false">MIN(G13,MAX(0,G12)*輸入與假設!$C$139)</f>
        <v>0</v>
      </c>
      <c r="I14" s="5" t="s">
        <v>1227</v>
      </c>
    </row>
    <row r="15" customFormat="false" ht="15" hidden="false" customHeight="false" outlineLevel="1" collapsed="false">
      <c r="A15" s="4" t="s">
        <v>1228</v>
      </c>
      <c r="B15" s="10" t="s">
        <v>56</v>
      </c>
      <c r="C15" s="60" t="n">
        <f aca="false">C13-C14+MAX(0,-C12)</f>
        <v>2.44069375059345</v>
      </c>
      <c r="D15" s="60" t="n">
        <f aca="false">D13-D14+MAX(0,-D12)</f>
        <v>8.16256186559345</v>
      </c>
      <c r="E15" s="60" t="n">
        <f aca="false">E13-E14+MAX(0,-E12)</f>
        <v>14.1046456455935</v>
      </c>
      <c r="F15" s="60" t="n">
        <f aca="false">F13-F14+MAX(0,-F12)</f>
        <v>20.5434167755935</v>
      </c>
      <c r="G15" s="60" t="n">
        <f aca="false">G13-G14+MAX(0,-G12)</f>
        <v>28.8454707918147</v>
      </c>
    </row>
    <row r="16" customFormat="false" ht="15" hidden="false" customHeight="false" outlineLevel="1" collapsed="false">
      <c r="A16" s="3" t="s">
        <v>1229</v>
      </c>
      <c r="B16" s="10" t="s">
        <v>56</v>
      </c>
      <c r="C16" s="60" t="n">
        <f aca="false">MAX(0,C12-C14)*輸入與假設!$C$137</f>
        <v>0</v>
      </c>
      <c r="D16" s="60" t="n">
        <f aca="false">MAX(0,D12-D14)*輸入與假設!$C$137</f>
        <v>0</v>
      </c>
      <c r="E16" s="60" t="n">
        <f aca="false">MAX(0,E12-E14)*輸入與假設!$C$137</f>
        <v>0</v>
      </c>
      <c r="F16" s="60" t="n">
        <f aca="false">MAX(0,F12-F14)*輸入與假設!$C$137</f>
        <v>0</v>
      </c>
      <c r="G16" s="60" t="n">
        <f aca="false">MAX(0,G12-G14)*輸入與假設!$C$137</f>
        <v>0</v>
      </c>
      <c r="I16" s="5" t="s">
        <v>1230</v>
      </c>
    </row>
    <row r="17" customFormat="false" ht="15" hidden="false" customHeight="false" outlineLevel="1" collapsed="false">
      <c r="A17" s="2" t="s">
        <v>1231</v>
      </c>
      <c r="B17" s="10" t="s">
        <v>56</v>
      </c>
      <c r="C17" s="35" t="n">
        <f aca="false">C12-C16</f>
        <v>-1.64069375059345</v>
      </c>
      <c r="D17" s="35" t="n">
        <f aca="false">D12-D16</f>
        <v>-5.721868115</v>
      </c>
      <c r="E17" s="35" t="n">
        <f aca="false">E12-E16</f>
        <v>-5.94208378</v>
      </c>
      <c r="F17" s="35" t="n">
        <f aca="false">F12-F16</f>
        <v>-6.43877113</v>
      </c>
      <c r="G17" s="35" t="n">
        <f aca="false">G12-G16</f>
        <v>-8.30205401622122</v>
      </c>
    </row>
    <row r="18" customFormat="false" ht="15" hidden="false" customHeight="false" outlineLevel="1" collapsed="false">
      <c r="A18" s="4" t="s">
        <v>479</v>
      </c>
      <c r="B18" s="10" t="s">
        <v>56</v>
      </c>
      <c r="C18" s="38" t="n">
        <f aca="false">輸入與假設!C$91</f>
        <v>2.461915</v>
      </c>
      <c r="D18" s="38" t="n">
        <f aca="false">輸入與假設!D$91</f>
        <v>9.93284</v>
      </c>
      <c r="E18" s="38" t="n">
        <f aca="false">輸入與假設!E$91</f>
        <v>15.763</v>
      </c>
      <c r="F18" s="38" t="n">
        <f aca="false">輸入與假設!F$91</f>
        <v>21.59316</v>
      </c>
      <c r="G18" s="38" t="n">
        <f aca="false">輸入與假設!G$91</f>
        <v>27.42332</v>
      </c>
      <c r="I18" s="5" t="s">
        <v>1232</v>
      </c>
    </row>
    <row r="19" customFormat="false" ht="15" hidden="false" customHeight="false" outlineLevel="1" collapsed="false">
      <c r="A19" s="79" t="s">
        <v>1233</v>
      </c>
      <c r="B19" s="10" t="s">
        <v>56</v>
      </c>
      <c r="C19" s="35" t="n">
        <f aca="false">C10+C18</f>
        <v>0.9264404</v>
      </c>
      <c r="D19" s="35" t="n">
        <f aca="false">D10+D18</f>
        <v>5.15634735</v>
      </c>
      <c r="E19" s="35" t="n">
        <f aca="false">E10+E18</f>
        <v>10.93951835</v>
      </c>
      <c r="F19" s="35" t="n">
        <f aca="false">F10+F18</f>
        <v>16.377991</v>
      </c>
      <c r="G19" s="35" t="n">
        <f aca="false">G10+G18</f>
        <v>20.461356</v>
      </c>
    </row>
    <row r="20" customFormat="false" ht="15" hidden="false" customHeight="false" outlineLevel="1" collapsed="false">
      <c r="A20" s="3" t="s">
        <v>1234</v>
      </c>
      <c r="B20" s="10" t="s">
        <v>315</v>
      </c>
      <c r="C20" s="28" t="n">
        <f aca="false">評價_DCF與目標價!$C$67</f>
        <v>0.321000680272109</v>
      </c>
      <c r="D20" s="28" t="n">
        <f aca="false">C20*(1+輸入與假設!$C$147)</f>
        <v>0.32421068707483</v>
      </c>
      <c r="E20" s="28" t="n">
        <f aca="false">D20*(1+輸入與假設!$C$147)</f>
        <v>0.327452793945578</v>
      </c>
      <c r="F20" s="28" t="n">
        <f aca="false">E20*(1+輸入與假設!$C$147)</f>
        <v>0.330727321885034</v>
      </c>
      <c r="G20" s="28" t="n">
        <f aca="false">F20*(1+輸入與假設!$C$147)</f>
        <v>0.334034595103884</v>
      </c>
      <c r="I20" s="10" t="s">
        <v>1235</v>
      </c>
    </row>
    <row r="21" customFormat="false" ht="15" hidden="false" customHeight="false" outlineLevel="1" collapsed="false">
      <c r="A21" s="3" t="s">
        <v>1236</v>
      </c>
      <c r="B21" s="10" t="s">
        <v>315</v>
      </c>
      <c r="C21" s="28" t="n">
        <f aca="false">C20+各期收支!C77</f>
        <v>0.321000680272109</v>
      </c>
      <c r="D21" s="28" t="n">
        <f aca="false">D20+各期收支!D77</f>
        <v>0.339339353156743</v>
      </c>
      <c r="E21" s="28" t="n">
        <f aca="false">E20+各期收支!E77</f>
        <v>0.381653473253443</v>
      </c>
      <c r="F21" s="28" t="n">
        <f aca="false">F20+各期收支!F77</f>
        <v>0.412118608944017</v>
      </c>
      <c r="G21" s="28" t="n">
        <f aca="false">G20+各期收支!G77</f>
        <v>0.48404810438509</v>
      </c>
      <c r="I21" s="5" t="s">
        <v>1237</v>
      </c>
    </row>
    <row r="22" customFormat="false" ht="15" hidden="false" customHeight="false" outlineLevel="1" collapsed="false">
      <c r="A22" s="3" t="s">
        <v>1238</v>
      </c>
      <c r="B22" s="10" t="s">
        <v>39</v>
      </c>
      <c r="C22" s="47" t="n">
        <f aca="false">C17/C21</f>
        <v>-5.11118465295044</v>
      </c>
      <c r="D22" s="47" t="n">
        <f aca="false">D17/D21</f>
        <v>-16.8617876523064</v>
      </c>
      <c r="E22" s="47" t="n">
        <f aca="false">E17/E21</f>
        <v>-15.5693166613843</v>
      </c>
      <c r="F22" s="47" t="n">
        <f aca="false">F17/F21</f>
        <v>-15.6235874582277</v>
      </c>
      <c r="G22" s="47" t="n">
        <f aca="false">G17/G21</f>
        <v>-17.1512995113734</v>
      </c>
      <c r="I22" s="10" t="s">
        <v>1239</v>
      </c>
    </row>
    <row r="24" customFormat="false" ht="15" hidden="false" customHeight="false" outlineLevel="0" collapsed="false">
      <c r="A24" s="44" t="s">
        <v>1240</v>
      </c>
      <c r="B24" s="7"/>
      <c r="C24" s="7"/>
      <c r="D24" s="7"/>
      <c r="E24" s="7"/>
      <c r="F24" s="7"/>
      <c r="G24" s="7"/>
      <c r="H24" s="7"/>
    </row>
    <row r="25" customFormat="false" ht="15" hidden="false" customHeight="false" outlineLevel="1" collapsed="false">
      <c r="A25" s="4" t="s">
        <v>1241</v>
      </c>
      <c r="B25" s="10" t="s">
        <v>56</v>
      </c>
      <c r="C25" s="38" t="n">
        <f aca="false">輸入與假設!$C$189</f>
        <v>0.9813</v>
      </c>
      <c r="D25" s="38" t="n">
        <f aca="false">0</f>
        <v>0</v>
      </c>
      <c r="E25" s="38" t="n">
        <f aca="false">0</f>
        <v>0</v>
      </c>
      <c r="F25" s="38" t="n">
        <f aca="false">0</f>
        <v>0</v>
      </c>
      <c r="G25" s="38" t="n">
        <f aca="false">0</f>
        <v>0</v>
      </c>
    </row>
    <row r="26" customFormat="false" ht="15" hidden="false" customHeight="false" outlineLevel="1" collapsed="false">
      <c r="A26" s="2" t="s">
        <v>1242</v>
      </c>
      <c r="B26" s="10" t="s">
        <v>56</v>
      </c>
      <c r="C26" s="35" t="n">
        <f aca="false">C25+C8</f>
        <v>3.0345</v>
      </c>
      <c r="D26" s="35" t="n">
        <f aca="false">D25+D8</f>
        <v>10.8054</v>
      </c>
      <c r="E26" s="35" t="n">
        <f aca="false">E25+E8</f>
        <v>22.8201</v>
      </c>
      <c r="F26" s="35" t="n">
        <f aca="false">F25+F8</f>
        <v>34.452</v>
      </c>
      <c r="G26" s="35" t="n">
        <f aca="false">G25+G8</f>
        <v>43.5348</v>
      </c>
      <c r="I26" s="10" t="s">
        <v>1243</v>
      </c>
    </row>
    <row r="27" customFormat="false" ht="15" hidden="false" customHeight="false" outlineLevel="1" collapsed="false">
      <c r="A27" s="3" t="s">
        <v>1244</v>
      </c>
      <c r="B27" s="10" t="s">
        <v>42</v>
      </c>
      <c r="C27" s="61" t="n">
        <f aca="false">C26/0.5298-1</f>
        <v>4.72763306908267</v>
      </c>
      <c r="D27" s="61" t="n">
        <f aca="false">D26/C26-1</f>
        <v>2.56085022244192</v>
      </c>
      <c r="E27" s="61" t="n">
        <f aca="false">E26/D26-1</f>
        <v>1.11191626409018</v>
      </c>
      <c r="F27" s="61" t="n">
        <f aca="false">F26/E26-1</f>
        <v>0.509721692718262</v>
      </c>
      <c r="G27" s="61" t="n">
        <f aca="false">G26/F26-1</f>
        <v>0.263636363636364</v>
      </c>
      <c r="I27" s="10" t="s">
        <v>1245</v>
      </c>
    </row>
    <row r="28" customFormat="false" ht="15" hidden="false" customHeight="false" outlineLevel="1" collapsed="false">
      <c r="A28" s="3" t="s">
        <v>1246</v>
      </c>
      <c r="B28" s="10" t="s">
        <v>56</v>
      </c>
      <c r="C28" s="60" t="n">
        <f aca="false">輸入與假設!$C$190+C10</f>
        <v>-1.8393746</v>
      </c>
      <c r="D28" s="60" t="n">
        <f aca="false">D10</f>
        <v>-4.77649265</v>
      </c>
      <c r="E28" s="60" t="n">
        <f aca="false">E10</f>
        <v>-4.82348165</v>
      </c>
      <c r="F28" s="60" t="n">
        <f aca="false">F10</f>
        <v>-5.215169</v>
      </c>
      <c r="G28" s="60" t="n">
        <f aca="false">G10</f>
        <v>-6.961964</v>
      </c>
    </row>
    <row r="29" customFormat="false" ht="15" hidden="false" customHeight="false" outlineLevel="1" collapsed="false">
      <c r="A29" s="3" t="s">
        <v>1247</v>
      </c>
      <c r="B29" s="10" t="s">
        <v>42</v>
      </c>
      <c r="C29" s="61" t="n">
        <f aca="false">C28/C26</f>
        <v>-0.606154094579008</v>
      </c>
      <c r="D29" s="61" t="n">
        <f aca="false">D28/D26</f>
        <v>-0.442046814555685</v>
      </c>
      <c r="E29" s="61" t="n">
        <f aca="false">E28/E26</f>
        <v>-0.211369873488723</v>
      </c>
      <c r="F29" s="61" t="n">
        <f aca="false">F28/F26</f>
        <v>-0.151374927435272</v>
      </c>
      <c r="G29" s="61" t="n">
        <f aca="false">G28/G26</f>
        <v>-0.159917215652765</v>
      </c>
    </row>
    <row r="30" customFormat="false" ht="15" hidden="false" customHeight="false" outlineLevel="1" collapsed="false">
      <c r="A30" s="3" t="s">
        <v>1248</v>
      </c>
      <c r="B30" s="10" t="s">
        <v>56</v>
      </c>
      <c r="C30" s="60" t="n">
        <f aca="false">輸入與假設!$C$193+C18</f>
        <v>2.933615</v>
      </c>
      <c r="D30" s="60" t="n">
        <f aca="false">D18</f>
        <v>9.93284</v>
      </c>
      <c r="E30" s="60" t="n">
        <f aca="false">E18</f>
        <v>15.763</v>
      </c>
      <c r="F30" s="60" t="n">
        <f aca="false">F18</f>
        <v>21.59316</v>
      </c>
      <c r="G30" s="60" t="n">
        <f aca="false">G18</f>
        <v>27.42332</v>
      </c>
      <c r="I30" s="10" t="s">
        <v>1249</v>
      </c>
    </row>
    <row r="31" customFormat="false" ht="15" hidden="false" customHeight="false" outlineLevel="1" collapsed="false">
      <c r="A31" s="2" t="s">
        <v>1250</v>
      </c>
      <c r="B31" s="10" t="s">
        <v>56</v>
      </c>
      <c r="C31" s="35" t="n">
        <f aca="false">C28+C30</f>
        <v>1.0942404</v>
      </c>
      <c r="D31" s="35" t="n">
        <f aca="false">D28+D30</f>
        <v>5.15634735</v>
      </c>
      <c r="E31" s="35" t="n">
        <f aca="false">E28+E30</f>
        <v>10.93951835</v>
      </c>
      <c r="F31" s="35" t="n">
        <f aca="false">F28+F30</f>
        <v>16.377991</v>
      </c>
      <c r="G31" s="35" t="n">
        <f aca="false">G28+G30</f>
        <v>20.461356</v>
      </c>
    </row>
    <row r="32" customFormat="false" ht="15" hidden="false" customHeight="false" outlineLevel="1" collapsed="false">
      <c r="A32" s="3" t="s">
        <v>1251</v>
      </c>
      <c r="B32" s="10" t="s">
        <v>56</v>
      </c>
      <c r="C32" s="60" t="n">
        <f aca="false">輸入與假設!$C$187+C11</f>
        <v>0.288019150593454</v>
      </c>
      <c r="D32" s="60" t="n">
        <f aca="false">D11</f>
        <v>0.945375465</v>
      </c>
      <c r="E32" s="60" t="n">
        <f aca="false">E11</f>
        <v>1.11860213</v>
      </c>
      <c r="F32" s="60" t="n">
        <f aca="false">F11</f>
        <v>1.22360213</v>
      </c>
      <c r="G32" s="60" t="n">
        <f aca="false">G11</f>
        <v>1.34009001622121</v>
      </c>
      <c r="I32" s="10" t="s">
        <v>1252</v>
      </c>
    </row>
    <row r="33" customFormat="false" ht="15" hidden="false" customHeight="false" outlineLevel="1" collapsed="false">
      <c r="A33" s="2" t="s">
        <v>1253</v>
      </c>
      <c r="B33" s="10" t="s">
        <v>56</v>
      </c>
      <c r="C33" s="35" t="n">
        <f aca="false">輸入與假設!$C$191+C17</f>
        <v>-1.20989375059345</v>
      </c>
      <c r="D33" s="35" t="n">
        <f aca="false">D17</f>
        <v>-5.721868115</v>
      </c>
      <c r="E33" s="35" t="n">
        <f aca="false">E17</f>
        <v>-5.94208378</v>
      </c>
      <c r="F33" s="35" t="n">
        <f aca="false">F17</f>
        <v>-6.43877113</v>
      </c>
      <c r="G33" s="35" t="n">
        <f aca="false">G17</f>
        <v>-8.30205401622122</v>
      </c>
    </row>
    <row r="34" customFormat="false" ht="15" hidden="false" customHeight="false" outlineLevel="1" collapsed="false">
      <c r="A34" s="3" t="s">
        <v>1254</v>
      </c>
      <c r="B34" s="10" t="s">
        <v>42</v>
      </c>
      <c r="C34" s="61" t="n">
        <f aca="false">C33/C26</f>
        <v>-0.398712720577839</v>
      </c>
      <c r="D34" s="61" t="n">
        <f aca="false">D33/D26</f>
        <v>-0.529537834323579</v>
      </c>
      <c r="E34" s="61" t="n">
        <f aca="false">E33/E26</f>
        <v>-0.260388156931828</v>
      </c>
      <c r="F34" s="61" t="n">
        <f aca="false">F33/F26</f>
        <v>-0.186891069604087</v>
      </c>
      <c r="G34" s="61" t="n">
        <f aca="false">G33/G26</f>
        <v>-0.190699257059208</v>
      </c>
    </row>
    <row r="35" customFormat="false" ht="15" hidden="false" customHeight="false" outlineLevel="1" collapsed="false">
      <c r="A35" s="2" t="s">
        <v>1255</v>
      </c>
      <c r="B35" s="10" t="s">
        <v>39</v>
      </c>
      <c r="C35" s="80" t="n">
        <f aca="false">輸入與假設!$C$195+C17/C21</f>
        <v>-3.51118465295044</v>
      </c>
      <c r="D35" s="80" t="n">
        <f aca="false">D17/D21</f>
        <v>-16.8617876523064</v>
      </c>
      <c r="E35" s="80" t="n">
        <f aca="false">E17/E21</f>
        <v>-15.5693166613843</v>
      </c>
      <c r="F35" s="80" t="n">
        <f aca="false">F17/F21</f>
        <v>-15.6235874582277</v>
      </c>
      <c r="G35" s="80" t="n">
        <f aca="false">G17/G21</f>
        <v>-17.1512995113734</v>
      </c>
      <c r="I35" s="10" t="s">
        <v>1256</v>
      </c>
    </row>
    <row r="36" customFormat="false" ht="15" hidden="false" customHeight="false" outlineLevel="1" collapsed="false">
      <c r="A36" s="3" t="s">
        <v>1257</v>
      </c>
      <c r="B36" s="10" t="s">
        <v>39</v>
      </c>
      <c r="C36" s="47" t="n">
        <f aca="false">輸入與假設!$C$196+(C17+輸入與假設!$C$148*輸入與假設!C$37)/C21</f>
        <v>-2.79869287023864</v>
      </c>
      <c r="D36" s="47" t="n">
        <f aca="false">(D17+輸入與假設!$C$148*輸入與假設!D$37)/D21</f>
        <v>-16.4786903227728</v>
      </c>
      <c r="E36" s="47" t="n">
        <f aca="false">(E17+輸入與假設!$C$148*輸入與假設!E$37)/E21</f>
        <v>-15.228693533048</v>
      </c>
      <c r="F36" s="47" t="n">
        <f aca="false">(F17+輸入與假設!$C$148*輸入與假設!F$37)/F21</f>
        <v>-15.30814428925</v>
      </c>
      <c r="G36" s="47" t="n">
        <f aca="false">(G17+輸入與假設!$C$148*輸入與假設!G$37)/G21</f>
        <v>-16.8827311628512</v>
      </c>
      <c r="I36" s="5" t="s">
        <v>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1" t="s">
        <v>1259</v>
      </c>
    </row>
    <row r="2" customFormat="false" ht="15" hidden="false" customHeight="false" outlineLevel="0" collapsed="false">
      <c r="A2" s="5" t="s">
        <v>1260</v>
      </c>
    </row>
    <row r="4" customFormat="false" ht="15" hidden="false" customHeight="false" outlineLevel="0" collapsed="false">
      <c r="A4" s="13" t="s">
        <v>50</v>
      </c>
      <c r="B4" s="13" t="s">
        <v>51</v>
      </c>
      <c r="C4" s="26" t="s">
        <v>52</v>
      </c>
      <c r="D4" s="26" t="s">
        <v>53</v>
      </c>
      <c r="E4" s="26" t="s">
        <v>54</v>
      </c>
      <c r="F4" s="26" t="s">
        <v>138</v>
      </c>
      <c r="G4" s="26" t="s">
        <v>139</v>
      </c>
      <c r="I4" s="13" t="s">
        <v>639</v>
      </c>
    </row>
    <row r="5" customFormat="false" ht="15" hidden="false" customHeight="false" outlineLevel="0" collapsed="false">
      <c r="A5" s="6" t="s">
        <v>1261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1" collapsed="false">
      <c r="A6" s="3" t="s">
        <v>1262</v>
      </c>
      <c r="B6" s="10" t="s">
        <v>56</v>
      </c>
      <c r="C6" s="60" t="n">
        <f aca="false">輸入與假設!C$90-各期收支!C8</f>
        <v>12.8776695</v>
      </c>
      <c r="D6" s="60" t="n">
        <f aca="false">輸入與假設!D$90-各期收支!D8</f>
        <v>17.927742</v>
      </c>
      <c r="E6" s="60" t="n">
        <f aca="false">輸入與假設!E$90-各期收支!E8</f>
        <v>17.927742</v>
      </c>
      <c r="F6" s="60" t="n">
        <f aca="false">輸入與假設!F$90-各期收支!F8</f>
        <v>17.927742</v>
      </c>
      <c r="G6" s="60" t="n">
        <f aca="false">輸入與假設!G$90-各期收支!G8</f>
        <v>26.471942</v>
      </c>
      <c r="I6" s="10" t="s">
        <v>1263</v>
      </c>
    </row>
    <row r="7" customFormat="false" ht="15" hidden="false" customHeight="false" outlineLevel="1" collapsed="false">
      <c r="A7" s="3" t="s">
        <v>1264</v>
      </c>
      <c r="B7" s="10" t="s">
        <v>56</v>
      </c>
      <c r="C7" s="60" t="n">
        <f aca="false">0.5298</f>
        <v>0.5298</v>
      </c>
      <c r="D7" s="60" t="n">
        <f aca="false">0.9813+損益!C8</f>
        <v>3.0345</v>
      </c>
      <c r="E7" s="60" t="n">
        <f aca="false">損益!D8</f>
        <v>10.8054</v>
      </c>
      <c r="F7" s="60" t="n">
        <f aca="false">損益!E8</f>
        <v>22.8201</v>
      </c>
      <c r="G7" s="60" t="n">
        <f aca="false">損益!F8</f>
        <v>34.452</v>
      </c>
      <c r="I7" s="10" t="s">
        <v>1265</v>
      </c>
    </row>
    <row r="8" customFormat="false" ht="15" hidden="false" customHeight="false" outlineLevel="1" collapsed="false">
      <c r="A8" s="3" t="s">
        <v>1266</v>
      </c>
      <c r="B8" s="10" t="s">
        <v>56</v>
      </c>
      <c r="C8" s="38" t="n">
        <f aca="false">各期收支!C10</f>
        <v>0.995866666666667</v>
      </c>
      <c r="D8" s="38" t="n">
        <f aca="false">各期收支!D10</f>
        <v>4.34698794444444</v>
      </c>
      <c r="E8" s="38" t="n">
        <f aca="false">各期收支!E10</f>
        <v>6.6390112962963</v>
      </c>
      <c r="F8" s="38" t="n">
        <f aca="false">各期收支!F10</f>
        <v>8.16702686419753</v>
      </c>
      <c r="G8" s="38" t="n">
        <f aca="false">各期收支!G10</f>
        <v>9.18570390946502</v>
      </c>
      <c r="I8" s="5" t="s">
        <v>1267</v>
      </c>
    </row>
    <row r="9" customFormat="false" ht="15" hidden="false" customHeight="false" outlineLevel="1" collapsed="false">
      <c r="A9" s="3" t="s">
        <v>1268</v>
      </c>
      <c r="B9" s="10" t="s">
        <v>56</v>
      </c>
      <c r="C9" s="60" t="n">
        <f aca="false">輸入與假設!$C$140*MAX(0,損益!C8-C7)</f>
        <v>0.030468</v>
      </c>
      <c r="D9" s="60" t="n">
        <f aca="false">輸入與假設!$C$140*MAX(0,損益!D8-D7)</f>
        <v>0.155418</v>
      </c>
      <c r="E9" s="60" t="n">
        <f aca="false">輸入與假設!$C$140*MAX(0,損益!E8-E7)</f>
        <v>0.240294</v>
      </c>
      <c r="F9" s="60" t="n">
        <f aca="false">輸入與假設!$C$140*MAX(0,損益!F8-F7)</f>
        <v>0.232638</v>
      </c>
      <c r="G9" s="60" t="n">
        <f aca="false">輸入與假設!$C$140*MAX(0,損益!G8-G7)</f>
        <v>0.181656</v>
      </c>
      <c r="I9" s="5" t="s">
        <v>1269</v>
      </c>
    </row>
    <row r="10" customFormat="false" ht="15" hidden="false" customHeight="false" outlineLevel="1" collapsed="false">
      <c r="A10" s="3" t="s">
        <v>1270</v>
      </c>
      <c r="B10" s="10" t="s">
        <v>56</v>
      </c>
      <c r="C10" s="60" t="n">
        <f aca="false">輸入與假設!$C$138</f>
        <v>0.8</v>
      </c>
      <c r="D10" s="60" t="n">
        <f aca="false">C12</f>
        <v>2.3354746</v>
      </c>
      <c r="E10" s="60" t="n">
        <f aca="false">D12</f>
        <v>7.11196725</v>
      </c>
      <c r="F10" s="60" t="n">
        <f aca="false">E12</f>
        <v>11.9354489</v>
      </c>
      <c r="G10" s="60" t="n">
        <f aca="false">F12</f>
        <v>17.1506179</v>
      </c>
      <c r="I10" s="10" t="s">
        <v>1271</v>
      </c>
    </row>
    <row r="11" customFormat="false" ht="15" hidden="false" customHeight="false" outlineLevel="1" collapsed="false">
      <c r="A11" s="3" t="s">
        <v>1272</v>
      </c>
      <c r="B11" s="10" t="s">
        <v>56</v>
      </c>
      <c r="C11" s="60" t="n">
        <f aca="false">MIN(C10,MAX(0,損益!C10)*輸入與假設!$C$139)</f>
        <v>0</v>
      </c>
      <c r="D11" s="60" t="n">
        <f aca="false">MIN(D10,MAX(0,損益!D10)*輸入與假設!$C$139)</f>
        <v>0</v>
      </c>
      <c r="E11" s="60" t="n">
        <f aca="false">MIN(E10,MAX(0,損益!E10)*輸入與假設!$C$139)</f>
        <v>0</v>
      </c>
      <c r="F11" s="60" t="n">
        <f aca="false">MIN(F10,MAX(0,損益!F10)*輸入與假設!$C$139)</f>
        <v>0</v>
      </c>
      <c r="G11" s="60" t="n">
        <f aca="false">MIN(G10,MAX(0,損益!G10)*輸入與假設!$C$139)</f>
        <v>0</v>
      </c>
    </row>
    <row r="12" customFormat="false" ht="15" hidden="false" customHeight="false" outlineLevel="1" collapsed="false">
      <c r="A12" s="3" t="s">
        <v>1273</v>
      </c>
      <c r="B12" s="10" t="s">
        <v>56</v>
      </c>
      <c r="C12" s="60" t="n">
        <f aca="false">C10-C11+MAX(0,-損益!C10)</f>
        <v>2.3354746</v>
      </c>
      <c r="D12" s="60" t="n">
        <f aca="false">D10-D11+MAX(0,-損益!D10)</f>
        <v>7.11196725</v>
      </c>
      <c r="E12" s="60" t="n">
        <f aca="false">E10-E11+MAX(0,-損益!E10)</f>
        <v>11.9354489</v>
      </c>
      <c r="F12" s="60" t="n">
        <f aca="false">F10-F11+MAX(0,-損益!F10)</f>
        <v>17.1506179</v>
      </c>
      <c r="G12" s="60" t="n">
        <f aca="false">G10-G11+MAX(0,-損益!G10)</f>
        <v>24.1125819</v>
      </c>
    </row>
    <row r="13" customFormat="false" ht="15" hidden="false" customHeight="false" outlineLevel="1" collapsed="false">
      <c r="A13" s="3" t="s">
        <v>1274</v>
      </c>
      <c r="B13" s="10" t="s">
        <v>56</v>
      </c>
      <c r="C13" s="60" t="n">
        <f aca="false">MAX(0,損益!C10-C11)*輸入與假設!$C$137</f>
        <v>0</v>
      </c>
      <c r="D13" s="60" t="n">
        <f aca="false">MAX(0,損益!D10-D11)*輸入與假設!$C$137</f>
        <v>0</v>
      </c>
      <c r="E13" s="60" t="n">
        <f aca="false">MAX(0,損益!E10-E11)*輸入與假設!$C$137</f>
        <v>0</v>
      </c>
      <c r="F13" s="60" t="n">
        <f aca="false">MAX(0,損益!F10-F11)*輸入與假設!$C$137</f>
        <v>0</v>
      </c>
      <c r="G13" s="60" t="n">
        <f aca="false">MAX(0,損益!G10-G11)*輸入與假設!$C$137</f>
        <v>0</v>
      </c>
      <c r="I13" s="5" t="s">
        <v>1275</v>
      </c>
    </row>
    <row r="14" customFormat="false" ht="15" hidden="false" customHeight="false" outlineLevel="1" collapsed="false">
      <c r="A14" s="79" t="s">
        <v>1276</v>
      </c>
      <c r="B14" s="10" t="s">
        <v>56</v>
      </c>
      <c r="C14" s="35" t="n">
        <f aca="false">損益!C10-C13+損益!C18-C6-C9-C8</f>
        <v>-12.9775637666667</v>
      </c>
      <c r="D14" s="35" t="n">
        <f aca="false">損益!D10-D13+損益!D18-D6-D9-D8</f>
        <v>-17.2738005944444</v>
      </c>
      <c r="E14" s="35" t="n">
        <f aca="false">損益!E10-E13+損益!E18-E6-E9-E8</f>
        <v>-13.8675289462963</v>
      </c>
      <c r="F14" s="35" t="n">
        <f aca="false">損益!F10-F13+損益!F18-F6-F9-F8</f>
        <v>-9.94941586419754</v>
      </c>
      <c r="G14" s="35" t="n">
        <f aca="false">損益!G10-G13+損益!G18-G6-G9-G8</f>
        <v>-15.377945909465</v>
      </c>
      <c r="I14" s="5" t="s">
        <v>1277</v>
      </c>
    </row>
    <row r="15" customFormat="false" ht="15" hidden="false" customHeight="false" outlineLevel="1" collapsed="false">
      <c r="A15" s="3" t="s">
        <v>1278</v>
      </c>
      <c r="B15" s="5" t="s">
        <v>243</v>
      </c>
      <c r="C15" s="81" t="n">
        <f aca="false">輸入與假設!$C$166</f>
        <v>0.5</v>
      </c>
      <c r="D15" s="81" t="n">
        <f aca="false">輸入與假設!$D$166</f>
        <v>1.5</v>
      </c>
      <c r="E15" s="81" t="n">
        <f aca="false">輸入與假設!$E$166</f>
        <v>2.5</v>
      </c>
      <c r="F15" s="81" t="n">
        <f aca="false">輸入與假設!$F$166</f>
        <v>3.5</v>
      </c>
      <c r="G15" s="81" t="n">
        <f aca="false">輸入與假設!$G$166</f>
        <v>4.5</v>
      </c>
      <c r="I15" s="5" t="s">
        <v>1279</v>
      </c>
    </row>
    <row r="16" customFormat="false" ht="15" hidden="false" customHeight="false" outlineLevel="1" collapsed="false">
      <c r="A16" s="3" t="s">
        <v>1280</v>
      </c>
      <c r="B16" s="5"/>
      <c r="C16" s="48" t="n">
        <f aca="false">1/(1+輸入與假設!$C$134)^C15</f>
        <v>0.949157995752499</v>
      </c>
      <c r="D16" s="48" t="n">
        <f aca="false">1/(1+輸入與假設!$C$134)^D15</f>
        <v>0.85509729347072</v>
      </c>
      <c r="E16" s="48" t="n">
        <f aca="false">1/(1+輸入與假設!$C$134)^E15</f>
        <v>0.770357922045693</v>
      </c>
      <c r="F16" s="48" t="n">
        <f aca="false">1/(1+輸入與假設!$C$134)^F15</f>
        <v>0.694016145987111</v>
      </c>
      <c r="G16" s="48" t="n">
        <f aca="false">1/(1+輸入與假設!$C$134)^G15</f>
        <v>0.62523977115956</v>
      </c>
    </row>
    <row r="17" customFormat="false" ht="15" hidden="false" customHeight="false" outlineLevel="1" collapsed="false">
      <c r="A17" s="4" t="s">
        <v>1281</v>
      </c>
      <c r="B17" s="10" t="s">
        <v>56</v>
      </c>
      <c r="C17" s="60" t="n">
        <f aca="false">C14*C16</f>
        <v>-12.3177584145196</v>
      </c>
      <c r="D17" s="60" t="n">
        <f aca="false">D14*D16</f>
        <v>-14.7707801362624</v>
      </c>
      <c r="E17" s="60" t="n">
        <f aca="false">E14*E16</f>
        <v>-10.6829607829773</v>
      </c>
      <c r="F17" s="60" t="n">
        <f aca="false">F14*F16</f>
        <v>-6.9050552528934</v>
      </c>
      <c r="G17" s="60" t="n">
        <f aca="false">G14*G16</f>
        <v>-9.61490338133799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1282</v>
      </c>
      <c r="C19" s="9" t="n">
        <f aca="false">SUM(C17:G17)</f>
        <v>-54.2914579679906</v>
      </c>
      <c r="I19" s="5" t="s">
        <v>1283</v>
      </c>
    </row>
    <row r="20" customFormat="false" ht="15" hidden="false" customHeight="false" outlineLevel="1" collapsed="false">
      <c r="A20" s="3" t="s">
        <v>1284</v>
      </c>
      <c r="C20" s="9" t="n">
        <f aca="false">損益!G10*(1-輸入與假設!$C$137)+損益!G18-損益!G18*輸入與假設!$C$136</f>
        <v>0.318886711999998</v>
      </c>
      <c r="I20" s="5" t="s">
        <v>1285</v>
      </c>
    </row>
    <row r="21" customFormat="false" ht="15" hidden="false" customHeight="false" outlineLevel="1" collapsed="false">
      <c r="A21" s="3" t="s">
        <v>1286</v>
      </c>
      <c r="C21" s="50" t="n">
        <f aca="false">IF(C30=1,0,C20*(1+輸入與假設!$C$135)/(輸入與假設!$C$134-輸入與假設!$C$135))</f>
        <v>4.10566641699997</v>
      </c>
      <c r="I21" s="5" t="s">
        <v>1287</v>
      </c>
    </row>
    <row r="22" customFormat="false" ht="15" hidden="false" customHeight="false" outlineLevel="1" collapsed="false">
      <c r="A22" s="3" t="s">
        <v>1288</v>
      </c>
      <c r="C22" s="50" t="n">
        <f aca="false">C21*G16</f>
        <v>2.56702593102255</v>
      </c>
    </row>
    <row r="23" customFormat="false" ht="15" hidden="false" customHeight="false" outlineLevel="1" collapsed="false">
      <c r="A23" s="3" t="s">
        <v>1289</v>
      </c>
      <c r="C23" s="50" t="n">
        <f aca="false">C19+C22</f>
        <v>-51.7244320369681</v>
      </c>
    </row>
    <row r="24" customFormat="false" ht="15" hidden="false" customHeight="false" outlineLevel="1" collapsed="false">
      <c r="A24" s="3" t="s">
        <v>1290</v>
      </c>
      <c r="C24" s="9" t="n">
        <f aca="false">-評價_DCF與目標價!$C$68</f>
        <v>0.561599999999999</v>
      </c>
      <c r="I24" s="5" t="s">
        <v>1291</v>
      </c>
    </row>
    <row r="25" customFormat="false" ht="15" hidden="false" customHeight="false" outlineLevel="1" collapsed="false">
      <c r="A25" s="3" t="s">
        <v>1292</v>
      </c>
      <c r="C25" s="50" t="n">
        <f aca="false">C23+C24</f>
        <v>-51.1628320369681</v>
      </c>
    </row>
    <row r="26" customFormat="false" ht="15" hidden="false" customHeight="false" outlineLevel="1" collapsed="false">
      <c r="A26" s="79" t="s">
        <v>1293</v>
      </c>
      <c r="C26" s="82" t="n">
        <f aca="false">IF(C30=1,0,IF(輸入與假設!$C$150=2,C32,C31))</f>
        <v>0</v>
      </c>
      <c r="I26" s="5" t="s">
        <v>1294</v>
      </c>
    </row>
    <row r="27" customFormat="false" ht="15" hidden="false" customHeight="false" outlineLevel="1" collapsed="false">
      <c r="A27" s="3" t="s">
        <v>1295</v>
      </c>
      <c r="C27" s="27" t="n">
        <f aca="false">C22/C23</f>
        <v>-0.0496288858075399</v>
      </c>
      <c r="I27" s="5" t="str">
        <f aca="false">"超過 "&amp;IF(ROUND(ABS(輸入與假設!$C$175)*100,4)=INT(ROUND(ABS(輸入與假設!$C$175)*100,4)),TEXT(ROUND(ABS(輸入與假設!$C$175)*100,4),"0"),TEXT(ROUND(ABS(輸入與假設!$C$175)*100,4),"0.0"))&amp;"%"&amp;"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1296</v>
      </c>
      <c r="C28" s="50" t="n">
        <f aca="false">各期收支!C72/(1+輸入與假設!$C$134)^輸入與假設!$C$167+各期收支!D72/(1+輸入與假設!$C$134)^輸入與假設!$D$167+各期收支!E72/(1+輸入與假設!$C$134)^輸入與假設!$E$167+各期收支!F72/(1+輸入與假設!$C$134)^輸入與假設!$F$167+各期收支!G72/(1+輸入與假設!$C$134)^輸入與假設!$G$167</f>
        <v>26.1631799874162</v>
      </c>
      <c r="I28" s="5" t="s">
        <v>1297</v>
      </c>
    </row>
    <row r="29" customFormat="false" ht="15" hidden="false" customHeight="false" outlineLevel="1" collapsed="false">
      <c r="A29" s="3" t="s">
        <v>1298</v>
      </c>
      <c r="C29" s="83" t="n">
        <f aca="false">評價_DCF與目標價!$C$67+各期收支!G77</f>
        <v>0.471014189553314</v>
      </c>
    </row>
    <row r="30" customFormat="false" ht="15" hidden="false" customHeight="false" outlineLevel="1" collapsed="false">
      <c r="A30" s="4" t="s">
        <v>1299</v>
      </c>
      <c r="C30" s="42" t="n">
        <f aca="false">IF(OR(輸入與假設!$C$134&lt;=輸入與假設!$C$135,C20&lt;=0),1,0)</f>
        <v>0</v>
      </c>
      <c r="I30" s="10" t="s">
        <v>1300</v>
      </c>
    </row>
    <row r="31" customFormat="false" ht="15" hidden="false" customHeight="false" outlineLevel="1" collapsed="false">
      <c r="A31" s="79" t="s">
        <v>1301</v>
      </c>
      <c r="C31" s="41" t="n">
        <f aca="false">MAX(0,(C25+C28)/C29)</f>
        <v>0</v>
      </c>
    </row>
    <row r="32" customFormat="false" ht="15" hidden="false" customHeight="false" outlineLevel="1" collapsed="false">
      <c r="A32" s="79" t="s">
        <v>1302</v>
      </c>
      <c r="C32" s="41" t="n">
        <f aca="false">IF((C23+C28)&lt;=0,0,IF(評價_DCF與目標價!$C$68&lt;=0,(C23+C28),(C23+C28)*NORMSDIST(C33)-評價_DCF與目標價!$C$68*EXP(-輸入與假設!$C$152*輸入與假設!$C$153)*NORMSDIST(C34))/C29)</f>
        <v>0</v>
      </c>
      <c r="I32" s="10" t="s">
        <v>1303</v>
      </c>
    </row>
    <row r="33" customFormat="false" ht="15" hidden="false" customHeight="false" outlineLevel="1" collapsed="false">
      <c r="A33" s="3" t="s">
        <v>1304</v>
      </c>
      <c r="C33" s="83" t="n">
        <f aca="false">IF(OR((C23+C28)&lt;=0,評價_DCF與目標價!$C$68&lt;=0),0,(LN((C23+C28)/評價_DCF與目標價!$C$68)+(輸入與假設!$C$152+輸入與假設!$C$151^2/2)*輸入與假設!$C$153)/(輸入與假設!$C$151*SQRT(輸入與假設!$C$153)))</f>
        <v>0</v>
      </c>
    </row>
    <row r="34" customFormat="false" ht="15" hidden="false" customHeight="false" outlineLevel="1" collapsed="false">
      <c r="A34" s="3" t="s">
        <v>1305</v>
      </c>
      <c r="C34" s="83" t="n">
        <f aca="false">C33-輸入與假設!$C$151*SQRT(輸入與假設!$C$153)</f>
        <v>-1.06066017177982</v>
      </c>
    </row>
    <row r="36" customFormat="false" ht="15" hidden="false" customHeight="false" outlineLevel="0" collapsed="false">
      <c r="A36" s="44" t="s">
        <v>1306</v>
      </c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1" collapsed="false">
      <c r="A37" s="3" t="s">
        <v>1307</v>
      </c>
      <c r="C37" s="84" t="str">
        <f aca="false">CHOOSE(輸入與假設!$C$142,"FY27","FY28","FY29","FY30")</f>
        <v>FY29</v>
      </c>
      <c r="I37" s="5" t="s">
        <v>1308</v>
      </c>
    </row>
    <row r="38" customFormat="false" ht="15" hidden="false" customHeight="false" outlineLevel="1" collapsed="false">
      <c r="A38" s="3" t="s">
        <v>1309</v>
      </c>
      <c r="C38" s="9" t="n">
        <f aca="false">INDEX(損益!$D$19:$G$19,1,輸入與假設!$C$142)</f>
        <v>16.377991</v>
      </c>
    </row>
    <row r="39" customFormat="false" ht="15" hidden="false" customHeight="false" outlineLevel="1" collapsed="false">
      <c r="A39" s="3" t="s">
        <v>1310</v>
      </c>
      <c r="C39" s="50" t="n">
        <f aca="false">C38*輸入與假設!$C$141</f>
        <v>98.267946</v>
      </c>
    </row>
    <row r="40" customFormat="false" ht="15" hidden="false" customHeight="false" outlineLevel="1" collapsed="false">
      <c r="A40" s="3" t="s">
        <v>1311</v>
      </c>
      <c r="C40" s="9" t="n">
        <f aca="false">INDEX(各期收支!$D$82:$G$82,1,輸入與假設!$C$142)-INDEX(各期收支!$D$47:$G$47,1,輸入與假設!$C$142)+評價_DCF與目標價!$C$69</f>
        <v>38.234602</v>
      </c>
      <c r="I40" s="5" t="s">
        <v>1312</v>
      </c>
    </row>
    <row r="41" customFormat="false" ht="15" hidden="false" customHeight="false" outlineLevel="1" collapsed="false">
      <c r="A41" s="3" t="s">
        <v>1313</v>
      </c>
      <c r="C41" s="85" t="n">
        <f aca="false">INDEX(損益!$D$21:$G$21,1,輸入與假設!$C$142)</f>
        <v>0.412118608944017</v>
      </c>
      <c r="I41" s="5" t="s">
        <v>1314</v>
      </c>
    </row>
    <row r="42" customFormat="false" ht="15" hidden="false" customHeight="false" outlineLevel="1" collapsed="false">
      <c r="A42" s="3" t="s">
        <v>1315</v>
      </c>
      <c r="C42" s="85" t="n">
        <f aca="false">1/(1+輸入與假設!$C$134)^(輸入與假設!$C$142-輸入與假設!$C$163)</f>
        <v>0.770357922045693</v>
      </c>
      <c r="I42" s="5" t="s">
        <v>1316</v>
      </c>
    </row>
    <row r="43" customFormat="false" ht="15" hidden="false" customHeight="false" outlineLevel="1" collapsed="false">
      <c r="A43" s="4" t="s">
        <v>1317</v>
      </c>
      <c r="C43" s="41" t="n">
        <f aca="false">MAX(0,(C39-C40)/C41)*C42</f>
        <v>112.218087544735</v>
      </c>
      <c r="I43" s="5" t="s">
        <v>1318</v>
      </c>
    </row>
    <row r="45" customFormat="false" ht="15" hidden="false" customHeight="false" outlineLevel="0" collapsed="false">
      <c r="A45" s="44" t="s">
        <v>1319</v>
      </c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1" collapsed="false">
      <c r="A46" s="4" t="s">
        <v>1320</v>
      </c>
      <c r="C46" s="11" t="n">
        <f aca="false">C26*(1+輸入與假設!$C$134)^輸入與假設!$C$159</f>
        <v>0</v>
      </c>
      <c r="I46" s="5" t="s">
        <v>1321</v>
      </c>
    </row>
    <row r="47" customFormat="false" ht="15" hidden="false" customHeight="false" outlineLevel="1" collapsed="false">
      <c r="A47" s="4" t="s">
        <v>1322</v>
      </c>
      <c r="C47" s="11" t="n">
        <f aca="false">C46*IF(C30=1,0,輸入與假設!$C$143)</f>
        <v>0</v>
      </c>
    </row>
    <row r="48" customFormat="false" ht="15" hidden="false" customHeight="false" outlineLevel="1" collapsed="false">
      <c r="A48" s="4" t="s">
        <v>1323</v>
      </c>
      <c r="C48" s="11" t="n">
        <f aca="false">C43*IF(C30=1,1,1-輸入與假設!$C$143)</f>
        <v>61.7199481496045</v>
      </c>
    </row>
    <row r="49" customFormat="false" ht="15" hidden="false" customHeight="false" outlineLevel="1" collapsed="false">
      <c r="A49" s="2" t="s">
        <v>1319</v>
      </c>
      <c r="C49" s="86" t="n">
        <f aca="false">SUM(C47:C48)</f>
        <v>61.7199481496045</v>
      </c>
      <c r="I49" s="5" t="s">
        <v>1324</v>
      </c>
    </row>
    <row r="50" customFormat="false" ht="15" hidden="false" customHeight="false" outlineLevel="1" collapsed="false">
      <c r="A50" s="3" t="s">
        <v>1325</v>
      </c>
      <c r="C50" s="11" t="n">
        <f aca="false">輸入與假設!$C$124</f>
        <v>249.87</v>
      </c>
    </row>
    <row r="51" customFormat="false" ht="15" hidden="false" customHeight="false" outlineLevel="1" collapsed="false">
      <c r="A51" s="3" t="s">
        <v>1326</v>
      </c>
      <c r="C51" s="27" t="n">
        <f aca="false">C49/C50-1</f>
        <v>-0.752991763118404</v>
      </c>
    </row>
    <row r="53" customFormat="false" ht="15" hidden="false" customHeight="false" outlineLevel="0" collapsed="false">
      <c r="A53" s="44" t="s">
        <v>1327</v>
      </c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1" collapsed="false">
      <c r="A54" s="3" t="s">
        <v>1328</v>
      </c>
      <c r="C54" s="87" t="n">
        <f aca="false">SUMPRODUCT(資產負債_既有債務!$D$24:$D$31*資產負債_既有債務!$G$24:$G$31)</f>
        <v>0.0500220270729555</v>
      </c>
      <c r="I54" s="5" t="s">
        <v>1329</v>
      </c>
    </row>
    <row r="55" customFormat="false" ht="15" hidden="false" customHeight="false" outlineLevel="1" collapsed="false">
      <c r="A55" s="3" t="s">
        <v>1330</v>
      </c>
      <c r="C55" s="87" t="n">
        <f aca="false">輸入與假設!$C$125+C54</f>
        <v>0.369322027072955</v>
      </c>
    </row>
    <row r="56" customFormat="false" ht="15" hidden="false" customHeight="false" outlineLevel="1" collapsed="false">
      <c r="A56" s="3" t="s">
        <v>1331</v>
      </c>
      <c r="C56" s="9" t="n">
        <f aca="false">輸入與假設!$C$126+SUMPRODUCT(資產負債_既有債務!$C$24:$C$31*(1-資產負債_既有債務!$G$24:$G$31))+輸入與假設!$C$133</f>
        <v>-9.51285</v>
      </c>
      <c r="I56" s="5" t="s">
        <v>1332</v>
      </c>
    </row>
    <row r="57" customFormat="false" ht="15" hidden="false" customHeight="false" outlineLevel="1" collapsed="false">
      <c r="A57" s="3" t="s">
        <v>1333</v>
      </c>
      <c r="C57" s="85" t="n">
        <f aca="false">C55+各期收支!G77</f>
        <v>0.519335536354161</v>
      </c>
    </row>
    <row r="58" customFormat="false" ht="15" hidden="false" customHeight="false" outlineLevel="1" collapsed="false">
      <c r="A58" s="3" t="s">
        <v>1334</v>
      </c>
      <c r="C58" s="85" t="n">
        <f aca="false">IF(OR((C23+C28)&lt;=0,C56&lt;=0),0,(LN((C23+C28)/C56)+(輸入與假設!$C$152+輸入與假設!$C$151^2/2)*輸入與假設!$C$153)/(輸入與假設!$C$151*SQRT(輸入與假設!$C$153)))</f>
        <v>0</v>
      </c>
    </row>
    <row r="59" customFormat="false" ht="15" hidden="false" customHeight="false" outlineLevel="1" collapsed="false">
      <c r="A59" s="3" t="s">
        <v>1335</v>
      </c>
      <c r="C59" s="11" t="n">
        <f aca="false">IF(C30=1,0,IF(輸入與假設!$C$150=2,IF((C23+C28)&lt;=0,0,IF(C56&lt;=0,(C23+C28),(C23+C28)*NORMSDIST(C58)-C56*EXP(-輸入與假設!$C$152*輸入與假設!$C$153)*NORMSDIST(C58-輸入與假設!$C$151*SQRT(輸入與假設!$C$153)))/C57),MAX(0,(C23-C56+C28)/C57)))</f>
        <v>0</v>
      </c>
      <c r="I59" s="5" t="s">
        <v>1336</v>
      </c>
    </row>
    <row r="60" customFormat="false" ht="15" hidden="false" customHeight="false" outlineLevel="1" collapsed="false">
      <c r="A60" s="3" t="s">
        <v>1337</v>
      </c>
      <c r="C60" s="9" t="n">
        <f aca="false">INDEX(各期收支!$D$82:$G$82,1,輸入與假設!$C$142)-INDEX(各期收支!$D$47:$G$47,1,輸入與假設!$C$142)+SUMPRODUCT(資產負債_既有債務!$C$24:$C$31*(資產負債_既有債務!$F$24:$F$31-資產負債_既有債務!$G$24:$G$31))+輸入與假設!$C$133</f>
        <v>29.283352</v>
      </c>
      <c r="I60" s="5" t="s">
        <v>1338</v>
      </c>
    </row>
    <row r="61" customFormat="false" ht="15" hidden="false" customHeight="false" outlineLevel="1" collapsed="false">
      <c r="A61" s="3" t="s">
        <v>1339</v>
      </c>
      <c r="C61" s="85" t="n">
        <f aca="false">C55*(1+輸入與假設!$C$147)^輸入與假設!$C$142+INDEX(各期收支!$D$77:$G$77,1,輸入與假設!$C$142)</f>
        <v>0.461904140874276</v>
      </c>
    </row>
    <row r="62" customFormat="false" ht="15" hidden="false" customHeight="false" outlineLevel="1" collapsed="false">
      <c r="A62" s="3" t="s">
        <v>1340</v>
      </c>
      <c r="C62" s="11" t="n">
        <f aca="false">MAX(0,(C39-C60)/C61)*C42</f>
        <v>115.051639040124</v>
      </c>
    </row>
    <row r="63" customFormat="false" ht="15" hidden="false" customHeight="false" outlineLevel="1" collapsed="false">
      <c r="A63" s="2" t="s">
        <v>1341</v>
      </c>
      <c r="C63" s="82" t="n">
        <f aca="false">C59*(1+輸入與假設!$C$134)^輸入與假設!$C$159*IF(C30=1,0,輸入與假設!$C$143)+C62*IF(C30=1,1,1-輸入與假設!$C$143)</f>
        <v>63.2784014720682</v>
      </c>
    </row>
    <row r="64" customFormat="false" ht="15" hidden="false" customHeight="false" outlineLevel="1" collapsed="false">
      <c r="A64" s="2" t="s">
        <v>1342</v>
      </c>
      <c r="C64" s="82" t="n">
        <f aca="false">MIN(輸入與假設!$C$124,C63)</f>
        <v>63.2784014720682</v>
      </c>
      <c r="I64" s="5" t="s">
        <v>1343</v>
      </c>
    </row>
    <row r="65" customFormat="false" ht="15" hidden="false" customHeight="false" outlineLevel="1" collapsed="false">
      <c r="A65" s="3" t="s">
        <v>1344</v>
      </c>
      <c r="C65" s="87" t="n">
        <f aca="false">SUMPRODUCT(資產負債_既有債務!$D$24:$D$31*資產負債_既有債務!$H$24:$H$31)</f>
        <v>0.00170068027210884</v>
      </c>
      <c r="I65" s="5" t="s">
        <v>1345</v>
      </c>
    </row>
    <row r="66" customFormat="false" ht="15" hidden="false" customHeight="false" outlineLevel="1" collapsed="false">
      <c r="A66" s="3" t="s">
        <v>1346</v>
      </c>
      <c r="C66" s="9" t="n">
        <f aca="false">SUMPRODUCT(資產負債_既有債務!$C$24:$C$31*(1-資產負債_既有債務!$H$24:$H$31))</f>
        <v>15.62125</v>
      </c>
    </row>
    <row r="67" customFormat="false" ht="15" hidden="false" customHeight="false" outlineLevel="1" collapsed="false">
      <c r="A67" s="2" t="s">
        <v>1347</v>
      </c>
      <c r="C67" s="73" t="n">
        <f aca="false">輸入與假設!$C$125+C65</f>
        <v>0.321000680272109</v>
      </c>
      <c r="I67" s="10" t="s">
        <v>1348</v>
      </c>
    </row>
    <row r="68" customFormat="false" ht="15" hidden="false" customHeight="false" outlineLevel="1" collapsed="false">
      <c r="A68" s="2" t="s">
        <v>1349</v>
      </c>
      <c r="C68" s="51" t="n">
        <f aca="false">輸入與假設!$C$126+C66+輸入與假設!$C$133</f>
        <v>-0.561599999999999</v>
      </c>
      <c r="I68" s="10" t="s">
        <v>1350</v>
      </c>
    </row>
    <row r="69" customFormat="false" ht="15" hidden="false" customHeight="false" outlineLevel="1" collapsed="false">
      <c r="A69" s="3" t="s">
        <v>1351</v>
      </c>
      <c r="C69" s="9" t="n">
        <f aca="false">SUMPRODUCT(資產負債_既有債務!$C$24:$C$31*(資產負債_既有債務!$F$24:$F$31-資產負債_既有債務!$H$24:$H$31))+輸入與假設!$C$133</f>
        <v>6.4438</v>
      </c>
      <c r="I69" s="5" t="s">
        <v>1352</v>
      </c>
    </row>
    <row r="70" customFormat="false" ht="15" hidden="false" customHeight="false" outlineLevel="1" collapsed="false">
      <c r="A70" s="4" t="s">
        <v>1353</v>
      </c>
      <c r="C70" s="3" t="str">
        <f aca="false">IF(C30=1,"DCF 失效，已以 EV/EBITDA 100% 計。",IF(AND(輸入與假設!$C$150&lt;&gt;2,C85&lt;0),"DCF 為 $0 仍計 "&amp;TEXT(輸入與假設!$C$143,"0%")&amp;" 權重的原因：DCF 沒有失效，而是算出的股權價值為負（每股約 −$"&amp;TEXT(ABS(C85),"0.0")&amp;"），代表自由現金流折現後的企業價值不足以償還淨負債。EV/EBITDA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$"&amp;TEXT(C43,"0.0")&amp;"（"&amp;CHOOSE(D84+2,"賣出","中立","買進")&amp;"）；"&amp;TEXT(輸入與假設!$C$143,"0%")&amp;"／"&amp;TEXT(1-輸入與假設!$C$143,"0%")&amp;" 為判斷值。",""))</f>
        <v>DCF 為 $0 仍計 45% 權重的原因：DCF 沒有失效，而是算出的股權價值為負（每股約 −$53.1），代表自由現金流折現後的企業價值不足以償還淨負債。EV/EBITDA 沒有扣除 GPU 汰換與擴張支出，保留 DCF 權重，是為了讓目標價反映「EBITDA 付不起資本成本」。若不計 DCF，目標價為 $112.2（賣出）；45%／55% 為判斷值。</v>
      </c>
      <c r="I70" s="5" t="s">
        <v>1354</v>
      </c>
    </row>
    <row r="72" customFormat="false" ht="15" hidden="false" customHeight="false" outlineLevel="0" collapsed="false">
      <c r="A72" s="44" t="s">
        <v>1355</v>
      </c>
      <c r="B72" s="7"/>
      <c r="C72" s="7"/>
      <c r="D72" s="7"/>
      <c r="E72" s="7"/>
      <c r="F72" s="7"/>
      <c r="G72" s="7"/>
      <c r="H72" s="7"/>
    </row>
    <row r="73" customFormat="false" ht="15" hidden="false" customHeight="false" outlineLevel="1" collapsed="false">
      <c r="A73" s="3" t="s">
        <v>1356</v>
      </c>
      <c r="C73" s="11" t="n">
        <f aca="false">C49</f>
        <v>61.7199481496045</v>
      </c>
      <c r="I73" s="5" t="str">
        <f aca="false">"評等規則不變：空間 ≥"&amp;IF(ROUND(ABS(輸入與假設!$C$169)*100,4)=INT(ROUND(ABS(輸入與假設!$C$169)*100,4)),TEXT(ROUND(ABS(輸入與假設!$C$169)*100,4),"0"),TEXT(ROUND(ABS(輸入與假設!$C$169)*100,4),"0.0"))&amp;"%"&amp;" 且終值占比 &lt;"&amp;IF(ROUND(ABS(輸入與假設!$C$170)*100,4)=INT(ROUND(ABS(輸入與假設!$C$170)*100,4)),TEXT(ROUND(ABS(輸入與假設!$C$170)*100,4),"0"),TEXT(ROUND(ABS(輸入與假設!$C$170)*100,4),"0.0"))&amp;"%"&amp;"、股權募資 ≤"&amp;IF(輸入與假設!$C$172=INT(輸入與假設!$C$172),TEXT(輸入與假設!$C$172,"0"),TEXT(輸入與假設!$C$172,"0.0"))&amp;" 倍現市值 → 買進；空間 ≤−"&amp;IF(ROUND(ABS(輸入與假設!$C$171)*100,4)=INT(ROUND(ABS(輸入與假設!$C$171)*100,4)),TEXT(ROUND(ABS(輸入與假設!$C$171)*100,4),"0"),TEXT(ROUND(ABS(輸入與假設!$C$171)*100,4),"0.0"))&amp;"%"&amp;"，或股權募資 &gt;"&amp;IF(輸入與假設!$C$172=INT(輸入與假設!$C$172),TEXT(輸入與假設!$C$172,"0"),TEXT(輸入與假設!$C$172,"0.0"))&amp;" 倍且空間 ≤−"&amp;IF(ROUND(ABS(輸入與假設!$C$173)*100,4)=INT(ROUND(ABS(輸入與假設!$C$173)*100,4)),TEXT(ROUND(ABS(輸入與假設!$C$173)*100,4),"0"),TEXT(ROUND(ABS(輸入與假設!$C$173)*100,4),"0.0"))&amp;"%"&amp;"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4" customFormat="false" ht="15" hidden="false" customHeight="false" outlineLevel="1" collapsed="false">
      <c r="A74" s="3" t="s">
        <v>1357</v>
      </c>
      <c r="C74" s="12" t="n">
        <f aca="false">C22/MAX(ABS(C23),1)*IF(C23=0,1,SIGN(C23))</f>
        <v>-0.0496288858075399</v>
      </c>
    </row>
    <row r="75" customFormat="false" ht="15" hidden="false" customHeight="false" outlineLevel="1" collapsed="false">
      <c r="A75" s="3" t="s">
        <v>1358</v>
      </c>
      <c r="C75" s="15" t="n">
        <f aca="false">SUM(各期收支!C72:G72)/(輸入與假設!$C$124*輸入與假設!$C$125)</f>
        <v>0.422837952875305</v>
      </c>
    </row>
    <row r="76" customFormat="false" ht="15" hidden="false" customHeight="false" outlineLevel="1" collapsed="false">
      <c r="A76" s="3" t="s">
        <v>1359</v>
      </c>
      <c r="C76" s="8" t="n">
        <f aca="false">IF(AND((C49/MAX(輸入與假設!$C$124,0.01)-1)&gt;=輸入與假設!$C$169,$C$74&lt;輸入與假設!$C$170,$C$75&lt;=輸入與假設!$C$172),1,IF(OR((C49/MAX(輸入與假設!$C$124,0.01)-1)&lt;=輸入與假設!$C$171,AND($C$75&gt;輸入與假設!$C$172,(C49/MAX(輸入與假設!$C$124,0.01)-1)&lt;=輸入與假設!$C$173)),-1,0))</f>
        <v>-1</v>
      </c>
      <c r="D76" s="8" t="str">
        <f aca="false">CHOOSE(C76+2,"賣出","中立","買進")</f>
        <v>賣出</v>
      </c>
    </row>
    <row r="77" customFormat="false" ht="15" hidden="false" customHeight="false" outlineLevel="1" collapsed="false">
      <c r="A77" s="3" t="s">
        <v>1360</v>
      </c>
      <c r="C77" s="11" t="n">
        <f aca="false">輸入與假設!$C$124*(1+輸入與假設!$C$171)</f>
        <v>212.3895</v>
      </c>
    </row>
    <row r="78" customFormat="false" ht="15" hidden="false" customHeight="false" outlineLevel="1" collapsed="false">
      <c r="A78" s="3" t="s">
        <v>1361</v>
      </c>
      <c r="C78" s="11" t="n">
        <f aca="false">輸入與假設!D201</f>
        <v>63.8014107642874</v>
      </c>
      <c r="D78" s="8" t="n">
        <f aca="false">輸入與假設!E201</f>
        <v>-1</v>
      </c>
      <c r="E78" s="11" t="n">
        <f aca="false">C78-$C$77</f>
        <v>-148.588089235713</v>
      </c>
      <c r="I78" s="5" t="s">
        <v>1362</v>
      </c>
    </row>
    <row r="79" customFormat="false" ht="15" hidden="false" customHeight="false" outlineLevel="1" collapsed="false">
      <c r="A79" s="3" t="s">
        <v>1363</v>
      </c>
      <c r="C79" s="11" t="n">
        <f aca="false">輸入與假設!D202</f>
        <v>61.7199481496045</v>
      </c>
      <c r="D79" s="8" t="n">
        <f aca="false">輸入與假設!E202</f>
        <v>-1</v>
      </c>
      <c r="E79" s="11" t="n">
        <f aca="false">C79-$C$77</f>
        <v>-150.669551850396</v>
      </c>
    </row>
    <row r="80" customFormat="false" ht="15" hidden="false" customHeight="false" outlineLevel="1" collapsed="false">
      <c r="A80" s="3" t="s">
        <v>1364</v>
      </c>
      <c r="C80" s="11" t="n">
        <f aca="false">輸入與假設!D203</f>
        <v>154.558384092823</v>
      </c>
      <c r="D80" s="8" t="n">
        <f aca="false">輸入與假設!E203</f>
        <v>-1</v>
      </c>
      <c r="E80" s="11" t="n">
        <f aca="false">C80-$C$77</f>
        <v>-57.8311159071772</v>
      </c>
    </row>
    <row r="81" customFormat="false" ht="15" hidden="false" customHeight="false" outlineLevel="1" collapsed="false">
      <c r="A81" s="3" t="s">
        <v>1365</v>
      </c>
      <c r="C81" s="11" t="n">
        <f aca="false">MIN(C78,C80)</f>
        <v>63.8014107642874</v>
      </c>
      <c r="D81" s="11" t="n">
        <f aca="false">MAX(C78,C80)</f>
        <v>154.558384092823</v>
      </c>
    </row>
    <row r="82" customFormat="false" ht="15" hidden="false" customHeight="false" outlineLevel="1" collapsed="false">
      <c r="A82" s="3" t="s">
        <v>1366</v>
      </c>
      <c r="C82" s="15" t="n">
        <f aca="false">MIN(輸入與假設!$C$145,輸入與假設!$C$146)</f>
        <v>5</v>
      </c>
      <c r="D82" s="15" t="n">
        <f aca="false">MAX(輸入與假設!$C$145,輸入與假設!$C$146)</f>
        <v>6</v>
      </c>
    </row>
    <row r="83" customFormat="false" ht="15" hidden="false" customHeight="false" outlineLevel="1" collapsed="false">
      <c r="A83" s="3" t="s">
        <v>1367</v>
      </c>
      <c r="C83" s="11" t="n">
        <f aca="false">MIN(C46*IF(C30=1,0,輸入與假設!$C$143)+MAX(0,(C38*C82-C40)/C41)*C42*IF(C30=1,1,1-輸入與假設!$C$143),C46*IF(C30=1,0,輸入與假設!$C$143)+MAX(0,(C38*D82-C40)/C41)*C42*IF(C30=1,1,1-輸入與假設!$C$143))</f>
        <v>44.8818263998867</v>
      </c>
      <c r="D83" s="11" t="n">
        <f aca="false">MAX(C46*IF(C30=1,0,輸入與假設!$C$143)+MAX(0,(C38*C82-C40)/C41)*C42*IF(C30=1,1,1-輸入與假設!$C$143),C46*IF(C30=1,0,輸入與假設!$C$143)+MAX(0,(C38*D82-C40)/C41)*C42*IF(C30=1,1,1-輸入與假設!$C$143))</f>
        <v>61.7199481496045</v>
      </c>
      <c r="I83" s="5" t="s">
        <v>1368</v>
      </c>
    </row>
    <row r="84" customFormat="false" ht="15" hidden="false" customHeight="false" outlineLevel="1" collapsed="false">
      <c r="A84" s="3" t="s">
        <v>1369</v>
      </c>
      <c r="C84" s="11" t="n">
        <f aca="false">C43</f>
        <v>112.218087544735</v>
      </c>
      <c r="D84" s="8" t="n">
        <f aca="false">IF(AND((C43/MAX(輸入與假設!$C$124,0.01)-1)&gt;=輸入與假設!$C$169,$C$74&lt;輸入與假設!$C$170,$C$75&lt;=輸入與假設!$C$172),1,IF(OR((C43/MAX(輸入與假設!$C$124,0.01)-1)&lt;=輸入與假設!$C$171,AND($C$75&gt;輸入與假設!$C$172,(C43/MAX(輸入與假設!$C$124,0.01)-1)&lt;=輸入與假設!$C$173)),-1,0))</f>
        <v>-1</v>
      </c>
      <c r="E84" s="11" t="str">
        <f aca="false">CHOOSE(D84+2,"賣出","中立","買進")</f>
        <v>賣出</v>
      </c>
    </row>
    <row r="85" customFormat="false" ht="15" hidden="false" customHeight="false" outlineLevel="1" collapsed="false">
      <c r="A85" s="3" t="s">
        <v>1370</v>
      </c>
      <c r="C85" s="11" t="n">
        <f aca="false">(C25+C28)/C29</f>
        <v>-53.0762185174513</v>
      </c>
    </row>
    <row r="86" customFormat="false" ht="15" hidden="false" customHeight="false" outlineLevel="1" collapsed="false">
      <c r="A86" s="3" t="s">
        <v>1371</v>
      </c>
      <c r="C86" s="3" t="str">
        <f aca="false">"目標價 $"&amp;TEXT(C49,"0.0")&amp;"（情境區間 $"&amp;TEXT(C81,"0.0")&amp;"–$"&amp;TEXT(D81,"0.0")&amp;"）"</f>
        <v>目標價 $61.7（情境區間 $63.8–$154.6）</v>
      </c>
    </row>
    <row r="87" customFormat="false" ht="15" hidden="false" customHeight="false" outlineLevel="1" collapsed="false">
      <c r="A87" s="3" t="s">
        <v>1372</v>
      </c>
      <c r="C87" s="3" t="str">
        <f aca="false">"方法區間（目前情境，"&amp;IF(C82=INT(C82),TEXT(C82,"0"),TEXT(C82,"0.0"))&amp;"–"&amp;IF(D82=INT(D82),TEXT(D82,"0"),TEXT(D82,"0.0"))&amp;"x）"</f>
        <v>方法區間（目前情境，5–6x）</v>
      </c>
    </row>
    <row r="88" customFormat="false" ht="15" hidden="false" customHeight="false" outlineLevel="1" collapsed="false">
      <c r="A88" s="3" t="s">
        <v>1373</v>
      </c>
      <c r="C88" s="3" t="str">
        <f aca="false">IF(ABS(輸入與假設!$C$141-D82)&lt;0.000000001,"目前點位位於方法區間上緣（"&amp;IF(D82=INT(D82),TEXT(D82,"0"),TEXT(D82,"0.0"))&amp;"x 為穩態倍數上緣）",IF(ABS(輸入與假設!$C$141-C82)&lt;0.000000001,"目前點位位於方法區間下緣（"&amp;IF(C82=INT(C82),TEXT(C82,"0"),TEXT(C82,"0.0"))&amp;"x）","目前點位"&amp;IF(AND(輸入與假設!$C$141&gt;C82,輸入與假設!$C$141&lt;D82),"位於方法區間內",IF(輸入與假設!$C$141&gt;D82,"高於方法區間上緣","低於方法區間下緣"))&amp;"（目前倍數 "&amp;IF(輸入與假設!$C$141=INT(輸入與假設!$C$141),TEXT(輸入與假設!$C$141,"0"),TEXT(輸入與假設!$C$141,"0.0"))&amp;"x）"))</f>
        <v>目前點位位於方法區間上緣（6x 為穩態倍數上緣）</v>
      </c>
    </row>
    <row r="89" customFormat="false" ht="15" hidden="false" customHeight="false" outlineLevel="1" collapsed="false">
      <c r="A89" s="2" t="s">
        <v>1374</v>
      </c>
      <c r="C89" s="3" t="str">
        <f aca="false">IF(D81&lt;輸入與假設!$C$124,"情境區間上緣 $"&amp;TEXT(D81,"0.0")&amp;" 低於現價 $"&amp;TEXT(輸入與假設!$C$124,"0.00")&amp;IF((D78&lt;&gt;-1)+(D79&lt;&gt;-1)+(D80&lt;&gt;-1)&gt;0,"，但"&amp;SUBSTITUTE(TRIM(IF(D78&lt;&gt;-1,"保守","")&amp;" "&amp;IF(D79&lt;&gt;-1,"基準","")&amp;" "&amp;IF(D80&lt;&gt;-1,"積極",""))," ","、")&amp;"情境未達賣出門檻 $"&amp;TEXT($C$77,"0.0"),"：賣出在三個擴張情境下都成立"),"情境區間上緣 $"&amp;TEXT(D81,"0.0")&amp;" 不低於現價 $"&amp;TEXT(輸入與假設!$C$124,"0.00")&amp;"：賣出並非在三個擴張情境下都成立")&amp;"。"&amp;IF(ABS(E78)&lt;輸入與假設!$C$174*輸入與假設!$C$124,"保守情境 $"&amp;TEXT(C78,"0.0")&amp;"，"&amp;IF(E78&lt;0,"距賣出門檻","高於賣出門檻")&amp;" $"&amp;TEXT($C$77,"0.0")&amp;" 僅 $"&amp;TEXT(ABS(E78),"0.0")&amp;"。","")&amp;IF(ABS(E79)&lt;輸入與假設!$C$174*輸入與假設!$C$124,"基準情境 $"&amp;TEXT(C79,"0.0")&amp;"，"&amp;IF(E79&lt;0,"距賣出門檻","高於賣出門檻")&amp;" $"&amp;TEXT($C$77,"0.0")&amp;" 僅 $"&amp;TEXT(ABS(E79),"0.0")&amp;"。","")&amp;IF(ABS(E80)&lt;輸入與假設!$C$174*輸入與假設!$C$124,"積極情境 $"&amp;TEXT(C80,"0.0")&amp;"，"&amp;IF(E80&lt;0,"距賣出門檻","高於賣出門檻")&amp;" $"&amp;TEXT($C$77,"0.0")&amp;" 僅 $"&amp;TEXT(ABS(E80),"0.0")&amp;"。","")</f>
        <v>情境區間上緣 $154.6 低於現價 $249.87：賣出在三個擴張情境下都成立。</v>
      </c>
    </row>
    <row r="91" customFormat="false" ht="15" hidden="false" customHeight="false" outlineLevel="0" collapsed="false">
      <c r="A91" s="44" t="s">
        <v>1375</v>
      </c>
      <c r="B91" s="7"/>
      <c r="C91" s="7"/>
      <c r="D91" s="7"/>
      <c r="E91" s="7"/>
      <c r="F91" s="7"/>
      <c r="G91" s="7"/>
      <c r="H91" s="7"/>
    </row>
    <row r="92" customFormat="false" ht="17.15" hidden="false" customHeight="false" outlineLevel="1" collapsed="false">
      <c r="A92" s="13" t="s">
        <v>1376</v>
      </c>
      <c r="B92" s="13" t="s">
        <v>1377</v>
      </c>
      <c r="C92" s="14" t="s">
        <v>53</v>
      </c>
      <c r="D92" s="14" t="s">
        <v>54</v>
      </c>
      <c r="E92" s="14" t="s">
        <v>138</v>
      </c>
      <c r="F92" s="14" t="s">
        <v>139</v>
      </c>
      <c r="I92" s="10" t="s">
        <v>1378</v>
      </c>
    </row>
    <row r="93" customFormat="false" ht="15" hidden="false" customHeight="false" outlineLevel="1" collapsed="false">
      <c r="A93" s="3" t="s">
        <v>1379</v>
      </c>
      <c r="B93" s="88" t="n">
        <v>3.4</v>
      </c>
      <c r="C93" s="11" t="n">
        <f aca="false">MAX(0,(INDEX(損益!$D$19:$G$19,1,1)*$B93-(INDEX(各期收支!$D$82:$G$82,1,1)-INDEX(各期收支!$D$47:$G$47,1,1)+評價_DCF與目標價!$C$69))/INDEX(損益!$D$21:$G$21,1,1))/(1+輸入與假設!$C$134)^(1-輸入與假設!$C$163)</f>
        <v>0</v>
      </c>
      <c r="D93" s="11" t="n">
        <f aca="false">MAX(0,(INDEX(損益!$D$19:$G$19,1,2)*$B93-(INDEX(各期收支!$D$82:$G$82,1,2)-INDEX(各期收支!$D$47:$G$47,1,2)+評價_DCF與目標價!$C$69))/INDEX(損益!$D$21:$G$21,1,2))/(1+輸入與假設!$C$134)^(2-輸入與假設!$C$163)</f>
        <v>8.87187102849463</v>
      </c>
      <c r="E93" s="11" t="n">
        <f aca="false">MAX(0,(INDEX(損益!$D$19:$G$19,1,3)*$B93-(INDEX(各期收支!$D$82:$G$82,1,3)-INDEX(各期收支!$D$47:$G$47,1,3)+評價_DCF與目標價!$C$69))/INDEX(損益!$D$21:$G$21,1,3))/(1+輸入與假設!$C$134)^(3-輸入與假設!$C$163)</f>
        <v>32.6196938187969</v>
      </c>
      <c r="F93" s="11" t="n">
        <f aca="false">MAX(0,(INDEX(損益!$D$19:$G$19,1,4)*$B93-(INDEX(各期收支!$D$82:$G$82,1,4)-INDEX(各期收支!$D$47:$G$47,1,4)+評價_DCF與目標價!$C$69))/INDEX(損益!$D$21:$G$21,1,4))/(1+輸入與假設!$C$134)^(4-輸入與假設!$C$163)</f>
        <v>42.9579123899208</v>
      </c>
    </row>
    <row r="94" customFormat="false" ht="15" hidden="false" customHeight="false" outlineLevel="1" collapsed="false">
      <c r="A94" s="3" t="s">
        <v>1380</v>
      </c>
      <c r="B94" s="88" t="n">
        <v>4.5</v>
      </c>
      <c r="C94" s="11" t="n">
        <f aca="false">MAX(0,(INDEX(損益!$D$19:$G$19,1,1)*$B94-(INDEX(各期收支!$D$82:$G$82,1,1)-INDEX(各期收支!$D$47:$G$47,1,1)+評價_DCF與目標價!$C$69))/INDEX(損益!$D$21:$G$21,1,1))/(1+輸入與假設!$C$134)^(1-輸入與假設!$C$163)</f>
        <v>0</v>
      </c>
      <c r="D94" s="11" t="n">
        <f aca="false">MAX(0,(INDEX(損益!$D$19:$G$19,1,2)*$B94-(INDEX(各期收支!$D$82:$G$82,1,2)-INDEX(各期收支!$D$47:$G$47,1,2)+評價_DCF與目標價!$C$69))/INDEX(損益!$D$21:$G$21,1,2))/(1+輸入與假設!$C$134)^(2-輸入與假設!$C$163)</f>
        <v>35.8329456874982</v>
      </c>
      <c r="E94" s="11" t="n">
        <f aca="false">MAX(0,(INDEX(損益!$D$19:$G$19,1,3)*$B94-(INDEX(各期收支!$D$82:$G$82,1,3)-INDEX(各期收支!$D$47:$G$47,1,3)+評價_DCF與目標價!$C$69))/INDEX(損益!$D$21:$G$21,1,3))/(1+輸入與假設!$C$134)^(3-輸入與假設!$C$163)</f>
        <v>66.2959373182324</v>
      </c>
      <c r="F94" s="11" t="n">
        <f aca="false">MAX(0,(INDEX(損益!$D$19:$G$19,1,4)*$B94-(INDEX(各期收支!$D$82:$G$82,1,4)-INDEX(各期收支!$D$47:$G$47,1,4)+評價_DCF與目標價!$C$69))/INDEX(損益!$D$21:$G$21,1,4))/(1+輸入與假設!$C$134)^(4-輸入與假設!$C$163)</f>
        <v>75.2285946517858</v>
      </c>
    </row>
    <row r="95" customFormat="false" ht="15" hidden="false" customHeight="false" outlineLevel="1" collapsed="false">
      <c r="A95" s="3" t="s">
        <v>1381</v>
      </c>
      <c r="B95" s="88" t="n">
        <v>5</v>
      </c>
      <c r="C95" s="11" t="n">
        <f aca="false">MAX(0,(INDEX(損益!$D$19:$G$19,1,1)*$B95-(INDEX(各期收支!$D$82:$G$82,1,1)-INDEX(各期收支!$D$47:$G$47,1,1)+評價_DCF與目標價!$C$69))/INDEX(損益!$D$21:$G$21,1,1))/(1+輸入與假設!$C$134)^(1-輸入與假設!$C$163)</f>
        <v>0</v>
      </c>
      <c r="D95" s="11" t="n">
        <f aca="false">MAX(0,(INDEX(損益!$D$19:$G$19,1,2)*$B95-(INDEX(各期收支!$D$82:$G$82,1,2)-INDEX(各期收支!$D$47:$G$47,1,2)+評價_DCF與目標價!$C$69))/INDEX(損益!$D$21:$G$21,1,2))/(1+輸入與假設!$C$134)^(2-輸入與假設!$C$163)</f>
        <v>48.087979623409</v>
      </c>
      <c r="E95" s="11" t="n">
        <f aca="false">MAX(0,(INDEX(損益!$D$19:$G$19,1,3)*$B95-(INDEX(各期收支!$D$82:$G$82,1,3)-INDEX(各期收支!$D$47:$G$47,1,3)+評價_DCF與目標價!$C$69))/INDEX(損益!$D$21:$G$21,1,3))/(1+輸入與假設!$C$134)^(3-輸入與假設!$C$163)</f>
        <v>81.6033207270667</v>
      </c>
      <c r="F95" s="11" t="n">
        <f aca="false">MAX(0,(INDEX(損益!$D$19:$G$19,1,4)*$B95-(INDEX(各期收支!$D$82:$G$82,1,4)-INDEX(各期收支!$D$47:$G$47,1,4)+評價_DCF與目標價!$C$69))/INDEX(損益!$D$21:$G$21,1,4))/(1+輸入與假設!$C$134)^(4-輸入與假設!$C$163)</f>
        <v>89.8970865889971</v>
      </c>
    </row>
    <row r="96" customFormat="false" ht="15" hidden="false" customHeight="false" outlineLevel="1" collapsed="false">
      <c r="A96" s="3" t="s">
        <v>1382</v>
      </c>
      <c r="B96" s="88" t="n">
        <v>6</v>
      </c>
      <c r="C96" s="11" t="n">
        <f aca="false">MAX(0,(INDEX(損益!$D$19:$G$19,1,1)*$B96-(INDEX(各期收支!$D$82:$G$82,1,1)-INDEX(各期收支!$D$47:$G$47,1,1)+評價_DCF與目標價!$C$69))/INDEX(損益!$D$21:$G$21,1,1))/(1+輸入與假設!$C$134)^(1-輸入與假設!$C$163)</f>
        <v>10.4977709371744</v>
      </c>
      <c r="D96" s="11" t="n">
        <f aca="false">MAX(0,(INDEX(損益!$D$19:$G$19,1,2)*$B96-(INDEX(各期收支!$D$82:$G$82,1,2)-INDEX(各期收支!$D$47:$G$47,1,2)+評價_DCF與目標價!$C$69))/INDEX(損益!$D$21:$G$21,1,2))/(1+輸入與假設!$C$134)^(2-輸入與假設!$C$163)</f>
        <v>72.5980474952304</v>
      </c>
      <c r="E96" s="11" t="n">
        <f aca="false">MAX(0,(INDEX(損益!$D$19:$G$19,1,3)*$B96-(INDEX(各期收支!$D$82:$G$82,1,3)-INDEX(各期收支!$D$47:$G$47,1,3)+評價_DCF與目標價!$C$69))/INDEX(損益!$D$21:$G$21,1,3))/(1+輸入與假設!$C$134)^(3-輸入與假設!$C$163)</f>
        <v>112.218087544735</v>
      </c>
      <c r="F96" s="11" t="n">
        <f aca="false">MAX(0,(INDEX(損益!$D$19:$G$19,1,4)*$B96-(INDEX(各期收支!$D$82:$G$82,1,4)-INDEX(各期收支!$D$47:$G$47,1,4)+評價_DCF與目標價!$C$69))/INDEX(損益!$D$21:$G$21,1,4))/(1+輸入與假設!$C$134)^(4-輸入與假設!$C$163)</f>
        <v>119.23407046342</v>
      </c>
    </row>
    <row r="97" customFormat="false" ht="15" hidden="false" customHeight="false" outlineLevel="1" collapsed="false">
      <c r="A97" s="3" t="s">
        <v>1383</v>
      </c>
      <c r="B97" s="88" t="n">
        <v>7</v>
      </c>
      <c r="C97" s="11" t="n">
        <f aca="false">MAX(0,(INDEX(損益!$D$19:$G$19,1,1)*$B97-(INDEX(各期收支!$D$82:$G$82,1,1)-INDEX(各期收支!$D$47:$G$47,1,1)+評價_DCF與目標價!$C$69))/INDEX(損益!$D$21:$G$21,1,1))/(1+輸入與假設!$C$134)^(1-輸入與假設!$C$163)</f>
        <v>24.9204668921262</v>
      </c>
      <c r="D97" s="11" t="n">
        <f aca="false">MAX(0,(INDEX(損益!$D$19:$G$19,1,2)*$B97-(INDEX(各期收支!$D$82:$G$82,1,2)-INDEX(各期收支!$D$47:$G$47,1,2)+評價_DCF與目標價!$C$69))/INDEX(損益!$D$21:$G$21,1,2))/(1+輸入與假設!$C$134)^(2-輸入與假設!$C$163)</f>
        <v>97.1081153670519</v>
      </c>
      <c r="E97" s="11" t="n">
        <f aca="false">MAX(0,(INDEX(損益!$D$19:$G$19,1,3)*$B97-(INDEX(各期收支!$D$82:$G$82,1,3)-INDEX(各期收支!$D$47:$G$47,1,3)+評價_DCF與目標價!$C$69))/INDEX(損益!$D$21:$G$21,1,3))/(1+輸入與假設!$C$134)^(3-輸入與假設!$C$163)</f>
        <v>142.832854362404</v>
      </c>
      <c r="F97" s="11" t="n">
        <f aca="false">MAX(0,(INDEX(損益!$D$19:$G$19,1,4)*$B97-(INDEX(各期收支!$D$82:$G$82,1,4)-INDEX(各期收支!$D$47:$G$47,1,4)+評價_DCF與目標價!$C$69))/INDEX(損益!$D$21:$G$21,1,4))/(1+輸入與假設!$C$134)^(4-輸入與假設!$C$163)</f>
        <v>148.571054337843</v>
      </c>
    </row>
    <row r="98" customFormat="false" ht="15" hidden="false" customHeight="false" outlineLevel="1" collapsed="false"/>
    <row r="99" customFormat="false" ht="15" hidden="false" customHeight="false" outlineLevel="1" collapsed="false">
      <c r="A99" s="13" t="s">
        <v>1384</v>
      </c>
      <c r="B99" s="13" t="s">
        <v>1377</v>
      </c>
      <c r="C99" s="14" t="s">
        <v>53</v>
      </c>
      <c r="D99" s="14" t="s">
        <v>54</v>
      </c>
      <c r="E99" s="14" t="s">
        <v>138</v>
      </c>
      <c r="F99" s="14" t="s">
        <v>139</v>
      </c>
    </row>
    <row r="100" customFormat="false" ht="15" hidden="false" customHeight="false" outlineLevel="1" collapsed="false">
      <c r="A100" s="3" t="s">
        <v>1385</v>
      </c>
      <c r="B100" s="88" t="n">
        <v>3.4</v>
      </c>
      <c r="C100" s="11" t="n">
        <f aca="false">C46*IF(C30=1,0,輸入與假設!$C$143)+C93*IF(C30=1,1,1-輸入與假設!$C$143)</f>
        <v>0</v>
      </c>
      <c r="D100" s="11" t="n">
        <f aca="false">C46*IF(C30=1,0,輸入與假設!$C$143)+D93*IF(C30=1,1,1-輸入與假設!$C$143)</f>
        <v>4.87952906567205</v>
      </c>
      <c r="E100" s="11" t="n">
        <f aca="false">C46*IF(C30=1,0,輸入與假設!$C$143)+E93*IF(C30=1,1,1-輸入與假設!$C$143)</f>
        <v>17.9408316003383</v>
      </c>
      <c r="F100" s="11" t="n">
        <f aca="false">C46*IF(C30=1,0,輸入與假設!$C$143)+F93*IF(C30=1,1,1-輸入與假設!$C$143)</f>
        <v>23.6268518144565</v>
      </c>
    </row>
    <row r="101" customFormat="false" ht="15" hidden="false" customHeight="false" outlineLevel="1" collapsed="false">
      <c r="A101" s="3" t="s">
        <v>1386</v>
      </c>
      <c r="B101" s="88" t="n">
        <v>4.5</v>
      </c>
      <c r="C101" s="11" t="n">
        <f aca="false">C46*IF(C30=1,0,輸入與假設!$C$143)+C94*IF(C30=1,1,1-輸入與假設!$C$143)</f>
        <v>0</v>
      </c>
      <c r="D101" s="11" t="n">
        <f aca="false">C46*IF(C30=1,0,輸入與假設!$C$143)+D94*IF(C30=1,1,1-輸入與假設!$C$143)</f>
        <v>19.708120128124</v>
      </c>
      <c r="E101" s="11" t="n">
        <f aca="false">C46*IF(C30=1,0,輸入與假設!$C$143)+E94*IF(C30=1,1,1-輸入與假設!$C$143)</f>
        <v>36.4627655250278</v>
      </c>
      <c r="F101" s="11" t="n">
        <f aca="false">C46*IF(C30=1,0,輸入與假設!$C$143)+F94*IF(C30=1,1,1-輸入與假設!$C$143)</f>
        <v>41.3757270584822</v>
      </c>
    </row>
    <row r="102" customFormat="false" ht="15" hidden="false" customHeight="false" outlineLevel="1" collapsed="false">
      <c r="A102" s="3" t="s">
        <v>1387</v>
      </c>
      <c r="B102" s="88" t="n">
        <v>5</v>
      </c>
      <c r="C102" s="11" t="n">
        <f aca="false">C46*IF(C30=1,0,輸入與假設!$C$143)+C95*IF(C30=1,1,1-輸入與假設!$C$143)</f>
        <v>0</v>
      </c>
      <c r="D102" s="11" t="n">
        <f aca="false">C46*IF(C30=1,0,輸入與假設!$C$143)+D95*IF(C30=1,1,1-輸入與假設!$C$143)</f>
        <v>26.4483887928749</v>
      </c>
      <c r="E102" s="11" t="n">
        <f aca="false">C46*IF(C30=1,0,輸入與假設!$C$143)+E95*IF(C30=1,1,1-輸入與假設!$C$143)</f>
        <v>44.8818263998867</v>
      </c>
      <c r="F102" s="11" t="n">
        <f aca="false">C46*IF(C30=1,0,輸入與假設!$C$143)+F95*IF(C30=1,1,1-輸入與假設!$C$143)</f>
        <v>49.4433976239484</v>
      </c>
    </row>
    <row r="103" customFormat="false" ht="15" hidden="false" customHeight="false" outlineLevel="1" collapsed="false">
      <c r="A103" s="3" t="s">
        <v>1388</v>
      </c>
      <c r="B103" s="88" t="n">
        <v>6</v>
      </c>
      <c r="C103" s="11" t="n">
        <f aca="false">C46*IF(C30=1,0,輸入與假設!$C$143)+C96*IF(C30=1,1,1-輸入與假設!$C$143)</f>
        <v>5.7737740154459</v>
      </c>
      <c r="D103" s="11" t="n">
        <f aca="false">C46*IF(C30=1,0,輸入與假設!$C$143)+D96*IF(C30=1,1,1-輸入與假設!$C$143)</f>
        <v>39.9289261223767</v>
      </c>
      <c r="E103" s="11" t="n">
        <f aca="false">C46*IF(C30=1,0,輸入與假設!$C$143)+E96*IF(C30=1,1,1-輸入與假設!$C$143)</f>
        <v>61.7199481496045</v>
      </c>
      <c r="F103" s="11" t="n">
        <f aca="false">C46*IF(C30=1,0,輸入與假設!$C$143)+F96*IF(C30=1,1,1-輸入與假設!$C$143)</f>
        <v>65.5787387548809</v>
      </c>
    </row>
    <row r="104" customFormat="false" ht="15" hidden="false" customHeight="false" outlineLevel="1" collapsed="false">
      <c r="A104" s="3" t="s">
        <v>1389</v>
      </c>
      <c r="B104" s="88" t="n">
        <v>7</v>
      </c>
      <c r="C104" s="11" t="n">
        <f aca="false">C46*IF(C30=1,0,輸入與假設!$C$143)+C97*IF(C30=1,1,1-輸入與假設!$C$143)</f>
        <v>13.7062567906694</v>
      </c>
      <c r="D104" s="11" t="n">
        <f aca="false">C46*IF(C30=1,0,輸入與假設!$C$143)+D97*IF(C30=1,1,1-輸入與假設!$C$143)</f>
        <v>53.4094634518785</v>
      </c>
      <c r="E104" s="11" t="n">
        <f aca="false">C46*IF(C30=1,0,輸入與假設!$C$143)+E97*IF(C30=1,1,1-輸入與假設!$C$143)</f>
        <v>78.5580698993223</v>
      </c>
      <c r="F104" s="11" t="n">
        <f aca="false">C46*IF(C30=1,0,輸入與假設!$C$143)+F97*IF(C30=1,1,1-輸入與假設!$C$143)</f>
        <v>81.7140798858134</v>
      </c>
    </row>
  </sheetData>
  <conditionalFormatting sqref="C93:F97">
    <cfRule type="cellIs" priority="2" operator="greaterThanOrEqual" aboveAverage="0" equalAverage="0" bottom="0" percent="0" rank="0" text="" dxfId="0">
      <formula>輸入與假設!$C$124</formula>
    </cfRule>
  </conditionalFormatting>
  <conditionalFormatting sqref="C100:F104">
    <cfRule type="cellIs" priority="3" operator="greaterThanOrEqual" aboveAverage="0" equalAverage="0" bottom="0" percent="0" rank="0" text="" dxfId="0">
      <formula>輸入與假設!$C$124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1" t="s">
        <v>1390</v>
      </c>
    </row>
    <row r="2" customFormat="false" ht="15" hidden="false" customHeight="false" outlineLevel="0" collapsed="false">
      <c r="A2" s="5" t="s">
        <v>1391</v>
      </c>
    </row>
    <row r="4" customFormat="false" ht="15" hidden="false" customHeight="false" outlineLevel="0" collapsed="false">
      <c r="A4" s="44" t="s">
        <v>1392</v>
      </c>
      <c r="B4" s="7"/>
      <c r="C4" s="7"/>
      <c r="D4" s="7"/>
      <c r="E4" s="7"/>
      <c r="F4" s="7"/>
      <c r="G4" s="7"/>
    </row>
    <row r="5" customFormat="false" ht="15" hidden="false" customHeight="false" outlineLevel="1" collapsed="false">
      <c r="A5" s="3" t="s">
        <v>1325</v>
      </c>
      <c r="B5" s="89" t="n">
        <f aca="false">輸入與假設!$C$124</f>
        <v>249.87</v>
      </c>
    </row>
    <row r="6" customFormat="false" ht="15" hidden="false" customHeight="false" outlineLevel="1" collapsed="false">
      <c r="A6" s="3" t="s">
        <v>1393</v>
      </c>
      <c r="B6" s="89" t="n">
        <f aca="false">評價_DCF與目標價!C26</f>
        <v>0</v>
      </c>
    </row>
    <row r="7" customFormat="false" ht="15" hidden="false" customHeight="false" outlineLevel="1" collapsed="false">
      <c r="A7" s="2" t="s">
        <v>1394</v>
      </c>
      <c r="B7" s="86" t="n">
        <f aca="false">B6-B5</f>
        <v>-249.87</v>
      </c>
    </row>
    <row r="8" customFormat="false" ht="15" hidden="false" customHeight="false" outlineLevel="1" collapsed="false">
      <c r="A8" s="3" t="s">
        <v>1395</v>
      </c>
      <c r="B8" s="90" t="n">
        <f aca="false">輸入與假設!$C$35</f>
        <v>1</v>
      </c>
      <c r="C8" s="90" t="n">
        <f aca="false">輸入與假設!$C$67</f>
        <v>1</v>
      </c>
    </row>
    <row r="10" customFormat="false" ht="15" hidden="false" customHeight="false" outlineLevel="0" collapsed="false">
      <c r="A10" s="44" t="s">
        <v>1396</v>
      </c>
      <c r="B10" s="7"/>
      <c r="C10" s="7"/>
      <c r="D10" s="7"/>
      <c r="E10" s="7"/>
      <c r="F10" s="7"/>
      <c r="G10" s="7"/>
    </row>
    <row r="11" customFormat="false" ht="15" hidden="false" customHeight="false" outlineLevel="1" collapsed="false">
      <c r="A11" s="5" t="s">
        <v>1397</v>
      </c>
    </row>
    <row r="12" customFormat="false" ht="15" hidden="false" customHeight="false" outlineLevel="1" collapsed="false">
      <c r="A12" s="5" t="s">
        <v>1398</v>
      </c>
    </row>
    <row r="13" customFormat="false" ht="15" hidden="false" customHeight="false" outlineLevel="1" collapsed="false">
      <c r="A13" s="5" t="s">
        <v>1399</v>
      </c>
    </row>
    <row r="14" customFormat="false" ht="15" hidden="false" customHeight="false" outlineLevel="1" collapsed="false">
      <c r="A14" s="5" t="s">
        <v>1400</v>
      </c>
    </row>
    <row r="16" customFormat="false" ht="15" hidden="false" customHeight="false" outlineLevel="0" collapsed="false">
      <c r="A16" s="44" t="s">
        <v>1401</v>
      </c>
      <c r="B16" s="7"/>
      <c r="C16" s="7"/>
      <c r="D16" s="7"/>
      <c r="E16" s="7"/>
      <c r="F16" s="7"/>
      <c r="G16" s="7"/>
    </row>
    <row r="17" customFormat="false" ht="15" hidden="false" customHeight="false" outlineLevel="1" collapsed="false">
      <c r="A17" s="13" t="s">
        <v>1402</v>
      </c>
      <c r="B17" s="13" t="s">
        <v>1403</v>
      </c>
      <c r="C17" s="13" t="s">
        <v>1404</v>
      </c>
      <c r="D17" s="13" t="s">
        <v>1405</v>
      </c>
      <c r="G17" s="13" t="s">
        <v>1406</v>
      </c>
    </row>
    <row r="18" customFormat="false" ht="15" hidden="false" customHeight="false" outlineLevel="1" collapsed="false">
      <c r="A18" s="4" t="s">
        <v>1407</v>
      </c>
      <c r="B18" s="91" t="n">
        <v>17.4</v>
      </c>
      <c r="C18" s="91" t="n">
        <v>32.4806</v>
      </c>
      <c r="D18" s="53" t="n">
        <v>0.8667</v>
      </c>
      <c r="G18" s="5" t="s">
        <v>1408</v>
      </c>
    </row>
    <row r="19" customFormat="false" ht="15" hidden="false" customHeight="false" outlineLevel="1" collapsed="false">
      <c r="A19" s="3" t="s">
        <v>1409</v>
      </c>
      <c r="B19" s="91" t="n">
        <v>50.26</v>
      </c>
      <c r="C19" s="91" t="n">
        <v>11.6296</v>
      </c>
      <c r="D19" s="53" t="n">
        <v>-0.7686</v>
      </c>
      <c r="G19" s="10" t="s">
        <v>1410</v>
      </c>
    </row>
    <row r="20" customFormat="false" ht="15" hidden="false" customHeight="false" outlineLevel="1" collapsed="false">
      <c r="A20" s="3" t="s">
        <v>220</v>
      </c>
      <c r="B20" s="53" t="n">
        <v>0.47</v>
      </c>
      <c r="C20" s="53" t="n">
        <v>0.9059</v>
      </c>
      <c r="D20" s="53" t="n">
        <v>0.4359</v>
      </c>
      <c r="G20" s="5" t="s">
        <v>1411</v>
      </c>
    </row>
    <row r="21" customFormat="false" ht="15" hidden="false" customHeight="false" outlineLevel="1" collapsed="false">
      <c r="A21" s="3" t="s">
        <v>1412</v>
      </c>
      <c r="B21" s="91" t="n">
        <v>17.4</v>
      </c>
      <c r="C21" s="91" t="n">
        <v>29.6284</v>
      </c>
      <c r="D21" s="53" t="n">
        <v>0.7028</v>
      </c>
      <c r="G21" s="5" t="s">
        <v>1413</v>
      </c>
    </row>
    <row r="23" customFormat="false" ht="15" hidden="false" customHeight="false" outlineLevel="0" collapsed="false">
      <c r="A23" s="44" t="s">
        <v>1414</v>
      </c>
      <c r="B23" s="7"/>
      <c r="C23" s="7"/>
      <c r="D23" s="7"/>
      <c r="E23" s="7"/>
      <c r="F23" s="7"/>
      <c r="G23" s="7"/>
    </row>
    <row r="24" customFormat="false" ht="17.15" hidden="false" customHeight="false" outlineLevel="1" collapsed="false">
      <c r="A24" s="13" t="s">
        <v>1415</v>
      </c>
      <c r="B24" s="92" t="n">
        <v>0.35</v>
      </c>
      <c r="C24" s="92" t="n">
        <v>0.47</v>
      </c>
      <c r="D24" s="92" t="n">
        <v>0.59</v>
      </c>
      <c r="E24" s="92" t="n">
        <v>0.7</v>
      </c>
    </row>
    <row r="25" customFormat="false" ht="15" hidden="false" customHeight="false" outlineLevel="1" collapsed="false">
      <c r="A25" s="4" t="s">
        <v>1416</v>
      </c>
      <c r="B25" s="91" t="n">
        <v>33.84</v>
      </c>
      <c r="C25" s="91" t="n">
        <v>25.67</v>
      </c>
      <c r="D25" s="91" t="n">
        <v>20.68</v>
      </c>
      <c r="E25" s="91" t="n">
        <v>17.55</v>
      </c>
    </row>
    <row r="26" customFormat="false" ht="15" hidden="false" customHeight="false" outlineLevel="1" collapsed="false">
      <c r="A26" s="4" t="s">
        <v>1417</v>
      </c>
      <c r="B26" s="91" t="n">
        <v>36.83</v>
      </c>
      <c r="C26" s="91" t="n">
        <v>27.94</v>
      </c>
      <c r="D26" s="91" t="n">
        <v>22.51</v>
      </c>
      <c r="E26" s="91" t="n">
        <v>19.11</v>
      </c>
    </row>
    <row r="27" customFormat="false" ht="15" hidden="false" customHeight="false" outlineLevel="1" collapsed="false">
      <c r="A27" s="4" t="s">
        <v>1418</v>
      </c>
      <c r="B27" s="91" t="n">
        <v>39.83</v>
      </c>
      <c r="C27" s="91" t="n">
        <v>30.21</v>
      </c>
      <c r="D27" s="91" t="n">
        <v>24.34</v>
      </c>
      <c r="E27" s="91" t="n">
        <v>20.66</v>
      </c>
    </row>
    <row r="28" customFormat="false" ht="15" hidden="false" customHeight="false" outlineLevel="1" collapsed="false">
      <c r="A28" s="4" t="s">
        <v>1419</v>
      </c>
      <c r="B28" s="91" t="n">
        <v>42.82</v>
      </c>
      <c r="C28" s="93" t="n">
        <v>32.48</v>
      </c>
      <c r="D28" s="91" t="n">
        <v>26.17</v>
      </c>
      <c r="E28" s="91" t="n">
        <v>22.21</v>
      </c>
    </row>
    <row r="29" customFormat="false" ht="15" hidden="false" customHeight="false" outlineLevel="1" collapsed="false">
      <c r="A29" s="4" t="s">
        <v>1420</v>
      </c>
      <c r="B29" s="91" t="n">
        <v>45.81</v>
      </c>
      <c r="C29" s="91" t="n">
        <v>34.75</v>
      </c>
      <c r="D29" s="91" t="n">
        <v>28</v>
      </c>
      <c r="E29" s="91" t="n">
        <v>23.81</v>
      </c>
    </row>
    <row r="30" customFormat="false" ht="15" hidden="false" customHeight="false" outlineLevel="1" collapsed="false">
      <c r="A30" s="5" t="s">
        <v>1421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1" t="s">
        <v>1422</v>
      </c>
    </row>
    <row r="2" customFormat="false" ht="15" hidden="false" customHeight="false" outlineLevel="0" collapsed="false">
      <c r="A2" s="10" t="s">
        <v>1423</v>
      </c>
    </row>
    <row r="4" customFormat="false" ht="17.15" hidden="false" customHeight="false" outlineLevel="0" collapsed="false">
      <c r="A4" s="13" t="s">
        <v>1424</v>
      </c>
      <c r="B4" s="13" t="s">
        <v>1425</v>
      </c>
      <c r="C4" s="13" t="s">
        <v>1426</v>
      </c>
      <c r="D4" s="14" t="s">
        <v>1427</v>
      </c>
      <c r="E4" s="14" t="s">
        <v>1428</v>
      </c>
      <c r="F4" s="94" t="s">
        <v>1429</v>
      </c>
      <c r="G4" s="13" t="s">
        <v>1430</v>
      </c>
      <c r="H4" s="14" t="s">
        <v>1431</v>
      </c>
      <c r="I4" s="14" t="s">
        <v>1432</v>
      </c>
      <c r="J4" s="13" t="s">
        <v>1433</v>
      </c>
      <c r="K4" s="13" t="s">
        <v>502</v>
      </c>
    </row>
    <row r="5" customFormat="false" ht="15" hidden="false" customHeight="false" outlineLevel="0" collapsed="false">
      <c r="A5" s="4" t="s">
        <v>1434</v>
      </c>
      <c r="B5" s="24" t="n">
        <v>47.12</v>
      </c>
      <c r="C5" s="24" t="n">
        <v>30.012</v>
      </c>
      <c r="D5" s="52" t="n">
        <f aca="false">B5+C5</f>
        <v>77.132</v>
      </c>
      <c r="E5" s="24" t="n">
        <v>7.59</v>
      </c>
      <c r="F5" s="95" t="n">
        <f aca="false">D5/E5</f>
        <v>10.1623188405797</v>
      </c>
      <c r="G5" s="96" t="n">
        <f aca="false">(D5+16.54)/E5</f>
        <v>12.3415019762846</v>
      </c>
      <c r="H5" s="24" t="n">
        <f aca="false">-0.231+3.991</f>
        <v>3.76</v>
      </c>
      <c r="I5" s="96" t="n">
        <f aca="false">IF(H5&gt;0,D5/H5,"n/m")</f>
        <v>20.513829787234</v>
      </c>
      <c r="J5" s="10" t="s">
        <v>1435</v>
      </c>
      <c r="K5" s="5" t="s">
        <v>1436</v>
      </c>
    </row>
    <row r="6" customFormat="false" ht="15" hidden="false" customHeight="false" outlineLevel="0" collapsed="false">
      <c r="A6" s="4" t="s">
        <v>1437</v>
      </c>
      <c r="B6" s="24" t="n">
        <v>18.61</v>
      </c>
      <c r="C6" s="24" t="n">
        <v>1.7</v>
      </c>
      <c r="D6" s="52" t="n">
        <f aca="false">B6+C6</f>
        <v>20.31</v>
      </c>
      <c r="E6" s="24" t="n">
        <v>0.707</v>
      </c>
      <c r="F6" s="95" t="n">
        <f aca="false">D6/E6</f>
        <v>28.7270155586987</v>
      </c>
      <c r="G6" s="96" t="n">
        <f aca="false">(D6+0.003)/E6</f>
        <v>28.7312588401697</v>
      </c>
      <c r="H6" s="24" t="n">
        <f aca="false">-1.047+0.418</f>
        <v>-0.629</v>
      </c>
      <c r="I6" s="96" t="str">
        <f aca="false">IF(H6&gt;0,D6/H6,"n/m")</f>
        <v>n/m</v>
      </c>
      <c r="J6" s="10" t="s">
        <v>1438</v>
      </c>
      <c r="K6" s="5" t="s">
        <v>1439</v>
      </c>
    </row>
    <row r="7" customFormat="false" ht="15" hidden="false" customHeight="false" outlineLevel="0" collapsed="false">
      <c r="A7" s="4" t="s">
        <v>1440</v>
      </c>
      <c r="B7" s="24" t="n">
        <v>8.22</v>
      </c>
      <c r="C7" s="24" t="n">
        <v>3.37</v>
      </c>
      <c r="D7" s="52" t="n">
        <f aca="false">B7+C7</f>
        <v>11.59</v>
      </c>
      <c r="E7" s="24" t="n">
        <v>0.6113</v>
      </c>
      <c r="F7" s="95" t="n">
        <f aca="false">D7/E7</f>
        <v>18.9595943072141</v>
      </c>
      <c r="G7" s="96" t="n">
        <f aca="false">(D7+0.066)/E7</f>
        <v>19.0675609357108</v>
      </c>
      <c r="H7" s="24" t="n">
        <f aca="false">-0.236+0.067</f>
        <v>-0.169</v>
      </c>
      <c r="I7" s="96" t="str">
        <f aca="false">IF(H7&gt;0,D7/H7,"n/m")</f>
        <v>n/m</v>
      </c>
      <c r="J7" s="10" t="s">
        <v>1441</v>
      </c>
      <c r="K7" s="5" t="s">
        <v>1442</v>
      </c>
    </row>
    <row r="8" customFormat="false" ht="15" hidden="false" customHeight="false" outlineLevel="0" collapsed="false">
      <c r="A8" s="4" t="s">
        <v>1443</v>
      </c>
      <c r="B8" s="24" t="n">
        <v>5.9</v>
      </c>
      <c r="C8" s="24" t="n">
        <v>2.53</v>
      </c>
      <c r="D8" s="52" t="n">
        <f aca="false">B8+C8</f>
        <v>8.43</v>
      </c>
      <c r="E8" s="24" t="n">
        <v>0.4403</v>
      </c>
      <c r="F8" s="95" t="n">
        <f aca="false">D8/E8</f>
        <v>19.1460367930956</v>
      </c>
      <c r="G8" s="96" t="n">
        <f aca="false">(D8+0.109)/E8</f>
        <v>19.3935952759482</v>
      </c>
      <c r="H8" s="24" t="n">
        <f aca="false">-0.561+0.063</f>
        <v>-0.498</v>
      </c>
      <c r="I8" s="96" t="str">
        <f aca="false">IF(H8&gt;0,D8/H8,"n/m")</f>
        <v>n/m</v>
      </c>
      <c r="J8" s="10" t="s">
        <v>1444</v>
      </c>
      <c r="K8" s="5" t="s">
        <v>1445</v>
      </c>
    </row>
    <row r="9" customFormat="false" ht="15" hidden="false" customHeight="false" outlineLevel="0" collapsed="false">
      <c r="A9" s="2" t="s">
        <v>1446</v>
      </c>
      <c r="F9" s="78" t="n">
        <f aca="false">MEDIAN(F5:F8)</f>
        <v>19.0528155501549</v>
      </c>
      <c r="G9" s="97" t="n">
        <f aca="false">MEDIAN(G5:G8)</f>
        <v>19.2305781058295</v>
      </c>
    </row>
    <row r="10" customFormat="false" ht="15" hidden="false" customHeight="false" outlineLevel="0" collapsed="false">
      <c r="A10" s="79" t="s">
        <v>1447</v>
      </c>
      <c r="B10" s="76" t="n">
        <v>63.81</v>
      </c>
      <c r="C10" s="77" t="n">
        <f aca="false">輸入與假設!$C$126+SUM(資產負債_既有債務!$C$24:$C$31)+輸入與假設!$C$133</f>
        <v>-0.456599999999999</v>
      </c>
      <c r="D10" s="50" t="n">
        <f aca="false">B10+C10</f>
        <v>63.3534</v>
      </c>
      <c r="E10" s="76" t="n">
        <v>1.36</v>
      </c>
      <c r="F10" s="78" t="n">
        <f aca="false">D10/E10</f>
        <v>46.5833823529412</v>
      </c>
      <c r="G10" s="97" t="n">
        <f aca="false">(D10+1.6253)/E10</f>
        <v>47.7784558823529</v>
      </c>
      <c r="H10" s="76" t="n">
        <f aca="false">-0.612+0.418</f>
        <v>-0.194</v>
      </c>
      <c r="I10" s="97" t="str">
        <f aca="false">IF(H10&gt;0,D10/H10,"n/m")</f>
        <v>n/m</v>
      </c>
      <c r="J10" s="10" t="s">
        <v>1448</v>
      </c>
      <c r="K10" s="10" t="s">
        <v>1449</v>
      </c>
    </row>
    <row r="11" customFormat="false" ht="15" hidden="false" customHeight="false" outlineLevel="0" collapsed="false">
      <c r="A11" s="4" t="s">
        <v>1450</v>
      </c>
      <c r="B11" s="50" t="n">
        <f aca="false">輸入與假設!$C$124*評價_DCF與目標價!$C$67</f>
        <v>80.2084399795918</v>
      </c>
      <c r="C11" s="50" t="n">
        <f aca="false">評價_DCF與目標價!$C$68</f>
        <v>-0.561599999999999</v>
      </c>
      <c r="D11" s="50" t="n">
        <f aca="false">B11+C11</f>
        <v>79.6468399795918</v>
      </c>
      <c r="E11" s="77" t="n">
        <f aca="false">損益!D8</f>
        <v>10.8054</v>
      </c>
      <c r="F11" s="97" t="n">
        <f aca="false">D11/E11</f>
        <v>7.37102189457048</v>
      </c>
      <c r="G11" s="97" t="n">
        <f aca="false">(D11+1.6253)/E11</f>
        <v>7.52143742754473</v>
      </c>
      <c r="H11" s="77" t="n">
        <f aca="false">損益!D19</f>
        <v>5.15634735</v>
      </c>
      <c r="I11" s="97" t="n">
        <f aca="false">D11/H11</f>
        <v>15.4463682473974</v>
      </c>
      <c r="K11" s="5" t="s">
        <v>1451</v>
      </c>
    </row>
    <row r="13" customFormat="false" ht="15" hidden="false" customHeight="false" outlineLevel="0" collapsed="false">
      <c r="A13" s="5" t="s">
        <v>1452</v>
      </c>
    </row>
    <row r="14" customFormat="false" ht="15" hidden="false" customHeight="false" outlineLevel="0" collapsed="false">
      <c r="A14" s="10" t="s">
        <v>1453</v>
      </c>
    </row>
    <row r="15" customFormat="false" ht="15" hidden="false" customHeight="false" outlineLevel="0" collapsed="false">
      <c r="A15" s="5" t="s">
        <v>1454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1" t="s">
        <v>1455</v>
      </c>
    </row>
    <row r="3" customFormat="false" ht="15" hidden="false" customHeight="false" outlineLevel="0" collapsed="false">
      <c r="A3" s="13" t="s">
        <v>1456</v>
      </c>
      <c r="B3" s="13" t="s">
        <v>1457</v>
      </c>
      <c r="C3" s="13" t="s">
        <v>1458</v>
      </c>
      <c r="D3" s="13" t="s">
        <v>1459</v>
      </c>
      <c r="E3" s="13" t="s">
        <v>616</v>
      </c>
    </row>
    <row r="4" customFormat="false" ht="15" hidden="false" customHeight="false" outlineLevel="0" collapsed="false">
      <c r="A4" s="4" t="s">
        <v>179</v>
      </c>
      <c r="B4" s="12" t="n">
        <f aca="false">SUM(輸入與假設!C38:G38)</f>
        <v>0.82</v>
      </c>
      <c r="C4" s="98" t="n">
        <f aca="false">輸入與假設!$C$29</f>
        <v>0.82</v>
      </c>
      <c r="D4" s="2" t="str">
        <f aca="false">IF(ABS(B4-C4)&lt;0.0001,"通過","不一致")</f>
        <v>通過</v>
      </c>
      <c r="E4" s="5" t="s">
        <v>1460</v>
      </c>
    </row>
    <row r="5" customFormat="false" ht="15" hidden="false" customHeight="false" outlineLevel="0" collapsed="false">
      <c r="A5" s="3" t="s">
        <v>1461</v>
      </c>
      <c r="B5" s="9" t="n">
        <f aca="false">各期收支!C96</f>
        <v>-1.99840144432528E-014</v>
      </c>
      <c r="C5" s="5" t="n">
        <f aca="false">0</f>
        <v>0</v>
      </c>
      <c r="D5" s="2" t="str">
        <f aca="false">IF(ABS(B5)&lt;0.01,"通過","不一致")</f>
        <v>通過</v>
      </c>
      <c r="E5" s="5" t="s">
        <v>1462</v>
      </c>
    </row>
    <row r="6" customFormat="false" ht="15" hidden="false" customHeight="false" outlineLevel="0" collapsed="false">
      <c r="A6" s="4" t="s">
        <v>1463</v>
      </c>
      <c r="B6" s="8" t="n">
        <f aca="false">運營_產能與收入!G9-運營_產能與收入!G10</f>
        <v>307</v>
      </c>
      <c r="C6" s="10" t="s">
        <v>1464</v>
      </c>
      <c r="D6" s="2" t="str">
        <f aca="false">IF(B6&gt;=0,"通過","不一致")</f>
        <v>通過</v>
      </c>
      <c r="E6" s="5" t="s">
        <v>1465</v>
      </c>
    </row>
    <row r="7" customFormat="false" ht="15" hidden="false" customHeight="false" outlineLevel="0" collapsed="false">
      <c r="A7" s="4" t="s">
        <v>1466</v>
      </c>
      <c r="B7" s="9" t="n">
        <f aca="false">各期收支!C100</f>
        <v>29.0696</v>
      </c>
      <c r="C7" s="10" t="s">
        <v>1467</v>
      </c>
      <c r="D7" s="2" t="str">
        <f aca="false">IF(AND(B7&gt;=20,B7&lt;=25),"通過","觀察")</f>
        <v>觀察</v>
      </c>
      <c r="E7" s="10" t="s">
        <v>1468</v>
      </c>
    </row>
    <row r="8" customFormat="false" ht="15" hidden="false" customHeight="false" outlineLevel="0" collapsed="false">
      <c r="A8" s="4" t="s">
        <v>1469</v>
      </c>
      <c r="B8" s="9" t="n">
        <f aca="false">各期收支!C99</f>
        <v>3.0345</v>
      </c>
      <c r="C8" s="10" t="s">
        <v>1470</v>
      </c>
      <c r="D8" s="2" t="str">
        <f aca="false">IF(AND(B8&gt;=3,B8&lt;=3.4),"通過","觀察")</f>
        <v>通過</v>
      </c>
      <c r="E8" s="10" t="s">
        <v>1471</v>
      </c>
    </row>
    <row r="9" customFormat="false" ht="15" hidden="false" customHeight="false" outlineLevel="0" collapsed="false">
      <c r="A9" s="4" t="s">
        <v>1472</v>
      </c>
      <c r="B9" s="42" t="n">
        <f aca="false">SUM(各期收支!C6:G6)/((運營_產能與收入!G9-輸入與假設!$C$32)/1000)/1000*1000</f>
        <v>52.5262261580381</v>
      </c>
      <c r="C9" s="10" t="s">
        <v>1473</v>
      </c>
      <c r="D9" s="2" t="str">
        <f aca="false">IF(AND(B9&gt;=38,B9&lt;=68),"通過","觀察")</f>
        <v>通過</v>
      </c>
      <c r="E9" s="10" t="s">
        <v>1474</v>
      </c>
    </row>
    <row r="10" customFormat="false" ht="15" hidden="false" customHeight="false" outlineLevel="0" collapsed="false">
      <c r="A10" s="3" t="s">
        <v>1475</v>
      </c>
      <c r="B10" s="15" t="n">
        <f aca="false">資產負債_租賃承諾!C23</f>
        <v>0.978951277832951</v>
      </c>
      <c r="C10" s="10" t="s">
        <v>1476</v>
      </c>
      <c r="D10" s="2" t="str">
        <f aca="false">IF(B10&gt;=0.8,"通過","不一致")</f>
        <v>通過</v>
      </c>
      <c r="E10" s="5" t="s">
        <v>1477</v>
      </c>
    </row>
    <row r="11" customFormat="false" ht="15" hidden="false" customHeight="false" outlineLevel="0" collapsed="false">
      <c r="A11" s="4" t="s">
        <v>1478</v>
      </c>
      <c r="B11" s="9" t="n">
        <f aca="false">各期收支!C101</f>
        <v>0.288019150593454</v>
      </c>
      <c r="C11" s="10" t="s">
        <v>1479</v>
      </c>
      <c r="D11" s="2" t="str">
        <f aca="false">IF(B11&gt;=0.2,"通過","觀察")</f>
        <v>通過</v>
      </c>
      <c r="E11" s="5" t="str">
        <f aca="false">"1H 實際 0.1828＋2H 模型 "&amp;TEXT(各期收支!C16,"0.0")&amp;"；公司未提供季度利息指引（不適用）"</f>
        <v>1H 實際 0.1828＋2H 模型 0.1；公司未提供季度利息指引（不適用）</v>
      </c>
    </row>
    <row r="12" customFormat="false" ht="15" hidden="false" customHeight="false" outlineLevel="0" collapsed="false">
      <c r="A12" s="4" t="s">
        <v>1480</v>
      </c>
      <c r="B12" s="27" t="n">
        <f aca="false">SUM(運營_產能與收入!E23:G23)/SUM(運營_產能與收入!E25:G25)</f>
        <v>0.795452196228631</v>
      </c>
      <c r="C12" s="10" t="s">
        <v>1481</v>
      </c>
      <c r="D12" s="2" t="str">
        <f aca="false">IF(B12&lt;0.5,"通過","觀察")</f>
        <v>觀察</v>
      </c>
      <c r="E12" s="10" t="s">
        <v>1482</v>
      </c>
    </row>
    <row r="13" customFormat="false" ht="15" hidden="false" customHeight="false" outlineLevel="0" collapsed="false">
      <c r="A13" s="3" t="s">
        <v>1483</v>
      </c>
      <c r="B13" s="50" t="n">
        <f aca="false">損益!D6-運營_產能與收入!D25</f>
        <v>0</v>
      </c>
      <c r="C13" s="5" t="n">
        <f aca="false">0</f>
        <v>0</v>
      </c>
      <c r="D13" s="2" t="str">
        <f aca="false">IF(ABS(B13)&lt;0.001,"通過","不一致")</f>
        <v>通過</v>
      </c>
      <c r="E13" s="10" t="s">
        <v>1484</v>
      </c>
    </row>
    <row r="14" customFormat="false" ht="15" hidden="false" customHeight="false" outlineLevel="0" collapsed="false">
      <c r="A14" s="3" t="s">
        <v>1295</v>
      </c>
      <c r="B14" s="12" t="n">
        <f aca="false">評價_DCF與目標價!C27</f>
        <v>-0.0496288858075399</v>
      </c>
      <c r="C14" s="5" t="str">
        <f aca="false">"&lt;"&amp;IF(ROUND(ABS(輸入與假設!$C$175)*100,4)=INT(ROUND(ABS(輸入與假設!$C$175)*100,4)),TEXT(ROUND(ABS(輸入與假設!$C$175)*100,4),"0"),TEXT(ROUND(ABS(輸入與假設!$C$175)*100,4),"0.0"))&amp;"%"</f>
        <v>&lt;85%</v>
      </c>
      <c r="D14" s="2" t="str">
        <f aca="false">IF(B14&lt;輸入與假設!$C$175,"通過","觀察")</f>
        <v>通過</v>
      </c>
      <c r="E14" s="5" t="s">
        <v>1485</v>
      </c>
    </row>
    <row r="15" customFormat="false" ht="15" hidden="false" customHeight="false" outlineLevel="0" collapsed="false">
      <c r="A15" s="4" t="s">
        <v>1486</v>
      </c>
      <c r="B15" s="99" t="n">
        <f aca="false">損益!D19/損益!D8-輸入與假設!D53</f>
        <v>-0.0130490310400355</v>
      </c>
      <c r="C15" s="5" t="n">
        <f aca="false">0</f>
        <v>0</v>
      </c>
      <c r="D15" s="2" t="str">
        <f aca="false">IF(ABS(B15)&lt;0.0001,"通過","不一致")</f>
        <v>不一致</v>
      </c>
      <c r="E15" s="5" t="s">
        <v>1487</v>
      </c>
    </row>
    <row r="16" customFormat="false" ht="15" hidden="false" customHeight="false" outlineLevel="0" collapsed="false">
      <c r="A16" s="3" t="s">
        <v>1488</v>
      </c>
      <c r="B16" s="50" t="n">
        <f aca="false">(運營_產能與收入!D37+運營_產能與收入!D38+輸入與假設!D54-各期收支!D15)+(運營_產能與收入!D32+運營_產能與收入!D23*輸入與假設!D44*(1-輸入與假設!D45))*運營_產能與收入!D36-損益!D19</f>
        <v>0.141</v>
      </c>
      <c r="C16" s="5" t="n">
        <f aca="false">0</f>
        <v>0</v>
      </c>
      <c r="D16" s="2" t="str">
        <f aca="false">IF(ABS(B16)&lt;0.001,"通過","不一致")</f>
        <v>不一致</v>
      </c>
      <c r="E16" s="5" t="s">
        <v>1489</v>
      </c>
    </row>
    <row r="17" customFormat="false" ht="15" hidden="false" customHeight="false" outlineLevel="0" collapsed="false">
      <c r="A17" s="4" t="s">
        <v>1490</v>
      </c>
      <c r="B17" s="42" t="n">
        <f aca="false">評價_DCF與目標價!C30</f>
        <v>0</v>
      </c>
      <c r="C17" s="10" t="s">
        <v>1491</v>
      </c>
      <c r="D17" s="2" t="str">
        <f aca="false">IF(B17=0,"通過","觀察")</f>
        <v>通過</v>
      </c>
      <c r="E17" s="5" t="s">
        <v>1492</v>
      </c>
    </row>
    <row r="18" customFormat="false" ht="15" hidden="false" customHeight="false" outlineLevel="0" collapsed="false">
      <c r="A18" s="3" t="s">
        <v>1493</v>
      </c>
      <c r="B18" s="50" t="n">
        <f aca="false">MIN(各期收支!C47:G47)</f>
        <v>2</v>
      </c>
      <c r="C18" s="10" t="s">
        <v>1494</v>
      </c>
      <c r="D18" s="2" t="str">
        <f aca="false">IF(B18&gt;=1.999,"通過","不一致")</f>
        <v>通過</v>
      </c>
      <c r="E18" s="5" t="s">
        <v>1495</v>
      </c>
    </row>
    <row r="19" customFormat="false" ht="15" hidden="false" customHeight="false" outlineLevel="0" collapsed="false">
      <c r="A19" s="3" t="s">
        <v>1496</v>
      </c>
      <c r="B19" s="97" t="n">
        <f aca="false">SUM(各期收支!C72:G72)/(輸入與假設!$C$124*輸入與假設!$C$125)</f>
        <v>0.422837952875305</v>
      </c>
      <c r="C19" s="5" t="str">
        <f aca="false">"≤"&amp;IF(輸入與假設!$C$172=INT(輸入與假設!$C$172),TEXT(輸入與假設!$C$172,"0"),TEXT(輸入與假設!$C$172,"0.0"))&amp;"x"</f>
        <v>≤1.5x</v>
      </c>
      <c r="D19" s="2" t="str">
        <f aca="false">IF(B19&lt;=輸入與假設!$C$172,"通過","觀察")</f>
        <v>通過</v>
      </c>
      <c r="E19" s="5" t="str">
        <f aca="false">"超過 "&amp;IF(輸入與假設!$C$172=INT(輸入與假設!$C$172),TEXT(輸入與假設!$C$172,"0"),TEXT(輸入與假設!$C$172,"0.0"))&amp;"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1497</v>
      </c>
      <c r="B20" s="50" t="n">
        <f aca="false">資產負債_既有債務!E6+SUM(資產負債_既有債務!$C$24:$C$31)</f>
        <v>15.77295</v>
      </c>
      <c r="C20" s="10" t="s">
        <v>1498</v>
      </c>
      <c r="D20" s="2" t="str">
        <f aca="false">IF(ABS(B20-15.7785)&lt;0.01,"通過","不一致")</f>
        <v>通過</v>
      </c>
      <c r="E20" s="5" t="s">
        <v>1499</v>
      </c>
    </row>
    <row r="21" customFormat="false" ht="15" hidden="false" customHeight="false" outlineLevel="0" collapsed="false">
      <c r="A21" s="4" t="s">
        <v>1500</v>
      </c>
      <c r="B21" s="50" t="n">
        <f aca="false">輸入與假設!C85</f>
        <v>29.0696</v>
      </c>
      <c r="C21" s="10" t="s">
        <v>1467</v>
      </c>
      <c r="D21" s="2" t="str">
        <f aca="false">IF(AND(B21&gt;=20,B21&lt;=25),"通過","觀察")</f>
        <v>觀察</v>
      </c>
      <c r="E21" s="5" t="s">
        <v>1501</v>
      </c>
    </row>
    <row r="22" customFormat="false" ht="15" hidden="false" customHeight="false" outlineLevel="0" collapsed="false">
      <c r="A22" s="4" t="s">
        <v>1502</v>
      </c>
      <c r="B22" s="50" t="n">
        <f aca="false">SUM(輸入與假設!C78:G78)</f>
        <v>0</v>
      </c>
      <c r="C22" s="5" t="n">
        <f aca="false">0</f>
        <v>0</v>
      </c>
      <c r="D22" s="2" t="str">
        <f aca="false">IF(ABS(B22-0)&lt;0.01,"通過","不一致")</f>
        <v>通過</v>
      </c>
      <c r="E22" s="5" t="s">
        <v>266</v>
      </c>
    </row>
    <row r="23" customFormat="false" ht="15" hidden="false" customHeight="false" outlineLevel="0" collapsed="false">
      <c r="A23" s="3" t="s">
        <v>1503</v>
      </c>
      <c r="B23" s="50" t="n">
        <f aca="false">運營_站點!G27</f>
        <v>0.357747035699154</v>
      </c>
      <c r="C23" s="5" t="s">
        <v>1504</v>
      </c>
      <c r="D23" s="2" t="str">
        <f aca="false">IF(B23&gt;=運營_站點!$H$11*運營_站點!$C$28*0.8,"通過","觀察")</f>
        <v>通過</v>
      </c>
      <c r="E23" s="5" t="s">
        <v>1505</v>
      </c>
    </row>
    <row r="24" customFormat="false" ht="15" hidden="false" customHeight="false" outlineLevel="0" collapsed="false">
      <c r="A24" s="3" t="s">
        <v>1506</v>
      </c>
      <c r="B24" s="50" t="n">
        <f aca="false">運營_站點!$C$31</f>
        <v>-3.82343548720239</v>
      </c>
      <c r="C24" s="10" t="s">
        <v>1507</v>
      </c>
      <c r="D24" s="2" t="str">
        <f aca="false">IF(B24&lt;10,"通過","觀察")</f>
        <v>通過</v>
      </c>
      <c r="E24" s="5" t="s">
        <v>1508</v>
      </c>
    </row>
    <row r="25" customFormat="false" ht="15" hidden="false" customHeight="false" outlineLevel="0" collapsed="false">
      <c r="A25" s="3" t="s">
        <v>1509</v>
      </c>
      <c r="B25" s="9" t="n">
        <f aca="false">SUM(運營_產能與收入!C26:G26)</f>
        <v>0</v>
      </c>
      <c r="C25" s="5" t="n">
        <f aca="false">0</f>
        <v>0</v>
      </c>
      <c r="D25" s="2" t="str">
        <f aca="false">IF(ABS(B25)&lt;0.000001,"通過","不一致")</f>
        <v>通過</v>
      </c>
      <c r="E25" s="10" t="s">
        <v>1510</v>
      </c>
    </row>
    <row r="27" customFormat="false" ht="15" hidden="false" customHeight="false" outlineLevel="0" collapsed="false">
      <c r="A27" s="2" t="s">
        <v>1511</v>
      </c>
    </row>
    <row r="28" customFormat="false" ht="15" hidden="false" customHeight="false" outlineLevel="0" collapsed="false">
      <c r="A28" s="3" t="s">
        <v>1512</v>
      </c>
      <c r="B28" s="9" t="n">
        <f aca="false">SUM(運營_產能與收入!C17:G17)</f>
        <v>30.742292</v>
      </c>
    </row>
    <row r="29" customFormat="false" ht="15" hidden="false" customHeight="false" outlineLevel="0" collapsed="false">
      <c r="A29" s="3" t="s">
        <v>1513</v>
      </c>
      <c r="B29" s="9" t="n">
        <f aca="false">SUM(運營_產能與收入!C19:G19)</f>
        <v>1.320954</v>
      </c>
    </row>
    <row r="30" customFormat="false" ht="15" hidden="false" customHeight="false" outlineLevel="0" collapsed="false">
      <c r="A30" s="3" t="s">
        <v>1514</v>
      </c>
      <c r="B30" s="9" t="n">
        <f aca="false">SUM(運營_產能與收入!C23:G23)</f>
        <v>84.244162</v>
      </c>
    </row>
    <row r="31" customFormat="false" ht="15" hidden="false" customHeight="false" outlineLevel="0" collapsed="false">
      <c r="A31" s="3" t="s">
        <v>1515</v>
      </c>
      <c r="B31" s="9" t="n">
        <f aca="false">SUM(輸入與假設!C90:G90)</f>
        <v>146.0867</v>
      </c>
    </row>
    <row r="32" customFormat="false" ht="15" hidden="false" customHeight="false" outlineLevel="0" collapsed="false">
      <c r="A32" s="3" t="s">
        <v>1516</v>
      </c>
      <c r="B32" s="9" t="n">
        <f aca="false">SUM(各期收支!C15:G15)</f>
        <v>3.82343548720239</v>
      </c>
    </row>
    <row r="33" customFormat="false" ht="15" hidden="false" customHeight="false" outlineLevel="0" collapsed="false">
      <c r="A33" s="3" t="s">
        <v>1517</v>
      </c>
      <c r="B33" s="9" t="n">
        <f aca="false">SUM(各期收支!C20:G20)</f>
        <v>4.73288889181467</v>
      </c>
    </row>
    <row r="34" customFormat="false" ht="15" hidden="false" customHeight="false" outlineLevel="0" collapsed="false">
      <c r="A34" s="3" t="s">
        <v>1518</v>
      </c>
      <c r="B34" s="9" t="n">
        <f aca="false">SUM(輸入與假設!C119:G119)*輸入與假設!$C$99+SUM(資產負債_既有債務!C42:G42)</f>
        <v>3.8417</v>
      </c>
    </row>
    <row r="35" customFormat="false" ht="15" hidden="false" customHeight="false" outlineLevel="0" collapsed="false">
      <c r="A35" s="3" t="s">
        <v>1519</v>
      </c>
      <c r="B35" s="9" t="n">
        <f aca="false">SUM(各期收支!C45:G45)-(輸入與假設!$C$179-輸入與假設!$C$180-輸入與假設!$C$182)</f>
        <v>-73.9042973928621</v>
      </c>
    </row>
    <row r="36" customFormat="false" ht="15" hidden="false" customHeight="false" outlineLevel="0" collapsed="false">
      <c r="A36" s="4" t="s">
        <v>1520</v>
      </c>
      <c r="B36" s="9" t="n">
        <f aca="false">SUM(各期收支!C45:G45)</f>
        <v>-77.7820973928621</v>
      </c>
    </row>
    <row r="37" customFormat="false" ht="15" hidden="false" customHeight="false" outlineLevel="0" collapsed="false">
      <c r="A37" s="3" t="s">
        <v>1153</v>
      </c>
      <c r="B37" s="9" t="n">
        <f aca="false">各期收支!G47</f>
        <v>2</v>
      </c>
    </row>
    <row r="38" customFormat="false" ht="15" hidden="false" customHeight="false" outlineLevel="0" collapsed="false">
      <c r="A38" s="4" t="s">
        <v>1521</v>
      </c>
      <c r="B38" s="11" t="n">
        <f aca="false">評價_DCF與目標價!C26</f>
        <v>0</v>
      </c>
    </row>
    <row r="39" customFormat="false" ht="15" hidden="false" customHeight="false" outlineLevel="0" collapsed="false">
      <c r="A39" s="3" t="s">
        <v>1319</v>
      </c>
      <c r="B39" s="11" t="n">
        <f aca="false">評價_DCF與目標價!C49</f>
        <v>61.7199481496045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1522</v>
      </c>
    </row>
    <row r="2" customFormat="false" ht="15" hidden="false" customHeight="false" outlineLevel="0" collapsed="false">
      <c r="A2" s="10" t="s">
        <v>1523</v>
      </c>
    </row>
    <row r="4" customFormat="false" ht="15" hidden="false" customHeight="false" outlineLevel="0" collapsed="false">
      <c r="A4" s="13" t="s">
        <v>1524</v>
      </c>
      <c r="B4" s="13" t="s">
        <v>1525</v>
      </c>
      <c r="C4" s="13" t="s">
        <v>1526</v>
      </c>
      <c r="D4" s="13" t="s">
        <v>1527</v>
      </c>
      <c r="E4" s="13" t="s">
        <v>1528</v>
      </c>
    </row>
    <row r="5" customFormat="false" ht="29.85" hidden="false" customHeight="false" outlineLevel="0" collapsed="false">
      <c r="A5" s="100" t="s">
        <v>1529</v>
      </c>
      <c r="B5" s="100" t="s">
        <v>1530</v>
      </c>
      <c r="C5" s="101" t="s">
        <v>1531</v>
      </c>
      <c r="D5" s="102" t="s">
        <v>1532</v>
      </c>
      <c r="E5" s="101" t="s">
        <v>1533</v>
      </c>
    </row>
    <row r="6" customFormat="false" ht="15" hidden="false" customHeight="false" outlineLevel="0" collapsed="false">
      <c r="A6" s="100" t="s">
        <v>1534</v>
      </c>
      <c r="B6" s="100" t="s">
        <v>1535</v>
      </c>
      <c r="C6" s="101" t="s">
        <v>1536</v>
      </c>
      <c r="D6" s="102" t="s">
        <v>1532</v>
      </c>
      <c r="E6" s="101" t="s">
        <v>1537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1538</v>
      </c>
    </row>
    <row r="3" customFormat="false" ht="15" hidden="false" customHeight="false" outlineLevel="0" collapsed="false">
      <c r="A3" s="13" t="s">
        <v>1539</v>
      </c>
      <c r="B3" s="13" t="s">
        <v>1540</v>
      </c>
    </row>
    <row r="4" customFormat="false" ht="45.75" hidden="false" customHeight="true" outlineLevel="0" collapsed="false">
      <c r="A4" s="79" t="s">
        <v>508</v>
      </c>
      <c r="B4" s="103" t="s">
        <v>1541</v>
      </c>
    </row>
    <row r="5" customFormat="false" ht="45.75" hidden="false" customHeight="true" outlineLevel="0" collapsed="false">
      <c r="A5" s="79" t="s">
        <v>508</v>
      </c>
      <c r="B5" s="101" t="s">
        <v>1542</v>
      </c>
    </row>
    <row r="6" customFormat="false" ht="45.75" hidden="false" customHeight="true" outlineLevel="0" collapsed="false">
      <c r="A6" s="79" t="s">
        <v>508</v>
      </c>
      <c r="B6" s="103" t="s">
        <v>1543</v>
      </c>
    </row>
    <row r="7" customFormat="false" ht="45.75" hidden="false" customHeight="true" outlineLevel="0" collapsed="false">
      <c r="A7" s="79" t="s">
        <v>508</v>
      </c>
      <c r="B7" s="101" t="s">
        <v>1544</v>
      </c>
    </row>
    <row r="8" customFormat="false" ht="45.75" hidden="false" customHeight="true" outlineLevel="0" collapsed="false">
      <c r="A8" s="79" t="s">
        <v>508</v>
      </c>
      <c r="B8" s="101" t="s">
        <v>1545</v>
      </c>
    </row>
    <row r="9" customFormat="false" ht="45.75" hidden="false" customHeight="true" outlineLevel="0" collapsed="false">
      <c r="A9" s="79" t="s">
        <v>504</v>
      </c>
      <c r="B9" s="101" t="s">
        <v>1546</v>
      </c>
    </row>
    <row r="10" customFormat="false" ht="45.75" hidden="false" customHeight="true" outlineLevel="0" collapsed="false">
      <c r="A10" s="79" t="s">
        <v>508</v>
      </c>
      <c r="B10" s="101" t="s">
        <v>1547</v>
      </c>
    </row>
    <row r="11" customFormat="false" ht="45.75" hidden="false" customHeight="true" outlineLevel="0" collapsed="false">
      <c r="A11" s="79" t="s">
        <v>508</v>
      </c>
      <c r="B11" s="101" t="s">
        <v>1548</v>
      </c>
    </row>
    <row r="12" customFormat="false" ht="45.75" hidden="false" customHeight="true" outlineLevel="0" collapsed="false">
      <c r="A12" s="79" t="s">
        <v>508</v>
      </c>
      <c r="B12" s="101" t="s">
        <v>1549</v>
      </c>
    </row>
    <row r="13" customFormat="false" ht="45.75" hidden="false" customHeight="true" outlineLevel="0" collapsed="false">
      <c r="A13" s="79" t="s">
        <v>504</v>
      </c>
      <c r="B13" s="103" t="s">
        <v>1550</v>
      </c>
    </row>
    <row r="14" customFormat="false" ht="45.75" hidden="false" customHeight="true" outlineLevel="0" collapsed="false">
      <c r="A14" s="79" t="s">
        <v>1551</v>
      </c>
      <c r="B14" s="101" t="s">
        <v>1552</v>
      </c>
    </row>
    <row r="15" customFormat="false" ht="45.75" hidden="false" customHeight="true" outlineLevel="0" collapsed="false">
      <c r="A15" s="79" t="s">
        <v>1553</v>
      </c>
      <c r="B15" s="101" t="s">
        <v>1554</v>
      </c>
    </row>
    <row r="16" customFormat="false" ht="45.75" hidden="false" customHeight="true" outlineLevel="0" collapsed="false">
      <c r="A16" s="2" t="s">
        <v>1555</v>
      </c>
      <c r="B16" s="101" t="s">
        <v>1556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2026-10-07T16:21:54Z</dcterms:created>
  <dc:creator>openpyxl</dc:creator>
  <dc:description/>
  <dc:language>en-US</dc:language>
  <cp:lastModifiedBy/>
  <dcterms:modified xsi:type="dcterms:W3CDTF">2026-10-07T16:21:54Z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