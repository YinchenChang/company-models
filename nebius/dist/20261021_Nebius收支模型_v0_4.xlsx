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收入_錨定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MW_GB200" vbProcedure="false">Tokenomics_取數!$G$136</definedName>
    <definedName function="false" hidden="false" name="TK_HoldEconMW_GB300" vbProcedure="false">Tokenomics_取數!$G$137</definedName>
    <definedName function="false" hidden="false" name="TK_HoldEconMW_Hopper" vbProcedure="false">Tokenomics_取數!$G$135</definedName>
    <definedName function="false" hidden="false" name="TK_HoldEconMW_VR200" vbProcedure="false">Tokenomics_取數!$G$138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Tokenomics_取數!$G$116</definedName>
    <definedName function="false" hidden="false" name="TK_RevGWFleet_100_GB300" vbProcedure="false">Tokenomics_取數!$G$117</definedName>
    <definedName function="false" hidden="false" name="TK_RevGWFleet_100_H100" vbProcedure="false">Tokenomics_取數!$G$115</definedName>
    <definedName function="false" hidden="false" name="TK_RevGWFleet_100_RU" vbProcedure="false">Tokenomics_取數!$G$119</definedName>
    <definedName function="false" hidden="false" name="TK_RevGWFleet_100_VR200" vbProcedure="false">Tokenomics_取數!$G$118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Tokenomics_取數!$G$131</definedName>
    <definedName function="false" hidden="false" name="TK_RevGWFleet_Life_GB300" vbProcedure="false">Tokenomics_取數!$G$132</definedName>
    <definedName function="false" hidden="false" name="TK_RevGWFleet_Life_H100" vbProcedure="false">Tokenomics_取數!$G$130</definedName>
    <definedName function="false" hidden="false" name="TK_RevGWFleet_Life_RU" vbProcedure="false">Tokenomics_取數!$G$134</definedName>
    <definedName function="false" hidden="false" name="TK_RevGWFleet_Life_VR200" vbProcedure="false">Tokenomics_取數!$G$133</definedName>
    <definedName function="false" hidden="false" name="TK_RevGWFleet_Prod_GB200" vbProcedure="false">Tokenomics_取數!$G$126</definedName>
    <definedName function="false" hidden="false" name="TK_RevGWFleet_Prod_GB300" vbProcedure="false">Tokenomics_取數!$G$127</definedName>
    <definedName function="false" hidden="false" name="TK_RevGWFleet_Prod_H100" vbProcedure="false">Tokenomics_取數!$G$125</definedName>
    <definedName function="false" hidden="false" name="TK_RevGWFleet_Prod_RU" vbProcedure="false">Tokenomics_取數!$G$129</definedName>
    <definedName function="false" hidden="false" name="TK_RevGWFleet_Prod_VR200" vbProcedure="false">Tokenomics_取數!$G$128</definedName>
    <definedName function="false" hidden="false" name="TK_RevGWFleet_RU" vbProcedure="false">Tokenomics_取數!$G$114</definedName>
    <definedName function="false" hidden="false" name="TK_RevGWFleet_Util_GB200" vbProcedure="false">Tokenomics_取數!$G$121</definedName>
    <definedName function="false" hidden="false" name="TK_RevGWFleet_Util_GB300" vbProcedure="false">Tokenomics_取數!$G$122</definedName>
    <definedName function="false" hidden="false" name="TK_RevGWFleet_Util_H100" vbProcedure="false">Tokenomics_取數!$G$120</definedName>
    <definedName function="false" hidden="false" name="TK_RevGWFleet_Util_RU" vbProcedure="false">Tokenomics_取數!$G$124</definedName>
    <definedName function="false" hidden="false" name="TK_RevGWFleet_Util_VR200" vbProcedure="false">Tokenomics_取數!$G$123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VR200" vbProcedure="false">Tokenomics_取數!$G$139</definedName>
    <definedName function="false" hidden="false" name="TK_TokMW_Gen_ratio_VR200_Hi" vbProcedure="false">Tokenomics_取數!$G$141</definedName>
    <definedName function="false" hidden="false" name="TK_TokMW_Gen_ratio_VR200_Lo" vbProcedure="false">Tokenomics_取數!$G$140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<sst xmlns="http://schemas.openxmlformats.org/spreadsheetml/2006/main" count="4190" uniqueCount="2298">
  <si>
    <r>
      <rPr>
        <b val="true"/>
        <sz val="14"/>
        <rFont val="Noto Sans CJK SC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Noto Sans CJK SC"/>
        <family val="2"/>
      </rPr>
      <t xml:space="preserve">變成現金嗎？｜</t>
    </r>
    <r>
      <rPr>
        <b val="true"/>
        <sz val="14"/>
        <rFont val="Arial"/>
        <family val="0"/>
        <charset val="1"/>
      </rPr>
      <t xml:space="preserve">Nebius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v0.4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2026-10-21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v0.4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</si>
  <si>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</si>
  <si>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變成現金嗎？——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的營收＝已連網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年收入；客戶預付款能支應多少擴張資本支出，剩下的缺口要靠多少資產擔保融資、可轉債與新股（答案見「摘要」）。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</si>
  <si>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</si>
  <si>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</si>
  <si>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</si>
  <si>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</si>
  <si>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</si>
  <si>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</si>
  <si>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</si>
  <si>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</si>
  <si>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</si>
  <si>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</si>
  <si>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</si>
  <si>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</si>
  <si>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</si>
  <si>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</si>
  <si>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</si>
  <si>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</si>
  <si>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</si>
  <si>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，在役世代加權的打平租金）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（市場價格證據；『每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收入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錨定』），不用公司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計價、不乘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，利用率預設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。容量情境與價格情境分離。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</si>
  <si>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容量的部分顯示為『產能瓶頸』旗標，並作為資產擔保融資容量的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</si>
  <si>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</si>
  <si>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</si>
  <si>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</si>
  <si>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</si>
  <si>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</si>
  <si>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</si>
  <si>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</si>
  <si>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</si>
  <si>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</si>
  <si>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</si>
  <si>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</si>
  <si>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</si>
  <si>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r>
      <rPr>
        <b val="true"/>
        <sz val="14"/>
        <rFont val="Noto Sans CJK SC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Noto Sans CJK SC"/>
        <family val="2"/>
      </rPr>
      <t xml:space="preserve">變成現金嗎？｜一頁摘要 — 結論、與市場的差異、現價隱含什麼、驗證點（全部依輸入連動）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</si>
  <si>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</si>
  <si>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</si>
  <si>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</si>
  <si>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</si>
  <si>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</si>
  <si>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</si>
  <si>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</si>
  <si>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</si>
  <si>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</si>
  <si>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</si>
  <si>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</si>
  <si>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</si>
  <si>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</si>
  <si>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</si>
  <si>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</si>
  <si>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</si>
  <si>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</si>
  <si>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</si>
  <si>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</si>
  <si>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</si>
  <si>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</si>
  <si>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</si>
  <si>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</si>
  <si>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</si>
  <si>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</si>
  <si>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</si>
  <si>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</si>
  <si>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</si>
  <si>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</si>
  <si>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</si>
  <si>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</si>
  <si>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</si>
  <si>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</si>
  <si>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</si>
  <si>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</si>
  <si>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</si>
  <si>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</si>
  <si>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</si>
  <si>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</si>
  <si>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</si>
  <si>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</si>
  <si>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</si>
  <si>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</si>
  <si>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</si>
  <si>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</si>
  <si>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</si>
  <si>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</si>
  <si>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</si>
  <si>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</si>
  <si>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</si>
  <si>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</si>
  <si>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</si>
  <si>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</si>
  <si>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</si>
  <si>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</si>
  <si>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</si>
  <si>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</si>
  <si>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</si>
  <si>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</si>
  <si>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</si>
  <si>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</si>
  <si>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</si>
  <si>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</si>
  <si>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</si>
  <si>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</si>
  <si>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</si>
  <si>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</si>
  <si>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</si>
  <si>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</si>
  <si>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</si>
  <si>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</si>
  <si>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</si>
  <si>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</si>
  <si>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</si>
  <si>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</si>
  <si>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</si>
  <si>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</si>
  <si>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</si>
  <si>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</si>
  <si>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</si>
  <si>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</si>
  <si>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</si>
  <si>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</si>
  <si>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</si>
  <si>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</si>
  <si>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</si>
  <si>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</si>
  <si>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</si>
  <si>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</si>
  <si>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</si>
  <si>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</si>
  <si>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</si>
  <si>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</si>
  <si>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</si>
  <si>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的目標價、評等、營收預估引用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的年度與季度預估一般亦引用 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共識檔的判斷），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營收兩者 </t>
    </r>
    <r>
      <rPr>
        <sz val="9"/>
        <color rgb="FF595959"/>
        <rFont val="Arial"/>
        <family val="0"/>
        <charset val="1"/>
      </rPr>
      <t xml:space="preserve">3.34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3.379 </t>
    </r>
    <r>
      <rPr>
        <sz val="9"/>
        <color rgb="FF595959"/>
        <rFont val="Noto Sans CJK SC"/>
        <family val="2"/>
      </rPr>
      <t xml:space="preserve">接近，視為同一底層來源的兩個呈現，不算獨立交叉驗證。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的目標價與評等為 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），可作目標價的獨立交叉。</t>
    </r>
    <r>
      <rPr>
        <sz val="9"/>
        <color rgb="FF595959"/>
        <rFont val="Arial"/>
        <family val="0"/>
        <charset val="1"/>
      </rPr>
      <t xml:space="preserve">Zacks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）只取得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財報前的單季營收共識，僅供量級確認。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</si>
  <si>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</si>
  <si>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</si>
  <si>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</si>
  <si>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</si>
  <si>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</si>
  <si>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價格情境（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低／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基準／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高）</t>
    </r>
  </si>
  <si>
    <r>
      <rPr>
        <sz val="9"/>
        <color rgb="FF595959"/>
        <rFont val="Noto Sans CJK SC"/>
        <family val="2"/>
      </rPr>
      <t xml:space="preserve">三情境只改擴張力道（已連網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年收入由同列 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Noto Sans CJK SC"/>
        <family val="2"/>
      </rPr>
      <t xml:space="preserve">欄價格情境（定價倍數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）決定，兩條軸分離（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Noto Sans CJK SC"/>
        <family val="2"/>
      </rPr>
      <t xml:space="preserve">欄＝價格情境選擇（定價倍數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低／基準／高；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與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同時取低／基準／高，見『每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區），三個容量情境預設都用基準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</si>
  <si>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</si>
  <si>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</si>
  <si>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</si>
  <si>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</si>
  <si>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</si>
  <si>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</si>
  <si>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</si>
  <si>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0.8–1.0 GW </t>
    </r>
    <r>
      <rPr>
        <sz val="9"/>
        <color rgb="FF595959"/>
        <rFont val="Noto Sans CJK SC"/>
        <family val="2"/>
      </rPr>
      <t xml:space="preserve">中點 </t>
    </r>
    <r>
      <rPr>
        <sz val="9"/>
        <color rgb="FF595959"/>
        <rFont val="Arial"/>
        <family val="0"/>
        <charset val="1"/>
      </rPr>
      <t xml:space="preserve">÷ PUE 1.2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</si>
  <si>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</si>
  <si>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</si>
  <si>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</si>
  <si>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</si>
  <si>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</si>
  <si>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</si>
  <si>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Noto Sans CJK SC"/>
        <family val="2"/>
      </rPr>
      <t xml:space="preserve">只交付已簽約電力（</t>
    </r>
    <r>
      <rPr>
        <sz val="9"/>
        <color rgb="FF595959"/>
        <rFont val="Arial"/>
        <family val="0"/>
        <charset val="1"/>
      </rPr>
      <t xml:space="preserve">&gt;3.5 GW 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2,917 MW-IT</t>
    </r>
    <r>
      <rPr>
        <sz val="9"/>
        <color rgb="FF595959"/>
        <rFont val="Noto Sans CJK SC"/>
        <family val="2"/>
      </rPr>
      <t xml:space="preserve">），依歷史併網速度；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</si>
  <si>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</si>
  <si>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</si>
  <si>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</si>
  <si>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合約目標（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4,167 MW-IT</t>
    </r>
    <r>
      <rPr>
        <sz val="9"/>
        <color rgb="FF595959"/>
        <rFont val="Noto Sans CJK SC"/>
        <family val="2"/>
      </rPr>
      <t xml:space="preserve">）依歷史併網速度實現；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</si>
  <si>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</si>
  <si>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</si>
  <si>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</si>
  <si>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起每年部署 </t>
    </r>
    <r>
      <rPr>
        <sz val="9"/>
        <color rgb="FF595959"/>
        <rFont val="Arial"/>
        <family val="0"/>
        <charset val="1"/>
      </rPr>
      <t xml:space="preserve">&gt;1 GW </t>
    </r>
    <r>
      <rPr>
        <sz val="9"/>
        <color rgb="FF595959"/>
        <rFont val="Noto Sans CJK SC"/>
        <family val="2"/>
      </rPr>
      <t xml:space="preserve">全數實現（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833 MW-IT</t>
    </r>
    <r>
      <rPr>
        <sz val="9"/>
        <color rgb="FF595959"/>
        <rFont val="Noto Sans CJK SC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</si>
  <si>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已簽約 </t>
    </r>
    <r>
      <rPr>
        <sz val="10"/>
        <rFont val="Arial"/>
        <family val="0"/>
        <charset val="1"/>
      </rPr>
      <t xml:space="preserve">3.5 GW</t>
    </r>
  </si>
  <si>
    <t xml:space="preserve">US$bn/MW</t>
  </si>
  <si>
    <r>
      <rPr>
        <sz val="9"/>
        <color rgb="FF595959"/>
        <rFont val="Noto Sans CJK SC"/>
        <family val="2"/>
      </rPr>
      <t xml:space="preserve">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，在役世代加權）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（目前價格情境）</t>
    </r>
    <r>
      <rPr>
        <sz val="9"/>
        <color rgb="FF595959"/>
        <rFont val="Arial"/>
        <family val="0"/>
        <charset val="1"/>
      </rPr>
      <t xml:space="preserve">÷ 1000 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舊值見該頁對照列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</si>
  <si>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</si>
  <si>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每年 </t>
    </r>
    <r>
      <rPr>
        <sz val="10"/>
        <rFont val="Arial"/>
        <family val="0"/>
        <charset val="1"/>
      </rPr>
      <t xml:space="preserve">&gt;1 GW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</si>
  <si>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</si>
  <si>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三情境共用；新連網產能自驗收到可計費需數季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</si>
  <si>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可計費爬坡係數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</si>
  <si>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首期營收校準：可計費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爬坡係數，逐步收斂（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60% </t>
    </r>
    <r>
      <rPr>
        <sz val="9"/>
        <color rgb="FF595959"/>
        <rFont val="Noto Sans CJK SC"/>
        <family val="2"/>
      </rPr>
      <t xml:space="preserve">為能讓基準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落入公司指引的保守值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</si>
  <si>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</si>
  <si>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已簽約未起租租賃的現金路徑；其他情境依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比例縮放（起算 </t>
    </r>
    <r>
      <rPr>
        <sz val="9"/>
        <color rgb="FF595959"/>
        <rFont val="Arial"/>
        <family val="0"/>
        <charset val="1"/>
      </rPr>
      <t xml:space="preserve">0 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</si>
  <si>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</si>
  <si>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表外租金依超過此值的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</si>
  <si>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</si>
  <si>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</si>
  <si>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37.4906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</si>
  <si>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</si>
  <si>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</si>
  <si>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</si>
  <si>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季報桶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（後段假設 </t>
    </r>
    <r>
      <rPr>
        <sz val="9"/>
        <color rgb="FF595959"/>
        <rFont val="Arial"/>
        <family val="0"/>
        <charset val="1"/>
      </rPr>
      <t xml:space="preserve">49–72 </t>
    </r>
    <r>
      <rPr>
        <sz val="9"/>
        <color rgb="FF595959"/>
        <rFont val="Noto Sans CJK SC"/>
        <family val="2"/>
      </rPr>
      <t xml:space="preserve">個月）線性分攤後五期合計 </t>
    </r>
    <r>
      <rPr>
        <sz val="9"/>
        <color rgb="FF595959"/>
        <rFont val="Arial"/>
        <family val="0"/>
        <charset val="1"/>
      </rPr>
      <t xml:space="preserve">82%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</si>
  <si>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</si>
  <si>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</si>
  <si>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</si>
  <si>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股東信與 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</si>
  <si>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最新已申報季營收（單季）</t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</si>
  <si>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校準用：季報營收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latestQuarter.revenue</t>
    </r>
    <r>
      <rPr>
        <sz val="9"/>
        <color rgb="FF595959"/>
        <rFont val="Noto Sans CJK SC"/>
        <family val="2"/>
      </rPr>
      <t xml:space="preserve">）</t>
    </r>
  </si>
  <si>
    <t xml:space="preserve">6/30 Billable MW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</si>
  <si>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校準：＝最新季營收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年收入（對齊已實現年化營收；季末在役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未揭露，不用內插值）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</si>
  <si>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</si>
  <si>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</si>
  <si>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</si>
  <si>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</si>
  <si>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</si>
  <si>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</si>
  <si>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</si>
  <si>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</si>
  <si>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</si>
  <si>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</si>
  <si>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</si>
  <si>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24%</t>
    </r>
    <r>
      <rPr>
        <sz val="9"/>
        <color rgb="FF595959"/>
        <rFont val="Noto Sans CJK SC"/>
        <family val="2"/>
      </rPr>
      <t xml:space="preserve">／之後（假設 </t>
    </r>
    <r>
      <rPr>
        <sz val="9"/>
        <color rgb="FF595959"/>
        <rFont val="Arial"/>
        <family val="0"/>
        <charset val="1"/>
      </rPr>
      <t xml:space="preserve">49–72m</t>
    </r>
    <r>
      <rPr>
        <sz val="9"/>
        <color rgb="FF595959"/>
        <rFont val="Noto Sans CJK SC"/>
        <family val="2"/>
      </rPr>
      <t xml:space="preserve">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</si>
  <si>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</si>
  <si>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</si>
  <si>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</si>
  <si>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</si>
  <si>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</si>
  <si>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計價，收入取決於簽約率與爬坡（可計費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），不再乘 </t>
    </r>
    <r>
      <rPr>
        <sz val="9"/>
        <color rgb="FF595959"/>
        <rFont val="Arial"/>
        <family val="0"/>
        <charset val="1"/>
      </rPr>
      <t xml:space="preserve">Tokenomics IF_Util</t>
    </r>
    <r>
      <rPr>
        <sz val="9"/>
        <color rgb="FF595959"/>
        <rFont val="Noto Sans CJK SC"/>
        <family val="2"/>
      </rPr>
      <t xml:space="preserve">（下游資料契約第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條；重複扣減禁止）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</si>
  <si>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</si>
  <si>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</si>
  <si>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</si>
  <si>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</si>
  <si>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</si>
  <si>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</si>
  <si>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</si>
  <si>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</si>
  <si>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</si>
  <si>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</si>
  <si>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Avride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TripleTen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</si>
  <si>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其他事業（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：上半年 −</t>
    </r>
    <r>
      <rPr>
        <sz val="9"/>
        <color rgb="FF595959"/>
        <rFont val="Arial"/>
        <family val="0"/>
        <charset val="1"/>
      </rPr>
      <t xml:space="preserve">0.094 × 2</t>
    </r>
    <r>
      <rPr>
        <sz val="9"/>
        <color rgb="FF595959"/>
        <rFont val="Noto Sans CJK SC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0.188</t>
    </r>
    <r>
      <rPr>
        <sz val="9"/>
        <color rgb="FF595959"/>
        <rFont val="Noto Sans CJK SC"/>
        <family val="2"/>
      </rPr>
      <t xml:space="preserve">／年，各期＝−</t>
    </r>
    <r>
      <rPr>
        <sz val="9"/>
        <color rgb="FF595959"/>
        <rFont val="Arial"/>
        <family val="0"/>
        <charset val="1"/>
      </rPr>
      <t xml:space="preserve">0.188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線性遞減（首期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 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FY30 0%</t>
    </r>
    <r>
      <rPr>
        <sz val="9"/>
        <color rgb="FF595959"/>
        <rFont val="Noto Sans CJK SC"/>
        <family val="2"/>
      </rPr>
      <t xml:space="preserve">）；假設處分或自給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</si>
  <si>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</si>
  <si>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</si>
  <si>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</si>
  <si>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</si>
  <si>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</si>
  <si>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</si>
  <si>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</si>
  <si>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</si>
  <si>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</si>
  <si>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</si>
  <si>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</si>
  <si>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</si>
  <si>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</si>
  <si>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</si>
  <si>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</si>
  <si>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</si>
  <si>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</si>
  <si>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</si>
  <si>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</si>
  <si>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</si>
  <si>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</si>
  <si>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</si>
  <si>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</si>
  <si>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</si>
  <si>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全年指引下緣（法說會轉述）：當年支出多已下單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</si>
  <si>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</si>
  <si>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t xml:space="preserve">年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</si>
  <si>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起伺服器與網通設備折舊年限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Noto Sans CJK SC"/>
        <family val="2"/>
      </rPr>
      <t xml:space="preserve">年）；取較保守者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</si>
  <si>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</si>
  <si>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季報毛額（含尚未啟用資產 </t>
    </r>
    <r>
      <rPr>
        <sz val="9"/>
        <color rgb="FF595959"/>
        <rFont val="Arial"/>
        <family val="0"/>
        <charset val="1"/>
      </rPr>
      <t xml:space="preserve">7.8364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</si>
  <si>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</si>
  <si>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</si>
  <si>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</si>
  <si>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× Tokenomics IF_CapexTotal</t>
    </r>
    <r>
      <rPr>
        <sz val="9"/>
        <color rgb="FF595959"/>
        <rFont val="Noto Sans CJK SC"/>
        <family val="2"/>
      </rPr>
      <t xml:space="preserve">｜世代（</t>
    </r>
    <r>
      <rPr>
        <sz val="9"/>
        <color rgb="FF595959"/>
        <rFont val="Arial"/>
        <family val="0"/>
        <charset val="1"/>
      </rPr>
      <t xml:space="preserve">TK_CapexTotal_*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</si>
  <si>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v0.3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</si>
  <si>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寫死值（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 50.12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50.26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起全取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，未依新增組合加權）；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起只作對照，不入模型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</si>
  <si>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</si>
  <si>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股東信：約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SC"/>
        <family val="2"/>
      </rPr>
      <t xml:space="preserve">合約含客戶預付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</si>
  <si>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預付占相關資本支出比</t>
  </si>
  <si>
    <r>
      <rPr>
        <sz val="9"/>
        <color rgb="FF595959"/>
        <rFont val="Noto Sans CJK SC"/>
        <family val="2"/>
      </rPr>
      <t xml:space="preserve">股東信：預付覆蓋相關資本支出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Noto Sans CJK SC"/>
        <family val="2"/>
      </rPr>
      <t xml:space="preserve">，取中點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</si>
  <si>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預付認列年數</t>
  </si>
  <si>
    <r>
      <rPr>
        <sz val="9"/>
        <color rgb="FF595959"/>
        <rFont val="Noto Sans CJK SC"/>
        <family val="2"/>
      </rPr>
      <t xml:space="preserve">季報：遞延營收預計 </t>
    </r>
    <r>
      <rPr>
        <sz val="9"/>
        <color rgb="FF595959"/>
        <rFont val="Arial"/>
        <family val="0"/>
        <charset val="1"/>
      </rPr>
      <t xml:space="preserve">1–5 </t>
    </r>
    <r>
      <rPr>
        <sz val="9"/>
        <color rgb="FF595959"/>
        <rFont val="Noto Sans CJK SC"/>
        <family val="2"/>
      </rPr>
      <t xml:space="preserve">年內認列，取中點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年；自下一期起依期初合約負債直線認列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</si>
  <si>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</si>
  <si>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季報遞延營收 </t>
    </r>
    <r>
      <rPr>
        <sz val="9"/>
        <color rgb="FF595959"/>
        <rFont val="Arial"/>
        <family val="0"/>
        <charset val="1"/>
      </rPr>
      <t xml:space="preserve">5.9752</t>
    </r>
    <r>
      <rPr>
        <sz val="9"/>
        <color rgb="FF595959"/>
        <rFont val="Noto Sans CJK SC"/>
        <family val="2"/>
      </rPr>
      <t xml:space="preserve">（流動 </t>
    </r>
    <r>
      <rPr>
        <sz val="9"/>
        <color rgb="FF595959"/>
        <rFont val="Arial"/>
        <family val="0"/>
        <charset val="1"/>
      </rPr>
      <t xml:space="preserve">0.979</t>
    </r>
    <r>
      <rPr>
        <sz val="9"/>
        <color rgb="FF595959"/>
        <rFont val="Noto Sans CJK SC"/>
        <family val="2"/>
      </rPr>
      <t xml:space="preserve">＋非流動 </t>
    </r>
    <r>
      <rPr>
        <sz val="9"/>
        <color rgb="FF595959"/>
        <rFont val="Arial"/>
        <family val="0"/>
        <charset val="1"/>
      </rPr>
      <t xml:space="preserve">4.996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</si>
  <si>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</si>
  <si>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</si>
  <si>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</si>
  <si>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</si>
  <si>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</si>
  <si>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</si>
  <si>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</si>
  <si>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</si>
  <si>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</si>
  <si>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</si>
  <si>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</si>
  <si>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</si>
  <si>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</si>
  <si>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</si>
  <si>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170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</si>
  <si>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</si>
  <si>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</si>
  <si>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</si>
  <si>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</si>
  <si>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</si>
  <si>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8.1303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</si>
  <si>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</si>
  <si>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</si>
  <si>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</si>
  <si>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</si>
  <si>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</si>
  <si>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</si>
  <si>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</si>
  <si>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</si>
  <si>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</si>
  <si>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</si>
  <si>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</si>
  <si>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8.0421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1.056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</si>
  <si>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</si>
  <si>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$5.75B </t>
    </r>
    <r>
      <rPr>
        <sz val="9"/>
        <color rgb="FF595959"/>
        <rFont val="Noto Sans CJK SC"/>
        <family val="2"/>
      </rPr>
      <t xml:space="preserve">淨額約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（超額配售全數行使）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</si>
  <si>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</si>
  <si>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5.68bn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</si>
  <si>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</si>
  <si>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資產擔保定期貸款 </t>
    </r>
    <r>
      <rPr>
        <sz val="9"/>
        <color rgb="FF595959"/>
        <rFont val="Arial"/>
        <family val="0"/>
        <charset val="1"/>
      </rPr>
      <t xml:space="preserve">$775M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2026-07-10 </t>
    </r>
    <r>
      <rPr>
        <sz val="9"/>
        <color rgb="FF595959"/>
        <rFont val="Noto Sans CJK SC"/>
        <family val="2"/>
      </rPr>
      <t xml:space="preserve">簽約，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</si>
  <si>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</si>
  <si>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</si>
  <si>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</si>
  <si>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</si>
  <si>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</si>
  <si>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</si>
  <si>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t xml:space="preserve">新簽合約年期</t>
  </si>
  <si>
    <r>
      <rPr>
        <sz val="9"/>
        <color rgb="FF595959"/>
        <rFont val="Noto Sans CJK SC"/>
        <family val="2"/>
      </rPr>
      <t xml:space="preserve">股東信：核心合約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年、長約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年；取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</si>
  <si>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</si>
  <si>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</si>
  <si>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</si>
  <si>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</si>
  <si>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</si>
  <si>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</si>
  <si>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</si>
  <si>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</si>
  <si>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</si>
  <si>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</si>
  <si>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</si>
  <si>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可轉債年發行上限｜保守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</si>
  <si>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</si>
  <si>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</si>
  <si>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</si>
  <si>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可轉債年發行上限｜積極 每年 </t>
    </r>
    <r>
      <rPr>
        <sz val="10"/>
        <rFont val="Arial"/>
        <family val="0"/>
        <charset val="1"/>
      </rPr>
      <t xml:space="preserve">&gt;1 GW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</si>
  <si>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</si>
  <si>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</si>
  <si>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</si>
  <si>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</si>
  <si>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</si>
  <si>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</si>
  <si>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</si>
  <si>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</si>
  <si>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</si>
  <si>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</si>
  <si>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報價資料）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</si>
  <si>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</si>
  <si>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</si>
  <si>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</si>
  <si>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</si>
  <si>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</si>
  <si>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</si>
  <si>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</si>
  <si>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</si>
  <si>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</si>
  <si>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瀑布新債成本：資產擔保融資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SOFR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rf 4% </t>
    </r>
    <r>
      <rPr>
        <sz val="9"/>
        <color rgb="FF595959"/>
        <rFont val="Noto Sans CJK SC"/>
        <family val="2"/>
      </rPr>
      <t xml:space="preserve">推估）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</si>
  <si>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</si>
  <si>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</si>
  <si>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</si>
  <si>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</si>
  <si>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（收盤價）（</t>
    </r>
    <r>
      <rPr>
        <sz val="9"/>
        <color rgb="FF595959"/>
        <rFont val="Arial"/>
        <family val="0"/>
        <charset val="1"/>
      </rPr>
      <t xml:space="preserve">https://stockanalysis.com/stocks/nbis/forecast/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</si>
  <si>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</si>
  <si>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0.2719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0.0211</t>
    </r>
    <r>
      <rPr>
        <sz val="9"/>
        <color rgb="FF595959"/>
        <rFont val="Noto Sans CJK SC"/>
        <family val="2"/>
      </rPr>
      <t xml:space="preserve">＋以股換債 </t>
    </r>
    <r>
      <rPr>
        <sz val="9"/>
        <color rgb="FF595959"/>
        <rFont val="Arial"/>
        <family val="0"/>
        <charset val="1"/>
      </rPr>
      <t xml:space="preserve">0.0158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0.0062</t>
    </r>
    <r>
      <rPr>
        <sz val="9"/>
        <color rgb="FF595959"/>
        <rFont val="Noto Sans CJK SC"/>
        <family val="2"/>
      </rPr>
      <t xml:space="preserve">＋選擇權庫藏股法 </t>
    </r>
    <r>
      <rPr>
        <sz val="9"/>
        <color rgb="FF595959"/>
        <rFont val="Arial"/>
        <family val="0"/>
        <charset val="1"/>
      </rPr>
      <t xml:space="preserve">0.0043 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</si>
  <si>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</si>
  <si>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</si>
  <si>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</si>
  <si>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ClickHouse 2025 </t>
    </r>
    <r>
      <rPr>
        <sz val="9"/>
        <color rgb="FF595959"/>
        <rFont val="Noto Sans CJK SC"/>
        <family val="2"/>
      </rPr>
      <t xml:space="preserve">年估值 </t>
    </r>
    <r>
      <rPr>
        <sz val="9"/>
        <color rgb="FF595959"/>
        <rFont val="Arial"/>
        <family val="0"/>
        <charset val="1"/>
      </rPr>
      <t xml:space="preserve">US$15bn × </t>
    </r>
    <r>
      <rPr>
        <sz val="9"/>
        <color rgb="FF595959"/>
        <rFont val="Noto Sans CJK SC"/>
        <family val="2"/>
      </rPr>
      <t xml:space="preserve">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（持股比例為二手資料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；帳面 </t>
    </r>
    <r>
      <rPr>
        <sz val="9"/>
        <color rgb="FF595959"/>
        <rFont val="Arial"/>
        <family val="0"/>
        <charset val="1"/>
      </rPr>
      <t xml:space="preserve">1.5177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</si>
  <si>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持股｜持股比例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</si>
  <si>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</si>
  <si>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帳面價值（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</si>
  <si>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持股｜持股比例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</si>
  <si>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</si>
  <si>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</si>
  <si>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類債：</t>
    </r>
    <r>
      <rPr>
        <sz val="10"/>
        <rFont val="Arial"/>
        <family val="0"/>
        <charset val="1"/>
      </rPr>
      <t xml:space="preserve">Avride SAFE </t>
    </r>
    <r>
      <rPr>
        <sz val="10"/>
        <rFont val="Noto Sans CJK SC"/>
        <family val="2"/>
      </rPr>
      <t xml:space="preserve">負債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</si>
  <si>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SAFE </t>
    </r>
    <r>
      <rPr>
        <sz val="9"/>
        <color rgb="FF595959"/>
        <rFont val="Noto Sans CJK SC"/>
        <family val="2"/>
      </rPr>
      <t xml:space="preserve">負債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</si>
  <si>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</si>
  <si>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</si>
  <si>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WACC</t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</si>
  <si>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模板值（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淨現金、槓桿較低，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可能偏高＝偏保守；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未另估）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</si>
  <si>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</si>
  <si>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</si>
  <si>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</si>
  <si>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</si>
  <si>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荷蘭名目稅率 </t>
    </r>
    <r>
      <rPr>
        <sz val="9"/>
        <color rgb="FF595959"/>
        <rFont val="Arial"/>
        <family val="0"/>
        <charset val="1"/>
      </rPr>
      <t xml:space="preserve">25.8% 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</si>
  <si>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</si>
  <si>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50%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</si>
  <si>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</si>
  <si>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抵扣上限占應稅所得的比例（荷蘭規定簡化為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</si>
  <si>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</si>
  <si>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</si>
  <si>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</si>
  <si>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模板：穩態合理倍數約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為上緣；共識目標價隱含約 </t>
    </r>
    <r>
      <rPr>
        <sz val="9"/>
        <color rgb="FF595959"/>
        <rFont val="Arial"/>
        <family val="0"/>
        <charset val="1"/>
      </rPr>
      <t xml:space="preserve">9–10x 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</si>
  <si>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</si>
  <si>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</si>
  <si>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</si>
  <si>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</si>
  <si>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</si>
  <si>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</si>
  <si>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</si>
  <si>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</si>
  <si>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</si>
  <si>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</si>
  <si>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0.138 </t>
    </r>
    <r>
      <rPr>
        <sz val="9"/>
        <color rgb="FF595959"/>
        <rFont val="Noto Sans CJK SC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一次性 </t>
    </r>
    <r>
      <rPr>
        <sz val="9"/>
        <color rgb="FF595959"/>
        <rFont val="Arial"/>
        <family val="0"/>
        <charset val="1"/>
      </rPr>
      <t xml:space="preserve">0.075 </t>
    </r>
    <r>
      <rPr>
        <sz val="9"/>
        <color rgb="FF595959"/>
        <rFont val="Noto Sans CJK SC"/>
        <family val="2"/>
      </rPr>
      <t xml:space="preserve">後年化約 </t>
    </r>
    <r>
      <rPr>
        <sz val="9"/>
        <color rgb="FF595959"/>
        <rFont val="Arial"/>
        <family val="0"/>
        <charset val="1"/>
      </rPr>
      <t xml:space="preserve">0.13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</si>
  <si>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</si>
  <si>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</si>
  <si>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</si>
  <si>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</si>
  <si>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</si>
  <si>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</si>
  <si>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</si>
  <si>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</si>
  <si>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</si>
  <si>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</si>
  <si>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</si>
  <si>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</si>
  <si>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</si>
  <si>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</si>
  <si>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</si>
  <si>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</si>
  <si>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</si>
  <si>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</si>
  <si>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</si>
  <si>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</si>
  <si>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</si>
  <si>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</si>
  <si>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</si>
  <si>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</si>
  <si>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</si>
  <si>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</si>
  <si>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2026-10-21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</si>
  <si>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</si>
  <si>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</si>
  <si>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</si>
  <si>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</si>
  <si>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</si>
  <si>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</si>
  <si>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</si>
  <si>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</si>
  <si>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</si>
  <si>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</si>
  <si>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</si>
  <si>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</si>
  <si>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</si>
  <si>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</si>
  <si>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</si>
  <si>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</si>
  <si>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</si>
  <si>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</si>
  <si>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</si>
  <si>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</si>
  <si>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</si>
  <si>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</si>
  <si>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</si>
  <si>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</si>
  <si>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</si>
  <si>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</si>
  <si>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</si>
  <si>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</si>
  <si>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</si>
  <si>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</si>
  <si>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</si>
  <si>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</si>
  <si>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</si>
  <si>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20-F </t>
    </r>
    <r>
      <rPr>
        <sz val="9"/>
        <color rgb="FF595959"/>
        <rFont val="Noto Sans CJK SC"/>
        <family val="2"/>
      </rPr>
      <t xml:space="preserve">經查核資產負債表 </t>
    </r>
    <r>
      <rPr>
        <sz val="9"/>
        <color rgb="FF595959"/>
        <rFont val="Arial"/>
        <family val="0"/>
        <charset val="1"/>
      </rPr>
      <t xml:space="preserve">3,678.1 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</si>
  <si>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</si>
  <si>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Q1 2,258.0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2,246.1</t>
    </r>
    <r>
      <rPr>
        <sz val="9"/>
        <color rgb="FF595959"/>
        <rFont val="Noto Sans CJK SC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4,395.0</t>
    </r>
    <r>
      <rPr>
        <sz val="9"/>
        <color rgb="FF595959"/>
        <rFont val="Noto Sans CJK SC"/>
        <family val="2"/>
      </rPr>
      <t xml:space="preserve">（客戶預付）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</si>
  <si>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</si>
  <si>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Q1 2,472.9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5,657.4</t>
    </r>
    <r>
      <rPr>
        <sz val="9"/>
        <color rgb="FF595959"/>
        <rFont val="Noto Sans CJK SC"/>
        <family val="2"/>
      </rPr>
      <t xml:space="preserve">（購置不動產設備與無形資產）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</si>
  <si>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</si>
  <si>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</si>
  <si>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</si>
  <si>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收購子公司淨額 </t>
    </r>
    <r>
      <rPr>
        <sz val="9"/>
        <color rgb="FF595959"/>
        <rFont val="Arial"/>
        <family val="0"/>
        <charset val="1"/>
      </rPr>
      <t xml:space="preserve">251.6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Tavily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ClarifAI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Eigen AI</t>
    </r>
    <r>
      <rPr>
        <sz val="9"/>
        <color rgb="FF595959"/>
        <rFont val="Noto Sans CJK SC"/>
        <family val="2"/>
      </rPr>
      <t xml:space="preserve">）列為策略投資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</si>
  <si>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</si>
  <si>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可轉債總價款 </t>
    </r>
    <r>
      <rPr>
        <sz val="9"/>
        <color rgb="FF595959"/>
        <rFont val="Arial"/>
        <family val="0"/>
        <charset val="1"/>
      </rPr>
      <t xml:space="preserve">4,337.5 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</si>
  <si>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</si>
  <si>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上半年未見還款（可轉債以轉換方式減少，非現金）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</si>
  <si>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</si>
  <si>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未見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揭露（不適用）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</si>
  <si>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</si>
  <si>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2,811.1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2,000.0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</si>
  <si>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</si>
  <si>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Q1 63.7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Q2 119.1</t>
    </r>
    <r>
      <rPr>
        <sz val="9"/>
        <color rgb="FF595959"/>
        <rFont val="Noto Sans CJK SC"/>
        <family val="2"/>
      </rPr>
      <t xml:space="preserve">（含可轉債攤銷等非現金）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</si>
  <si>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</si>
  <si>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上半年租賃現金支付未揭露（不適用，以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列示）；已含在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</si>
  <si>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</si>
  <si>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Q1 399.0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Q2 582.3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</si>
  <si>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</si>
  <si>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Q1 −128.0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Q2 −175.9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</si>
  <si>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</si>
  <si>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續營部門 </t>
    </r>
    <r>
      <rPr>
        <sz val="9"/>
        <color rgb="FF595959"/>
        <rFont val="Arial"/>
        <family val="0"/>
        <charset val="1"/>
      </rPr>
      <t xml:space="preserve">Q1 621.2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ClickHouse </t>
    </r>
    <r>
      <rPr>
        <sz val="9"/>
        <color rgb="FF595959"/>
        <rFont val="Noto Sans CJK SC"/>
        <family val="2"/>
      </rPr>
      <t xml:space="preserve">重估利益 </t>
    </r>
    <r>
      <rPr>
        <sz val="9"/>
        <color rgb="FF595959"/>
        <rFont val="Arial"/>
        <family val="0"/>
        <charset val="1"/>
      </rPr>
      <t xml:space="preserve">780.6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Q2 −190.4 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</si>
  <si>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</si>
  <si>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遞延營收增加 </t>
    </r>
    <r>
      <rPr>
        <sz val="9"/>
        <color rgb="FF595959"/>
        <rFont val="Arial"/>
        <family val="0"/>
        <charset val="1"/>
      </rPr>
      <t xml:space="preserve">4,397.7</t>
    </r>
    <r>
      <rPr>
        <sz val="9"/>
        <color rgb="FF595959"/>
        <rFont val="Noto Sans CJK SC"/>
        <family val="2"/>
      </rPr>
      <t xml:space="preserve">＋自期初遞延營收認列 </t>
    </r>
    <r>
      <rPr>
        <sz val="9"/>
        <color rgb="FF595959"/>
        <rFont val="Arial"/>
        <family val="0"/>
        <charset val="1"/>
      </rPr>
      <t xml:space="preserve">154.3 [Derived]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</si>
  <si>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D&amp;A</t>
  </si>
  <si>
    <r>
      <rPr>
        <sz val="9"/>
        <color rgb="FF595959"/>
        <rFont val="Arial"/>
        <family val="0"/>
        <charset val="1"/>
      </rPr>
      <t xml:space="preserve">Q1 212.0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Q2 259.7 [Interested-party]</t>
    </r>
  </si>
  <si>
    <t xml:space="preserve">SBC</t>
  </si>
  <si>
    <r>
      <rPr>
        <sz val="9"/>
        <color rgb="FF595959"/>
        <rFont val="Arial"/>
        <family val="0"/>
        <charset val="1"/>
      </rPr>
      <t xml:space="preserve">Q1 35.3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Q2 102.5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收購相關 </t>
    </r>
    <r>
      <rPr>
        <sz val="9"/>
        <color rgb="FF595959"/>
        <rFont val="Arial"/>
        <family val="0"/>
        <charset val="1"/>
      </rPr>
      <t xml:space="preserve">74.9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</si>
  <si>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</si>
  <si>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Noto Sans CJK SC"/>
        <family val="2"/>
      </rPr>
      <t xml:space="preserve">淨損益 </t>
    </r>
    <r>
      <rPr>
        <sz val="9"/>
        <color rgb="FF595959"/>
        <rFont val="Arial"/>
        <family val="0"/>
        <charset val="1"/>
      </rPr>
      <t xml:space="preserve">430.8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0.2693bn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Q1 258.3m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Q2 280.4m </t>
    </r>
    <r>
      <rPr>
        <sz val="9"/>
        <color rgb="FF595959"/>
        <rFont val="Noto Sans CJK SC"/>
        <family val="2"/>
      </rPr>
      <t xml:space="preserve">平均）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</si>
  <si>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</si>
  <si>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(430.8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137.8)÷0.2693bn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</si>
  <si>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</si>
  <si>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0.130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0.236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2026-05-13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Q2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；以公司新聞稿為準。公司自述非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數字（未經查核）；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AI cloud 285.7 </t>
    </r>
    <r>
      <rPr>
        <sz val="9"/>
        <color rgb="FF595959"/>
        <rFont val="Noto Sans CJK SC"/>
        <family val="2"/>
      </rPr>
      <t xml:space="preserve">與非核心事業 −</t>
    </r>
    <r>
      <rPr>
        <sz val="9"/>
        <color rgb="FF595959"/>
        <rFont val="Arial"/>
        <family val="0"/>
        <charset val="1"/>
      </rPr>
      <t xml:space="preserve">49.5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</si>
  <si>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</si>
  <si>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</si>
  <si>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</si>
  <si>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</si>
  <si>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情境區間運算表｜基準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</si>
  <si>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情境區間運算表｜積極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</si>
  <si>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data/consensus_nbis_20261007.json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</si>
  <si>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</si>
  <si>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</si>
  <si>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</si>
  <si>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</si>
  <si>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</si>
  <si>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</si>
  <si>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</si>
  <si>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</si>
  <si>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</si>
  <si>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</si>
  <si>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</si>
  <si>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</si>
  <si>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2026-10-07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</si>
  <si>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</si>
  <si>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</si>
  <si>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</si>
  <si>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</si>
  <si>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</si>
  <si>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</si>
  <si>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</si>
  <si>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</si>
  <si>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</si>
  <si>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https://www.marketbeat.com/stocks/NASDAQ/NBIS/forecast/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</si>
  <si>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</si>
  <si>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</si>
  <si>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</si>
  <si>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</si>
  <si>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系，非獨立）｜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</si>
  <si>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9"/>
        <color rgb="FF595959"/>
        <rFont val="Noto Sans CJK SC"/>
        <family val="2"/>
      </rPr>
      <t xml:space="preserve">頁面所附收盤 </t>
    </r>
    <r>
      <rPr>
        <sz val="9"/>
        <color rgb="FF595959"/>
        <rFont val="Arial"/>
        <family val="0"/>
        <charset val="1"/>
      </rPr>
      <t xml:space="preserve">$193.23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10/6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$249.87 </t>
    </r>
    <r>
      <rPr>
        <sz val="9"/>
        <color rgb="FF595959"/>
        <rFont val="Noto Sans CJK SC"/>
        <family val="2"/>
      </rPr>
      <t xml:space="preserve">不符，目標價可能為較舊快照；僅供參考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</si>
  <si>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</si>
  <si>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</si>
  <si>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</si>
  <si>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</si>
  <si>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</si>
  <si>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</si>
  <si>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</si>
  <si>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</si>
  <si>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</si>
  <si>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</si>
  <si>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</si>
  <si>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</si>
  <si>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</si>
  <si>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</si>
  <si>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</si>
  <si>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</si>
  <si>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</si>
  <si>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</si>
  <si>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</si>
  <si>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</si>
  <si>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</si>
  <si>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</si>
  <si>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口徑未由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說明；對照公司調整後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時留意（</t>
    </r>
    <r>
      <rPr>
        <sz val="10"/>
        <rFont val="Arial"/>
        <family val="0"/>
        <charset val="1"/>
      </rPr>
      <t xml:space="preserve">2026 Q3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EBITDA 0.362</t>
    </r>
    <r>
      <rPr>
        <sz val="10"/>
        <rFont val="Noto Sans CJK SC"/>
        <family val="2"/>
      </rPr>
      <t xml:space="preserve">、公司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口徑未說明（推測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）。淨負債是否含租賃負債未揭露。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</si>
  <si>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</si>
  <si>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</si>
  <si>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</si>
  <si>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</si>
  <si>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</si>
  <si>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只免費提供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需付費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</si>
  <si>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</si>
  <si>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</si>
  <si>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</si>
  <si>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</si>
  <si>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</si>
  <si>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</si>
  <si>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0.9813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Q3 0.8994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Q4 1.521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3.402</t>
    </r>
    <r>
      <rPr>
        <sz val="10"/>
        <rFont val="Noto Sans CJK SC"/>
        <family val="2"/>
      </rPr>
      <t xml:space="preserve">，與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差 </t>
    </r>
    <r>
      <rPr>
        <sz val="10"/>
        <rFont val="Arial"/>
        <family val="0"/>
        <charset val="1"/>
      </rPr>
      <t xml:space="preserve">0.023</t>
    </r>
    <r>
      <rPr>
        <sz val="10"/>
        <rFont val="Noto Sans CJK SC"/>
        <family val="2"/>
      </rPr>
      <t xml:space="preserve">（樣本不同）；均落在公司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3.0–3.4 </t>
    </r>
    <r>
      <rPr>
        <sz val="10"/>
        <rFont val="Noto Sans CJK SC"/>
        <family val="2"/>
      </rPr>
      <t xml:space="preserve">上緣附近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</si>
  <si>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</si>
  <si>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</si>
  <si>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</si>
  <si>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股東信（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</t>
    </r>
    <r>
      <rPr>
        <sz val="9"/>
        <color rgb="FF595959"/>
        <rFont val="Noto Sans CJK SC"/>
        <family val="2"/>
      </rPr>
      <t xml:space="preserve">）；資本支出為法說會轉述（見事實總帳 </t>
    </r>
    <r>
      <rPr>
        <sz val="9"/>
        <color rgb="FF595959"/>
        <rFont val="Arial"/>
        <family val="0"/>
        <charset val="1"/>
      </rPr>
      <t xml:space="preserve">g.capex26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https://www.sec.gov/Archives/edgar/data/1513845/000110465926094568/tm2622968d1_ex99-2.htm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</si>
  <si>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</si>
  <si>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ARR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</si>
  <si>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</si>
  <si>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年底合約電力</t>
    </r>
  </si>
  <si>
    <t xml:space="preserve">GW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</si>
  <si>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年底已連網電力（低／高）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</si>
  <si>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客戶預付（下限）</t>
    </r>
  </si>
  <si>
    <r>
      <rPr>
        <sz val="9"/>
        <color rgb="FF595959"/>
        <rFont val="Noto Sans CJK SC"/>
        <family val="2"/>
      </rPr>
      <t xml:space="preserve">公司指引屬利害關係人（管理層）預估；營收、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、合約電力、預付款為股東信正式文字，資本支出與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率口徑見事實總帳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</si>
  <si>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Zacks Investment Research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</si>
  <si>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營收（財報前）</t>
    </r>
  </si>
  <si>
    <t xml:space="preserve">2026-08-12</t>
  </si>
  <si>
    <r>
      <rPr>
        <sz val="9"/>
        <color rgb="FF595959"/>
        <rFont val="Arial"/>
        <family val="0"/>
        <charset val="1"/>
      </rPr>
      <t xml:space="preserve">Zacks Investment Research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Nebius Group: Q2 Earnings Snapshot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https://wtop.com/news/2026/08/nebius-group-q2-earnings-snapshot/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</si>
  <si>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EPS</t>
    </r>
    <r>
      <rPr>
        <sz val="10"/>
        <rFont val="Noto Sans CJK SC"/>
        <family val="2"/>
      </rPr>
      <t xml:space="preserve">（財報前）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</si>
  <si>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對照｜家數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</si>
  <si>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財報前的單季共識（實際 </t>
    </r>
    <r>
      <rPr>
        <sz val="9"/>
        <color rgb="FF595959"/>
        <rFont val="Arial"/>
        <family val="0"/>
        <charset val="1"/>
      </rPr>
      <t xml:space="preserve">0.5823</t>
    </r>
    <r>
      <rPr>
        <sz val="9"/>
        <color rgb="FF595959"/>
        <rFont val="Noto Sans CJK SC"/>
        <family val="2"/>
      </rPr>
      <t xml:space="preserve">），僅供確認量級；非年度共識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</si>
  <si>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</si>
  <si>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</si>
  <si>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</si>
  <si>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</si>
  <si>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</si>
  <si>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Bank of America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</si>
  <si>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</si>
  <si>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Exane BNP Paribas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</si>
  <si>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（調升）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</si>
  <si>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2026-09-18 Northland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</si>
  <si>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（重申）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</si>
  <si>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2026-09-09 Truist Financial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</si>
  <si>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</si>
  <si>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</si>
  <si>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</si>
  <si>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的目標價、評等、營收預估引用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的年度與季度預估一般亦引用 </t>
    </r>
    <r>
      <rPr>
        <sz val="10"/>
        <rFont val="Arial"/>
        <family val="0"/>
        <charset val="1"/>
      </rPr>
      <t xml:space="preserve">S&amp;P Capital IQ</t>
    </r>
    <r>
      <rPr>
        <sz val="10"/>
        <rFont val="Noto Sans CJK SC"/>
        <family val="2"/>
      </rPr>
      <t xml:space="preserve">（同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共識檔的判斷），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營收兩者 </t>
    </r>
    <r>
      <rPr>
        <sz val="10"/>
        <rFont val="Arial"/>
        <family val="0"/>
        <charset val="1"/>
      </rPr>
      <t xml:space="preserve">3.34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接近，視為同一底層來源的兩個呈現，不算獨立交叉驗證。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的目標價與評等為 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），可作目標價的獨立交叉。</t>
    </r>
    <r>
      <rPr>
        <sz val="10"/>
        <rFont val="Arial"/>
        <family val="0"/>
        <charset val="1"/>
      </rPr>
      <t xml:space="preserve">Zacks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AP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WTOP</t>
    </r>
    <r>
      <rPr>
        <sz val="10"/>
        <rFont val="Noto Sans CJK SC"/>
        <family val="2"/>
      </rPr>
      <t xml:space="preserve">）只取得 </t>
    </r>
    <r>
      <rPr>
        <sz val="10"/>
        <rFont val="Arial"/>
        <family val="0"/>
        <charset val="1"/>
      </rPr>
      <t xml:space="preserve">Q2 2026 </t>
    </r>
    <r>
      <rPr>
        <sz val="10"/>
        <rFont val="Noto Sans CJK SC"/>
        <family val="2"/>
      </rPr>
      <t xml:space="preserve">財報前的單季營收共識，僅供量級確認。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</si>
  <si>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</si>
  <si>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</si>
  <si>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免費來源未找到）——「找不到」，非不存在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</si>
  <si>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</si>
  <si>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FY28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</si>
  <si>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</si>
  <si>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</si>
  <si>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</si>
  <si>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目標價與收盤價的擷取時點：頁面未標日期，疑為舊快照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</si>
  <si>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</si>
  <si>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</si>
  <si>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</si>
  <si>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</si>
  <si>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</si>
  <si>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</si>
  <si>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</si>
  <si>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</si>
  <si>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</si>
  <si>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</si>
  <si>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</si>
  <si>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</si>
  <si>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</si>
  <si>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</si>
  <si>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</si>
  <si>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</si>
  <si>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</si>
  <si>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</si>
  <si>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</si>
  <si>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</si>
  <si>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目標中點 </t>
    </r>
    <r>
      <rPr>
        <sz val="9"/>
        <color rgb="FF595959"/>
        <rFont val="Arial"/>
        <family val="0"/>
        <charset val="1"/>
      </rPr>
      <t xml:space="preserve">900 MW÷1.2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750 MW-IT </t>
    </r>
    <r>
      <rPr>
        <sz val="9"/>
        <color rgb="FF595959"/>
        <rFont val="Noto Sans CJK SC"/>
        <family val="2"/>
      </rPr>
      <t xml:space="preserve">線性內插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</si>
  <si>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</si>
  <si>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</si>
  <si>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</si>
  <si>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</si>
  <si>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</si>
  <si>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</si>
  <si>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</si>
  <si>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</si>
  <si>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</si>
  <si>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</si>
  <si>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</si>
  <si>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</si>
  <si>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</si>
  <si>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</si>
  <si>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</si>
  <si>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</si>
  <si>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</si>
  <si>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</si>
  <si>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</si>
  <si>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</si>
  <si>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</si>
  <si>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</si>
  <si>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</si>
  <si>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</si>
  <si>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＝期初合約負債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</si>
  <si>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</si>
  <si>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</si>
  <si>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</si>
  <si>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</si>
  <si>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</si>
  <si>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</si>
  <si>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</si>
  <si>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12.0541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</si>
  <si>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</si>
  <si>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</si>
  <si>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</si>
  <si>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</si>
  <si>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</si>
  <si>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</si>
  <si>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</si>
  <si>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</si>
  <si>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</si>
  <si>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</si>
  <si>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0.2516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0.252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</si>
  <si>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</si>
  <si>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</si>
  <si>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</si>
  <si>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</si>
  <si>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0.0467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</si>
  <si>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</si>
  <si>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</si>
  <si>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</si>
  <si>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</si>
  <si>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</si>
  <si>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</si>
  <si>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</si>
  <si>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</si>
  <si>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</si>
  <si>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</si>
  <si>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</si>
  <si>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 </t>
    </r>
    <r>
      <rPr>
        <sz val="9"/>
        <color rgb="FF595959"/>
        <rFont val="Noto Sans CJK SC"/>
        <family val="2"/>
      </rPr>
      <t xml:space="preserve">燒錢（負值），視為現金（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</si>
  <si>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</si>
  <si>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</si>
  <si>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</si>
  <si>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</si>
  <si>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</si>
  <si>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4.811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 </t>
    </r>
    <r>
      <rPr>
        <sz val="9"/>
        <color rgb="FF595959"/>
        <rFont val="Arial"/>
        <family val="0"/>
        <charset val="1"/>
      </rPr>
      <t xml:space="preserve">2.811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期後可轉債淨現金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</si>
  <si>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</si>
  <si>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4.3375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</si>
  <si>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</si>
  <si>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</si>
  <si>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</si>
  <si>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</si>
  <si>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</si>
  <si>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</si>
  <si>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</si>
  <si>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</si>
  <si>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</si>
  <si>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</si>
  <si>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</si>
  <si>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</si>
  <si>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</si>
  <si>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</si>
  <si>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</si>
  <si>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</si>
  <si>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</si>
  <si>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</si>
  <si>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</si>
  <si>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</si>
  <si>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</si>
  <si>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</si>
  <si>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</si>
  <si>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</si>
  <si>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</si>
  <si>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</si>
  <si>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</si>
  <si>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</si>
  <si>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</si>
  <si>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37.4906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</si>
  <si>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</si>
  <si>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</si>
  <si>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</si>
  <si>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</si>
  <si>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10.0885)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</si>
  <si>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</si>
  <si>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</si>
  <si>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</si>
  <si>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</si>
  <si>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</si>
  <si>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</si>
  <si>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</si>
  <si>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</si>
  <si>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</si>
  <si>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</si>
  <si>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</si>
  <si>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</si>
  <si>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</si>
  <si>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0.3088bn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</si>
  <si>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</si>
  <si>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</si>
  <si>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</si>
  <si>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</si>
  <si>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</si>
  <si>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</si>
  <si>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</si>
  <si>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</si>
  <si>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</si>
  <si>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</si>
  <si>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</si>
  <si>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</si>
  <si>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</si>
  <si>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</si>
  <si>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</si>
  <si>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</si>
  <si>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</si>
  <si>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</si>
  <si>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</si>
  <si>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</si>
  <si>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</si>
  <si>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</si>
  <si>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</si>
  <si>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</si>
  <si>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</si>
  <si>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</si>
  <si>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</si>
  <si>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</si>
  <si>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</si>
  <si>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</si>
  <si>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</si>
  <si>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</si>
  <si>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</si>
  <si>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</si>
  <si>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</si>
  <si>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</si>
  <si>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</si>
  <si>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</si>
  <si>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</si>
  <si>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</si>
  <si>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</si>
  <si>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</si>
  <si>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</si>
  <si>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</si>
  <si>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</si>
  <si>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</si>
  <si>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</si>
  <si>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</si>
  <si>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</si>
  <si>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</si>
  <si>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</si>
  <si>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</si>
  <si>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</si>
  <si>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</si>
  <si>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</si>
  <si>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</si>
  <si>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</si>
  <si>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</si>
  <si>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</si>
  <si>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</si>
  <si>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</si>
  <si>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</si>
  <si>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</si>
  <si>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</si>
  <si>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</si>
  <si>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</si>
  <si>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</si>
  <si>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</si>
  <si>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</si>
  <si>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</si>
  <si>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</si>
  <si>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</si>
  <si>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</si>
  <si>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</si>
  <si>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</si>
  <si>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</si>
  <si>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</si>
  <si>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</si>
  <si>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</si>
  <si>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</si>
  <si>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</si>
  <si>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</si>
  <si>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</si>
  <si>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</si>
  <si>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</si>
  <si>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</si>
  <si>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</si>
  <si>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</si>
  <si>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</si>
  <si>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</si>
  <si>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</si>
  <si>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</si>
  <si>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</si>
  <si>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</si>
  <si>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</si>
  <si>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</si>
  <si>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</si>
  <si>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</si>
  <si>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</si>
  <si>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</si>
  <si>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</si>
  <si>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</si>
  <si>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</si>
  <si>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</si>
  <si>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</si>
  <si>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</si>
  <si>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</si>
  <si>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</si>
  <si>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</si>
  <si>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</si>
  <si>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</si>
  <si>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</si>
  <si>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</si>
  <si>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</si>
  <si>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</si>
  <si>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</si>
  <si>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</si>
  <si>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</si>
  <si>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</si>
  <si>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</si>
  <si>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</si>
  <si>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</si>
  <si>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</si>
  <si>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</si>
  <si>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</si>
  <si>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</si>
  <si>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</si>
  <si>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</si>
  <si>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</si>
  <si>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</si>
  <si>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</si>
  <si>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</si>
  <si>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</si>
  <si>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</si>
  <si>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</si>
  <si>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</si>
  <si>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</si>
  <si>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</si>
  <si>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</si>
  <si>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</si>
  <si>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</si>
  <si>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</si>
  <si>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</si>
  <si>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</si>
  <si>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</si>
  <si>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</si>
  <si>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</si>
  <si>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</si>
  <si>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</si>
  <si>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</si>
  <si>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</si>
  <si>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</si>
  <si>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</si>
  <si>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</si>
  <si>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</si>
  <si>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</si>
  <si>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</si>
  <si>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</si>
  <si>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</si>
  <si>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</si>
  <si>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</si>
  <si>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</si>
  <si>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</si>
  <si>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</si>
  <si>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</si>
  <si>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</si>
  <si>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</si>
  <si>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</si>
  <si>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</si>
  <si>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</si>
  <si>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</si>
  <si>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</si>
  <si>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</si>
  <si>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</si>
  <si>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</si>
  <si>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</si>
  <si>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</si>
  <si>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</si>
  <si>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</si>
  <si>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</si>
  <si>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</si>
  <si>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</si>
  <si>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</si>
  <si>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</si>
  <si>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</si>
  <si>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</si>
  <si>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</si>
  <si>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</si>
  <si>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</si>
  <si>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</si>
  <si>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</si>
  <si>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</si>
  <si>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</si>
  <si>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</si>
  <si>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</si>
  <si>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</si>
  <si>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</si>
  <si>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</si>
  <si>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</si>
  <si>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</si>
  <si>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</si>
  <si>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</si>
  <si>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</si>
  <si>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已連網 </t>
    </r>
    <r>
      <rPr>
        <b val="true"/>
        <sz val="14"/>
        <rFont val="Arial"/>
        <family val="0"/>
        <charset val="1"/>
      </rPr>
      <t xml:space="preserve">MW × </t>
    </r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年收入（</t>
    </r>
    <r>
      <rPr>
        <b val="true"/>
        <sz val="14"/>
        <rFont val="Arial"/>
        <family val="0"/>
        <charset val="1"/>
      </rPr>
      <t xml:space="preserve">RPO </t>
    </r>
    <r>
      <rPr>
        <b val="true"/>
        <sz val="14"/>
        <rFont val="Noto Sans CJK SC"/>
        <family val="2"/>
      </rPr>
      <t xml:space="preserve">排程只作對照與產能瓶頸旗標）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</si>
  <si>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</si>
  <si>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</si>
  <si>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</si>
  <si>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</si>
  <si>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</si>
  <si>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</si>
  <si>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</si>
  <si>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</si>
  <si>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</si>
  <si>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</si>
  <si>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</si>
  <si>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</si>
  <si>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</si>
  <si>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</si>
  <si>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</si>
  <si>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</si>
  <si>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</si>
  <si>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</si>
  <si>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</si>
  <si>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</si>
  <si>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</si>
  <si>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</si>
  <si>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</si>
  <si>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</si>
  <si>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</si>
  <si>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</si>
  <si>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</si>
  <si>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</si>
  <si>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</si>
  <si>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</si>
  <si>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</si>
  <si>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</si>
  <si>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</si>
  <si>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</si>
  <si>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</si>
  <si>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</si>
  <si>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</si>
  <si>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欄對照公司全年指引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</si>
  <si>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</si>
  <si>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</si>
  <si>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</si>
  <si>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</si>
  <si>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</si>
  <si>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</si>
  <si>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</si>
  <si>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</si>
  <si>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</si>
  <si>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</si>
  <si>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</si>
  <si>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</si>
  <si>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</si>
  <si>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</si>
  <si>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</si>
  <si>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</si>
  <si>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</si>
  <si>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</si>
  <si>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</si>
  <si>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</si>
  <si>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</si>
  <si>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</si>
  <si>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</si>
  <si>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</si>
  <si>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</si>
  <si>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</si>
  <si>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</si>
  <si>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Lappeenranta,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</si>
  <si>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自建（自有）</t>
    </r>
  </si>
  <si>
    <t xml:space="preserve">未揭露</t>
  </si>
  <si>
    <t xml:space="preserve">2027</t>
  </si>
  <si>
    <t xml:space="preserve">—</t>
  </si>
  <si>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股東信：滿載 </t>
    </r>
    <r>
      <rPr>
        <sz val="9"/>
        <color rgb="FF595959"/>
        <rFont val="Arial"/>
        <family val="0"/>
        <charset val="1"/>
      </rPr>
      <t xml:space="preserve">310 MW</t>
    </r>
    <r>
      <rPr>
        <sz val="9"/>
        <color rgb="FF595959"/>
        <rFont val="Noto Sans CJK SC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258 MW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可用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</si>
  <si>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Independence, Missouri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</si>
  <si>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greenfield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</si>
  <si>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</si>
  <si>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Pennsylvania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</si>
  <si>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</si>
  <si>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 </t>
    </r>
    <r>
      <rPr>
        <sz val="9"/>
        <color rgb="FF595959"/>
        <rFont val="Noto Sans CJK SC"/>
        <family val="2"/>
      </rPr>
      <t xml:space="preserve">電力與土地（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起分期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</si>
  <si>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Vineland, New Jersey</t>
  </si>
  <si>
    <r>
      <rPr>
        <sz val="9"/>
        <color rgb="FF595959"/>
        <rFont val="Arial"/>
        <family val="0"/>
        <charset val="1"/>
      </rPr>
      <t xml:space="preserve">build-to-suit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專用）</t>
    </r>
  </si>
  <si>
    <t xml:space="preserve">2026</t>
  </si>
  <si>
    <r>
      <rPr>
        <sz val="9"/>
        <color rgb="FF595959"/>
        <rFont val="Arial"/>
        <family val="0"/>
        <charset val="1"/>
      </rPr>
      <t xml:space="preserve">Microsoft 5 </t>
    </r>
    <r>
      <rPr>
        <sz val="9"/>
        <color rgb="FF595959"/>
        <rFont val="Noto Sans CJK SC"/>
        <family val="2"/>
      </rPr>
      <t xml:space="preserve">年合約（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$17.4B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股東信：已交付全部 </t>
    </r>
    <r>
      <rPr>
        <sz val="9"/>
        <color rgb="FF595959"/>
        <rFont val="Arial"/>
        <family val="0"/>
        <charset val="1"/>
      </rPr>
      <t xml:space="preserve">tranche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</si>
  <si>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Alabama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</si>
  <si>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</t>
    </r>
  </si>
  <si>
    <r>
      <rPr>
        <sz val="9"/>
        <color rgb="FF595959"/>
        <rFont val="Noto Sans CJK SC"/>
        <family val="2"/>
      </rPr>
      <t xml:space="preserve">施工中、預計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</si>
  <si>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Mäntsälä,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</si>
  <si>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自建（既有）</t>
    </r>
  </si>
  <si>
    <t xml:space="preserve">既有</t>
  </si>
  <si>
    <r>
      <rPr>
        <sz val="9"/>
        <color rgb="FF595959"/>
        <rFont val="Noto Sans CJK SC"/>
        <family val="2"/>
      </rPr>
      <t xml:space="preserve">既有自有站點；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</si>
  <si>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</si>
  <si>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</si>
  <si>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</si>
  <si>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</si>
  <si>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</si>
  <si>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</si>
  <si>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</si>
  <si>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</si>
  <si>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</si>
  <si>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</si>
  <si>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</si>
  <si>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</si>
  <si>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</si>
  <si>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</si>
  <si>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</si>
  <si>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</si>
  <si>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</si>
  <si>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</si>
  <si>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</si>
  <si>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</si>
  <si>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</si>
  <si>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</si>
  <si>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</si>
  <si>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</si>
  <si>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</si>
  <si>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</si>
  <si>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</si>
  <si>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收入 — 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定價倍數 </t>
    </r>
    <r>
      <rPr>
        <b val="true"/>
        <sz val="14"/>
        <rFont val="Arial"/>
        <family val="0"/>
        <charset val="1"/>
      </rPr>
      <t xml:space="preserve">k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v0.2a</t>
    </r>
    <r>
      <rPr>
        <b val="true"/>
        <sz val="14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</si>
  <si>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計費時數）＝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平均在役世代占比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打平租金）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長約（新增產能按長約價；長約占比只作對照）。按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計價：利用率不另扣（</t>
    </r>
    <r>
      <rPr>
        <sz val="9"/>
        <color rgb="FF595959"/>
        <rFont val="Arial"/>
        <family val="0"/>
        <charset val="1"/>
      </rPr>
      <t xml:space="preserve">IF_Util </t>
    </r>
    <r>
      <rPr>
        <sz val="9"/>
        <color rgb="FF595959"/>
        <rFont val="Noto Sans CJK SC"/>
        <family val="2"/>
      </rPr>
      <t xml:space="preserve">不進收入），爬坡與簽約率在『輸入與假設』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區。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只取市場價格證據，不以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ACV </t>
    </r>
    <r>
      <rPr>
        <sz val="9"/>
        <color rgb="FF595959"/>
        <rFont val="Noto Sans CJK SC"/>
        <family val="2"/>
      </rPr>
      <t xml:space="preserve">反推。</t>
    </r>
  </si>
  <si>
    <r>
      <rPr>
        <sz val="9"/>
        <color rgb="FF595959"/>
        <rFont val="Noto Sans CJK SC"/>
        <family val="2"/>
      </rPr>
      <t xml:space="preserve">容量情境（輸入與假設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區情境選擇）只改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路徑；價格情境（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區價格情境選擇）只改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實績只作驗證（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區），不校準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</si>
  <si>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｜價格軸：定價倍數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（低、基準、高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欄；藍字可改）</t>
    </r>
  </si>
  <si>
    <t xml:space="preserve">低</t>
  </si>
  <si>
    <t xml:space="preserve">基準</t>
  </si>
  <si>
    <t xml:space="preserve">高</t>
  </si>
  <si>
    <t xml:space="preserve">說明／來源</t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</si>
  <si>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長約（多年期專用容量合約）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</si>
  <si>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</si>
  <si>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依目前快照重算（價格是事實，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持有成本，錨改變時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跟著改；比照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Noto Sans CJK SC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9.70 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 → 0.762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10.89 → 0.891</t>
    </r>
    <r>
      <rPr>
        <sz val="9"/>
        <color rgb="FF595959"/>
        <rFont val="Noto Sans CJK SC"/>
        <family val="2"/>
      </rPr>
      <t xml:space="preserve">）；區間端點為 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0.70–1.00 × v5.27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12.725 </t>
    </r>
    <r>
      <rPr>
        <sz val="9"/>
        <color rgb="FF595959"/>
        <rFont val="Noto Sans CJK SC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8.907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12.725 US$m/MW/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0.818–1.169</t>
    </r>
    <r>
      <rPr>
        <sz val="9"/>
        <color rgb="FF595959"/>
        <rFont val="Noto Sans CJK SC"/>
        <family val="2"/>
      </rPr>
      <t xml:space="preserve">）；中位數＝三筆長約（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IREN–NVIDIA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Oracle–OpenAI</t>
    </r>
    <r>
      <rPr>
        <sz val="9"/>
        <color rgb="FF595959"/>
        <rFont val="Noto Sans CJK SC"/>
        <family val="2"/>
      </rPr>
      <t xml:space="preserve">〔未證實〕）倍數的中位數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</si>
  <si>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現貨（非長約客戶：預留與隨需）</t>
    </r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</si>
  <si>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依目前快照重算（比照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Noto Sans CJK SC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H100 Silicon Data </t>
    </r>
    <r>
      <rPr>
        <sz val="9"/>
        <color rgb="FF595959"/>
        <rFont val="Noto Sans CJK SC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÷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1.543 → 1.828</t>
    </r>
    <r>
      <rPr>
        <sz val="9"/>
        <color rgb="FF595959"/>
        <rFont val="Noto Sans CJK SC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 </t>
    </r>
    <r>
      <rPr>
        <sz val="9"/>
        <color rgb="FF595959"/>
        <rFont val="Arial"/>
        <family val="0"/>
        <charset val="1"/>
      </rPr>
      <t xml:space="preserve">6.82 ÷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2.29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2.67</t>
    </r>
    <r>
      <rPr>
        <sz val="9"/>
        <color rgb="FF595959"/>
        <rFont val="Noto Sans CJK SC"/>
        <family val="2"/>
      </rPr>
      <t xml:space="preserve">）；下緣＝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1.5 × v5.27 H100 </t>
    </r>
    <r>
      <rPr>
        <sz val="9"/>
        <color rgb="FF595959"/>
        <rFont val="Noto Sans CJK SC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1.605 </t>
    </r>
    <r>
      <rPr>
        <sz val="9"/>
        <color rgb="FF595959"/>
        <rFont val="Noto Sans CJK SC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2.408 US$/GPU-hr 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非長約客戶多為預留（數月至數年），介於長約與隨需之間，以現貨指數代表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</si>
  <si>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Noto Sans CJK SC"/>
        <family val="2"/>
      </rPr>
      <t xml:space="preserve">長約（目前價格情境）</t>
    </r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</si>
  <si>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區價格情境選擇（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低／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基準／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高）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</si>
  <si>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Noto Sans CJK SC"/>
        <family val="2"/>
      </rPr>
      <t xml:space="preserve">現貨（目前價格情境）</t>
    </r>
  </si>
  <si>
    <r>
      <rPr>
        <b val="true"/>
        <sz val="10"/>
        <rFont val="Noto Sans CJK SC"/>
        <family val="2"/>
      </rPr>
      <t xml:space="preserve">隨需占比（新增產能按長約價；第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輪）</t>
    </r>
  </si>
  <si>
    <r>
      <rPr>
        <sz val="9"/>
        <color rgb="FF595959"/>
        <rFont val="Noto Sans CJK SC"/>
        <family val="2"/>
      </rPr>
      <t xml:space="preserve">隨需（現貨）占在役計費產能的比例；公司未揭露長約／隨需比例（找不到）。基準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（新增產能按長約價：先簽多年期合約再建產能），敏感度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；不得用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輪，比照 </t>
    </r>
    <r>
      <rPr>
        <sz val="9"/>
        <color rgb="FF595959"/>
        <rFont val="Arial"/>
        <family val="0"/>
        <charset val="1"/>
      </rPr>
      <t xml:space="preserve">CoreWeave W4 r2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</si>
  <si>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；只列為敏感度）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</si>
  <si>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Noto Sans CJK SC"/>
        <family val="2"/>
      </rPr>
      <t xml:space="preserve">視為設施（</t>
    </r>
    <r>
      <rPr>
        <sz val="9"/>
        <color rgb="FF595959"/>
        <rFont val="Arial"/>
        <family val="0"/>
        <charset val="1"/>
      </rPr>
      <t xml:space="preserve">÷ PUE 1.2</t>
    </r>
    <r>
      <rPr>
        <sz val="9"/>
        <color rgb="FF595959"/>
        <rFont val="Noto Sans CJK SC"/>
        <family val="2"/>
      </rPr>
      <t xml:space="preserve">）／約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Noto Sans CJK SC"/>
        <family val="2"/>
      </rPr>
      <t xml:space="preserve">）。已決定事項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：公司自身合約條款可作公司因素證據，但須能完全由已揭露條款算出。</t>
    </r>
    <r>
      <rPr>
        <sz val="9"/>
        <color rgb="FF595959"/>
        <rFont val="Arial"/>
        <family val="0"/>
        <charset val="1"/>
      </rPr>
      <t xml:space="preserve">Microsoft 6-K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Noto Sans CJK SC"/>
        <family val="2"/>
      </rPr>
      <t xml:space="preserve">附註只揭露 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Noto Sans CJK SC"/>
        <family val="2"/>
      </rPr>
      <t xml:space="preserve">（可擴至 </t>
    </r>
    <r>
      <rPr>
        <sz val="9"/>
        <color rgb="FF595959"/>
        <rFont val="Arial"/>
        <family val="0"/>
        <charset val="1"/>
      </rPr>
      <t xml:space="preserve">$19.4bn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專用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容量分批交付，未揭露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數；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兩份 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亦未揭露容量。換算必須假設容量：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站點 </t>
    </r>
    <r>
      <rPr>
        <sz val="9"/>
        <color rgb="FF595959"/>
        <rFont val="Arial"/>
        <family val="0"/>
        <charset val="1"/>
      </rPr>
      <t xml:space="preserve">300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新聞稿，站點容量而非合約容量）→ </t>
    </r>
    <r>
      <rPr>
        <sz val="9"/>
        <color rgb="FF595959"/>
        <rFont val="Arial"/>
        <family val="0"/>
        <charset val="1"/>
      </rPr>
      <t xml:space="preserve">17.4 ÷ 5 ÷ 250</t>
    </r>
    <r>
      <rPr>
        <sz val="9"/>
        <color rgb="FF595959"/>
        <rFont val="Noto Sans CJK SC"/>
        <family val="2"/>
      </rPr>
      <t xml:space="preserve">（設施口徑）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、或 </t>
    </r>
    <r>
      <rPr>
        <sz val="9"/>
        <color rgb="FF595959"/>
        <rFont val="Arial"/>
        <family val="0"/>
        <charset val="1"/>
      </rPr>
      <t xml:space="preserve">÷ 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引述匿名消息約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→ ÷ 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</t>
    </r>
    <r>
      <rPr>
        <sz val="9"/>
        <color rgb="FF595959"/>
        <rFont val="Noto Sans CJK SC"/>
        <family val="2"/>
      </rPr>
      <t xml:space="preserve">（等同證據表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 </t>
    </r>
    <r>
      <rPr>
        <sz val="9"/>
        <color rgb="FF595959"/>
        <rFont val="Arial"/>
        <family val="0"/>
        <charset val="1"/>
      </rPr>
      <t xml:space="preserve">3.973 ÷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起三個值由規格 </t>
    </r>
    <r>
      <rPr>
        <sz val="9"/>
        <color rgb="FF595959"/>
        <rFont val="Arial"/>
        <family val="0"/>
        <charset val="1"/>
      </rPr>
      <t xml:space="preserve">specs </t>
    </r>
    <r>
      <rPr>
        <sz val="9"/>
        <color rgb="FF595959"/>
        <rFont val="Noto Sans CJK SC"/>
        <family val="2"/>
      </rPr>
      <t xml:space="preserve">隨快照重算（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與容量假設不變，價格是事實）：</t>
    </r>
    <r>
      <rPr>
        <sz val="9"/>
        <color rgb="FF595959"/>
        <rFont val="Arial"/>
        <family val="0"/>
        <charset val="1"/>
      </rPr>
      <t xml:space="preserve">v5.27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12.72 → 10.89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。條款不足以算出 →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基準維持市場長約（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自身合約列敏感度。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</si>
  <si>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長約的指定解讀（下游資料契約第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條）</t>
    </r>
  </si>
  <si>
    <r>
      <rPr>
        <sz val="9"/>
        <color rgb="FF595959"/>
        <rFont val="Noto Sans CJK SC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條指定解讀（預設）：長約以低於打平租金（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經濟持有成本）的價格換取預付（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）與五年確定性，客戶分攤部分資本成本——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長約同樣收預付（股東信約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SC"/>
        <family val="2"/>
      </rPr>
      <t xml:space="preserve">合約、預付占資本支出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Noto Sans CJK SC"/>
        <family val="2"/>
      </rPr>
      <t xml:space="preserve">）。替代解讀：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成本結構不同（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自有電力與廠房，持有成本低於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基準）→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應以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自身成本計、高於基準；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Noto Sans CJK SC"/>
        <family val="2"/>
      </rPr>
      <t xml:space="preserve">合約含非收入條款（預付的資金成本價值未計入價格）→ 經濟價格高於帳面價格。三者對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收入的影響方向：預設解讀最保守。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</si>
  <si>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錨與世代組合（</t>
    </r>
    <r>
      <rPr>
        <b val="true"/>
        <sz val="10"/>
        <rFont val="Arial"/>
        <family val="0"/>
        <charset val="1"/>
      </rPr>
      <t xml:space="preserve">Tokenomics_</t>
    </r>
    <r>
      <rPr>
        <b val="true"/>
        <sz val="10"/>
        <rFont val="Noto Sans CJK SC"/>
        <family val="2"/>
      </rPr>
      <t xml:space="preserve">取數 的 </t>
    </r>
    <r>
      <rPr>
        <b val="true"/>
        <sz val="10"/>
        <rFont val="Arial"/>
        <family val="0"/>
        <charset val="1"/>
      </rPr>
      <t xml:space="preserve">TK_ </t>
    </r>
    <r>
      <rPr>
        <b val="true"/>
        <sz val="10"/>
        <rFont val="Noto Sans CJK SC"/>
        <family val="2"/>
      </rPr>
      <t xml:space="preserve">名稱，基準成本情境）</t>
    </r>
  </si>
  <si>
    <t xml:space="preserve">世代</t>
  </si>
  <si>
    <t xml:space="preserve">IF_HoldEcon</t>
  </si>
  <si>
    <t xml:space="preserve">IF_RevGWFleet</t>
  </si>
  <si>
    <t xml:space="preserve">期初占比</t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</si>
  <si>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</si>
  <si>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欄代表；期初占比區間 </t>
    </r>
    <r>
      <rPr>
        <sz val="9"/>
        <color rgb="FF595959"/>
        <rFont val="Arial"/>
        <family val="0"/>
        <charset val="1"/>
      </rPr>
      <t xml:space="preserve">20%–40%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</si>
  <si>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</si>
  <si>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Noto Sans CJK SC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10%–25%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</si>
  <si>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 NVL72</t>
    </r>
  </si>
  <si>
    <r>
      <rPr>
        <sz val="9"/>
        <color rgb="FF595959"/>
        <rFont val="Noto Sans CJK SC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40%–65%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</si>
  <si>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VR200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</si>
  <si>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</si>
  <si>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t xml:space="preserve">期初占比合計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</si>
  <si>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／股東信）假設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欄代表）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上半年新增約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Noto Sans CJK SC"/>
        <family val="2"/>
      </rPr>
      <t xml:space="preserve">，內插）以 </t>
    </r>
    <r>
      <rPr>
        <sz val="9"/>
        <color rgb="FF595959"/>
        <rFont val="Arial"/>
        <family val="0"/>
        <charset val="1"/>
      </rPr>
      <t xml:space="preserve">Microsoft Vineland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為主（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GB300 100%</t>
    </r>
    <r>
      <rPr>
        <sz val="9"/>
        <color rgb="FF595959"/>
        <rFont val="Noto Sans CJK SC"/>
        <family val="2"/>
      </rPr>
      <t xml:space="preserve">。公司未揭露世代組合（找不到）；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欄代表。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</si>
  <si>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（最新季末）</t>
    </r>
  </si>
  <si>
    <r>
      <rPr>
        <sz val="9"/>
        <color rgb="FF595959"/>
        <rFont val="Noto Sans CJK SC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Noto Sans CJK SC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此值（</t>
    </r>
    <r>
      <rPr>
        <sz val="9"/>
        <color rgb="FF595959"/>
        <rFont val="Arial"/>
        <family val="0"/>
        <charset val="1"/>
      </rPr>
      <t xml:space="preserve">company.json → priceCheck.inServiceMw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</si>
  <si>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新增在役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</si>
  <si>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</si>
  <si>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年交付主力）；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第二份為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年初起交付）；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。區間：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提前一年（</t>
    </r>
    <r>
      <rPr>
        <sz val="9"/>
        <color rgb="FF595959"/>
        <rFont val="Arial"/>
        <family val="0"/>
        <charset val="1"/>
      </rPr>
      <t xml:space="preserve">FY27 100%</t>
    </r>
    <r>
      <rPr>
        <sz val="9"/>
        <color rgb="FF595959"/>
        <rFont val="Noto Sans CJK SC"/>
        <family val="2"/>
      </rPr>
      <t xml:space="preserve">）或延後一年（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</si>
  <si>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</si>
  <si>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</si>
  <si>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VR200 NVL72</t>
    </r>
  </si>
  <si>
    <t xml:space="preserve">期別序號（長約起始期比對用）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</si>
  <si>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</t>
    </r>
  </si>
  <si>
    <r>
      <rPr>
        <b val="true"/>
        <sz val="10"/>
        <rFont val="Arial"/>
        <family val="0"/>
        <charset val="1"/>
      </rPr>
      <t xml:space="preserve">B2</t>
    </r>
    <r>
      <rPr>
        <b val="true"/>
        <sz val="10"/>
        <rFont val="Noto Sans CJK SC"/>
        <family val="2"/>
      </rPr>
      <t xml:space="preserve">｜上限檢查用四層瀑布（</t>
    </r>
    <r>
      <rPr>
        <b val="true"/>
        <sz val="10"/>
        <rFont val="Arial"/>
        <family val="0"/>
        <charset val="1"/>
      </rPr>
      <t xml:space="preserve">IFW_RevGWFleet_*</t>
    </r>
    <r>
      <rPr>
        <b val="true"/>
        <sz val="10"/>
        <rFont val="Noto Sans CJK SC"/>
        <family val="2"/>
      </rPr>
      <t xml:space="preserve">，各世代；基準成本情境）</t>
    </r>
  </si>
  <si>
    <t xml:space="preserve">_100</t>
  </si>
  <si>
    <t xml:space="preserve">_Util</t>
  </si>
  <si>
    <t xml:space="preserve">_Prod</t>
  </si>
  <si>
    <t xml:space="preserve">_Life</t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</si>
  <si>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</si>
  <si>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四層＝</t>
    </r>
    <r>
      <rPr>
        <sz val="9"/>
        <color rgb="FF595959"/>
        <rFont val="Arial"/>
        <family val="0"/>
        <charset val="1"/>
      </rPr>
      <t xml:space="preserve">_100 </t>
    </r>
    <r>
      <rPr>
        <sz val="9"/>
        <color rgb="FF595959"/>
        <rFont val="Noto Sans CJK SC"/>
        <family val="2"/>
      </rPr>
      <t xml:space="preserve">理論上限（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利用）→ 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Noto Sans CJK SC"/>
        <family val="2"/>
      </rPr>
      <t xml:space="preserve">扣技術利用率（＝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再扣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下產能折減（門檻比較層）→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壽命期等值；用途限制（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</si>
  <si>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</si>
  <si>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</si>
  <si>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</si>
  <si>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｜已揭露多年期合約（長約占比用；只換算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占比，不用來推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）</t>
    </r>
  </si>
  <si>
    <t xml:space="preserve">合約</t>
  </si>
  <si>
    <r>
      <rPr>
        <b val="true"/>
        <sz val="11"/>
        <color rgb="FFFFFFFF"/>
        <rFont val="Arial"/>
        <family val="0"/>
        <charset val="1"/>
      </rPr>
      <t xml:space="preserve">MW</t>
    </r>
    <r>
      <rPr>
        <b val="true"/>
        <sz val="11"/>
        <color rgb="FFFFFFFF"/>
        <rFont val="Noto Sans CJK SC"/>
        <family val="2"/>
      </rPr>
      <t xml:space="preserve">（基準）</t>
    </r>
  </si>
  <si>
    <t xml:space="preserve">起始期序號</t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</si>
  <si>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下緣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</si>
  <si>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上緣</t>
    </r>
  </si>
  <si>
    <t xml:space="preserve">換算依據／來源</t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</si>
  <si>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Vineland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</si>
  <si>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÷ 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引述匿名消息）；下緣 </t>
    </r>
    <r>
      <rPr>
        <sz val="9"/>
        <color rgb="FF595959"/>
        <rFont val="Arial"/>
        <family val="0"/>
        <charset val="1"/>
      </rPr>
      <t xml:space="preserve">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衛星估計 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第一期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容量（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$17.4bn ÷ 5 ÷ 12.72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274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Bloomberg 2025-10-02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Frontier Data Centers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更新）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</si>
  <si>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第一份（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</si>
  <si>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$2.9bn ÷ 5 ÷ 12.72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46 MW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Noto Sans CJK SC"/>
        <family val="2"/>
      </rPr>
      <t xml:space="preserve">（價格高於錨）、上緣＝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12.72 × 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2025-11-13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 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</si>
  <si>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第二份專用容量（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年，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年初起）</t>
    </r>
  </si>
  <si>
    <r>
      <rPr>
        <sz val="9"/>
        <color rgb="FF595959"/>
        <rFont val="Arial"/>
        <family val="0"/>
        <charset val="1"/>
      </rPr>
      <t xml:space="preserve">$12bn ÷ 5 ÷ 12.76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188 MW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Noto Sans CJK SC"/>
        <family val="2"/>
      </rPr>
      <t xml:space="preserve">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12.76 × 0.76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</si>
  <si>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未售容量承購（或有，最高 </t>
    </r>
    <r>
      <rPr>
        <sz val="10"/>
        <rFont val="Arial"/>
        <family val="0"/>
        <charset val="1"/>
      </rPr>
      <t xml:space="preserve">$15bn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</si>
  <si>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公司擬先賣給第三方客戶、未售部分才由 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承購 → 基準不計為長約；上緣＝</t>
    </r>
    <r>
      <rPr>
        <sz val="9"/>
        <color rgb="FF595959"/>
        <rFont val="Arial"/>
        <family val="0"/>
        <charset val="1"/>
      </rPr>
      <t xml:space="preserve">$15bn ÷ 5 ÷ 12.76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[Assumed]</t>
    </r>
  </si>
  <si>
    <t xml:space="preserve">算式</t>
  </si>
  <si>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_t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MIN(1, </t>
    </r>
    <r>
      <rPr>
        <sz val="9"/>
        <color rgb="FF595959"/>
        <rFont val="Noto Sans CJK SC"/>
        <family val="2"/>
      </rPr>
      <t xml:space="preserve">已揭露多年期合約在役 </t>
    </r>
    <r>
      <rPr>
        <sz val="9"/>
        <color rgb="FF595959"/>
        <rFont val="Arial"/>
        <family val="0"/>
        <charset val="1"/>
      </rPr>
      <t xml:space="preserve">MW_t 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MW_t)</t>
    </r>
    <r>
      <rPr>
        <sz val="9"/>
        <color rgb="FF595959"/>
        <rFont val="Noto Sans CJK SC"/>
        <family val="2"/>
      </rPr>
      <t xml:space="preserve">；合約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＝揭露的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數（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），未揭露者＝</t>
    </r>
    <r>
      <rPr>
        <sz val="9"/>
        <color rgb="FF595959"/>
        <rFont val="Arial"/>
        <family val="0"/>
        <charset val="1"/>
      </rPr>
      <t xml:space="preserve">TCV ÷ </t>
    </r>
    <r>
      <rPr>
        <sz val="9"/>
        <color rgb="FF595959"/>
        <rFont val="Noto Sans CJK SC"/>
        <family val="2"/>
      </rPr>
      <t xml:space="preserve">年期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錨價（</t>
    </r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基準，未乘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）；平均在役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＝（期初＋期末）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，期末＝已連網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在役比例，期初（首期）＝</t>
    </r>
    <r>
      <rPr>
        <sz val="9"/>
        <color rgb="FF595959"/>
        <rFont val="Arial"/>
        <family val="0"/>
        <charset val="1"/>
      </rPr>
      <t xml:space="preserve">priceCheck.inServiceMw [Derived]</t>
    </r>
  </si>
  <si>
    <r>
      <rPr>
        <b val="true"/>
        <sz val="10"/>
        <color rgb="FF1F3864"/>
        <rFont val="Noto Sans CJK SC"/>
        <family val="2"/>
      </rPr>
      <t xml:space="preserve">▸ 容量情境｜保守 已簽約 </t>
    </r>
    <r>
      <rPr>
        <b val="true"/>
        <sz val="10"/>
        <color rgb="FF1F3864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</si>
  <si>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</si>
  <si>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</si>
  <si>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</si>
  <si>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</si>
  <si>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</si>
  <si>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</si>
  <si>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</si>
  <si>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</si>
  <si>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</si>
  <si>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</si>
  <si>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</si>
  <si>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</si>
  <si>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</si>
  <si>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</si>
  <si>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</si>
  <si>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</si>
  <si>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</si>
  <si>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</si>
  <si>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年收入｜保守 已簽約 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</si>
  <si>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</si>
  <si>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</si>
  <si>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</si>
  <si>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</si>
  <si>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</si>
  <si>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</si>
  <si>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</si>
  <si>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</si>
  <si>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</si>
  <si>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該層（比較層，門檻判定用）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</si>
  <si>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</si>
  <si>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</si>
  <si>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methodology.checks.revCapLayer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下的產能折減，最接近可實際售出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連動』警示（門檻 </t>
    </r>
    <r>
      <rPr>
        <sz val="9"/>
        <color rgb="FF595959"/>
        <rFont val="Arial"/>
        <family val="0"/>
        <charset val="1"/>
      </rPr>
      <t xml:space="preserve">methodology.checks.revCapShareMax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</si>
  <si>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容量情境｜基準 合約 </t>
    </r>
    <r>
      <rPr>
        <b val="true"/>
        <sz val="10"/>
        <color rgb="FF1F3864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</si>
  <si>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</si>
  <si>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</si>
  <si>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</si>
  <si>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</si>
  <si>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</si>
  <si>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</si>
  <si>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</si>
  <si>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</si>
  <si>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</si>
  <si>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</si>
  <si>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</si>
  <si>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</si>
  <si>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</si>
  <si>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</si>
  <si>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</si>
  <si>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</si>
  <si>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</si>
  <si>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年收入｜基準 合約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</si>
  <si>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</si>
  <si>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</si>
  <si>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</si>
  <si>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</si>
  <si>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</si>
  <si>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</si>
  <si>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</si>
  <si>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</si>
  <si>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</si>
  <si>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</si>
  <si>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b val="true"/>
        <sz val="10"/>
        <color rgb="FF1F3864"/>
        <rFont val="Noto Sans CJK SC"/>
        <family val="2"/>
      </rPr>
      <t xml:space="preserve">▸ 容量情境｜積極 每年 </t>
    </r>
    <r>
      <rPr>
        <b val="true"/>
        <sz val="10"/>
        <color rgb="FF1F3864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</si>
  <si>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</si>
  <si>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</si>
  <si>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</si>
  <si>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</si>
  <si>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</si>
  <si>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</si>
  <si>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</si>
  <si>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</si>
  <si>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</si>
  <si>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</si>
  <si>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</si>
  <si>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</si>
  <si>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</si>
  <si>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</si>
  <si>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</si>
  <si>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</si>
  <si>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</si>
  <si>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年收入｜積極 每年 </t>
    </r>
    <r>
      <rPr>
        <sz val="9"/>
        <color rgb="FF595959"/>
        <rFont val="Arial"/>
        <family val="0"/>
        <charset val="1"/>
      </rPr>
      <t xml:space="preserve">&gt;1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</si>
  <si>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</si>
  <si>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</si>
  <si>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</si>
  <si>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</si>
  <si>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</si>
  <si>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</si>
  <si>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</si>
  <si>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</si>
  <si>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</si>
  <si>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</si>
  <si>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b val="true"/>
        <sz val="10"/>
        <rFont val="Noto Sans CJK SC"/>
        <family val="2"/>
      </rPr>
      <t xml:space="preserve">目前容量情境（依『輸入與假設』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區情境選擇）</t>
    </r>
  </si>
  <si>
    <r>
      <rPr>
        <sz val="10"/>
        <rFont val="Noto Sans CJK SC"/>
        <family val="2"/>
      </rPr>
      <t xml:space="preserve">目前情境｜錨（</t>
    </r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加權）</t>
    </r>
  </si>
  <si>
    <t xml:space="preserve">目前情境｜長約占比</t>
  </si>
  <si>
    <r>
      <rPr>
        <sz val="10"/>
        <rFont val="Noto Sans CJK SC"/>
        <family val="2"/>
      </rPr>
      <t xml:space="preserve">目前情境｜定價倍數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</si>
  <si>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Noto Sans CJK SC"/>
        <family val="2"/>
      </rPr>
      <t xml:space="preserve">目前情境｜每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</si>
  <si>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</si>
  <si>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</si>
  <si>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</si>
  <si>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</si>
  <si>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目前情境｜上限檢查｜每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</si>
  <si>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t xml:space="preserve">目前情境｜上限檢查最高值（五期）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</si>
  <si>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證據表（倍數＝市場價格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基準持有成本；</t>
    </r>
    <r>
      <rPr>
        <b val="true"/>
        <sz val="10"/>
        <rFont val="Arial"/>
        <family val="0"/>
        <charset val="1"/>
      </rPr>
      <t xml:space="preserve">use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long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spot</t>
    </r>
    <r>
      <rPr>
        <b val="true"/>
        <sz val="10"/>
        <rFont val="Noto Sans CJK SC"/>
        <family val="2"/>
      </rPr>
      <t xml:space="preserve">＝驅動基準、</t>
    </r>
    <r>
      <rPr>
        <b val="true"/>
        <sz val="10"/>
        <rFont val="Arial"/>
        <family val="0"/>
        <charset val="1"/>
      </rPr>
      <t xml:space="preserve">range</t>
    </r>
    <r>
      <rPr>
        <b val="true"/>
        <sz val="10"/>
        <rFont val="Noto Sans CJK SC"/>
        <family val="2"/>
      </rPr>
      <t xml:space="preserve">＝只支持區間、</t>
    </r>
    <r>
      <rPr>
        <b val="true"/>
        <sz val="10"/>
        <rFont val="Arial"/>
        <family val="0"/>
        <charset val="1"/>
      </rPr>
      <t xml:space="preserve">list</t>
    </r>
    <r>
      <rPr>
        <b val="true"/>
        <sz val="10"/>
        <rFont val="Noto Sans CJK SC"/>
        <family val="2"/>
      </rPr>
      <t xml:space="preserve">＝只列）</t>
    </r>
  </si>
  <si>
    <t xml:space="preserve">證據</t>
  </si>
  <si>
    <t xml:space="preserve">價格</t>
  </si>
  <si>
    <t xml:space="preserve">Tokenomics</t>
  </si>
  <si>
    <r>
      <rPr>
        <b val="true"/>
        <sz val="11"/>
        <color rgb="FFFFFFFF"/>
        <rFont val="Noto Sans CJK SC"/>
        <family val="2"/>
      </rPr>
      <t xml:space="preserve">倍數 </t>
    </r>
    <r>
      <rPr>
        <b val="true"/>
        <sz val="11"/>
        <color rgb="FFFFFFFF"/>
        <rFont val="Arial"/>
        <family val="0"/>
        <charset val="1"/>
      </rPr>
      <t xml:space="preserve">k</t>
    </r>
  </si>
  <si>
    <t xml:space="preserve">用途</t>
  </si>
  <si>
    <t xml:space="preserve">合約型態／期間／來源／日期／標記</t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</si>
  <si>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</si>
  <si>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</si>
  <si>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長約基準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</si>
  <si>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預付；非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合約（同業成交）；契約第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條指定解讀見 </t>
    </r>
    <r>
      <rPr>
        <sz val="9"/>
        <color rgb="FF595959"/>
        <rFont val="Arial"/>
        <family val="0"/>
        <charset val="1"/>
      </rPr>
      <t xml:space="preserve">long.interpretation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</si>
  <si>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</si>
  <si>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區間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</si>
  <si>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；長約（晶片商客戶），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</si>
  <si>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</si>
  <si>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只列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</si>
  <si>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對實驗室），約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</si>
  <si>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</si>
  <si>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US$/GPU-hr</t>
  </si>
  <si>
    <t xml:space="preserve">現貨基準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</si>
  <si>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基準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</si>
  <si>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</si>
  <si>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上緣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</si>
  <si>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</si>
  <si>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；現貨（市場成交指數），隨需／短期；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CoreWeave 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區間內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</si>
  <si>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</si>
  <si>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區間上緣；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類比偏高，只列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</si>
  <si>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H100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</si>
  <si>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3.85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；牌價非成交價；官網稱多月期預留最多便宜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2.93</t>
    </r>
    <r>
      <rPr>
        <sz val="9"/>
        <color rgb="FF595959"/>
        <rFont val="Noto Sans CJK SC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1.82</t>
    </r>
    <r>
      <rPr>
        <sz val="9"/>
        <color rgb="FF595959"/>
        <rFont val="Noto Sans CJK SC"/>
        <family val="2"/>
      </rPr>
      <t xml:space="preserve">）；只列不用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</si>
  <si>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H200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</si>
  <si>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欄代表；牌價非成交價；只列不用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</si>
  <si>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B300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</si>
  <si>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為洽詢報價）（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；牌價非成交價；預留最多便宜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6.18</t>
    </r>
    <r>
      <rPr>
        <sz val="9"/>
        <color rgb="FF595959"/>
        <rFont val="Noto Sans CJK SC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2.07</t>
    </r>
    <r>
      <rPr>
        <sz val="9"/>
        <color rgb="FF595959"/>
        <rFont val="Noto Sans CJK SC"/>
        <family val="2"/>
      </rPr>
      <t xml:space="preserve">）；只列不用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</si>
  <si>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Nebius–Microsoft </t>
    </r>
    <r>
      <rPr>
        <sz val="10"/>
        <rFont val="Noto Sans CJK SC"/>
        <family val="2"/>
      </rPr>
      <t xml:space="preserve">五年約（約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</si>
  <si>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Nebius 6-K 2025-09-08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年）＋</t>
    </r>
    <r>
      <rPr>
        <sz val="9"/>
        <color rgb="FF595959"/>
        <rFont val="Arial"/>
        <family val="0"/>
        <charset val="1"/>
      </rPr>
      <t xml:space="preserve">Bloomberg 2025-10-02 </t>
    </r>
    <r>
      <rPr>
        <sz val="9"/>
        <color rgb="FF595959"/>
        <rFont val="Noto Sans CJK SC"/>
        <family val="2"/>
      </rPr>
      <t xml:space="preserve">引述匿名消息（約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，經 </t>
    </r>
    <r>
      <rPr>
        <sz val="9"/>
        <color rgb="FF595959"/>
        <rFont val="Arial"/>
        <family val="0"/>
        <charset val="1"/>
      </rPr>
      <t xml:space="preserve">TechNews </t>
    </r>
    <r>
      <rPr>
        <sz val="9"/>
        <color rgb="FF595959"/>
        <rFont val="Noto Sans CJK SC"/>
        <family val="2"/>
      </rPr>
      <t xml:space="preserve">轉述）（</t>
    </r>
    <r>
      <rPr>
        <sz val="9"/>
        <color rgb="FF595959"/>
        <rFont val="Arial"/>
        <family val="0"/>
        <charset val="1"/>
      </rPr>
      <t xml:space="preserve">2025-10-02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17,400 ÷ 5 ÷ 100,000 ÷ 8,760 ×1e6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3.97 US$/GPU-hr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數未經公司證實、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可能含非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服務；屬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的一部分），依工作單不得作為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的證據，只列作對照（是否採用見『需要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決定』）</t>
    </r>
  </si>
  <si>
    <t xml:space="preserve">合約組合｜客戶承諾總額（公司說法）</t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</si>
  <si>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more than $40 billion of customer commitments</t>
    </r>
    <r>
      <rPr>
        <sz val="9"/>
        <color rgb="FF595959"/>
        <rFont val="Noto Sans CJK SC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</si>
  <si>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合約組合｜長約與隨需／預留收入比例（百分比）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</si>
  <si>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</si>
  <si>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20-F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與股東信、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</t>
    </r>
    <r>
      <rPr>
        <sz val="9"/>
        <color rgb="FF595959"/>
        <rFont val="Noto Sans CJK SC"/>
        <family val="2"/>
      </rPr>
      <t xml:space="preserve">、網路搜尋；公司未揭露（找不到，不代表不存在） 找不到</t>
    </r>
  </si>
  <si>
    <r>
      <rPr>
        <sz val="10"/>
        <rFont val="Noto Sans CJK SC"/>
        <family val="2"/>
      </rPr>
      <t xml:space="preserve">合約組合｜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自助／預留折扣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</si>
  <si>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</si>
  <si>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官網價目「</t>
    </r>
    <r>
      <rPr>
        <sz val="9"/>
        <color rgb="FF595959"/>
        <rFont val="Arial"/>
        <family val="0"/>
        <charset val="1"/>
      </rPr>
      <t xml:space="preserve">Pay up to 35% less than on-demand rates by reserving large-scale clusters for multiple months</t>
    </r>
    <r>
      <rPr>
        <sz val="9"/>
        <color rgb="FF595959"/>
        <rFont val="Noto Sans CJK SC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</si>
  <si>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長約或現貨每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小時價格：找不到（尚未上市交付；試過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Verda </t>
    </r>
    <r>
      <rPr>
        <sz val="9"/>
        <color rgb="FF595959"/>
        <rFont val="Noto Sans CJK SC"/>
        <family val="2"/>
      </rPr>
      <t xml:space="preserve">價目、</t>
    </r>
    <r>
      <rPr>
        <sz val="9"/>
        <color rgb="FF595959"/>
        <rFont val="Arial"/>
        <family val="0"/>
        <charset val="1"/>
      </rPr>
      <t xml:space="preserve">Silicon Data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GetDeploying</t>
    </r>
    <r>
      <rPr>
        <sz val="9"/>
        <color rgb="FF595959"/>
        <rFont val="Noto Sans CJK SC"/>
        <family val="2"/>
      </rPr>
      <t xml:space="preserve">、新聞搜尋）</t>
    </r>
  </si>
  <si>
    <r>
      <rPr>
        <sz val="9"/>
        <color rgb="FF595959"/>
        <rFont val="Noto Sans CJK SC"/>
        <family val="2"/>
      </rPr>
      <t xml:space="preserve">第二筆獨立於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長約（含年期與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數）：找不到可換算者——</t>
    </r>
    <r>
      <rPr>
        <sz val="9"/>
        <color rgb="FF595959"/>
        <rFont val="Arial"/>
        <family val="0"/>
        <charset val="1"/>
      </rPr>
      <t xml:space="preserve">Nscale–Microsoft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報導約 </t>
    </r>
    <r>
      <rPr>
        <sz val="9"/>
        <color rgb="FF595959"/>
        <rFont val="Arial"/>
        <family val="0"/>
        <charset val="1"/>
      </rPr>
      <t xml:space="preserve">$14bn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11.6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）未揭露年期，無法換算；</t>
    </r>
    <r>
      <rPr>
        <sz val="9"/>
        <color rgb="FF595959"/>
        <rFont val="Arial"/>
        <family val="0"/>
        <charset val="1"/>
      </rPr>
      <t xml:space="preserve">Lambda–Microsoft </t>
    </r>
    <r>
      <rPr>
        <sz val="9"/>
        <color rgb="FF595959"/>
        <rFont val="Noto Sans CJK SC"/>
        <family val="2"/>
      </rPr>
      <t xml:space="preserve">未揭露金額</t>
    </r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</si>
  <si>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自身長約每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小時價格：不得作為證據（工作單；屬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合約只列（</t>
    </r>
    <r>
      <rPr>
        <sz val="9"/>
        <color rgb="FF595959"/>
        <rFont val="Arial"/>
        <family val="0"/>
        <charset val="1"/>
      </rPr>
      <t xml:space="preserve">evidence </t>
    </r>
    <r>
      <rPr>
        <sz val="9"/>
        <color rgb="FF595959"/>
        <rFont val="Noto Sans CJK SC"/>
        <family val="2"/>
      </rPr>
      <t xml:space="preserve">最後一筆）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</si>
  <si>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｜對照列（不驅動）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</si>
  <si>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</si>
  <si>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成本加成與路徑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市場價 </t>
    </r>
    <r>
      <rPr>
        <sz val="9"/>
        <color rgb="FF595959"/>
        <rFont val="Arial"/>
        <family val="0"/>
        <charset val="1"/>
      </rPr>
      <t xml:space="preserve">50/50 </t>
    </r>
    <r>
      <rPr>
        <sz val="9"/>
        <color rgb="FF595959"/>
        <rFont val="Noto Sans CJK SC"/>
        <family val="2"/>
      </rPr>
      <t xml:space="preserve">平均（已停用：下游資料契約第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X14 (j)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</si>
  <si>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</si>
  <si>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</si>
  <si>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對照｜錨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舊值（目前情境）</t>
    </r>
  </si>
  <si>
    <r>
      <rPr>
        <sz val="10"/>
        <rFont val="Noto Sans CJK SC"/>
        <family val="2"/>
      </rPr>
      <t xml:space="preserve">對照｜成本加成路徑：錨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1 − 8%</t>
    </r>
    <r>
      <rPr>
        <sz val="10"/>
        <rFont val="Noto Sans CJK SC"/>
        <family val="2"/>
      </rPr>
      <t xml:space="preserve">）（只作 </t>
    </r>
    <r>
      <rPr>
        <sz val="10"/>
        <rFont val="Arial"/>
        <family val="0"/>
        <charset val="1"/>
      </rPr>
      <t xml:space="preserve">ROIC </t>
    </r>
    <r>
      <rPr>
        <sz val="10"/>
        <rFont val="Noto Sans CJK SC"/>
        <family val="2"/>
      </rPr>
      <t xml:space="preserve">檢查）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</si>
  <si>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基準（經濟利潤加成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、公司層級費用 </t>
    </r>
    <r>
      <rPr>
        <sz val="9"/>
        <color rgb="FF595959"/>
        <rFont val="Arial"/>
        <family val="0"/>
        <charset val="1"/>
      </rPr>
      <t xml:space="preserve">8% [Assumed]</t>
    </r>
    <r>
      <rPr>
        <sz val="9"/>
        <color rgb="FF595959"/>
        <rFont val="Noto Sans CJK SC"/>
        <family val="2"/>
      </rPr>
      <t xml:space="preserve">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條：只作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與資金缺口檢查，不作收入輸入</t>
    </r>
  </si>
  <si>
    <r>
      <rPr>
        <sz val="10"/>
        <rFont val="Noto Sans CJK SC"/>
        <family val="2"/>
      </rPr>
      <t xml:space="preserve">對照｜公司新約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（下緣、上緣）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</si>
  <si>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股東信新約 </t>
    </r>
    <r>
      <rPr>
        <sz val="9"/>
        <color rgb="FF595959"/>
        <rFont val="Arial"/>
        <family val="0"/>
        <charset val="1"/>
      </rPr>
      <t xml:space="preserve">ACV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MW·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口徑未定義；只作對照，不作輸入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</si>
  <si>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驗證（不是校準；只列，不回頭改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最新季實現</t>
    </r>
  </si>
  <si>
    <t xml:space="preserve">算式／說明</t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</si>
  <si>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｜年化營收（最新季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</si>
  <si>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已實現實際數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</si>
  <si>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（內插）</t>
    </r>
  </si>
  <si>
    <r>
      <rPr>
        <sz val="9"/>
        <color rgb="FF595959"/>
        <rFont val="Noto Sans CJK SC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Noto Sans CJK SC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此值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</si>
  <si>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（模型校準值）</t>
    </r>
  </si>
  <si>
    <r>
      <rPr>
        <sz val="9"/>
        <color rgb="FF595959"/>
        <rFont val="Noto Sans CJK SC"/>
        <family val="2"/>
      </rPr>
      <t xml:space="preserve">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區；已實現狀態對齊，非推價格）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</si>
  <si>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</si>
  <si>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工作單「約 </t>
    </r>
    <r>
      <rPr>
        <sz val="9"/>
        <color rgb="FF595959"/>
        <rFont val="Arial"/>
        <family val="0"/>
        <charset val="1"/>
      </rPr>
      <t xml:space="preserve">6.4</t>
    </r>
    <r>
      <rPr>
        <sz val="9"/>
        <color rgb="FF595959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</si>
  <si>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</si>
  <si>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與模型首期每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年收入只差期初可計費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的四捨五入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</si>
  <si>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｜期初錨（季末世代組合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</si>
  <si>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期初錨；只列，不用）</t>
    </r>
  </si>
  <si>
    <r>
      <rPr>
        <sz val="9"/>
        <color rgb="FF595959"/>
        <rFont val="Noto Sans CJK SC"/>
        <family val="2"/>
      </rPr>
      <t xml:space="preserve">不得用來校準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</si>
  <si>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期初錨；只列，不用）</t>
    </r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</si>
  <si>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年收入（目前情境，錨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</si>
  <si>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錨（平均在役世代）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</si>
  <si>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</si>
  <si>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Noto Sans CJK SC"/>
        <family val="2"/>
      </rPr>
      <t xml:space="preserve">總差距（模型 −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在役）</t>
    </r>
  </si>
  <si>
    <r>
      <rPr>
        <sz val="10"/>
        <rFont val="Noto Sans CJK SC"/>
        <family val="2"/>
      </rPr>
      <t xml:space="preserve">總差距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實現（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在役）</t>
    </r>
  </si>
  <si>
    <r>
      <rPr>
        <sz val="10"/>
        <rFont val="Arial"/>
        <family val="0"/>
        <charset val="1"/>
      </rPr>
      <t xml:space="preserve">(i) </t>
    </r>
    <r>
      <rPr>
        <sz val="10"/>
        <rFont val="Noto Sans CJK SC"/>
        <family val="2"/>
      </rPr>
      <t xml:space="preserve">爬坡分母：計費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對在役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</si>
  <si>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MW −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</si>
  <si>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Arial"/>
        <family val="0"/>
        <charset val="1"/>
      </rPr>
      <t xml:space="preserve">(ii)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：模型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計費）</t>
    </r>
  </si>
  <si>
    <r>
      <rPr>
        <sz val="9"/>
        <color rgb="FF595959"/>
        <rFont val="Noto Sans CJK SC"/>
        <family val="2"/>
      </rPr>
      <t xml:space="preserve">＝（模型 </t>
    </r>
    <r>
      <rPr>
        <sz val="9"/>
        <color rgb="FF595959"/>
        <rFont val="Arial"/>
        <family val="0"/>
        <charset val="1"/>
      </rPr>
      <t xml:space="preserve">k − 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期初錨；模型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不因此調整</t>
    </r>
  </si>
  <si>
    <r>
      <rPr>
        <sz val="10"/>
        <rFont val="Arial"/>
        <family val="0"/>
        <charset val="1"/>
      </rPr>
      <t xml:space="preserve">(iii) </t>
    </r>
    <r>
      <rPr>
        <sz val="10"/>
        <rFont val="Noto Sans CJK SC"/>
        <family val="2"/>
      </rPr>
      <t xml:space="preserve">世代組合：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平均在役世代對季末世代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</si>
  <si>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錨 − 期初錨）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</si>
  <si>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(iv) </t>
    </r>
    <r>
      <rPr>
        <sz val="10"/>
        <rFont val="Noto Sans CJK SC"/>
        <family val="2"/>
      </rPr>
      <t xml:space="preserve">其他（殘差）</t>
    </r>
  </si>
  <si>
    <r>
      <rPr>
        <sz val="9"/>
        <color rgb="FF595959"/>
        <rFont val="Noto Sans CJK SC"/>
        <family val="2"/>
      </rPr>
      <t xml:space="preserve">依定義為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(i)–(iii) </t>
    </r>
    <r>
      <rPr>
        <sz val="9"/>
        <color rgb="FF595959"/>
        <rFont val="Noto Sans CJK SC"/>
        <family val="2"/>
      </rPr>
      <t xml:space="preserve">已涵蓋）；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收入等差異併入 </t>
    </r>
    <r>
      <rPr>
        <sz val="9"/>
        <color rgb="FF595959"/>
        <rFont val="Arial"/>
        <family val="0"/>
        <charset val="1"/>
      </rPr>
      <t xml:space="preserve">(ii)</t>
    </r>
  </si>
  <si>
    <r>
      <rPr>
        <sz val="10"/>
        <rFont val="Noto Sans CJK SC"/>
        <family val="2"/>
      </rPr>
      <t xml:space="preserve">核對：</t>
    </r>
    <r>
      <rPr>
        <sz val="10"/>
        <rFont val="Arial"/>
        <family val="0"/>
        <charset val="1"/>
      </rPr>
      <t xml:space="preserve">(i)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(iii)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(iv) − </t>
    </r>
    <r>
      <rPr>
        <sz val="10"/>
        <rFont val="Noto Sans CJK SC"/>
        <family val="2"/>
      </rPr>
      <t xml:space="preserve">總差距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</si>
  <si>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</si>
  <si>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差異原因（已決定事項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</si>
  <si>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類型：觀點／已知限制。差距幾乎全部來自 </t>
    </r>
    <r>
      <rPr>
        <sz val="9"/>
        <color rgb="FF595959"/>
        <rFont val="Arial"/>
        <family val="0"/>
        <charset val="1"/>
      </rPr>
      <t xml:space="preserve">(i) </t>
    </r>
    <r>
      <rPr>
        <sz val="9"/>
        <color rgb="FF595959"/>
        <rFont val="Noto Sans CJK SC"/>
        <family val="2"/>
      </rPr>
      <t xml:space="preserve">爬坡分母——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在役約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Noto Sans CJK SC"/>
        <family val="2"/>
      </rPr>
      <t xml:space="preserve">（內插）中只有約 </t>
    </r>
    <r>
      <rPr>
        <sz val="9"/>
        <color rgb="FF595959"/>
        <rFont val="Arial"/>
        <family val="0"/>
        <charset val="1"/>
      </rPr>
      <t xml:space="preserve">253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營收計費（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全部 </t>
    </r>
    <r>
      <rPr>
        <sz val="9"/>
        <color rgb="FF595959"/>
        <rFont val="Arial"/>
        <family val="0"/>
        <charset val="1"/>
      </rPr>
      <t xml:space="preserve">tranche </t>
    </r>
    <r>
      <rPr>
        <sz val="9"/>
        <color rgb="FF595959"/>
        <rFont val="Noto Sans CJK SC"/>
        <family val="2"/>
      </rPr>
      <t xml:space="preserve">於第二季下半季才交付、其他新容量第二季下半季上線），模型把差距歸為爬坡而非低價；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在役）約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只列不用。季末在役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公司未揭露（資料缺口），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揭露後重估。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</si>
  <si>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3 × 3 </t>
    </r>
    <r>
      <rPr>
        <b val="true"/>
        <sz val="10"/>
        <rFont val="Noto Sans CJK SC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價格：加權目標價（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Noto Sans CJK SC"/>
        <family val="2"/>
      </rPr>
      <t xml:space="preserve">／股；快照）與五期股權募資（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）</t>
    </r>
  </si>
  <si>
    <t xml:space="preserve">容量情境 ＼ 價格情境</t>
  </si>
  <si>
    <t xml:space="preserve">價格低</t>
  </si>
  <si>
    <t xml:space="preserve">價格基準</t>
  </si>
  <si>
    <t xml:space="preserve">價格高</t>
  </si>
  <si>
    <r>
      <rPr>
        <sz val="10"/>
        <rFont val="Noto Sans CJK SC"/>
        <family val="2"/>
      </rPr>
      <t xml:space="preserve">矩陣｜加權目標價｜保守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</si>
  <si>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Noto Sans CJK SC"/>
        <family val="2"/>
      </rPr>
      <t xml:space="preserve">價格低＝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；基準＝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；高＝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2.67</t>
    </r>
  </si>
  <si>
    <r>
      <rPr>
        <sz val="10"/>
        <rFont val="Noto Sans CJK SC"/>
        <family val="2"/>
      </rPr>
      <t xml:space="preserve">矩陣｜加權目標價｜基準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</si>
  <si>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矩陣｜加權目標價｜積極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</si>
  <si>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矩陣｜五期股權募資｜保守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</si>
  <si>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矩陣｜五期股權募資｜基準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</si>
  <si>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矩陣｜五期股權募資｜積極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</si>
  <si>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矩陣｜融資前缺口｜保守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</si>
  <si>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矩陣｜融資前缺口｜基準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</si>
  <si>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矩陣｜融資前缺口｜積極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</si>
  <si>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Noto Sans CJK SC"/>
        <family val="2"/>
      </rPr>
      <t xml:space="preserve">快照檢查：目前情境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目前價格情境的快照 − 即時加權目標價</t>
    </r>
  </si>
  <si>
    <r>
      <rPr>
        <sz val="9"/>
        <color rgb="FF595959"/>
        <rFont val="Noto Sans CJK SC"/>
        <family val="2"/>
      </rPr>
      <t xml:space="preserve">改了任何輸入後快照不會自動更新；重建（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Noto Sans CJK SC"/>
        <family val="2"/>
      </rPr>
      <t xml:space="preserve">）即更新</t>
    </r>
  </si>
  <si>
    <r>
      <rPr>
        <b val="true"/>
        <sz val="10"/>
        <rFont val="Arial"/>
        <family val="0"/>
        <charset val="1"/>
      </rPr>
      <t xml:space="preserve">G2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收入敏感度（價格基準；加權目標價 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Noto Sans CJK SC"/>
        <family val="2"/>
      </rPr>
      <t xml:space="preserve">／股與五期股權募資 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；快照）</t>
    </r>
  </si>
  <si>
    <t xml:space="preserve">變動</t>
  </si>
  <si>
    <t xml:space="preserve">保守</t>
  </si>
  <si>
    <t xml:space="preserve">積極</t>
  </si>
  <si>
    <t xml:space="preserve">保守 募資</t>
  </si>
  <si>
    <t xml:space="preserve">基準 募資</t>
  </si>
  <si>
    <t xml:space="preserve">積極 募資</t>
  </si>
  <si>
    <t xml:space="preserve">敏感度｜基準（目前輸入）</t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</si>
  <si>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</si>
  <si>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</si>
  <si>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</si>
  <si>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</si>
  <si>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1.28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Noto Sans CJK SC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</si>
  <si>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1.56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Bloomberg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</si>
  <si>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</si>
  <si>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</si>
  <si>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</si>
  <si>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</si>
  <si>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50%</t>
    </r>
  </si>
  <si>
    <r>
      <rPr>
        <sz val="10"/>
        <rFont val="Noto Sans CJK SC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80%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</si>
  <si>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低／高成本：錨（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建置成本（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比例）同時改變，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以證據世代的成本比例重算（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＝市場價格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同情境持有成本；價格是事實），所以收入大致不隨成本情境改變、成本改變。</t>
    </r>
    <r>
      <rPr>
        <sz val="9"/>
        <color rgb="FF595959"/>
        <rFont val="Arial"/>
        <family val="0"/>
        <charset val="1"/>
      </rPr>
      <t xml:space="preserve">Nebius–Microsoft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需假設容量（條款未揭露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數），只列敏感度。首期末爬坡 </t>
    </r>
    <r>
      <rPr>
        <sz val="9"/>
        <color rgb="FF595959"/>
        <rFont val="Arial"/>
        <family val="0"/>
        <charset val="1"/>
      </rPr>
      <t xml:space="preserve">50–80%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區間（預設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</si>
  <si>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4"/>
        <rFont val="Noto Sans CJK SC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參數 </t>
    </r>
    <r>
      <rPr>
        <b val="true"/>
        <sz val="14"/>
        <rFont val="Arial"/>
        <family val="0"/>
        <charset val="1"/>
      </rPr>
      <t xml:space="preserve">vs Nebius </t>
    </r>
    <r>
      <rPr>
        <b val="true"/>
        <sz val="14"/>
        <rFont val="Noto Sans CJK SC"/>
        <family val="2"/>
      </rPr>
      <t xml:space="preserve">已申報實際數）</t>
    </r>
  </si>
  <si>
    <r>
      <rPr>
        <sz val="9"/>
        <color rgb="FF595959"/>
        <rFont val="Noto Sans CJK SC"/>
        <family val="2"/>
      </rPr>
      <t xml:space="preserve">公司實況驗證（已決定事項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輪）：取自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的參數與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已申報實際數逐項對照；差距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時找有證據的機制做公司調整並寫明何時回到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值，找不到機制則維持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／現行值、公司實際列為敏感度；不為讓營收或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總數貼近而倒推係數。數值為建置前計算（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Excel</t>
    </r>
    <r>
      <rPr>
        <sz val="9"/>
        <color rgb="FF595959"/>
        <rFont val="Noto Sans CJK SC"/>
        <family val="2"/>
      </rPr>
      <t xml:space="preserve">「公司實況驗證」分頁與報告呈現。</t>
    </r>
  </si>
  <si>
    <r>
      <rPr>
        <sz val="9"/>
        <color rgb="FF595959"/>
        <rFont val="Noto Sans CJK SC"/>
        <family val="2"/>
      </rPr>
      <t xml:space="preserve">規則：差距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時需有證據的機制才做公司調整；找不到機制則維持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／現行值，公司實際列為敏感度。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</si>
  <si>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</si>
  <si>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值（名稱）</t>
    </r>
  </si>
  <si>
    <r>
      <rPr>
        <b val="true"/>
        <sz val="11"/>
        <color rgb="FFFFFFFF"/>
        <rFont val="Arial"/>
        <family val="0"/>
        <charset val="1"/>
      </rPr>
      <t xml:space="preserve">Nebius </t>
    </r>
    <r>
      <rPr>
        <b val="true"/>
        <sz val="11"/>
        <color rgb="FFFFFFFF"/>
        <rFont val="Noto Sans CJK SC"/>
        <family val="2"/>
      </rPr>
      <t xml:space="preserve">實際（數值、期間）</t>
    </r>
  </si>
  <si>
    <t xml:space="preserve">差距</t>
  </si>
  <si>
    <t xml:space="preserve">差距原因（機制與證據）</t>
  </si>
  <si>
    <r>
      <rPr>
        <b val="true"/>
        <sz val="11"/>
        <color rgb="FFFFFFFF"/>
        <rFont val="Noto Sans CJK SC"/>
        <family val="2"/>
      </rPr>
      <t xml:space="preserve">公司調整（何時回到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值）</t>
    </r>
  </si>
  <si>
    <t xml:space="preserve">採用值</t>
  </si>
  <si>
    <r>
      <rPr>
        <sz val="10"/>
        <rFont val="Noto Sans CJK SC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</si>
  <si>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IF_HoldEcon × 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隨成本重算）：</t>
    </r>
    <r>
      <rPr>
        <sz val="9"/>
        <color rgb="FF595959"/>
        <rFont val="Arial"/>
        <family val="0"/>
        <charset val="1"/>
      </rPr>
      <t xml:space="preserve">FY26 9.19 US$m/MW</t>
    </r>
    <r>
      <rPr>
        <sz val="9"/>
        <color rgb="FF595959"/>
        <rFont val="Noto Sans CJK SC"/>
        <family val="2"/>
      </rPr>
      <t xml:space="preserve">（錨 </t>
    </r>
    <r>
      <rPr>
        <sz val="9"/>
        <color rgb="FF595959"/>
        <rFont val="Arial"/>
        <family val="0"/>
        <charset val="1"/>
      </rPr>
      <t xml:space="preserve">10.32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</si>
  <si>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574.9 × 4 ÷ </t>
    </r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Noto Sans CJK SC"/>
        <family val="2"/>
      </rPr>
      <t xml:space="preserve">（內插）＝</t>
    </r>
    <r>
      <rPr>
        <sz val="9"/>
        <color rgb="FF595959"/>
        <rFont val="Arial"/>
        <family val="0"/>
        <charset val="1"/>
      </rPr>
      <t xml:space="preserve">6.28 US$m/MW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分部營收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Noto Sans CJK SC"/>
        <family val="2"/>
      </rPr>
      <t xml:space="preserve">內插）</t>
    </r>
  </si>
  <si>
    <r>
      <rPr>
        <sz val="9"/>
        <color rgb="FF595959"/>
        <rFont val="Noto Sans CJK SC"/>
        <family val="2"/>
      </rPr>
      <t xml:space="preserve">找到：爬坡——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brought additional capacity online across sites in the US and Europe during the second half of the second quarter</t>
    </r>
    <r>
      <rPr>
        <sz val="9"/>
        <color rgb="FF595959"/>
        <rFont val="Noto Sans CJK SC"/>
        <family val="2"/>
      </rPr>
      <t xml:space="preserve">」「</t>
    </r>
    <r>
      <rPr>
        <sz val="9"/>
        <color rgb="FF595959"/>
        <rFont val="Arial"/>
        <family val="0"/>
        <charset val="1"/>
      </rPr>
      <t xml:space="preserve">delivered all capacity tranches to Microsoft</t>
    </r>
    <r>
      <rPr>
        <sz val="9"/>
        <color rgb="FF595959"/>
        <rFont val="Noto Sans CJK SC"/>
        <family val="2"/>
      </rPr>
      <t xml:space="preserve">」：新容量在季末前才上線，季內計費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低於季末在役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</si>
  <si>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沿用既有機制：期初可計費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253 ÷ 366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69%</t>
    </r>
    <r>
      <rPr>
        <sz val="9"/>
        <color rgb="FF595959"/>
        <rFont val="Noto Sans CJK SC"/>
        <family val="2"/>
      </rPr>
      <t xml:space="preserve">），爬坡係數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起回到全額計費；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不調整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</si>
  <si>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0.89</t>
    </r>
    <r>
      <rPr>
        <sz val="10"/>
        <rFont val="Noto Sans CJK SC"/>
        <family val="2"/>
      </rPr>
      <t xml:space="preserve">（市場長約；證據價格 </t>
    </r>
    <r>
      <rPr>
        <sz val="10"/>
        <rFont val="Arial"/>
        <family val="0"/>
        <charset val="1"/>
      </rPr>
      <t xml:space="preserve">÷ v18.0 </t>
    </r>
    <r>
      <rPr>
        <sz val="10"/>
        <rFont val="Noto Sans CJK SC"/>
        <family val="2"/>
      </rPr>
      <t xml:space="preserve">成本）；每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9.19 → 10.40</t>
    </r>
  </si>
  <si>
    <t xml:space="preserve">[Derived]</t>
  </si>
  <si>
    <r>
      <rPr>
        <sz val="10"/>
        <rFont val="Noto Sans CJK SC"/>
        <family val="2"/>
      </rPr>
      <t xml:space="preserve">驗證｜定價倍數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自身合約（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</si>
  <si>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IREN–Microsoft 9.70 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10.89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</si>
  <si>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17.4bn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假設容量 </t>
    </r>
    <r>
      <rPr>
        <sz val="9"/>
        <color rgb="FF595959"/>
        <rFont val="Arial"/>
        <family val="0"/>
        <charset val="1"/>
      </rPr>
      <t xml:space="preserve">÷ 10.89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300 MW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Noto Sans CJK SC"/>
        <family val="2"/>
      </rPr>
      <t xml:space="preserve">（視為設施）／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TCV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分批）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；容量為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站點新聞稿與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</si>
  <si>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找不到可用的已揭露條款：合約未揭露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數，換算必須假設容量（已決定事項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要求完全由已揭露條款算出）。</t>
    </r>
  </si>
  <si>
    <r>
      <rPr>
        <sz val="9"/>
        <color rgb="FF595959"/>
        <rFont val="Noto Sans CJK SC"/>
        <family val="2"/>
      </rPr>
      <t xml:space="preserve">不調整；列敏感度（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</si>
  <si>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</si>
  <si>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</si>
  <si>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驗證｜營運現金成本（不含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，每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</si>
  <si>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IF_OpexGW</t>
    </r>
    <r>
      <rPr>
        <sz val="9"/>
        <color rgb="FF595959"/>
        <rFont val="Noto Sans CJK SC"/>
        <family val="2"/>
      </rPr>
      <t xml:space="preserve">（季末世代加權）</t>
    </r>
    <r>
      <rPr>
        <sz val="9"/>
        <color rgb="FF595959"/>
        <rFont val="Arial"/>
        <family val="0"/>
        <charset val="1"/>
      </rPr>
      <t xml:space="preserve">1.92 US$m/MW·</t>
    </r>
    <r>
      <rPr>
        <sz val="9"/>
        <color rgb="FF595959"/>
        <rFont val="Noto Sans CJK SC"/>
        <family val="2"/>
      </rPr>
      <t xml:space="preserve">年（電費 </t>
    </r>
    <r>
      <rPr>
        <sz val="9"/>
        <color rgb="FF595959"/>
        <rFont val="Arial"/>
        <family val="0"/>
        <charset val="1"/>
      </rPr>
      <t xml:space="preserve">0.67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、廠房維護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0.33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v18.0 IT </t>
    </r>
    <r>
      <rPr>
        <sz val="9"/>
        <color rgb="FF595959"/>
        <rFont val="Noto Sans CJK SC"/>
        <family val="2"/>
      </rPr>
      <t xml:space="preserve">維護約減半）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</si>
  <si>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營業成本（不含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133.6 × 4 ÷ 366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</si>
  <si>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未找到有證據的機制：可能來源——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爬坡分母（季均在役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低於季末 </t>
    </r>
    <r>
      <rPr>
        <sz val="9"/>
        <color rgb="FF595959"/>
        <rFont val="Arial"/>
        <family val="0"/>
        <charset val="1"/>
      </rPr>
      <t xml:space="preserve">366</t>
    </r>
    <r>
      <rPr>
        <sz val="9"/>
        <color rgb="FF595959"/>
        <rFont val="Noto Sans CJK SC"/>
        <family val="2"/>
      </rPr>
      <t xml:space="preserve">，方向成立但幅度無法量化）；</t>
    </r>
    <r>
      <rPr>
        <sz val="9"/>
        <color rgb="FF595959"/>
        <rFont val="Arial"/>
        <family val="0"/>
        <charset val="1"/>
      </rPr>
      <t xml:space="preserve">(b) IT </t>
    </r>
    <r>
      <rPr>
        <sz val="9"/>
        <color rgb="FF595959"/>
        <rFont val="Noto Sans CJK SC"/>
        <family val="2"/>
      </rPr>
      <t xml:space="preserve">維護在保固期內（未找到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保固條款）；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營業成本口徑不含人員、稅險（未證實）。</t>
    </r>
  </si>
  <si>
    <r>
      <rPr>
        <sz val="9"/>
        <color rgb="FF595959"/>
        <rFont val="Noto Sans CJK SC"/>
        <family val="2"/>
      </rPr>
      <t xml:space="preserve">不調整（模型營運成本採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率路徑，不使用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由下而上；第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輪結論保留）；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實際列為對照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</si>
  <si>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率路徑（不切換）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</si>
  <si>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</si>
  <si>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由下而上隱含（未扣管銷與租金）：</t>
    </r>
    <r>
      <rPr>
        <sz val="9"/>
        <color rgb="FF595959"/>
        <rFont val="Arial"/>
        <family val="0"/>
        <charset val="1"/>
      </rPr>
      <t xml:space="preserve">1 − 1.94 ÷ 9.19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78.9%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</si>
  <si>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285.7 ÷ 574.9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（合併 </t>
    </r>
    <r>
      <rPr>
        <sz val="9"/>
        <color rgb="FF595959"/>
        <rFont val="Arial"/>
        <family val="0"/>
        <charset val="1"/>
      </rPr>
      <t xml:space="preserve">236.2 ÷ 582.3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40.6%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</si>
  <si>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找到：管銷、研發與分部費用（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合併營收 </t>
    </r>
    <r>
      <rPr>
        <sz val="9"/>
        <color rgb="FF595959"/>
        <rFont val="Arial"/>
        <family val="0"/>
        <charset val="1"/>
      </rPr>
      <t xml:space="preserve">582.3 −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133.6 −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 236.2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212.5</t>
    </r>
    <r>
      <rPr>
        <sz val="9"/>
        <color rgb="FF595959"/>
        <rFont val="Noto Sans CJK SC"/>
        <family val="2"/>
      </rPr>
      <t xml:space="preserve">，約占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Noto Sans CJK SC"/>
        <family val="2"/>
      </rPr>
      <t xml:space="preserve">）不在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範圍。</t>
    </r>
  </si>
  <si>
    <r>
      <rPr>
        <sz val="9"/>
        <color rgb="FF595959"/>
        <rFont val="Noto Sans CJK SC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率起點＝</t>
    </r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分部實際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，線性走向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區間中點）；何時回到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：不回（成本端是否切換待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</si>
  <si>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t xml:space="preserve">49.7% → 47%</t>
  </si>
  <si>
    <t xml:space="preserve">[Interested-party]</t>
  </si>
  <si>
    <r>
      <rPr>
        <sz val="10"/>
        <rFont val="Noto Sans CJK SC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</t>
    </r>
  </si>
  <si>
    <r>
      <rPr>
        <sz val="9"/>
        <color rgb="FF595959"/>
        <rFont val="Arial"/>
        <family val="0"/>
        <charset val="1"/>
      </rPr>
      <t xml:space="preserve">IF_CapexTotal GB300 44.91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50.26 US$m/MW-IT</t>
    </r>
    <r>
      <rPr>
        <sz val="9"/>
        <color rgb="FF595959"/>
        <rFont val="Noto Sans CJK SC"/>
        <family val="2"/>
      </rPr>
      <t xml:space="preserve">（首期新增全為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</si>
  <si>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現金資本支出 </t>
    </r>
    <r>
      <rPr>
        <sz val="9"/>
        <color rgb="FF595959"/>
        <rFont val="Arial"/>
        <family val="0"/>
        <charset val="1"/>
      </rPr>
      <t xml:space="preserve">8,130 ÷ H1 </t>
    </r>
    <r>
      <rPr>
        <sz val="9"/>
        <color rgb="FF595959"/>
        <rFont val="Noto Sans CJK SC"/>
        <family val="2"/>
      </rPr>
      <t xml:space="preserve">新增在役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Noto Sans CJK SC"/>
        <family val="2"/>
      </rPr>
      <t xml:space="preserve">，內插）＝</t>
    </r>
    <r>
      <rPr>
        <sz val="9"/>
        <color rgb="FF595959"/>
        <rFont val="Arial"/>
        <family val="0"/>
        <charset val="1"/>
      </rPr>
      <t xml:space="preserve">41.5</t>
    </r>
    <r>
      <rPr>
        <sz val="9"/>
        <color rgb="FF595959"/>
        <rFont val="Noto Sans CJK SC"/>
        <family val="2"/>
      </rPr>
      <t xml:space="preserve">（含預建，在建工程 </t>
    </r>
    <r>
      <rPr>
        <sz val="9"/>
        <color rgb="FF595959"/>
        <rFont val="Arial"/>
        <family val="0"/>
        <charset val="1"/>
      </rPr>
      <t xml:space="preserve">7,836</t>
    </r>
    <r>
      <rPr>
        <sz val="9"/>
        <color rgb="FF595959"/>
        <rFont val="Noto Sans CJK SC"/>
        <family val="2"/>
      </rPr>
      <t xml:space="preserve">）；在役資產（毛額 − 在建）</t>
    </r>
    <r>
      <rPr>
        <sz val="9"/>
        <color rgb="FF595959"/>
        <rFont val="Arial"/>
        <family val="0"/>
        <charset val="1"/>
      </rPr>
      <t xml:space="preserve">6,313 ÷ 366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現金流量表與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Noto Sans CJK SC"/>
        <family val="2"/>
      </rPr>
      <t xml:space="preserve">內插）</t>
    </r>
  </si>
  <si>
    <r>
      <rPr>
        <sz val="9"/>
        <color rgb="FF595959"/>
        <rFont val="Noto Sans CJK SC"/>
        <family val="2"/>
      </rPr>
      <t xml:space="preserve">未找到有證據的機制：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數字混入預建（在建工程）、在役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為內插、部分站點為租賃（營業租賃負債 </t>
    </r>
    <r>
      <rPr>
        <sz val="9"/>
        <color rgb="FF595959"/>
        <rFont val="Arial"/>
        <family val="0"/>
        <charset val="1"/>
      </rPr>
      <t xml:space="preserve">1,625</t>
    </r>
    <r>
      <rPr>
        <sz val="9"/>
        <color rgb="FF595959"/>
        <rFont val="Noto Sans CJK SC"/>
        <family val="2"/>
      </rPr>
      <t xml:space="preserve">），無法分離每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單價；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值下降後差距縮小到門檻內（−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Noto Sans CJK SC"/>
        <family val="2"/>
      </rPr>
      <t xml:space="preserve">），不再需要機制；模型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對公司指引 </t>
    </r>
    <r>
      <rPr>
        <sz val="9"/>
        <color rgb="FF595959"/>
        <rFont val="Arial"/>
        <family val="0"/>
        <charset val="1"/>
      </rPr>
      <t xml:space="preserve">20–25 </t>
    </r>
    <r>
      <rPr>
        <sz val="9"/>
        <color rgb="FF595959"/>
        <rFont val="Noto Sans CJK SC"/>
        <family val="2"/>
      </rPr>
      <t xml:space="preserve">的口徑（應計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現金、預建）仍不明。</t>
    </r>
  </si>
  <si>
    <r>
      <rPr>
        <sz val="9"/>
        <color rgb="FF595959"/>
        <rFont val="Noto Sans CJK SC"/>
        <family val="2"/>
      </rPr>
      <t xml:space="preserve">不調整（維持 </t>
    </r>
    <r>
      <rPr>
        <sz val="9"/>
        <color rgb="FF595959"/>
        <rFont val="Arial"/>
        <family val="0"/>
        <charset val="1"/>
      </rPr>
      <t xml:space="preserve">Tokenomics 44.91</t>
    </r>
    <r>
      <rPr>
        <sz val="9"/>
        <color rgb="FF595959"/>
        <rFont val="Noto Sans CJK SC"/>
        <family val="2"/>
      </rPr>
      <t xml:space="preserve">）；公司實際列敏感度：每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 </t>
    </r>
    <r>
      <rPr>
        <sz val="9"/>
        <color rgb="FF595959"/>
        <rFont val="Arial"/>
        <family val="0"/>
        <charset val="1"/>
      </rPr>
      <t xml:space="preserve">× 0.92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41.5 ÷ 44.9</t>
    </r>
    <r>
      <rPr>
        <sz val="9"/>
        <color rgb="FF595959"/>
        <rFont val="Noto Sans CJK SC"/>
        <family val="2"/>
      </rPr>
      <t xml:space="preserve">）基準目標價 </t>
    </r>
    <r>
      <rPr>
        <sz val="9"/>
        <color rgb="FF595959"/>
        <rFont val="Arial"/>
        <family val="0"/>
        <charset val="1"/>
      </rPr>
      <t xml:space="preserve">$23.5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× 0.83 </t>
    </r>
    <r>
      <rPr>
        <sz val="9"/>
        <color rgb="FF595959"/>
        <rFont val="Noto Sans CJK SC"/>
        <family val="2"/>
      </rPr>
      <t xml:space="preserve">口徑，同一新快照下為 </t>
    </r>
    <r>
      <rPr>
        <sz val="9"/>
        <color rgb="FF595959"/>
        <rFont val="Arial"/>
        <family val="0"/>
        <charset val="1"/>
      </rPr>
      <t xml:space="preserve">$25.5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</si>
  <si>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44.91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47.58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50.26</t>
    </r>
    <r>
      <rPr>
        <sz val="10"/>
        <rFont val="Noto Sans CJK SC"/>
        <family val="2"/>
      </rPr>
      <t xml:space="preserve">（依新增世代組合加權）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</si>
  <si>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</si>
  <si>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Arial"/>
        <family val="0"/>
        <charset val="1"/>
      </rPr>
      <t xml:space="preserve">IF_DeprLifeIT 6 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</si>
  <si>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伺服器與網通設備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年延長）（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附註（會計估計變更）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</si>
  <si>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找到：公司會計政策（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附註）。</t>
    </r>
  </si>
  <si>
    <r>
      <rPr>
        <sz val="9"/>
        <color rgb="FF595959"/>
        <rFont val="Noto Sans CJK SC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defaults.gpuLife</t>
    </r>
    <r>
      <rPr>
        <sz val="9"/>
        <color rgb="FF595959"/>
        <rFont val="Noto Sans CJK SC"/>
        <family val="2"/>
      </rPr>
      <t xml:space="preserve">）；會計政策，不回到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</si>
  <si>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</t>
    </r>
  </si>
  <si>
    <t xml:space="preserve">驗證｜電費</t>
  </si>
  <si>
    <r>
      <rPr>
        <sz val="9"/>
        <color rgb="FF595959"/>
        <rFont val="Arial"/>
        <family val="0"/>
        <charset val="1"/>
      </rPr>
      <t xml:space="preserve">IF_PowerCost 0.67 US$m/MW·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0.08 $/kWh</t>
    </r>
    <r>
      <rPr>
        <sz val="9"/>
        <color rgb="FF595959"/>
        <rFont val="Noto Sans CJK SC"/>
        <family val="2"/>
      </rPr>
      <t xml:space="preserve">、平均用電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PUE 1.2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</si>
  <si>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電力與能源最低承諾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541.8</t>
    </r>
    <r>
      <rPr>
        <sz val="9"/>
        <color rgb="FF595959"/>
        <rFont val="Noto Sans CJK SC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 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</si>
  <si>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無法對照：承諾金額對應的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與電價未揭露（找不到）。</t>
    </r>
  </si>
  <si>
    <r>
      <rPr>
        <sz val="9"/>
        <color rgb="FF595959"/>
        <rFont val="Noto Sans CJK SC"/>
        <family val="2"/>
      </rPr>
      <t xml:space="preserve">不調整（模型以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率路徑涵蓋）</t>
    </r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</si>
  <si>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</si>
  <si>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</si>
  <si>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</si>
  <si>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</si>
  <si>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</si>
  <si>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</si>
  <si>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</si>
  <si>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</si>
  <si>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其他借款（流動）</t>
  </si>
  <si>
    <t xml:space="preserve">追索</t>
  </si>
  <si>
    <t xml:space="preserve">2026-12</t>
  </si>
  <si>
    <r>
      <rPr>
        <sz val="9"/>
        <color rgb="FF595959"/>
        <rFont val="Noto Sans CJK SC"/>
        <family val="2"/>
      </rPr>
      <t xml:space="preserve">資產負債表 </t>
    </r>
    <r>
      <rPr>
        <sz val="9"/>
        <color rgb="FF595959"/>
        <rFont val="Arial"/>
        <family val="0"/>
        <charset val="1"/>
      </rPr>
      <t xml:space="preserve">Debt, current</t>
    </r>
    <r>
      <rPr>
        <sz val="9"/>
        <color rgb="FF595959"/>
        <rFont val="Noto Sans CJK SC"/>
        <family val="2"/>
      </rPr>
      <t xml:space="preserve">；附註未逐項拆解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</si>
  <si>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</si>
  <si>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10.0885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</si>
  <si>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</si>
  <si>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</si>
  <si>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</si>
  <si>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</si>
  <si>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</si>
  <si>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</si>
  <si>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</si>
  <si>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</si>
  <si>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</si>
  <si>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</si>
  <si>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</si>
  <si>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sz val="10"/>
        <rFont val="Arial"/>
        <family val="0"/>
        <charset val="1"/>
      </rPr>
      <t xml:space="preserve">2.00% 2029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</si>
  <si>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2029-06</t>
  </si>
  <si>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發行；原始 </t>
    </r>
    <r>
      <rPr>
        <sz val="9"/>
        <color rgb="FF595959"/>
        <rFont val="Arial"/>
        <family val="0"/>
        <charset val="1"/>
      </rPr>
      <t xml:space="preserve">500 </t>
    </r>
    <r>
      <rPr>
        <sz val="9"/>
        <color rgb="FF595959"/>
        <rFont val="Noto Sans CJK SC"/>
        <family val="2"/>
      </rPr>
      <t xml:space="preserve">已轉換 </t>
    </r>
    <r>
      <rPr>
        <sz val="9"/>
        <color rgb="FF595959"/>
        <rFont val="Arial"/>
        <family val="0"/>
        <charset val="1"/>
      </rPr>
      <t xml:space="preserve">12.5</t>
    </r>
    <r>
      <rPr>
        <sz val="9"/>
        <color rgb="FF595959"/>
        <rFont val="Noto Sans CJK SC"/>
        <family val="2"/>
      </rPr>
      <t xml:space="preserve">、以股換債 </t>
    </r>
    <r>
      <rPr>
        <sz val="9"/>
        <color rgb="FF595959"/>
        <rFont val="Arial"/>
        <family val="0"/>
        <charset val="1"/>
      </rPr>
      <t xml:space="preserve">400 → 87.5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19.4363 </t>
    </r>
    <r>
      <rPr>
        <sz val="9"/>
        <color rgb="FF595959"/>
        <rFont val="Noto Sans CJK SC"/>
        <family val="2"/>
      </rPr>
      <t xml:space="preserve">股／</t>
    </r>
    <r>
      <rPr>
        <sz val="9"/>
        <color rgb="FF595959"/>
        <rFont val="Arial"/>
        <family val="0"/>
        <charset val="1"/>
      </rPr>
      <t xml:space="preserve">$1,000 [Verified 20-F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 2026-08]</t>
    </r>
  </si>
  <si>
    <r>
      <rPr>
        <sz val="10"/>
        <rFont val="Arial"/>
        <family val="0"/>
        <charset val="1"/>
      </rPr>
      <t xml:space="preserve">3.00%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</si>
  <si>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2031-06</t>
  </si>
  <si>
    <r>
      <rPr>
        <sz val="9"/>
        <color rgb="FF595959"/>
        <rFont val="Noto Sans CJK SC"/>
        <family val="2"/>
      </rPr>
      <t xml:space="preserve">同上；原始 </t>
    </r>
    <r>
      <rPr>
        <sz val="9"/>
        <color rgb="FF595959"/>
        <rFont val="Arial"/>
        <family val="0"/>
        <charset val="1"/>
      </rPr>
      <t xml:space="preserve">500 → 87.5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</si>
  <si>
    <r>
      <rPr>
        <sz val="10"/>
        <rFont val="Arial"/>
        <family val="0"/>
        <charset val="1"/>
      </rPr>
      <t xml:space="preserve">1.00%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</si>
  <si>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2030-09</t>
  </si>
  <si>
    <r>
      <rPr>
        <sz val="9"/>
        <color rgb="FF595959"/>
        <rFont val="Noto Sans CJK SC"/>
        <family val="2"/>
      </rPr>
      <t xml:space="preserve">基本 </t>
    </r>
    <r>
      <rPr>
        <sz val="9"/>
        <color rgb="FF595959"/>
        <rFont val="Arial"/>
        <family val="0"/>
        <charset val="1"/>
      </rPr>
      <t xml:space="preserve">1,375</t>
    </r>
    <r>
      <rPr>
        <sz val="9"/>
        <color rgb="FF595959"/>
        <rFont val="Noto Sans CJK SC"/>
        <family val="2"/>
      </rPr>
      <t xml:space="preserve">＋超額配售 </t>
    </r>
    <r>
      <rPr>
        <sz val="9"/>
        <color rgb="FF595959"/>
        <rFont val="Arial"/>
        <family val="0"/>
        <charset val="1"/>
      </rPr>
      <t xml:space="preserve">206.25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7.2072 [Verified 20-F]</t>
    </r>
  </si>
  <si>
    <r>
      <rPr>
        <sz val="10"/>
        <rFont val="Arial"/>
        <family val="0"/>
        <charset val="1"/>
      </rPr>
      <t xml:space="preserve">2.75% 2032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</si>
  <si>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2032-09</t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</si>
  <si>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[Verified 20-F]</t>
    </r>
  </si>
  <si>
    <r>
      <rPr>
        <sz val="10"/>
        <rFont val="Arial"/>
        <family val="0"/>
        <charset val="1"/>
      </rPr>
      <t xml:space="preserve">1.25%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</si>
  <si>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2031-03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</si>
  <si>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5.4579 [Interested-party Q2 6-K]</t>
    </r>
  </si>
  <si>
    <r>
      <rPr>
        <sz val="10"/>
        <rFont val="Arial"/>
        <family val="0"/>
        <charset val="1"/>
      </rPr>
      <t xml:space="preserve">2.625% 2033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</si>
  <si>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2033-03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</si>
  <si>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5.546 [Interested-party Q2 6-K]</t>
    </r>
  </si>
  <si>
    <r>
      <rPr>
        <sz val="10"/>
        <rFont val="Arial"/>
        <family val="0"/>
        <charset val="1"/>
      </rPr>
      <t xml:space="preserve">0.50%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</si>
  <si>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2030-02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</si>
  <si>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3.1902</t>
    </r>
    <r>
      <rPr>
        <sz val="9"/>
        <color rgb="FF595959"/>
        <rFont val="Noto Sans CJK SC"/>
        <family val="2"/>
      </rPr>
      <t xml:space="preserve">；有效轉換價（含累積）約 </t>
    </r>
    <r>
      <rPr>
        <sz val="9"/>
        <color rgb="FF595959"/>
        <rFont val="Arial"/>
        <family val="0"/>
        <charset val="1"/>
      </rPr>
      <t xml:space="preserve">$344.81 [Interested-party]</t>
    </r>
  </si>
  <si>
    <r>
      <rPr>
        <sz val="10"/>
        <rFont val="Arial"/>
        <family val="0"/>
        <charset val="1"/>
      </rPr>
      <t xml:space="preserve">4.50% 2034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</si>
  <si>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2034-02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</si>
  <si>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3.0802</t>
    </r>
    <r>
      <rPr>
        <sz val="9"/>
        <color rgb="FF595959"/>
        <rFont val="Noto Sans CJK SC"/>
        <family val="2"/>
      </rPr>
      <t xml:space="preserve">；有效轉換價約 </t>
    </r>
    <r>
      <rPr>
        <sz val="9"/>
        <color rgb="FF595959"/>
        <rFont val="Arial"/>
        <family val="0"/>
        <charset val="1"/>
      </rPr>
      <t xml:space="preserve">$405.82 [Interested-party]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</si>
  <si>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</si>
  <si>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</si>
  <si>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</si>
  <si>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</si>
  <si>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</si>
  <si>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</si>
  <si>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</si>
  <si>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</si>
  <si>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</si>
  <si>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</si>
  <si>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</si>
  <si>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</si>
  <si>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</si>
  <si>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</si>
  <si>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</si>
  <si>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</si>
  <si>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</si>
  <si>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</si>
  <si>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</si>
  <si>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</si>
  <si>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</si>
  <si>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</si>
  <si>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</si>
  <si>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</si>
  <si>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</si>
  <si>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</si>
  <si>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</si>
  <si>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</si>
  <si>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</si>
  <si>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</si>
  <si>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</si>
  <si>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</si>
  <si>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</si>
  <si>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</si>
  <si>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</si>
  <si>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</si>
  <si>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</si>
  <si>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</si>
  <si>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</si>
  <si>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</si>
  <si>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</si>
  <si>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</si>
  <si>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</si>
  <si>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</si>
  <si>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</si>
  <si>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</si>
  <si>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</si>
  <si>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</si>
  <si>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</si>
  <si>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</si>
  <si>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</si>
  <si>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</si>
  <si>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</si>
  <si>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</si>
  <si>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</si>
  <si>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</si>
  <si>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</si>
  <si>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</si>
  <si>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</si>
  <si>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</si>
  <si>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</si>
  <si>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</si>
  <si>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</si>
  <si>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</si>
  <si>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</si>
  <si>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</si>
  <si>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</si>
  <si>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</si>
  <si>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</si>
  <si>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</si>
  <si>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</si>
  <si>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</si>
  <si>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</si>
  <si>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</si>
  <si>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</si>
  <si>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</si>
  <si>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</si>
  <si>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</si>
  <si>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</si>
  <si>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</si>
  <si>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</si>
  <si>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</si>
  <si>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</si>
  <si>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</si>
  <si>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</si>
  <si>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</si>
  <si>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</si>
  <si>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</si>
  <si>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</si>
  <si>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</si>
  <si>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</si>
  <si>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</si>
  <si>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</si>
  <si>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</si>
  <si>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（評價日後簽約的資產擔保定期貸款）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</si>
  <si>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</si>
  <si>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</si>
  <si>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</si>
  <si>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</si>
  <si>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</si>
  <si>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</si>
  <si>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擴張路徑所需新租約多數尚未簽署，路徑高於已承諾屬假設而非錯誤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</si>
  <si>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</si>
  <si>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</si>
  <si>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</si>
  <si>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</si>
  <si>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</si>
  <si>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</si>
  <si>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</si>
  <si>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</si>
  <si>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</si>
  <si>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</si>
  <si>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</si>
  <si>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</si>
  <si>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</si>
  <si>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</si>
  <si>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</si>
  <si>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</si>
  <si>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</si>
  <si>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</si>
  <si>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</si>
  <si>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</si>
  <si>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</si>
  <si>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</si>
  <si>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</si>
  <si>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</si>
  <si>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</si>
  <si>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</si>
  <si>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</si>
  <si>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</si>
  <si>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</si>
  <si>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</si>
  <si>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</si>
  <si>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</si>
  <si>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</si>
  <si>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</si>
  <si>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</si>
  <si>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</si>
  <si>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0.472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</si>
  <si>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</si>
  <si>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</si>
  <si>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</si>
  <si>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</si>
  <si>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</si>
  <si>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</si>
  <si>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1.60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</si>
  <si>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</si>
  <si>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</si>
  <si>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</si>
  <si>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</si>
  <si>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</si>
  <si>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</si>
  <si>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8.1303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</si>
  <si>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</si>
  <si>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</si>
  <si>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</si>
  <si>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</si>
  <si>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</si>
  <si>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</si>
  <si>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</si>
  <si>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</si>
  <si>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</si>
  <si>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</si>
  <si>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</si>
  <si>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</si>
  <si>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</si>
  <si>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</si>
  <si>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</si>
  <si>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</si>
  <si>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</si>
  <si>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</si>
  <si>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</si>
  <si>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</si>
  <si>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</si>
  <si>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</si>
  <si>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</si>
  <si>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  <r>
      <rPr>
        <sz val="9"/>
        <color rgb="FF595959"/>
        <rFont val="Noto Sans CJK SC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</si>
  <si>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</si>
  <si>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</si>
  <si>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</si>
  <si>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</si>
  <si>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</si>
  <si>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</si>
  <si>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</si>
  <si>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</si>
  <si>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</si>
  <si>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</si>
  <si>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</si>
  <si>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</si>
  <si>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計、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照常截斷並保留權重（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</si>
  <si>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</si>
  <si>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</si>
  <si>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</si>
  <si>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</si>
  <si>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</si>
  <si>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</si>
  <si>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</si>
  <si>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</si>
  <si>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</si>
  <si>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</si>
  <si>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</si>
  <si>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</si>
  <si>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</si>
  <si>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</si>
  <si>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</si>
  <si>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</si>
  <si>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</si>
  <si>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</si>
  <si>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</si>
  <si>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</si>
  <si>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</si>
  <si>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</si>
  <si>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</si>
  <si>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</si>
  <si>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</si>
  <si>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</si>
  <si>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</si>
  <si>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</si>
  <si>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</si>
  <si>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</si>
  <si>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</si>
  <si>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</si>
  <si>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</si>
  <si>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</si>
  <si>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</si>
  <si>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</si>
  <si>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</si>
  <si>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</si>
  <si>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</si>
  <si>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</si>
  <si>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</si>
  <si>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</si>
  <si>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</si>
  <si>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</si>
  <si>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</si>
  <si>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</si>
  <si>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</si>
  <si>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</si>
  <si>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</si>
  <si>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</si>
  <si>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</si>
  <si>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</si>
  <si>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</si>
  <si>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</si>
  <si>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</si>
  <si>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</si>
  <si>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</si>
  <si>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</si>
  <si>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</si>
  <si>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</si>
  <si>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</si>
  <si>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</si>
  <si>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</si>
  <si>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</si>
  <si>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</si>
  <si>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</si>
  <si>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</si>
  <si>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</si>
  <si>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</si>
  <si>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</si>
  <si>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</si>
  <si>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</si>
  <si>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</si>
  <si>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</si>
  <si>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</si>
  <si>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</si>
  <si>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</si>
  <si>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</si>
  <si>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</si>
  <si>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</si>
  <si>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</si>
  <si>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</si>
  <si>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</si>
  <si>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</si>
  <si>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</si>
  <si>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</si>
  <si>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</si>
  <si>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</si>
  <si>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</si>
  <si>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</si>
  <si>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</si>
  <si>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</si>
  <si>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</si>
  <si>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</si>
  <si>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</si>
  <si>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</si>
  <si>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</si>
  <si>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</si>
  <si>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</si>
  <si>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</si>
  <si>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</si>
  <si>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</si>
  <si>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</si>
  <si>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</si>
  <si>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</si>
  <si>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</si>
  <si>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</si>
  <si>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</si>
  <si>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</si>
  <si>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</si>
  <si>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</si>
  <si>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</si>
  <si>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</si>
  <si>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</si>
  <si>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</si>
  <si>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$35.2m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</si>
  <si>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</si>
  <si>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</si>
  <si>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$50.3m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</si>
  <si>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$55.3m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</si>
  <si>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</si>
  <si>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</si>
  <si>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</si>
  <si>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</si>
  <si>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</si>
  <si>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</si>
  <si>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</si>
  <si>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</si>
  <si>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</si>
  <si>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</si>
  <si>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</si>
  <si>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</si>
  <si>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</si>
  <si>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</si>
  <si>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</si>
  <si>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Q2 10-Q</t>
    </r>
    <r>
      <rPr>
        <sz val="9"/>
        <color rgb="FF595959"/>
        <rFont val="Noto Sans CJK SC"/>
        <family val="2"/>
      </rPr>
      <t xml:space="preserve">；以租約取得機房（租賃負債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）；市值 </t>
    </r>
    <r>
      <rPr>
        <sz val="9"/>
        <color rgb="FF595959"/>
        <rFont val="Arial"/>
        <family val="0"/>
        <charset val="1"/>
      </rPr>
      <t xml:space="preserve">9/21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</si>
  <si>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</si>
  <si>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</si>
  <si>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</si>
  <si>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</si>
  <si>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</si>
  <si>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</si>
  <si>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</si>
  <si>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</si>
  <si>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</si>
  <si>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</si>
  <si>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NBIS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</si>
  <si>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</si>
  <si>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1.6253</t>
    </r>
  </si>
  <si>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</si>
  <si>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</si>
  <si>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遠高於同業，主因營收仍在爬坡（</t>
    </r>
    <r>
      <rPr>
        <sz val="9"/>
        <color rgb="FF595959"/>
        <rFont val="Arial"/>
        <family val="0"/>
        <charset val="1"/>
      </rPr>
      <t xml:space="preserve">TTM 1.36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</si>
  <si>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自有占合約電力 </t>
    </r>
    <r>
      <rPr>
        <sz val="9"/>
        <color rgb="FF595959"/>
        <rFont val="Arial"/>
        <family val="0"/>
        <charset val="1"/>
      </rPr>
      <t xml:space="preserve">&gt;75%</t>
    </r>
    <r>
      <rPr>
        <sz val="9"/>
        <color rgb="FF595959"/>
        <rFont val="Noto Sans CJK SC"/>
        <family val="2"/>
      </rPr>
      <t xml:space="preserve">，加與不加差別小。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</si>
  <si>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列。此表為市場比較用，不進入目標價（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</si>
  <si>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</si>
  <si>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</si>
  <si>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</si>
  <si>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</si>
  <si>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</si>
  <si>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82%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</si>
  <si>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</si>
  <si>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</si>
  <si>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</si>
  <si>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</si>
  <si>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</si>
  <si>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</si>
  <si>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20–25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</si>
  <si>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</si>
  <si>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</si>
  <si>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3–3.4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</si>
  <si>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</si>
  <si>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</si>
  <si>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$38–68m/MW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</si>
  <si>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</si>
  <si>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</si>
  <si>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</si>
  <si>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</si>
  <si>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</si>
  <si>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≥0.2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</si>
  <si>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</si>
  <si>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</si>
  <si>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</si>
  <si>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</si>
  <si>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</si>
  <si>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</si>
  <si>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</si>
  <si>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</si>
  <si>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</si>
  <si>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</si>
  <si>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</si>
  <si>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</si>
  <si>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計、不算失效）；股權為負不算失效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</si>
  <si>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</si>
  <si>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</si>
  <si>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</si>
  <si>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</si>
  <si>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10.0885 − </t>
    </r>
    <r>
      <rPr>
        <sz val="10"/>
        <rFont val="Noto Sans CJK SC"/>
        <family val="2"/>
      </rPr>
      <t xml:space="preserve">以股換債 ＋ 期後新發</t>
    </r>
  </si>
  <si>
    <t xml:space="preserve">15.7785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</si>
  <si>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</si>
  <si>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</si>
  <si>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</si>
  <si>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</si>
  <si>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</si>
  <si>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</si>
  <si>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</si>
  <si>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</si>
  <si>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</si>
  <si>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</si>
  <si>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</si>
  <si>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</si>
  <si>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收入上限：每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</si>
  <si>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</si>
  <si>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Tokenomics </t>
    </r>
    <r>
      <rPr>
        <sz val="9"/>
        <color rgb="FF595959"/>
        <rFont val="Noto Sans CJK SC"/>
        <family val="2"/>
      </rPr>
      <t xml:space="preserve">四層瀑布比較層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，在役世代加權；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警示；只警示、不改數字（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改四層）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</si>
  <si>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</si>
  <si>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</si>
  <si>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</si>
  <si>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</si>
  <si>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</si>
  <si>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</si>
  <si>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</si>
  <si>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</si>
  <si>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</si>
  <si>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</si>
  <si>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</si>
  <si>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</si>
  <si>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</si>
  <si>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</si>
  <si>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</si>
  <si>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</si>
  <si>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</si>
  <si>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</si>
  <si>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v0.4</t>
  </si>
  <si>
    <t xml:space="preserve">10-21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</si>
  <si>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v0.4a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v5.27 → v18.0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868e2cc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隨新成本重算（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 → 0.89</t>
    </r>
    <r>
      <rPr>
        <sz val="10"/>
        <rFont val="Noto Sans CJK SC"/>
        <family val="2"/>
      </rPr>
      <t xml:space="preserve">，證據價格不變）；每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建置成本改引用 </t>
    </r>
    <r>
      <rPr>
        <sz val="10"/>
        <rFont val="Arial"/>
        <family val="0"/>
        <charset val="1"/>
      </rPr>
      <t xml:space="preserve">TK_CapexTotal</t>
    </r>
    <r>
      <rPr>
        <sz val="10"/>
        <rFont val="Noto Sans CJK SC"/>
        <family val="2"/>
      </rPr>
      <t xml:space="preserve">（依新增世代組合加權）；收入上限檢查改四層（比較層 </t>
    </r>
    <r>
      <rPr>
        <sz val="10"/>
        <rFont val="Arial"/>
        <family val="0"/>
        <charset val="1"/>
      </rPr>
      <t xml:space="preserve">Prod</t>
    </r>
    <r>
      <rPr>
        <sz val="10"/>
        <rFont val="Noto Sans CJK SC"/>
        <family val="2"/>
      </rPr>
      <t xml:space="preserve">）；成本端評估表重算（主值不切換）；不改任何公司層假設</t>
    </r>
  </si>
  <si>
    <t xml:space="preserve">$22.0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</si>
  <si>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$17.2 → $22.0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$23.5 → $29.7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$12.2 → $20.4</t>
    </r>
    <r>
      <rPr>
        <sz val="10"/>
        <rFont val="Noto Sans CJK SC"/>
        <family val="2"/>
      </rPr>
      <t xml:space="preserve">，全部為 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假設變更中的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同步（① 換快照〔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固定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〕−</t>
    </r>
    <r>
      <rPr>
        <sz val="10"/>
        <rFont val="Arial"/>
        <family val="0"/>
        <charset val="1"/>
      </rPr>
      <t xml:space="preserve">4.66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3.74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5.94</t>
    </r>
    <r>
      <rPr>
        <sz val="10"/>
        <rFont val="Noto Sans CJK SC"/>
        <family val="2"/>
      </rPr>
      <t xml:space="preserve">、②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隨成本重算 </t>
    </r>
    <r>
      <rPr>
        <sz val="10"/>
        <rFont val="Arial"/>
        <family val="0"/>
        <charset val="1"/>
      </rPr>
      <t xml:space="preserve">+9.32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+7.72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+12.29</t>
    </r>
    <r>
      <rPr>
        <sz val="10"/>
        <rFont val="Noto Sans CJK SC"/>
        <family val="2"/>
      </rPr>
      <t xml:space="preserve">、③ 資本支出改引用 </t>
    </r>
    <r>
      <rPr>
        <sz val="10"/>
        <rFont val="Arial"/>
        <family val="0"/>
        <charset val="1"/>
      </rPr>
      <t xml:space="preserve">TK +1.53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+0.80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+1.90</t>
    </r>
    <r>
      <rPr>
        <sz val="10"/>
        <rFont val="Noto Sans CJK SC"/>
        <family val="2"/>
      </rPr>
      <t xml:space="preserve">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；保守／基準／積極）；時間推移、實際數、方法變更皆 </t>
    </r>
    <r>
      <rPr>
        <sz val="10"/>
        <rFont val="Arial"/>
        <family val="0"/>
        <charset val="1"/>
      </rPr>
      <t xml:space="preserve">0</t>
    </r>
  </si>
  <si>
    <t xml:space="preserve">v0.3</t>
  </si>
  <si>
    <t xml:space="preserve">10-08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</si>
  <si>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v0.2a</t>
    </r>
    <r>
      <rPr>
        <sz val="10"/>
        <rFont val="Noto Sans CJK SC"/>
        <family val="2"/>
      </rPr>
      <t xml:space="preserve">（第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錨（</t>
    </r>
    <r>
      <rPr>
        <sz val="10"/>
        <rFont val="Arial"/>
        <family val="0"/>
        <charset val="1"/>
      </rPr>
      <t xml:space="preserve">IF_HoldEcon v5.27</t>
    </r>
    <r>
      <rPr>
        <sz val="10"/>
        <rFont val="Noto Sans CJK SC"/>
        <family val="2"/>
      </rPr>
      <t xml:space="preserve">，官方快照取數）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採 </t>
    </r>
    <r>
      <rPr>
        <sz val="10"/>
        <rFont val="Arial"/>
        <family val="0"/>
        <charset val="1"/>
      </rPr>
      <t xml:space="preserve">CoreWeave W4 r2 </t>
    </r>
    <r>
      <rPr>
        <sz val="10"/>
        <rFont val="Noto Sans CJK SC"/>
        <family val="2"/>
      </rPr>
      <t xml:space="preserve">口徑（新增產能按長約價，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合約未揭露容量只列敏感度）；容量與價格兩條情境軸分離；新增容量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價格 </t>
    </r>
    <r>
      <rPr>
        <sz val="10"/>
        <rFont val="Arial"/>
        <family val="0"/>
        <charset val="1"/>
      </rPr>
      <t xml:space="preserve">3 × 3</t>
    </r>
    <r>
      <rPr>
        <sz val="10"/>
        <rFont val="Noto Sans CJK SC"/>
        <family val="2"/>
      </rPr>
      <t xml:space="preserve">、收入上限檢查、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驗證拆解、公司實況驗證</t>
    </r>
  </si>
  <si>
    <t xml:space="preserve">$17.2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</si>
  <si>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$61.7 → $17.2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$35.2 → $23.5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$154.5 → $12.2</t>
    </r>
    <r>
      <rPr>
        <sz val="10"/>
        <rFont val="Noto Sans CJK SC"/>
        <family val="2"/>
      </rPr>
      <t xml:space="preserve">，全部為 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方法變更（① 錨取代舊推導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、③ 情境軸分離、④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、⑤ 新增產能按長約價、⑥ 公司合約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未採用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）；時間推移、實際數、假設皆 </t>
    </r>
    <r>
      <rPr>
        <sz val="10"/>
        <rFont val="Arial"/>
        <family val="0"/>
        <charset val="1"/>
      </rPr>
      <t xml:space="preserve">0</t>
    </r>
  </si>
  <si>
    <t xml:space="preserve">v0.2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</si>
  <si>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v0.1d</t>
    </r>
    <r>
      <rPr>
        <sz val="10"/>
        <rFont val="Noto Sans CJK SC"/>
        <family val="2"/>
      </rPr>
      <t xml:space="preserve">：標題改為 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專屬「預付款，能把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變成現金嗎？」與動態副標；總結簡報改為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頁故事線＋附錄，一頁摘要移到最後；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論點句改寫；第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輸入改整數、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 ≤ 0 </t>
    </r>
    <r>
      <rPr>
        <sz val="10"/>
        <rFont val="Noto Sans CJK SC"/>
        <family val="2"/>
      </rPr>
      <t xml:space="preserve">不再判失效（終值以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計、保留權重）</t>
    </r>
  </si>
  <si>
    <t xml:space="preserve">$61.7</t>
  </si>
  <si>
    <r>
      <rPr>
        <sz val="10"/>
        <rFont val="Noto Sans CJK SC"/>
        <family val="2"/>
      </rPr>
      <t xml:space="preserve">基準不變；保守 </t>
    </r>
    <r>
      <rPr>
        <sz val="10"/>
        <rFont val="Arial"/>
        <family val="0"/>
        <charset val="1"/>
      </rPr>
      <t xml:space="preserve">$63.8 → $35.2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失效口徑）、積極 </t>
    </r>
    <r>
      <rPr>
        <sz val="10"/>
        <rFont val="Arial"/>
        <family val="0"/>
        <charset val="1"/>
      </rPr>
      <t xml:space="preserve">$154.6 → $154.5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整數）；時間推移、實際數皆 </t>
    </r>
    <r>
      <rPr>
        <sz val="10"/>
        <rFont val="Arial"/>
        <family val="0"/>
        <charset val="1"/>
      </rPr>
      <t xml:space="preserve">0</t>
    </r>
  </si>
  <si>
    <t xml:space="preserve">v0.1</t>
  </si>
  <si>
    <t xml:space="preserve">10-07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</si>
  <si>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 </t>
    </r>
    <r>
      <rPr>
        <sz val="10"/>
        <rFont val="Noto Sans CJK SC"/>
        <family val="2"/>
      </rPr>
      <t xml:space="preserve">模板建立；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收入主軸、預付款、融資瀑布、可轉債稀釋、其他事業與持股</t>
    </r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</si>
  <si>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$63.8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$154.6</t>
    </r>
    <r>
      <rPr>
        <sz val="10"/>
        <rFont val="Noto Sans CJK SC"/>
        <family val="2"/>
      </rPr>
      <t xml:space="preserve">，三者皆賣出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</si>
  <si>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</si>
  <si>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</si>
  <si>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</si>
  <si>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6-K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Noto Sans CJK SC"/>
        <family val="2"/>
      </rPr>
      <t xml:space="preserve">；外國私人發行人，季報未經查核）：營收 </t>
    </r>
    <r>
      <rPr>
        <sz val="10"/>
        <rFont val="Arial"/>
        <family val="0"/>
        <charset val="1"/>
      </rPr>
      <t xml:space="preserve">0.582bn</t>
    </r>
    <r>
      <rPr>
        <sz val="10"/>
        <rFont val="Noto Sans CJK SC"/>
        <family val="2"/>
      </rPr>
      <t xml:space="preserve">（年增 </t>
    </r>
    <r>
      <rPr>
        <sz val="10"/>
        <rFont val="Arial"/>
        <family val="0"/>
        <charset val="1"/>
      </rPr>
      <t xml:space="preserve">454%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H1 0.981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AI cloud </t>
    </r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0.575</t>
    </r>
    <r>
      <rPr>
        <sz val="10"/>
        <rFont val="Noto Sans CJK SC"/>
        <family val="2"/>
      </rPr>
      <t xml:space="preserve">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 cloud 0.286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49.7%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0.119</t>
    </r>
    <r>
      <rPr>
        <sz val="10"/>
        <rFont val="Noto Sans CJK SC"/>
        <family val="2"/>
      </rPr>
      <t xml:space="preserve">（含可轉債攤銷等非現金）；</t>
    </r>
    <r>
      <rPr>
        <sz val="10"/>
        <rFont val="Arial"/>
        <family val="0"/>
        <charset val="1"/>
      </rPr>
      <t xml:space="preserve">D&amp;A 0.260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0.103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Eigen AI </t>
    </r>
    <r>
      <rPr>
        <sz val="10"/>
        <rFont val="Noto Sans CJK SC"/>
        <family val="2"/>
      </rPr>
      <t xml:space="preserve">收購 </t>
    </r>
    <r>
      <rPr>
        <sz val="10"/>
        <rFont val="Arial"/>
        <family val="0"/>
        <charset val="1"/>
      </rPr>
      <t xml:space="preserve">0.075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</si>
  <si>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8.042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1.056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毛額 </t>
    </r>
    <r>
      <rPr>
        <sz val="10"/>
        <rFont val="Arial"/>
        <family val="0"/>
        <charset val="1"/>
      </rPr>
      <t xml:space="preserve">14.150</t>
    </r>
    <r>
      <rPr>
        <sz val="10"/>
        <rFont val="Noto Sans CJK SC"/>
        <family val="2"/>
      </rPr>
      <t xml:space="preserve">（尚未啟用 </t>
    </r>
    <r>
      <rPr>
        <sz val="10"/>
        <rFont val="Arial"/>
        <family val="0"/>
        <charset val="1"/>
      </rPr>
      <t xml:space="preserve">7.836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5.975</t>
    </r>
    <r>
      <rPr>
        <sz val="10"/>
        <rFont val="Noto Sans CJK SC"/>
        <family val="2"/>
      </rPr>
      <t xml:space="preserve">；可轉債到期本金 </t>
    </r>
    <r>
      <rPr>
        <sz val="10"/>
        <rFont val="Arial"/>
        <family val="0"/>
        <charset val="1"/>
      </rPr>
      <t xml:space="preserve">10.042</t>
    </r>
    <r>
      <rPr>
        <sz val="10"/>
        <rFont val="Noto Sans CJK SC"/>
        <family val="2"/>
      </rPr>
      <t xml:space="preserve">（帳面 </t>
    </r>
    <r>
      <rPr>
        <sz val="10"/>
        <rFont val="Arial"/>
        <family val="0"/>
        <charset val="1"/>
      </rPr>
      <t xml:space="preserve">8.499</t>
    </r>
    <r>
      <rPr>
        <sz val="10"/>
        <rFont val="Noto Sans CJK SC"/>
        <family val="2"/>
      </rPr>
      <t xml:space="preserve">）、其他借款 </t>
    </r>
    <r>
      <rPr>
        <sz val="10"/>
        <rFont val="Arial"/>
        <family val="0"/>
        <charset val="1"/>
      </rPr>
      <t xml:space="preserve">0.047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1.625</t>
    </r>
    <r>
      <rPr>
        <sz val="10"/>
        <rFont val="Noto Sans CJK SC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12.054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10.341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</si>
  <si>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37.491bn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36%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個月內、</t>
    </r>
    <r>
      <rPr>
        <sz val="10"/>
        <rFont val="Arial"/>
        <family val="0"/>
        <charset val="1"/>
      </rPr>
      <t xml:space="preserve">40%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個月、其餘之後。客戶集中（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 24%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 21%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14%</t>
    </r>
    <r>
      <rPr>
        <sz val="10"/>
        <rFont val="Noto Sans CJK SC"/>
        <family val="2"/>
      </rPr>
      <t xml:space="preserve">（名稱未揭露）。</t>
    </r>
    <r>
      <rPr>
        <sz val="10"/>
        <rFont val="Arial"/>
        <family val="0"/>
        <charset val="1"/>
      </rPr>
      <t xml:space="preserve">Microsoft 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TCV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$17.4B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$2.9B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$12B </t>
    </r>
    <r>
      <rPr>
        <sz val="10"/>
        <rFont val="Noto Sans CJK SC"/>
        <family val="2"/>
      </rPr>
      <t xml:space="preserve">專用＋最高 </t>
    </r>
    <r>
      <rPr>
        <sz val="10"/>
        <rFont val="Arial"/>
        <family val="0"/>
        <charset val="1"/>
      </rPr>
      <t xml:space="preserve">$15B </t>
    </r>
    <r>
      <rPr>
        <sz val="10"/>
        <rFont val="Noto Sans CJK SC"/>
        <family val="2"/>
      </rPr>
      <t xml:space="preserve">未售容量承購。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</si>
  <si>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4.504</t>
    </r>
    <r>
      <rPr>
        <sz val="10"/>
        <rFont val="Noto Sans CJK SC"/>
        <family val="2"/>
      </rPr>
      <t xml:space="preserve">（遞延營收增加 </t>
    </r>
    <r>
      <rPr>
        <sz val="10"/>
        <rFont val="Arial"/>
        <family val="0"/>
        <charset val="1"/>
      </rPr>
      <t xml:space="preserve">4.395</t>
    </r>
    <r>
      <rPr>
        <sz val="10"/>
        <rFont val="Noto Sans CJK SC"/>
        <family val="2"/>
      </rPr>
      <t xml:space="preserve">）；現金購置 </t>
    </r>
    <r>
      <rPr>
        <sz val="10"/>
        <rFont val="Arial"/>
        <family val="0"/>
        <charset val="1"/>
      </rPr>
      <t xml:space="preserve">8.130</t>
    </r>
    <r>
      <rPr>
        <sz val="10"/>
        <rFont val="Noto Sans CJK SC"/>
        <family val="2"/>
      </rPr>
      <t xml:space="preserve">；收購 </t>
    </r>
    <r>
      <rPr>
        <sz val="10"/>
        <rFont val="Arial"/>
        <family val="0"/>
        <charset val="1"/>
      </rPr>
      <t xml:space="preserve">0.252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4.338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預付認股權證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2.811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</si>
  <si>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期後 </t>
    </r>
    <r>
      <rPr>
        <sz val="10"/>
        <rFont val="Arial"/>
        <family val="0"/>
        <charset val="1"/>
      </rPr>
      <t xml:space="preserve">6-K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2026-07-10 </t>
    </r>
    <r>
      <rPr>
        <sz val="10"/>
        <rFont val="Noto Sans CJK SC"/>
        <family val="2"/>
      </rPr>
      <t xml:space="preserve">資產擔保定期貸款 </t>
    </r>
    <r>
      <rPr>
        <sz val="10"/>
        <rFont val="Arial"/>
        <family val="0"/>
        <charset val="1"/>
      </rPr>
      <t xml:space="preserve">$775M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2.50%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2030-10-31 </t>
    </r>
    <r>
      <rPr>
        <sz val="10"/>
        <rFont val="Noto Sans CJK SC"/>
        <family val="2"/>
      </rPr>
      <t xml:space="preserve">到期）；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$5.75B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0.50% 2030-02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$313.46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4.50% 2034-02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$324.65</t>
    </r>
    <r>
      <rPr>
        <sz val="10"/>
        <rFont val="Noto Sans CJK SC"/>
        <family val="2"/>
      </rPr>
      <t xml:space="preserve">）並以約 </t>
    </r>
    <r>
      <rPr>
        <sz val="10"/>
        <rFont val="Arial"/>
        <family val="0"/>
        <charset val="1"/>
      </rPr>
      <t xml:space="preserve">1,580 </t>
    </r>
    <r>
      <rPr>
        <sz val="10"/>
        <rFont val="Noto Sans CJK SC"/>
        <family val="2"/>
      </rPr>
      <t xml:space="preserve">萬股交換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舊債各 </t>
    </r>
    <r>
      <rPr>
        <sz val="10"/>
        <rFont val="Arial"/>
        <family val="0"/>
        <charset val="1"/>
      </rPr>
      <t xml:space="preserve">$400M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</si>
  <si>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$249.87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63.81bn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271.86m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47.12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30.01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</si>
  <si>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$283.58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$300.00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$84.00–$415.00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$241.80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</si>
  <si>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股東信（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 2026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$3.0–3.4B</t>
    </r>
    <r>
      <rPr>
        <sz val="10"/>
        <rFont val="Noto Sans CJK SC"/>
        <family val="2"/>
      </rPr>
      <t xml:space="preserve">、年底 </t>
    </r>
    <r>
      <rPr>
        <sz val="10"/>
        <rFont val="Arial"/>
        <family val="0"/>
        <charset val="1"/>
      </rPr>
      <t xml:space="preserve">ARR $7–9B</t>
    </r>
    <r>
      <rPr>
        <sz val="10"/>
        <rFont val="Noto Sans CJK SC"/>
        <family val="2"/>
      </rPr>
      <t xml:space="preserve">、調整後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率約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年底合約電力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（目前 </t>
    </r>
    <r>
      <rPr>
        <sz val="10"/>
        <rFont val="Arial"/>
        <family val="0"/>
        <charset val="1"/>
      </rPr>
      <t xml:space="preserve">&gt;3.5 GW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connected 0.8–1.0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起每年部署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合約含預付、覆蓋 </t>
    </r>
    <r>
      <rPr>
        <sz val="10"/>
        <rFont val="Arial"/>
        <family val="0"/>
        <charset val="1"/>
      </rPr>
      <t xml:space="preserve">50–60% </t>
    </r>
    <r>
      <rPr>
        <sz val="10"/>
        <rFont val="Noto Sans CJK SC"/>
        <family val="2"/>
      </rPr>
      <t xml:space="preserve">相關資本支出；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預付 </t>
    </r>
    <r>
      <rPr>
        <sz val="10"/>
        <rFont val="Arial"/>
        <family val="0"/>
        <charset val="1"/>
      </rPr>
      <t xml:space="preserve">&gt;$9B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ACV $20–25M/MW</t>
    </r>
    <r>
      <rPr>
        <sz val="10"/>
        <rFont val="Noto Sans CJK SC"/>
        <family val="2"/>
      </rPr>
      <t xml:space="preserve">（只作對照）；回收期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個月（只作對照）。</t>
    </r>
  </si>
  <si>
    <r>
      <rPr>
        <sz val="10"/>
        <rFont val="Noto Sans CJK SC"/>
        <family val="2"/>
      </rPr>
      <t xml:space="preserve">法說會（二手轉述）：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$20–25B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$16–20B </t>
    </r>
    <r>
      <rPr>
        <sz val="10"/>
        <rFont val="Noto Sans CJK SC"/>
        <family val="2"/>
      </rPr>
      <t xml:space="preserve">上調、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重申）。</t>
    </r>
  </si>
  <si>
    <r>
      <rPr>
        <sz val="10"/>
        <rFont val="Arial"/>
        <family val="0"/>
        <charset val="1"/>
      </rPr>
      <t xml:space="preserve">FY2025 20-F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0.530</t>
    </r>
    <r>
      <rPr>
        <sz val="10"/>
        <rFont val="Noto Sans CJK SC"/>
        <family val="2"/>
      </rPr>
      <t xml:space="preserve">、營業損益 −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、續營淨損益 </t>
    </r>
    <r>
      <rPr>
        <sz val="10"/>
        <rFont val="Arial"/>
        <family val="0"/>
        <charset val="1"/>
      </rPr>
      <t xml:space="preserve">0.010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D&amp;A 0.418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年底現金 </t>
    </r>
    <r>
      <rPr>
        <sz val="10"/>
        <rFont val="Arial"/>
        <family val="0"/>
        <charset val="1"/>
      </rPr>
      <t xml:space="preserve">3.678</t>
    </r>
    <r>
      <rPr>
        <sz val="10"/>
        <rFont val="Noto Sans CJK SC"/>
        <family val="2"/>
      </rPr>
      <t xml:space="preserve">；歷年損益 </t>
    </r>
    <r>
      <rPr>
        <sz val="10"/>
        <rFont val="Arial"/>
        <family val="0"/>
        <charset val="1"/>
      </rPr>
      <t xml:space="preserve">FY23–FY25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20-F XBRL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SEC companyfacts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</si>
  <si>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</si>
  <si>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Tokenomics v18.0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20261021_Tokenomics_v18.0.xlsx</t>
    </r>
    <r>
      <rPr>
        <sz val="10"/>
        <rFont val="Noto Sans CJK SC"/>
        <family val="2"/>
      </rPr>
      <t xml:space="preserve">，合併 </t>
    </r>
    <r>
      <rPr>
        <sz val="10"/>
        <rFont val="Arial"/>
        <family val="0"/>
        <charset val="1"/>
      </rPr>
      <t xml:space="preserve">868e2cc</t>
    </r>
    <r>
      <rPr>
        <sz val="10"/>
        <rFont val="Noto Sans CJK SC"/>
        <family val="2"/>
      </rPr>
      <t xml:space="preserve">；官方快照 </t>
    </r>
    <r>
      <rPr>
        <sz val="10"/>
        <rFont val="Arial"/>
        <family val="0"/>
        <charset val="1"/>
      </rPr>
      <t xml:space="preserve">data/tokenomics_snapshot_v18.0.json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在役世代加權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0.8910190877525991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長約；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1.8280865492144516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現貨指數；長約占比依 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IF_CapexTotal 50.12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50.26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</si>
  <si>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</si>
  <si>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Noto Sans CJK SC"/>
        <family val="2"/>
      </rPr>
      <t xml:space="preserve">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路徑（歷史併網速度 </t>
    </r>
    <r>
      <rPr>
        <sz val="10"/>
        <rFont val="Arial"/>
        <family val="0"/>
        <charset val="1"/>
      </rPr>
      <t xml:space="preserve">+580 MW-IT</t>
    </r>
    <r>
      <rPr>
        <sz val="10"/>
        <rFont val="Noto Sans CJK SC"/>
        <family val="2"/>
      </rPr>
      <t xml:space="preserve">／年；保守上限 </t>
    </r>
    <r>
      <rPr>
        <sz val="10"/>
        <rFont val="Arial"/>
        <family val="0"/>
        <charset val="1"/>
      </rPr>
      <t xml:space="preserve">2,917</t>
    </r>
    <r>
      <rPr>
        <sz val="10"/>
        <rFont val="Noto Sans CJK SC"/>
        <family val="2"/>
      </rPr>
      <t xml:space="preserve">、基準上限 </t>
    </r>
    <r>
      <rPr>
        <sz val="10"/>
        <rFont val="Arial"/>
        <family val="0"/>
        <charset val="1"/>
      </rPr>
      <t xml:space="preserve">4,167</t>
    </r>
    <r>
      <rPr>
        <sz val="10"/>
        <rFont val="Noto Sans CJK SC"/>
        <family val="2"/>
      </rPr>
      <t xml:space="preserve">、積極每年 </t>
    </r>
    <r>
      <rPr>
        <sz val="10"/>
        <rFont val="Arial"/>
        <family val="0"/>
        <charset val="1"/>
      </rPr>
      <t xml:space="preserve">+833</t>
    </r>
    <r>
      <rPr>
        <sz val="10"/>
        <rFont val="Noto Sans CJK SC"/>
        <family val="2"/>
      </rPr>
      <t xml:space="preserve">）；在役比例 </t>
    </r>
    <r>
      <rPr>
        <sz val="10"/>
        <rFont val="Arial"/>
        <family val="0"/>
        <charset val="1"/>
      </rPr>
      <t xml:space="preserve">75%→90%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49.7%→47%</t>
    </r>
    <r>
      <rPr>
        <sz val="10"/>
        <rFont val="Noto Sans CJK SC"/>
        <family val="2"/>
      </rPr>
      <t xml:space="preserve">（可觀察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區間）；違約率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；新債利率 </t>
    </r>
    <r>
      <rPr>
        <sz val="10"/>
        <rFont val="Arial"/>
        <family val="0"/>
        <charset val="1"/>
      </rPr>
      <t xml:space="preserve">6.5%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0.5x</t>
    </r>
    <r>
      <rPr>
        <sz val="10"/>
        <rFont val="Noto Sans CJK SC"/>
        <family val="2"/>
      </rPr>
      <t xml:space="preserve">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</si>
  <si>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</si>
  <si>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資產擔保融資（額度＋新債，總債務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</si>
  <si>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</si>
  <si>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20261021_Tokenomics_v18.0.xlsx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868e2cc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2026-10-21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IFC_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</si>
  <si>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收入錨定（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）、建置成本（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Noto Sans CJK SC"/>
        <family val="2"/>
      </rPr>
      <t xml:space="preserve">）與上限檢查（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IFW_RevGWFleet_* </t>
    </r>
    <r>
      <rPr>
        <sz val="9"/>
        <color rgb="FF595959"/>
        <rFont val="Noto Sans CJK SC"/>
        <family val="2"/>
      </rPr>
      <t xml:space="preserve">四層）引用本分頁的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</si>
  <si>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</si>
  <si>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</si>
  <si>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</si>
  <si>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</si>
  <si>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</si>
  <si>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</si>
  <si>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</si>
  <si>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</si>
  <si>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</si>
  <si>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</si>
  <si>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</si>
  <si>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</si>
  <si>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</si>
  <si>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v18.0 · 868e2cc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</si>
  <si>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</si>
  <si>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</si>
  <si>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</si>
  <si>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</si>
  <si>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</si>
  <si>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</si>
  <si>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</si>
  <si>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</si>
  <si>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</si>
  <si>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</si>
  <si>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</si>
  <si>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</si>
  <si>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</si>
  <si>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</si>
  <si>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</si>
  <si>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</si>
  <si>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</si>
  <si>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</si>
  <si>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</si>
  <si>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</si>
  <si>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</si>
  <si>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</si>
  <si>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</si>
  <si>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</si>
  <si>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</si>
  <si>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</si>
  <si>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</si>
  <si>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</si>
  <si>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</si>
  <si>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</si>
  <si>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</si>
  <si>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</si>
  <si>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</si>
  <si>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</si>
  <si>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</si>
  <si>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</si>
  <si>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</si>
  <si>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</si>
  <si>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</si>
  <si>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</si>
  <si>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</si>
  <si>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</si>
  <si>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</si>
  <si>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</si>
  <si>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</si>
  <si>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</si>
  <si>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</si>
  <si>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</si>
  <si>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</si>
  <si>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</si>
  <si>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</si>
  <si>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</si>
  <si>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</si>
  <si>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</si>
  <si>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</si>
  <si>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</si>
  <si>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</si>
  <si>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</si>
  <si>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</si>
  <si>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</si>
  <si>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</si>
  <si>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</si>
  <si>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</si>
  <si>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</si>
  <si>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</si>
  <si>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</si>
  <si>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</si>
  <si>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</si>
  <si>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</si>
  <si>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</si>
  <si>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</si>
  <si>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</si>
  <si>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</si>
  <si>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</si>
  <si>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</si>
  <si>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</si>
  <si>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</si>
  <si>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</si>
  <si>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</si>
  <si>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</si>
  <si>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</si>
  <si>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</si>
  <si>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</si>
  <si>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</si>
  <si>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</si>
  <si>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</si>
  <si>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</si>
  <si>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</si>
  <si>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</si>
  <si>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</si>
  <si>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</si>
  <si>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</si>
  <si>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</si>
  <si>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</si>
  <si>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</si>
  <si>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</si>
  <si>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</si>
  <si>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</si>
  <si>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</si>
  <si>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</si>
  <si>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</si>
  <si>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</si>
  <si>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</si>
  <si>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</si>
  <si>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</si>
  <si>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</si>
  <si>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</si>
  <si>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</si>
  <si>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</si>
  <si>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</si>
  <si>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</si>
  <si>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</si>
  <si>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</si>
  <si>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</si>
  <si>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</si>
  <si>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</si>
  <si>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</si>
  <si>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</si>
  <si>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</si>
  <si>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</si>
  <si>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</si>
  <si>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</si>
  <si>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</si>
  <si>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</si>
  <si>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</si>
  <si>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</si>
  <si>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</si>
  <si>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</si>
  <si>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</si>
  <si>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</si>
  <si>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</si>
  <si>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</si>
  <si>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</si>
  <si>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</si>
  <si>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</si>
  <si>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</si>
  <si>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</si>
  <si>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</si>
  <si>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</si>
  <si>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</si>
  <si>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</si>
  <si>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</si>
  <si>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</si>
  <si>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</si>
  <si>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</si>
  <si>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</si>
  <si>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</si>
  <si>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</si>
  <si>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</si>
  <si>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</si>
  <si>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</si>
  <si>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</si>
  <si>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</si>
  <si>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</si>
  <si>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</si>
  <si>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</si>
  <si>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</si>
  <si>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</si>
  <si>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</si>
  <si>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</si>
  <si>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</si>
  <si>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</si>
  <si>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</si>
  <si>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</si>
  <si>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</si>
  <si>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</si>
  <si>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</si>
  <si>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</si>
  <si>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</si>
  <si>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</si>
  <si>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</si>
  <si>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</si>
  <si>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</si>
  <si>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</si>
  <si>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</si>
  <si>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</si>
  <si>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</si>
  <si>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</si>
  <si>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</si>
  <si>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</si>
  <si>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</si>
  <si>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</si>
  <si>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</si>
  <si>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</si>
  <si>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</si>
  <si>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</si>
  <si>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</si>
  <si>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</si>
  <si>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</si>
  <si>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</si>
  <si>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</si>
  <si>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</si>
  <si>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</si>
  <si>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</si>
  <si>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</si>
  <si>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</si>
  <si>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</si>
  <si>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</si>
  <si>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</si>
  <si>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</si>
  <si>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</si>
  <si>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</si>
  <si>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</si>
  <si>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</si>
  <si>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</si>
  <si>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</si>
  <si>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</si>
  <si>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</si>
  <si>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</si>
  <si>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</si>
  <si>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</si>
  <si>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</si>
  <si>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</si>
  <si>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</si>
  <si>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</si>
  <si>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</si>
  <si>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</si>
  <si>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</si>
  <si>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</si>
  <si>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</si>
  <si>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</si>
  <si>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</si>
  <si>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</si>
  <si>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</si>
  <si>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</si>
  <si>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</si>
  <si>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</si>
  <si>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</si>
  <si>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</si>
  <si>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</si>
  <si>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</si>
  <si>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</si>
  <si>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</si>
  <si>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</si>
  <si>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</si>
  <si>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</si>
  <si>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</si>
  <si>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</si>
  <si>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</si>
  <si>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</si>
  <si>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</si>
  <si>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</si>
  <si>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</si>
  <si>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</si>
  <si>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</si>
  <si>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</si>
  <si>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</si>
  <si>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</si>
  <si>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</si>
  <si>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</si>
  <si>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</si>
  <si>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</si>
  <si>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</si>
  <si>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</si>
  <si>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</si>
  <si>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</si>
  <si>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</si>
  <si>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</si>
  <si>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</si>
  <si>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</si>
  <si>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</si>
  <si>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</si>
  <si>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</si>
  <si>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</si>
  <si>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</si>
  <si>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</si>
  <si>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</si>
  <si>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</si>
  <si>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</si>
  <si>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</si>
  <si>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</si>
  <si>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</si>
  <si>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</si>
  <si>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</si>
  <si>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</si>
  <si>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</si>
  <si>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</si>
  <si>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</si>
  <si>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</si>
  <si>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</si>
  <si>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</si>
  <si>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</si>
  <si>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</si>
  <si>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</si>
  <si>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</si>
  <si>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</si>
  <si>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</si>
  <si>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</si>
  <si>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</si>
  <si>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</si>
  <si>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</si>
  <si>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</si>
  <si>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</si>
  <si>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</si>
  <si>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</si>
  <si>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</si>
  <si>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</si>
  <si>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</si>
  <si>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</si>
  <si>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</si>
  <si>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</si>
  <si>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</si>
  <si>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</si>
  <si>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</si>
  <si>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</si>
  <si>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</si>
  <si>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</si>
  <si>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</si>
  <si>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</si>
  <si>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</si>
  <si>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</si>
  <si>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</si>
  <si>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</si>
  <si>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</si>
  <si>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</si>
  <si>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</si>
  <si>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</si>
  <si>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</si>
  <si>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</si>
  <si>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</si>
  <si>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</si>
  <si>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</si>
  <si>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</si>
  <si>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</si>
  <si>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TK_HoldEconMW_Hopper</t>
  </si>
  <si>
    <t xml:space="preserve">L1_HoldEconMW_Hopper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</si>
  <si>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</si>
  <si>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$M/MW/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</si>
  <si>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L1!D54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</si>
  <si>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TK_HoldEconMW_GB200</t>
  </si>
  <si>
    <t xml:space="preserve">L1_HoldEconMW_GB200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</si>
  <si>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</si>
  <si>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</si>
  <si>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TK_HoldEconMW_GB300</t>
  </si>
  <si>
    <t xml:space="preserve">L1_HoldEconMW_GB300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</si>
  <si>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</si>
  <si>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</si>
  <si>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TK_HoldEconMW_VR200</t>
  </si>
  <si>
    <t xml:space="preserve">L1_HoldEconMW_VR200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</si>
  <si>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</si>
  <si>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</si>
  <si>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TK_TokMW_Gen_ratio_VR200</t>
  </si>
  <si>
    <t xml:space="preserve">L1_TokMW_Gen_ratio_VR200</t>
  </si>
  <si>
    <r>
      <rPr>
        <sz val="10"/>
        <rFont val="Noto Sans CJK SC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Noto Sans CJK SC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Noto Sans CJK SC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</si>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</sst>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\+0%;\-0%;0%"/>
    <numFmt numFmtId="180" formatCode="0.000%"/>
    <numFmt numFmtId="181" formatCode="0.00\x"/>
    <numFmt numFmtId="182" formatCode="0.0"/>
    <numFmt numFmtId="183" formatCode="0%"/>
    <numFmt numFmtId="184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tr">
        <f aca="false">"模型端＝目前情境：" &amp; CHOOSE(輸入與假設!$C$5,"保守 已簽約 3.5 GW","基準 合約 5 GW","積極 每年 &gt;1 GW") &amp; "（預設＝基準）；共識＝data/consensus_nbis_20261007.json（2026-10-07）"</f>
        <v>模型端＝目前情境：基準 合約 5 GW（預設＝基準）；共識＝data/consensus_nbis_20261007.json（2026-10-07）</v>
      </c>
    </row>
    <row r="4" customFormat="false" ht="15" hidden="false" customHeight="false" outlineLevel="0" collapsed="false">
      <c r="A4" s="6" t="s">
        <v>35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3" t="s">
        <v>36</v>
      </c>
      <c r="C5" s="8" t="n">
        <f aca="false">評價_DCF與目標價!C76</f>
        <v>-1</v>
      </c>
    </row>
    <row r="6" customFormat="false" ht="15" hidden="false" customHeight="false" outlineLevel="1" collapsed="false">
      <c r="A6" s="3" t="s">
        <v>37</v>
      </c>
      <c r="C6" s="9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0" t="s">
        <v>39</v>
      </c>
      <c r="C7" s="11" t="n">
        <f aca="false">評價_DCF與目標價!C49</f>
        <v>22.0328037211799</v>
      </c>
    </row>
    <row r="8" customFormat="false" ht="15" hidden="false" customHeight="false" outlineLevel="1" collapsed="false">
      <c r="A8" s="3" t="s">
        <v>40</v>
      </c>
      <c r="B8" s="10" t="s">
        <v>39</v>
      </c>
      <c r="C8" s="11" t="n">
        <f aca="false">輸入與假設!$C$125</f>
        <v>249.87</v>
      </c>
    </row>
    <row r="9" customFormat="false" ht="15" hidden="false" customHeight="false" outlineLevel="1" collapsed="false">
      <c r="A9" s="3" t="s">
        <v>41</v>
      </c>
      <c r="B9" s="10" t="s">
        <v>42</v>
      </c>
      <c r="C9" s="12" t="n">
        <f aca="false">C7/C8-1</f>
        <v>-0.911822933040462</v>
      </c>
    </row>
    <row r="10" customFormat="false" ht="15" hidden="false" customHeight="false" outlineLevel="1" collapsed="false">
      <c r="A10" s="3" t="s">
        <v>43</v>
      </c>
      <c r="B10" s="10" t="s">
        <v>39</v>
      </c>
      <c r="C10" s="11" t="n">
        <f aca="false">評價_DCF與目標價!C81</f>
        <v>20.3987710007867</v>
      </c>
      <c r="D10" s="11" t="n">
        <f aca="false">評價_DCF與目標價!D81</f>
        <v>29.6930388399238</v>
      </c>
    </row>
    <row r="11" customFormat="false" ht="15" hidden="false" customHeight="false" outlineLevel="1" collapsed="false">
      <c r="A11" s="3" t="s">
        <v>44</v>
      </c>
      <c r="B11" s="10" t="s">
        <v>39</v>
      </c>
      <c r="C11" s="11" t="n">
        <f aca="false">評價_DCF與目標價!C83</f>
        <v>13.4036189734329</v>
      </c>
      <c r="D11" s="11" t="n">
        <f aca="false">評價_DCF與目標價!D83</f>
        <v>22.0328037211799</v>
      </c>
    </row>
    <row r="12" customFormat="false" ht="15" hidden="false" customHeight="false" outlineLevel="1" collapsed="false">
      <c r="A12" s="3" t="s">
        <v>45</v>
      </c>
      <c r="B12" s="10" t="s">
        <v>39</v>
      </c>
      <c r="C12" s="11" t="n">
        <f aca="false">評價_DCF與目標價!$C$77</f>
        <v>212.3895</v>
      </c>
    </row>
    <row r="13" customFormat="false" ht="15" hidden="false" customHeight="false" outlineLevel="1" collapsed="false">
      <c r="A13" s="3" t="s">
        <v>46</v>
      </c>
      <c r="B13" s="10" t="s">
        <v>39</v>
      </c>
      <c r="C13" s="11" t="n">
        <f aca="false">C7-C12</f>
        <v>-190.35669627882</v>
      </c>
    </row>
    <row r="14" customFormat="false" ht="15" hidden="false" customHeight="false" outlineLevel="1" collapsed="false">
      <c r="A14" s="2" t="s">
        <v>47</v>
      </c>
      <c r="C14" s="9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$22.0，較現價 $249.87 低 91%；情境區間 $20.4–$29.7，方法區間 $13.4–$22.0；點位低於賣出門檻 $212.4 達 $190.4。</v>
      </c>
    </row>
    <row r="15" customFormat="false" ht="15" hidden="false" customHeight="false" outlineLevel="1" collapsed="false">
      <c r="A15" s="3" t="s">
        <v>48</v>
      </c>
      <c r="C15" s="9" t="str">
        <f aca="false">評價_DCF與目標價!C89</f>
        <v>情境區間上緣 $29.7 低於現價 $249.87：賣出在三個擴張情境下都成立。</v>
      </c>
    </row>
    <row r="17" customFormat="false" ht="15" hidden="false" customHeight="false" outlineLevel="0" collapsed="false">
      <c r="A17" s="6" t="s">
        <v>49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1" collapsed="false">
      <c r="A18" s="13" t="s">
        <v>50</v>
      </c>
      <c r="B18" s="13" t="s">
        <v>51</v>
      </c>
      <c r="C18" s="14" t="s">
        <v>52</v>
      </c>
      <c r="D18" s="14" t="s">
        <v>53</v>
      </c>
      <c r="E18" s="14" t="s">
        <v>54</v>
      </c>
    </row>
    <row r="19" customFormat="false" ht="15" hidden="false" customHeight="false" outlineLevel="1" collapsed="false">
      <c r="A19" s="3" t="s">
        <v>55</v>
      </c>
      <c r="B19" s="10" t="s">
        <v>56</v>
      </c>
      <c r="C19" s="9" t="n">
        <f aca="false">損益!C26</f>
        <v>2.33949943134272</v>
      </c>
      <c r="D19" s="9" t="n">
        <f aca="false">損益!D26</f>
        <v>5.97516519818903</v>
      </c>
      <c r="E19" s="9" t="n">
        <f aca="false">損益!E26</f>
        <v>13.1397784869949</v>
      </c>
    </row>
    <row r="20" customFormat="false" ht="15" hidden="false" customHeight="false" outlineLevel="1" collapsed="false">
      <c r="A20" s="3" t="s">
        <v>57</v>
      </c>
      <c r="B20" s="10" t="s">
        <v>56</v>
      </c>
      <c r="C20" s="9" t="n">
        <f aca="false">輸入與假設!$C$229</f>
        <v>3.379</v>
      </c>
      <c r="D20" s="9" t="n">
        <f aca="false">輸入與假設!$D$229</f>
        <v>11.418</v>
      </c>
      <c r="E20" s="9" t="n">
        <f aca="false">輸入與假設!$E$229</f>
        <v>21.458</v>
      </c>
    </row>
    <row r="21" customFormat="false" ht="15" hidden="false" customHeight="false" outlineLevel="1" collapsed="false">
      <c r="A21" s="3" t="s">
        <v>58</v>
      </c>
      <c r="B21" s="10" t="s">
        <v>42</v>
      </c>
      <c r="C21" s="12" t="n">
        <f aca="false">C19/C20-1</f>
        <v>-0.307635563378894</v>
      </c>
      <c r="D21" s="12" t="n">
        <f aca="false">D19/D20-1</f>
        <v>-0.476688982467242</v>
      </c>
      <c r="E21" s="12" t="n">
        <f aca="false">E19/E20-1</f>
        <v>-0.387651296160177</v>
      </c>
    </row>
    <row r="22" customFormat="false" ht="15" hidden="false" customHeight="false" outlineLevel="1" collapsed="false">
      <c r="A22" s="3" t="s">
        <v>59</v>
      </c>
      <c r="B22" s="10" t="s">
        <v>56</v>
      </c>
      <c r="C22" s="9" t="n">
        <f aca="false">輸入與假設!$C$198+損益!C19</f>
        <v>0.94672511737733</v>
      </c>
      <c r="D22" s="9" t="n">
        <f aca="false">損益!D31</f>
        <v>2.78832473841217</v>
      </c>
      <c r="E22" s="9" t="n">
        <f aca="false">損益!E31</f>
        <v>6.25908289846204</v>
      </c>
    </row>
    <row r="23" customFormat="false" ht="15" hidden="false" customHeight="false" outlineLevel="1" collapsed="false">
      <c r="A23" s="3" t="s">
        <v>60</v>
      </c>
      <c r="B23" s="10" t="s">
        <v>56</v>
      </c>
      <c r="C23" s="9" t="n">
        <f aca="false">輸入與假設!$C$230</f>
        <v>1.338</v>
      </c>
      <c r="D23" s="9" t="n">
        <f aca="false">輸入與假設!$D$230</f>
        <v>6.194</v>
      </c>
      <c r="E23" s="9" t="n">
        <f aca="false">輸入與假設!$E$230</f>
        <v>13.404</v>
      </c>
    </row>
    <row r="24" customFormat="false" ht="15" hidden="false" customHeight="false" outlineLevel="1" collapsed="false">
      <c r="A24" s="3" t="s">
        <v>61</v>
      </c>
      <c r="B24" s="10" t="s">
        <v>42</v>
      </c>
      <c r="C24" s="12" t="n">
        <f aca="false">C22/C23-1</f>
        <v>-0.292432647700052</v>
      </c>
      <c r="D24" s="12" t="n">
        <f aca="false">D22/D23-1</f>
        <v>-0.549834559507237</v>
      </c>
      <c r="E24" s="12" t="n">
        <f aca="false">E22/E23-1</f>
        <v>-0.53304365126365</v>
      </c>
      <c r="I24" s="10" t="s">
        <v>62</v>
      </c>
    </row>
    <row r="25" customFormat="false" ht="15" hidden="false" customHeight="false" outlineLevel="1" collapsed="false">
      <c r="A25" s="3" t="s">
        <v>63</v>
      </c>
      <c r="B25" s="10" t="s">
        <v>56</v>
      </c>
      <c r="C25" s="9" t="n">
        <f aca="false">C22-C23</f>
        <v>-0.39127488262267</v>
      </c>
      <c r="D25" s="9" t="n">
        <f aca="false">D22-D23</f>
        <v>-3.40567526158783</v>
      </c>
      <c r="E25" s="9" t="n">
        <f aca="false">E22-E23</f>
        <v>-7.14491710153796</v>
      </c>
      <c r="I25" s="5" t="s">
        <v>64</v>
      </c>
    </row>
    <row r="26" customFormat="false" ht="15" hidden="false" customHeight="false" outlineLevel="1" collapsed="false">
      <c r="A26" s="3" t="s">
        <v>65</v>
      </c>
      <c r="B26" s="10" t="s">
        <v>42</v>
      </c>
      <c r="C26" s="12" t="n">
        <f aca="false">C22/C19</f>
        <v>0.404669949773817</v>
      </c>
      <c r="D26" s="12" t="n">
        <f aca="false">D22/D19</f>
        <v>0.466652326074142</v>
      </c>
      <c r="E26" s="12" t="n">
        <f aca="false">E22/E19</f>
        <v>0.476346150329472</v>
      </c>
    </row>
    <row r="27" customFormat="false" ht="15" hidden="false" customHeight="false" outlineLevel="1" collapsed="false">
      <c r="A27" s="3" t="s">
        <v>66</v>
      </c>
      <c r="B27" s="10" t="s">
        <v>42</v>
      </c>
      <c r="C27" s="12" t="n">
        <f aca="false">輸入與假設!$C$231</f>
        <v>0.396</v>
      </c>
      <c r="D27" s="12" t="n">
        <f aca="false">輸入與假設!$D$231</f>
        <v>0.542</v>
      </c>
      <c r="E27" s="12" t="n">
        <f aca="false">輸入與假設!$E$231</f>
        <v>0.625</v>
      </c>
    </row>
    <row r="28" customFormat="false" ht="15" hidden="false" customHeight="false" outlineLevel="1" collapsed="false">
      <c r="A28" s="3" t="s">
        <v>67</v>
      </c>
      <c r="B28" s="10" t="s">
        <v>68</v>
      </c>
      <c r="C28" s="12" t="n">
        <f aca="false">C26-C27</f>
        <v>0.00866994977381685</v>
      </c>
      <c r="D28" s="12" t="n">
        <f aca="false">D26-D27</f>
        <v>-0.0753476739258582</v>
      </c>
      <c r="E28" s="12" t="n">
        <f aca="false">E26-E27</f>
        <v>-0.148653849670528</v>
      </c>
      <c r="I28" s="10" t="s">
        <v>69</v>
      </c>
    </row>
    <row r="29" customFormat="false" ht="15" hidden="false" customHeight="false" outlineLevel="1" collapsed="false">
      <c r="A29" s="3" t="s">
        <v>70</v>
      </c>
      <c r="B29" s="10" t="s">
        <v>56</v>
      </c>
      <c r="C29" s="9" t="n">
        <f aca="false">輸入與假設!$C$182+輸入與假設!C$91</f>
        <v>26.04618992</v>
      </c>
      <c r="D29" s="9" t="n">
        <f aca="false">輸入與假設!D$91</f>
        <v>27.59743704</v>
      </c>
      <c r="E29" s="9" t="n">
        <f aca="false">輸入與假設!E$91</f>
        <v>29.14868416</v>
      </c>
    </row>
    <row r="30" customFormat="false" ht="15" hidden="false" customHeight="false" outlineLevel="1" collapsed="false">
      <c r="A30" s="3" t="s">
        <v>71</v>
      </c>
      <c r="B30" s="10" t="s">
        <v>56</v>
      </c>
      <c r="C30" s="9" t="n">
        <f aca="false">輸入與假設!$C$235</f>
        <v>22.489</v>
      </c>
      <c r="D30" s="9" t="n">
        <f aca="false">輸入與假設!$D$235</f>
        <v>27.243</v>
      </c>
      <c r="E30" s="9" t="n">
        <f aca="false">輸入與假設!$E$235</f>
        <v>38.39</v>
      </c>
    </row>
    <row r="31" customFormat="false" ht="15" hidden="false" customHeight="false" outlineLevel="1" collapsed="false">
      <c r="A31" s="3" t="s">
        <v>72</v>
      </c>
      <c r="B31" s="10" t="s">
        <v>42</v>
      </c>
      <c r="C31" s="12" t="n">
        <f aca="false">C29/C30-1</f>
        <v>0.158174659611365</v>
      </c>
      <c r="D31" s="12" t="n">
        <f aca="false">D29/D30-1</f>
        <v>0.0130102059244577</v>
      </c>
      <c r="E31" s="12" t="n">
        <f aca="false">E29/E30-1</f>
        <v>-0.240721954675697</v>
      </c>
      <c r="I31" s="5" t="s">
        <v>73</v>
      </c>
    </row>
    <row r="32" customFormat="false" ht="15" hidden="false" customHeight="false" outlineLevel="1" collapsed="false">
      <c r="A32" s="3" t="s">
        <v>74</v>
      </c>
      <c r="B32" s="10" t="s">
        <v>56</v>
      </c>
      <c r="C32" s="9" t="n">
        <f aca="false">資產負債_新債與新股!C24</f>
        <v>4.49013041288278</v>
      </c>
      <c r="D32" s="9" t="n">
        <f aca="false">資產負債_新債與新股!D24</f>
        <v>16.684069</v>
      </c>
      <c r="E32" s="9" t="n">
        <f aca="false">資產負債_新債與新股!E24</f>
        <v>21.684069</v>
      </c>
    </row>
    <row r="33" customFormat="false" ht="15" hidden="false" customHeight="false" outlineLevel="1" collapsed="false">
      <c r="A33" s="3" t="s">
        <v>75</v>
      </c>
      <c r="B33" s="10" t="s">
        <v>56</v>
      </c>
      <c r="C33" s="9" t="n">
        <f aca="false">輸入與假設!$C$237</f>
        <v>15.446</v>
      </c>
      <c r="D33" s="9" t="n">
        <f aca="false">輸入與假設!$D$237</f>
        <v>31.876</v>
      </c>
      <c r="E33" s="9" t="n">
        <f aca="false">輸入與假設!$E$237</f>
        <v>38.685</v>
      </c>
    </row>
    <row r="34" customFormat="false" ht="15" hidden="false" customHeight="false" outlineLevel="1" collapsed="false">
      <c r="A34" s="3" t="s">
        <v>76</v>
      </c>
      <c r="B34" s="10" t="s">
        <v>42</v>
      </c>
      <c r="C34" s="12" t="n">
        <f aca="false">C32/C33-1</f>
        <v>-0.709301410534586</v>
      </c>
      <c r="D34" s="12" t="n">
        <f aca="false">D32/D33-1</f>
        <v>-0.476594648011043</v>
      </c>
      <c r="E34" s="12" t="n">
        <f aca="false">E32/E33-1</f>
        <v>-0.439470880186119</v>
      </c>
      <c r="I34" s="5" t="s">
        <v>77</v>
      </c>
    </row>
    <row r="35" customFormat="false" ht="15" hidden="false" customHeight="false" outlineLevel="1" collapsed="false">
      <c r="A35" s="3" t="s">
        <v>78</v>
      </c>
      <c r="B35" s="10" t="s">
        <v>56</v>
      </c>
      <c r="C35" s="9" t="n">
        <f aca="false">C32-C33</f>
        <v>-10.9558695871172</v>
      </c>
      <c r="D35" s="9" t="n">
        <f aca="false">D32-D33</f>
        <v>-15.191931</v>
      </c>
      <c r="E35" s="9" t="n">
        <f aca="false">E32-E33</f>
        <v>-17.000931</v>
      </c>
      <c r="I35" s="5" t="s">
        <v>64</v>
      </c>
    </row>
    <row r="36" customFormat="false" ht="15" hidden="false" customHeight="false" outlineLevel="1" collapsed="false">
      <c r="A36" s="3" t="s">
        <v>79</v>
      </c>
      <c r="C36" s="9" t="str">
        <f aca="false">MID(IF(ABS(C21)&gt;輸入與假設!$C$274,"、營收 "&amp;IF(C21&lt;0,"−","+")&amp;TEXT(ABS(C21)*100,"0.0")&amp;"%","")&amp;IF(ABS(C24)&gt;輸入與假設!$C$274,"、EBITDA "&amp;IF(C25&lt;0,"−","+")&amp;"$"&amp;TEXT(ABS(C25),"#,##0.00")&amp;"bn"&amp;"／"&amp;IF(C28&lt;0,"−","+")&amp;TEXT(ABS(C28)*100,"0.0")&amp;"pt","")&amp;IF(ABS(C31)&gt;輸入與假設!$C$274,"、CapEx "&amp;IF(C31&lt;0,"−","+")&amp;TEXT(ABS(C31)*100,"0.0")&amp;"%",""),2,999)</f>
        <v>營收 −30.8%、EBITDA −$0.39bn／+0.9pt、CapEx +15.8%</v>
      </c>
      <c r="D36" s="9" t="str">
        <f aca="false">MID(IF(ABS(D21)&gt;輸入與假設!$C$274,"、營收 "&amp;IF(D21&lt;0,"−","+")&amp;TEXT(ABS(D21)*100,"0.0")&amp;"%","")&amp;IF(ABS(D24)&gt;輸入與假設!$C$274,"、EBITDA "&amp;IF(D25&lt;0,"−","+")&amp;"$"&amp;TEXT(ABS(D25),"#,##0.00")&amp;"bn"&amp;"／"&amp;IF(D28&lt;0,"−","+")&amp;TEXT(ABS(D28)*100,"0.0")&amp;"pt","")&amp;IF(ABS(D31)&gt;輸入與假設!$C$274,"、CapEx "&amp;IF(D31&lt;0,"−","+")&amp;TEXT(ABS(D31)*100,"0.0")&amp;"%",""),2,999)</f>
        <v>營收 −47.7%、EBITDA −$3.41bn／−7.5pt</v>
      </c>
      <c r="E36" s="9" t="str">
        <f aca="false">MID(IF(ABS(E21)&gt;輸入與假設!$C$274,"、營收 "&amp;IF(E21&lt;0,"−","+")&amp;TEXT(ABS(E21)*100,"0.0")&amp;"%","")&amp;IF(ABS(E24)&gt;輸入與假設!$C$274,"、EBITDA "&amp;IF(E25&lt;0,"−","+")&amp;"$"&amp;TEXT(ABS(E25),"#,##0.00")&amp;"bn"&amp;"／"&amp;IF(E28&lt;0,"−","+")&amp;TEXT(ABS(E28)*100,"0.0")&amp;"pt","")&amp;IF(ABS(E31)&gt;輸入與假設!$C$274,"、CapEx "&amp;IF(E31&lt;0,"−","+")&amp;TEXT(ABS(E31)*100,"0.0")&amp;"%",""),2,999)</f>
        <v>營收 −38.8%、EBITDA −$7.14bn／−14.9pt、CapEx −24.1%</v>
      </c>
      <c r="I36" s="5" t="s">
        <v>80</v>
      </c>
    </row>
    <row r="37" customFormat="false" ht="15" hidden="false" customHeight="false" outlineLevel="1" collapsed="false">
      <c r="A37" s="3" t="s">
        <v>81</v>
      </c>
      <c r="C37" s="8" t="n">
        <f aca="false">IF(C36&lt;&gt;"",1,IF(D36&lt;&gt;"",2,IF(E36&lt;&gt;"",3,0)))</f>
        <v>1</v>
      </c>
    </row>
    <row r="38" customFormat="false" ht="15" hidden="false" customHeight="false" outlineLevel="1" collapsed="false">
      <c r="A38" s="2" t="s">
        <v>82</v>
      </c>
      <c r="C38" s="9" t="str">
        <f aca="false">CHOOSE(C37+1,"FY26–FY28 營收、EBITDA、CapEx 與共識差距皆在 "&amp;IF(ROUND(ABS(輸入與假設!$C$274)*100,4)=INT(ROUND(ABS(輸入與假設!$C$274)*100,4)),TEXT(ROUND(ABS(輸入與假設!$C$274)*100,4),"0"),TEXT(ROUND(ABS(輸入與假設!$C$274)*100,4),"0.0"))&amp;"%"&amp;" 以內。","分歧始於 FY26（"&amp;C36&amp;"）"&amp;"；FY27 "&amp;IF(D36="","回到 "&amp;IF(ROUND(ABS(輸入與假設!$C$274)*100,4)=INT(ROUND(ABS(輸入與假設!$C$274)*100,4)),TEXT(ROUND(ABS(輸入與假設!$C$274)*100,4),"0"),TEXT(ROUND(ABS(輸入與假設!$C$274)*100,4),"0.0"))&amp;"%"&amp;" 以內",D36)&amp;"；FY28 "&amp;IF(E36="","回到 "&amp;IF(ROUND(ABS(輸入與假設!$C$274)*100,4)=INT(ROUND(ABS(輸入與假設!$C$274)*100,4)),TEXT(ROUND(ABS(輸入與假設!$C$274)*100,4),"0"),TEXT(ROUND(ABS(輸入與假設!$C$274)*100,4),"0.0"))&amp;"%"&amp;" 以內",E36)&amp;"。","FY26 營收、EBITDA、CapEx 與共識差距在 "&amp;IF(ROUND(ABS(輸入與假設!$C$274)*100,4)=INT(ROUND(ABS(輸入與假設!$C$274)*100,4)),TEXT(ROUND(ABS(輸入與假設!$C$274)*100,4),"0"),TEXT(ROUND(ABS(輸入與假設!$C$274)*100,4),"0.0"))&amp;"%"&amp;" 以內；分歧始於 FY27（"&amp;D36&amp;"）"&amp;"；FY28 "&amp;IF(E36="","回到 "&amp;IF(ROUND(ABS(輸入與假設!$C$274)*100,4)=INT(ROUND(ABS(輸入與假設!$C$274)*100,4)),TEXT(ROUND(ABS(輸入與假設!$C$274)*100,4),"0"),TEXT(ROUND(ABS(輸入與假設!$C$274)*100,4),"0.0"))&amp;"%"&amp;" 以內",E36)&amp;"。","FY26–FY27 營收、EBITDA、CapEx 與共識差距在 "&amp;IF(ROUND(ABS(輸入與假設!$C$274)*100,4)=INT(ROUND(ABS(輸入與假設!$C$274)*100,4)),TEXT(ROUND(ABS(輸入與假設!$C$274)*100,4),"0"),TEXT(ROUND(ABS(輸入與假設!$C$274)*100,4),"0.0"))&amp;"%"&amp;" 以內；分歧始於 FY28（"&amp;E36&amp;"）。")</f>
        <v>分歧始於 FY26（營收 −30.8%、EBITDA −$0.39bn／+0.9pt、CapEx +15.8%）；FY27 營收 −47.7%、EBITDA −$3.41bn／−7.5pt；FY28 營收 −38.8%、EBITDA −$7.14bn／−14.9pt、CapEx −24.1%。</v>
      </c>
    </row>
    <row r="39" customFormat="false" ht="15" hidden="false" customHeight="false" outlineLevel="1" collapsed="false">
      <c r="A39" s="3" t="s">
        <v>83</v>
      </c>
      <c r="C39" s="9" t="str">
        <f aca="false">IF(ABS(C21)&gt;輸入與假設!$C$274,"觀點","")</f>
        <v>觀點</v>
      </c>
      <c r="D39" s="9" t="str">
        <f aca="false">IF(ABS(C21)&gt;輸入與假設!$C$274,"營收＝可計費 MW × 每 MW 年收入（Tokenomics 錨 × 定價倍數 k；v0.2a）；首期以最新季實際營收年化校準期初可計費 MW，可計費 MW 依爬坡係數（60%／80%／100%）收斂到已連網 MW（v0.1c）；年底已連網 "&amp;IF((輸入與假設!C$39)&lt;0,"−","")&amp;TEXT(ABS((輸入與假設!C$39)),"#,##0")&amp;" MW（目前情境）；共識未揭露 MW 假設","")</f>
        <v>營收＝可計費 MW × 每 MW 年收入（Tokenomics 錨 × 定價倍數 k；v0.2a）；首期以最新季實際營收年化校準期初可計費 MW，可計費 MW 依爬坡係數（60%／80%／100%）收斂到已連網 MW（v0.1c）；年底已連網 750 MW（目前情境）；共識未揭露 MW 假設</v>
      </c>
      <c r="I39" s="10" t="s">
        <v>84</v>
      </c>
    </row>
    <row r="40" customFormat="false" ht="15" hidden="false" customHeight="false" outlineLevel="1" collapsed="false">
      <c r="A40" s="3" t="s">
        <v>85</v>
      </c>
      <c r="C40" s="9" t="str">
        <f aca="false">IF(ABS(C28)&gt;輸入與假設!$C$275,"觀點","")</f>
        <v/>
      </c>
      <c r="D40" s="9" t="str">
        <f aca="false">IF(ABS(C28)&gt;輸入與假設!$C$275,"營收差距 "&amp;IF((C21)&lt;0,"−","+")&amp;TEXT(ABS((C21))*100,"#,##0.0")&amp;"%"&amp;"；EBITDA 率 "&amp;IF((C26)&lt;0,"−","")&amp;TEXT(ABS((C26))*100,"#,##0.0")&amp;"%"&amp;" 對共識 "&amp;IF((C27)&lt;0,"−","")&amp;TEXT(ABS((C27))*100,"#,##0.0")&amp;"%"&amp;"（模型由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/>
      </c>
    </row>
    <row r="41" customFormat="false" ht="15" hidden="false" customHeight="false" outlineLevel="1" collapsed="false">
      <c r="A41" s="3" t="s">
        <v>86</v>
      </c>
      <c r="C41" s="9" t="str">
        <f aca="false">IF(ABS(C31)&gt;輸入與假設!$C$274,"觀點","")</f>
        <v>觀點</v>
      </c>
      <c r="D41" s="9" t="str">
        <f aca="false">IF(ABS(C31)&gt;輸入與假設!$C$274,"CapEx 依新增 MW 計算：新增 "&amp;IF((輸入與假設!C$84)&lt;0,"−","")&amp;TEXT(ABS((輸入與假設!C$84)),"#,##0")&amp;" MW × 每 MW $"&amp;IF((輸入與假設!C$69)&lt;0,"−","")&amp;TEXT(ABS((輸入與假設!C$69)),"#,##0")&amp;"m（含次年預建）；共識口徑未揭露","")</f>
        <v>CapEx 依新增 MW 計算：新增 580 MW × 每 MW $45m（含次年預建）；共識口徑未揭露</v>
      </c>
    </row>
    <row r="42" customFormat="false" ht="15" hidden="false" customHeight="false" outlineLevel="1" collapsed="false">
      <c r="A42" s="3" t="s">
        <v>87</v>
      </c>
      <c r="C42" s="9" t="str">
        <f aca="false">IF(ABS(C34)&gt;輸入與假設!$C$274,"觀點","")</f>
        <v>觀點</v>
      </c>
      <c r="D42" s="9" t="str">
        <f aca="false">IF(ABS(C34)&gt;輸入與假設!$C$274,"淨負債隨 CapEx、客戶預付與融資需求而定（模型 CapEx 差距 "&amp;IF((C31)&lt;0,"−","+")&amp;TEXT(ABS((C31))*100,"#,##0.0")&amp;"%"&amp;"）；共識淨負債口徑未揭露","")</f>
        <v>淨負債隨 CapEx、客戶預付與融資需求而定（模型 CapEx 差距 +15.8%）；共識淨負債口徑未揭露</v>
      </c>
    </row>
    <row r="43" customFormat="false" ht="15" hidden="false" customHeight="false" outlineLevel="1" collapsed="false">
      <c r="A43" s="3" t="s">
        <v>88</v>
      </c>
      <c r="C43" s="9" t="str">
        <f aca="false">IF(ABS(D21)&gt;輸入與假設!$C$274,"觀點","")</f>
        <v>觀點</v>
      </c>
      <c r="D43" s="9" t="str">
        <f aca="false">IF(ABS(D21)&gt;輸入與假設!$C$274,"營收＝可計費 MW × 每 MW 年收入（Tokenomics 錨 × 定價倍數 k；v0.2a）；首期以最新季實際營收年化校準期初可計費 MW，可計費 MW 依爬坡係數（60%／80%／100%）收斂到已連網 MW（v0.1c）；年底已連網 "&amp;IF((輸入與假設!D$39)&lt;0,"−","")&amp;TEXT(ABS((輸入與假設!D$39)),"#,##0")&amp;" MW（目前情境）；共識未揭露 MW 假設","")</f>
        <v>營收＝可計費 MW × 每 MW 年收入（Tokenomics 錨 × 定價倍數 k；v0.2a）；首期以最新季實際營收年化校準期初可計費 MW，可計費 MW 依爬坡係數（60%／80%／100%）收斂到已連網 MW（v0.1c）；年底已連網 1,330 MW（目前情境）；共識未揭露 MW 假設</v>
      </c>
    </row>
    <row r="44" customFormat="false" ht="15" hidden="false" customHeight="false" outlineLevel="1" collapsed="false">
      <c r="A44" s="3" t="s">
        <v>89</v>
      </c>
      <c r="C44" s="9" t="str">
        <f aca="false">IF(ABS(D28)&gt;輸入與假設!$C$275,"觀點","")</f>
        <v>觀點</v>
      </c>
      <c r="D44" s="9" t="str">
        <f aca="false">IF(ABS(D28)&gt;輸入與假設!$C$275,"營收差距 "&amp;IF((D21)&lt;0,"−","+")&amp;TEXT(ABS((D21))*100,"#,##0.0")&amp;"%"&amp;"；EBITDA 率 "&amp;IF((D26)&lt;0,"−","")&amp;TEXT(ABS((D26))*100,"#,##0.0")&amp;"%"&amp;" 對共識 "&amp;IF((D27)&lt;0,"−","")&amp;TEXT(ABS((D27))*100,"#,##0.0")&amp;"%"&amp;"（模型由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−47.7%；EBITDA 率 46.7% 對共識 54.2%（模型由 50% 走向穩態 47%，取可觀察 neocloud 區間）</v>
      </c>
    </row>
    <row r="45" customFormat="false" ht="15" hidden="false" customHeight="false" outlineLevel="1" collapsed="false">
      <c r="A45" s="3" t="s">
        <v>90</v>
      </c>
      <c r="C45" s="9" t="str">
        <f aca="false">IF(ABS(D31)&gt;輸入與假設!$C$274,"觀點","")</f>
        <v/>
      </c>
      <c r="D45" s="9" t="str">
        <f aca="false">IF(ABS(D31)&gt;輸入與假設!$C$274,"CapEx 依新增 MW 計算：新增 "&amp;IF((輸入與假設!D$84)&lt;0,"−","")&amp;TEXT(ABS((輸入與假設!D$84)),"#,##0")&amp;" MW × 每 MW $"&amp;IF((輸入與假設!D$69)&lt;0,"−","")&amp;TEXT(ABS((輸入與假設!D$69)),"#,##0")&amp;"m（含次年預建）；共識口徑未揭露","")</f>
        <v/>
      </c>
    </row>
    <row r="46" customFormat="false" ht="15" hidden="false" customHeight="false" outlineLevel="1" collapsed="false">
      <c r="A46" s="3" t="s">
        <v>91</v>
      </c>
      <c r="C46" s="9" t="str">
        <f aca="false">IF(ABS(D34)&gt;輸入與假設!$C$274,"觀點","")</f>
        <v>觀點</v>
      </c>
      <c r="D46" s="9" t="str">
        <f aca="false">IF(ABS(D34)&gt;輸入與假設!$C$274,"淨負債隨 CapEx、客戶預付與融資需求而定（模型 CapEx 差距 "&amp;IF((D31)&lt;0,"−","+")&amp;TEXT(ABS((D31))*100,"#,##0.0")&amp;"%"&amp;"）；共識淨負債口徑未揭露","")</f>
        <v>淨負債隨 CapEx、客戶預付與融資需求而定（模型 CapEx 差距 +1.3%）；共識淨負債口徑未揭露</v>
      </c>
    </row>
    <row r="47" customFormat="false" ht="15" hidden="false" customHeight="false" outlineLevel="1" collapsed="false">
      <c r="A47" s="3" t="s">
        <v>92</v>
      </c>
      <c r="C47" s="9" t="str">
        <f aca="false">IF(ABS(E21)&gt;輸入與假設!$C$274,"觀點","")</f>
        <v>觀點</v>
      </c>
      <c r="D47" s="9" t="str">
        <f aca="false">IF(ABS(E21)&gt;輸入與假設!$C$274,"營收＝可計費 MW × 每 MW 年收入（Tokenomics 錨 × 定價倍數 k；v0.2a）；首期以最新季實際營收年化校準期初可計費 MW，可計費 MW 依爬坡係數（60%／80%／100%）收斂到已連網 MW（v0.1c）；年底已連網 "&amp;IF((輸入與假設!E$39)&lt;0,"−","")&amp;TEXT(ABS((輸入與假設!E$39)),"#,##0")&amp;" MW（目前情境）；共識未揭露 MW 假設","")</f>
        <v>營收＝可計費 MW × 每 MW 年收入（Tokenomics 錨 × 定價倍數 k；v0.2a）；首期以最新季實際營收年化校準期初可計費 MW，可計費 MW 依爬坡係數（60%／80%／100%）收斂到已連網 MW（v0.1c）；年底已連網 1,910 MW（目前情境）；共識未揭露 MW 假設</v>
      </c>
    </row>
    <row r="48" customFormat="false" ht="15" hidden="false" customHeight="false" outlineLevel="1" collapsed="false">
      <c r="A48" s="3" t="s">
        <v>93</v>
      </c>
      <c r="C48" s="9" t="str">
        <f aca="false">IF(ABS(E28)&gt;輸入與假設!$C$275,"觀點","")</f>
        <v>觀點</v>
      </c>
      <c r="D48" s="9" t="str">
        <f aca="false">IF(ABS(E28)&gt;輸入與假設!$C$275,"營收差距 "&amp;IF((E21)&lt;0,"−","+")&amp;TEXT(ABS((E21))*100,"#,##0.0")&amp;"%"&amp;"；EBITDA 率 "&amp;IF((E26)&lt;0,"−","")&amp;TEXT(ABS((E26))*100,"#,##0.0")&amp;"%"&amp;" 對共識 "&amp;IF((E27)&lt;0,"−","")&amp;TEXT(ABS((E27))*100,"#,##0.0")&amp;"%"&amp;"（模型由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−38.8%；EBITDA 率 47.6% 對共識 62.5%（模型由 50% 走向穩態 47%，取可觀察 neocloud 區間）</v>
      </c>
    </row>
    <row r="49" customFormat="false" ht="15" hidden="false" customHeight="false" outlineLevel="1" collapsed="false">
      <c r="A49" s="3" t="s">
        <v>94</v>
      </c>
      <c r="C49" s="9" t="str">
        <f aca="false">IF(ABS(E31)&gt;輸入與假設!$C$274,"觀點","")</f>
        <v>觀點</v>
      </c>
      <c r="D49" s="9" t="str">
        <f aca="false">IF(ABS(E31)&gt;輸入與假設!$C$274,"CapEx 依新增 MW 計算：新增 "&amp;IF((輸入與假設!E$84)&lt;0,"−","")&amp;TEXT(ABS((輸入與假設!E$84)),"#,##0")&amp;" MW × 每 MW $"&amp;IF((輸入與假設!E$69)&lt;0,"−","")&amp;TEXT(ABS((輸入與假設!E$69)),"#,##0")&amp;"m（含次年預建）；共識口徑未揭露","")</f>
        <v>CapEx 依新增 MW 計算：新增 580 MW × 每 MW $50m（含次年預建）；共識口徑未揭露</v>
      </c>
    </row>
    <row r="50" customFormat="false" ht="15" hidden="false" customHeight="false" outlineLevel="1" collapsed="false">
      <c r="A50" s="3" t="s">
        <v>95</v>
      </c>
      <c r="C50" s="9" t="str">
        <f aca="false">IF(ABS(E34)&gt;輸入與假設!$C$274,"觀點","")</f>
        <v>觀點</v>
      </c>
      <c r="D50" s="9" t="str">
        <f aca="false">IF(ABS(E34)&gt;輸入與假設!$C$274,"淨負債隨 CapEx、客戶預付與融資需求而定（模型 CapEx 差距 "&amp;IF((E31)&lt;0,"−","+")&amp;TEXT(ABS((E31))*100,"#,##0.0")&amp;"%"&amp;"）；共識淨負債口徑未揭露","")</f>
        <v>淨負債隨 CapEx、客戶預付與融資需求而定（模型 CapEx 差距 −24.1%）；共識淨負債口徑未揭露</v>
      </c>
    </row>
    <row r="51" customFormat="false" ht="15" hidden="false" customHeight="false" outlineLevel="1" collapsed="false">
      <c r="A51" s="3" t="s">
        <v>96</v>
      </c>
      <c r="C51" s="8" t="n">
        <f aca="false">SUMPRODUCT(--(ABS(C21:E21)&gt;輸入與假設!$C$274))+SUMPRODUCT(--(ABS(C28:E28)&gt;輸入與假設!$C$275))+SUMPRODUCT(--(ABS(C31:E31)&gt;輸入與假設!$C$274))+SUMPRODUCT(--(ABS(C34:E34)&gt;輸入與假設!$C$274))</f>
        <v>10</v>
      </c>
      <c r="I51" s="5" t="s">
        <v>97</v>
      </c>
    </row>
    <row r="52" customFormat="false" ht="15" hidden="false" customHeight="false" outlineLevel="1" collapsed="false">
      <c r="A52" s="3" t="s">
        <v>98</v>
      </c>
      <c r="C52" s="9" t="str">
        <f aca="false">IF(C51=0,"","需附原因的 "&amp;C51&amp;" 項差距："&amp;MID(IF((COUNTIF(C39,"觀點")+COUNTIF(C40,"觀點")+COUNTIF(C41,"觀點")+COUNTIF(C42,"觀點")+COUNTIF(C43,"觀點")+COUNTIF(C44,"觀點")+COUNTIF(C45,"觀點")+COUNTIF(C46,"觀點")+COUNTIF(C47,"觀點")+COUNTIF(C48,"觀點")+COUNTIF(C49,"觀點")+COUNTIF(C50,"觀點"))&gt;0,"、觀點 "&amp;(COUNTIF(C39,"觀點")+COUNTIF(C40,"觀點")+COUNTIF(C41,"觀點")+COUNTIF(C42,"觀點")+COUNTIF(C43,"觀點")+COUNTIF(C44,"觀點")+COUNTIF(C45,"觀點")+COUNTIF(C46,"觀點")+COUNTIF(C47,"觀點")+COUNTIF(C48,"觀點")+COUNTIF(C49,"觀點")+COUNTIF(C50,"觀點"))&amp;" 項","")&amp;IF((COUNTIF(C39,"拆法")+COUNTIF(C40,"拆法")+COUNTIF(C41,"拆法")+COUNTIF(C42,"拆法")+COUNTIF(C43,"拆法")+COUNTIF(C44,"拆法")+COUNTIF(C45,"拆法")+COUNTIF(C46,"拆法")+COUNTIF(C47,"拆法")+COUNTIF(C48,"拆法")+COUNTIF(C49,"拆法")+COUNTIF(C50,"拆法"))&gt;0,"、拆法 "&amp;(COUNTIF(C39,"拆法")+COUNTIF(C40,"拆法")+COUNTIF(C41,"拆法")+COUNTIF(C42,"拆法")+COUNTIF(C43,"拆法")+COUNTIF(C44,"拆法")+COUNTIF(C45,"拆法")+COUNTIF(C46,"拆法")+COUNTIF(C47,"拆法")+COUNTIF(C48,"拆法")+COUNTIF(C49,"拆法")+COUNTIF(C50,"拆法"))&amp;" 項","")&amp;IF(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&gt;0,"、已知限制 "&amp;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&amp;" 項","")&amp;IF((C51-((COUNTIF(C39,"觀點")+COUNTIF(C40,"觀點")+COUNTIF(C41,"觀點")+COUNTIF(C42,"觀點")+COUNTIF(C43,"觀點")+COUNTIF(C44,"觀點")+COUNTIF(C45,"觀點")+COUNTIF(C46,"觀點")+COUNTIF(C47,"觀點")+COUNTIF(C48,"觀點")+COUNTIF(C49,"觀點")+COUNTIF(C50,"觀點"))+(COUNTIF(C39,"拆法")+COUNTIF(C40,"拆法")+COUNTIF(C41,"拆法")+COUNTIF(C42,"拆法")+COUNTIF(C43,"拆法")+COUNTIF(C44,"拆法")+COUNTIF(C45,"拆法")+COUNTIF(C46,"拆法")+COUNTIF(C47,"拆法")+COUNTIF(C48,"拆法")+COUNTIF(C49,"拆法")+COUNTIF(C50,"拆法"))+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))&gt;0,"、未歸類 "&amp;(C51-((COUNTIF(C39,"觀點")+COUNTIF(C40,"觀點")+COUNTIF(C41,"觀點")+COUNTIF(C42,"觀點")+COUNTIF(C43,"觀點")+COUNTIF(C44,"觀點")+COUNTIF(C45,"觀點")+COUNTIF(C46,"觀點")+COUNTIF(C47,"觀點")+COUNTIF(C48,"觀點")+COUNTIF(C49,"觀點")+COUNTIF(C50,"觀點"))+(COUNTIF(C39,"拆法")+COUNTIF(C40,"拆法")+COUNTIF(C41,"拆法")+COUNTIF(C42,"拆法")+COUNTIF(C43,"拆法")+COUNTIF(C44,"拆法")+COUNTIF(C45,"拆法")+COUNTIF(C46,"拆法")+COUNTIF(C47,"拆法")+COUNTIF(C48,"拆法")+COUNTIF(C49,"拆法")+COUNTIF(C50,"拆法"))+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))&amp;" 項",""),2,999)&amp;"；原因見「損益與評價 → 市場共識」。")</f>
        <v>需附原因的 10 項差距：觀點 10 項；原因見「損益與評價 → 市場共識」。</v>
      </c>
      <c r="I52" s="5" t="s">
        <v>99</v>
      </c>
    </row>
    <row r="54" customFormat="false" ht="15" hidden="false" customHeight="false" outlineLevel="0" collapsed="false">
      <c r="A54" s="6" t="s">
        <v>100</v>
      </c>
      <c r="B54" s="7"/>
      <c r="C54" s="7"/>
      <c r="D54" s="7"/>
      <c r="E54" s="7"/>
      <c r="F54" s="7"/>
      <c r="G54" s="7"/>
      <c r="H54" s="7"/>
    </row>
    <row r="55" customFormat="false" ht="15" hidden="false" customHeight="false" outlineLevel="1" collapsed="false">
      <c r="A55" s="3" t="s">
        <v>101</v>
      </c>
      <c r="B55" s="10" t="s">
        <v>102</v>
      </c>
      <c r="C55" s="15" t="n">
        <f aca="false">(輸入與假設!$C$209*輸入與假設!$C$126+輸入與假設!$E$237)/輸入與假設!$E$230</f>
        <v>9.64130811698001</v>
      </c>
      <c r="I55" s="5" t="s">
        <v>103</v>
      </c>
    </row>
    <row r="56" customFormat="false" ht="15" hidden="false" customHeight="false" outlineLevel="1" collapsed="false">
      <c r="A56" s="3" t="s">
        <v>104</v>
      </c>
      <c r="B56" s="10" t="s">
        <v>102</v>
      </c>
      <c r="C56" s="15" t="n">
        <f aca="false">(輸入與假設!$C$125*輸入與假設!$C$126+輸入與假設!$E$237)/輸入與假設!$E$230</f>
        <v>8.83829386750224</v>
      </c>
      <c r="I56" s="5" t="s">
        <v>105</v>
      </c>
    </row>
    <row r="57" customFormat="false" ht="15" hidden="false" customHeight="false" outlineLevel="1" collapsed="false">
      <c r="A57" s="3" t="s">
        <v>106</v>
      </c>
      <c r="B57" s="10" t="s">
        <v>102</v>
      </c>
      <c r="C57" s="15" t="n">
        <f aca="false">MAX(輸入與假設!$C$146,輸入與假設!$C$147)</f>
        <v>6</v>
      </c>
      <c r="I57" s="5" t="s">
        <v>107</v>
      </c>
    </row>
    <row r="58" customFormat="false" ht="15" hidden="false" customHeight="false" outlineLevel="1" collapsed="false">
      <c r="A58" s="2" t="s">
        <v>108</v>
      </c>
      <c r="C58" s="9" t="str">
        <f aca="false">"共識平均目標價 $"&amp;TEXT(輸入與假設!$C$209,"0.00")&amp;" 隱含 FY28 EV/EBITDA "&amp;TEXT(C55,"0.0")&amp;"x，"&amp;IF(ROUND(C55,1)&gt;C57,"高於",IF(ROUND(C55,1)&lt;C57,"低於","等於"))&amp;"模型方法區間上緣 "&amp;IF(C57=INT(C57),TEXT(C57,"0"),TEXT(C57,"0.0"))&amp;"x；現價 $"&amp;TEXT(輸入與假設!$C$125,"0.00")&amp;" 隱含 "&amp;TEXT(C56,"0.0")&amp;"x。"</f>
        <v>共識平均目標價 $283.58 隱含 FY28 EV/EBITDA 9.6x，高於模型方法區間上緣 6x；現價 $249.87 隱含 8.8x。</v>
      </c>
    </row>
    <row r="59" customFormat="false" ht="15" hidden="false" customHeight="false" outlineLevel="1" collapsed="false">
      <c r="A59" s="3" t="s">
        <v>109</v>
      </c>
      <c r="C59" s="16" t="n">
        <f aca="false">評價_反向DCF!B18</f>
        <v>10.3953</v>
      </c>
      <c r="D59" s="16" t="n">
        <f aca="false">評價_反向DCF!C18</f>
        <v>31.7846</v>
      </c>
      <c r="E59" s="12" t="n">
        <f aca="false">評價_反向DCF!D18</f>
        <v>2.0576</v>
      </c>
      <c r="I59" s="5" t="s">
        <v>110</v>
      </c>
    </row>
    <row r="60" customFormat="false" ht="15" hidden="false" customHeight="false" outlineLevel="1" collapsed="false">
      <c r="A60" s="3" t="s">
        <v>111</v>
      </c>
      <c r="C60" s="16" t="n">
        <f aca="false">評價_反向DCF!B19</f>
        <v>50.2564</v>
      </c>
      <c r="D60" s="16" t="str">
        <f aca="false">評價_反向DCF!C19</f>
        <v>無解</v>
      </c>
      <c r="E60" s="12" t="str">
        <f aca="false">評價_反向DCF!D19</f>
        <v>—</v>
      </c>
    </row>
    <row r="61" customFormat="false" ht="15" hidden="false" customHeight="false" outlineLevel="1" collapsed="false">
      <c r="A61" s="3" t="s">
        <v>112</v>
      </c>
      <c r="C61" s="12" t="n">
        <f aca="false">評價_反向DCF!B20</f>
        <v>0.47</v>
      </c>
      <c r="D61" s="12" t="str">
        <f aca="false">評價_反向DCF!C20</f>
        <v>無解</v>
      </c>
      <c r="E61" s="12" t="str">
        <f aca="false">評價_反向DCF!D20</f>
        <v>—</v>
      </c>
    </row>
    <row r="62" customFormat="false" ht="15" hidden="false" customHeight="false" outlineLevel="1" collapsed="false">
      <c r="A62" s="3" t="s">
        <v>113</v>
      </c>
      <c r="C62" s="16" t="n">
        <f aca="false">評價_反向DCF!B21</f>
        <v>10.3953</v>
      </c>
      <c r="D62" s="16" t="n">
        <f aca="false">評價_反向DCF!C21</f>
        <v>29.1587</v>
      </c>
      <c r="E62" s="12" t="n">
        <f aca="false">評價_反向DCF!D21</f>
        <v>1.805</v>
      </c>
    </row>
    <row r="64" customFormat="false" ht="15" hidden="false" customHeight="false" outlineLevel="0" collapsed="false">
      <c r="A64" s="6" t="s">
        <v>114</v>
      </c>
      <c r="B64" s="7"/>
      <c r="C64" s="7"/>
      <c r="D64" s="7"/>
      <c r="E64" s="7"/>
      <c r="F64" s="7"/>
      <c r="G64" s="7"/>
      <c r="H64" s="7"/>
    </row>
    <row r="65" customFormat="false" ht="15" hidden="false" customHeight="false" outlineLevel="1" collapsed="false">
      <c r="A65" s="3" t="s">
        <v>115</v>
      </c>
      <c r="C65" s="9" t="str">
        <f aca="false">季度追蹤!C12</f>
        <v>Q3'26</v>
      </c>
      <c r="I65" s="5" t="s">
        <v>116</v>
      </c>
    </row>
    <row r="66" customFormat="false" ht="15" hidden="false" customHeight="false" outlineLevel="1" collapsed="false">
      <c r="A66" s="3" t="s">
        <v>117</v>
      </c>
      <c r="B66" s="10" t="s">
        <v>56</v>
      </c>
      <c r="C66" s="9" t="n">
        <f aca="false">季度追蹤!C6</f>
        <v>0.646833143780906</v>
      </c>
      <c r="D66" s="9" t="n">
        <f aca="false">季度追蹤!D6</f>
        <v>0.8994</v>
      </c>
      <c r="E66" s="9" t="str">
        <f aca="false">季度追蹤!F6</f>
        <v>不適用</v>
      </c>
      <c r="F66" s="9" t="str">
        <f aca="false">季度追蹤!G6</f>
        <v>不適用</v>
      </c>
      <c r="G66" s="9" t="str">
        <f aca="false">季度追蹤!I6</f>
        <v>待公布</v>
      </c>
      <c r="I66" s="5" t="s">
        <v>118</v>
      </c>
    </row>
    <row r="67" customFormat="false" ht="15" hidden="false" customHeight="false" outlineLevel="1" collapsed="false">
      <c r="A67" s="2" t="s">
        <v>119</v>
      </c>
      <c r="C67" s="9" t="str">
        <f aca="false">INDEX(季度追蹤!$C$124:$H$124,輸入與假設!$C$280)</f>
        <v>營收：模型 $0.65bn｜共識 $0.90bn（−28.1%）〔觀點〕</v>
      </c>
    </row>
    <row r="68" customFormat="false" ht="15" hidden="false" customHeight="false" outlineLevel="1" collapsed="false">
      <c r="A68" s="3" t="s">
        <v>120</v>
      </c>
      <c r="B68" s="10" t="s">
        <v>56</v>
      </c>
      <c r="C68" s="9" t="n">
        <f aca="false">季度追蹤!C7</f>
        <v>0.272671992019847</v>
      </c>
      <c r="D68" s="9" t="n">
        <f aca="false">季度追蹤!D7</f>
        <v>0.3624</v>
      </c>
      <c r="E68" s="9" t="str">
        <f aca="false">季度追蹤!F7</f>
        <v>不適用</v>
      </c>
      <c r="F68" s="9" t="str">
        <f aca="false">季度追蹤!G7</f>
        <v>不適用</v>
      </c>
      <c r="G68" s="9" t="str">
        <f aca="false">季度追蹤!I7</f>
        <v>待公布</v>
      </c>
      <c r="I68" s="5" t="s">
        <v>118</v>
      </c>
    </row>
    <row r="69" customFormat="false" ht="15" hidden="false" customHeight="false" outlineLevel="1" collapsed="false">
      <c r="A69" s="2" t="s">
        <v>121</v>
      </c>
      <c r="C69" s="9" t="str">
        <f aca="false">INDEX(季度追蹤!$C$125:$H$125,輸入與假設!$C$280)</f>
        <v>調整後 EBITDA：模型 $0.27bn｜共識 $0.36bn（−$0.09bn／+1.9pt）</v>
      </c>
    </row>
    <row r="70" customFormat="false" ht="15" hidden="false" customHeight="false" outlineLevel="1" collapsed="false">
      <c r="A70" s="3" t="s">
        <v>122</v>
      </c>
      <c r="B70" s="10" t="s">
        <v>56</v>
      </c>
      <c r="C70" s="9" t="n">
        <f aca="false">季度追蹤!C10</f>
        <v>8.95794496</v>
      </c>
      <c r="D70" s="9" t="str">
        <f aca="false">季度追蹤!D10</f>
        <v>不適用</v>
      </c>
      <c r="E70" s="9" t="str">
        <f aca="false">季度追蹤!F10</f>
        <v>不適用</v>
      </c>
      <c r="F70" s="9" t="str">
        <f aca="false">季度追蹤!G10</f>
        <v>不適用</v>
      </c>
      <c r="G70" s="9" t="str">
        <f aca="false">季度追蹤!I10</f>
        <v>待公布</v>
      </c>
      <c r="I70" s="5" t="s">
        <v>118</v>
      </c>
    </row>
    <row r="71" customFormat="false" ht="15" hidden="false" customHeight="false" outlineLevel="1" collapsed="false">
      <c r="A71" s="2" t="s">
        <v>123</v>
      </c>
      <c r="C71" s="9" t="str">
        <f aca="false">INDEX(季度追蹤!$C$128:$H$128,輸入與假設!$C$280)</f>
        <v>CapEx（毛額）：模型 $8.96bn</v>
      </c>
    </row>
    <row r="72" customFormat="false" ht="15" hidden="false" customHeight="false" outlineLevel="1" collapsed="false">
      <c r="A72" s="3" t="s">
        <v>124</v>
      </c>
      <c r="B72" s="5" t="s">
        <v>125</v>
      </c>
      <c r="C72" s="8" t="n">
        <f aca="false">輸入與假設!$C$222</f>
        <v>4</v>
      </c>
      <c r="D72" s="8" t="n">
        <f aca="false">輸入與假設!$C$223</f>
        <v>1</v>
      </c>
      <c r="E72" s="8" t="n">
        <f aca="false">輸入與假設!$C$224</f>
        <v>3</v>
      </c>
      <c r="F72" s="8" t="n">
        <f aca="false">輸入與假設!$C$225</f>
        <v>0</v>
      </c>
      <c r="G72" s="8" t="n">
        <f aca="false">輸入與假設!$C$226</f>
        <v>1</v>
      </c>
      <c r="I72" s="10" t="s">
        <v>126</v>
      </c>
    </row>
    <row r="73" customFormat="false" ht="15" hidden="false" customHeight="false" outlineLevel="1" collapsed="false">
      <c r="A73" s="3" t="s">
        <v>127</v>
      </c>
      <c r="B73" s="10" t="s">
        <v>39</v>
      </c>
      <c r="C73" s="11" t="n">
        <f aca="false">輸入與假設!$C$209</f>
        <v>283.58</v>
      </c>
      <c r="D73" s="11" t="n">
        <f aca="false">輸入與假設!$C$210</f>
        <v>300</v>
      </c>
      <c r="E73" s="11" t="n">
        <f aca="false">輸入與假設!$C$211</f>
        <v>84</v>
      </c>
      <c r="F73" s="11" t="n">
        <f aca="false">輸入與假設!$C$212</f>
        <v>415</v>
      </c>
      <c r="I73" s="10" t="s">
        <v>128</v>
      </c>
    </row>
    <row r="74" customFormat="false" ht="15" hidden="false" customHeight="false" outlineLevel="1" collapsed="false"/>
    <row r="75" customFormat="false" ht="15" hidden="false" customHeight="false" outlineLevel="1" collapsed="false">
      <c r="A75" s="5" t="s">
        <v>129</v>
      </c>
    </row>
    <row r="76" customFormat="false" ht="15" hidden="false" customHeight="false" outlineLevel="1" collapsed="false">
      <c r="A76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10" t="s">
        <v>132</v>
      </c>
    </row>
    <row r="4" customFormat="false" ht="15" hidden="false" customHeight="false" outlineLevel="0" collapsed="false">
      <c r="A4" s="6" t="s">
        <v>133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2" t="s">
        <v>134</v>
      </c>
      <c r="C5" s="17" t="n">
        <v>2</v>
      </c>
      <c r="D5" s="2" t="str">
        <f aca="false">CHOOSE(C5,"保守 已簽約 3.5 GW","基準 合約 5 GW","積極 每年 &gt;1 GW")</f>
        <v>基準 合約 5 GW</v>
      </c>
      <c r="E5" s="2" t="s">
        <v>135</v>
      </c>
      <c r="F5" s="17" t="n">
        <v>2</v>
      </c>
      <c r="G5" s="2" t="str">
        <f aca="false">CHOOSE(F5,"價格低","價格基準","價格高")</f>
        <v>價格基準</v>
      </c>
      <c r="I5" s="5" t="s">
        <v>136</v>
      </c>
    </row>
    <row r="6" customFormat="false" ht="15" hidden="false" customHeight="false" outlineLevel="1" collapsed="false">
      <c r="A6" s="18" t="s">
        <v>137</v>
      </c>
      <c r="B6" s="19"/>
      <c r="C6" s="19"/>
      <c r="D6" s="19"/>
      <c r="E6" s="19"/>
      <c r="F6" s="19"/>
      <c r="G6" s="19"/>
      <c r="H6" s="19"/>
    </row>
    <row r="7" customFormat="false" ht="17.15" hidden="false" customHeight="false" outlineLevel="2" collapsed="false">
      <c r="A7" s="13" t="s">
        <v>138</v>
      </c>
      <c r="B7" s="13" t="s">
        <v>51</v>
      </c>
      <c r="C7" s="14" t="s">
        <v>52</v>
      </c>
      <c r="D7" s="14" t="s">
        <v>53</v>
      </c>
      <c r="E7" s="14" t="s">
        <v>54</v>
      </c>
      <c r="F7" s="14" t="s">
        <v>139</v>
      </c>
      <c r="G7" s="14" t="s">
        <v>140</v>
      </c>
      <c r="I7" s="14" t="s">
        <v>141</v>
      </c>
    </row>
    <row r="8" customFormat="false" ht="15" hidden="false" customHeight="false" outlineLevel="2" collapsed="false">
      <c r="A8" s="3" t="s">
        <v>142</v>
      </c>
      <c r="B8" s="10" t="s">
        <v>143</v>
      </c>
      <c r="C8" s="20" t="n">
        <v>750</v>
      </c>
      <c r="I8" s="10" t="s">
        <v>144</v>
      </c>
    </row>
    <row r="9" customFormat="false" ht="15" hidden="false" customHeight="false" outlineLevel="2" collapsed="false">
      <c r="A9" s="3" t="s">
        <v>145</v>
      </c>
      <c r="B9" s="10" t="s">
        <v>143</v>
      </c>
      <c r="C9" s="20" t="n">
        <v>2917</v>
      </c>
      <c r="D9" s="20" t="n">
        <v>2917</v>
      </c>
      <c r="E9" s="20" t="n">
        <v>2917</v>
      </c>
      <c r="F9" s="20" t="n">
        <v>2917</v>
      </c>
      <c r="G9" s="20" t="n">
        <v>2917</v>
      </c>
      <c r="I9" s="10" t="s">
        <v>146</v>
      </c>
    </row>
    <row r="10" customFormat="false" ht="15" hidden="false" customHeight="false" outlineLevel="2" collapsed="false">
      <c r="A10" s="3" t="s">
        <v>147</v>
      </c>
      <c r="B10" s="10" t="s">
        <v>148</v>
      </c>
      <c r="C10" s="20" t="n">
        <v>580</v>
      </c>
      <c r="I10" s="10" t="s">
        <v>149</v>
      </c>
    </row>
    <row r="11" customFormat="false" ht="15" hidden="false" customHeight="false" outlineLevel="2" collapsed="false">
      <c r="A11" s="3" t="s">
        <v>150</v>
      </c>
      <c r="B11" s="10" t="s">
        <v>143</v>
      </c>
      <c r="C11" s="21" t="n">
        <f aca="false">MIN(C9,輸入與假設!$C$8)</f>
        <v>750</v>
      </c>
      <c r="D11" s="21" t="n">
        <f aca="false">MIN(D9,C11+輸入與假設!$C$10*D$37)</f>
        <v>1330</v>
      </c>
      <c r="E11" s="21" t="n">
        <f aca="false">MIN(E9,D11+輸入與假設!$C$10*E$37)</f>
        <v>1910</v>
      </c>
      <c r="F11" s="21" t="n">
        <f aca="false">MIN(F9,E11+輸入與假設!$C$10*F$37)</f>
        <v>2490</v>
      </c>
      <c r="G11" s="21" t="n">
        <f aca="false">MIN(G9,F11+輸入與假設!$C$10*G$37)</f>
        <v>2917</v>
      </c>
      <c r="I11" s="20" t="n">
        <v>0</v>
      </c>
      <c r="J11" s="5" t="s">
        <v>151</v>
      </c>
    </row>
    <row r="12" customFormat="false" ht="15" hidden="false" customHeight="false" outlineLevel="2" collapsed="false">
      <c r="A12" s="3" t="s">
        <v>152</v>
      </c>
      <c r="B12" s="10" t="s">
        <v>143</v>
      </c>
      <c r="C12" s="20" t="n">
        <v>4167</v>
      </c>
      <c r="D12" s="20" t="n">
        <v>4167</v>
      </c>
      <c r="E12" s="20" t="n">
        <v>4167</v>
      </c>
      <c r="F12" s="20" t="n">
        <v>4167</v>
      </c>
      <c r="G12" s="20" t="n">
        <v>4167</v>
      </c>
      <c r="I12" s="10" t="s">
        <v>146</v>
      </c>
    </row>
    <row r="13" customFormat="false" ht="15" hidden="false" customHeight="false" outlineLevel="2" collapsed="false">
      <c r="A13" s="3" t="s">
        <v>153</v>
      </c>
      <c r="B13" s="10" t="s">
        <v>148</v>
      </c>
      <c r="C13" s="20" t="n">
        <v>580</v>
      </c>
      <c r="I13" s="10" t="s">
        <v>149</v>
      </c>
    </row>
    <row r="14" customFormat="false" ht="15" hidden="false" customHeight="false" outlineLevel="2" collapsed="false">
      <c r="A14" s="3" t="s">
        <v>154</v>
      </c>
      <c r="B14" s="10" t="s">
        <v>143</v>
      </c>
      <c r="C14" s="21" t="n">
        <f aca="false">MIN(C12,輸入與假設!$C$8)</f>
        <v>750</v>
      </c>
      <c r="D14" s="21" t="n">
        <f aca="false">MIN(D12,C14+輸入與假設!$C$13*D$37)</f>
        <v>1330</v>
      </c>
      <c r="E14" s="21" t="n">
        <f aca="false">MIN(E12,D14+輸入與假設!$C$13*E$37)</f>
        <v>1910</v>
      </c>
      <c r="F14" s="21" t="n">
        <f aca="false">MIN(F12,E14+輸入與假設!$C$13*F$37)</f>
        <v>2490</v>
      </c>
      <c r="G14" s="21" t="n">
        <f aca="false">MIN(G12,F14+輸入與假設!$C$13*G$37)</f>
        <v>3070</v>
      </c>
      <c r="I14" s="20" t="n">
        <v>580</v>
      </c>
      <c r="J14" s="10" t="s">
        <v>155</v>
      </c>
    </row>
    <row r="15" customFormat="false" ht="15" hidden="false" customHeight="false" outlineLevel="2" collapsed="false">
      <c r="A15" s="3" t="s">
        <v>156</v>
      </c>
      <c r="B15" s="10" t="s">
        <v>143</v>
      </c>
      <c r="C15" s="20" t="n">
        <v>4167</v>
      </c>
      <c r="D15" s="20" t="n">
        <v>5000</v>
      </c>
      <c r="E15" s="20" t="n">
        <v>5833</v>
      </c>
      <c r="F15" s="20" t="n">
        <v>6667</v>
      </c>
      <c r="G15" s="20" t="n">
        <v>7500</v>
      </c>
      <c r="I15" s="10" t="s">
        <v>146</v>
      </c>
    </row>
    <row r="16" customFormat="false" ht="15" hidden="false" customHeight="false" outlineLevel="2" collapsed="false">
      <c r="A16" s="3" t="s">
        <v>157</v>
      </c>
      <c r="B16" s="10" t="s">
        <v>148</v>
      </c>
      <c r="C16" s="20" t="n">
        <v>833</v>
      </c>
      <c r="I16" s="10" t="s">
        <v>149</v>
      </c>
    </row>
    <row r="17" customFormat="false" ht="15" hidden="false" customHeight="false" outlineLevel="2" collapsed="false">
      <c r="A17" s="3" t="s">
        <v>158</v>
      </c>
      <c r="B17" s="10" t="s">
        <v>143</v>
      </c>
      <c r="C17" s="21" t="n">
        <f aca="false">MIN(C15,輸入與假設!$C$8)</f>
        <v>750</v>
      </c>
      <c r="D17" s="21" t="n">
        <f aca="false">MIN(D15,C17+輸入與假設!$C$16*D$37)</f>
        <v>1583</v>
      </c>
      <c r="E17" s="21" t="n">
        <f aca="false">MIN(E15,D17+輸入與假設!$C$16*E$37)</f>
        <v>2416</v>
      </c>
      <c r="F17" s="21" t="n">
        <f aca="false">MIN(F15,E17+輸入與假設!$C$16*F$37)</f>
        <v>3249</v>
      </c>
      <c r="G17" s="21" t="n">
        <f aca="false">MIN(G15,F17+輸入與假設!$C$16*G$37)</f>
        <v>4082</v>
      </c>
      <c r="I17" s="20" t="n">
        <v>833</v>
      </c>
      <c r="J17" s="10" t="s">
        <v>159</v>
      </c>
    </row>
    <row r="18" customFormat="false" ht="15" hidden="false" customHeight="false" outlineLevel="2" collapsed="false">
      <c r="A18" s="3" t="s">
        <v>160</v>
      </c>
      <c r="B18" s="10" t="s">
        <v>161</v>
      </c>
      <c r="C18" s="22" t="n">
        <f aca="false">每MW收入_錨定!C63/1000</f>
        <v>0.0091925511427595</v>
      </c>
      <c r="D18" s="22" t="n">
        <f aca="false">每MW收入_錨定!D63/1000</f>
        <v>0.00962184411946704</v>
      </c>
      <c r="E18" s="22" t="n">
        <f aca="false">每MW收入_錨定!E63/1000</f>
        <v>0.0100188932420853</v>
      </c>
      <c r="F18" s="22" t="n">
        <f aca="false">每MW收入_錨定!F63/1000</f>
        <v>0.010264054283229</v>
      </c>
      <c r="G18" s="22" t="n">
        <f aca="false">每MW收入_錨定!G63/1000</f>
        <v>0.0103812130135401</v>
      </c>
      <c r="I18" s="5" t="s">
        <v>162</v>
      </c>
    </row>
    <row r="19" customFormat="false" ht="15" hidden="false" customHeight="false" outlineLevel="2" collapsed="false">
      <c r="A19" s="3" t="s">
        <v>163</v>
      </c>
      <c r="B19" s="10" t="s">
        <v>161</v>
      </c>
      <c r="C19" s="22" t="n">
        <f aca="false">每MW收入_錨定!C93/1000</f>
        <v>0.0091925511427595</v>
      </c>
      <c r="D19" s="22" t="n">
        <f aca="false">每MW收入_錨定!D93/1000</f>
        <v>0.00962184411946704</v>
      </c>
      <c r="E19" s="22" t="n">
        <f aca="false">每MW收入_錨定!E93/1000</f>
        <v>0.0100188932420853</v>
      </c>
      <c r="F19" s="22" t="n">
        <f aca="false">每MW收入_錨定!F93/1000</f>
        <v>0.010264054283229</v>
      </c>
      <c r="G19" s="22" t="n">
        <f aca="false">每MW收入_錨定!G93/1000</f>
        <v>0.0103952998833731</v>
      </c>
      <c r="I19" s="5" t="s">
        <v>162</v>
      </c>
    </row>
    <row r="20" customFormat="false" ht="15" hidden="false" customHeight="false" outlineLevel="2" collapsed="false">
      <c r="A20" s="3" t="s">
        <v>164</v>
      </c>
      <c r="B20" s="10" t="s">
        <v>161</v>
      </c>
      <c r="C20" s="22" t="n">
        <f aca="false">每MW收入_錨定!C123/1000</f>
        <v>0.0091925511427595</v>
      </c>
      <c r="D20" s="22" t="n">
        <f aca="false">每MW收入_錨定!D123/1000</f>
        <v>0.0096978895651619</v>
      </c>
      <c r="E20" s="22" t="n">
        <f aca="false">每MW收入_錨定!E123/1000</f>
        <v>0.0101125163125819</v>
      </c>
      <c r="F20" s="22" t="n">
        <f aca="false">每MW收入_錨定!F123/1000</f>
        <v>0.010354202026746</v>
      </c>
      <c r="G20" s="22" t="n">
        <f aca="false">每MW收入_錨定!G123/1000</f>
        <v>0.0104766751829108</v>
      </c>
      <c r="I20" s="5" t="s">
        <v>162</v>
      </c>
    </row>
    <row r="21" customFormat="false" ht="15" hidden="false" customHeight="false" outlineLevel="2" collapsed="false">
      <c r="A21" s="3" t="s">
        <v>165</v>
      </c>
      <c r="B21" s="10" t="s">
        <v>42</v>
      </c>
      <c r="C21" s="23" t="n">
        <v>0.75</v>
      </c>
      <c r="D21" s="23" t="n">
        <v>0.85</v>
      </c>
      <c r="E21" s="23" t="n">
        <v>0.9</v>
      </c>
      <c r="F21" s="23" t="n">
        <v>0.9</v>
      </c>
      <c r="G21" s="23" t="n">
        <v>0.9</v>
      </c>
      <c r="I21" s="5" t="s">
        <v>166</v>
      </c>
    </row>
    <row r="22" customFormat="false" ht="15" hidden="false" customHeight="false" outlineLevel="2" collapsed="false">
      <c r="A22" s="3" t="s">
        <v>167</v>
      </c>
      <c r="B22" s="10" t="s">
        <v>42</v>
      </c>
      <c r="C22" s="23" t="n">
        <v>0.6</v>
      </c>
      <c r="D22" s="23" t="n">
        <v>0.8</v>
      </c>
      <c r="E22" s="23" t="n">
        <v>1</v>
      </c>
      <c r="F22" s="23" t="n">
        <v>1</v>
      </c>
      <c r="G22" s="23" t="n">
        <v>1</v>
      </c>
      <c r="I22" s="10" t="s">
        <v>168</v>
      </c>
    </row>
    <row r="23" customFormat="false" ht="15" hidden="false" customHeight="false" outlineLevel="2" collapsed="false">
      <c r="A23" s="3" t="s">
        <v>169</v>
      </c>
      <c r="B23" s="10" t="s">
        <v>56</v>
      </c>
      <c r="C23" s="24" t="n">
        <v>0.05</v>
      </c>
      <c r="D23" s="24" t="n">
        <v>0.5</v>
      </c>
      <c r="E23" s="24" t="n">
        <v>1</v>
      </c>
      <c r="F23" s="24" t="n">
        <v>1</v>
      </c>
      <c r="G23" s="24" t="n">
        <v>1</v>
      </c>
      <c r="I23" s="5" t="s">
        <v>170</v>
      </c>
    </row>
    <row r="24" customFormat="false" ht="15" hidden="false" customHeight="false" outlineLevel="2" collapsed="false">
      <c r="A24" s="3" t="s">
        <v>171</v>
      </c>
      <c r="B24" s="10" t="s">
        <v>143</v>
      </c>
      <c r="C24" s="20" t="n">
        <v>0</v>
      </c>
      <c r="I24" s="5" t="s">
        <v>172</v>
      </c>
    </row>
    <row r="25" customFormat="false" ht="15" hidden="false" customHeight="false" outlineLevel="0" collapsed="false">
      <c r="A25" s="6" t="s">
        <v>173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4" t="s">
        <v>174</v>
      </c>
      <c r="B26" s="10" t="s">
        <v>56</v>
      </c>
      <c r="C26" s="24" t="n">
        <v>37.4906</v>
      </c>
      <c r="I26" s="5" t="s">
        <v>175</v>
      </c>
    </row>
    <row r="27" customFormat="false" ht="15" hidden="false" customHeight="false" outlineLevel="1" collapsed="false">
      <c r="A27" s="4" t="s">
        <v>176</v>
      </c>
      <c r="B27" s="10" t="s">
        <v>56</v>
      </c>
      <c r="C27" s="24" t="n">
        <v>0</v>
      </c>
      <c r="I27" s="5" t="s">
        <v>177</v>
      </c>
    </row>
    <row r="28" customFormat="false" ht="15" hidden="false" customHeight="false" outlineLevel="1" collapsed="false">
      <c r="A28" s="3" t="s">
        <v>178</v>
      </c>
      <c r="B28" s="10" t="s">
        <v>42</v>
      </c>
      <c r="C28" s="23" t="n">
        <v>0.82</v>
      </c>
      <c r="I28" s="5" t="s">
        <v>179</v>
      </c>
    </row>
    <row r="29" customFormat="false" ht="15" hidden="false" customHeight="false" outlineLevel="1" collapsed="false">
      <c r="A29" s="4" t="s">
        <v>180</v>
      </c>
      <c r="B29" s="10" t="s">
        <v>42</v>
      </c>
      <c r="C29" s="23" t="n">
        <v>0.82</v>
      </c>
      <c r="I29" s="5" t="s">
        <v>181</v>
      </c>
    </row>
    <row r="30" customFormat="false" ht="15" hidden="false" customHeight="false" outlineLevel="1" collapsed="false">
      <c r="A30" s="4" t="s">
        <v>182</v>
      </c>
      <c r="B30" s="10" t="s">
        <v>143</v>
      </c>
      <c r="C30" s="20" t="n">
        <v>170</v>
      </c>
      <c r="I30" s="10" t="s">
        <v>183</v>
      </c>
    </row>
    <row r="31" customFormat="false" ht="15" hidden="false" customHeight="false" outlineLevel="1" collapsed="false">
      <c r="A31" s="3" t="s">
        <v>184</v>
      </c>
      <c r="B31" s="10" t="s">
        <v>56</v>
      </c>
      <c r="C31" s="24" t="n">
        <v>0.5823</v>
      </c>
      <c r="I31" s="5" t="s">
        <v>185</v>
      </c>
    </row>
    <row r="32" customFormat="false" ht="15" hidden="false" customHeight="false" outlineLevel="1" collapsed="false">
      <c r="A32" s="4" t="s">
        <v>186</v>
      </c>
      <c r="B32" s="10" t="s">
        <v>143</v>
      </c>
      <c r="C32" s="21" t="n">
        <f aca="false">ROUND(輸入與假設!$C$31*4/C42,0)</f>
        <v>253</v>
      </c>
      <c r="I32" s="10" t="s">
        <v>187</v>
      </c>
    </row>
    <row r="33" customFormat="false" ht="15" hidden="false" customHeight="false" outlineLevel="1" collapsed="false">
      <c r="A33" s="3" t="s">
        <v>188</v>
      </c>
      <c r="B33" s="5"/>
      <c r="C33" s="20" t="n">
        <v>1</v>
      </c>
      <c r="I33" s="10" t="s">
        <v>189</v>
      </c>
    </row>
    <row r="34" customFormat="false" ht="15" hidden="false" customHeight="false" outlineLevel="1" collapsed="false">
      <c r="A34" s="3" t="s">
        <v>190</v>
      </c>
      <c r="B34" s="5"/>
      <c r="C34" s="25" t="s">
        <v>191</v>
      </c>
      <c r="I34" s="10" t="s">
        <v>192</v>
      </c>
    </row>
    <row r="35" customFormat="false" ht="15" hidden="false" customHeight="false" outlineLevel="1" collapsed="false">
      <c r="A35" s="3" t="s">
        <v>193</v>
      </c>
      <c r="B35" s="10" t="s">
        <v>42</v>
      </c>
      <c r="C35" s="23" t="n">
        <v>1</v>
      </c>
      <c r="I35" s="5" t="s">
        <v>194</v>
      </c>
    </row>
    <row r="36" customFormat="false" ht="15" hidden="false" customHeight="false" outlineLevel="1" collapsed="false">
      <c r="A36" s="13" t="s">
        <v>50</v>
      </c>
      <c r="B36" s="13" t="s">
        <v>51</v>
      </c>
      <c r="C36" s="26" t="s">
        <v>52</v>
      </c>
      <c r="D36" s="26" t="s">
        <v>53</v>
      </c>
      <c r="E36" s="26" t="s">
        <v>54</v>
      </c>
      <c r="F36" s="26" t="s">
        <v>139</v>
      </c>
      <c r="G36" s="26" t="s">
        <v>140</v>
      </c>
      <c r="I36" s="13" t="s">
        <v>195</v>
      </c>
    </row>
    <row r="37" customFormat="false" ht="15" hidden="false" customHeight="false" outlineLevel="1" collapsed="false">
      <c r="A37" s="3" t="s">
        <v>196</v>
      </c>
      <c r="B37" s="5"/>
      <c r="C37" s="24" t="n">
        <v>0.5</v>
      </c>
      <c r="D37" s="24" t="n">
        <v>1</v>
      </c>
      <c r="E37" s="24" t="n">
        <v>1</v>
      </c>
      <c r="F37" s="24" t="n">
        <v>1</v>
      </c>
      <c r="G37" s="24" t="n">
        <v>1</v>
      </c>
      <c r="I37" s="5" t="s">
        <v>197</v>
      </c>
    </row>
    <row r="38" customFormat="false" ht="15" hidden="false" customHeight="false" outlineLevel="1" collapsed="false">
      <c r="A38" s="4" t="s">
        <v>198</v>
      </c>
      <c r="B38" s="10" t="s">
        <v>42</v>
      </c>
      <c r="C38" s="23" t="n">
        <v>0.09</v>
      </c>
      <c r="D38" s="23" t="n">
        <v>0.18</v>
      </c>
      <c r="E38" s="23" t="n">
        <v>0.19</v>
      </c>
      <c r="F38" s="23" t="n">
        <v>0.2</v>
      </c>
      <c r="G38" s="23" t="n">
        <v>0.16</v>
      </c>
      <c r="H38" s="27" t="n">
        <f aca="false">SUM(C38:G38)</f>
        <v>0.82</v>
      </c>
      <c r="I38" s="5" t="s">
        <v>199</v>
      </c>
    </row>
    <row r="39" customFormat="false" ht="15" hidden="false" customHeight="false" outlineLevel="1" collapsed="false">
      <c r="A39" s="4" t="s">
        <v>200</v>
      </c>
      <c r="B39" s="10" t="s">
        <v>143</v>
      </c>
      <c r="C39" s="21" t="n">
        <f aca="false">CHOOSE(輸入與假設!$C$5,C11,C14,C17)</f>
        <v>750</v>
      </c>
      <c r="D39" s="21" t="n">
        <f aca="false">CHOOSE(輸入與假設!$C$5,D11,D14,D17)</f>
        <v>1330</v>
      </c>
      <c r="E39" s="21" t="n">
        <f aca="false">CHOOSE(輸入與假設!$C$5,E11,E14,E17)</f>
        <v>1910</v>
      </c>
      <c r="F39" s="21" t="n">
        <f aca="false">CHOOSE(輸入與假設!$C$5,F11,F14,F17)</f>
        <v>2490</v>
      </c>
      <c r="G39" s="21" t="n">
        <f aca="false">CHOOSE(輸入與假設!$C$5,G11,G14,G17)</f>
        <v>3070</v>
      </c>
      <c r="I39" s="5" t="s">
        <v>201</v>
      </c>
    </row>
    <row r="40" customFormat="false" ht="15" hidden="false" customHeight="false" outlineLevel="1" collapsed="false">
      <c r="A40" s="4" t="s">
        <v>202</v>
      </c>
      <c r="B40" s="10" t="s">
        <v>143</v>
      </c>
      <c r="C40" s="21" t="n">
        <f aca="false">ROUND(C39*C21*C22,0)</f>
        <v>338</v>
      </c>
      <c r="D40" s="21" t="n">
        <f aca="false">ROUND(D39*D21*D22,0)</f>
        <v>904</v>
      </c>
      <c r="E40" s="21" t="n">
        <f aca="false">ROUND(E39*E21*E22,0)</f>
        <v>1719</v>
      </c>
      <c r="F40" s="21" t="n">
        <f aca="false">ROUND(F39*F21*F22,0)</f>
        <v>2241</v>
      </c>
      <c r="G40" s="21" t="n">
        <f aca="false">ROUND(G39*G21*G22,0)</f>
        <v>2763</v>
      </c>
      <c r="I40" s="5" t="s">
        <v>203</v>
      </c>
    </row>
    <row r="41" customFormat="false" ht="15" hidden="false" customHeight="false" outlineLevel="1" collapsed="false">
      <c r="A41" s="3" t="s">
        <v>204</v>
      </c>
      <c r="B41" s="10" t="s">
        <v>42</v>
      </c>
      <c r="C41" s="23" t="n">
        <v>1</v>
      </c>
      <c r="D41" s="23" t="n">
        <v>1</v>
      </c>
      <c r="E41" s="23" t="n">
        <v>1</v>
      </c>
      <c r="F41" s="23" t="n">
        <v>1</v>
      </c>
      <c r="G41" s="23" t="n">
        <v>1</v>
      </c>
      <c r="I41" s="10" t="s">
        <v>205</v>
      </c>
    </row>
    <row r="42" customFormat="false" ht="15" hidden="false" customHeight="false" outlineLevel="1" collapsed="false">
      <c r="A42" s="3" t="s">
        <v>206</v>
      </c>
      <c r="B42" s="10" t="s">
        <v>161</v>
      </c>
      <c r="C42" s="28" t="n">
        <f aca="false">CHOOSE(輸入與假設!$C$5,C18,C19,C20)</f>
        <v>0.0091925511427595</v>
      </c>
      <c r="D42" s="28" t="n">
        <f aca="false">CHOOSE(輸入與假設!$C$5,D18,D19,D20)</f>
        <v>0.00962184411946704</v>
      </c>
      <c r="E42" s="28" t="n">
        <f aca="false">CHOOSE(輸入與假設!$C$5,E18,E19,E20)</f>
        <v>0.0100188932420853</v>
      </c>
      <c r="F42" s="28" t="n">
        <f aca="false">CHOOSE(輸入與假設!$C$5,F18,F19,F20)</f>
        <v>0.010264054283229</v>
      </c>
      <c r="G42" s="28" t="n">
        <f aca="false">CHOOSE(輸入與假設!$C$5,G18,G19,G20)</f>
        <v>0.0103952998833731</v>
      </c>
      <c r="I42" s="5" t="s">
        <v>207</v>
      </c>
    </row>
    <row r="43" customFormat="false" ht="15" hidden="false" customHeight="false" outlineLevel="1" collapsed="false">
      <c r="A43" s="3" t="s">
        <v>208</v>
      </c>
      <c r="B43" s="10" t="s">
        <v>42</v>
      </c>
      <c r="C43" s="23" t="n">
        <v>1</v>
      </c>
      <c r="D43" s="23" t="n">
        <v>1</v>
      </c>
      <c r="E43" s="23" t="n">
        <v>1</v>
      </c>
      <c r="F43" s="23" t="n">
        <v>1</v>
      </c>
      <c r="G43" s="23" t="n">
        <v>1</v>
      </c>
      <c r="I43" s="10" t="s">
        <v>209</v>
      </c>
    </row>
    <row r="44" customFormat="false" ht="15" hidden="false" customHeight="false" outlineLevel="1" collapsed="false">
      <c r="A44" s="3" t="s">
        <v>210</v>
      </c>
      <c r="B44" s="10" t="s">
        <v>42</v>
      </c>
      <c r="C44" s="23" t="n">
        <v>0.005</v>
      </c>
      <c r="D44" s="23" t="n">
        <v>0.01</v>
      </c>
      <c r="E44" s="23" t="n">
        <v>0.015</v>
      </c>
      <c r="F44" s="23" t="n">
        <v>0.02</v>
      </c>
      <c r="G44" s="23" t="n">
        <v>0.025</v>
      </c>
      <c r="I44" s="5" t="s">
        <v>211</v>
      </c>
    </row>
    <row r="45" customFormat="false" ht="15" hidden="false" customHeight="false" outlineLevel="1" collapsed="false">
      <c r="A45" s="3" t="s">
        <v>212</v>
      </c>
      <c r="B45" s="10" t="s">
        <v>42</v>
      </c>
      <c r="C45" s="23" t="n">
        <v>0.5</v>
      </c>
      <c r="D45" s="23" t="n">
        <v>0.5</v>
      </c>
      <c r="E45" s="23" t="n">
        <v>0.5</v>
      </c>
      <c r="F45" s="23" t="n">
        <v>0.5</v>
      </c>
      <c r="G45" s="23" t="n">
        <v>0.5</v>
      </c>
      <c r="I45" s="10" t="s">
        <v>213</v>
      </c>
    </row>
    <row r="46" customFormat="false" ht="15" hidden="false" customHeight="false" outlineLevel="1" collapsed="false">
      <c r="A46" s="3" t="s">
        <v>214</v>
      </c>
      <c r="B46" s="10" t="s">
        <v>56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I46" s="5" t="s">
        <v>215</v>
      </c>
    </row>
    <row r="47" customFormat="false" ht="15" hidden="false" customHeight="false" outlineLevel="1" collapsed="false">
      <c r="A47" s="3" t="s">
        <v>216</v>
      </c>
      <c r="B47" s="10" t="s">
        <v>56</v>
      </c>
      <c r="C47" s="24" t="n">
        <v>-0.094</v>
      </c>
      <c r="D47" s="24" t="n">
        <v>-0.141</v>
      </c>
      <c r="E47" s="24" t="n">
        <v>-0.094</v>
      </c>
      <c r="F47" s="24" t="n">
        <v>-0.047</v>
      </c>
      <c r="G47" s="24" t="n">
        <v>0</v>
      </c>
      <c r="I47" s="5" t="s">
        <v>217</v>
      </c>
    </row>
    <row r="49" customFormat="false" ht="15" hidden="false" customHeight="false" outlineLevel="0" collapsed="false">
      <c r="A49" s="6" t="s">
        <v>218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219</v>
      </c>
      <c r="B50" s="10" t="s">
        <v>42</v>
      </c>
      <c r="C50" s="29" t="n">
        <v>0.497</v>
      </c>
      <c r="I50" s="5" t="s">
        <v>220</v>
      </c>
    </row>
    <row r="51" customFormat="false" ht="15" hidden="false" customHeight="false" outlineLevel="1" collapsed="false">
      <c r="A51" s="3" t="s">
        <v>221</v>
      </c>
      <c r="B51" s="10" t="s">
        <v>42</v>
      </c>
      <c r="C51" s="29" t="n">
        <v>0.47</v>
      </c>
      <c r="I51" s="5" t="s">
        <v>222</v>
      </c>
    </row>
    <row r="52" customFormat="false" ht="15" hidden="false" customHeight="false" outlineLevel="1" collapsed="false">
      <c r="A52" s="13" t="s">
        <v>50</v>
      </c>
      <c r="B52" s="13" t="s">
        <v>51</v>
      </c>
      <c r="C52" s="26" t="s">
        <v>52</v>
      </c>
      <c r="D52" s="26" t="s">
        <v>53</v>
      </c>
      <c r="E52" s="26" t="s">
        <v>54</v>
      </c>
      <c r="F52" s="26" t="s">
        <v>139</v>
      </c>
      <c r="G52" s="26" t="s">
        <v>140</v>
      </c>
      <c r="I52" s="13" t="s">
        <v>195</v>
      </c>
    </row>
    <row r="53" customFormat="false" ht="15" hidden="false" customHeight="false" outlineLevel="1" collapsed="false">
      <c r="A53" s="4" t="s">
        <v>223</v>
      </c>
      <c r="B53" s="10" t="s">
        <v>42</v>
      </c>
      <c r="C53" s="30" t="n">
        <f aca="false">輸入與假設!$C$50+(輸入與假設!$C$51-輸入與假設!$C$50)*0/4</f>
        <v>0.497</v>
      </c>
      <c r="D53" s="30" t="n">
        <f aca="false">輸入與假設!$C$50+(輸入與假設!$C$51-輸入與假設!$C$50)*1/4</f>
        <v>0.49025</v>
      </c>
      <c r="E53" s="30" t="n">
        <f aca="false">輸入與假設!$C$50+(輸入與假設!$C$51-輸入與假設!$C$50)*2/4</f>
        <v>0.4835</v>
      </c>
      <c r="F53" s="30" t="n">
        <f aca="false">輸入與假設!$C$50+(輸入與假設!$C$51-輸入與假設!$C$50)*3/4</f>
        <v>0.47675</v>
      </c>
      <c r="G53" s="30" t="n">
        <f aca="false">輸入與假設!$C$50+(輸入與假設!$C$51-輸入與假設!$C$50)*4/4</f>
        <v>0.47</v>
      </c>
      <c r="I53" s="5" t="s">
        <v>224</v>
      </c>
    </row>
    <row r="54" customFormat="false" ht="15" hidden="false" customHeight="false" outlineLevel="1" collapsed="false">
      <c r="A54" s="3" t="s">
        <v>225</v>
      </c>
      <c r="B54" s="10" t="s">
        <v>56</v>
      </c>
      <c r="C54" s="31" t="n">
        <f aca="false">輸入與假設!C$46*運營_產能與收入!C36</f>
        <v>0</v>
      </c>
      <c r="D54" s="31" t="n">
        <f aca="false">輸入與假設!D$46*運營_產能與收入!D36</f>
        <v>0</v>
      </c>
      <c r="E54" s="31" t="n">
        <f aca="false">輸入與假設!E$46*運營_產能與收入!E36</f>
        <v>0</v>
      </c>
      <c r="F54" s="31" t="n">
        <f aca="false">輸入與假設!F$46*運營_產能與收入!F36</f>
        <v>0</v>
      </c>
      <c r="G54" s="31" t="n">
        <f aca="false">輸入與假設!G$46*運營_產能與收入!G36</f>
        <v>0</v>
      </c>
      <c r="I54" s="5" t="s">
        <v>226</v>
      </c>
    </row>
    <row r="55" customFormat="false" ht="15" hidden="false" customHeight="false" outlineLevel="1" collapsed="true">
      <c r="A55" s="18" t="s">
        <v>227</v>
      </c>
      <c r="B55" s="19"/>
      <c r="C55" s="19"/>
      <c r="D55" s="19"/>
      <c r="E55" s="19"/>
      <c r="F55" s="19"/>
      <c r="G55" s="19"/>
      <c r="H55" s="19"/>
    </row>
    <row r="56" customFormat="false" ht="15" hidden="true" customHeight="false" outlineLevel="2" collapsed="false">
      <c r="A56" s="3" t="s">
        <v>228</v>
      </c>
      <c r="B56" s="5"/>
      <c r="C56" s="20" t="n">
        <v>0</v>
      </c>
      <c r="I56" s="10" t="s">
        <v>229</v>
      </c>
    </row>
    <row r="57" customFormat="false" ht="15" hidden="true" customHeight="false" outlineLevel="2" collapsed="false">
      <c r="A57" s="3" t="s">
        <v>230</v>
      </c>
      <c r="B57" s="10" t="s">
        <v>231</v>
      </c>
      <c r="C57" s="20" t="n">
        <v>60</v>
      </c>
      <c r="D57" s="20" t="n">
        <v>62</v>
      </c>
      <c r="E57" s="20" t="n">
        <v>64</v>
      </c>
      <c r="F57" s="20" t="n">
        <v>66</v>
      </c>
      <c r="G57" s="20" t="n">
        <v>68</v>
      </c>
      <c r="I57" s="10" t="s">
        <v>232</v>
      </c>
    </row>
    <row r="58" customFormat="false" ht="15" hidden="true" customHeight="false" outlineLevel="2" collapsed="false">
      <c r="A58" s="4" t="s">
        <v>233</v>
      </c>
      <c r="B58" s="5"/>
      <c r="C58" s="32" t="n">
        <v>1.2</v>
      </c>
      <c r="D58" s="32" t="n">
        <v>1.2</v>
      </c>
      <c r="E58" s="32" t="n">
        <v>1.2</v>
      </c>
      <c r="F58" s="32" t="n">
        <v>1.2</v>
      </c>
      <c r="G58" s="32" t="n">
        <v>1.2</v>
      </c>
      <c r="I58" s="10" t="s">
        <v>232</v>
      </c>
    </row>
    <row r="59" customFormat="false" ht="15" hidden="true" customHeight="false" outlineLevel="2" collapsed="false">
      <c r="A59" s="3" t="s">
        <v>234</v>
      </c>
      <c r="B59" s="10" t="s">
        <v>235</v>
      </c>
      <c r="C59" s="32" t="n">
        <v>0.15</v>
      </c>
      <c r="D59" s="32" t="n">
        <v>0.15</v>
      </c>
      <c r="E59" s="32" t="n">
        <v>0.16</v>
      </c>
      <c r="F59" s="32" t="n">
        <v>0.16</v>
      </c>
      <c r="G59" s="32" t="n">
        <v>0.17</v>
      </c>
      <c r="I59" s="10" t="s">
        <v>232</v>
      </c>
    </row>
    <row r="61" customFormat="false" ht="15" hidden="false" customHeight="false" outlineLevel="0" collapsed="false">
      <c r="A61" s="6" t="s">
        <v>236</v>
      </c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1" collapsed="false">
      <c r="A62" s="3" t="s">
        <v>237</v>
      </c>
      <c r="B62" s="10" t="s">
        <v>42</v>
      </c>
      <c r="C62" s="23" t="n">
        <v>0.35</v>
      </c>
      <c r="I62" s="5" t="s">
        <v>238</v>
      </c>
    </row>
    <row r="63" customFormat="false" ht="15" hidden="false" customHeight="false" outlineLevel="1" collapsed="false">
      <c r="A63" s="4" t="s">
        <v>239</v>
      </c>
      <c r="B63" s="10" t="s">
        <v>143</v>
      </c>
      <c r="C63" s="21" t="n">
        <f aca="false">CHOOSE(輸入與假設!$C$5,I11,I14,I17)</f>
        <v>580</v>
      </c>
      <c r="I63" s="5" t="s">
        <v>240</v>
      </c>
    </row>
    <row r="64" customFormat="false" ht="15" hidden="false" customHeight="false" outlineLevel="1" collapsed="false">
      <c r="A64" s="4" t="s">
        <v>241</v>
      </c>
      <c r="B64" s="10" t="s">
        <v>56</v>
      </c>
      <c r="C64" s="24" t="n">
        <v>20</v>
      </c>
      <c r="I64" s="5" t="s">
        <v>242</v>
      </c>
    </row>
    <row r="65" customFormat="false" ht="15" hidden="false" customHeight="false" outlineLevel="1" collapsed="false">
      <c r="A65" s="4" t="s">
        <v>243</v>
      </c>
      <c r="B65" s="5" t="s">
        <v>244</v>
      </c>
      <c r="C65" s="20" t="n">
        <v>5</v>
      </c>
      <c r="I65" s="5" t="s">
        <v>245</v>
      </c>
    </row>
    <row r="66" customFormat="false" ht="15" hidden="false" customHeight="false" outlineLevel="1" collapsed="false">
      <c r="A66" s="4" t="s">
        <v>246</v>
      </c>
      <c r="B66" s="10" t="s">
        <v>56</v>
      </c>
      <c r="C66" s="24" t="n">
        <v>14.1495</v>
      </c>
      <c r="I66" s="5" t="s">
        <v>247</v>
      </c>
    </row>
    <row r="67" customFormat="false" ht="15" hidden="false" customHeight="false" outlineLevel="1" collapsed="false">
      <c r="A67" s="3" t="s">
        <v>248</v>
      </c>
      <c r="B67" s="10" t="s">
        <v>42</v>
      </c>
      <c r="C67" s="23" t="n">
        <v>1</v>
      </c>
      <c r="I67" s="5" t="s">
        <v>249</v>
      </c>
    </row>
    <row r="68" customFormat="false" ht="15" hidden="false" customHeight="false" outlineLevel="1" collapsed="false">
      <c r="A68" s="13" t="s">
        <v>50</v>
      </c>
      <c r="B68" s="13" t="s">
        <v>51</v>
      </c>
      <c r="C68" s="26" t="s">
        <v>52</v>
      </c>
      <c r="D68" s="26" t="s">
        <v>53</v>
      </c>
      <c r="E68" s="26" t="s">
        <v>54</v>
      </c>
      <c r="F68" s="26" t="s">
        <v>139</v>
      </c>
      <c r="G68" s="26" t="s">
        <v>140</v>
      </c>
      <c r="I68" s="13" t="s">
        <v>195</v>
      </c>
    </row>
    <row r="69" customFormat="false" ht="15" hidden="false" customHeight="false" outlineLevel="1" collapsed="false">
      <c r="A69" s="3" t="s">
        <v>250</v>
      </c>
      <c r="B69" s="10" t="s">
        <v>235</v>
      </c>
      <c r="C69" s="33" t="n">
        <f aca="false">每MW收入_錨定!C24*TK_CapexTotal_H100+每MW收入_錨定!C25*TK_CapexTotal_GB200+每MW收入_錨定!C26*TK_CapexTotal_GB300+每MW收入_錨定!C27*TK_CapexTotal_VR200</f>
        <v>44.907224</v>
      </c>
      <c r="D69" s="33" t="n">
        <f aca="false">每MW收入_錨定!D24*TK_CapexTotal_H100+每MW收入_錨定!D25*TK_CapexTotal_GB200+每MW收入_錨定!D26*TK_CapexTotal_GB300+每MW收入_錨定!D27*TK_CapexTotal_VR200</f>
        <v>47.581788</v>
      </c>
      <c r="E69" s="33" t="n">
        <f aca="false">每MW收入_錨定!E24*TK_CapexTotal_H100+每MW收入_錨定!E25*TK_CapexTotal_GB200+每MW收入_錨定!E26*TK_CapexTotal_GB300+每MW收入_錨定!E27*TK_CapexTotal_VR200</f>
        <v>50.256352</v>
      </c>
      <c r="F69" s="33" t="n">
        <f aca="false">每MW收入_錨定!F24*TK_CapexTotal_H100+每MW收入_錨定!F25*TK_CapexTotal_GB200+每MW收入_錨定!F26*TK_CapexTotal_GB300+每MW收入_錨定!F27*TK_CapexTotal_VR200</f>
        <v>50.256352</v>
      </c>
      <c r="G69" s="33" t="n">
        <f aca="false">每MW收入_錨定!G24*TK_CapexTotal_H100+每MW收入_錨定!G25*TK_CapexTotal_GB200+每MW收入_錨定!G26*TK_CapexTotal_GB300+每MW收入_錨定!G27*TK_CapexTotal_VR200</f>
        <v>50.256352</v>
      </c>
      <c r="I69" s="10" t="s">
        <v>251</v>
      </c>
    </row>
    <row r="70" customFormat="false" ht="15" hidden="false" customHeight="false" outlineLevel="1" collapsed="false">
      <c r="A70" s="3" t="s">
        <v>252</v>
      </c>
      <c r="B70" s="10" t="s">
        <v>235</v>
      </c>
      <c r="C70" s="34" t="n">
        <v>50.12</v>
      </c>
      <c r="D70" s="34" t="n">
        <v>50.26</v>
      </c>
      <c r="E70" s="34" t="n">
        <v>50.26</v>
      </c>
      <c r="F70" s="34" t="n">
        <v>50.26</v>
      </c>
      <c r="G70" s="34" t="n">
        <v>50.26</v>
      </c>
      <c r="I70" s="10" t="s">
        <v>253</v>
      </c>
    </row>
    <row r="71" customFormat="false" ht="15" hidden="false" customHeight="false" outlineLevel="1" collapsed="false">
      <c r="A71" s="3" t="s">
        <v>254</v>
      </c>
      <c r="B71" s="10" t="s">
        <v>42</v>
      </c>
      <c r="C71" s="23" t="n">
        <v>0.7</v>
      </c>
      <c r="I71" s="5" t="s">
        <v>255</v>
      </c>
    </row>
    <row r="72" customFormat="false" ht="15" hidden="false" customHeight="false" outlineLevel="1" collapsed="false">
      <c r="A72" s="3" t="s">
        <v>256</v>
      </c>
      <c r="B72" s="10" t="s">
        <v>42</v>
      </c>
      <c r="C72" s="23" t="n">
        <v>0.55</v>
      </c>
      <c r="I72" s="5" t="s">
        <v>257</v>
      </c>
    </row>
    <row r="73" customFormat="false" ht="15" hidden="false" customHeight="false" outlineLevel="1" collapsed="false">
      <c r="A73" s="3" t="s">
        <v>258</v>
      </c>
      <c r="B73" s="5" t="s">
        <v>244</v>
      </c>
      <c r="C73" s="34" t="n">
        <v>3</v>
      </c>
      <c r="I73" s="5" t="s">
        <v>259</v>
      </c>
    </row>
    <row r="74" customFormat="false" ht="15" hidden="false" customHeight="false" outlineLevel="1" collapsed="false">
      <c r="A74" s="4" t="s">
        <v>260</v>
      </c>
      <c r="B74" s="10" t="s">
        <v>56</v>
      </c>
      <c r="C74" s="24" t="n">
        <v>5.9752</v>
      </c>
      <c r="I74" s="5" t="s">
        <v>261</v>
      </c>
    </row>
    <row r="75" customFormat="false" ht="15" hidden="false" customHeight="false" outlineLevel="1" collapsed="false">
      <c r="A75" s="13" t="s">
        <v>50</v>
      </c>
      <c r="B75" s="13" t="s">
        <v>51</v>
      </c>
      <c r="C75" s="26" t="s">
        <v>52</v>
      </c>
      <c r="D75" s="26" t="s">
        <v>53</v>
      </c>
      <c r="E75" s="26" t="s">
        <v>54</v>
      </c>
      <c r="F75" s="26" t="s">
        <v>139</v>
      </c>
      <c r="G75" s="26" t="s">
        <v>140</v>
      </c>
      <c r="I75" s="13" t="s">
        <v>195</v>
      </c>
    </row>
    <row r="76" customFormat="false" ht="15" hidden="false" customHeight="false" outlineLevel="1" collapsed="false">
      <c r="A76" s="3" t="s">
        <v>262</v>
      </c>
      <c r="B76" s="10" t="s">
        <v>42</v>
      </c>
      <c r="C76" s="30" t="n">
        <f aca="false">輸入與假設!$C$71*輸入與假設!$C$72</f>
        <v>0.385</v>
      </c>
      <c r="D76" s="30" t="n">
        <f aca="false">輸入與假設!$C$71*輸入與假設!$C$72</f>
        <v>0.385</v>
      </c>
      <c r="E76" s="30" t="n">
        <f aca="false">輸入與假設!$C$71*輸入與假設!$C$72</f>
        <v>0.385</v>
      </c>
      <c r="F76" s="30" t="n">
        <f aca="false">輸入與假設!$C$71*輸入與假設!$C$72</f>
        <v>0.385</v>
      </c>
      <c r="G76" s="30" t="n">
        <f aca="false">輸入與假設!$C$71*輸入與假設!$C$72</f>
        <v>0.385</v>
      </c>
      <c r="I76" s="5" t="s">
        <v>263</v>
      </c>
    </row>
    <row r="77" customFormat="false" ht="15" hidden="false" customHeight="false" outlineLevel="1" collapsed="false">
      <c r="A77" s="3" t="s">
        <v>264</v>
      </c>
      <c r="B77" s="10" t="s">
        <v>56</v>
      </c>
      <c r="C77" s="24" t="n">
        <v>0.0916</v>
      </c>
      <c r="D77" s="24" t="n">
        <v>0.2352</v>
      </c>
      <c r="E77" s="24" t="n">
        <v>0.2342</v>
      </c>
      <c r="F77" s="24" t="n">
        <v>0.2414</v>
      </c>
      <c r="G77" s="24" t="n">
        <v>0.2427</v>
      </c>
      <c r="I77" s="5" t="s">
        <v>265</v>
      </c>
    </row>
    <row r="78" customFormat="false" ht="15" hidden="false" customHeight="false" outlineLevel="1" collapsed="false">
      <c r="A78" s="3" t="s">
        <v>266</v>
      </c>
      <c r="B78" s="10" t="s">
        <v>56</v>
      </c>
      <c r="C78" s="31" t="n">
        <f aca="false">C23*MAX(0,C39-輸入與假設!$C$24)/(C17-輸入與假設!$C$24)</f>
        <v>0.05</v>
      </c>
      <c r="D78" s="31" t="n">
        <f aca="false">D23*MAX(0,D39-輸入與假設!$C$24)/(D17-輸入與假設!$C$24)</f>
        <v>0.42008843967151</v>
      </c>
      <c r="E78" s="31" t="n">
        <f aca="false">E23*MAX(0,E39-輸入與假設!$C$24)/(E17-輸入與假設!$C$24)</f>
        <v>0.790562913907285</v>
      </c>
      <c r="F78" s="31" t="n">
        <f aca="false">F23*MAX(0,F39-輸入與假設!$C$24)/(F17-輸入與假設!$C$24)</f>
        <v>0.766389658356417</v>
      </c>
      <c r="G78" s="31" t="n">
        <f aca="false">G23*MAX(0,G39-輸入與假設!$C$24)/(G17-輸入與假設!$C$24)</f>
        <v>0.752082312591867</v>
      </c>
      <c r="I78" s="5" t="s">
        <v>267</v>
      </c>
    </row>
    <row r="79" customFormat="false" ht="15" hidden="false" customHeight="false" outlineLevel="1" collapsed="false">
      <c r="A79" s="4" t="s">
        <v>268</v>
      </c>
      <c r="B79" s="10" t="s">
        <v>56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I79" s="5" t="s">
        <v>269</v>
      </c>
    </row>
    <row r="80" customFormat="false" ht="15" hidden="false" customHeight="false" outlineLevel="1" collapsed="false">
      <c r="A80" s="4" t="s">
        <v>270</v>
      </c>
      <c r="B80" s="10" t="s">
        <v>56</v>
      </c>
      <c r="C80" s="24" t="n">
        <v>0</v>
      </c>
      <c r="D80" s="24" t="n">
        <v>0</v>
      </c>
      <c r="E80" s="24" t="n">
        <v>0</v>
      </c>
      <c r="F80" s="24" t="n">
        <v>0</v>
      </c>
      <c r="G80" s="24" t="n">
        <v>0</v>
      </c>
      <c r="I80" s="5" t="s">
        <v>271</v>
      </c>
    </row>
    <row r="81" customFormat="false" ht="15" hidden="false" customHeight="false" outlineLevel="1" collapsed="false">
      <c r="A81" s="4" t="s">
        <v>272</v>
      </c>
      <c r="B81" s="10" t="s">
        <v>56</v>
      </c>
      <c r="C81" s="31" t="n">
        <f aca="false">C79+C80</f>
        <v>0</v>
      </c>
      <c r="D81" s="31" t="n">
        <f aca="false">D79+D80</f>
        <v>0</v>
      </c>
      <c r="E81" s="31" t="n">
        <f aca="false">E79+E80</f>
        <v>0</v>
      </c>
      <c r="F81" s="31" t="n">
        <f aca="false">F79+F80</f>
        <v>0</v>
      </c>
      <c r="G81" s="31" t="n">
        <f aca="false">G79+G80</f>
        <v>0</v>
      </c>
      <c r="I81" s="5" t="s">
        <v>273</v>
      </c>
    </row>
    <row r="82" customFormat="false" ht="15" hidden="false" customHeight="false" outlineLevel="1" collapsed="true">
      <c r="A82" s="35" t="s">
        <v>274</v>
      </c>
      <c r="B82" s="19"/>
      <c r="C82" s="19"/>
      <c r="D82" s="19"/>
      <c r="E82" s="19"/>
      <c r="F82" s="19"/>
      <c r="G82" s="19"/>
      <c r="H82" s="19"/>
    </row>
    <row r="83" customFormat="false" ht="15" hidden="true" customHeight="false" outlineLevel="2" collapsed="false">
      <c r="A83" s="3" t="s">
        <v>275</v>
      </c>
      <c r="B83" s="10" t="s">
        <v>143</v>
      </c>
      <c r="C83" s="21" t="n">
        <f aca="false">輸入與假設!$C$30</f>
        <v>170</v>
      </c>
      <c r="D83" s="21" t="n">
        <f aca="false">C39</f>
        <v>750</v>
      </c>
      <c r="E83" s="21" t="n">
        <f aca="false">D39</f>
        <v>1330</v>
      </c>
      <c r="F83" s="21" t="n">
        <f aca="false">E39</f>
        <v>1910</v>
      </c>
      <c r="G83" s="21" t="n">
        <f aca="false">F39</f>
        <v>2490</v>
      </c>
      <c r="I83" s="10" t="s">
        <v>276</v>
      </c>
    </row>
    <row r="84" customFormat="false" ht="15" hidden="true" customHeight="false" outlineLevel="2" collapsed="false">
      <c r="A84" s="3" t="s">
        <v>277</v>
      </c>
      <c r="B84" s="10" t="s">
        <v>143</v>
      </c>
      <c r="C84" s="21" t="n">
        <f aca="false">C39-C83</f>
        <v>580</v>
      </c>
      <c r="D84" s="21" t="n">
        <f aca="false">D39-D83</f>
        <v>580</v>
      </c>
      <c r="E84" s="21" t="n">
        <f aca="false">E39-E83</f>
        <v>580</v>
      </c>
      <c r="F84" s="21" t="n">
        <f aca="false">F39-F83</f>
        <v>580</v>
      </c>
      <c r="G84" s="21" t="n">
        <f aca="false">G39-G83</f>
        <v>580</v>
      </c>
    </row>
    <row r="85" customFormat="false" ht="15" hidden="true" customHeight="false" outlineLevel="2" collapsed="false">
      <c r="A85" s="3" t="s">
        <v>278</v>
      </c>
      <c r="B85" s="10" t="s">
        <v>143</v>
      </c>
      <c r="C85" s="21" t="n">
        <f aca="false">D39-C39</f>
        <v>580</v>
      </c>
      <c r="D85" s="21" t="n">
        <f aca="false">E39-D39</f>
        <v>580</v>
      </c>
      <c r="E85" s="21" t="n">
        <f aca="false">F39-E39</f>
        <v>580</v>
      </c>
      <c r="F85" s="21" t="n">
        <f aca="false">G39-F39</f>
        <v>580</v>
      </c>
      <c r="G85" s="21" t="n">
        <f aca="false">輸入與假設!$C$63</f>
        <v>580</v>
      </c>
    </row>
    <row r="86" customFormat="false" ht="15" hidden="true" customHeight="false" outlineLevel="2" collapsed="false">
      <c r="A86" s="3" t="s">
        <v>279</v>
      </c>
      <c r="B86" s="10" t="s">
        <v>56</v>
      </c>
      <c r="C86" s="31" t="n">
        <f aca="false">(C84*(1-輸入與假設!$C$62)+C85*輸入與假設!$C$62)*C69*輸入與假設!$C$67/1000</f>
        <v>26.04618992</v>
      </c>
      <c r="D86" s="31" t="n">
        <f aca="false">(D84*(1-輸入與假設!$C$62)+D85*輸入與假設!$C$62)*D69*輸入與假設!$C$67/1000</f>
        <v>27.59743704</v>
      </c>
      <c r="E86" s="31" t="n">
        <f aca="false">(E84*(1-輸入與假設!$C$62)+E85*輸入與假設!$C$62)*E69*輸入與假設!$C$67/1000</f>
        <v>29.14868416</v>
      </c>
      <c r="F86" s="31" t="n">
        <f aca="false">(F84*(1-輸入與假設!$C$62)+F85*輸入與假設!$C$62)*F69*輸入與假設!$C$67/1000</f>
        <v>29.14868416</v>
      </c>
      <c r="G86" s="31" t="n">
        <f aca="false">(G84*(1-輸入與假設!$C$62)+G85*輸入與假設!$C$62)*G69*輸入與假設!$C$67/1000</f>
        <v>29.14868416</v>
      </c>
      <c r="I86" s="5" t="s">
        <v>280</v>
      </c>
    </row>
    <row r="87" customFormat="false" ht="15" hidden="true" customHeight="false" outlineLevel="2" collapsed="false">
      <c r="A87" s="3" t="s">
        <v>281</v>
      </c>
      <c r="B87" s="10" t="s">
        <v>56</v>
      </c>
      <c r="C87" s="31" t="n">
        <f aca="false">MAX(C86,輸入與假設!$C$64)-輸入與假設!$C$182</f>
        <v>17.91588992</v>
      </c>
      <c r="D87" s="31" t="n">
        <f aca="false">D86</f>
        <v>27.59743704</v>
      </c>
      <c r="E87" s="31" t="n">
        <f aca="false">E86</f>
        <v>29.14868416</v>
      </c>
      <c r="F87" s="31" t="n">
        <f aca="false">F86</f>
        <v>29.14868416</v>
      </c>
      <c r="G87" s="31" t="n">
        <f aca="false">G86</f>
        <v>29.14868416</v>
      </c>
      <c r="I87" s="10" t="s">
        <v>282</v>
      </c>
    </row>
    <row r="88" customFormat="false" ht="15" hidden="true" customHeight="false" outlineLevel="2" collapsed="false">
      <c r="A88" s="4" t="s">
        <v>283</v>
      </c>
      <c r="B88" s="10" t="s">
        <v>56</v>
      </c>
      <c r="C88" s="31" t="n">
        <f aca="false">IF(2026-輸入與假設!$C$65=2025,輸入與假設!$C$30,0)*C69*輸入與假設!$C$67/1000</f>
        <v>0</v>
      </c>
      <c r="D88" s="31" t="n">
        <f aca="false">IF(2027-輸入與假設!$C$65=2025,輸入與假設!$C$30,0)*D69*輸入與假設!$C$67/1000</f>
        <v>0</v>
      </c>
      <c r="E88" s="31" t="n">
        <f aca="false">IF(2028-輸入與假設!$C$65=2025,輸入與假設!$C$30,0)*E69*輸入與假設!$C$67/1000</f>
        <v>0</v>
      </c>
      <c r="F88" s="31" t="n">
        <f aca="false">IF(2029-輸入與假設!$C$65=2025,輸入與假設!$C$30,0)*F69*輸入與假設!$C$67/1000</f>
        <v>0</v>
      </c>
      <c r="G88" s="31" t="n">
        <f aca="false">IF(2030-輸入與假設!$C$65=2025,輸入與假設!$C$30,0)*G69*輸入與假設!$C$67/1000</f>
        <v>8.54357984</v>
      </c>
      <c r="I88" s="5" t="s">
        <v>284</v>
      </c>
    </row>
    <row r="89" customFormat="false" ht="15" hidden="true" customHeight="false" outlineLevel="2" collapsed="false">
      <c r="A89" s="3" t="s">
        <v>285</v>
      </c>
      <c r="B89" s="10" t="s">
        <v>56</v>
      </c>
      <c r="C89" s="31" t="n">
        <f aca="false">輸入與假設!$C$66</f>
        <v>14.1495</v>
      </c>
      <c r="D89" s="31" t="n">
        <f aca="false">C89+C87</f>
        <v>32.06538992</v>
      </c>
      <c r="E89" s="31" t="n">
        <f aca="false">D89+D87</f>
        <v>59.66282696</v>
      </c>
      <c r="F89" s="31" t="n">
        <f aca="false">E89+E87</f>
        <v>88.81151112</v>
      </c>
      <c r="G89" s="31" t="n">
        <f aca="false">F89+F87</f>
        <v>117.96019528</v>
      </c>
      <c r="I89" s="5" t="s">
        <v>286</v>
      </c>
    </row>
    <row r="90" customFormat="false" ht="15" hidden="false" customHeight="false" outlineLevel="1" collapsed="false">
      <c r="A90" s="35" t="s">
        <v>287</v>
      </c>
      <c r="B90" s="19"/>
      <c r="C90" s="19"/>
      <c r="D90" s="19"/>
      <c r="E90" s="19"/>
      <c r="F90" s="19"/>
      <c r="G90" s="19"/>
      <c r="H90" s="19"/>
    </row>
    <row r="91" customFormat="false" ht="15" hidden="false" customHeight="false" outlineLevel="2" collapsed="false">
      <c r="A91" s="3" t="s">
        <v>288</v>
      </c>
      <c r="B91" s="10" t="s">
        <v>56</v>
      </c>
      <c r="C91" s="36" t="n">
        <f aca="false">C87+C88</f>
        <v>17.91588992</v>
      </c>
      <c r="D91" s="36" t="n">
        <f aca="false">D87+D88</f>
        <v>27.59743704</v>
      </c>
      <c r="E91" s="36" t="n">
        <f aca="false">E87+E88</f>
        <v>29.14868416</v>
      </c>
      <c r="F91" s="36" t="n">
        <f aca="false">F87+F88</f>
        <v>29.14868416</v>
      </c>
      <c r="G91" s="36" t="n">
        <f aca="false">G87+G88</f>
        <v>37.692264</v>
      </c>
      <c r="I91" s="5" t="s">
        <v>289</v>
      </c>
    </row>
    <row r="92" customFormat="false" ht="15" hidden="false" customHeight="false" outlineLevel="2" collapsed="false">
      <c r="A92" s="4" t="s">
        <v>290</v>
      </c>
      <c r="B92" s="10" t="s">
        <v>56</v>
      </c>
      <c r="C92" s="36" t="n">
        <f aca="false">(C89+0.5*C87)/輸入與假設!$C$65*C37</f>
        <v>2.310744496</v>
      </c>
      <c r="D92" s="36" t="n">
        <f aca="false">(D89+0.5*D87)/輸入與假設!$C$65*D37</f>
        <v>9.172821688</v>
      </c>
      <c r="E92" s="36" t="n">
        <f aca="false">(E89+0.5*E87)/輸入與假設!$C$65*E37</f>
        <v>14.847433808</v>
      </c>
      <c r="F92" s="36" t="n">
        <f aca="false">(F89+0.5*F87)/輸入與假設!$C$65*F37</f>
        <v>20.67717064</v>
      </c>
      <c r="G92" s="36" t="n">
        <f aca="false">(G89+0.5*G87)/輸入與假設!$C$65*G37</f>
        <v>26.506907472</v>
      </c>
      <c r="I92" s="5" t="s">
        <v>291</v>
      </c>
    </row>
    <row r="94" customFormat="false" ht="15" hidden="false" customHeight="false" outlineLevel="0" collapsed="false">
      <c r="A94" s="6" t="s">
        <v>292</v>
      </c>
      <c r="B94" s="7"/>
      <c r="C94" s="7"/>
      <c r="D94" s="7"/>
      <c r="E94" s="7"/>
      <c r="F94" s="7"/>
      <c r="G94" s="7"/>
      <c r="H94" s="7"/>
    </row>
    <row r="95" customFormat="false" ht="15" hidden="false" customHeight="false" outlineLevel="1" collapsed="false">
      <c r="A95" s="3" t="s">
        <v>293</v>
      </c>
      <c r="B95" s="10" t="s">
        <v>56</v>
      </c>
      <c r="C95" s="24" t="n">
        <v>8.0421</v>
      </c>
      <c r="I95" s="5" t="s">
        <v>294</v>
      </c>
    </row>
    <row r="96" customFormat="false" ht="15" hidden="false" customHeight="false" outlineLevel="1" collapsed="false">
      <c r="A96" s="3" t="s">
        <v>295</v>
      </c>
      <c r="B96" s="10" t="s">
        <v>56</v>
      </c>
      <c r="C96" s="24" t="n">
        <v>5.68</v>
      </c>
      <c r="I96" s="10" t="s">
        <v>296</v>
      </c>
    </row>
    <row r="97" customFormat="false" ht="15" hidden="false" customHeight="false" outlineLevel="1" collapsed="false">
      <c r="A97" s="3" t="s">
        <v>297</v>
      </c>
      <c r="B97" s="5"/>
      <c r="C97" s="20" t="n">
        <v>1</v>
      </c>
      <c r="I97" s="5" t="s">
        <v>298</v>
      </c>
    </row>
    <row r="98" customFormat="false" ht="15" hidden="false" customHeight="false" outlineLevel="1" collapsed="false">
      <c r="A98" s="3" t="s">
        <v>299</v>
      </c>
      <c r="B98" s="10" t="s">
        <v>56</v>
      </c>
      <c r="C98" s="24" t="n">
        <v>0.775</v>
      </c>
      <c r="I98" s="5" t="s">
        <v>300</v>
      </c>
    </row>
    <row r="99" customFormat="false" ht="15" hidden="false" customHeight="false" outlineLevel="1" collapsed="false">
      <c r="A99" s="3" t="s">
        <v>301</v>
      </c>
      <c r="B99" s="5"/>
      <c r="C99" s="20" t="n">
        <v>1</v>
      </c>
      <c r="I99" s="5" t="s">
        <v>302</v>
      </c>
    </row>
    <row r="100" customFormat="false" ht="15" hidden="false" customHeight="false" outlineLevel="1" collapsed="false">
      <c r="A100" s="3" t="s">
        <v>303</v>
      </c>
      <c r="B100" s="5"/>
      <c r="C100" s="20" t="n">
        <v>1</v>
      </c>
      <c r="I100" s="5" t="s">
        <v>304</v>
      </c>
    </row>
    <row r="101" customFormat="false" ht="15" hidden="false" customHeight="false" outlineLevel="1" collapsed="false">
      <c r="A101" s="3" t="s">
        <v>305</v>
      </c>
      <c r="B101" s="10" t="s">
        <v>102</v>
      </c>
      <c r="C101" s="37" t="n">
        <v>0.5</v>
      </c>
      <c r="I101" s="5" t="s">
        <v>306</v>
      </c>
    </row>
    <row r="102" customFormat="false" ht="15" hidden="false" customHeight="false" outlineLevel="1" collapsed="false">
      <c r="A102" s="3" t="s">
        <v>307</v>
      </c>
      <c r="B102" s="5" t="s">
        <v>244</v>
      </c>
      <c r="C102" s="20" t="n">
        <v>3</v>
      </c>
      <c r="I102" s="5" t="s">
        <v>308</v>
      </c>
    </row>
    <row r="103" customFormat="false" ht="15" hidden="false" customHeight="false" outlineLevel="1" collapsed="false">
      <c r="A103" s="3" t="s">
        <v>309</v>
      </c>
      <c r="B103" s="10" t="s">
        <v>56</v>
      </c>
      <c r="C103" s="24" t="n">
        <v>2</v>
      </c>
      <c r="I103" s="5" t="s">
        <v>310</v>
      </c>
    </row>
    <row r="104" customFormat="false" ht="15" hidden="false" customHeight="false" outlineLevel="1" collapsed="false">
      <c r="A104" s="3" t="s">
        <v>311</v>
      </c>
      <c r="B104" s="10" t="s">
        <v>39</v>
      </c>
      <c r="C104" s="38" t="n">
        <v>249.87</v>
      </c>
      <c r="I104" s="5" t="s">
        <v>312</v>
      </c>
    </row>
    <row r="105" customFormat="false" ht="15" hidden="false" customHeight="false" outlineLevel="1" collapsed="false">
      <c r="A105" s="3" t="s">
        <v>313</v>
      </c>
      <c r="B105" s="10" t="s">
        <v>42</v>
      </c>
      <c r="C105" s="23" t="n">
        <v>0.1</v>
      </c>
      <c r="I105" s="5" t="s">
        <v>314</v>
      </c>
    </row>
    <row r="106" customFormat="false" ht="15" hidden="false" customHeight="false" outlineLevel="1" collapsed="false">
      <c r="A106" s="3" t="s">
        <v>315</v>
      </c>
      <c r="B106" s="10" t="s">
        <v>42</v>
      </c>
      <c r="C106" s="23" t="n">
        <v>0.2</v>
      </c>
      <c r="I106" s="5" t="s">
        <v>316</v>
      </c>
    </row>
    <row r="107" customFormat="false" ht="15" hidden="false" customHeight="false" outlineLevel="1" collapsed="false">
      <c r="A107" s="3" t="s">
        <v>317</v>
      </c>
      <c r="B107" s="10" t="s">
        <v>318</v>
      </c>
      <c r="C107" s="39" t="n">
        <v>0.3088</v>
      </c>
      <c r="I107" s="5" t="s">
        <v>319</v>
      </c>
    </row>
    <row r="108" customFormat="false" ht="15" hidden="false" customHeight="false" outlineLevel="1" collapsed="false">
      <c r="A108" s="3" t="s">
        <v>320</v>
      </c>
      <c r="B108" s="10" t="s">
        <v>321</v>
      </c>
      <c r="C108" s="24" t="n">
        <v>0</v>
      </c>
      <c r="I108" s="5" t="s">
        <v>322</v>
      </c>
    </row>
    <row r="109" customFormat="false" ht="15" hidden="false" customHeight="false" outlineLevel="1" collapsed="false">
      <c r="A109" s="3" t="s">
        <v>323</v>
      </c>
      <c r="B109" s="10" t="s">
        <v>321</v>
      </c>
      <c r="C109" s="24" t="n">
        <v>5</v>
      </c>
      <c r="I109" s="5" t="s">
        <v>322</v>
      </c>
    </row>
    <row r="110" customFormat="false" ht="15" hidden="false" customHeight="false" outlineLevel="1" collapsed="false">
      <c r="A110" s="3" t="s">
        <v>324</v>
      </c>
      <c r="B110" s="10" t="s">
        <v>321</v>
      </c>
      <c r="C110" s="24" t="n">
        <v>10</v>
      </c>
      <c r="I110" s="5" t="s">
        <v>322</v>
      </c>
    </row>
    <row r="111" customFormat="false" ht="15" hidden="false" customHeight="false" outlineLevel="1" collapsed="false">
      <c r="A111" s="3" t="s">
        <v>325</v>
      </c>
      <c r="B111" s="10" t="s">
        <v>321</v>
      </c>
      <c r="C111" s="31" t="n">
        <f aca="false">CHOOSE(輸入與假設!$C$5,輸入與假設!$C$108,輸入與假設!$C$109,輸入與假設!$C$110)</f>
        <v>5</v>
      </c>
      <c r="I111" s="5" t="s">
        <v>326</v>
      </c>
    </row>
    <row r="112" customFormat="false" ht="15" hidden="false" customHeight="false" outlineLevel="1" collapsed="false">
      <c r="A112" s="3" t="s">
        <v>327</v>
      </c>
      <c r="B112" s="10" t="s">
        <v>42</v>
      </c>
      <c r="C112" s="23" t="n">
        <v>0.021</v>
      </c>
      <c r="I112" s="10" t="s">
        <v>328</v>
      </c>
    </row>
    <row r="113" customFormat="false" ht="15" hidden="false" customHeight="false" outlineLevel="1" collapsed="false">
      <c r="A113" s="3" t="s">
        <v>329</v>
      </c>
      <c r="B113" s="10" t="s">
        <v>42</v>
      </c>
      <c r="C113" s="23" t="n">
        <v>0.45</v>
      </c>
      <c r="I113" s="10" t="s">
        <v>330</v>
      </c>
    </row>
    <row r="114" customFormat="false" ht="15" hidden="false" customHeight="false" outlineLevel="1" collapsed="false">
      <c r="A114" s="3" t="s">
        <v>331</v>
      </c>
      <c r="B114" s="10" t="s">
        <v>42</v>
      </c>
      <c r="C114" s="23" t="n">
        <v>0.12</v>
      </c>
      <c r="I114" s="5" t="s">
        <v>332</v>
      </c>
    </row>
    <row r="115" customFormat="false" ht="15" hidden="false" customHeight="false" outlineLevel="1" collapsed="false">
      <c r="A115" s="4" t="s">
        <v>333</v>
      </c>
      <c r="B115" s="10" t="s">
        <v>334</v>
      </c>
      <c r="C115" s="20"/>
      <c r="I115" s="5" t="s">
        <v>335</v>
      </c>
    </row>
    <row r="116" customFormat="false" ht="15" hidden="false" customHeight="false" outlineLevel="1" collapsed="false">
      <c r="A116" s="4" t="s">
        <v>336</v>
      </c>
      <c r="B116" s="5"/>
      <c r="C116" s="20" t="n">
        <v>0</v>
      </c>
      <c r="I116" s="5" t="s">
        <v>337</v>
      </c>
    </row>
    <row r="117" customFormat="false" ht="15" hidden="false" customHeight="false" outlineLevel="1" collapsed="false">
      <c r="A117" s="4" t="s">
        <v>338</v>
      </c>
      <c r="B117" s="10" t="s">
        <v>334</v>
      </c>
      <c r="C117" s="20" t="n">
        <v>450</v>
      </c>
      <c r="I117" s="10" t="s">
        <v>339</v>
      </c>
    </row>
    <row r="118" customFormat="false" ht="15" hidden="false" customHeight="false" outlineLevel="1" collapsed="false">
      <c r="A118" s="4" t="s">
        <v>340</v>
      </c>
      <c r="B118" s="10" t="s">
        <v>42</v>
      </c>
      <c r="C118" s="23" t="n">
        <v>0.4</v>
      </c>
      <c r="I118" s="5" t="s">
        <v>341</v>
      </c>
    </row>
    <row r="119" customFormat="false" ht="15" hidden="false" customHeight="false" outlineLevel="1" collapsed="false">
      <c r="A119" s="13" t="s">
        <v>50</v>
      </c>
      <c r="B119" s="13" t="s">
        <v>51</v>
      </c>
      <c r="C119" s="26" t="s">
        <v>52</v>
      </c>
      <c r="D119" s="26" t="s">
        <v>53</v>
      </c>
      <c r="E119" s="26" t="s">
        <v>54</v>
      </c>
      <c r="F119" s="26" t="s">
        <v>139</v>
      </c>
      <c r="G119" s="26" t="s">
        <v>140</v>
      </c>
      <c r="I119" s="13" t="s">
        <v>195</v>
      </c>
    </row>
    <row r="120" customFormat="false" ht="15" hidden="false" customHeight="false" outlineLevel="1" collapsed="false">
      <c r="A120" s="3" t="s">
        <v>342</v>
      </c>
      <c r="B120" s="10" t="s">
        <v>56</v>
      </c>
      <c r="C120" s="24" t="n">
        <v>0.0467</v>
      </c>
      <c r="D120" s="24" t="n">
        <v>0</v>
      </c>
      <c r="E120" s="24" t="n">
        <v>0</v>
      </c>
      <c r="F120" s="24" t="n">
        <v>0</v>
      </c>
      <c r="G120" s="24" t="n">
        <v>0</v>
      </c>
      <c r="I120" s="5" t="s">
        <v>343</v>
      </c>
    </row>
    <row r="121" customFormat="false" ht="15" hidden="false" customHeight="false" outlineLevel="1" collapsed="false">
      <c r="A121" s="3" t="s">
        <v>344</v>
      </c>
      <c r="B121" s="10" t="s">
        <v>42</v>
      </c>
      <c r="C121" s="23" t="n">
        <v>0.065</v>
      </c>
      <c r="D121" s="23" t="n">
        <v>0.065</v>
      </c>
      <c r="E121" s="23" t="n">
        <v>0.065</v>
      </c>
      <c r="F121" s="23" t="n">
        <v>0.065</v>
      </c>
      <c r="G121" s="23" t="n">
        <v>0.065</v>
      </c>
      <c r="I121" s="5" t="s">
        <v>345</v>
      </c>
    </row>
    <row r="122" customFormat="false" ht="15" hidden="false" customHeight="false" outlineLevel="1" collapsed="false">
      <c r="A122" s="3" t="s">
        <v>346</v>
      </c>
      <c r="B122" s="10" t="s">
        <v>56</v>
      </c>
      <c r="C122" s="40" t="n">
        <f aca="false">資產負債_既有債務!C46</f>
        <v>0.060375</v>
      </c>
      <c r="D122" s="40" t="n">
        <f aca="false">資產負債_既有債務!D46</f>
        <v>0.12075</v>
      </c>
      <c r="E122" s="40" t="n">
        <f aca="false">資產負債_既有債務!E46</f>
        <v>0.12075</v>
      </c>
      <c r="F122" s="40" t="n">
        <f aca="false">資產負債_既有債務!F46</f>
        <v>0.12075</v>
      </c>
      <c r="G122" s="40" t="n">
        <f aca="false">資產負債_既有債務!G46</f>
        <v>0.112125</v>
      </c>
      <c r="I122" s="5" t="s">
        <v>347</v>
      </c>
    </row>
    <row r="124" customFormat="false" ht="15" hidden="false" customHeight="false" outlineLevel="0" collapsed="false">
      <c r="A124" s="6" t="s">
        <v>348</v>
      </c>
      <c r="B124" s="7"/>
      <c r="C124" s="7"/>
      <c r="D124" s="7"/>
      <c r="E124" s="7"/>
      <c r="F124" s="7"/>
      <c r="G124" s="7"/>
      <c r="H124" s="7"/>
    </row>
    <row r="125" customFormat="false" ht="15" hidden="false" customHeight="false" outlineLevel="1" collapsed="false">
      <c r="A125" s="3" t="s">
        <v>349</v>
      </c>
      <c r="B125" s="10" t="s">
        <v>39</v>
      </c>
      <c r="C125" s="38" t="n">
        <v>249.87</v>
      </c>
      <c r="I125" s="10" t="s">
        <v>350</v>
      </c>
    </row>
    <row r="126" customFormat="false" ht="15" hidden="false" customHeight="false" outlineLevel="1" collapsed="false">
      <c r="A126" s="3" t="s">
        <v>351</v>
      </c>
      <c r="B126" s="10" t="s">
        <v>318</v>
      </c>
      <c r="C126" s="39" t="n">
        <v>0.3193</v>
      </c>
      <c r="I126" s="5" t="s">
        <v>352</v>
      </c>
    </row>
    <row r="127" customFormat="false" ht="15" hidden="false" customHeight="false" outlineLevel="1" collapsed="false">
      <c r="A127" s="3" t="s">
        <v>353</v>
      </c>
      <c r="B127" s="10" t="s">
        <v>56</v>
      </c>
      <c r="C127" s="24" t="n">
        <v>-13.6754</v>
      </c>
      <c r="I127" s="5" t="s">
        <v>354</v>
      </c>
    </row>
    <row r="128" customFormat="false" ht="15" hidden="false" customHeight="false" outlineLevel="1" collapsed="false">
      <c r="A128" s="4" t="s">
        <v>355</v>
      </c>
      <c r="B128" s="10" t="s">
        <v>56</v>
      </c>
      <c r="C128" s="24" t="n">
        <v>15</v>
      </c>
      <c r="I128" s="10" t="s">
        <v>356</v>
      </c>
    </row>
    <row r="129" customFormat="false" ht="15" hidden="false" customHeight="false" outlineLevel="1" collapsed="false">
      <c r="A129" s="4" t="s">
        <v>357</v>
      </c>
      <c r="B129" s="10" t="s">
        <v>42</v>
      </c>
      <c r="C129" s="23" t="n">
        <v>0.25</v>
      </c>
      <c r="I129" s="5"/>
    </row>
    <row r="130" customFormat="false" ht="15" hidden="false" customHeight="false" outlineLevel="1" collapsed="false">
      <c r="A130" s="4" t="s">
        <v>358</v>
      </c>
      <c r="B130" s="10" t="s">
        <v>56</v>
      </c>
      <c r="C130" s="24" t="n">
        <v>0.0865</v>
      </c>
      <c r="I130" s="5" t="s">
        <v>359</v>
      </c>
    </row>
    <row r="131" customFormat="false" ht="15" hidden="false" customHeight="false" outlineLevel="1" collapsed="false">
      <c r="A131" s="4" t="s">
        <v>360</v>
      </c>
      <c r="B131" s="10" t="s">
        <v>42</v>
      </c>
      <c r="C131" s="23" t="n">
        <v>1</v>
      </c>
      <c r="I131" s="5"/>
    </row>
    <row r="132" customFormat="false" ht="15" hidden="false" customHeight="false" outlineLevel="1" collapsed="false">
      <c r="A132" s="3" t="s">
        <v>361</v>
      </c>
      <c r="B132" s="10" t="s">
        <v>42</v>
      </c>
      <c r="C132" s="23" t="n">
        <v>0.3</v>
      </c>
      <c r="I132" s="5" t="s">
        <v>362</v>
      </c>
    </row>
    <row r="133" customFormat="false" ht="15" hidden="false" customHeight="false" outlineLevel="1" collapsed="false">
      <c r="A133" s="3" t="s">
        <v>363</v>
      </c>
      <c r="B133" s="10" t="s">
        <v>56</v>
      </c>
      <c r="C133" s="24" t="n">
        <v>0.1781</v>
      </c>
      <c r="I133" s="10" t="s">
        <v>364</v>
      </c>
    </row>
    <row r="134" customFormat="false" ht="15" hidden="false" customHeight="false" outlineLevel="1" collapsed="false">
      <c r="A134" s="3" t="s">
        <v>365</v>
      </c>
      <c r="B134" s="10" t="s">
        <v>56</v>
      </c>
      <c r="C134" s="31" t="n">
        <f aca="false">輸入與假設!$C$133-(輸入與假設!$C$128*輸入與假設!$C$129+輸入與假設!$C$130*輸入與假設!$C$131)*(1-輸入與假設!$C$132)</f>
        <v>-2.50745</v>
      </c>
      <c r="I134" s="5" t="s">
        <v>366</v>
      </c>
    </row>
    <row r="135" customFormat="false" ht="15" hidden="false" customHeight="false" outlineLevel="1" collapsed="false">
      <c r="A135" s="4" t="s">
        <v>367</v>
      </c>
      <c r="B135" s="10" t="s">
        <v>42</v>
      </c>
      <c r="C135" s="23" t="n">
        <v>0.11</v>
      </c>
      <c r="I135" s="5" t="s">
        <v>368</v>
      </c>
    </row>
    <row r="136" customFormat="false" ht="15" hidden="false" customHeight="false" outlineLevel="1" collapsed="false">
      <c r="A136" s="3" t="s">
        <v>369</v>
      </c>
      <c r="B136" s="10" t="s">
        <v>42</v>
      </c>
      <c r="C136" s="23" t="n">
        <v>0.03</v>
      </c>
      <c r="I136" s="10" t="s">
        <v>213</v>
      </c>
    </row>
    <row r="137" customFormat="false" ht="15" hidden="false" customHeight="false" outlineLevel="1" collapsed="false">
      <c r="A137" s="3" t="s">
        <v>370</v>
      </c>
      <c r="B137" s="10" t="s">
        <v>42</v>
      </c>
      <c r="C137" s="23" t="n">
        <v>0.8</v>
      </c>
      <c r="I137" s="5" t="s">
        <v>371</v>
      </c>
    </row>
    <row r="138" customFormat="false" ht="15" hidden="false" customHeight="false" outlineLevel="1" collapsed="false">
      <c r="A138" s="3" t="s">
        <v>372</v>
      </c>
      <c r="B138" s="10" t="s">
        <v>42</v>
      </c>
      <c r="C138" s="23" t="n">
        <v>0.258</v>
      </c>
      <c r="I138" s="5" t="s">
        <v>373</v>
      </c>
    </row>
    <row r="139" customFormat="false" ht="15" hidden="false" customHeight="false" outlineLevel="1" collapsed="false">
      <c r="A139" s="3" t="s">
        <v>374</v>
      </c>
      <c r="B139" s="10" t="s">
        <v>56</v>
      </c>
      <c r="C139" s="24" t="n">
        <v>0.8</v>
      </c>
      <c r="I139" s="10" t="s">
        <v>375</v>
      </c>
    </row>
    <row r="140" customFormat="false" ht="15" hidden="false" customHeight="false" outlineLevel="1" collapsed="false">
      <c r="A140" s="4" t="s">
        <v>376</v>
      </c>
      <c r="B140" s="10" t="s">
        <v>42</v>
      </c>
      <c r="C140" s="23" t="n">
        <v>0.5</v>
      </c>
      <c r="I140" s="5" t="s">
        <v>377</v>
      </c>
    </row>
    <row r="141" customFormat="false" ht="15" hidden="false" customHeight="false" outlineLevel="1" collapsed="false">
      <c r="A141" s="3" t="s">
        <v>378</v>
      </c>
      <c r="B141" s="10" t="s">
        <v>42</v>
      </c>
      <c r="C141" s="23" t="n">
        <v>0.02</v>
      </c>
      <c r="I141" s="5" t="s">
        <v>379</v>
      </c>
    </row>
    <row r="142" customFormat="false" ht="15" hidden="false" customHeight="false" outlineLevel="1" collapsed="false">
      <c r="A142" s="4" t="s">
        <v>380</v>
      </c>
      <c r="B142" s="10" t="s">
        <v>102</v>
      </c>
      <c r="C142" s="41" t="n">
        <v>6</v>
      </c>
      <c r="I142" s="5" t="s">
        <v>381</v>
      </c>
    </row>
    <row r="143" customFormat="false" ht="15" hidden="false" customHeight="false" outlineLevel="1" collapsed="false">
      <c r="A143" s="4" t="s">
        <v>382</v>
      </c>
      <c r="B143" s="5"/>
      <c r="C143" s="17" t="n">
        <v>3</v>
      </c>
      <c r="I143" s="5" t="s">
        <v>383</v>
      </c>
    </row>
    <row r="144" customFormat="false" ht="15" hidden="false" customHeight="false" outlineLevel="1" collapsed="false">
      <c r="A144" s="3" t="s">
        <v>384</v>
      </c>
      <c r="B144" s="10" t="s">
        <v>42</v>
      </c>
      <c r="C144" s="23" t="n">
        <v>0.45</v>
      </c>
      <c r="I144" s="5"/>
    </row>
    <row r="145" customFormat="false" ht="15" hidden="false" customHeight="false" outlineLevel="1" collapsed="false">
      <c r="A145" s="3" t="s">
        <v>385</v>
      </c>
      <c r="B145" s="10" t="s">
        <v>42</v>
      </c>
      <c r="C145" s="23" t="n">
        <v>0.55</v>
      </c>
      <c r="I145" s="5"/>
    </row>
    <row r="146" customFormat="false" ht="15" hidden="false" customHeight="false" outlineLevel="1" collapsed="false">
      <c r="A146" s="3" t="s">
        <v>386</v>
      </c>
      <c r="B146" s="10" t="s">
        <v>102</v>
      </c>
      <c r="C146" s="41" t="n">
        <v>5</v>
      </c>
      <c r="I146" s="10" t="s">
        <v>387</v>
      </c>
    </row>
    <row r="147" customFormat="false" ht="15" hidden="false" customHeight="false" outlineLevel="1" collapsed="false">
      <c r="A147" s="3" t="s">
        <v>388</v>
      </c>
      <c r="B147" s="10" t="s">
        <v>102</v>
      </c>
      <c r="C147" s="41" t="n">
        <v>6</v>
      </c>
      <c r="I147" s="5"/>
    </row>
    <row r="148" customFormat="false" ht="15" hidden="false" customHeight="false" outlineLevel="1" collapsed="false">
      <c r="A148" s="3" t="s">
        <v>389</v>
      </c>
      <c r="B148" s="10" t="s">
        <v>42</v>
      </c>
      <c r="C148" s="23" t="n">
        <v>0.01</v>
      </c>
      <c r="I148" s="5" t="s">
        <v>390</v>
      </c>
    </row>
    <row r="149" customFormat="false" ht="15" hidden="false" customHeight="false" outlineLevel="1" collapsed="false">
      <c r="A149" s="3" t="s">
        <v>391</v>
      </c>
      <c r="B149" s="10" t="s">
        <v>56</v>
      </c>
      <c r="C149" s="24" t="n">
        <v>0.13</v>
      </c>
      <c r="I149" s="5" t="s">
        <v>392</v>
      </c>
    </row>
    <row r="150" customFormat="false" ht="15" hidden="false" customHeight="false" outlineLevel="1" collapsed="false">
      <c r="A150" s="35" t="s">
        <v>393</v>
      </c>
      <c r="B150" s="19"/>
      <c r="C150" s="19"/>
      <c r="D150" s="19"/>
      <c r="E150" s="19"/>
      <c r="F150" s="19"/>
      <c r="G150" s="19"/>
      <c r="H150" s="19"/>
    </row>
    <row r="151" customFormat="false" ht="15" hidden="false" customHeight="false" outlineLevel="2" collapsed="false">
      <c r="A151" s="4" t="s">
        <v>394</v>
      </c>
      <c r="B151" s="5"/>
      <c r="C151" s="17" t="n">
        <v>1</v>
      </c>
      <c r="I151" s="10" t="s">
        <v>395</v>
      </c>
    </row>
    <row r="152" customFormat="false" ht="15" hidden="false" customHeight="false" outlineLevel="2" collapsed="false">
      <c r="A152" s="3" t="s">
        <v>396</v>
      </c>
      <c r="B152" s="10" t="s">
        <v>42</v>
      </c>
      <c r="C152" s="23" t="n">
        <v>0.5</v>
      </c>
      <c r="I152" s="5" t="s">
        <v>397</v>
      </c>
    </row>
    <row r="153" customFormat="false" ht="15" hidden="false" customHeight="false" outlineLevel="2" collapsed="false">
      <c r="A153" s="3" t="s">
        <v>398</v>
      </c>
      <c r="B153" s="10" t="s">
        <v>42</v>
      </c>
      <c r="C153" s="23" t="n">
        <v>0.04</v>
      </c>
      <c r="I153" s="5" t="s">
        <v>397</v>
      </c>
    </row>
    <row r="154" customFormat="false" ht="15" hidden="false" customHeight="false" outlineLevel="2" collapsed="false">
      <c r="A154" s="3" t="s">
        <v>399</v>
      </c>
      <c r="B154" s="5" t="s">
        <v>244</v>
      </c>
      <c r="C154" s="34" t="n">
        <v>4.5</v>
      </c>
      <c r="I154" s="5" t="s">
        <v>400</v>
      </c>
    </row>
    <row r="155" customFormat="false" ht="15" hidden="false" customHeight="false" outlineLevel="1" collapsed="false">
      <c r="A155" s="18" t="s">
        <v>401</v>
      </c>
      <c r="B155" s="19"/>
      <c r="C155" s="19"/>
      <c r="D155" s="19"/>
      <c r="E155" s="19"/>
      <c r="F155" s="19"/>
      <c r="G155" s="19"/>
      <c r="H155" s="19"/>
    </row>
    <row r="156" customFormat="false" ht="15" hidden="false" customHeight="false" outlineLevel="2" collapsed="false">
      <c r="A156" s="3" t="s">
        <v>402</v>
      </c>
      <c r="B156" s="5" t="s">
        <v>403</v>
      </c>
      <c r="C156" s="21" t="n">
        <v>12</v>
      </c>
      <c r="I156" s="10" t="s">
        <v>404</v>
      </c>
    </row>
    <row r="157" customFormat="false" ht="15" hidden="false" customHeight="false" outlineLevel="2" collapsed="false">
      <c r="A157" s="3" t="s">
        <v>405</v>
      </c>
      <c r="B157" s="5"/>
      <c r="C157" s="42" t="s">
        <v>406</v>
      </c>
      <c r="I157" s="10" t="s">
        <v>407</v>
      </c>
    </row>
    <row r="158" customFormat="false" ht="15" hidden="false" customHeight="false" outlineLevel="2" collapsed="false">
      <c r="A158" s="3" t="s">
        <v>408</v>
      </c>
      <c r="B158" s="5"/>
      <c r="C158" s="42" t="s">
        <v>409</v>
      </c>
      <c r="I158" s="10" t="s">
        <v>410</v>
      </c>
    </row>
    <row r="159" customFormat="false" ht="15" hidden="false" customHeight="false" outlineLevel="2" collapsed="false">
      <c r="A159" s="3" t="s">
        <v>411</v>
      </c>
      <c r="B159" s="5"/>
      <c r="C159" s="42" t="s">
        <v>412</v>
      </c>
      <c r="I159" s="5" t="s">
        <v>413</v>
      </c>
    </row>
    <row r="160" customFormat="false" ht="15" hidden="false" customHeight="false" outlineLevel="2" collapsed="false">
      <c r="A160" s="3" t="s">
        <v>414</v>
      </c>
      <c r="B160" s="5" t="s">
        <v>244</v>
      </c>
      <c r="C160" s="31" t="n">
        <v>1</v>
      </c>
      <c r="I160" s="5"/>
    </row>
    <row r="161" customFormat="false" ht="15" hidden="false" customHeight="false" outlineLevel="2" collapsed="false">
      <c r="A161" s="3" t="s">
        <v>415</v>
      </c>
      <c r="B161" s="5"/>
      <c r="C161" s="42" t="s">
        <v>416</v>
      </c>
      <c r="I161" s="5" t="s">
        <v>417</v>
      </c>
    </row>
    <row r="162" customFormat="false" ht="15" hidden="false" customHeight="false" outlineLevel="2" collapsed="false">
      <c r="A162" s="3" t="s">
        <v>418</v>
      </c>
      <c r="B162" s="5"/>
      <c r="C162" s="42" t="s">
        <v>419</v>
      </c>
      <c r="I162" s="10" t="s">
        <v>420</v>
      </c>
    </row>
    <row r="163" customFormat="false" ht="15" hidden="false" customHeight="false" outlineLevel="2" collapsed="false">
      <c r="A163" s="3" t="s">
        <v>421</v>
      </c>
      <c r="B163" s="5"/>
      <c r="C163" s="42" t="s">
        <v>422</v>
      </c>
      <c r="I163" s="10" t="s">
        <v>423</v>
      </c>
    </row>
    <row r="164" customFormat="false" ht="15" hidden="false" customHeight="false" outlineLevel="2" collapsed="false">
      <c r="A164" s="3" t="s">
        <v>424</v>
      </c>
      <c r="B164" s="5" t="s">
        <v>244</v>
      </c>
      <c r="C164" s="31" t="n">
        <v>0.5</v>
      </c>
      <c r="I164" s="10" t="s">
        <v>425</v>
      </c>
    </row>
    <row r="165" customFormat="false" ht="15" hidden="false" customHeight="false" outlineLevel="2" collapsed="false">
      <c r="A165" s="13" t="s">
        <v>426</v>
      </c>
      <c r="B165" s="13" t="s">
        <v>51</v>
      </c>
      <c r="C165" s="26" t="s">
        <v>52</v>
      </c>
      <c r="D165" s="26" t="s">
        <v>53</v>
      </c>
      <c r="E165" s="26" t="s">
        <v>54</v>
      </c>
      <c r="F165" s="26" t="s">
        <v>139</v>
      </c>
      <c r="G165" s="26" t="s">
        <v>140</v>
      </c>
      <c r="I165" s="13" t="s">
        <v>195</v>
      </c>
    </row>
    <row r="166" customFormat="false" ht="15" hidden="false" customHeight="false" outlineLevel="2" collapsed="false">
      <c r="A166" s="3" t="s">
        <v>427</v>
      </c>
      <c r="B166" s="5"/>
      <c r="C166" s="42" t="s">
        <v>428</v>
      </c>
      <c r="D166" s="42" t="s">
        <v>429</v>
      </c>
      <c r="E166" s="42" t="s">
        <v>430</v>
      </c>
      <c r="F166" s="42" t="s">
        <v>431</v>
      </c>
      <c r="G166" s="42" t="s">
        <v>432</v>
      </c>
      <c r="I166" s="5" t="s">
        <v>433</v>
      </c>
    </row>
    <row r="167" customFormat="false" ht="15" hidden="false" customHeight="false" outlineLevel="2" collapsed="false">
      <c r="A167" s="3" t="s">
        <v>434</v>
      </c>
      <c r="B167" s="5" t="s">
        <v>244</v>
      </c>
      <c r="C167" s="31" t="n">
        <v>0.5</v>
      </c>
      <c r="D167" s="31" t="n">
        <v>1.5</v>
      </c>
      <c r="E167" s="31" t="n">
        <v>2.5</v>
      </c>
      <c r="F167" s="31" t="n">
        <v>3.5</v>
      </c>
      <c r="G167" s="31" t="n">
        <v>4.5</v>
      </c>
      <c r="I167" s="5" t="s">
        <v>433</v>
      </c>
    </row>
    <row r="168" customFormat="false" ht="15" hidden="false" customHeight="false" outlineLevel="2" collapsed="false">
      <c r="A168" s="3" t="s">
        <v>435</v>
      </c>
      <c r="B168" s="5" t="s">
        <v>244</v>
      </c>
      <c r="C168" s="31" t="n">
        <v>0</v>
      </c>
      <c r="D168" s="31" t="n">
        <v>0.5</v>
      </c>
      <c r="E168" s="31" t="n">
        <v>1.5</v>
      </c>
      <c r="F168" s="31" t="n">
        <v>2.5</v>
      </c>
      <c r="G168" s="31" t="n">
        <v>3.5</v>
      </c>
      <c r="I168" s="5" t="s">
        <v>433</v>
      </c>
    </row>
    <row r="169" customFormat="false" ht="15" hidden="false" customHeight="false" outlineLevel="1" collapsed="false">
      <c r="A169" s="18" t="s">
        <v>436</v>
      </c>
      <c r="B169" s="19"/>
      <c r="C169" s="19"/>
      <c r="D169" s="19"/>
      <c r="E169" s="19"/>
      <c r="F169" s="19"/>
      <c r="G169" s="19"/>
      <c r="H169" s="19"/>
    </row>
    <row r="170" customFormat="false" ht="15" hidden="false" customHeight="false" outlineLevel="2" collapsed="false">
      <c r="A170" s="3" t="s">
        <v>437</v>
      </c>
      <c r="B170" s="10" t="s">
        <v>42</v>
      </c>
      <c r="C170" s="23" t="n">
        <v>0.25</v>
      </c>
      <c r="I170" s="5" t="s">
        <v>438</v>
      </c>
    </row>
    <row r="171" customFormat="false" ht="15" hidden="false" customHeight="false" outlineLevel="2" collapsed="false">
      <c r="A171" s="3" t="s">
        <v>439</v>
      </c>
      <c r="B171" s="10" t="s">
        <v>42</v>
      </c>
      <c r="C171" s="23" t="n">
        <v>0.9</v>
      </c>
      <c r="I171" s="5" t="s">
        <v>440</v>
      </c>
    </row>
    <row r="172" customFormat="false" ht="15" hidden="false" customHeight="false" outlineLevel="2" collapsed="false">
      <c r="A172" s="3" t="s">
        <v>441</v>
      </c>
      <c r="B172" s="10" t="s">
        <v>42</v>
      </c>
      <c r="C172" s="23" t="n">
        <v>-0.15</v>
      </c>
      <c r="I172" s="5" t="s">
        <v>442</v>
      </c>
    </row>
    <row r="173" customFormat="false" ht="15" hidden="false" customHeight="false" outlineLevel="2" collapsed="false">
      <c r="A173" s="3" t="s">
        <v>443</v>
      </c>
      <c r="B173" s="10" t="s">
        <v>102</v>
      </c>
      <c r="C173" s="41" t="n">
        <v>1.5</v>
      </c>
      <c r="I173" s="5" t="s">
        <v>444</v>
      </c>
    </row>
    <row r="174" customFormat="false" ht="15" hidden="false" customHeight="false" outlineLevel="2" collapsed="false">
      <c r="A174" s="3" t="s">
        <v>445</v>
      </c>
      <c r="B174" s="10" t="s">
        <v>42</v>
      </c>
      <c r="C174" s="23" t="n">
        <v>-0.08</v>
      </c>
      <c r="I174" s="5" t="s">
        <v>446</v>
      </c>
    </row>
    <row r="175" customFormat="false" ht="15" hidden="false" customHeight="false" outlineLevel="2" collapsed="false">
      <c r="A175" s="3" t="s">
        <v>447</v>
      </c>
      <c r="B175" s="10" t="s">
        <v>42</v>
      </c>
      <c r="C175" s="23" t="n">
        <v>0.05</v>
      </c>
      <c r="I175" s="5" t="s">
        <v>448</v>
      </c>
    </row>
    <row r="176" customFormat="false" ht="15" hidden="false" customHeight="false" outlineLevel="2" collapsed="false">
      <c r="A176" s="3" t="s">
        <v>449</v>
      </c>
      <c r="B176" s="10" t="s">
        <v>42</v>
      </c>
      <c r="C176" s="23" t="n">
        <v>0.85</v>
      </c>
      <c r="I176" s="5" t="s">
        <v>450</v>
      </c>
    </row>
    <row r="178" customFormat="false" ht="15" hidden="false" customHeight="false" outlineLevel="0" collapsed="true">
      <c r="A178" s="6" t="s">
        <v>451</v>
      </c>
      <c r="B178" s="7"/>
      <c r="C178" s="7"/>
      <c r="D178" s="7"/>
      <c r="E178" s="7"/>
      <c r="F178" s="7"/>
      <c r="G178" s="7"/>
      <c r="H178" s="7"/>
    </row>
    <row r="179" customFormat="false" ht="15" hidden="true" customHeight="false" outlineLevel="1" collapsed="false">
      <c r="A179" s="4" t="s">
        <v>452</v>
      </c>
      <c r="B179" s="10" t="s">
        <v>56</v>
      </c>
      <c r="C179" s="24" t="n">
        <v>3.6781</v>
      </c>
      <c r="I179" s="10" t="s">
        <v>453</v>
      </c>
    </row>
    <row r="180" customFormat="false" ht="15" hidden="true" customHeight="false" outlineLevel="1" collapsed="false">
      <c r="A180" s="3" t="s">
        <v>454</v>
      </c>
      <c r="B180" s="10" t="s">
        <v>56</v>
      </c>
      <c r="C180" s="24" t="n">
        <v>4.5041</v>
      </c>
      <c r="I180" s="10" t="s">
        <v>455</v>
      </c>
    </row>
    <row r="181" customFormat="false" ht="15" hidden="true" customHeight="false" outlineLevel="1" collapsed="false">
      <c r="A181" s="3" t="s">
        <v>456</v>
      </c>
      <c r="B181" s="10" t="s">
        <v>56</v>
      </c>
      <c r="C181" s="24" t="n">
        <v>8.1303</v>
      </c>
      <c r="I181" s="10" t="s">
        <v>457</v>
      </c>
    </row>
    <row r="182" customFormat="false" ht="15" hidden="true" customHeight="false" outlineLevel="1" collapsed="false">
      <c r="A182" s="4" t="s">
        <v>458</v>
      </c>
      <c r="B182" s="10" t="s">
        <v>56</v>
      </c>
      <c r="C182" s="24" t="n">
        <v>8.1303</v>
      </c>
      <c r="I182" s="5" t="s">
        <v>459</v>
      </c>
    </row>
    <row r="183" customFormat="false" ht="15" hidden="true" customHeight="false" outlineLevel="1" collapsed="false">
      <c r="A183" s="4" t="s">
        <v>460</v>
      </c>
      <c r="B183" s="10" t="s">
        <v>56</v>
      </c>
      <c r="C183" s="24" t="n">
        <v>0.2516</v>
      </c>
      <c r="I183" s="5" t="s">
        <v>461</v>
      </c>
    </row>
    <row r="184" customFormat="false" ht="15" hidden="true" customHeight="false" outlineLevel="1" collapsed="false">
      <c r="A184" s="3" t="s">
        <v>462</v>
      </c>
      <c r="B184" s="10" t="s">
        <v>56</v>
      </c>
      <c r="C184" s="24" t="n">
        <v>4.3375</v>
      </c>
      <c r="I184" s="10" t="s">
        <v>463</v>
      </c>
    </row>
    <row r="185" customFormat="false" ht="15" hidden="true" customHeight="false" outlineLevel="1" collapsed="false">
      <c r="A185" s="3" t="s">
        <v>464</v>
      </c>
      <c r="B185" s="10" t="s">
        <v>56</v>
      </c>
      <c r="C185" s="24" t="n">
        <v>0</v>
      </c>
      <c r="I185" s="5" t="s">
        <v>465</v>
      </c>
    </row>
    <row r="186" customFormat="false" ht="15" hidden="true" customHeight="false" outlineLevel="1" collapsed="false">
      <c r="A186" s="4" t="s">
        <v>466</v>
      </c>
      <c r="B186" s="10" t="s">
        <v>56</v>
      </c>
      <c r="C186" s="24" t="n">
        <v>0</v>
      </c>
      <c r="I186" s="5" t="s">
        <v>467</v>
      </c>
    </row>
    <row r="187" customFormat="false" ht="15" hidden="true" customHeight="false" outlineLevel="1" collapsed="false">
      <c r="A187" s="3" t="s">
        <v>468</v>
      </c>
      <c r="B187" s="10" t="s">
        <v>56</v>
      </c>
      <c r="C187" s="24" t="n">
        <v>4.8111</v>
      </c>
      <c r="I187" s="10" t="s">
        <v>469</v>
      </c>
    </row>
    <row r="188" customFormat="false" ht="15" hidden="true" customHeight="false" outlineLevel="1" collapsed="false">
      <c r="A188" s="3" t="s">
        <v>470</v>
      </c>
      <c r="B188" s="10" t="s">
        <v>56</v>
      </c>
      <c r="C188" s="24" t="n">
        <v>0.1828</v>
      </c>
      <c r="I188" s="10" t="s">
        <v>471</v>
      </c>
    </row>
    <row r="189" customFormat="false" ht="15" hidden="true" customHeight="false" outlineLevel="1" collapsed="false">
      <c r="A189" s="3" t="s">
        <v>472</v>
      </c>
      <c r="B189" s="10" t="s">
        <v>56</v>
      </c>
      <c r="C189" s="24" t="n">
        <v>0</v>
      </c>
      <c r="I189" s="5" t="s">
        <v>473</v>
      </c>
    </row>
    <row r="190" customFormat="false" ht="15" hidden="true" customHeight="false" outlineLevel="1" collapsed="false">
      <c r="A190" s="3" t="s">
        <v>474</v>
      </c>
      <c r="B190" s="10" t="s">
        <v>56</v>
      </c>
      <c r="C190" s="24" t="n">
        <v>0.9813</v>
      </c>
      <c r="I190" s="10" t="s">
        <v>475</v>
      </c>
    </row>
    <row r="191" customFormat="false" ht="15" hidden="true" customHeight="false" outlineLevel="1" collapsed="false">
      <c r="A191" s="4" t="s">
        <v>476</v>
      </c>
      <c r="B191" s="10" t="s">
        <v>56</v>
      </c>
      <c r="C191" s="24" t="n">
        <v>-0.3039</v>
      </c>
      <c r="I191" s="10" t="s">
        <v>477</v>
      </c>
    </row>
    <row r="192" customFormat="false" ht="15" hidden="true" customHeight="false" outlineLevel="1" collapsed="false">
      <c r="A192" s="3" t="s">
        <v>478</v>
      </c>
      <c r="B192" s="10" t="s">
        <v>56</v>
      </c>
      <c r="C192" s="24" t="n">
        <v>0.4308</v>
      </c>
      <c r="I192" s="5" t="s">
        <v>479</v>
      </c>
    </row>
    <row r="193" customFormat="false" ht="15" hidden="true" customHeight="false" outlineLevel="1" collapsed="false">
      <c r="A193" s="3" t="s">
        <v>480</v>
      </c>
      <c r="B193" s="10" t="s">
        <v>56</v>
      </c>
      <c r="C193" s="24" t="n">
        <v>4.552</v>
      </c>
      <c r="I193" s="5" t="s">
        <v>481</v>
      </c>
    </row>
    <row r="194" customFormat="false" ht="15" hidden="true" customHeight="false" outlineLevel="1" collapsed="false">
      <c r="A194" s="4" t="s">
        <v>482</v>
      </c>
      <c r="B194" s="10" t="s">
        <v>56</v>
      </c>
      <c r="C194" s="24" t="n">
        <v>0.4717</v>
      </c>
      <c r="I194" s="10" t="s">
        <v>483</v>
      </c>
    </row>
    <row r="195" customFormat="false" ht="15" hidden="true" customHeight="false" outlineLevel="1" collapsed="false">
      <c r="A195" s="4" t="s">
        <v>484</v>
      </c>
      <c r="B195" s="10" t="s">
        <v>56</v>
      </c>
      <c r="C195" s="24" t="n">
        <v>0.1378</v>
      </c>
      <c r="I195" s="10" t="s">
        <v>485</v>
      </c>
    </row>
    <row r="196" customFormat="false" ht="15" hidden="true" customHeight="false" outlineLevel="1" collapsed="false">
      <c r="A196" s="4" t="s">
        <v>486</v>
      </c>
      <c r="B196" s="10" t="s">
        <v>39</v>
      </c>
      <c r="C196" s="24" t="n">
        <v>1.6</v>
      </c>
      <c r="I196" s="5" t="s">
        <v>487</v>
      </c>
    </row>
    <row r="197" customFormat="false" ht="15" hidden="true" customHeight="false" outlineLevel="1" collapsed="false">
      <c r="A197" s="4" t="s">
        <v>488</v>
      </c>
      <c r="B197" s="10" t="s">
        <v>39</v>
      </c>
      <c r="C197" s="24" t="n">
        <v>2.11</v>
      </c>
      <c r="I197" s="10" t="s">
        <v>489</v>
      </c>
    </row>
    <row r="198" customFormat="false" ht="15" hidden="true" customHeight="false" outlineLevel="1" collapsed="false">
      <c r="A198" s="3" t="s">
        <v>490</v>
      </c>
      <c r="B198" s="10" t="s">
        <v>56</v>
      </c>
      <c r="C198" s="24" t="n">
        <v>0.3657</v>
      </c>
      <c r="I198" s="10" t="s">
        <v>491</v>
      </c>
    </row>
    <row r="200" customFormat="false" ht="15" hidden="false" customHeight="false" outlineLevel="0" collapsed="false">
      <c r="A200" s="6" t="s">
        <v>492</v>
      </c>
      <c r="B200" s="7"/>
      <c r="C200" s="7"/>
      <c r="D200" s="7"/>
      <c r="E200" s="7"/>
      <c r="F200" s="7"/>
      <c r="G200" s="7"/>
      <c r="H200" s="7"/>
      <c r="I200" s="5" t="s">
        <v>493</v>
      </c>
    </row>
    <row r="201" customFormat="false" ht="15" hidden="false" customHeight="false" outlineLevel="1" collapsed="false">
      <c r="A201" s="3" t="s">
        <v>494</v>
      </c>
      <c r="D201" s="11" t="n">
        <f aca="false">評價_DCF與目標價!C49</f>
        <v>22.0328037211799</v>
      </c>
      <c r="E201" s="8" t="n">
        <f aca="false">評價_DCF與目標價!C76</f>
        <v>-1</v>
      </c>
    </row>
    <row r="202" customFormat="false" ht="15" hidden="false" customHeight="false" outlineLevel="1" collapsed="false">
      <c r="A202" s="3" t="s">
        <v>495</v>
      </c>
      <c r="C202" s="8" t="n">
        <v>1</v>
      </c>
      <c r="D202" s="43" t="n">
        <f t="dataTable" ref="D202:E204" dt2D="0" dtr="0" r1="C5"/>
        <v>29.6930388399238</v>
      </c>
      <c r="E202" s="44" t="n">
        <v>-1</v>
      </c>
    </row>
    <row r="203" customFormat="false" ht="15" hidden="false" customHeight="false" outlineLevel="1" collapsed="false">
      <c r="A203" s="3" t="s">
        <v>496</v>
      </c>
      <c r="C203" s="8" t="n">
        <v>2</v>
      </c>
      <c r="D203" s="43" t="n">
        <v>22.0328037211799</v>
      </c>
      <c r="E203" s="44" t="n">
        <v>-1</v>
      </c>
    </row>
    <row r="204" customFormat="false" ht="15" hidden="false" customHeight="false" outlineLevel="1" collapsed="false">
      <c r="A204" s="3" t="s">
        <v>497</v>
      </c>
      <c r="C204" s="8" t="n">
        <v>3</v>
      </c>
      <c r="D204" s="43" t="n">
        <v>20.3987710007867</v>
      </c>
      <c r="E204" s="44" t="n">
        <v>-1</v>
      </c>
    </row>
    <row r="206" customFormat="false" ht="15" hidden="false" customHeight="false" outlineLevel="0" collapsed="false">
      <c r="A206" s="6" t="s">
        <v>498</v>
      </c>
      <c r="B206" s="7"/>
      <c r="C206" s="7"/>
      <c r="D206" s="7"/>
      <c r="E206" s="7"/>
      <c r="F206" s="7"/>
      <c r="G206" s="7"/>
      <c r="H206" s="7"/>
      <c r="I206" s="5" t="s">
        <v>499</v>
      </c>
    </row>
    <row r="207" customFormat="false" ht="15" hidden="false" customHeight="false" outlineLevel="1" collapsed="false">
      <c r="A207" s="13" t="s">
        <v>500</v>
      </c>
      <c r="B207" s="13" t="s">
        <v>51</v>
      </c>
      <c r="C207" s="13" t="s">
        <v>501</v>
      </c>
      <c r="D207" s="13"/>
      <c r="E207" s="13"/>
      <c r="F207" s="13" t="s">
        <v>502</v>
      </c>
      <c r="G207" s="13" t="s">
        <v>503</v>
      </c>
      <c r="H207" s="13"/>
      <c r="I207" s="13" t="s">
        <v>504</v>
      </c>
      <c r="J207" s="13" t="s">
        <v>505</v>
      </c>
    </row>
    <row r="208" customFormat="false" ht="15" hidden="false" customHeight="false" outlineLevel="1" collapsed="false">
      <c r="A208" s="3" t="s">
        <v>506</v>
      </c>
      <c r="B208" s="10" t="s">
        <v>39</v>
      </c>
      <c r="C208" s="38" t="n">
        <v>249.87</v>
      </c>
      <c r="F208" s="10" t="s">
        <v>422</v>
      </c>
      <c r="G208" s="10" t="s">
        <v>507</v>
      </c>
      <c r="I208" s="10" t="s">
        <v>508</v>
      </c>
      <c r="J208" s="5" t="s">
        <v>509</v>
      </c>
    </row>
    <row r="209" customFormat="false" ht="15" hidden="false" customHeight="false" outlineLevel="1" collapsed="false">
      <c r="A209" s="3" t="s">
        <v>510</v>
      </c>
      <c r="B209" s="10" t="s">
        <v>39</v>
      </c>
      <c r="C209" s="38" t="n">
        <v>283.58</v>
      </c>
      <c r="F209" s="10" t="s">
        <v>511</v>
      </c>
      <c r="G209" s="10" t="s">
        <v>512</v>
      </c>
      <c r="I209" s="10" t="s">
        <v>513</v>
      </c>
      <c r="J209" s="5"/>
    </row>
    <row r="210" customFormat="false" ht="15" hidden="false" customHeight="false" outlineLevel="1" collapsed="false">
      <c r="A210" s="3" t="s">
        <v>514</v>
      </c>
      <c r="B210" s="10" t="s">
        <v>39</v>
      </c>
      <c r="C210" s="38" t="n">
        <v>300</v>
      </c>
      <c r="F210" s="10" t="s">
        <v>511</v>
      </c>
      <c r="G210" s="10" t="s">
        <v>512</v>
      </c>
      <c r="I210" s="10" t="s">
        <v>513</v>
      </c>
      <c r="J210" s="5"/>
    </row>
    <row r="211" customFormat="false" ht="15" hidden="false" customHeight="false" outlineLevel="1" collapsed="false">
      <c r="A211" s="3" t="s">
        <v>515</v>
      </c>
      <c r="B211" s="10" t="s">
        <v>39</v>
      </c>
      <c r="C211" s="38" t="n">
        <v>84</v>
      </c>
      <c r="F211" s="10" t="s">
        <v>511</v>
      </c>
      <c r="G211" s="10" t="s">
        <v>512</v>
      </c>
      <c r="I211" s="10" t="s">
        <v>513</v>
      </c>
      <c r="J211" s="5"/>
    </row>
    <row r="212" customFormat="false" ht="15" hidden="false" customHeight="false" outlineLevel="1" collapsed="false">
      <c r="A212" s="3" t="s">
        <v>516</v>
      </c>
      <c r="B212" s="10" t="s">
        <v>39</v>
      </c>
      <c r="C212" s="38" t="n">
        <v>415</v>
      </c>
      <c r="F212" s="10" t="s">
        <v>511</v>
      </c>
      <c r="G212" s="10" t="s">
        <v>512</v>
      </c>
      <c r="I212" s="10" t="s">
        <v>513</v>
      </c>
      <c r="J212" s="5"/>
    </row>
    <row r="213" customFormat="false" ht="15" hidden="false" customHeight="false" outlineLevel="1" collapsed="false">
      <c r="A213" s="3" t="s">
        <v>517</v>
      </c>
      <c r="B213" s="5" t="s">
        <v>125</v>
      </c>
      <c r="C213" s="20" t="n">
        <v>19</v>
      </c>
      <c r="F213" s="10" t="s">
        <v>511</v>
      </c>
      <c r="G213" s="10" t="s">
        <v>512</v>
      </c>
      <c r="I213" s="10" t="s">
        <v>513</v>
      </c>
      <c r="J213" s="5"/>
    </row>
    <row r="214" customFormat="false" ht="15" hidden="false" customHeight="false" outlineLevel="1" collapsed="false">
      <c r="A214" s="3" t="s">
        <v>518</v>
      </c>
      <c r="B214" s="5"/>
      <c r="C214" s="4" t="s">
        <v>519</v>
      </c>
      <c r="F214" s="10" t="s">
        <v>511</v>
      </c>
      <c r="G214" s="10" t="s">
        <v>512</v>
      </c>
      <c r="I214" s="10" t="s">
        <v>513</v>
      </c>
      <c r="J214" s="5"/>
    </row>
    <row r="215" customFormat="false" ht="15" hidden="false" customHeight="false" outlineLevel="1" collapsed="false">
      <c r="A215" s="3" t="s">
        <v>520</v>
      </c>
      <c r="B215" s="10" t="s">
        <v>39</v>
      </c>
      <c r="C215" s="38" t="n">
        <v>241.8</v>
      </c>
      <c r="F215" s="10" t="s">
        <v>511</v>
      </c>
      <c r="G215" s="10" t="s">
        <v>512</v>
      </c>
      <c r="I215" s="10" t="s">
        <v>521</v>
      </c>
      <c r="J215" s="5"/>
    </row>
    <row r="216" customFormat="false" ht="15" hidden="false" customHeight="false" outlineLevel="1" collapsed="false">
      <c r="A216" s="3" t="s">
        <v>522</v>
      </c>
      <c r="B216" s="5" t="s">
        <v>125</v>
      </c>
      <c r="C216" s="20" t="n">
        <v>20</v>
      </c>
      <c r="F216" s="10" t="s">
        <v>511</v>
      </c>
      <c r="G216" s="10" t="s">
        <v>512</v>
      </c>
      <c r="I216" s="10" t="s">
        <v>521</v>
      </c>
      <c r="J216" s="5"/>
    </row>
    <row r="217" customFormat="false" ht="15" hidden="false" customHeight="false" outlineLevel="1" collapsed="false">
      <c r="A217" s="3" t="s">
        <v>523</v>
      </c>
      <c r="B217" s="5"/>
      <c r="C217" s="4" t="s">
        <v>524</v>
      </c>
      <c r="F217" s="10" t="s">
        <v>511</v>
      </c>
      <c r="G217" s="10" t="s">
        <v>512</v>
      </c>
      <c r="I217" s="10" t="s">
        <v>521</v>
      </c>
      <c r="J217" s="5"/>
    </row>
    <row r="218" customFormat="false" ht="15" hidden="false" customHeight="false" outlineLevel="1" collapsed="false">
      <c r="A218" s="3" t="s">
        <v>525</v>
      </c>
      <c r="B218" s="10" t="s">
        <v>39</v>
      </c>
      <c r="C218" s="38" t="n">
        <v>250.75</v>
      </c>
      <c r="F218" s="10" t="s">
        <v>511</v>
      </c>
      <c r="G218" s="10" t="s">
        <v>512</v>
      </c>
      <c r="I218" s="10" t="s">
        <v>526</v>
      </c>
      <c r="J218" s="5" t="s">
        <v>527</v>
      </c>
    </row>
    <row r="219" customFormat="false" ht="15" hidden="false" customHeight="false" outlineLevel="1" collapsed="false">
      <c r="A219" s="3" t="s">
        <v>528</v>
      </c>
      <c r="B219" s="5" t="s">
        <v>125</v>
      </c>
      <c r="C219" s="20" t="n">
        <v>18</v>
      </c>
      <c r="F219" s="10" t="s">
        <v>511</v>
      </c>
      <c r="G219" s="10" t="s">
        <v>512</v>
      </c>
      <c r="I219" s="10" t="s">
        <v>526</v>
      </c>
      <c r="J219" s="5"/>
    </row>
    <row r="220" customFormat="false" ht="15" hidden="false" customHeight="false" outlineLevel="1" collapsed="false">
      <c r="A220" s="3" t="s">
        <v>529</v>
      </c>
      <c r="B220" s="5"/>
      <c r="C220" s="4" t="s">
        <v>530</v>
      </c>
      <c r="F220" s="10" t="s">
        <v>511</v>
      </c>
      <c r="G220" s="10" t="s">
        <v>512</v>
      </c>
      <c r="I220" s="10" t="s">
        <v>526</v>
      </c>
      <c r="J220" s="5"/>
    </row>
    <row r="221" customFormat="false" ht="17.15" hidden="false" customHeight="false" outlineLevel="1" collapsed="false">
      <c r="A221" s="13" t="s">
        <v>531</v>
      </c>
      <c r="B221" s="13" t="s">
        <v>51</v>
      </c>
      <c r="C221" s="13" t="s">
        <v>501</v>
      </c>
      <c r="D221" s="13"/>
      <c r="E221" s="13"/>
      <c r="F221" s="13" t="s">
        <v>502</v>
      </c>
      <c r="G221" s="13" t="s">
        <v>503</v>
      </c>
      <c r="H221" s="13"/>
      <c r="I221" s="13" t="s">
        <v>504</v>
      </c>
      <c r="J221" s="13" t="s">
        <v>505</v>
      </c>
    </row>
    <row r="222" customFormat="false" ht="15" hidden="false" customHeight="false" outlineLevel="1" collapsed="false">
      <c r="A222" s="3" t="s">
        <v>532</v>
      </c>
      <c r="B222" s="5" t="s">
        <v>125</v>
      </c>
      <c r="C222" s="20" t="n">
        <v>4</v>
      </c>
      <c r="F222" s="10" t="s">
        <v>511</v>
      </c>
      <c r="G222" s="10" t="s">
        <v>512</v>
      </c>
      <c r="I222" s="10" t="s">
        <v>513</v>
      </c>
      <c r="J222" s="5"/>
    </row>
    <row r="223" customFormat="false" ht="15" hidden="false" customHeight="false" outlineLevel="1" collapsed="false">
      <c r="A223" s="3" t="s">
        <v>533</v>
      </c>
      <c r="B223" s="5" t="s">
        <v>125</v>
      </c>
      <c r="C223" s="20" t="n">
        <v>1</v>
      </c>
      <c r="F223" s="10" t="s">
        <v>511</v>
      </c>
      <c r="G223" s="10" t="s">
        <v>512</v>
      </c>
      <c r="I223" s="10" t="s">
        <v>513</v>
      </c>
      <c r="J223" s="5"/>
    </row>
    <row r="224" customFormat="false" ht="15" hidden="false" customHeight="false" outlineLevel="1" collapsed="false">
      <c r="A224" s="3" t="s">
        <v>534</v>
      </c>
      <c r="B224" s="5" t="s">
        <v>125</v>
      </c>
      <c r="C224" s="20" t="n">
        <v>3</v>
      </c>
      <c r="F224" s="10" t="s">
        <v>511</v>
      </c>
      <c r="G224" s="10" t="s">
        <v>512</v>
      </c>
      <c r="I224" s="10" t="s">
        <v>513</v>
      </c>
      <c r="J224" s="5"/>
    </row>
    <row r="225" customFormat="false" ht="15" hidden="false" customHeight="false" outlineLevel="1" collapsed="false">
      <c r="A225" s="3" t="s">
        <v>535</v>
      </c>
      <c r="B225" s="5" t="s">
        <v>125</v>
      </c>
      <c r="C225" s="20" t="n">
        <v>0</v>
      </c>
      <c r="F225" s="10" t="s">
        <v>511</v>
      </c>
      <c r="G225" s="10" t="s">
        <v>512</v>
      </c>
      <c r="I225" s="10" t="s">
        <v>513</v>
      </c>
      <c r="J225" s="5"/>
    </row>
    <row r="226" customFormat="false" ht="15" hidden="false" customHeight="false" outlineLevel="1" collapsed="false">
      <c r="A226" s="3" t="s">
        <v>536</v>
      </c>
      <c r="B226" s="5" t="s">
        <v>125</v>
      </c>
      <c r="C226" s="20" t="n">
        <v>1</v>
      </c>
      <c r="F226" s="10" t="s">
        <v>511</v>
      </c>
      <c r="G226" s="10" t="s">
        <v>512</v>
      </c>
      <c r="I226" s="10" t="s">
        <v>513</v>
      </c>
      <c r="J226" s="5"/>
    </row>
    <row r="227" customFormat="false" ht="15" hidden="false" customHeight="false" outlineLevel="1" collapsed="false">
      <c r="A227" s="3" t="s">
        <v>537</v>
      </c>
      <c r="B227" s="5" t="s">
        <v>125</v>
      </c>
      <c r="C227" s="20" t="n">
        <v>9</v>
      </c>
      <c r="F227" s="10" t="s">
        <v>511</v>
      </c>
      <c r="G227" s="10" t="s">
        <v>512</v>
      </c>
      <c r="I227" s="10" t="s">
        <v>513</v>
      </c>
      <c r="J227" s="5"/>
    </row>
    <row r="228" customFormat="false" ht="17.15" hidden="false" customHeight="false" outlineLevel="1" collapsed="false">
      <c r="A228" s="13" t="s">
        <v>538</v>
      </c>
      <c r="B228" s="13" t="s">
        <v>51</v>
      </c>
      <c r="C228" s="13" t="s">
        <v>501</v>
      </c>
      <c r="D228" s="13"/>
      <c r="E228" s="13"/>
      <c r="F228" s="13" t="s">
        <v>502</v>
      </c>
      <c r="G228" s="13" t="s">
        <v>503</v>
      </c>
      <c r="H228" s="13"/>
      <c r="I228" s="13" t="s">
        <v>504</v>
      </c>
      <c r="J228" s="13" t="s">
        <v>505</v>
      </c>
    </row>
    <row r="229" customFormat="false" ht="15" hidden="false" customHeight="false" outlineLevel="1" collapsed="false">
      <c r="A229" s="3" t="s">
        <v>539</v>
      </c>
      <c r="B229" s="10" t="s">
        <v>56</v>
      </c>
      <c r="C229" s="45" t="n">
        <v>3.379</v>
      </c>
      <c r="D229" s="45" t="n">
        <v>11.418</v>
      </c>
      <c r="E229" s="45" t="n">
        <v>21.458</v>
      </c>
      <c r="F229" s="10" t="s">
        <v>511</v>
      </c>
      <c r="G229" s="10" t="s">
        <v>512</v>
      </c>
      <c r="I229" s="10" t="s">
        <v>540</v>
      </c>
      <c r="J229" s="5"/>
    </row>
    <row r="230" customFormat="false" ht="15" hidden="false" customHeight="false" outlineLevel="1" collapsed="false">
      <c r="A230" s="3" t="s">
        <v>541</v>
      </c>
      <c r="B230" s="10" t="s">
        <v>56</v>
      </c>
      <c r="C230" s="45" t="n">
        <v>1.338</v>
      </c>
      <c r="D230" s="45" t="n">
        <v>6.194</v>
      </c>
      <c r="E230" s="45" t="n">
        <v>13.404</v>
      </c>
      <c r="F230" s="10" t="s">
        <v>511</v>
      </c>
      <c r="G230" s="10" t="s">
        <v>512</v>
      </c>
      <c r="I230" s="10" t="s">
        <v>540</v>
      </c>
      <c r="J230" s="5"/>
    </row>
    <row r="231" customFormat="false" ht="15" hidden="false" customHeight="false" outlineLevel="1" collapsed="false">
      <c r="A231" s="3" t="s">
        <v>542</v>
      </c>
      <c r="B231" s="10" t="s">
        <v>42</v>
      </c>
      <c r="C231" s="23" t="n">
        <v>0.396</v>
      </c>
      <c r="D231" s="23" t="n">
        <v>0.542</v>
      </c>
      <c r="E231" s="23" t="n">
        <v>0.625</v>
      </c>
      <c r="F231" s="10" t="s">
        <v>511</v>
      </c>
      <c r="G231" s="10" t="s">
        <v>512</v>
      </c>
      <c r="I231" s="10" t="s">
        <v>540</v>
      </c>
      <c r="J231" s="5"/>
    </row>
    <row r="232" customFormat="false" ht="15" hidden="false" customHeight="false" outlineLevel="1" collapsed="false">
      <c r="A232" s="3" t="s">
        <v>543</v>
      </c>
      <c r="B232" s="10" t="s">
        <v>56</v>
      </c>
      <c r="C232" s="45" t="n">
        <v>-0.9245</v>
      </c>
      <c r="D232" s="45" t="n">
        <v>-0.2319</v>
      </c>
      <c r="E232" s="45" t="n">
        <v>2.675</v>
      </c>
      <c r="F232" s="10" t="s">
        <v>511</v>
      </c>
      <c r="G232" s="10" t="s">
        <v>512</v>
      </c>
      <c r="I232" s="10" t="s">
        <v>540</v>
      </c>
      <c r="J232" s="5"/>
    </row>
    <row r="233" customFormat="false" ht="15" hidden="false" customHeight="false" outlineLevel="1" collapsed="false">
      <c r="A233" s="3" t="s">
        <v>544</v>
      </c>
      <c r="B233" s="10" t="s">
        <v>56</v>
      </c>
      <c r="C233" s="45" t="n">
        <v>-0.7855</v>
      </c>
      <c r="D233" s="45" t="n">
        <v>-1.165</v>
      </c>
      <c r="E233" s="45" t="n">
        <v>-0.08631</v>
      </c>
      <c r="F233" s="10" t="s">
        <v>511</v>
      </c>
      <c r="G233" s="10" t="s">
        <v>512</v>
      </c>
      <c r="I233" s="10" t="s">
        <v>540</v>
      </c>
      <c r="J233" s="5"/>
    </row>
    <row r="234" customFormat="false" ht="15" hidden="false" customHeight="false" outlineLevel="1" collapsed="false">
      <c r="A234" s="3" t="s">
        <v>545</v>
      </c>
      <c r="B234" s="10" t="s">
        <v>39</v>
      </c>
      <c r="C234" s="38" t="n">
        <v>-2.8</v>
      </c>
      <c r="D234" s="38" t="n">
        <v>-5.827</v>
      </c>
      <c r="E234" s="38" t="n">
        <v>2.737</v>
      </c>
      <c r="F234" s="10" t="s">
        <v>511</v>
      </c>
      <c r="G234" s="10" t="s">
        <v>512</v>
      </c>
      <c r="I234" s="10" t="s">
        <v>540</v>
      </c>
      <c r="J234" s="5"/>
    </row>
    <row r="235" customFormat="false" ht="15" hidden="false" customHeight="false" outlineLevel="1" collapsed="false">
      <c r="A235" s="3" t="s">
        <v>546</v>
      </c>
      <c r="B235" s="10" t="s">
        <v>56</v>
      </c>
      <c r="C235" s="45" t="n">
        <v>22.489</v>
      </c>
      <c r="D235" s="45" t="n">
        <v>27.243</v>
      </c>
      <c r="E235" s="45" t="n">
        <v>38.39</v>
      </c>
      <c r="F235" s="10" t="s">
        <v>511</v>
      </c>
      <c r="G235" s="10" t="s">
        <v>512</v>
      </c>
      <c r="I235" s="10" t="s">
        <v>540</v>
      </c>
      <c r="J235" s="5"/>
    </row>
    <row r="236" customFormat="false" ht="15" hidden="false" customHeight="false" outlineLevel="1" collapsed="false">
      <c r="A236" s="3" t="s">
        <v>547</v>
      </c>
      <c r="B236" s="10" t="s">
        <v>56</v>
      </c>
      <c r="C236" s="45" t="n">
        <v>-19.073</v>
      </c>
      <c r="D236" s="45" t="n">
        <v>-21.308</v>
      </c>
      <c r="E236" s="45" t="n">
        <v>-18.622</v>
      </c>
      <c r="F236" s="10" t="s">
        <v>511</v>
      </c>
      <c r="G236" s="10" t="s">
        <v>512</v>
      </c>
      <c r="I236" s="10" t="s">
        <v>540</v>
      </c>
      <c r="J236" s="5"/>
    </row>
    <row r="237" customFormat="false" ht="15" hidden="false" customHeight="false" outlineLevel="1" collapsed="false">
      <c r="A237" s="3" t="s">
        <v>548</v>
      </c>
      <c r="B237" s="10" t="s">
        <v>56</v>
      </c>
      <c r="C237" s="45" t="n">
        <v>15.446</v>
      </c>
      <c r="D237" s="45" t="n">
        <v>31.876</v>
      </c>
      <c r="E237" s="45" t="n">
        <v>38.685</v>
      </c>
      <c r="F237" s="10" t="s">
        <v>511</v>
      </c>
      <c r="G237" s="10" t="s">
        <v>512</v>
      </c>
      <c r="I237" s="10" t="s">
        <v>540</v>
      </c>
      <c r="J237" s="5"/>
    </row>
    <row r="238" customFormat="false" ht="15" hidden="false" customHeight="false" outlineLevel="1" collapsed="false">
      <c r="A238" s="3" t="s">
        <v>549</v>
      </c>
      <c r="B238" s="5"/>
      <c r="C238" s="4" t="s">
        <v>550</v>
      </c>
      <c r="F238" s="10" t="s">
        <v>511</v>
      </c>
      <c r="G238" s="10" t="s">
        <v>512</v>
      </c>
      <c r="I238" s="10" t="s">
        <v>540</v>
      </c>
      <c r="J238" s="5"/>
    </row>
    <row r="239" customFormat="false" ht="17.15" hidden="false" customHeight="false" outlineLevel="1" collapsed="false">
      <c r="A239" s="14" t="s">
        <v>551</v>
      </c>
      <c r="B239" s="13" t="s">
        <v>51</v>
      </c>
      <c r="C239" s="13" t="s">
        <v>501</v>
      </c>
      <c r="D239" s="13"/>
      <c r="E239" s="13"/>
      <c r="F239" s="13" t="s">
        <v>502</v>
      </c>
      <c r="G239" s="13" t="s">
        <v>503</v>
      </c>
      <c r="H239" s="13"/>
      <c r="I239" s="13" t="s">
        <v>504</v>
      </c>
      <c r="J239" s="13" t="s">
        <v>505</v>
      </c>
    </row>
    <row r="240" customFormat="false" ht="15" hidden="false" customHeight="false" outlineLevel="1" collapsed="false">
      <c r="A240" s="3" t="s">
        <v>552</v>
      </c>
      <c r="B240" s="10" t="s">
        <v>56</v>
      </c>
      <c r="C240" s="45" t="n">
        <v>3.34</v>
      </c>
      <c r="F240" s="10" t="s">
        <v>511</v>
      </c>
      <c r="G240" s="10" t="s">
        <v>512</v>
      </c>
      <c r="I240" s="10" t="s">
        <v>513</v>
      </c>
      <c r="J240" s="5"/>
    </row>
    <row r="241" customFormat="false" ht="15" hidden="false" customHeight="false" outlineLevel="1" collapsed="false">
      <c r="A241" s="3" t="s">
        <v>553</v>
      </c>
      <c r="B241" s="10" t="s">
        <v>56</v>
      </c>
      <c r="C241" s="45" t="n">
        <v>3</v>
      </c>
      <c r="D241" s="45" t="n">
        <v>3.6</v>
      </c>
      <c r="F241" s="10" t="s">
        <v>511</v>
      </c>
      <c r="G241" s="10" t="s">
        <v>512</v>
      </c>
      <c r="I241" s="10" t="s">
        <v>513</v>
      </c>
      <c r="J241" s="5"/>
    </row>
    <row r="242" customFormat="false" ht="15" hidden="false" customHeight="false" outlineLevel="1" collapsed="false">
      <c r="A242" s="3" t="s">
        <v>554</v>
      </c>
      <c r="B242" s="10" t="s">
        <v>39</v>
      </c>
      <c r="C242" s="38" t="n">
        <v>-2.23</v>
      </c>
      <c r="F242" s="10" t="s">
        <v>511</v>
      </c>
      <c r="G242" s="10" t="s">
        <v>512</v>
      </c>
      <c r="I242" s="10" t="s">
        <v>513</v>
      </c>
      <c r="J242" s="5"/>
    </row>
    <row r="243" customFormat="false" ht="15" hidden="false" customHeight="false" outlineLevel="1" collapsed="false">
      <c r="A243" s="3" t="s">
        <v>555</v>
      </c>
      <c r="B243" s="10" t="s">
        <v>39</v>
      </c>
      <c r="C243" s="38" t="n">
        <v>-4.42</v>
      </c>
      <c r="D243" s="38" t="n">
        <v>0.27</v>
      </c>
      <c r="F243" s="10" t="s">
        <v>511</v>
      </c>
      <c r="G243" s="10" t="s">
        <v>512</v>
      </c>
      <c r="I243" s="10" t="s">
        <v>513</v>
      </c>
      <c r="J243" s="10" t="s">
        <v>556</v>
      </c>
    </row>
    <row r="244" customFormat="false" ht="17.15" hidden="false" customHeight="false" outlineLevel="1" collapsed="false">
      <c r="A244" s="13" t="s">
        <v>557</v>
      </c>
      <c r="B244" s="13" t="s">
        <v>51</v>
      </c>
      <c r="C244" s="13" t="s">
        <v>501</v>
      </c>
      <c r="D244" s="13"/>
      <c r="E244" s="13"/>
      <c r="F244" s="13" t="s">
        <v>502</v>
      </c>
      <c r="G244" s="13" t="s">
        <v>503</v>
      </c>
      <c r="H244" s="13"/>
      <c r="I244" s="13" t="s">
        <v>504</v>
      </c>
      <c r="J244" s="13" t="s">
        <v>505</v>
      </c>
    </row>
    <row r="245" customFormat="false" ht="15" hidden="false" customHeight="false" outlineLevel="1" collapsed="false">
      <c r="A245" s="3" t="s">
        <v>558</v>
      </c>
      <c r="B245" s="10" t="s">
        <v>56</v>
      </c>
      <c r="C245" s="45" t="n">
        <v>0.8994</v>
      </c>
      <c r="D245" s="45" t="n">
        <v>1.521</v>
      </c>
      <c r="F245" s="10" t="s">
        <v>511</v>
      </c>
      <c r="G245" s="10" t="s">
        <v>512</v>
      </c>
      <c r="I245" s="10" t="s">
        <v>540</v>
      </c>
      <c r="J245" s="5"/>
    </row>
    <row r="246" customFormat="false" ht="15" hidden="false" customHeight="false" outlineLevel="1" collapsed="false">
      <c r="A246" s="3" t="s">
        <v>559</v>
      </c>
      <c r="B246" s="10" t="s">
        <v>56</v>
      </c>
      <c r="C246" s="45" t="n">
        <v>0.3624</v>
      </c>
      <c r="D246" s="45" t="n">
        <v>0.74</v>
      </c>
      <c r="F246" s="10" t="s">
        <v>511</v>
      </c>
      <c r="G246" s="10" t="s">
        <v>512</v>
      </c>
      <c r="I246" s="10" t="s">
        <v>540</v>
      </c>
      <c r="J246" s="5"/>
    </row>
    <row r="247" customFormat="false" ht="15" hidden="false" customHeight="false" outlineLevel="1" collapsed="false">
      <c r="A247" s="3" t="s">
        <v>560</v>
      </c>
      <c r="B247" s="10" t="s">
        <v>56</v>
      </c>
      <c r="C247" s="45" t="n">
        <v>-0.2239</v>
      </c>
      <c r="D247" s="45" t="n">
        <v>-0.1615</v>
      </c>
      <c r="F247" s="10" t="s">
        <v>511</v>
      </c>
      <c r="G247" s="10" t="s">
        <v>512</v>
      </c>
      <c r="I247" s="10" t="s">
        <v>540</v>
      </c>
      <c r="J247" s="5"/>
    </row>
    <row r="248" customFormat="false" ht="15" hidden="false" customHeight="false" outlineLevel="1" collapsed="false">
      <c r="A248" s="3" t="s">
        <v>561</v>
      </c>
      <c r="B248" s="10" t="s">
        <v>56</v>
      </c>
      <c r="C248" s="45" t="n">
        <v>-0.4157</v>
      </c>
      <c r="D248" s="45" t="n">
        <v>-0.5043</v>
      </c>
      <c r="F248" s="10" t="s">
        <v>511</v>
      </c>
      <c r="G248" s="10" t="s">
        <v>512</v>
      </c>
      <c r="I248" s="10" t="s">
        <v>540</v>
      </c>
      <c r="J248" s="5"/>
    </row>
    <row r="249" customFormat="false" ht="15" hidden="false" customHeight="false" outlineLevel="1" collapsed="false">
      <c r="A249" s="3" t="s">
        <v>562</v>
      </c>
      <c r="B249" s="5"/>
      <c r="C249" s="4" t="s">
        <v>563</v>
      </c>
      <c r="F249" s="10" t="s">
        <v>511</v>
      </c>
      <c r="G249" s="10" t="s">
        <v>512</v>
      </c>
      <c r="I249" s="10" t="s">
        <v>540</v>
      </c>
      <c r="J249" s="5"/>
    </row>
    <row r="250" customFormat="false" ht="15" hidden="false" customHeight="false" outlineLevel="1" collapsed="false">
      <c r="A250" s="13" t="s">
        <v>564</v>
      </c>
      <c r="B250" s="13" t="s">
        <v>51</v>
      </c>
      <c r="C250" s="13" t="s">
        <v>501</v>
      </c>
      <c r="D250" s="13"/>
      <c r="E250" s="13"/>
      <c r="F250" s="13" t="s">
        <v>502</v>
      </c>
      <c r="G250" s="13" t="s">
        <v>503</v>
      </c>
      <c r="H250" s="13"/>
      <c r="I250" s="13" t="s">
        <v>504</v>
      </c>
      <c r="J250" s="13" t="s">
        <v>505</v>
      </c>
    </row>
    <row r="251" customFormat="false" ht="15" hidden="false" customHeight="false" outlineLevel="1" collapsed="false">
      <c r="A251" s="3" t="s">
        <v>565</v>
      </c>
      <c r="B251" s="10" t="s">
        <v>56</v>
      </c>
      <c r="C251" s="45" t="n">
        <v>3</v>
      </c>
      <c r="D251" s="45" t="n">
        <v>3.4</v>
      </c>
      <c r="F251" s="5" t="s">
        <v>566</v>
      </c>
      <c r="G251" s="10" t="s">
        <v>512</v>
      </c>
      <c r="I251" s="10" t="s">
        <v>567</v>
      </c>
      <c r="J251" s="5"/>
    </row>
    <row r="252" customFormat="false" ht="15" hidden="false" customHeight="false" outlineLevel="1" collapsed="false">
      <c r="A252" s="3" t="s">
        <v>568</v>
      </c>
      <c r="B252" s="10" t="s">
        <v>56</v>
      </c>
      <c r="C252" s="45" t="n">
        <v>20</v>
      </c>
      <c r="D252" s="45" t="n">
        <v>25</v>
      </c>
      <c r="F252" s="5" t="s">
        <v>566</v>
      </c>
      <c r="G252" s="10" t="s">
        <v>512</v>
      </c>
      <c r="I252" s="10" t="s">
        <v>567</v>
      </c>
      <c r="J252" s="5"/>
    </row>
    <row r="253" customFormat="false" ht="15" hidden="false" customHeight="false" outlineLevel="1" collapsed="false">
      <c r="A253" s="3" t="s">
        <v>569</v>
      </c>
      <c r="B253" s="10" t="s">
        <v>56</v>
      </c>
      <c r="C253" s="45" t="n">
        <v>7</v>
      </c>
      <c r="D253" s="45" t="n">
        <v>9</v>
      </c>
      <c r="F253" s="5" t="s">
        <v>566</v>
      </c>
      <c r="G253" s="10" t="s">
        <v>512</v>
      </c>
      <c r="I253" s="10" t="s">
        <v>567</v>
      </c>
      <c r="J253" s="5"/>
    </row>
    <row r="254" customFormat="false" ht="15" hidden="false" customHeight="false" outlineLevel="1" collapsed="false">
      <c r="A254" s="3" t="s">
        <v>570</v>
      </c>
      <c r="B254" s="10" t="s">
        <v>42</v>
      </c>
      <c r="C254" s="23" t="n">
        <v>0.4</v>
      </c>
      <c r="F254" s="5" t="s">
        <v>566</v>
      </c>
      <c r="G254" s="10" t="s">
        <v>512</v>
      </c>
      <c r="I254" s="10" t="s">
        <v>567</v>
      </c>
      <c r="J254" s="5"/>
    </row>
    <row r="255" customFormat="false" ht="15" hidden="false" customHeight="false" outlineLevel="1" collapsed="false">
      <c r="A255" s="3" t="s">
        <v>571</v>
      </c>
      <c r="B255" s="10" t="s">
        <v>572</v>
      </c>
      <c r="C255" s="34" t="n">
        <v>5</v>
      </c>
      <c r="F255" s="5" t="s">
        <v>566</v>
      </c>
      <c r="G255" s="10" t="s">
        <v>512</v>
      </c>
      <c r="I255" s="10" t="s">
        <v>567</v>
      </c>
      <c r="J255" s="5"/>
    </row>
    <row r="256" customFormat="false" ht="15" hidden="false" customHeight="false" outlineLevel="1" collapsed="false">
      <c r="A256" s="3" t="s">
        <v>573</v>
      </c>
      <c r="B256" s="10" t="s">
        <v>572</v>
      </c>
      <c r="C256" s="34" t="n">
        <v>0.8</v>
      </c>
      <c r="D256" s="34" t="n">
        <v>1</v>
      </c>
      <c r="F256" s="5" t="s">
        <v>566</v>
      </c>
      <c r="G256" s="10" t="s">
        <v>512</v>
      </c>
      <c r="I256" s="10" t="s">
        <v>567</v>
      </c>
      <c r="J256" s="5"/>
    </row>
    <row r="257" customFormat="false" ht="15" hidden="false" customHeight="false" outlineLevel="1" collapsed="false">
      <c r="A257" s="3" t="s">
        <v>574</v>
      </c>
      <c r="B257" s="10" t="s">
        <v>56</v>
      </c>
      <c r="C257" s="45" t="n">
        <v>9</v>
      </c>
      <c r="F257" s="5" t="s">
        <v>566</v>
      </c>
      <c r="G257" s="10" t="s">
        <v>512</v>
      </c>
      <c r="I257" s="10" t="s">
        <v>567</v>
      </c>
      <c r="J257" s="5" t="s">
        <v>575</v>
      </c>
    </row>
    <row r="258" customFormat="false" ht="17.15" hidden="false" customHeight="false" outlineLevel="1" collapsed="false">
      <c r="A258" s="13" t="s">
        <v>576</v>
      </c>
      <c r="B258" s="13" t="s">
        <v>51</v>
      </c>
      <c r="C258" s="13" t="s">
        <v>501</v>
      </c>
      <c r="D258" s="13"/>
      <c r="E258" s="13"/>
      <c r="F258" s="13" t="s">
        <v>502</v>
      </c>
      <c r="G258" s="13" t="s">
        <v>503</v>
      </c>
      <c r="H258" s="13"/>
      <c r="I258" s="13" t="s">
        <v>504</v>
      </c>
      <c r="J258" s="13" t="s">
        <v>505</v>
      </c>
    </row>
    <row r="259" customFormat="false" ht="15" hidden="false" customHeight="false" outlineLevel="1" collapsed="false">
      <c r="A259" s="3" t="s">
        <v>577</v>
      </c>
      <c r="B259" s="10" t="s">
        <v>56</v>
      </c>
      <c r="C259" s="45" t="n">
        <v>0.5738</v>
      </c>
      <c r="F259" s="10" t="s">
        <v>578</v>
      </c>
      <c r="G259" s="10" t="s">
        <v>512</v>
      </c>
      <c r="I259" s="10" t="s">
        <v>579</v>
      </c>
      <c r="J259" s="5"/>
    </row>
    <row r="260" customFormat="false" ht="15" hidden="false" customHeight="false" outlineLevel="1" collapsed="false">
      <c r="A260" s="3" t="s">
        <v>580</v>
      </c>
      <c r="B260" s="10" t="s">
        <v>39</v>
      </c>
      <c r="C260" s="38" t="n">
        <v>-0.67</v>
      </c>
      <c r="F260" s="10" t="s">
        <v>578</v>
      </c>
      <c r="G260" s="10" t="s">
        <v>512</v>
      </c>
      <c r="I260" s="10" t="s">
        <v>579</v>
      </c>
      <c r="J260" s="5"/>
    </row>
    <row r="261" customFormat="false" ht="15" hidden="false" customHeight="false" outlineLevel="1" collapsed="false">
      <c r="A261" s="3" t="s">
        <v>581</v>
      </c>
      <c r="B261" s="5" t="s">
        <v>125</v>
      </c>
      <c r="C261" s="20" t="n">
        <v>4</v>
      </c>
      <c r="F261" s="10" t="s">
        <v>578</v>
      </c>
      <c r="G261" s="10" t="s">
        <v>512</v>
      </c>
      <c r="I261" s="10" t="s">
        <v>579</v>
      </c>
      <c r="J261" s="10" t="s">
        <v>582</v>
      </c>
    </row>
    <row r="262" customFormat="false" ht="15" hidden="false" customHeight="false" outlineLevel="1" collapsed="false">
      <c r="A262" s="13" t="s">
        <v>583</v>
      </c>
      <c r="B262" s="13" t="s">
        <v>51</v>
      </c>
      <c r="C262" s="13" t="s">
        <v>501</v>
      </c>
      <c r="D262" s="13"/>
      <c r="E262" s="13"/>
      <c r="F262" s="13" t="s">
        <v>502</v>
      </c>
      <c r="G262" s="13" t="s">
        <v>503</v>
      </c>
      <c r="H262" s="13"/>
      <c r="I262" s="13" t="s">
        <v>504</v>
      </c>
      <c r="J262" s="13" t="s">
        <v>505</v>
      </c>
    </row>
    <row r="263" customFormat="false" ht="15" hidden="false" customHeight="false" outlineLevel="1" collapsed="false">
      <c r="A263" s="3" t="s">
        <v>584</v>
      </c>
      <c r="B263" s="10" t="s">
        <v>39</v>
      </c>
      <c r="C263" s="3" t="s">
        <v>585</v>
      </c>
      <c r="F263" s="10" t="s">
        <v>511</v>
      </c>
      <c r="G263" s="10" t="s">
        <v>512</v>
      </c>
      <c r="I263" s="10" t="s">
        <v>586</v>
      </c>
      <c r="J263" s="10" t="s">
        <v>587</v>
      </c>
    </row>
    <row r="264" customFormat="false" ht="15" hidden="false" customHeight="false" outlineLevel="1" collapsed="false">
      <c r="A264" s="3" t="s">
        <v>588</v>
      </c>
      <c r="B264" s="10" t="s">
        <v>39</v>
      </c>
      <c r="C264" s="3" t="s">
        <v>585</v>
      </c>
      <c r="F264" s="10" t="s">
        <v>511</v>
      </c>
      <c r="G264" s="10" t="s">
        <v>512</v>
      </c>
      <c r="I264" s="10" t="s">
        <v>586</v>
      </c>
      <c r="J264" s="10" t="s">
        <v>589</v>
      </c>
    </row>
    <row r="265" customFormat="false" ht="15" hidden="false" customHeight="false" outlineLevel="1" collapsed="false">
      <c r="A265" s="3" t="s">
        <v>590</v>
      </c>
      <c r="B265" s="10" t="s">
        <v>39</v>
      </c>
      <c r="C265" s="38" t="n">
        <v>399</v>
      </c>
      <c r="F265" s="10" t="s">
        <v>511</v>
      </c>
      <c r="G265" s="10" t="s">
        <v>512</v>
      </c>
      <c r="I265" s="10" t="s">
        <v>586</v>
      </c>
      <c r="J265" s="10" t="s">
        <v>591</v>
      </c>
    </row>
    <row r="266" customFormat="false" ht="15" hidden="false" customHeight="false" outlineLevel="1" collapsed="false">
      <c r="A266" s="3" t="s">
        <v>592</v>
      </c>
      <c r="B266" s="10" t="s">
        <v>39</v>
      </c>
      <c r="C266" s="38" t="n">
        <v>410</v>
      </c>
      <c r="F266" s="10" t="s">
        <v>511</v>
      </c>
      <c r="G266" s="10" t="s">
        <v>512</v>
      </c>
      <c r="I266" s="10" t="s">
        <v>586</v>
      </c>
      <c r="J266" s="10" t="s">
        <v>593</v>
      </c>
    </row>
    <row r="267" customFormat="false" ht="15" hidden="false" customHeight="false" outlineLevel="1" collapsed="false">
      <c r="A267" s="3" t="s">
        <v>594</v>
      </c>
      <c r="B267" s="10" t="s">
        <v>39</v>
      </c>
      <c r="C267" s="38" t="n">
        <v>355</v>
      </c>
      <c r="F267" s="10" t="s">
        <v>511</v>
      </c>
      <c r="G267" s="10" t="s">
        <v>512</v>
      </c>
      <c r="I267" s="10" t="s">
        <v>586</v>
      </c>
      <c r="J267" s="10" t="s">
        <v>595</v>
      </c>
    </row>
    <row r="268" customFormat="false" ht="15" hidden="false" customHeight="false" outlineLevel="1" collapsed="false">
      <c r="A268" s="13" t="s">
        <v>596</v>
      </c>
      <c r="B268" s="13" t="s">
        <v>51</v>
      </c>
      <c r="C268" s="13" t="s">
        <v>501</v>
      </c>
      <c r="D268" s="13"/>
      <c r="E268" s="13"/>
      <c r="F268" s="13" t="s">
        <v>502</v>
      </c>
      <c r="G268" s="13" t="s">
        <v>503</v>
      </c>
      <c r="H268" s="13"/>
      <c r="I268" s="13" t="s">
        <v>504</v>
      </c>
      <c r="J268" s="13" t="s">
        <v>505</v>
      </c>
    </row>
    <row r="269" customFormat="false" ht="15" hidden="false" customHeight="false" outlineLevel="1" collapsed="false">
      <c r="A269" s="3" t="s">
        <v>597</v>
      </c>
      <c r="B269" s="5"/>
      <c r="C269" s="4" t="s">
        <v>598</v>
      </c>
      <c r="F269" s="10" t="s">
        <v>511</v>
      </c>
      <c r="G269" s="5"/>
      <c r="I269" s="5" t="s">
        <v>599</v>
      </c>
      <c r="J269" s="5"/>
    </row>
    <row r="270" customFormat="false" ht="15" hidden="false" customHeight="false" outlineLevel="1" collapsed="false">
      <c r="A270" s="3" t="s">
        <v>600</v>
      </c>
      <c r="B270" s="5"/>
      <c r="C270" s="4" t="s">
        <v>601</v>
      </c>
      <c r="F270" s="10" t="s">
        <v>511</v>
      </c>
      <c r="G270" s="5"/>
      <c r="I270" s="5" t="s">
        <v>599</v>
      </c>
      <c r="J270" s="5"/>
    </row>
    <row r="271" customFormat="false" ht="15" hidden="false" customHeight="false" outlineLevel="1" collapsed="false">
      <c r="A271" s="3" t="s">
        <v>602</v>
      </c>
      <c r="B271" s="5"/>
      <c r="C271" s="4" t="s">
        <v>603</v>
      </c>
      <c r="F271" s="10" t="s">
        <v>511</v>
      </c>
      <c r="G271" s="5"/>
      <c r="I271" s="5" t="s">
        <v>599</v>
      </c>
      <c r="J271" s="5"/>
    </row>
    <row r="272" customFormat="false" ht="15" hidden="false" customHeight="false" outlineLevel="1" collapsed="false">
      <c r="A272" s="3" t="s">
        <v>604</v>
      </c>
      <c r="B272" s="5"/>
      <c r="C272" s="4" t="s">
        <v>605</v>
      </c>
      <c r="F272" s="10" t="s">
        <v>511</v>
      </c>
      <c r="G272" s="5"/>
      <c r="I272" s="5" t="s">
        <v>599</v>
      </c>
      <c r="J272" s="5"/>
    </row>
    <row r="273" customFormat="false" ht="15" hidden="false" customHeight="false" outlineLevel="1" collapsed="false">
      <c r="A273" s="3" t="s">
        <v>606</v>
      </c>
      <c r="B273" s="5"/>
      <c r="C273" s="4" t="s">
        <v>607</v>
      </c>
      <c r="F273" s="10" t="s">
        <v>511</v>
      </c>
      <c r="G273" s="5"/>
      <c r="I273" s="5" t="s">
        <v>599</v>
      </c>
      <c r="J273" s="5"/>
    </row>
    <row r="274" customFormat="false" ht="15" hidden="false" customHeight="false" outlineLevel="1" collapsed="false">
      <c r="A274" s="3" t="s">
        <v>608</v>
      </c>
      <c r="B274" s="10" t="s">
        <v>42</v>
      </c>
      <c r="C274" s="23" t="n">
        <v>0.05</v>
      </c>
      <c r="I274" s="5" t="s">
        <v>609</v>
      </c>
    </row>
    <row r="275" customFormat="false" ht="15" hidden="false" customHeight="false" outlineLevel="1" collapsed="false">
      <c r="A275" s="3" t="s">
        <v>610</v>
      </c>
      <c r="B275" s="10" t="s">
        <v>68</v>
      </c>
      <c r="C275" s="23" t="n">
        <v>0.02</v>
      </c>
      <c r="I275" s="5" t="s">
        <v>611</v>
      </c>
    </row>
    <row r="277" customFormat="false" ht="15" hidden="false" customHeight="false" outlineLevel="0" collapsed="false">
      <c r="A277" s="6" t="s">
        <v>612</v>
      </c>
      <c r="B277" s="7"/>
      <c r="C277" s="7"/>
      <c r="D277" s="7"/>
      <c r="E277" s="7"/>
      <c r="F277" s="7"/>
      <c r="G277" s="7"/>
      <c r="H277" s="7"/>
    </row>
    <row r="278" customFormat="false" ht="15" hidden="false" customHeight="false" outlineLevel="1" collapsed="false">
      <c r="A278" s="13" t="s">
        <v>613</v>
      </c>
      <c r="B278" s="13" t="s">
        <v>51</v>
      </c>
      <c r="C278" s="14" t="s">
        <v>614</v>
      </c>
      <c r="D278" s="14" t="s">
        <v>615</v>
      </c>
      <c r="E278" s="14" t="s">
        <v>616</v>
      </c>
      <c r="F278" s="14" t="s">
        <v>617</v>
      </c>
      <c r="G278" s="14" t="s">
        <v>618</v>
      </c>
      <c r="H278" s="14" t="s">
        <v>619</v>
      </c>
      <c r="J278" s="13" t="s">
        <v>620</v>
      </c>
    </row>
    <row r="279" customFormat="false" ht="15" hidden="false" customHeight="false" outlineLevel="1" collapsed="false">
      <c r="A279" s="3" t="s">
        <v>621</v>
      </c>
      <c r="C279" s="21" t="n">
        <v>1</v>
      </c>
      <c r="D279" s="21" t="n">
        <v>1</v>
      </c>
      <c r="E279" s="21" t="n">
        <v>2</v>
      </c>
      <c r="F279" s="21" t="n">
        <v>2</v>
      </c>
      <c r="G279" s="21" t="n">
        <v>2</v>
      </c>
      <c r="H279" s="21" t="n">
        <v>2</v>
      </c>
      <c r="J279" s="5" t="s">
        <v>622</v>
      </c>
    </row>
    <row r="280" customFormat="false" ht="15" hidden="false" customHeight="false" outlineLevel="1" collapsed="false">
      <c r="A280" s="3" t="s">
        <v>623</v>
      </c>
      <c r="C280" s="17" t="n">
        <v>1</v>
      </c>
      <c r="J280" s="5" t="s">
        <v>624</v>
      </c>
    </row>
    <row r="281" customFormat="false" ht="15" hidden="false" customHeight="false" outlineLevel="1" collapsed="false">
      <c r="A281" s="3" t="s">
        <v>625</v>
      </c>
      <c r="B281" s="10" t="s">
        <v>56</v>
      </c>
      <c r="C281" s="45" t="n">
        <v>0.5823</v>
      </c>
      <c r="J281" s="5" t="s">
        <v>626</v>
      </c>
    </row>
    <row r="282" customFormat="false" ht="15" hidden="false" customHeight="false" outlineLevel="1" collapsed="false">
      <c r="A282" s="3" t="s">
        <v>627</v>
      </c>
      <c r="B282" s="10" t="s">
        <v>143</v>
      </c>
      <c r="C282" s="20" t="n">
        <v>460</v>
      </c>
      <c r="J282" s="10" t="s">
        <v>628</v>
      </c>
    </row>
    <row r="283" customFormat="false" ht="15" hidden="false" customHeight="false" outlineLevel="1" collapsed="false">
      <c r="A283" s="3" t="s">
        <v>629</v>
      </c>
      <c r="B283" s="10" t="s">
        <v>56</v>
      </c>
      <c r="C283" s="45"/>
      <c r="D283" s="45"/>
      <c r="E283" s="45"/>
      <c r="F283" s="45"/>
      <c r="G283" s="45"/>
      <c r="H283" s="45"/>
      <c r="J283" s="5" t="s">
        <v>630</v>
      </c>
    </row>
    <row r="284" customFormat="false" ht="15" hidden="false" customHeight="false" outlineLevel="1" collapsed="false">
      <c r="A284" s="3" t="s">
        <v>631</v>
      </c>
      <c r="B284" s="10" t="s">
        <v>56</v>
      </c>
      <c r="C284" s="45"/>
      <c r="D284" s="45"/>
      <c r="E284" s="45"/>
      <c r="F284" s="45"/>
      <c r="G284" s="45"/>
      <c r="H284" s="45"/>
    </row>
    <row r="285" customFormat="false" ht="15" hidden="false" customHeight="false" outlineLevel="1" collapsed="false">
      <c r="A285" s="3" t="s">
        <v>632</v>
      </c>
      <c r="B285" s="10" t="s">
        <v>56</v>
      </c>
      <c r="C285" s="45"/>
      <c r="D285" s="45"/>
      <c r="E285" s="45"/>
      <c r="F285" s="45"/>
      <c r="G285" s="45"/>
      <c r="H285" s="45"/>
    </row>
    <row r="286" customFormat="false" ht="15" hidden="false" customHeight="false" outlineLevel="1" collapsed="false">
      <c r="A286" s="3" t="s">
        <v>633</v>
      </c>
      <c r="B286" s="10" t="s">
        <v>56</v>
      </c>
      <c r="C286" s="45"/>
      <c r="D286" s="45"/>
      <c r="E286" s="45"/>
      <c r="F286" s="45"/>
      <c r="G286" s="45"/>
      <c r="H286" s="45"/>
    </row>
    <row r="287" customFormat="false" ht="15" hidden="false" customHeight="false" outlineLevel="1" collapsed="false">
      <c r="A287" s="3" t="s">
        <v>634</v>
      </c>
      <c r="B287" s="10" t="s">
        <v>143</v>
      </c>
      <c r="C287" s="20"/>
      <c r="D287" s="20"/>
      <c r="E287" s="20"/>
      <c r="F287" s="20"/>
      <c r="G287" s="20"/>
      <c r="H287" s="20"/>
    </row>
    <row r="288" customFormat="false" ht="15" hidden="false" customHeight="false" outlineLevel="1" collapsed="false">
      <c r="A288" s="3" t="s">
        <v>635</v>
      </c>
      <c r="C288" s="25"/>
      <c r="D288" s="25"/>
      <c r="E288" s="25"/>
      <c r="F288" s="25"/>
      <c r="G288" s="25"/>
      <c r="H288" s="25"/>
    </row>
    <row r="289" customFormat="false" ht="15" hidden="false" customHeight="false" outlineLevel="1" collapsed="false">
      <c r="A289" s="3" t="s">
        <v>636</v>
      </c>
      <c r="C289" s="25"/>
      <c r="D289" s="25"/>
      <c r="E289" s="25"/>
      <c r="F289" s="25"/>
      <c r="G289" s="25"/>
      <c r="H289" s="25"/>
    </row>
    <row r="290" customFormat="false" ht="15" hidden="false" customHeight="false" outlineLevel="1" collapsed="false">
      <c r="A290" s="3" t="s">
        <v>637</v>
      </c>
      <c r="C290" s="25"/>
      <c r="D290" s="25"/>
      <c r="E290" s="25"/>
      <c r="F290" s="25"/>
      <c r="G290" s="25"/>
      <c r="H290" s="25"/>
    </row>
    <row r="291" customFormat="false" ht="15" hidden="false" customHeight="false" outlineLevel="1" collapsed="false">
      <c r="A291" s="3" t="s">
        <v>638</v>
      </c>
      <c r="B291" s="10" t="s">
        <v>56</v>
      </c>
      <c r="C291" s="45" t="n">
        <v>3</v>
      </c>
      <c r="D291" s="45" t="n">
        <v>3.4</v>
      </c>
      <c r="E291" s="45" t="n">
        <v>0.9813</v>
      </c>
      <c r="J291" s="5" t="s">
        <v>639</v>
      </c>
    </row>
    <row r="292" customFormat="false" ht="15" hidden="false" customHeight="false" outlineLevel="1" collapsed="false">
      <c r="A292" s="3" t="s">
        <v>640</v>
      </c>
      <c r="B292" s="10" t="s">
        <v>56</v>
      </c>
      <c r="C292" s="45" t="n">
        <v>20</v>
      </c>
      <c r="D292" s="45" t="n">
        <v>25</v>
      </c>
      <c r="E292" s="45" t="n">
        <v>8.1303</v>
      </c>
      <c r="J292" s="5" t="s">
        <v>639</v>
      </c>
    </row>
  </sheetData>
  <dataValidations count="1">
    <dataValidation allowBlank="false" error="請輸入 1–4" errorStyle="stop" errorTitle="錨定年度" operator="between" showDropDown="false" showErrorMessage="true" showInputMessage="false" sqref="C14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1" t="s">
        <v>641</v>
      </c>
    </row>
    <row r="2" customFormat="false" ht="15" hidden="false" customHeight="false" outlineLevel="0" collapsed="false">
      <c r="A2" s="10" t="s">
        <v>642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139</v>
      </c>
      <c r="G4" s="26" t="s">
        <v>140</v>
      </c>
      <c r="I4" s="13" t="s">
        <v>643</v>
      </c>
    </row>
    <row r="5" customFormat="false" ht="15" hidden="false" customHeight="false" outlineLevel="0" collapsed="false">
      <c r="A5" s="46" t="s">
        <v>644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645</v>
      </c>
      <c r="B6" s="10" t="s">
        <v>56</v>
      </c>
      <c r="C6" s="31" t="n">
        <f aca="false">輸入與假設!$C$182+輸入與假設!C$91</f>
        <v>26.04618992</v>
      </c>
      <c r="D6" s="31" t="n">
        <f aca="false">輸入與假設!D$91</f>
        <v>27.59743704</v>
      </c>
      <c r="E6" s="31" t="n">
        <f aca="false">輸入與假設!E$91</f>
        <v>29.14868416</v>
      </c>
      <c r="F6" s="31" t="n">
        <f aca="false">輸入與假設!F$91</f>
        <v>29.14868416</v>
      </c>
      <c r="G6" s="31" t="n">
        <f aca="false">輸入與假設!G$91</f>
        <v>37.692264</v>
      </c>
      <c r="I6" s="10" t="s">
        <v>646</v>
      </c>
    </row>
    <row r="7" customFormat="false" ht="15" hidden="false" customHeight="false" outlineLevel="1" collapsed="false">
      <c r="A7" s="3" t="s">
        <v>647</v>
      </c>
      <c r="B7" s="10" t="s">
        <v>42</v>
      </c>
      <c r="C7" s="47" t="n">
        <f aca="false">輸入與假設!C$76</f>
        <v>0.385</v>
      </c>
      <c r="D7" s="47" t="n">
        <f aca="false">輸入與假設!D$76</f>
        <v>0.385</v>
      </c>
      <c r="E7" s="47" t="n">
        <f aca="false">輸入與假設!E$76</f>
        <v>0.385</v>
      </c>
      <c r="F7" s="47" t="n">
        <f aca="false">輸入與假設!F$76</f>
        <v>0.385</v>
      </c>
      <c r="G7" s="47" t="n">
        <f aca="false">輸入與假設!G$76</f>
        <v>0.385</v>
      </c>
    </row>
    <row r="8" customFormat="false" ht="15" hidden="false" customHeight="false" outlineLevel="1" collapsed="false">
      <c r="A8" s="3" t="s">
        <v>648</v>
      </c>
      <c r="B8" s="10" t="s">
        <v>56</v>
      </c>
      <c r="C8" s="31" t="n">
        <f aca="false">輸入與假設!C$87*C7</f>
        <v>6.8976176192</v>
      </c>
      <c r="D8" s="31" t="n">
        <f aca="false">輸入與假設!D$87*D7</f>
        <v>10.6250132604</v>
      </c>
      <c r="E8" s="31" t="n">
        <f aca="false">輸入與假設!E$87*E7</f>
        <v>11.2222434016</v>
      </c>
      <c r="F8" s="31" t="n">
        <f aca="false">輸入與假設!F$87*F7</f>
        <v>11.2222434016</v>
      </c>
      <c r="G8" s="31" t="n">
        <f aca="false">輸入與假設!G$87*G7</f>
        <v>11.2222434016</v>
      </c>
      <c r="I8" s="5" t="s">
        <v>649</v>
      </c>
    </row>
    <row r="9" customFormat="false" ht="15" hidden="false" customHeight="false" outlineLevel="1" collapsed="false">
      <c r="A9" s="3" t="s">
        <v>650</v>
      </c>
      <c r="B9" s="10" t="s">
        <v>56</v>
      </c>
      <c r="C9" s="31" t="n">
        <f aca="false">輸入與假設!$C$74</f>
        <v>5.9752</v>
      </c>
      <c r="D9" s="31" t="n">
        <f aca="false">C11</f>
        <v>11.8769509525333</v>
      </c>
      <c r="E9" s="31" t="n">
        <f aca="false">D11</f>
        <v>18.5429805620889</v>
      </c>
      <c r="F9" s="31" t="n">
        <f aca="false">E11</f>
        <v>23.5842304429926</v>
      </c>
      <c r="G9" s="31" t="n">
        <f aca="false">F11</f>
        <v>26.9450636969284</v>
      </c>
      <c r="I9" s="10" t="s">
        <v>651</v>
      </c>
    </row>
    <row r="10" customFormat="false" ht="15" hidden="false" customHeight="false" outlineLevel="1" collapsed="false">
      <c r="A10" s="3" t="s">
        <v>652</v>
      </c>
      <c r="B10" s="10" t="s">
        <v>56</v>
      </c>
      <c r="C10" s="31" t="n">
        <f aca="false">MIN(C9,C9/輸入與假設!$C$73*運營_產能與收入!C7)</f>
        <v>0.995866666666667</v>
      </c>
      <c r="D10" s="31" t="n">
        <f aca="false">MIN(D9,D9/輸入與假設!$C$73*運營_產能與收入!D7)</f>
        <v>3.95898365084444</v>
      </c>
      <c r="E10" s="31" t="n">
        <f aca="false">MIN(E9,E9/輸入與假設!$C$73*運營_產能與收入!E7)</f>
        <v>6.1809935206963</v>
      </c>
      <c r="F10" s="31" t="n">
        <f aca="false">MIN(F9,F9/輸入與假設!$C$73*運營_產能與收入!F7)</f>
        <v>7.8614101476642</v>
      </c>
      <c r="G10" s="31" t="n">
        <f aca="false">MIN(G9,G9/輸入與假設!$C$73*運營_產能與收入!G7)</f>
        <v>8.98168789897613</v>
      </c>
      <c r="I10" s="5" t="s">
        <v>653</v>
      </c>
    </row>
    <row r="11" customFormat="false" ht="15" hidden="false" customHeight="false" outlineLevel="1" collapsed="false">
      <c r="A11" s="3" t="s">
        <v>654</v>
      </c>
      <c r="B11" s="10" t="s">
        <v>56</v>
      </c>
      <c r="C11" s="31" t="n">
        <f aca="false">C9+C8-C10</f>
        <v>11.8769509525333</v>
      </c>
      <c r="D11" s="31" t="n">
        <f aca="false">D9+D8-D10</f>
        <v>18.5429805620889</v>
      </c>
      <c r="E11" s="31" t="n">
        <f aca="false">E9+E8-E10</f>
        <v>23.5842304429926</v>
      </c>
      <c r="F11" s="31" t="n">
        <f aca="false">F9+F8-F10</f>
        <v>26.9450636969284</v>
      </c>
      <c r="G11" s="31" t="n">
        <f aca="false">G9+G8-G10</f>
        <v>29.1856191995523</v>
      </c>
      <c r="I11" s="5" t="s">
        <v>655</v>
      </c>
    </row>
    <row r="12" customFormat="false" ht="15" hidden="false" customHeight="false" outlineLevel="1" collapsed="false">
      <c r="A12" s="4" t="s">
        <v>656</v>
      </c>
      <c r="B12" s="10" t="s">
        <v>56</v>
      </c>
      <c r="C12" s="31" t="n">
        <f aca="false">輸入與假設!$C$181+輸入與假設!C$91</f>
        <v>26.04618992</v>
      </c>
      <c r="D12" s="31" t="n">
        <f aca="false">輸入與假設!D$91</f>
        <v>27.59743704</v>
      </c>
      <c r="E12" s="31" t="n">
        <f aca="false">輸入與假設!E$91</f>
        <v>29.14868416</v>
      </c>
      <c r="F12" s="31" t="n">
        <f aca="false">輸入與假設!F$91</f>
        <v>29.14868416</v>
      </c>
      <c r="G12" s="31" t="n">
        <f aca="false">輸入與假設!G$91</f>
        <v>37.692264</v>
      </c>
      <c r="I12" s="10" t="s">
        <v>657</v>
      </c>
    </row>
    <row r="13" customFormat="false" ht="15" hidden="false" customHeight="false" outlineLevel="1" collapsed="false">
      <c r="A13" s="3" t="s">
        <v>658</v>
      </c>
      <c r="B13" s="10" t="s">
        <v>56</v>
      </c>
      <c r="C13" s="40" t="n">
        <f aca="false">輸入與假設!C$77</f>
        <v>0.0916</v>
      </c>
      <c r="D13" s="40" t="n">
        <f aca="false">輸入與假設!D$77</f>
        <v>0.2352</v>
      </c>
      <c r="E13" s="40" t="n">
        <f aca="false">輸入與假設!E$77</f>
        <v>0.2342</v>
      </c>
      <c r="F13" s="40" t="n">
        <f aca="false">輸入與假設!F$77</f>
        <v>0.2414</v>
      </c>
      <c r="G13" s="40" t="n">
        <f aca="false">輸入與假設!G$77</f>
        <v>0.2427</v>
      </c>
      <c r="I13" s="5" t="s">
        <v>659</v>
      </c>
    </row>
    <row r="14" customFormat="false" ht="15" hidden="false" customHeight="false" outlineLevel="1" collapsed="false">
      <c r="A14" s="3" t="s">
        <v>660</v>
      </c>
      <c r="B14" s="10" t="s">
        <v>56</v>
      </c>
      <c r="C14" s="40" t="n">
        <f aca="false">輸入與假設!C$78</f>
        <v>0.05</v>
      </c>
      <c r="D14" s="40" t="n">
        <f aca="false">輸入與假設!D$78</f>
        <v>0.42008843967151</v>
      </c>
      <c r="E14" s="40" t="n">
        <f aca="false">輸入與假設!E$78</f>
        <v>0.790562913907285</v>
      </c>
      <c r="F14" s="40" t="n">
        <f aca="false">輸入與假設!F$78</f>
        <v>0.766389658356417</v>
      </c>
      <c r="G14" s="40" t="n">
        <f aca="false">輸入與假設!G$78</f>
        <v>0.752082312591867</v>
      </c>
      <c r="I14" s="5" t="s">
        <v>661</v>
      </c>
    </row>
    <row r="15" customFormat="false" ht="15" hidden="false" customHeight="false" outlineLevel="1" collapsed="false">
      <c r="A15" s="3" t="s">
        <v>662</v>
      </c>
      <c r="B15" s="10" t="s">
        <v>56</v>
      </c>
      <c r="C15" s="31" t="n">
        <f aca="false">C13+C14</f>
        <v>0.1416</v>
      </c>
      <c r="D15" s="31" t="n">
        <f aca="false">D13+D14</f>
        <v>0.65528843967151</v>
      </c>
      <c r="E15" s="31" t="n">
        <f aca="false">E13+E14</f>
        <v>1.02476291390728</v>
      </c>
      <c r="F15" s="31" t="n">
        <f aca="false">F13+F14</f>
        <v>1.00778965835642</v>
      </c>
      <c r="G15" s="31" t="n">
        <f aca="false">G13+G14</f>
        <v>0.994782312591867</v>
      </c>
    </row>
    <row r="16" customFormat="false" ht="15" hidden="false" customHeight="false" outlineLevel="1" collapsed="false">
      <c r="A16" s="3" t="s">
        <v>663</v>
      </c>
      <c r="B16" s="10" t="s">
        <v>56</v>
      </c>
      <c r="C16" s="40" t="n">
        <f aca="false">輸入與假設!C$122</f>
        <v>0.060375</v>
      </c>
      <c r="D16" s="40" t="n">
        <f aca="false">輸入與假設!D$122</f>
        <v>0.12075</v>
      </c>
      <c r="E16" s="40" t="n">
        <f aca="false">輸入與假設!E$122</f>
        <v>0.12075</v>
      </c>
      <c r="F16" s="40" t="n">
        <f aca="false">輸入與假設!F$122</f>
        <v>0.12075</v>
      </c>
      <c r="G16" s="40" t="n">
        <f aca="false">輸入與假設!G$122</f>
        <v>0.112125</v>
      </c>
      <c r="I16" s="5" t="str">
        <f aca="false">"6/30 債務餘額的利息。FY26 全年利息＝1H 實際 0.1828＋2H "&amp;TEXT(C16,"0.0")&amp;"＝"&amp;TEXT(0.1828+C16,"0.00")&amp;"（見下方備忘）"</f>
        <v>6/30 債務餘額的利息。FY26 全年利息＝1H 實際 0.1828＋2H 0.1＝0.24（見下方備忘）</v>
      </c>
    </row>
    <row r="17" customFormat="false" ht="15" hidden="false" customHeight="false" outlineLevel="1" collapsed="false">
      <c r="A17" s="3" t="s">
        <v>664</v>
      </c>
      <c r="B17" s="10" t="s">
        <v>56</v>
      </c>
      <c r="C17" s="31" t="n">
        <f aca="false">輸入與假設!$C$179</f>
        <v>3.6781</v>
      </c>
      <c r="D17" s="31" t="n">
        <f aca="false">C47</f>
        <v>2.17986958711722</v>
      </c>
      <c r="E17" s="31" t="n">
        <f aca="false">D47</f>
        <v>2.00000000000001</v>
      </c>
      <c r="F17" s="31" t="n">
        <f aca="false">E47</f>
        <v>2.00000000000001</v>
      </c>
      <c r="G17" s="31" t="n">
        <f aca="false">F47</f>
        <v>2.00000000000001</v>
      </c>
      <c r="I17" s="10" t="s">
        <v>665</v>
      </c>
    </row>
    <row r="18" customFormat="false" ht="15" hidden="false" customHeight="false" outlineLevel="1" collapsed="false">
      <c r="A18" s="3" t="s">
        <v>666</v>
      </c>
      <c r="B18" s="10" t="s">
        <v>42</v>
      </c>
      <c r="C18" s="30" t="n">
        <f aca="false">IF(輸入與假設!$C$116=1,輸入與假設!C$121+MAX(0,輸入與假設!$C$115-450)/100*0.004,輸入與假設!C$121)</f>
        <v>0.065</v>
      </c>
      <c r="D18" s="30" t="n">
        <f aca="false">IF(輸入與假設!$C$116=1,輸入與假設!D$121+MAX(0,輸入與假設!$C$115-450)/100*0.004,輸入與假設!D$121)</f>
        <v>0.065</v>
      </c>
      <c r="E18" s="30" t="n">
        <f aca="false">IF(輸入與假設!$C$116=1,輸入與假設!E$121+MAX(0,輸入與假設!$C$115-450)/100*0.004,輸入與假設!E$121)</f>
        <v>0.065</v>
      </c>
      <c r="F18" s="30" t="n">
        <f aca="false">IF(輸入與假設!$C$116=1,輸入與假設!F$121+MAX(0,輸入與假設!$C$115-450)/100*0.004,輸入與假設!F$121)</f>
        <v>0.065</v>
      </c>
      <c r="G18" s="30" t="n">
        <f aca="false">IF(輸入與假設!$C$116=1,輸入與假設!G$121+MAX(0,輸入與假設!$C$115-450)/100*0.004,輸入與假設!G$121)</f>
        <v>0.065</v>
      </c>
      <c r="I18" s="10" t="s">
        <v>667</v>
      </c>
    </row>
    <row r="19" customFormat="false" ht="15" hidden="false" customHeight="false" outlineLevel="1" collapsed="false">
      <c r="A19" s="3" t="s">
        <v>668</v>
      </c>
      <c r="B19" s="10" t="s">
        <v>56</v>
      </c>
      <c r="C19" s="31" t="n">
        <f aca="false">C74</f>
        <v>0</v>
      </c>
      <c r="D19" s="31" t="n">
        <f aca="false">D74</f>
        <v>0.560914485</v>
      </c>
      <c r="E19" s="31" t="n">
        <f aca="false">E74</f>
        <v>0.665914485</v>
      </c>
      <c r="F19" s="31" t="n">
        <f aca="false">F74</f>
        <v>0.770914485</v>
      </c>
      <c r="G19" s="31" t="n">
        <f aca="false">G74</f>
        <v>1.93188253885097</v>
      </c>
      <c r="I19" s="5" t="s">
        <v>669</v>
      </c>
    </row>
    <row r="20" customFormat="false" ht="15" hidden="false" customHeight="false" outlineLevel="1" collapsed="false">
      <c r="A20" s="3" t="s">
        <v>670</v>
      </c>
      <c r="B20" s="10" t="s">
        <v>56</v>
      </c>
      <c r="C20" s="31" t="n">
        <f aca="false">C16+C19</f>
        <v>0.060375</v>
      </c>
      <c r="D20" s="31" t="n">
        <f aca="false">D16+D19</f>
        <v>0.681664485</v>
      </c>
      <c r="E20" s="31" t="n">
        <f aca="false">E16+E19</f>
        <v>0.786664485</v>
      </c>
      <c r="F20" s="31" t="n">
        <f aca="false">F16+F19</f>
        <v>0.891664485</v>
      </c>
      <c r="G20" s="31" t="n">
        <f aca="false">G16+G19</f>
        <v>2.04400753885097</v>
      </c>
    </row>
    <row r="21" customFormat="false" ht="15" hidden="false" customHeight="false" outlineLevel="1" collapsed="false">
      <c r="A21" s="4" t="s">
        <v>671</v>
      </c>
      <c r="B21" s="10" t="s">
        <v>56</v>
      </c>
      <c r="C21" s="31" t="n">
        <f aca="false">輸入與假設!$C$183+輸入與假設!C$81</f>
        <v>0.2516</v>
      </c>
      <c r="D21" s="31" t="n">
        <f aca="false">輸入與假設!D$81</f>
        <v>0</v>
      </c>
      <c r="E21" s="31" t="n">
        <f aca="false">輸入與假設!E$81</f>
        <v>0</v>
      </c>
      <c r="F21" s="31" t="n">
        <f aca="false">輸入與假設!F$81</f>
        <v>0</v>
      </c>
      <c r="G21" s="31" t="n">
        <f aca="false">輸入與假設!G$81</f>
        <v>0</v>
      </c>
      <c r="I21" s="10" t="s">
        <v>672</v>
      </c>
    </row>
    <row r="22" customFormat="false" ht="15" hidden="false" customHeight="false" outlineLevel="1" collapsed="false">
      <c r="A22" s="3" t="s">
        <v>673</v>
      </c>
      <c r="B22" s="10" t="s">
        <v>56</v>
      </c>
      <c r="C22" s="31" t="n">
        <f aca="false">IF(輸入與假設!$C$56=1,運營_產能與收入!C9*8760*輸入與假設!C$58*輸入與假設!C$57/1000000000*運營_產能與收入!C7,0)</f>
        <v>0</v>
      </c>
      <c r="D22" s="31" t="n">
        <f aca="false">IF(輸入與假設!$C$56=1,運營_產能與收入!D9*8760*輸入與假設!D$58*輸入與假設!D$57/1000000000*運營_產能與收入!D7,0)</f>
        <v>0</v>
      </c>
      <c r="E22" s="31" t="n">
        <f aca="false">IF(輸入與假設!$C$56=1,運營_產能與收入!E9*8760*輸入與假設!E$58*輸入與假設!E$57/1000000000*運營_產能與收入!E7,0)</f>
        <v>0</v>
      </c>
      <c r="F22" s="31" t="n">
        <f aca="false">IF(輸入與假設!$C$56=1,運營_產能與收入!F9*8760*輸入與假設!F$58*輸入與假設!F$57/1000000000*運營_產能與收入!F7,0)</f>
        <v>0</v>
      </c>
      <c r="G22" s="31" t="n">
        <f aca="false">IF(輸入與假設!$C$56=1,運營_產能與收入!G9*8760*輸入與假設!G$58*輸入與假設!G$57/1000000000*運營_產能與收入!G7,0)</f>
        <v>0</v>
      </c>
      <c r="I22" s="5" t="s">
        <v>674</v>
      </c>
    </row>
    <row r="23" customFormat="false" ht="15" hidden="false" customHeight="false" outlineLevel="1" collapsed="false">
      <c r="A23" s="3" t="s">
        <v>675</v>
      </c>
      <c r="B23" s="10" t="s">
        <v>56</v>
      </c>
      <c r="C23" s="31" t="n">
        <f aca="false">IF(輸入與假設!$C$56=1,運營_產能與收入!C9*輸入與假設!C$59/1000*運營_產能與收入!C7,0)</f>
        <v>0</v>
      </c>
      <c r="D23" s="31" t="n">
        <f aca="false">IF(輸入與假設!$C$56=1,運營_產能與收入!D9*輸入與假設!D$59/1000*運營_產能與收入!D7,0)</f>
        <v>0</v>
      </c>
      <c r="E23" s="31" t="n">
        <f aca="false">IF(輸入與假設!$C$56=1,運營_產能與收入!E9*輸入與假設!E$59/1000*運營_產能與收入!E7,0)</f>
        <v>0</v>
      </c>
      <c r="F23" s="31" t="n">
        <f aca="false">IF(輸入與假設!$C$56=1,運營_產能與收入!F9*輸入與假設!F$59/1000*運營_產能與收入!F7,0)</f>
        <v>0</v>
      </c>
      <c r="G23" s="31" t="n">
        <f aca="false">IF(輸入與假設!$C$56=1,運營_產能與收入!G9*輸入與假設!G$59/1000*運營_產能與收入!G7,0)</f>
        <v>0</v>
      </c>
    </row>
    <row r="24" customFormat="false" ht="15" hidden="false" customHeight="false" outlineLevel="1" collapsed="false">
      <c r="A24" s="3" t="s">
        <v>676</v>
      </c>
      <c r="B24" s="10" t="s">
        <v>56</v>
      </c>
      <c r="C24" s="31" t="n">
        <f aca="false">輸入與假設!$C$185+IF(輸入與假設!$C$100=1,輸入與假設!C$120,0)+資產負債_既有債務!C42</f>
        <v>0.0467</v>
      </c>
      <c r="D24" s="31" t="n">
        <f aca="false">IF(輸入與假設!$C$100=1,輸入與假設!D$120,0)+資產負債_既有債務!D42</f>
        <v>0</v>
      </c>
      <c r="E24" s="31" t="n">
        <f aca="false">IF(輸入與假設!$C$100=1,輸入與假設!E$120,0)+資產負債_既有債務!E42</f>
        <v>0</v>
      </c>
      <c r="F24" s="31" t="n">
        <f aca="false">IF(輸入與假設!$C$100=1,輸入與假設!F$120,0)+資產負債_既有債務!F42</f>
        <v>0</v>
      </c>
      <c r="G24" s="31" t="n">
        <f aca="false">IF(輸入與假設!$C$100=1,輸入與假設!G$120,0)+資產負債_既有債務!G42</f>
        <v>3.795</v>
      </c>
      <c r="I24" s="10" t="s">
        <v>677</v>
      </c>
    </row>
    <row r="25" customFormat="false" ht="15" hidden="false" customHeight="false" outlineLevel="1" collapsed="false">
      <c r="A25" s="4" t="s">
        <v>678</v>
      </c>
      <c r="B25" s="10" t="s">
        <v>56</v>
      </c>
      <c r="C25" s="31" t="n">
        <f aca="false">輸入與假設!$C$186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I25" s="5" t="s">
        <v>679</v>
      </c>
    </row>
    <row r="26" customFormat="false" ht="15" hidden="false" customHeight="false" outlineLevel="1" collapsed="false">
      <c r="A26" s="2" t="s">
        <v>680</v>
      </c>
      <c r="B26" s="10" t="s">
        <v>56</v>
      </c>
      <c r="C26" s="36" t="n">
        <f aca="false">C12+C15+C20+C21+C22+C23+C24+C25</f>
        <v>26.54646492</v>
      </c>
      <c r="D26" s="36" t="n">
        <f aca="false">D12+D15+D20+D21+D22+D23+D24+D25</f>
        <v>28.9343899646715</v>
      </c>
      <c r="E26" s="36" t="n">
        <f aca="false">E12+E15+E20+E21+E22+E23+E24+E25</f>
        <v>30.9601115589073</v>
      </c>
      <c r="F26" s="36" t="n">
        <f aca="false">F12+F15+F20+F21+F22+F23+F24+F25</f>
        <v>31.0481383033564</v>
      </c>
      <c r="G26" s="36" t="n">
        <f aca="false">G12+G15+G20+G21+G22+G23+G24+G25</f>
        <v>44.5260538514428</v>
      </c>
      <c r="I26" s="10" t="s">
        <v>681</v>
      </c>
    </row>
    <row r="27" customFormat="false" ht="15" hidden="false" customHeight="false" outlineLevel="0" collapsed="false">
      <c r="A27" s="46" t="s">
        <v>682</v>
      </c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1" collapsed="false">
      <c r="A28" s="4" t="s">
        <v>683</v>
      </c>
      <c r="B28" s="10" t="s">
        <v>56</v>
      </c>
      <c r="C28" s="40" t="n">
        <f aca="false">輸入與假設!$C$180</f>
        <v>4.5041</v>
      </c>
      <c r="D28" s="40" t="n">
        <f aca="false">0</f>
        <v>0</v>
      </c>
      <c r="E28" s="40" t="n">
        <f aca="false">0</f>
        <v>0</v>
      </c>
      <c r="F28" s="40" t="n">
        <f aca="false">0</f>
        <v>0</v>
      </c>
      <c r="G28" s="40" t="n">
        <f aca="false">0</f>
        <v>0</v>
      </c>
      <c r="I28" s="5" t="s">
        <v>684</v>
      </c>
    </row>
    <row r="29" customFormat="false" ht="15" hidden="false" customHeight="false" outlineLevel="1" collapsed="false">
      <c r="A29" s="4" t="s">
        <v>685</v>
      </c>
      <c r="B29" s="10" t="s">
        <v>56</v>
      </c>
      <c r="C29" s="40" t="n">
        <f aca="false">運營_產能與收入!C37</f>
        <v>0.814583554583887</v>
      </c>
      <c r="D29" s="40" t="n">
        <f aca="false">運營_產能與收入!D37</f>
        <v>3.56669011219327</v>
      </c>
      <c r="E29" s="40" t="n">
        <f aca="false">運營_產能與收入!E37</f>
        <v>3.96961180302863</v>
      </c>
      <c r="F29" s="40" t="n">
        <f aca="false">運營_產能與收入!F37</f>
        <v>3.9070878058457</v>
      </c>
      <c r="G29" s="40" t="n">
        <f aca="false">運營_產能與收入!G37</f>
        <v>3.01061193982065</v>
      </c>
    </row>
    <row r="30" customFormat="false" ht="15" hidden="false" customHeight="false" outlineLevel="1" collapsed="false">
      <c r="A30" s="3" t="s">
        <v>686</v>
      </c>
      <c r="B30" s="10" t="s">
        <v>56</v>
      </c>
      <c r="C30" s="40" t="n">
        <f aca="false">運營_產能與收入!C38</f>
        <v>0</v>
      </c>
      <c r="D30" s="40" t="n">
        <f aca="false">運營_產能與收入!D38</f>
        <v>0</v>
      </c>
      <c r="E30" s="40" t="n">
        <f aca="false">運營_產能與收入!E38</f>
        <v>3.35290016574792</v>
      </c>
      <c r="F30" s="40" t="n">
        <f aca="false">運營_產能與收入!F38</f>
        <v>6.68264287738078</v>
      </c>
      <c r="G30" s="40" t="n">
        <f aca="false">運營_產能與收入!G38</f>
        <v>10.0431814269069</v>
      </c>
    </row>
    <row r="31" customFormat="false" ht="15" hidden="false" customHeight="false" outlineLevel="1" collapsed="false">
      <c r="A31" s="3" t="s">
        <v>687</v>
      </c>
      <c r="B31" s="10" t="s">
        <v>56</v>
      </c>
      <c r="C31" s="40" t="n">
        <f aca="false">輸入與假設!C$54</f>
        <v>0</v>
      </c>
      <c r="D31" s="40" t="n">
        <f aca="false">輸入與假設!D$54</f>
        <v>0</v>
      </c>
      <c r="E31" s="40" t="n">
        <f aca="false">輸入與假設!E$54</f>
        <v>0</v>
      </c>
      <c r="F31" s="40" t="n">
        <f aca="false">輸入與假設!F$54</f>
        <v>0</v>
      </c>
      <c r="G31" s="40" t="n">
        <f aca="false">輸入與假設!G$54</f>
        <v>0</v>
      </c>
    </row>
    <row r="32" customFormat="false" ht="15" hidden="false" customHeight="false" outlineLevel="1" collapsed="false">
      <c r="A32" s="4" t="s">
        <v>688</v>
      </c>
      <c r="B32" s="10" t="s">
        <v>56</v>
      </c>
      <c r="C32" s="40" t="n">
        <f aca="false">輸入與假設!C$47</f>
        <v>-0.094</v>
      </c>
      <c r="D32" s="40" t="n">
        <f aca="false">輸入與假設!D$47</f>
        <v>-0.141</v>
      </c>
      <c r="E32" s="40" t="n">
        <f aca="false">輸入與假設!E$47</f>
        <v>-0.094</v>
      </c>
      <c r="F32" s="40" t="n">
        <f aca="false">輸入與假設!F$47</f>
        <v>-0.047</v>
      </c>
      <c r="G32" s="40" t="n">
        <f aca="false">輸入與假設!G$47</f>
        <v>0</v>
      </c>
      <c r="I32" s="10" t="s">
        <v>689</v>
      </c>
    </row>
    <row r="33" customFormat="false" ht="15" hidden="false" customHeight="false" outlineLevel="1" collapsed="false">
      <c r="A33" s="3" t="s">
        <v>690</v>
      </c>
      <c r="B33" s="10" t="s">
        <v>56</v>
      </c>
      <c r="C33" s="31" t="n">
        <f aca="false">C8</f>
        <v>6.8976176192</v>
      </c>
      <c r="D33" s="31" t="n">
        <f aca="false">D8</f>
        <v>10.6250132604</v>
      </c>
      <c r="E33" s="31" t="n">
        <f aca="false">E8</f>
        <v>11.2222434016</v>
      </c>
      <c r="F33" s="31" t="n">
        <f aca="false">F8</f>
        <v>11.2222434016</v>
      </c>
      <c r="G33" s="31" t="n">
        <f aca="false">G8</f>
        <v>11.2222434016</v>
      </c>
    </row>
    <row r="34" customFormat="false" ht="15" hidden="false" customHeight="false" outlineLevel="1" collapsed="false">
      <c r="A34" s="4" t="s">
        <v>691</v>
      </c>
      <c r="B34" s="10" t="s">
        <v>56</v>
      </c>
      <c r="C34" s="31" t="n">
        <f aca="false">-C10</f>
        <v>-0.995866666666667</v>
      </c>
      <c r="D34" s="31" t="n">
        <f aca="false">-D10</f>
        <v>-3.95898365084444</v>
      </c>
      <c r="E34" s="31" t="n">
        <f aca="false">-E10</f>
        <v>-6.1809935206963</v>
      </c>
      <c r="F34" s="31" t="n">
        <f aca="false">-F10</f>
        <v>-7.8614101476642</v>
      </c>
      <c r="G34" s="31" t="n">
        <f aca="false">-G10</f>
        <v>-8.98168789897613</v>
      </c>
      <c r="I34" s="5" t="s">
        <v>692</v>
      </c>
    </row>
    <row r="35" customFormat="false" ht="15" hidden="false" customHeight="false" outlineLevel="1" collapsed="false">
      <c r="A35" s="2" t="s">
        <v>693</v>
      </c>
      <c r="B35" s="10" t="s">
        <v>56</v>
      </c>
      <c r="C35" s="36" t="n">
        <f aca="false">C28+C29+C30+C31+C32+C33+C34</f>
        <v>11.1264345071172</v>
      </c>
      <c r="D35" s="36" t="n">
        <f aca="false">D28+D29+D30+D31+D32+D33+D34</f>
        <v>10.0917197217488</v>
      </c>
      <c r="E35" s="36" t="n">
        <f aca="false">E28+E29+E30+E31+E32+E33+E34</f>
        <v>12.2697618496803</v>
      </c>
      <c r="F35" s="36" t="n">
        <f aca="false">F28+F29+F30+F31+F32+F33+F34</f>
        <v>13.9035639371623</v>
      </c>
      <c r="G35" s="36" t="n">
        <f aca="false">G28+G29+G30+G31+G32+G33+G34</f>
        <v>15.2943488693514</v>
      </c>
    </row>
    <row r="36" customFormat="false" ht="15" hidden="false" customHeight="false" outlineLevel="1" collapsed="false">
      <c r="A36" s="3" t="s">
        <v>694</v>
      </c>
      <c r="B36" s="10" t="s">
        <v>56</v>
      </c>
      <c r="C36" s="31" t="n">
        <f aca="false">輸入與假設!$C$187+IF(輸入與假設!$C$97=1,輸入與假設!$C$96,0)</f>
        <v>10.4911</v>
      </c>
      <c r="D36" s="31" t="n">
        <f aca="false">0</f>
        <v>0</v>
      </c>
      <c r="E36" s="31" t="n">
        <f aca="false">0</f>
        <v>0</v>
      </c>
      <c r="F36" s="31" t="n">
        <f aca="false">0</f>
        <v>0</v>
      </c>
      <c r="G36" s="31" t="n">
        <f aca="false">0</f>
        <v>0</v>
      </c>
      <c r="I36" s="10" t="s">
        <v>695</v>
      </c>
    </row>
    <row r="37" customFormat="false" ht="15" hidden="false" customHeight="false" outlineLevel="1" collapsed="false">
      <c r="A37" s="4" t="s">
        <v>696</v>
      </c>
      <c r="B37" s="10" t="s">
        <v>56</v>
      </c>
      <c r="C37" s="40" t="n">
        <f aca="false">輸入與假設!$C$184</f>
        <v>4.3375</v>
      </c>
      <c r="D37" s="40" t="n">
        <f aca="false">0</f>
        <v>0</v>
      </c>
      <c r="E37" s="40" t="n">
        <f aca="false">0</f>
        <v>0</v>
      </c>
      <c r="F37" s="40" t="n">
        <f aca="false">0</f>
        <v>0</v>
      </c>
      <c r="G37" s="40" t="n">
        <f aca="false">0</f>
        <v>0</v>
      </c>
      <c r="I37" s="5" t="s">
        <v>697</v>
      </c>
    </row>
    <row r="38" customFormat="false" ht="15" hidden="false" customHeight="false" outlineLevel="1" collapsed="false">
      <c r="A38" s="3" t="s">
        <v>698</v>
      </c>
      <c r="B38" s="10" t="s">
        <v>56</v>
      </c>
      <c r="C38" s="31" t="n">
        <f aca="false">C66</f>
        <v>0</v>
      </c>
      <c r="D38" s="31" t="n">
        <f aca="false">D66</f>
        <v>7.014069</v>
      </c>
      <c r="E38" s="31" t="n">
        <f aca="false">E66</f>
        <v>0</v>
      </c>
      <c r="F38" s="31" t="n">
        <f aca="false">F66</f>
        <v>0</v>
      </c>
      <c r="G38" s="31" t="n">
        <f aca="false">G66</f>
        <v>0</v>
      </c>
      <c r="I38" s="5" t="s">
        <v>699</v>
      </c>
    </row>
    <row r="39" customFormat="false" ht="15" hidden="false" customHeight="false" outlineLevel="1" collapsed="false">
      <c r="A39" s="4" t="s">
        <v>700</v>
      </c>
      <c r="B39" s="10" t="s">
        <v>56</v>
      </c>
      <c r="C39" s="31" t="n">
        <f aca="false">C69</f>
        <v>0</v>
      </c>
      <c r="D39" s="31" t="n">
        <f aca="false">D69</f>
        <v>5</v>
      </c>
      <c r="E39" s="31" t="n">
        <f aca="false">E69</f>
        <v>5</v>
      </c>
      <c r="F39" s="31" t="n">
        <f aca="false">F69</f>
        <v>5</v>
      </c>
      <c r="G39" s="31" t="n">
        <f aca="false">G69</f>
        <v>5</v>
      </c>
      <c r="I39" s="5" t="s">
        <v>701</v>
      </c>
    </row>
    <row r="40" customFormat="false" ht="15" hidden="false" customHeight="false" outlineLevel="1" collapsed="false">
      <c r="A40" s="3" t="s">
        <v>702</v>
      </c>
      <c r="B40" s="10" t="s">
        <v>56</v>
      </c>
      <c r="C40" s="31" t="n">
        <f aca="false">C72</f>
        <v>0</v>
      </c>
      <c r="D40" s="31" t="n">
        <f aca="false">D72</f>
        <v>6.64873165580547</v>
      </c>
      <c r="E40" s="31" t="n">
        <f aca="false">E72</f>
        <v>13.690349709227</v>
      </c>
      <c r="F40" s="31" t="n">
        <f aca="false">F72</f>
        <v>12.1445743661941</v>
      </c>
      <c r="G40" s="31" t="n">
        <f aca="false">G72</f>
        <v>15.4319712</v>
      </c>
      <c r="I40" s="5" t="s">
        <v>703</v>
      </c>
    </row>
    <row r="41" customFormat="false" ht="15" hidden="false" customHeight="false" outlineLevel="1" collapsed="false">
      <c r="A41" s="3" t="s">
        <v>704</v>
      </c>
      <c r="B41" s="10" t="s">
        <v>56</v>
      </c>
      <c r="C41" s="31" t="n">
        <f aca="false">C73</f>
        <v>0</v>
      </c>
      <c r="D41" s="31" t="n">
        <f aca="false">D73</f>
        <v>0</v>
      </c>
      <c r="E41" s="31" t="n">
        <f aca="false">E73</f>
        <v>0</v>
      </c>
      <c r="F41" s="31" t="n">
        <f aca="false">F73</f>
        <v>0</v>
      </c>
      <c r="G41" s="31" t="n">
        <f aca="false">G73</f>
        <v>8.79973378209146</v>
      </c>
      <c r="I41" s="5" t="s">
        <v>705</v>
      </c>
    </row>
    <row r="42" customFormat="false" ht="15" hidden="false" customHeight="false" outlineLevel="1" collapsed="false">
      <c r="A42" s="2" t="s">
        <v>706</v>
      </c>
      <c r="B42" s="10" t="s">
        <v>56</v>
      </c>
      <c r="C42" s="36" t="n">
        <f aca="false">C35+C36+C37+C38+C39+C40+C41</f>
        <v>25.9550345071172</v>
      </c>
      <c r="D42" s="36" t="n">
        <f aca="false">D35+D36+D37+D38+D39+D40+D41</f>
        <v>28.7545203775543</v>
      </c>
      <c r="E42" s="36" t="n">
        <f aca="false">E35+E36+E37+E38+E39+E40+E41</f>
        <v>30.9601115589073</v>
      </c>
      <c r="F42" s="36" t="n">
        <f aca="false">F35+F36+F37+F38+F39+F40+F41</f>
        <v>31.0481383033564</v>
      </c>
      <c r="G42" s="36" t="n">
        <f aca="false">G35+G36+G37+G38+G39+G40+G41</f>
        <v>44.5260538514428</v>
      </c>
    </row>
    <row r="43" customFormat="false" ht="15" hidden="false" customHeight="false" outlineLevel="0" collapsed="false">
      <c r="A43" s="46" t="s">
        <v>707</v>
      </c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1" collapsed="false">
      <c r="A44" s="3" t="s">
        <v>708</v>
      </c>
      <c r="B44" s="10" t="s">
        <v>56</v>
      </c>
      <c r="C44" s="31" t="n">
        <f aca="false">輸入與假設!$C$95-(輸入與假設!$C$179+輸入與假設!$C$180+輸入與假設!$C$184+輸入與假設!$C$187-輸入與假設!$C$181-輸入與假設!$C$183-輸入與假設!$C$185-輸入與假設!$C$186)</f>
        <v>-0.906800000000001</v>
      </c>
      <c r="D44" s="31" t="n">
        <f aca="false">0</f>
        <v>0</v>
      </c>
      <c r="E44" s="31" t="n">
        <f aca="false">0</f>
        <v>0</v>
      </c>
      <c r="F44" s="31" t="n">
        <f aca="false">0</f>
        <v>0</v>
      </c>
      <c r="G44" s="31" t="n">
        <f aca="false">0</f>
        <v>0</v>
      </c>
      <c r="I44" s="5" t="s">
        <v>709</v>
      </c>
    </row>
    <row r="45" customFormat="false" ht="15" hidden="false" customHeight="false" outlineLevel="1" collapsed="false">
      <c r="A45" s="2" t="s">
        <v>710</v>
      </c>
      <c r="B45" s="10" t="s">
        <v>56</v>
      </c>
      <c r="C45" s="36" t="n">
        <f aca="false">C35-(C26-C24-C25)</f>
        <v>-15.3733304128828</v>
      </c>
      <c r="D45" s="36" t="n">
        <f aca="false">D35-(D26-D24-D25)</f>
        <v>-18.8426702429227</v>
      </c>
      <c r="E45" s="36" t="n">
        <f aca="false">E35-(E26-E24-E25)</f>
        <v>-18.690349709227</v>
      </c>
      <c r="F45" s="36" t="n">
        <f aca="false">F35-(F26-F24-F25)</f>
        <v>-17.1445743661941</v>
      </c>
      <c r="G45" s="36" t="n">
        <f aca="false">G35-(G26-G24-G25)</f>
        <v>-25.4367049820915</v>
      </c>
      <c r="I45" s="5" t="s">
        <v>711</v>
      </c>
    </row>
    <row r="46" customFormat="false" ht="15" hidden="false" customHeight="false" outlineLevel="1" collapsed="false">
      <c r="A46" s="3" t="s">
        <v>712</v>
      </c>
      <c r="B46" s="10" t="s">
        <v>56</v>
      </c>
      <c r="C46" s="31" t="n">
        <f aca="false">C42-C26+C44</f>
        <v>-1.49823041288278</v>
      </c>
      <c r="D46" s="31" t="n">
        <f aca="false">D42-D26+D44</f>
        <v>-0.179869587117214</v>
      </c>
      <c r="E46" s="31" t="n">
        <f aca="false">E42-E26+E44</f>
        <v>0</v>
      </c>
      <c r="F46" s="31" t="n">
        <f aca="false">F42-F26+F44</f>
        <v>0</v>
      </c>
      <c r="G46" s="31" t="n">
        <f aca="false">G42-G26+G44</f>
        <v>0</v>
      </c>
    </row>
    <row r="47" customFormat="false" ht="15" hidden="false" customHeight="false" outlineLevel="1" collapsed="false">
      <c r="A47" s="2" t="s">
        <v>713</v>
      </c>
      <c r="B47" s="10" t="s">
        <v>56</v>
      </c>
      <c r="C47" s="36" t="n">
        <f aca="false">C17+C46</f>
        <v>2.17986958711722</v>
      </c>
      <c r="D47" s="36" t="n">
        <f aca="false">D17+D46</f>
        <v>2.00000000000001</v>
      </c>
      <c r="E47" s="36" t="n">
        <f aca="false">E17+E46</f>
        <v>2.00000000000001</v>
      </c>
      <c r="F47" s="36" t="n">
        <f aca="false">F17+F46</f>
        <v>2.00000000000001</v>
      </c>
      <c r="G47" s="36" t="n">
        <f aca="false">G17+G46</f>
        <v>2.00000000000001</v>
      </c>
      <c r="I47" s="5" t="s">
        <v>714</v>
      </c>
    </row>
    <row r="49" customFormat="false" ht="15" hidden="false" customHeight="false" outlineLevel="0" collapsed="false">
      <c r="A49" s="46" t="s">
        <v>715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716</v>
      </c>
      <c r="B50" s="10" t="s">
        <v>56</v>
      </c>
      <c r="C50" s="31" t="n">
        <f aca="false">C12+C15+C16+C21+C22+C23+C24+C25</f>
        <v>26.54646492</v>
      </c>
      <c r="D50" s="31" t="n">
        <f aca="false">D12+D15+D16+D21+D22+D23+D24+D25</f>
        <v>28.3734754796715</v>
      </c>
      <c r="E50" s="31" t="n">
        <f aca="false">E12+E15+E16+E21+E22+E23+E24+E25</f>
        <v>30.2941970739073</v>
      </c>
      <c r="F50" s="31" t="n">
        <f aca="false">F12+F15+F16+F21+F22+F23+F24+F25</f>
        <v>30.2772238183564</v>
      </c>
      <c r="G50" s="31" t="n">
        <f aca="false">G12+G15+G16+G21+G22+G23+G24+G25</f>
        <v>42.5941713125919</v>
      </c>
      <c r="I50" s="5" t="s">
        <v>717</v>
      </c>
    </row>
    <row r="51" customFormat="false" ht="15" hidden="false" customHeight="false" outlineLevel="1" collapsed="false">
      <c r="A51" s="3" t="s">
        <v>718</v>
      </c>
      <c r="B51" s="10" t="s">
        <v>56</v>
      </c>
      <c r="C51" s="31" t="n">
        <f aca="false">0</f>
        <v>0</v>
      </c>
      <c r="D51" s="31" t="n">
        <f aca="false">C78</f>
        <v>0</v>
      </c>
      <c r="E51" s="31" t="n">
        <f aca="false">D78</f>
        <v>7.014069</v>
      </c>
      <c r="F51" s="31" t="n">
        <f aca="false">E78</f>
        <v>7.014069</v>
      </c>
      <c r="G51" s="31" t="n">
        <f aca="false">F78</f>
        <v>7.014069</v>
      </c>
    </row>
    <row r="52" customFormat="false" ht="15" hidden="false" customHeight="false" outlineLevel="1" collapsed="false">
      <c r="A52" s="3" t="s">
        <v>719</v>
      </c>
      <c r="B52" s="10" t="s">
        <v>42</v>
      </c>
      <c r="C52" s="48" t="n">
        <f aca="false">C18*運營_產能與收入!C7</f>
        <v>0.0325</v>
      </c>
      <c r="D52" s="48" t="n">
        <f aca="false">D18*運營_產能與收入!D7</f>
        <v>0.065</v>
      </c>
      <c r="E52" s="48" t="n">
        <f aca="false">E18*運營_產能與收入!E7</f>
        <v>0.065</v>
      </c>
      <c r="F52" s="48" t="n">
        <f aca="false">F18*運營_產能與收入!F7</f>
        <v>0.065</v>
      </c>
      <c r="G52" s="48" t="n">
        <f aca="false">G18*運營_產能與收入!G7</f>
        <v>0.065</v>
      </c>
    </row>
    <row r="53" customFormat="false" ht="15" hidden="false" customHeight="false" outlineLevel="1" collapsed="false">
      <c r="A53" s="3" t="s">
        <v>720</v>
      </c>
      <c r="B53" s="10" t="s">
        <v>56</v>
      </c>
      <c r="C53" s="31" t="n">
        <f aca="false">0</f>
        <v>0</v>
      </c>
      <c r="D53" s="31" t="n">
        <f aca="false">C80</f>
        <v>0</v>
      </c>
      <c r="E53" s="31" t="n">
        <f aca="false">D80</f>
        <v>0</v>
      </c>
      <c r="F53" s="31" t="n">
        <f aca="false">E80</f>
        <v>0</v>
      </c>
      <c r="G53" s="31" t="n">
        <f aca="false">F80</f>
        <v>0</v>
      </c>
    </row>
    <row r="54" customFormat="false" ht="15" hidden="false" customHeight="false" outlineLevel="1" collapsed="false">
      <c r="A54" s="3" t="s">
        <v>721</v>
      </c>
      <c r="B54" s="10" t="s">
        <v>56</v>
      </c>
      <c r="C54" s="31" t="n">
        <f aca="false">0</f>
        <v>0</v>
      </c>
      <c r="D54" s="31" t="n">
        <f aca="false">C81</f>
        <v>0</v>
      </c>
      <c r="E54" s="31" t="n">
        <f aca="false">D81</f>
        <v>5</v>
      </c>
      <c r="F54" s="31" t="n">
        <f aca="false">E81</f>
        <v>10</v>
      </c>
      <c r="G54" s="31" t="n">
        <f aca="false">F81</f>
        <v>15</v>
      </c>
    </row>
    <row r="55" customFormat="false" ht="15" hidden="false" customHeight="false" outlineLevel="1" collapsed="false">
      <c r="A55" s="3" t="s">
        <v>722</v>
      </c>
      <c r="B55" s="10" t="s">
        <v>42</v>
      </c>
      <c r="C55" s="48" t="n">
        <f aca="false">輸入與假設!$C$112*運營_產能與收入!C7</f>
        <v>0.0105</v>
      </c>
      <c r="D55" s="48" t="n">
        <f aca="false">輸入與假設!$C$112*運營_產能與收入!D7</f>
        <v>0.021</v>
      </c>
      <c r="E55" s="48" t="n">
        <f aca="false">輸入與假設!$C$112*運營_產能與收入!E7</f>
        <v>0.021</v>
      </c>
      <c r="F55" s="48" t="n">
        <f aca="false">輸入與假設!$C$112*運營_產能與收入!F7</f>
        <v>0.021</v>
      </c>
      <c r="G55" s="48" t="n">
        <f aca="false">輸入與假設!$C$112*運營_產能與收入!G7</f>
        <v>0.021</v>
      </c>
    </row>
    <row r="56" customFormat="false" ht="15" hidden="false" customHeight="false" outlineLevel="1" collapsed="false">
      <c r="A56" s="3" t="s">
        <v>723</v>
      </c>
      <c r="B56" s="10" t="s">
        <v>42</v>
      </c>
      <c r="C56" s="48" t="n">
        <f aca="false">(輸入與假設!$C$114+IF(輸入與假設!$C$116=1,MAX(0,輸入與假設!$C$115-輸入與假設!$C$117)/10000*輸入與假設!$C$118,0))*運營_產能與收入!C7</f>
        <v>0.06</v>
      </c>
      <c r="D56" s="48" t="n">
        <f aca="false">(輸入與假設!$C$114+IF(輸入與假設!$C$116=1,MAX(0,輸入與假設!$C$115-輸入與假設!$C$117)/10000*輸入與假設!$C$118,0))*運營_產能與收入!D7</f>
        <v>0.12</v>
      </c>
      <c r="E56" s="48" t="n">
        <f aca="false">(輸入與假設!$C$114+IF(輸入與假設!$C$116=1,MAX(0,輸入與假設!$C$115-輸入與假設!$C$117)/10000*輸入與假設!$C$118,0))*運營_產能與收入!E7</f>
        <v>0.12</v>
      </c>
      <c r="F56" s="48" t="n">
        <f aca="false">(輸入與假設!$C$114+IF(輸入與假設!$C$116=1,MAX(0,輸入與假設!$C$115-輸入與假設!$C$117)/10000*輸入與假設!$C$118,0))*運營_產能與收入!F7</f>
        <v>0.12</v>
      </c>
      <c r="G56" s="48" t="n">
        <f aca="false">(輸入與假設!$C$114+IF(輸入與假設!$C$116=1,MAX(0,輸入與假設!$C$115-輸入與假設!$C$117)/10000*輸入與假設!$C$118,0))*運營_產能與收入!G7</f>
        <v>0.12</v>
      </c>
    </row>
    <row r="57" customFormat="false" ht="15" hidden="false" customHeight="false" outlineLevel="1" collapsed="false">
      <c r="A57" s="3" t="s">
        <v>724</v>
      </c>
      <c r="B57" s="10" t="s">
        <v>56</v>
      </c>
      <c r="C57" s="31" t="n">
        <f aca="false">C17+C35+C36+C37+C44-C50-C52*C51-C56*C53-C55*C54</f>
        <v>2.17986958711722</v>
      </c>
      <c r="D57" s="31" t="n">
        <f aca="false">D17+D35+D36+D37+D44-D50-D52*D51-D56*D53-D55*D54</f>
        <v>-16.1018861708055</v>
      </c>
      <c r="E57" s="31" t="n">
        <f aca="false">E17+E35+E36+E37+E44-E50-E52*E51-E56*E53-E55*E54</f>
        <v>-16.585349709227</v>
      </c>
      <c r="F57" s="31" t="n">
        <f aca="false">F17+F35+F36+F37+F44-F50-F52*F51-F56*F53-F55*F54</f>
        <v>-15.0395743661941</v>
      </c>
      <c r="G57" s="31" t="n">
        <f aca="false">G17+G35+G36+G37+G44-G50-G52*G51-G56*G53-G55*G54</f>
        <v>-26.0707369282405</v>
      </c>
    </row>
    <row r="58" customFormat="false" ht="15" hidden="false" customHeight="false" outlineLevel="1" collapsed="false">
      <c r="A58" s="2" t="s">
        <v>725</v>
      </c>
      <c r="B58" s="10" t="s">
        <v>56</v>
      </c>
      <c r="C58" s="36" t="n">
        <f aca="false">MAX(0,輸入與假設!$C$103-C57)</f>
        <v>0</v>
      </c>
      <c r="D58" s="36" t="n">
        <f aca="false">MAX(0,輸入與假設!$C$103-D57)</f>
        <v>18.1018861708055</v>
      </c>
      <c r="E58" s="36" t="n">
        <f aca="false">MAX(0,輸入與假設!$C$103-E57)</f>
        <v>18.585349709227</v>
      </c>
      <c r="F58" s="36" t="n">
        <f aca="false">MAX(0,輸入與假設!$C$103-F57)</f>
        <v>17.0395743661941</v>
      </c>
      <c r="G58" s="36" t="n">
        <f aca="false">MAX(0,輸入與假設!$C$103-G57)</f>
        <v>28.0707369282405</v>
      </c>
    </row>
    <row r="59" customFormat="false" ht="15" hidden="false" customHeight="false" outlineLevel="1" collapsed="false">
      <c r="A59" s="3" t="s">
        <v>726</v>
      </c>
      <c r="B59" s="10" t="s">
        <v>56</v>
      </c>
      <c r="C59" s="31" t="n">
        <f aca="false">輸入與假設!$C$26+輸入與假設!$C$27</f>
        <v>37.4906</v>
      </c>
      <c r="D59" s="31" t="n">
        <f aca="false">C61</f>
        <v>34.116446</v>
      </c>
      <c r="E59" s="31" t="n">
        <f aca="false">D61</f>
        <v>27.368138</v>
      </c>
      <c r="F59" s="31" t="n">
        <f aca="false">E61</f>
        <v>32.2780529739898</v>
      </c>
      <c r="G59" s="31" t="n">
        <f aca="false">F61</f>
        <v>32.3796544745921</v>
      </c>
      <c r="I59" s="10" t="s">
        <v>727</v>
      </c>
    </row>
    <row r="60" customFormat="false" ht="15" hidden="false" customHeight="false" outlineLevel="1" collapsed="false">
      <c r="A60" s="3" t="s">
        <v>728</v>
      </c>
      <c r="B60" s="10" t="s">
        <v>56</v>
      </c>
      <c r="C60" s="31" t="n">
        <f aca="false">MAX(0,運營_產能與收入!C23/運營_產能與收入!C7-0)*輸入與假設!$C$102</f>
        <v>0</v>
      </c>
      <c r="D60" s="31" t="n">
        <f aca="false">MAX(0,運營_產能與收入!D23/運營_產能與收入!D7-運營_產能與收入!C23/運營_產能與收入!C7)*輸入與假設!$C$102</f>
        <v>0</v>
      </c>
      <c r="E60" s="31" t="n">
        <f aca="false">MAX(0,運營_產能與收入!E23/運營_產能與收入!E7-運營_產能與收入!D23/運營_產能與收入!D7)*輸入與假設!$C$102</f>
        <v>18.0496934609847</v>
      </c>
      <c r="F60" s="31" t="n">
        <f aca="false">MAX(0,運營_產能與收入!F23/運營_產能與收入!F7-運營_產能與收入!E23/運營_產能與收入!E7)*輸入與假設!$C$102</f>
        <v>20.4244289813958</v>
      </c>
      <c r="G60" s="31" t="n">
        <f aca="false">MAX(0,運營_產能與收入!G23/運營_產能與收入!G7-運營_產能與收入!F23/運營_產能與收入!F7)*輸入與假設!$C$102</f>
        <v>21.5575104822177</v>
      </c>
    </row>
    <row r="61" customFormat="false" ht="15" hidden="false" customHeight="false" outlineLevel="1" collapsed="false">
      <c r="A61" s="3" t="s">
        <v>729</v>
      </c>
      <c r="B61" s="10" t="s">
        <v>56</v>
      </c>
      <c r="C61" s="31" t="n">
        <f aca="false">C59-運營_產能與收入!C17-運營_產能與收入!C23+C60</f>
        <v>34.116446</v>
      </c>
      <c r="D61" s="31" t="n">
        <f aca="false">D59-運營_產能與收入!D17-運營_產能與收入!D23+D60</f>
        <v>27.368138</v>
      </c>
      <c r="E61" s="31" t="n">
        <f aca="false">E59-運營_產能與收入!E17-運營_產能與收入!E23+E60</f>
        <v>32.2780529739898</v>
      </c>
      <c r="F61" s="31" t="n">
        <f aca="false">F59-運營_產能與收入!F17-運營_產能與收入!F23+F60</f>
        <v>32.3796544745921</v>
      </c>
      <c r="G61" s="31" t="n">
        <f aca="false">G59-運營_產能與收入!G17-運營_產能與收入!G23+G60</f>
        <v>27.9281246486104</v>
      </c>
      <c r="I61" s="5" t="s">
        <v>730</v>
      </c>
    </row>
    <row r="62" customFormat="false" ht="15" hidden="false" customHeight="false" outlineLevel="1" collapsed="false">
      <c r="A62" s="3" t="s">
        <v>731</v>
      </c>
      <c r="B62" s="10" t="s">
        <v>56</v>
      </c>
      <c r="C62" s="31" t="n">
        <f aca="false">IF(輸入與假設!$C$100=1,資產負債_既有債務!C38,資產負債_既有債務!$E$6)+資產負債_既有債務!$E$9+資產負債_既有債務!C43</f>
        <v>6.67</v>
      </c>
      <c r="D62" s="31" t="n">
        <f aca="false">IF(輸入與假設!$C$100=1,資產負債_既有債務!D38,資產負債_既有債務!$E$6)+資產負債_既有債務!$E$9+資產負債_既有債務!D43</f>
        <v>6.67</v>
      </c>
      <c r="E62" s="31" t="n">
        <f aca="false">IF(輸入與假設!$C$100=1,資產負債_既有債務!E38,資產負債_既有債務!$E$6)+資產負債_既有債務!$E$9+資產負債_既有債務!E43</f>
        <v>6.67</v>
      </c>
      <c r="F62" s="31" t="n">
        <f aca="false">IF(輸入與假設!$C$100=1,資產負債_既有債務!F38,資產負債_既有債務!$E$6)+資產負債_既有債務!$E$9+資產負債_既有債務!F43</f>
        <v>6.67</v>
      </c>
      <c r="G62" s="31" t="n">
        <f aca="false">IF(輸入與假設!$C$100=1,資產負債_既有債務!G38,資產負債_既有債務!$E$6)+資產負債_既有債務!$E$9+資產負債_既有債務!G43</f>
        <v>2.875</v>
      </c>
      <c r="I62" s="5" t="s">
        <v>732</v>
      </c>
    </row>
    <row r="63" customFormat="false" ht="15" hidden="false" customHeight="false" outlineLevel="1" collapsed="false">
      <c r="A63" s="3" t="s">
        <v>733</v>
      </c>
      <c r="B63" s="10" t="s">
        <v>56</v>
      </c>
      <c r="C63" s="31" t="n">
        <f aca="false">輸入與假設!$C$101*C61</f>
        <v>17.058223</v>
      </c>
      <c r="D63" s="31" t="n">
        <f aca="false">輸入與假設!$C$101*D61</f>
        <v>13.684069</v>
      </c>
      <c r="E63" s="31" t="n">
        <f aca="false">輸入與假設!$C$101*E61</f>
        <v>16.1390264869949</v>
      </c>
      <c r="F63" s="31" t="n">
        <f aca="false">輸入與假設!$C$101*F61</f>
        <v>16.189827237296</v>
      </c>
      <c r="G63" s="31" t="n">
        <f aca="false">輸入與假設!$C$101*G61</f>
        <v>13.9640623243052</v>
      </c>
    </row>
    <row r="64" customFormat="false" ht="15" hidden="false" customHeight="false" outlineLevel="1" collapsed="false">
      <c r="A64" s="3" t="s">
        <v>734</v>
      </c>
      <c r="B64" s="10" t="s">
        <v>56</v>
      </c>
      <c r="C64" s="31" t="n">
        <f aca="false">IF(輸入與假設!$C$99=1,輸入與假設!$C$98,0)</f>
        <v>0.775</v>
      </c>
      <c r="D64" s="31" t="n">
        <f aca="false">C79</f>
        <v>0.775</v>
      </c>
      <c r="E64" s="31" t="n">
        <f aca="false">D79</f>
        <v>0</v>
      </c>
      <c r="F64" s="31" t="n">
        <f aca="false">E79</f>
        <v>0</v>
      </c>
      <c r="G64" s="31" t="n">
        <f aca="false">F79</f>
        <v>0</v>
      </c>
    </row>
    <row r="65" customFormat="false" ht="15" hidden="false" customHeight="false" outlineLevel="1" collapsed="false">
      <c r="A65" s="3" t="s">
        <v>735</v>
      </c>
      <c r="B65" s="10" t="s">
        <v>56</v>
      </c>
      <c r="C65" s="31" t="n">
        <f aca="false">MAX(0,C63-(C62+C51+C54),C64)</f>
        <v>10.388223</v>
      </c>
      <c r="D65" s="31" t="n">
        <f aca="false">MAX(0,D63-(D62+D51+D54),D64)</f>
        <v>7.014069</v>
      </c>
      <c r="E65" s="31" t="n">
        <f aca="false">MAX(0,E63-(E62+E51+E54),E64)</f>
        <v>0</v>
      </c>
      <c r="F65" s="31" t="n">
        <f aca="false">MAX(0,F63-(F62+F51+F54),F64)</f>
        <v>0</v>
      </c>
      <c r="G65" s="31" t="n">
        <f aca="false">MAX(0,G63-(G62+G51+G54),G64)</f>
        <v>0</v>
      </c>
      <c r="I65" s="5" t="s">
        <v>736</v>
      </c>
    </row>
    <row r="66" customFormat="false" ht="15" hidden="false" customHeight="false" outlineLevel="1" collapsed="false">
      <c r="A66" s="2" t="s">
        <v>737</v>
      </c>
      <c r="B66" s="10" t="s">
        <v>56</v>
      </c>
      <c r="C66" s="36" t="n">
        <f aca="false">MIN(C65,C58/(1-C52))</f>
        <v>0</v>
      </c>
      <c r="D66" s="36" t="n">
        <f aca="false">MIN(D65,D58/(1-D52))</f>
        <v>7.014069</v>
      </c>
      <c r="E66" s="36" t="n">
        <f aca="false">MIN(E65,E58/(1-E52))</f>
        <v>0</v>
      </c>
      <c r="F66" s="36" t="n">
        <f aca="false">MIN(F65,F58/(1-F52))</f>
        <v>0</v>
      </c>
      <c r="G66" s="36" t="n">
        <f aca="false">MIN(G65,G58/(1-G52))</f>
        <v>0</v>
      </c>
      <c r="I66" s="5" t="s">
        <v>738</v>
      </c>
    </row>
    <row r="67" customFormat="false" ht="15" hidden="false" customHeight="false" outlineLevel="1" collapsed="false">
      <c r="A67" s="3" t="s">
        <v>739</v>
      </c>
      <c r="B67" s="10" t="s">
        <v>56</v>
      </c>
      <c r="C67" s="31" t="n">
        <f aca="false">MAX(0,C58+C52*C66-C66)</f>
        <v>0</v>
      </c>
      <c r="D67" s="31" t="n">
        <f aca="false">MAX(0,D58+D52*D66-D66)</f>
        <v>11.5437316558055</v>
      </c>
      <c r="E67" s="31" t="n">
        <f aca="false">MAX(0,E58+E52*E66-E66)</f>
        <v>18.585349709227</v>
      </c>
      <c r="F67" s="31" t="n">
        <f aca="false">MAX(0,F58+F52*F66-F66)</f>
        <v>17.0395743661941</v>
      </c>
      <c r="G67" s="31" t="n">
        <f aca="false">MAX(0,G58+G52*G66-G66)</f>
        <v>28.0707369282405</v>
      </c>
    </row>
    <row r="68" customFormat="false" ht="15" hidden="false" customHeight="false" outlineLevel="1" collapsed="false">
      <c r="A68" s="3" t="s">
        <v>740</v>
      </c>
      <c r="B68" s="10" t="s">
        <v>56</v>
      </c>
      <c r="C68" s="31" t="n">
        <f aca="false">MAX(0,輸入與假設!$C$111)*運營_產能與收入!C7</f>
        <v>2.5</v>
      </c>
      <c r="D68" s="31" t="n">
        <f aca="false">MAX(0,輸入與假設!$C$111)*運營_產能與收入!D7</f>
        <v>5</v>
      </c>
      <c r="E68" s="31" t="n">
        <f aca="false">MAX(0,輸入與假設!$C$111)*運營_產能與收入!E7</f>
        <v>5</v>
      </c>
      <c r="F68" s="31" t="n">
        <f aca="false">MAX(0,輸入與假設!$C$111)*運營_產能與收入!F7</f>
        <v>5</v>
      </c>
      <c r="G68" s="31" t="n">
        <f aca="false">MAX(0,輸入與假設!$C$111)*運營_產能與收入!G7</f>
        <v>5</v>
      </c>
      <c r="I68" s="5" t="s">
        <v>741</v>
      </c>
    </row>
    <row r="69" customFormat="false" ht="15" hidden="false" customHeight="false" outlineLevel="1" collapsed="false">
      <c r="A69" s="2" t="s">
        <v>742</v>
      </c>
      <c r="B69" s="10" t="s">
        <v>56</v>
      </c>
      <c r="C69" s="36" t="n">
        <f aca="false">MIN(C68,C67/(1-C55))</f>
        <v>0</v>
      </c>
      <c r="D69" s="36" t="n">
        <f aca="false">MIN(D68,D67/(1-D55))</f>
        <v>5</v>
      </c>
      <c r="E69" s="36" t="n">
        <f aca="false">MIN(E68,E67/(1-E55))</f>
        <v>5</v>
      </c>
      <c r="F69" s="36" t="n">
        <f aca="false">MIN(F68,F67/(1-F55))</f>
        <v>5</v>
      </c>
      <c r="G69" s="36" t="n">
        <f aca="false">MIN(G68,G67/(1-G55))</f>
        <v>5</v>
      </c>
      <c r="I69" s="5" t="s">
        <v>743</v>
      </c>
    </row>
    <row r="70" customFormat="false" ht="15" hidden="false" customHeight="false" outlineLevel="1" collapsed="false">
      <c r="A70" s="3" t="s">
        <v>744</v>
      </c>
      <c r="B70" s="10" t="s">
        <v>56</v>
      </c>
      <c r="C70" s="31" t="n">
        <f aca="false">MAX(0,C67+C55*C69-C69)</f>
        <v>0</v>
      </c>
      <c r="D70" s="31" t="n">
        <f aca="false">MAX(0,D67+D55*D69-D69)</f>
        <v>6.64873165580547</v>
      </c>
      <c r="E70" s="31" t="n">
        <f aca="false">MAX(0,E67+E55*E69-E69)</f>
        <v>13.690349709227</v>
      </c>
      <c r="F70" s="31" t="n">
        <f aca="false">MAX(0,F67+F55*F69-F69)</f>
        <v>12.1445743661941</v>
      </c>
      <c r="G70" s="31" t="n">
        <f aca="false">MAX(0,G67+G55*G69-G69)</f>
        <v>23.1757369282405</v>
      </c>
    </row>
    <row r="71" customFormat="false" ht="15" hidden="false" customHeight="false" outlineLevel="1" collapsed="false">
      <c r="A71" s="3" t="s">
        <v>745</v>
      </c>
      <c r="B71" s="10" t="s">
        <v>56</v>
      </c>
      <c r="C71" s="31" t="n">
        <f aca="false">IF(輸入與假設!$C$106&gt;=9,1E+099,輸入與假設!$C$106*輸入與假設!$C$104*輸入與假設!$C$107*運營_產能與收入!C7)</f>
        <v>7.7159856</v>
      </c>
      <c r="D71" s="31" t="n">
        <f aca="false">IF(輸入與假設!$C$106&gt;=9,1E+099,輸入與假設!$C$106*輸入與假設!$C$104*輸入與假設!$C$107*運營_產能與收入!D7)</f>
        <v>15.4319712</v>
      </c>
      <c r="E71" s="31" t="n">
        <f aca="false">IF(輸入與假設!$C$106&gt;=9,1E+099,輸入與假設!$C$106*輸入與假設!$C$104*輸入與假設!$C$107*運營_產能與收入!E7)</f>
        <v>15.4319712</v>
      </c>
      <c r="F71" s="31" t="n">
        <f aca="false">IF(輸入與假設!$C$106&gt;=9,1E+099,輸入與假設!$C$106*輸入與假設!$C$104*輸入與假設!$C$107*運營_產能與收入!F7)</f>
        <v>15.4319712</v>
      </c>
      <c r="G71" s="31" t="n">
        <f aca="false">IF(輸入與假設!$C$106&gt;=9,1E+099,輸入與假設!$C$106*輸入與假設!$C$104*輸入與假設!$C$107*運營_產能與收入!G7)</f>
        <v>15.4319712</v>
      </c>
      <c r="I71" s="5" t="s">
        <v>746</v>
      </c>
    </row>
    <row r="72" customFormat="false" ht="15" hidden="false" customHeight="false" outlineLevel="1" collapsed="false">
      <c r="A72" s="2" t="s">
        <v>747</v>
      </c>
      <c r="B72" s="10" t="s">
        <v>56</v>
      </c>
      <c r="C72" s="36" t="n">
        <f aca="false">MIN(C70,C71)</f>
        <v>0</v>
      </c>
      <c r="D72" s="36" t="n">
        <f aca="false">MIN(D70,D71)</f>
        <v>6.64873165580547</v>
      </c>
      <c r="E72" s="36" t="n">
        <f aca="false">MIN(E70,E71)</f>
        <v>13.690349709227</v>
      </c>
      <c r="F72" s="36" t="n">
        <f aca="false">MIN(F70,F71)</f>
        <v>12.1445743661941</v>
      </c>
      <c r="G72" s="36" t="n">
        <f aca="false">MIN(G70,G71)</f>
        <v>15.4319712</v>
      </c>
    </row>
    <row r="73" customFormat="false" ht="15" hidden="false" customHeight="false" outlineLevel="1" collapsed="false">
      <c r="A73" s="2" t="s">
        <v>748</v>
      </c>
      <c r="B73" s="10" t="s">
        <v>56</v>
      </c>
      <c r="C73" s="36" t="n">
        <f aca="false">(C70-C72)/(1-C56)</f>
        <v>0</v>
      </c>
      <c r="D73" s="36" t="n">
        <f aca="false">(D70-D72)/(1-D56)</f>
        <v>0</v>
      </c>
      <c r="E73" s="36" t="n">
        <f aca="false">(E70-E72)/(1-E56)</f>
        <v>0</v>
      </c>
      <c r="F73" s="36" t="n">
        <f aca="false">(F70-F72)/(1-F56)</f>
        <v>0</v>
      </c>
      <c r="G73" s="36" t="n">
        <f aca="false">(G70-G72)/(1-G56)</f>
        <v>8.79973378209146</v>
      </c>
    </row>
    <row r="74" customFormat="false" ht="15" hidden="false" customHeight="false" outlineLevel="1" collapsed="false">
      <c r="A74" s="3" t="s">
        <v>749</v>
      </c>
      <c r="B74" s="10" t="s">
        <v>56</v>
      </c>
      <c r="C74" s="31" t="n">
        <f aca="false">C52*(C51+C66)+C56*(C53+C73)+C55*(C54+C69)</f>
        <v>0</v>
      </c>
      <c r="D74" s="31" t="n">
        <f aca="false">D52*(D51+D66)+D56*(D53+D73)+D55*(D54+D69)</f>
        <v>0.560914485</v>
      </c>
      <c r="E74" s="31" t="n">
        <f aca="false">E52*(E51+E66)+E56*(E53+E73)+E55*(E54+E69)</f>
        <v>0.665914485</v>
      </c>
      <c r="F74" s="31" t="n">
        <f aca="false">F52*(F51+F66)+F56*(F53+F73)+F55*(F54+F69)</f>
        <v>0.770914485</v>
      </c>
      <c r="G74" s="31" t="n">
        <f aca="false">G52*(G51+G66)+G56*(G53+G73)+G55*(G54+G69)</f>
        <v>1.93188253885097</v>
      </c>
      <c r="I74" s="5" t="s">
        <v>750</v>
      </c>
    </row>
    <row r="75" customFormat="false" ht="15" hidden="false" customHeight="false" outlineLevel="1" collapsed="false">
      <c r="A75" s="3" t="s">
        <v>751</v>
      </c>
      <c r="B75" s="10" t="s">
        <v>39</v>
      </c>
      <c r="C75" s="49" t="n">
        <f aca="false">輸入與假設!$C$104*(1-輸入與假設!$C$105)</f>
        <v>224.883</v>
      </c>
      <c r="D75" s="49" t="n">
        <f aca="false">輸入與假設!$C$104*(1-輸入與假設!$C$105)</f>
        <v>224.883</v>
      </c>
      <c r="E75" s="49" t="n">
        <f aca="false">輸入與假設!$C$104*(1-輸入與假設!$C$105)</f>
        <v>224.883</v>
      </c>
      <c r="F75" s="49" t="n">
        <f aca="false">輸入與假設!$C$104*(1-輸入與假設!$C$105)</f>
        <v>224.883</v>
      </c>
      <c r="G75" s="49" t="n">
        <f aca="false">輸入與假設!$C$104*(1-輸入與假設!$C$105)</f>
        <v>224.883</v>
      </c>
    </row>
    <row r="76" customFormat="false" ht="15" hidden="false" customHeight="false" outlineLevel="1" collapsed="false">
      <c r="A76" s="3" t="s">
        <v>752</v>
      </c>
      <c r="B76" s="10" t="s">
        <v>318</v>
      </c>
      <c r="C76" s="50" t="n">
        <f aca="false">C72/C75</f>
        <v>0</v>
      </c>
      <c r="D76" s="50" t="n">
        <f aca="false">D72/D75</f>
        <v>0.0295652924223061</v>
      </c>
      <c r="E76" s="50" t="n">
        <f aca="false">E72/E75</f>
        <v>0.0608776550883216</v>
      </c>
      <c r="F76" s="50" t="n">
        <f aca="false">F72/F75</f>
        <v>0.0540039681354044</v>
      </c>
      <c r="G76" s="50" t="n">
        <f aca="false">G72/G75</f>
        <v>0.0686222222222222</v>
      </c>
    </row>
    <row r="77" customFormat="false" ht="15" hidden="false" customHeight="false" outlineLevel="1" collapsed="false">
      <c r="A77" s="2" t="s">
        <v>753</v>
      </c>
      <c r="B77" s="10" t="s">
        <v>318</v>
      </c>
      <c r="C77" s="51" t="n">
        <f aca="false">C76</f>
        <v>0</v>
      </c>
      <c r="D77" s="51" t="n">
        <f aca="false">C77+D76</f>
        <v>0.0295652924223061</v>
      </c>
      <c r="E77" s="51" t="n">
        <f aca="false">D77+E76</f>
        <v>0.0904429475106277</v>
      </c>
      <c r="F77" s="51" t="n">
        <f aca="false">E77+F76</f>
        <v>0.144446915646032</v>
      </c>
      <c r="G77" s="51" t="n">
        <f aca="false">F77+G76</f>
        <v>0.213069137868254</v>
      </c>
    </row>
    <row r="78" customFormat="false" ht="15" hidden="false" customHeight="false" outlineLevel="1" collapsed="false">
      <c r="A78" s="3" t="s">
        <v>754</v>
      </c>
      <c r="B78" s="10" t="s">
        <v>56</v>
      </c>
      <c r="C78" s="31" t="n">
        <f aca="false">C51+C66</f>
        <v>0</v>
      </c>
      <c r="D78" s="31" t="n">
        <f aca="false">D51+D66</f>
        <v>7.014069</v>
      </c>
      <c r="E78" s="31" t="n">
        <f aca="false">E51+E66</f>
        <v>7.014069</v>
      </c>
      <c r="F78" s="31" t="n">
        <f aca="false">F51+F66</f>
        <v>7.014069</v>
      </c>
      <c r="G78" s="31" t="n">
        <f aca="false">G51+G66</f>
        <v>7.014069</v>
      </c>
    </row>
    <row r="79" customFormat="false" ht="15" hidden="false" customHeight="false" outlineLevel="1" collapsed="false">
      <c r="A79" s="3" t="s">
        <v>755</v>
      </c>
      <c r="B79" s="10" t="s">
        <v>56</v>
      </c>
      <c r="C79" s="31" t="n">
        <f aca="false">C64-MIN(C64,C66)</f>
        <v>0.775</v>
      </c>
      <c r="D79" s="31" t="n">
        <f aca="false">D64-MIN(D64,D66)</f>
        <v>0</v>
      </c>
      <c r="E79" s="31" t="n">
        <f aca="false">E64-MIN(E64,E66)</f>
        <v>0</v>
      </c>
      <c r="F79" s="31" t="n">
        <f aca="false">F64-MIN(F64,F66)</f>
        <v>0</v>
      </c>
      <c r="G79" s="31" t="n">
        <f aca="false">G64-MIN(G64,G66)</f>
        <v>0</v>
      </c>
    </row>
    <row r="80" customFormat="false" ht="15" hidden="false" customHeight="false" outlineLevel="1" collapsed="false">
      <c r="A80" s="3" t="s">
        <v>756</v>
      </c>
      <c r="B80" s="10" t="s">
        <v>56</v>
      </c>
      <c r="C80" s="31" t="n">
        <f aca="false">C53+C73</f>
        <v>0</v>
      </c>
      <c r="D80" s="31" t="n">
        <f aca="false">D53+D73</f>
        <v>0</v>
      </c>
      <c r="E80" s="31" t="n">
        <f aca="false">E53+E73</f>
        <v>0</v>
      </c>
      <c r="F80" s="31" t="n">
        <f aca="false">F53+F73</f>
        <v>0</v>
      </c>
      <c r="G80" s="31" t="n">
        <f aca="false">G53+G73</f>
        <v>8.79973378209146</v>
      </c>
    </row>
    <row r="81" customFormat="false" ht="15" hidden="false" customHeight="false" outlineLevel="1" collapsed="false">
      <c r="A81" s="3" t="s">
        <v>757</v>
      </c>
      <c r="B81" s="10" t="s">
        <v>56</v>
      </c>
      <c r="C81" s="31" t="n">
        <f aca="false">C54+C69</f>
        <v>0</v>
      </c>
      <c r="D81" s="31" t="n">
        <f aca="false">D54+D69</f>
        <v>5</v>
      </c>
      <c r="E81" s="31" t="n">
        <f aca="false">E54+E69</f>
        <v>10</v>
      </c>
      <c r="F81" s="31" t="n">
        <f aca="false">F54+F69</f>
        <v>15</v>
      </c>
      <c r="G81" s="31" t="n">
        <f aca="false">G54+G69</f>
        <v>20</v>
      </c>
    </row>
    <row r="82" customFormat="false" ht="15" hidden="false" customHeight="false" outlineLevel="1" collapsed="false">
      <c r="A82" s="2" t="s">
        <v>758</v>
      </c>
      <c r="B82" s="10" t="s">
        <v>56</v>
      </c>
      <c r="C82" s="36" t="n">
        <f aca="false">C62+C78+C81+C80</f>
        <v>6.67</v>
      </c>
      <c r="D82" s="36" t="n">
        <f aca="false">D62+D78+D81+D80</f>
        <v>18.684069</v>
      </c>
      <c r="E82" s="36" t="n">
        <f aca="false">E62+E78+E81+E80</f>
        <v>23.684069</v>
      </c>
      <c r="F82" s="36" t="n">
        <f aca="false">F62+F78+F81+F80</f>
        <v>28.684069</v>
      </c>
      <c r="G82" s="36" t="n">
        <f aca="false">G62+G78+G81+G80</f>
        <v>38.6888027820915</v>
      </c>
    </row>
    <row r="83" customFormat="false" ht="15" hidden="false" customHeight="false" outlineLevel="1" collapsed="false">
      <c r="A83" s="2" t="s">
        <v>759</v>
      </c>
      <c r="B83" s="10" t="s">
        <v>56</v>
      </c>
      <c r="C83" s="36" t="n">
        <f aca="false">C17+C35+C36+C37+C44-C50</f>
        <v>2.17986958711722</v>
      </c>
      <c r="D83" s="36" t="n">
        <f aca="false">C83+D35+D36-D50</f>
        <v>-16.1018861708055</v>
      </c>
      <c r="E83" s="36" t="n">
        <f aca="false">D83+E35+E36-E50</f>
        <v>-34.1263213950325</v>
      </c>
      <c r="F83" s="36" t="n">
        <f aca="false">E83+F35+F36-F50</f>
        <v>-50.4999812762266</v>
      </c>
      <c r="G83" s="36" t="n">
        <f aca="false">F83+G35+G36-G50</f>
        <v>-77.7998037194671</v>
      </c>
      <c r="I83" s="5" t="s">
        <v>760</v>
      </c>
    </row>
    <row r="85" customFormat="false" ht="15" hidden="false" customHeight="false" outlineLevel="0" collapsed="true">
      <c r="A85" s="46" t="s">
        <v>761</v>
      </c>
      <c r="B85" s="7"/>
      <c r="C85" s="7"/>
      <c r="D85" s="7"/>
      <c r="E85" s="7"/>
      <c r="F85" s="7"/>
      <c r="G85" s="7"/>
      <c r="H85" s="7"/>
    </row>
    <row r="86" customFormat="false" ht="15" hidden="true" customHeight="false" outlineLevel="1" collapsed="false">
      <c r="A86" s="3" t="s">
        <v>762</v>
      </c>
      <c r="C86" s="52" t="n">
        <f aca="false">輸入與假設!$C$179</f>
        <v>3.6781</v>
      </c>
    </row>
    <row r="87" customFormat="false" ht="15" hidden="true" customHeight="false" outlineLevel="1" collapsed="false">
      <c r="A87" s="3" t="s">
        <v>763</v>
      </c>
      <c r="C87" s="52" t="n">
        <f aca="false">SUM(C45:G45)</f>
        <v>-95.4876297133181</v>
      </c>
    </row>
    <row r="88" customFormat="false" ht="15" hidden="true" customHeight="false" outlineLevel="1" collapsed="false">
      <c r="A88" s="3" t="s">
        <v>764</v>
      </c>
      <c r="C88" s="52" t="n">
        <f aca="false">SUM(C36:G36)</f>
        <v>10.4911</v>
      </c>
    </row>
    <row r="89" customFormat="false" ht="15" hidden="true" customHeight="false" outlineLevel="1" collapsed="false">
      <c r="A89" s="3" t="s">
        <v>765</v>
      </c>
      <c r="C89" s="52" t="n">
        <f aca="false">SUM(C37:G37)</f>
        <v>4.3375</v>
      </c>
    </row>
    <row r="90" customFormat="false" ht="15" hidden="true" customHeight="false" outlineLevel="1" collapsed="false">
      <c r="A90" s="4" t="s">
        <v>766</v>
      </c>
      <c r="C90" s="52" t="n">
        <f aca="false">-SUM(C25:G25)</f>
        <v>-0</v>
      </c>
    </row>
    <row r="91" customFormat="false" ht="15" hidden="true" customHeight="false" outlineLevel="1" collapsed="false">
      <c r="A91" s="3" t="s">
        <v>767</v>
      </c>
      <c r="C91" s="52" t="n">
        <f aca="false">SUM(C44:G44)</f>
        <v>-0.906800000000001</v>
      </c>
    </row>
    <row r="92" customFormat="false" ht="15" hidden="true" customHeight="false" outlineLevel="1" collapsed="false">
      <c r="A92" s="3" t="s">
        <v>768</v>
      </c>
      <c r="C92" s="52" t="n">
        <f aca="false">SUM(C38:G38)+SUM(C39:G39)+SUM(C40:G40)+SUM(C41:G41)</f>
        <v>83.7294297133181</v>
      </c>
    </row>
    <row r="93" customFormat="false" ht="15" hidden="true" customHeight="false" outlineLevel="1" collapsed="false">
      <c r="A93" s="3" t="s">
        <v>769</v>
      </c>
      <c r="C93" s="52" t="n">
        <f aca="false">-SUM(C24:G24)</f>
        <v>-3.8417</v>
      </c>
    </row>
    <row r="94" customFormat="false" ht="15" hidden="true" customHeight="false" outlineLevel="1" collapsed="false">
      <c r="A94" s="2" t="s">
        <v>770</v>
      </c>
      <c r="C94" s="53" t="n">
        <f aca="false">SUM(C86:C93)</f>
        <v>2</v>
      </c>
    </row>
    <row r="95" customFormat="false" ht="15" hidden="true" customHeight="false" outlineLevel="1" collapsed="false">
      <c r="A95" s="3" t="s">
        <v>771</v>
      </c>
      <c r="C95" s="52" t="n">
        <f aca="false">G47</f>
        <v>2.00000000000001</v>
      </c>
    </row>
    <row r="96" customFormat="false" ht="15" hidden="true" customHeight="false" outlineLevel="1" collapsed="false">
      <c r="A96" s="2" t="s">
        <v>772</v>
      </c>
      <c r="C96" s="52" t="n">
        <f aca="false">C94-C95</f>
        <v>-9.32587340685132E-015</v>
      </c>
      <c r="I96" s="5" t="s">
        <v>773</v>
      </c>
    </row>
    <row r="98" customFormat="false" ht="15" hidden="false" customHeight="false" outlineLevel="0" collapsed="true">
      <c r="A98" s="6" t="s">
        <v>774</v>
      </c>
      <c r="B98" s="7"/>
      <c r="C98" s="7"/>
      <c r="D98" s="7"/>
      <c r="E98" s="7"/>
      <c r="F98" s="7"/>
      <c r="G98" s="7"/>
      <c r="H98" s="7"/>
    </row>
    <row r="99" customFormat="false" ht="15" hidden="true" customHeight="false" outlineLevel="1" collapsed="false">
      <c r="A99" s="4" t="s">
        <v>775</v>
      </c>
      <c r="C99" s="9" t="n">
        <f aca="false">運營_產能與收入!C28</f>
        <v>2.33949943134272</v>
      </c>
      <c r="I99" s="5" t="s">
        <v>776</v>
      </c>
    </row>
    <row r="100" customFormat="false" ht="15" hidden="true" customHeight="false" outlineLevel="1" collapsed="false">
      <c r="A100" s="4" t="s">
        <v>777</v>
      </c>
      <c r="C100" s="9" t="n">
        <f aca="false">C6</f>
        <v>26.04618992</v>
      </c>
      <c r="I100" s="5" t="s">
        <v>778</v>
      </c>
    </row>
    <row r="101" customFormat="false" ht="15" hidden="true" customHeight="false" outlineLevel="1" collapsed="false">
      <c r="A101" s="4" t="s">
        <v>779</v>
      </c>
      <c r="C101" s="9" t="n">
        <f aca="false">輸入與假設!$C$188+輸入與假設!C$122+C19</f>
        <v>0.243175</v>
      </c>
      <c r="I101" s="10" t="s">
        <v>780</v>
      </c>
    </row>
    <row r="102" customFormat="false" ht="15" hidden="true" customHeight="false" outlineLevel="1" collapsed="false">
      <c r="A102" s="4" t="s">
        <v>781</v>
      </c>
      <c r="C102" s="9" t="n">
        <f aca="false">輸入與假設!$C$189+C15</f>
        <v>0.1416</v>
      </c>
      <c r="I102" s="10" t="s">
        <v>782</v>
      </c>
    </row>
    <row r="103" customFormat="false" ht="15" hidden="true" customHeight="false" outlineLevel="1" collapsed="false">
      <c r="A103" s="4" t="s">
        <v>783</v>
      </c>
      <c r="C103" s="9" t="n">
        <f aca="false">C24</f>
        <v>0.0467</v>
      </c>
      <c r="I103" s="10" t="s">
        <v>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785</v>
      </c>
    </row>
    <row r="2" customFormat="false" ht="15" hidden="false" customHeight="false" outlineLevel="0" collapsed="false">
      <c r="A2" s="5" t="s">
        <v>786</v>
      </c>
    </row>
    <row r="4" customFormat="false" ht="15" hidden="false" customHeight="false" outlineLevel="0" collapsed="false">
      <c r="A4" s="6" t="s">
        <v>787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7.15" hidden="false" customHeight="false" outlineLevel="1" collapsed="false">
      <c r="A5" s="13" t="s">
        <v>788</v>
      </c>
      <c r="B5" s="13" t="s">
        <v>51</v>
      </c>
      <c r="C5" s="13" t="s">
        <v>789</v>
      </c>
      <c r="D5" s="13" t="s">
        <v>790</v>
      </c>
      <c r="E5" s="13" t="s">
        <v>791</v>
      </c>
      <c r="F5" s="13" t="s">
        <v>792</v>
      </c>
      <c r="G5" s="13" t="s">
        <v>793</v>
      </c>
      <c r="H5" s="13" t="s">
        <v>794</v>
      </c>
      <c r="I5" s="13" t="s">
        <v>795</v>
      </c>
      <c r="J5" s="13" t="s">
        <v>796</v>
      </c>
      <c r="K5" s="13" t="s">
        <v>797</v>
      </c>
      <c r="L5" s="13" t="s">
        <v>798</v>
      </c>
      <c r="M5" s="13" t="s">
        <v>799</v>
      </c>
      <c r="N5" s="13" t="s">
        <v>800</v>
      </c>
      <c r="O5" s="13" t="s">
        <v>796</v>
      </c>
      <c r="P5" s="13" t="s">
        <v>797</v>
      </c>
      <c r="Q5" s="13" t="s">
        <v>801</v>
      </c>
    </row>
    <row r="6" customFormat="false" ht="15" hidden="false" customHeight="false" outlineLevel="1" collapsed="false">
      <c r="A6" s="3" t="s">
        <v>802</v>
      </c>
      <c r="B6" s="10" t="s">
        <v>56</v>
      </c>
      <c r="C6" s="54" t="n">
        <f aca="false">INDEX($C$22:$H$22,輸入與假設!$C$280)</f>
        <v>0.646833143780906</v>
      </c>
      <c r="D6" s="54" t="n">
        <f aca="false">INDEX($C$32:$H$32,輸入與假設!$C$280)</f>
        <v>0.8994</v>
      </c>
      <c r="E6" s="55" t="n">
        <f aca="false">INDEX($C$42:$H$42,輸入與假設!$C$280)</f>
        <v>-0.280817051611179</v>
      </c>
      <c r="F6" s="56" t="s">
        <v>803</v>
      </c>
      <c r="G6" s="56" t="s">
        <v>803</v>
      </c>
      <c r="H6" s="55" t="str">
        <f aca="false">INDEX($C$43:$H$43,輸入與假設!$C$280)</f>
        <v>不適用</v>
      </c>
      <c r="I6" s="54" t="str">
        <f aca="false">IF(ISNUMBER(INDEX($C$36:$H$36,輸入與假設!$C$280)),INDEX($C$36:$H$36,輸入與假設!$C$280),"待公布")</f>
        <v>待公布</v>
      </c>
      <c r="J6" s="55" t="str">
        <f aca="false">INDEX($C$44:$H$44,輸入與假設!$C$280)</f>
        <v/>
      </c>
      <c r="K6" s="55" t="str">
        <f aca="false">INDEX($C$45:$H$45,輸入與假設!$C$280)</f>
        <v/>
      </c>
      <c r="L6" s="55" t="str">
        <f aca="false">INDEX($C$46:$H$46,輸入與假設!$C$280)</f>
        <v/>
      </c>
      <c r="M6" s="55"/>
      <c r="N6" s="55"/>
      <c r="O6" s="55"/>
      <c r="P6" s="55"/>
      <c r="Q6" s="55"/>
    </row>
    <row r="7" customFormat="false" ht="15" hidden="false" customHeight="false" outlineLevel="1" collapsed="false">
      <c r="A7" s="3" t="s">
        <v>804</v>
      </c>
      <c r="B7" s="10" t="s">
        <v>56</v>
      </c>
      <c r="C7" s="54" t="n">
        <f aca="false">INDEX($C$28:$H$28,輸入與假設!$C$280)</f>
        <v>0.272671992019847</v>
      </c>
      <c r="D7" s="54" t="n">
        <f aca="false">INDEX($C$33:$H$33,輸入與假設!$C$280)</f>
        <v>0.3624</v>
      </c>
      <c r="E7" s="54" t="n">
        <f aca="false">INDEX($C$47:$H$47,輸入與假設!$C$280)</f>
        <v>-0.0897280079801532</v>
      </c>
      <c r="F7" s="56" t="s">
        <v>803</v>
      </c>
      <c r="G7" s="56" t="s">
        <v>803</v>
      </c>
      <c r="H7" s="54" t="str">
        <f aca="false">INDEX($C$48:$H$48,輸入與假設!$C$280)</f>
        <v>不適用</v>
      </c>
      <c r="I7" s="54" t="str">
        <f aca="false">IF(ISNUMBER(INDEX($C$37:$H$37,輸入與假設!$C$280)),INDEX($C$37:$H$37,輸入與假設!$C$280),"待公布")</f>
        <v>待公布</v>
      </c>
      <c r="J7" s="54" t="str">
        <f aca="false">INDEX($C$49:$H$49,輸入與假設!$C$280)</f>
        <v/>
      </c>
      <c r="K7" s="54" t="str">
        <f aca="false">INDEX($C$50:$H$50,輸入與假設!$C$280)</f>
        <v/>
      </c>
      <c r="L7" s="54" t="str">
        <f aca="false">INDEX($C$51:$H$51,輸入與假設!$C$280)</f>
        <v/>
      </c>
      <c r="M7" s="55" t="n">
        <f aca="false">INDEX($C$52:$H$52,輸入與假設!$C$280)</f>
        <v>0.0186139062902073</v>
      </c>
      <c r="N7" s="55" t="str">
        <f aca="false">INDEX($C$53:$H$53,輸入與假設!$C$280)</f>
        <v>不適用</v>
      </c>
      <c r="O7" s="55" t="str">
        <f aca="false">INDEX($C$54:$H$54,輸入與假設!$C$280)</f>
        <v/>
      </c>
      <c r="P7" s="55" t="str">
        <f aca="false">INDEX($C$55:$H$55,輸入與假設!$C$280)</f>
        <v/>
      </c>
      <c r="Q7" s="55" t="str">
        <f aca="false">INDEX($C$56:$H$56,輸入與假設!$C$280)</f>
        <v/>
      </c>
    </row>
    <row r="8" customFormat="false" ht="15" hidden="false" customHeight="false" outlineLevel="1" collapsed="false">
      <c r="A8" s="3" t="s">
        <v>805</v>
      </c>
      <c r="B8" s="10" t="s">
        <v>42</v>
      </c>
      <c r="C8" s="55" t="n">
        <f aca="false">INDEX($C$27:$H$27,輸入與假設!$C$280)</f>
        <v>0.42154919648367</v>
      </c>
      <c r="D8" s="55" t="n">
        <f aca="false">INDEX($C$34:$H$34,輸入與假設!$C$280)</f>
        <v>0.402935290193462</v>
      </c>
      <c r="E8" s="55" t="n">
        <f aca="false">INDEX($C$57:$H$57,輸入與假設!$C$280)</f>
        <v>0.0186139062902073</v>
      </c>
      <c r="F8" s="57" t="s">
        <v>803</v>
      </c>
      <c r="G8" s="57" t="s">
        <v>803</v>
      </c>
      <c r="H8" s="55" t="str">
        <f aca="false">INDEX($C$58:$H$58,輸入與假設!$C$280)</f>
        <v>不適用</v>
      </c>
      <c r="I8" s="55" t="str">
        <f aca="false">IF(ISNUMBER(INDEX($C$38:$H$38,輸入與假設!$C$280)),INDEX($C$38:$H$38,輸入與假設!$C$280),"待公布")</f>
        <v>待公布</v>
      </c>
      <c r="J8" s="55" t="str">
        <f aca="false">INDEX($C$59:$H$59,輸入與假設!$C$280)</f>
        <v/>
      </c>
      <c r="K8" s="55" t="str">
        <f aca="false">INDEX($C$60:$H$60,輸入與假設!$C$280)</f>
        <v/>
      </c>
      <c r="L8" s="55" t="str">
        <f aca="false">INDEX($C$61:$H$61,輸入與假設!$C$280)</f>
        <v/>
      </c>
      <c r="M8" s="55"/>
      <c r="N8" s="55"/>
      <c r="O8" s="55"/>
      <c r="P8" s="55"/>
      <c r="Q8" s="55"/>
    </row>
    <row r="9" customFormat="false" ht="15" hidden="false" customHeight="false" outlineLevel="1" collapsed="false">
      <c r="A9" s="3" t="s">
        <v>806</v>
      </c>
      <c r="B9" s="10" t="s">
        <v>56</v>
      </c>
      <c r="C9" s="54" t="n">
        <f aca="false">INDEX($C$30:$H$30,輸入與假設!$C$280)</f>
        <v>-0.658751631980153</v>
      </c>
      <c r="D9" s="56" t="s">
        <v>803</v>
      </c>
      <c r="E9" s="54" t="str">
        <f aca="false">INDEX($C$62:$H$62,輸入與假設!$C$280)</f>
        <v>不適用</v>
      </c>
      <c r="F9" s="56" t="s">
        <v>803</v>
      </c>
      <c r="G9" s="56" t="s">
        <v>803</v>
      </c>
      <c r="H9" s="54" t="str">
        <f aca="false">INDEX($C$63:$H$63,輸入與假設!$C$280)</f>
        <v>不適用</v>
      </c>
      <c r="I9" s="54" t="str">
        <f aca="false">IF(ISNUMBER(INDEX($C$39:$H$39,輸入與假設!$C$280)),INDEX($C$39:$H$39,輸入與假設!$C$280),"待公布")</f>
        <v>待公布</v>
      </c>
      <c r="J9" s="54" t="str">
        <f aca="false">INDEX($C$64:$H$64,輸入與假設!$C$280)</f>
        <v/>
      </c>
      <c r="K9" s="54" t="str">
        <f aca="false">INDEX($C$65:$H$65,輸入與假設!$C$280)</f>
        <v/>
      </c>
      <c r="L9" s="54" t="str">
        <f aca="false">INDEX($C$66:$H$66,輸入與假設!$C$280)</f>
        <v/>
      </c>
      <c r="M9" s="55" t="str">
        <f aca="false">INDEX($C$67:$H$67,輸入與假設!$C$280)</f>
        <v>不適用</v>
      </c>
      <c r="N9" s="55" t="str">
        <f aca="false">INDEX($C$68:$H$68,輸入與假設!$C$280)</f>
        <v>不適用</v>
      </c>
      <c r="O9" s="55" t="str">
        <f aca="false">INDEX($C$69:$H$69,輸入與假設!$C$280)</f>
        <v/>
      </c>
      <c r="P9" s="55" t="str">
        <f aca="false">INDEX($C$70:$H$70,輸入與假設!$C$280)</f>
        <v/>
      </c>
      <c r="Q9" s="55" t="str">
        <f aca="false">INDEX($C$71:$H$71,輸入與假設!$C$280)</f>
        <v/>
      </c>
    </row>
    <row r="10" customFormat="false" ht="15" hidden="false" customHeight="false" outlineLevel="1" collapsed="false">
      <c r="A10" s="3" t="s">
        <v>807</v>
      </c>
      <c r="B10" s="10" t="s">
        <v>56</v>
      </c>
      <c r="C10" s="54" t="n">
        <f aca="false">INDEX($C$31:$H$31,輸入與假設!$C$280)</f>
        <v>8.95794496</v>
      </c>
      <c r="D10" s="56" t="s">
        <v>803</v>
      </c>
      <c r="E10" s="55" t="str">
        <f aca="false">INDEX($C$72:$H$72,輸入與假設!$C$280)</f>
        <v>不適用</v>
      </c>
      <c r="F10" s="56" t="s">
        <v>803</v>
      </c>
      <c r="G10" s="56" t="s">
        <v>803</v>
      </c>
      <c r="H10" s="55" t="str">
        <f aca="false">INDEX($C$73:$H$73,輸入與假設!$C$280)</f>
        <v>不適用</v>
      </c>
      <c r="I10" s="54" t="str">
        <f aca="false">IF(ISNUMBER(INDEX($C$40:$H$40,輸入與假設!$C$280)),INDEX($C$40:$H$40,輸入與假設!$C$280),"待公布")</f>
        <v>待公布</v>
      </c>
      <c r="J10" s="55" t="str">
        <f aca="false">INDEX($C$74:$H$74,輸入與假設!$C$280)</f>
        <v/>
      </c>
      <c r="K10" s="55" t="str">
        <f aca="false">INDEX($C$75:$H$75,輸入與假設!$C$280)</f>
        <v/>
      </c>
      <c r="L10" s="55" t="str">
        <f aca="false">INDEX($C$76:$H$76,輸入與假設!$C$280)</f>
        <v/>
      </c>
      <c r="M10" s="55"/>
      <c r="N10" s="55"/>
      <c r="O10" s="55"/>
      <c r="P10" s="55"/>
      <c r="Q10" s="55"/>
    </row>
    <row r="11" customFormat="false" ht="15" hidden="false" customHeight="false" outlineLevel="1" collapsed="false">
      <c r="A11" s="3" t="s">
        <v>808</v>
      </c>
      <c r="B11" s="10" t="s">
        <v>143</v>
      </c>
      <c r="C11" s="58" t="n">
        <f aca="false">INDEX($C$19:$H$19,輸入與假設!$C$280)</f>
        <v>605</v>
      </c>
      <c r="D11" s="59" t="s">
        <v>803</v>
      </c>
      <c r="E11" s="58" t="str">
        <f aca="false">INDEX($C$77:$H$77,輸入與假設!$C$280)</f>
        <v>不適用</v>
      </c>
      <c r="F11" s="59" t="s">
        <v>803</v>
      </c>
      <c r="G11" s="59" t="s">
        <v>803</v>
      </c>
      <c r="H11" s="58" t="str">
        <f aca="false">INDEX($C$78:$H$78,輸入與假設!$C$280)</f>
        <v>不適用</v>
      </c>
      <c r="I11" s="58" t="str">
        <f aca="false">IF(ISNUMBER(INDEX($C$41:$H$41,輸入與假設!$C$280)),INDEX($C$41:$H$41,輸入與假設!$C$280),"待公布")</f>
        <v>待公布</v>
      </c>
      <c r="J11" s="58" t="str">
        <f aca="false">INDEX($C$79:$H$79,輸入與假設!$C$280)</f>
        <v/>
      </c>
      <c r="K11" s="58" t="str">
        <f aca="false">INDEX($C$80:$H$80,輸入與假設!$C$280)</f>
        <v/>
      </c>
      <c r="L11" s="58" t="str">
        <f aca="false">INDEX($C$81:$H$81,輸入與假設!$C$280)</f>
        <v/>
      </c>
      <c r="M11" s="55"/>
      <c r="N11" s="55"/>
      <c r="O11" s="55"/>
      <c r="P11" s="55"/>
      <c r="Q11" s="55"/>
    </row>
    <row r="12" customFormat="false" ht="15" hidden="false" customHeight="false" outlineLevel="1" collapsed="false">
      <c r="A12" s="2" t="s">
        <v>809</v>
      </c>
      <c r="C12" s="2" t="str">
        <f aca="false">INDEX($C$16:$H$16,輸入與假設!$C$280)</f>
        <v>Q3'26</v>
      </c>
    </row>
    <row r="13" customFormat="false" ht="17.15" hidden="false" customHeight="false" outlineLevel="1" collapsed="false">
      <c r="A13" s="2" t="s">
        <v>810</v>
      </c>
      <c r="C13" s="0" t="str">
        <f aca="false">IF(INDEX($C$118:$H$118,輸入與假設!$C$280)="","無（差距皆在 "&amp;IF(ROUND(ABS(輸入與假設!$C$274)*100,4)=INT(ROUND(ABS(輸入與假設!$C$274)*100,4)),TEXT(ROUND(ABS(輸入與假設!$C$274)*100,4),"0"),TEXT(ROUND(ABS(輸入與假設!$C$274)*100,4),"0.0"))&amp;"%"&amp;" 以內）",INDEX($C$118:$H$118,輸入與假設!$C$280))</f>
        <v>營收 vs 共識 −28.1%：觀點（水準 −$0.395bn（2H26 模型 $1.358bn，共識合計 $2.420bn）；分配 +$0.142bn；每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</v>
      </c>
    </row>
    <row r="15" customFormat="false" ht="15" hidden="false" customHeight="false" outlineLevel="0" collapsed="true">
      <c r="A15" s="6" t="s">
        <v>811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true" customHeight="false" outlineLevel="1" collapsed="false">
      <c r="A16" s="13" t="s">
        <v>50</v>
      </c>
      <c r="B16" s="13" t="s">
        <v>51</v>
      </c>
      <c r="C16" s="14" t="s">
        <v>614</v>
      </c>
      <c r="D16" s="14" t="s">
        <v>615</v>
      </c>
      <c r="E16" s="14" t="s">
        <v>616</v>
      </c>
      <c r="F16" s="14" t="s">
        <v>617</v>
      </c>
      <c r="G16" s="14" t="s">
        <v>618</v>
      </c>
      <c r="H16" s="14" t="s">
        <v>619</v>
      </c>
    </row>
    <row r="17" customFormat="false" ht="15" hidden="true" customHeight="false" outlineLevel="1" collapsed="false">
      <c r="A17" s="3" t="s">
        <v>812</v>
      </c>
      <c r="C17" s="60" t="n">
        <f aca="false">輸入與假設!C$279</f>
        <v>1</v>
      </c>
      <c r="D17" s="60" t="n">
        <f aca="false">輸入與假設!D$279</f>
        <v>1</v>
      </c>
      <c r="E17" s="60" t="n">
        <f aca="false">輸入與假設!E$279</f>
        <v>2</v>
      </c>
      <c r="F17" s="60" t="n">
        <f aca="false">輸入與假設!F$279</f>
        <v>2</v>
      </c>
      <c r="G17" s="60" t="n">
        <f aca="false">輸入與假設!G$279</f>
        <v>2</v>
      </c>
      <c r="H17" s="60" t="n">
        <f aca="false">輸入與假設!H$279</f>
        <v>2</v>
      </c>
      <c r="J17" s="10" t="s">
        <v>813</v>
      </c>
    </row>
    <row r="18" customFormat="false" ht="15" hidden="true" customHeight="false" outlineLevel="1" collapsed="false">
      <c r="A18" s="3" t="s">
        <v>814</v>
      </c>
      <c r="C18" s="21" t="n">
        <v>1</v>
      </c>
      <c r="D18" s="21" t="n">
        <v>2</v>
      </c>
      <c r="E18" s="21" t="n">
        <v>3</v>
      </c>
      <c r="F18" s="21" t="n">
        <v>4</v>
      </c>
      <c r="G18" s="21" t="n">
        <v>5</v>
      </c>
      <c r="H18" s="21" t="n">
        <v>6</v>
      </c>
      <c r="J18" s="10" t="s">
        <v>815</v>
      </c>
    </row>
    <row r="19" customFormat="false" ht="15" hidden="true" customHeight="false" outlineLevel="1" collapsed="false">
      <c r="A19" s="3" t="s">
        <v>816</v>
      </c>
      <c r="B19" s="10" t="s">
        <v>143</v>
      </c>
      <c r="C19" s="21" t="n">
        <f aca="false">輸入與假設!$C$282+(輸入與假設!C$39-輸入與假設!$C$282)*1/2</f>
        <v>605</v>
      </c>
      <c r="D19" s="21" t="n">
        <f aca="false">輸入與假設!$C$282+(輸入與假設!C$39-輸入與假設!$C$282)*2/2</f>
        <v>750</v>
      </c>
      <c r="E19" s="21" t="n">
        <f aca="false">輸入與假設!C$39+(輸入與假設!D$39-輸入與假設!C$39)*1/4</f>
        <v>895</v>
      </c>
      <c r="F19" s="21" t="n">
        <f aca="false">輸入與假設!C$39+(輸入與假設!D$39-輸入與假設!C$39)*2/4</f>
        <v>1040</v>
      </c>
      <c r="G19" s="21" t="n">
        <f aca="false">輸入與假設!C$39+(輸入與假設!D$39-輸入與假設!C$39)*3/4</f>
        <v>1185</v>
      </c>
      <c r="H19" s="21" t="n">
        <f aca="false">輸入與假設!C$39+(輸入與假設!D$39-輸入與假設!C$39)*4/4</f>
        <v>1330</v>
      </c>
      <c r="J19" s="5" t="s">
        <v>817</v>
      </c>
    </row>
    <row r="20" customFormat="false" ht="15" hidden="true" customHeight="false" outlineLevel="1" collapsed="false">
      <c r="A20" s="3" t="s">
        <v>818</v>
      </c>
      <c r="B20" s="10" t="s">
        <v>143</v>
      </c>
      <c r="C20" s="21" t="n">
        <f aca="false">輸入與假設!$C$32+(輸入與假設!C$40-輸入與假設!$C$32)*1/4</f>
        <v>274.25</v>
      </c>
      <c r="D20" s="21" t="n">
        <f aca="false">輸入與假設!$C$32+(輸入與假設!C$40-輸入與假設!$C$32)*3/4</f>
        <v>316.75</v>
      </c>
      <c r="E20" s="21" t="n">
        <f aca="false">輸入與假設!C$40+(輸入與假設!D$40-輸入與假設!C$40)*1/8</f>
        <v>408.75</v>
      </c>
      <c r="F20" s="21" t="n">
        <f aca="false">輸入與假設!C$40+(輸入與假設!D$40-輸入與假設!C$40)*3/8</f>
        <v>550.25</v>
      </c>
      <c r="G20" s="21" t="n">
        <f aca="false">輸入與假設!C$40+(輸入與假設!D$40-輸入與假設!C$40)*5/8</f>
        <v>691.75</v>
      </c>
      <c r="H20" s="21" t="n">
        <f aca="false">輸入與假設!C$40+(輸入與假設!D$40-輸入與假設!C$40)*7/8</f>
        <v>833.25</v>
      </c>
      <c r="J20" s="5" t="s">
        <v>819</v>
      </c>
    </row>
    <row r="21" customFormat="false" ht="15" hidden="true" customHeight="false" outlineLevel="1" collapsed="false">
      <c r="A21" s="3" t="s">
        <v>820</v>
      </c>
      <c r="B21" s="10" t="s">
        <v>143</v>
      </c>
      <c r="C21" s="21" t="n">
        <f aca="false">C19-輸入與假設!$C$282</f>
        <v>145</v>
      </c>
      <c r="D21" s="21" t="n">
        <f aca="false">D19-C19</f>
        <v>145</v>
      </c>
      <c r="E21" s="21" t="n">
        <f aca="false">E19-輸入與假設!C$39</f>
        <v>145</v>
      </c>
      <c r="F21" s="21" t="n">
        <f aca="false">F19-E19</f>
        <v>145</v>
      </c>
      <c r="G21" s="21" t="n">
        <f aca="false">G19-F19</f>
        <v>145</v>
      </c>
      <c r="H21" s="21" t="n">
        <f aca="false">H19-G19</f>
        <v>145</v>
      </c>
      <c r="J21" s="10" t="s">
        <v>821</v>
      </c>
    </row>
    <row r="22" customFormat="false" ht="15" hidden="true" customHeight="false" outlineLevel="1" collapsed="false">
      <c r="A22" s="3" t="s">
        <v>822</v>
      </c>
      <c r="B22" s="10" t="s">
        <v>56</v>
      </c>
      <c r="C22" s="31" t="n">
        <f aca="false">輸入與假設!$C$281+1*(損益!C8-2*輸入與假設!$C$281)/3</f>
        <v>0.646833143780906</v>
      </c>
      <c r="D22" s="31" t="n">
        <f aca="false">輸入與假設!$C$281+2*(損益!C8-2*輸入與假設!$C$281)/3</f>
        <v>0.711366287561811</v>
      </c>
      <c r="E22" s="31" t="n">
        <f aca="false">損益!D8*E20/(E20+F20+G20+H20)</f>
        <v>0.983232195958038</v>
      </c>
      <c r="F22" s="31" t="n">
        <f aca="false">損益!D8*F20/(E20+F20+G20+H20)</f>
        <v>1.32360493168419</v>
      </c>
      <c r="G22" s="31" t="n">
        <f aca="false">損益!D8*G20/(E20+F20+G20+H20)</f>
        <v>1.66397766741033</v>
      </c>
      <c r="H22" s="31" t="n">
        <f aca="false">損益!D8*H20/(E20+F20+G20+H20)</f>
        <v>2.00435040313648</v>
      </c>
      <c r="J22" s="5" t="s">
        <v>823</v>
      </c>
    </row>
    <row r="23" customFormat="false" ht="15" hidden="true" customHeight="false" outlineLevel="1" collapsed="false">
      <c r="A23" s="4" t="s">
        <v>824</v>
      </c>
      <c r="C23" s="54" t="n">
        <f aca="false">C22+D22</f>
        <v>1.35819943134272</v>
      </c>
      <c r="D23" s="54" t="n">
        <f aca="false">E22+F22+G22+H22</f>
        <v>5.97516519818903</v>
      </c>
      <c r="J23" s="5" t="s">
        <v>825</v>
      </c>
    </row>
    <row r="24" customFormat="false" ht="15" hidden="true" customHeight="false" outlineLevel="1" collapsed="false">
      <c r="A24" s="4" t="s">
        <v>826</v>
      </c>
      <c r="C24" s="54" t="n">
        <f aca="false">C22*C18+D22*D18</f>
        <v>2.06956571890453</v>
      </c>
      <c r="D24" s="54" t="n">
        <f aca="false">E22*E18+F22*F18+G22*G18+H22*H18</f>
        <v>28.5901070704814</v>
      </c>
      <c r="J24" s="5" t="s">
        <v>825</v>
      </c>
    </row>
    <row r="25" customFormat="false" ht="15" hidden="true" customHeight="false" outlineLevel="1" collapsed="false">
      <c r="A25" s="4" t="s">
        <v>827</v>
      </c>
      <c r="C25" s="54" t="n">
        <f aca="false">損益!C19</f>
        <v>0.58102511737733</v>
      </c>
      <c r="D25" s="54" t="n">
        <f aca="false">損益!D19</f>
        <v>2.78832473841217</v>
      </c>
      <c r="J25" s="5" t="s">
        <v>825</v>
      </c>
    </row>
    <row r="26" customFormat="false" ht="15" hidden="true" customHeight="false" outlineLevel="1" collapsed="false">
      <c r="A26" s="4" t="s">
        <v>828</v>
      </c>
      <c r="C26" s="61" t="n">
        <f aca="false">(C25*D24-C24*D25)/(C23*D24-C24*D23)</f>
        <v>0.409632356202573</v>
      </c>
      <c r="D26" s="61" t="n">
        <f aca="false">(C23*D25-D23*C25)/(C23*D24-C24*D23)</f>
        <v>0.0119168402810969</v>
      </c>
      <c r="J26" s="5" t="s">
        <v>829</v>
      </c>
    </row>
    <row r="27" customFormat="false" ht="15" hidden="true" customHeight="false" outlineLevel="1" collapsed="false">
      <c r="A27" s="4" t="s">
        <v>830</v>
      </c>
      <c r="B27" s="10" t="s">
        <v>42</v>
      </c>
      <c r="C27" s="30" t="n">
        <f aca="false">$C$26+$D$26*C18</f>
        <v>0.42154919648367</v>
      </c>
      <c r="D27" s="30" t="n">
        <f aca="false">$C$26+$D$26*D18</f>
        <v>0.433466036764767</v>
      </c>
      <c r="E27" s="30" t="n">
        <f aca="false">$C$26+$D$26*E18</f>
        <v>0.445382877045864</v>
      </c>
      <c r="F27" s="30" t="n">
        <f aca="false">$C$26+$D$26*F18</f>
        <v>0.45729971732696</v>
      </c>
      <c r="G27" s="30" t="n">
        <f aca="false">$C$26+$D$26*G18</f>
        <v>0.469216557608057</v>
      </c>
      <c r="H27" s="30" t="n">
        <f aca="false">$C$26+$D$26*H18</f>
        <v>0.481133397889154</v>
      </c>
      <c r="J27" s="5" t="s">
        <v>831</v>
      </c>
    </row>
    <row r="28" customFormat="false" ht="15" hidden="true" customHeight="false" outlineLevel="1" collapsed="false">
      <c r="A28" s="3" t="s">
        <v>832</v>
      </c>
      <c r="B28" s="10" t="s">
        <v>56</v>
      </c>
      <c r="C28" s="31" t="n">
        <f aca="false">C22*C27</f>
        <v>0.272671992019847</v>
      </c>
      <c r="D28" s="31" t="n">
        <f aca="false">D22*D27</f>
        <v>0.308353125357484</v>
      </c>
      <c r="E28" s="31" t="n">
        <f aca="false">E22*E27</f>
        <v>0.437914784239913</v>
      </c>
      <c r="F28" s="31" t="n">
        <f aca="false">F22*F27</f>
        <v>0.605284161111749</v>
      </c>
      <c r="G28" s="31" t="n">
        <f aca="false">G22*G27</f>
        <v>0.780765873038961</v>
      </c>
      <c r="H28" s="31" t="n">
        <f aca="false">H22*H27</f>
        <v>0.96435992002155</v>
      </c>
    </row>
    <row r="29" customFormat="false" ht="15" hidden="true" customHeight="false" outlineLevel="1" collapsed="false">
      <c r="A29" s="3" t="s">
        <v>833</v>
      </c>
      <c r="B29" s="10" t="s">
        <v>56</v>
      </c>
      <c r="C29" s="31" t="n">
        <f aca="false">(輸入與假設!C$89+輸入與假設!C$87*1/4)/輸入與假設!$C$65*輸入與假設!C$37/2</f>
        <v>0.931423624</v>
      </c>
      <c r="D29" s="31" t="n">
        <f aca="false">(輸入與假設!C$89+輸入與假設!C$87*3/4)/輸入與假設!$C$65*輸入與假設!C$37/2</f>
        <v>1.379320872</v>
      </c>
      <c r="E29" s="31" t="n">
        <f aca="false">(輸入與假設!D$89+輸入與假設!D$87*1/8)/輸入與假設!$C$65*輸入與假設!D$37/4</f>
        <v>1.7757534775</v>
      </c>
      <c r="F29" s="31" t="n">
        <f aca="false">(輸入與假設!D$89+輸入與假設!D$87*3/8)/輸入與假設!$C$65*輸入與假設!D$37/4</f>
        <v>2.1207214405</v>
      </c>
      <c r="G29" s="31" t="n">
        <f aca="false">(輸入與假設!D$89+輸入與假設!D$87*5/8)/輸入與假設!$C$65*輸入與假設!D$37/4</f>
        <v>2.4656894035</v>
      </c>
      <c r="H29" s="31" t="n">
        <f aca="false">(輸入與假設!D$89+輸入與假設!D$87*7/8)/輸入與假設!$C$65*輸入與假設!D$37/4</f>
        <v>2.8106573665</v>
      </c>
      <c r="J29" s="5" t="s">
        <v>834</v>
      </c>
    </row>
    <row r="30" customFormat="false" ht="15" hidden="true" customHeight="false" outlineLevel="1" collapsed="false">
      <c r="A30" s="3" t="s">
        <v>835</v>
      </c>
      <c r="B30" s="10" t="s">
        <v>56</v>
      </c>
      <c r="C30" s="31" t="n">
        <f aca="false">C28-C29</f>
        <v>-0.658751631980153</v>
      </c>
      <c r="D30" s="31" t="n">
        <f aca="false">D28-D29</f>
        <v>-1.07096774664252</v>
      </c>
      <c r="E30" s="31" t="n">
        <f aca="false">E28-E29</f>
        <v>-1.33783869326009</v>
      </c>
      <c r="F30" s="31" t="n">
        <f aca="false">F28-F29</f>
        <v>-1.51543727938825</v>
      </c>
      <c r="G30" s="31" t="n">
        <f aca="false">G28-G29</f>
        <v>-1.68492353046104</v>
      </c>
      <c r="H30" s="31" t="n">
        <f aca="false">H28-H29</f>
        <v>-1.84629744647845</v>
      </c>
      <c r="J30" s="5" t="s">
        <v>836</v>
      </c>
    </row>
    <row r="31" customFormat="false" ht="15" hidden="true" customHeight="false" outlineLevel="1" collapsed="false">
      <c r="A31" s="4" t="s">
        <v>837</v>
      </c>
      <c r="B31" s="10" t="s">
        <v>56</v>
      </c>
      <c r="C31" s="31" t="n">
        <f aca="false">IF((C21+D21)&gt;0,輸入與假設!C$91*C21/(C21+D21),輸入與假設!C$91/2)</f>
        <v>8.95794496</v>
      </c>
      <c r="D31" s="31" t="n">
        <f aca="false">IF((C21+D21)&gt;0,輸入與假設!C$91*D21/(C21+D21),輸入與假設!C$91/2)</f>
        <v>8.95794496</v>
      </c>
      <c r="E31" s="31" t="n">
        <f aca="false">IF((E21+F21+G21+H21)&gt;0,輸入與假設!D$91*E21/(E21+F21+G21+H21),輸入與假設!D$91/4)</f>
        <v>6.89935926</v>
      </c>
      <c r="F31" s="31" t="n">
        <f aca="false">IF((E21+F21+G21+H21)&gt;0,輸入與假設!D$91*F21/(E21+F21+G21+H21),輸入與假設!D$91/4)</f>
        <v>6.89935926</v>
      </c>
      <c r="G31" s="31" t="n">
        <f aca="false">IF((E21+F21+G21+H21)&gt;0,輸入與假設!D$91*G21/(E21+F21+G21+H21),輸入與假設!D$91/4)</f>
        <v>6.89935926</v>
      </c>
      <c r="H31" s="31" t="n">
        <f aca="false">IF((E21+F21+G21+H21)&gt;0,輸入與假設!D$91*H21/(E21+F21+G21+H21),輸入與假設!D$91/4)</f>
        <v>6.89935926</v>
      </c>
      <c r="J31" s="5" t="s">
        <v>838</v>
      </c>
    </row>
    <row r="32" customFormat="false" ht="15" hidden="true" customHeight="false" outlineLevel="1" collapsed="false">
      <c r="A32" s="3" t="s">
        <v>839</v>
      </c>
      <c r="B32" s="10" t="s">
        <v>56</v>
      </c>
      <c r="C32" s="31" t="n">
        <f aca="false">IF(ISNUMBER(輸入與假設!$C$245),輸入與假設!$C$245,"不適用")</f>
        <v>0.8994</v>
      </c>
      <c r="D32" s="31" t="n">
        <f aca="false">IF(ISNUMBER(輸入與假設!$D$245),輸入與假設!$D$245,"不適用")</f>
        <v>1.521</v>
      </c>
      <c r="E32" s="62" t="s">
        <v>803</v>
      </c>
      <c r="F32" s="62" t="s">
        <v>803</v>
      </c>
      <c r="G32" s="62" t="s">
        <v>803</v>
      </c>
      <c r="H32" s="62" t="s">
        <v>803</v>
      </c>
      <c r="J32" s="10" t="s">
        <v>840</v>
      </c>
    </row>
    <row r="33" customFormat="false" ht="15" hidden="true" customHeight="false" outlineLevel="1" collapsed="false">
      <c r="A33" s="3" t="s">
        <v>841</v>
      </c>
      <c r="B33" s="10" t="s">
        <v>56</v>
      </c>
      <c r="C33" s="62" t="n">
        <f aca="false">IF(ISNUMBER(輸入與假設!$C$246),輸入與假設!$C$246,"不適用")</f>
        <v>0.3624</v>
      </c>
      <c r="D33" s="62" t="n">
        <f aca="false">IF(ISNUMBER(輸入與假設!$D$246),輸入與假設!$D$246,"不適用")</f>
        <v>0.74</v>
      </c>
      <c r="E33" s="62" t="s">
        <v>803</v>
      </c>
      <c r="F33" s="62" t="s">
        <v>803</v>
      </c>
      <c r="G33" s="62" t="s">
        <v>803</v>
      </c>
      <c r="H33" s="62" t="s">
        <v>803</v>
      </c>
      <c r="J33" s="10" t="s">
        <v>840</v>
      </c>
    </row>
    <row r="34" customFormat="false" ht="15" hidden="true" customHeight="false" outlineLevel="1" collapsed="false">
      <c r="A34" s="3" t="s">
        <v>842</v>
      </c>
      <c r="B34" s="10" t="s">
        <v>42</v>
      </c>
      <c r="C34" s="30" t="n">
        <f aca="false">IF(AND(ISNUMBER(輸入與假設!$C$246),ISNUMBER(輸入與假設!$C$245)),輸入與假設!$C$246/輸入與假設!$C$245,"不適用")</f>
        <v>0.402935290193462</v>
      </c>
      <c r="D34" s="30" t="n">
        <f aca="false">IF(AND(ISNUMBER(輸入與假設!$D$246),ISNUMBER(輸入與假設!$D$245)),輸入與假設!$D$246/輸入與假設!$D$245,"不適用")</f>
        <v>0.486522024983563</v>
      </c>
      <c r="E34" s="63" t="s">
        <v>803</v>
      </c>
      <c r="F34" s="63" t="s">
        <v>803</v>
      </c>
      <c r="G34" s="63" t="s">
        <v>803</v>
      </c>
      <c r="H34" s="63" t="s">
        <v>803</v>
      </c>
      <c r="J34" s="5" t="s">
        <v>843</v>
      </c>
    </row>
    <row r="35" customFormat="false" ht="15" hidden="true" customHeight="false" outlineLevel="1" collapsed="false">
      <c r="A35" s="3" t="s">
        <v>844</v>
      </c>
      <c r="B35" s="10" t="s">
        <v>56</v>
      </c>
      <c r="C35" s="62" t="n">
        <f aca="false">IF(ISNUMBER(輸入與假設!$C$247),輸入與假設!$C$247,"不適用")</f>
        <v>-0.2239</v>
      </c>
      <c r="D35" s="62" t="n">
        <f aca="false">IF(ISNUMBER(輸入與假設!$D$247),輸入與假設!$D$247,"不適用")</f>
        <v>-0.1615</v>
      </c>
      <c r="E35" s="62" t="s">
        <v>803</v>
      </c>
      <c r="F35" s="62" t="s">
        <v>803</v>
      </c>
      <c r="G35" s="62" t="s">
        <v>803</v>
      </c>
      <c r="H35" s="62" t="s">
        <v>803</v>
      </c>
      <c r="J35" s="5" t="s">
        <v>845</v>
      </c>
    </row>
    <row r="36" customFormat="false" ht="15" hidden="true" customHeight="false" outlineLevel="1" collapsed="false">
      <c r="A36" s="3" t="s">
        <v>846</v>
      </c>
      <c r="B36" s="10" t="s">
        <v>56</v>
      </c>
      <c r="C36" s="40" t="str">
        <f aca="false">IF(ISNUMBER(輸入與假設!C$283),輸入與假設!C$283,"")</f>
        <v/>
      </c>
      <c r="D36" s="40" t="str">
        <f aca="false">IF(ISNUMBER(輸入與假設!D$283),輸入與假設!D$283,"")</f>
        <v/>
      </c>
      <c r="E36" s="40" t="str">
        <f aca="false">IF(ISNUMBER(輸入與假設!E$283),輸入與假設!E$283,"")</f>
        <v/>
      </c>
      <c r="F36" s="40" t="str">
        <f aca="false">IF(ISNUMBER(輸入與假設!F$283),輸入與假設!F$283,"")</f>
        <v/>
      </c>
      <c r="G36" s="40" t="str">
        <f aca="false">IF(ISNUMBER(輸入與假設!G$283),輸入與假設!G$283,"")</f>
        <v/>
      </c>
      <c r="H36" s="40" t="str">
        <f aca="false">IF(ISNUMBER(輸入與假設!H$283),輸入與假設!H$283,"")</f>
        <v/>
      </c>
    </row>
    <row r="37" customFormat="false" ht="15" hidden="true" customHeight="false" outlineLevel="1" collapsed="false">
      <c r="A37" s="3" t="s">
        <v>847</v>
      </c>
      <c r="B37" s="10" t="s">
        <v>56</v>
      </c>
      <c r="C37" s="40" t="str">
        <f aca="false">IF(ISNUMBER(輸入與假設!C$284),輸入與假設!C$284,"")</f>
        <v/>
      </c>
      <c r="D37" s="40" t="str">
        <f aca="false">IF(ISNUMBER(輸入與假設!D$284),輸入與假設!D$284,"")</f>
        <v/>
      </c>
      <c r="E37" s="40" t="str">
        <f aca="false">IF(ISNUMBER(輸入與假設!E$284),輸入與假設!E$284,"")</f>
        <v/>
      </c>
      <c r="F37" s="40" t="str">
        <f aca="false">IF(ISNUMBER(輸入與假設!F$284),輸入與假設!F$284,"")</f>
        <v/>
      </c>
      <c r="G37" s="40" t="str">
        <f aca="false">IF(ISNUMBER(輸入與假設!G$284),輸入與假設!G$284,"")</f>
        <v/>
      </c>
      <c r="H37" s="40" t="str">
        <f aca="false">IF(ISNUMBER(輸入與假設!H$284),輸入與假設!H$284,"")</f>
        <v/>
      </c>
    </row>
    <row r="38" customFormat="false" ht="15" hidden="true" customHeight="false" outlineLevel="1" collapsed="false">
      <c r="A38" s="3" t="s">
        <v>848</v>
      </c>
      <c r="B38" s="10" t="s">
        <v>42</v>
      </c>
      <c r="C38" s="63" t="str">
        <f aca="false">IF(AND(ISNUMBER(輸入與假設!C$284),ISNUMBER(輸入與假設!C$283)),輸入與假設!C$284/輸入與假設!C$283,"")</f>
        <v/>
      </c>
      <c r="D38" s="63" t="str">
        <f aca="false">IF(AND(ISNUMBER(輸入與假設!D$284),ISNUMBER(輸入與假設!D$283)),輸入與假設!D$284/輸入與假設!D$283,"")</f>
        <v/>
      </c>
      <c r="E38" s="63" t="str">
        <f aca="false">IF(AND(ISNUMBER(輸入與假設!E$284),ISNUMBER(輸入與假設!E$283)),輸入與假設!E$284/輸入與假設!E$283,"")</f>
        <v/>
      </c>
      <c r="F38" s="63" t="str">
        <f aca="false">IF(AND(ISNUMBER(輸入與假設!F$284),ISNUMBER(輸入與假設!F$283)),輸入與假設!F$284/輸入與假設!F$283,"")</f>
        <v/>
      </c>
      <c r="G38" s="63" t="str">
        <f aca="false">IF(AND(ISNUMBER(輸入與假設!G$284),ISNUMBER(輸入與假設!G$283)),輸入與假設!G$284/輸入與假設!G$283,"")</f>
        <v/>
      </c>
      <c r="H38" s="63" t="str">
        <f aca="false">IF(AND(ISNUMBER(輸入與假設!H$284),ISNUMBER(輸入與假設!H$283)),輸入與假設!H$284/輸入與假設!H$283,"")</f>
        <v/>
      </c>
      <c r="J38" s="5" t="s">
        <v>849</v>
      </c>
    </row>
    <row r="39" customFormat="false" ht="15" hidden="true" customHeight="false" outlineLevel="1" collapsed="false">
      <c r="A39" s="3" t="s">
        <v>850</v>
      </c>
      <c r="B39" s="10" t="s">
        <v>56</v>
      </c>
      <c r="C39" s="40" t="str">
        <f aca="false">IF(ISNUMBER(輸入與假設!C$285),輸入與假設!C$285,"")</f>
        <v/>
      </c>
      <c r="D39" s="40" t="str">
        <f aca="false">IF(ISNUMBER(輸入與假設!D$285),輸入與假設!D$285,"")</f>
        <v/>
      </c>
      <c r="E39" s="40" t="str">
        <f aca="false">IF(ISNUMBER(輸入與假設!E$285),輸入與假設!E$285,"")</f>
        <v/>
      </c>
      <c r="F39" s="40" t="str">
        <f aca="false">IF(ISNUMBER(輸入與假設!F$285),輸入與假設!F$285,"")</f>
        <v/>
      </c>
      <c r="G39" s="40" t="str">
        <f aca="false">IF(ISNUMBER(輸入與假設!G$285),輸入與假設!G$285,"")</f>
        <v/>
      </c>
      <c r="H39" s="40" t="str">
        <f aca="false">IF(ISNUMBER(輸入與假設!H$285),輸入與假設!H$285,"")</f>
        <v/>
      </c>
    </row>
    <row r="40" customFormat="false" ht="15" hidden="true" customHeight="false" outlineLevel="1" collapsed="false">
      <c r="A40" s="3" t="s">
        <v>851</v>
      </c>
      <c r="B40" s="10" t="s">
        <v>56</v>
      </c>
      <c r="C40" s="40" t="str">
        <f aca="false">IF(ISNUMBER(輸入與假設!C$286),輸入與假設!C$286,"")</f>
        <v/>
      </c>
      <c r="D40" s="40" t="str">
        <f aca="false">IF(ISNUMBER(輸入與假設!D$286),輸入與假設!D$286,"")</f>
        <v/>
      </c>
      <c r="E40" s="40" t="str">
        <f aca="false">IF(ISNUMBER(輸入與假設!E$286),輸入與假設!E$286,"")</f>
        <v/>
      </c>
      <c r="F40" s="40" t="str">
        <f aca="false">IF(ISNUMBER(輸入與假設!F$286),輸入與假設!F$286,"")</f>
        <v/>
      </c>
      <c r="G40" s="40" t="str">
        <f aca="false">IF(ISNUMBER(輸入與假設!G$286),輸入與假設!G$286,"")</f>
        <v/>
      </c>
      <c r="H40" s="40" t="str">
        <f aca="false">IF(ISNUMBER(輸入與假設!H$286),輸入與假設!H$286,"")</f>
        <v/>
      </c>
    </row>
    <row r="41" customFormat="false" ht="15" hidden="true" customHeight="false" outlineLevel="1" collapsed="false">
      <c r="A41" s="3" t="s">
        <v>852</v>
      </c>
      <c r="B41" s="10" t="s">
        <v>143</v>
      </c>
      <c r="C41" s="60" t="str">
        <f aca="false">IF(ISNUMBER(輸入與假設!C$287),輸入與假設!C$287,"")</f>
        <v/>
      </c>
      <c r="D41" s="60" t="str">
        <f aca="false">IF(ISNUMBER(輸入與假設!D$287),輸入與假設!D$287,"")</f>
        <v/>
      </c>
      <c r="E41" s="60" t="str">
        <f aca="false">IF(ISNUMBER(輸入與假設!E$287),輸入與假設!E$287,"")</f>
        <v/>
      </c>
      <c r="F41" s="60" t="str">
        <f aca="false">IF(ISNUMBER(輸入與假設!F$287),輸入與假設!F$287,"")</f>
        <v/>
      </c>
      <c r="G41" s="60" t="str">
        <f aca="false">IF(ISNUMBER(輸入與假設!G$287),輸入與假設!G$287,"")</f>
        <v/>
      </c>
      <c r="H41" s="60" t="str">
        <f aca="false">IF(ISNUMBER(輸入與假設!H$287),輸入與假設!H$287,"")</f>
        <v/>
      </c>
    </row>
    <row r="42" customFormat="false" ht="15" hidden="true" customHeight="false" outlineLevel="1" collapsed="false">
      <c r="A42" s="3" t="s">
        <v>853</v>
      </c>
      <c r="B42" s="10" t="s">
        <v>42</v>
      </c>
      <c r="C42" s="63" t="n">
        <f aca="false">IF(AND(ISNUMBER(C22),ISNUMBER(C32),C32&lt;&gt;0),C22/(C32)-1,"不適用")</f>
        <v>-0.280817051611179</v>
      </c>
      <c r="D42" s="63" t="n">
        <f aca="false">IF(AND(ISNUMBER(D22),ISNUMBER(D32),D32&lt;&gt;0),D22/(D32)-1,"不適用")</f>
        <v>-0.532303558473497</v>
      </c>
      <c r="E42" s="63" t="str">
        <f aca="false">IF(AND(ISNUMBER(E22),ISNUMBER(E32),E32&lt;&gt;0),E22/(E32)-1,"不適用")</f>
        <v>不適用</v>
      </c>
      <c r="F42" s="63" t="str">
        <f aca="false">IF(AND(ISNUMBER(F22),ISNUMBER(F32),F32&lt;&gt;0),F22/(F32)-1,"不適用")</f>
        <v>不適用</v>
      </c>
      <c r="G42" s="63" t="str">
        <f aca="false">IF(AND(ISNUMBER(G22),ISNUMBER(G32),G32&lt;&gt;0),G22/(G32)-1,"不適用")</f>
        <v>不適用</v>
      </c>
      <c r="H42" s="63" t="str">
        <f aca="false">IF(AND(ISNUMBER(H22),ISNUMBER(H32),H32&lt;&gt;0),H22/(H32)-1,"不適用")</f>
        <v>不適用</v>
      </c>
    </row>
    <row r="43" customFormat="false" ht="15" hidden="true" customHeight="false" outlineLevel="1" collapsed="false">
      <c r="A43" s="3" t="s">
        <v>854</v>
      </c>
      <c r="B43" s="10" t="s">
        <v>42</v>
      </c>
      <c r="C43" s="63" t="s">
        <v>803</v>
      </c>
      <c r="D43" s="63" t="s">
        <v>803</v>
      </c>
      <c r="E43" s="63" t="s">
        <v>803</v>
      </c>
      <c r="F43" s="63" t="s">
        <v>803</v>
      </c>
      <c r="G43" s="63" t="s">
        <v>803</v>
      </c>
      <c r="H43" s="63" t="s">
        <v>803</v>
      </c>
    </row>
    <row r="44" customFormat="false" ht="15" hidden="true" customHeight="false" outlineLevel="1" collapsed="false">
      <c r="A44" s="3" t="s">
        <v>855</v>
      </c>
      <c r="B44" s="10" t="s">
        <v>42</v>
      </c>
      <c r="C44" s="63" t="str">
        <f aca="false">IF(ISNUMBER(C36),IF(AND(ISNUMBER(C22),C22&lt;&gt;0),C36/(C22)-1,"不適用"),"")</f>
        <v/>
      </c>
      <c r="D44" s="63" t="str">
        <f aca="false">IF(ISNUMBER(D36),IF(AND(ISNUMBER(D22),D22&lt;&gt;0),D36/(D22)-1,"不適用"),"")</f>
        <v/>
      </c>
      <c r="E44" s="63" t="str">
        <f aca="false">IF(ISNUMBER(E36),IF(AND(ISNUMBER(E22),E22&lt;&gt;0),E36/(E22)-1,"不適用"),"")</f>
        <v/>
      </c>
      <c r="F44" s="63" t="str">
        <f aca="false">IF(ISNUMBER(F36),IF(AND(ISNUMBER(F22),F22&lt;&gt;0),F36/(F22)-1,"不適用"),"")</f>
        <v/>
      </c>
      <c r="G44" s="63" t="str">
        <f aca="false">IF(ISNUMBER(G36),IF(AND(ISNUMBER(G22),G22&lt;&gt;0),G36/(G22)-1,"不適用"),"")</f>
        <v/>
      </c>
      <c r="H44" s="63" t="str">
        <f aca="false">IF(ISNUMBER(H36),IF(AND(ISNUMBER(H22),H22&lt;&gt;0),H36/(H22)-1,"不適用"),"")</f>
        <v/>
      </c>
    </row>
    <row r="45" customFormat="false" ht="15" hidden="true" customHeight="false" outlineLevel="1" collapsed="false">
      <c r="A45" s="3" t="s">
        <v>856</v>
      </c>
      <c r="B45" s="10" t="s">
        <v>42</v>
      </c>
      <c r="C45" s="63" t="str">
        <f aca="false">IF(ISNUMBER(C36),IF(AND(ISNUMBER(C32),C32&lt;&gt;0),C36/(C32)-1,"不適用"),"")</f>
        <v/>
      </c>
      <c r="D45" s="63" t="str">
        <f aca="false">IF(ISNUMBER(D36),IF(AND(ISNUMBER(D32),D32&lt;&gt;0),D36/(D32)-1,"不適用"),"")</f>
        <v/>
      </c>
      <c r="E45" s="63" t="str">
        <f aca="false">IF(ISNUMBER(E36),IF(AND(ISNUMBER(E32),E32&lt;&gt;0),E36/(E32)-1,"不適用"),"")</f>
        <v/>
      </c>
      <c r="F45" s="63" t="str">
        <f aca="false">IF(ISNUMBER(F36),IF(AND(ISNUMBER(F32),F32&lt;&gt;0),F36/(F32)-1,"不適用"),"")</f>
        <v/>
      </c>
      <c r="G45" s="63" t="str">
        <f aca="false">IF(ISNUMBER(G36),IF(AND(ISNUMBER(G32),G32&lt;&gt;0),G36/(G32)-1,"不適用"),"")</f>
        <v/>
      </c>
      <c r="H45" s="63" t="str">
        <f aca="false">IF(ISNUMBER(H36),IF(AND(ISNUMBER(H32),H32&lt;&gt;0),H36/(H32)-1,"不適用"),"")</f>
        <v/>
      </c>
    </row>
    <row r="46" customFormat="false" ht="15" hidden="true" customHeight="false" outlineLevel="1" collapsed="false">
      <c r="A46" s="3" t="s">
        <v>857</v>
      </c>
      <c r="B46" s="10" t="s">
        <v>42</v>
      </c>
      <c r="C46" s="63" t="str">
        <f aca="false">IF(ISNUMBER(C36),"不適用","")</f>
        <v/>
      </c>
      <c r="D46" s="63" t="str">
        <f aca="false">IF(ISNUMBER(D36),"不適用","")</f>
        <v/>
      </c>
      <c r="E46" s="63" t="str">
        <f aca="false">IF(ISNUMBER(E36),"不適用","")</f>
        <v/>
      </c>
      <c r="F46" s="63" t="str">
        <f aca="false">IF(ISNUMBER(F36),"不適用","")</f>
        <v/>
      </c>
      <c r="G46" s="63" t="str">
        <f aca="false">IF(ISNUMBER(G36),"不適用","")</f>
        <v/>
      </c>
      <c r="H46" s="63" t="str">
        <f aca="false">IF(ISNUMBER(H36),"不適用","")</f>
        <v/>
      </c>
    </row>
    <row r="47" customFormat="false" ht="15" hidden="true" customHeight="false" outlineLevel="1" collapsed="false">
      <c r="A47" s="3" t="s">
        <v>858</v>
      </c>
      <c r="B47" s="10" t="s">
        <v>56</v>
      </c>
      <c r="C47" s="62" t="n">
        <f aca="false">IF(AND(ISNUMBER(C28),ISNUMBER(C33)),C28-(C33),"不適用")</f>
        <v>-0.0897280079801532</v>
      </c>
      <c r="D47" s="62" t="n">
        <f aca="false">IF(AND(ISNUMBER(D28),ISNUMBER(D33)),D28-(D33),"不適用")</f>
        <v>-0.431646874642516</v>
      </c>
      <c r="E47" s="62" t="str">
        <f aca="false">IF(AND(ISNUMBER(E28),ISNUMBER(E33)),E28-(E33),"不適用")</f>
        <v>不適用</v>
      </c>
      <c r="F47" s="62" t="str">
        <f aca="false">IF(AND(ISNUMBER(F28),ISNUMBER(F33)),F28-(F33),"不適用")</f>
        <v>不適用</v>
      </c>
      <c r="G47" s="62" t="str">
        <f aca="false">IF(AND(ISNUMBER(G28),ISNUMBER(G33)),G28-(G33),"不適用")</f>
        <v>不適用</v>
      </c>
      <c r="H47" s="62" t="str">
        <f aca="false">IF(AND(ISNUMBER(H28),ISNUMBER(H33)),H28-(H33),"不適用")</f>
        <v>不適用</v>
      </c>
    </row>
    <row r="48" customFormat="false" ht="15" hidden="true" customHeight="false" outlineLevel="1" collapsed="false">
      <c r="A48" s="3" t="s">
        <v>859</v>
      </c>
      <c r="B48" s="10" t="s">
        <v>56</v>
      </c>
      <c r="C48" s="62" t="s">
        <v>803</v>
      </c>
      <c r="D48" s="62" t="s">
        <v>803</v>
      </c>
      <c r="E48" s="62" t="s">
        <v>803</v>
      </c>
      <c r="F48" s="62" t="s">
        <v>803</v>
      </c>
      <c r="G48" s="62" t="s">
        <v>803</v>
      </c>
      <c r="H48" s="62" t="s">
        <v>803</v>
      </c>
    </row>
    <row r="49" customFormat="false" ht="15" hidden="true" customHeight="false" outlineLevel="1" collapsed="false">
      <c r="A49" s="3" t="s">
        <v>860</v>
      </c>
      <c r="B49" s="10" t="s">
        <v>56</v>
      </c>
      <c r="C49" s="62" t="str">
        <f aca="false">IF(ISNUMBER(C37),IF(AND(ISNUMBER(C28)),C37-(C28),"不適用"),"")</f>
        <v/>
      </c>
      <c r="D49" s="62" t="str">
        <f aca="false">IF(ISNUMBER(D37),IF(AND(ISNUMBER(D28)),D37-(D28),"不適用"),"")</f>
        <v/>
      </c>
      <c r="E49" s="62" t="str">
        <f aca="false">IF(ISNUMBER(E37),IF(AND(ISNUMBER(E28)),E37-(E28),"不適用"),"")</f>
        <v/>
      </c>
      <c r="F49" s="62" t="str">
        <f aca="false">IF(ISNUMBER(F37),IF(AND(ISNUMBER(F28)),F37-(F28),"不適用"),"")</f>
        <v/>
      </c>
      <c r="G49" s="62" t="str">
        <f aca="false">IF(ISNUMBER(G37),IF(AND(ISNUMBER(G28)),G37-(G28),"不適用"),"")</f>
        <v/>
      </c>
      <c r="H49" s="62" t="str">
        <f aca="false">IF(ISNUMBER(H37),IF(AND(ISNUMBER(H28)),H37-(H28),"不適用"),"")</f>
        <v/>
      </c>
    </row>
    <row r="50" customFormat="false" ht="15" hidden="true" customHeight="false" outlineLevel="1" collapsed="false">
      <c r="A50" s="3" t="s">
        <v>861</v>
      </c>
      <c r="B50" s="10" t="s">
        <v>56</v>
      </c>
      <c r="C50" s="62" t="str">
        <f aca="false">IF(ISNUMBER(C37),IF(AND(ISNUMBER(C33)),C37-(C33),"不適用"),"")</f>
        <v/>
      </c>
      <c r="D50" s="62" t="str">
        <f aca="false">IF(ISNUMBER(D37),IF(AND(ISNUMBER(D33)),D37-(D33),"不適用"),"")</f>
        <v/>
      </c>
      <c r="E50" s="62" t="str">
        <f aca="false">IF(ISNUMBER(E37),IF(AND(ISNUMBER(E33)),E37-(E33),"不適用"),"")</f>
        <v/>
      </c>
      <c r="F50" s="62" t="str">
        <f aca="false">IF(ISNUMBER(F37),IF(AND(ISNUMBER(F33)),F37-(F33),"不適用"),"")</f>
        <v/>
      </c>
      <c r="G50" s="62" t="str">
        <f aca="false">IF(ISNUMBER(G37),IF(AND(ISNUMBER(G33)),G37-(G33),"不適用"),"")</f>
        <v/>
      </c>
      <c r="H50" s="62" t="str">
        <f aca="false">IF(ISNUMBER(H37),IF(AND(ISNUMBER(H33)),H37-(H33),"不適用"),"")</f>
        <v/>
      </c>
    </row>
    <row r="51" customFormat="false" ht="15" hidden="true" customHeight="false" outlineLevel="1" collapsed="false">
      <c r="A51" s="3" t="s">
        <v>862</v>
      </c>
      <c r="B51" s="10" t="s">
        <v>56</v>
      </c>
      <c r="C51" s="62" t="str">
        <f aca="false">IF(ISNUMBER(C37),"不適用","")</f>
        <v/>
      </c>
      <c r="D51" s="62" t="str">
        <f aca="false">IF(ISNUMBER(D37),"不適用","")</f>
        <v/>
      </c>
      <c r="E51" s="62" t="str">
        <f aca="false">IF(ISNUMBER(E37),"不適用","")</f>
        <v/>
      </c>
      <c r="F51" s="62" t="str">
        <f aca="false">IF(ISNUMBER(F37),"不適用","")</f>
        <v/>
      </c>
      <c r="G51" s="62" t="str">
        <f aca="false">IF(ISNUMBER(G37),"不適用","")</f>
        <v/>
      </c>
      <c r="H51" s="62" t="str">
        <f aca="false">IF(ISNUMBER(H37),"不適用","")</f>
        <v/>
      </c>
    </row>
    <row r="52" customFormat="false" ht="15" hidden="true" customHeight="false" outlineLevel="1" collapsed="false">
      <c r="A52" s="3" t="s">
        <v>863</v>
      </c>
      <c r="B52" s="10" t="s">
        <v>68</v>
      </c>
      <c r="C52" s="63" t="n">
        <f aca="false">IF(AND(ISNUMBER(C28),ISNUMBER(C22),C22&lt;&gt;0,ISNUMBER(C33),ISNUMBER(C32),C32&lt;&gt;0),C28/C22-C33/C32,"不適用")</f>
        <v>0.0186139062902073</v>
      </c>
      <c r="D52" s="63" t="n">
        <f aca="false">IF(AND(ISNUMBER(D28),ISNUMBER(D22),D22&lt;&gt;0,ISNUMBER(D33),ISNUMBER(D32),D32&lt;&gt;0),D28/D22-D33/D32,"不適用")</f>
        <v>-0.0530559882187969</v>
      </c>
      <c r="E52" s="63" t="str">
        <f aca="false">IF(AND(ISNUMBER(E28),ISNUMBER(E22),E22&lt;&gt;0,ISNUMBER(E33),ISNUMBER(E32),E32&lt;&gt;0),E28/E22-E33/E32,"不適用")</f>
        <v>不適用</v>
      </c>
      <c r="F52" s="63" t="str">
        <f aca="false">IF(AND(ISNUMBER(F28),ISNUMBER(F22),F22&lt;&gt;0,ISNUMBER(F33),ISNUMBER(F32),F32&lt;&gt;0),F28/F22-F33/F32,"不適用")</f>
        <v>不適用</v>
      </c>
      <c r="G52" s="63" t="str">
        <f aca="false">IF(AND(ISNUMBER(G28),ISNUMBER(G22),G22&lt;&gt;0,ISNUMBER(G33),ISNUMBER(G32),G32&lt;&gt;0),G28/G22-G33/G32,"不適用")</f>
        <v>不適用</v>
      </c>
      <c r="H52" s="63" t="str">
        <f aca="false">IF(AND(ISNUMBER(H28),ISNUMBER(H22),H22&lt;&gt;0,ISNUMBER(H33),ISNUMBER(H32),H32&lt;&gt;0),H28/H22-H33/H32,"不適用")</f>
        <v>不適用</v>
      </c>
    </row>
    <row r="53" customFormat="false" ht="15" hidden="true" customHeight="false" outlineLevel="1" collapsed="false">
      <c r="A53" s="3" t="s">
        <v>864</v>
      </c>
      <c r="B53" s="10" t="s">
        <v>68</v>
      </c>
      <c r="C53" s="63" t="s">
        <v>803</v>
      </c>
      <c r="D53" s="63" t="s">
        <v>803</v>
      </c>
      <c r="E53" s="63" t="s">
        <v>803</v>
      </c>
      <c r="F53" s="63" t="s">
        <v>803</v>
      </c>
      <c r="G53" s="63" t="s">
        <v>803</v>
      </c>
      <c r="H53" s="63" t="s">
        <v>803</v>
      </c>
    </row>
    <row r="54" customFormat="false" ht="15" hidden="true" customHeight="false" outlineLevel="1" collapsed="false">
      <c r="A54" s="3" t="s">
        <v>865</v>
      </c>
      <c r="B54" s="10" t="s">
        <v>68</v>
      </c>
      <c r="C54" s="63" t="str">
        <f aca="false">IF(ISNUMBER(C37),IF(AND(ISNUMBER(C37),ISNUMBER(C36),C36&lt;&gt;0,ISNUMBER(C28),ISNUMBER(C22),C22&lt;&gt;0),C37/C36-C28/C22,"不適用"),"")</f>
        <v/>
      </c>
      <c r="D54" s="63" t="str">
        <f aca="false">IF(ISNUMBER(D37),IF(AND(ISNUMBER(D37),ISNUMBER(D36),D36&lt;&gt;0,ISNUMBER(D28),ISNUMBER(D22),D22&lt;&gt;0),D37/D36-D28/D22,"不適用"),"")</f>
        <v/>
      </c>
      <c r="E54" s="63" t="str">
        <f aca="false">IF(ISNUMBER(E37),IF(AND(ISNUMBER(E37),ISNUMBER(E36),E36&lt;&gt;0,ISNUMBER(E28),ISNUMBER(E22),E22&lt;&gt;0),E37/E36-E28/E22,"不適用"),"")</f>
        <v/>
      </c>
      <c r="F54" s="63" t="str">
        <f aca="false">IF(ISNUMBER(F37),IF(AND(ISNUMBER(F37),ISNUMBER(F36),F36&lt;&gt;0,ISNUMBER(F28),ISNUMBER(F22),F22&lt;&gt;0),F37/F36-F28/F22,"不適用"),"")</f>
        <v/>
      </c>
      <c r="G54" s="63" t="str">
        <f aca="false">IF(ISNUMBER(G37),IF(AND(ISNUMBER(G37),ISNUMBER(G36),G36&lt;&gt;0,ISNUMBER(G28),ISNUMBER(G22),G22&lt;&gt;0),G37/G36-G28/G22,"不適用"),"")</f>
        <v/>
      </c>
      <c r="H54" s="63" t="str">
        <f aca="false">IF(ISNUMBER(H37),IF(AND(ISNUMBER(H37),ISNUMBER(H36),H36&lt;&gt;0,ISNUMBER(H28),ISNUMBER(H22),H22&lt;&gt;0),H37/H36-H28/H22,"不適用"),"")</f>
        <v/>
      </c>
    </row>
    <row r="55" customFormat="false" ht="15" hidden="true" customHeight="false" outlineLevel="1" collapsed="false">
      <c r="A55" s="3" t="s">
        <v>866</v>
      </c>
      <c r="B55" s="10" t="s">
        <v>68</v>
      </c>
      <c r="C55" s="63" t="str">
        <f aca="false">IF(ISNUMBER(C37),IF(AND(ISNUMBER(C37),ISNUMBER(C36),C36&lt;&gt;0,ISNUMBER(C33),ISNUMBER(C32),C32&lt;&gt;0),C37/C36-C33/C32,"不適用"),"")</f>
        <v/>
      </c>
      <c r="D55" s="63" t="str">
        <f aca="false">IF(ISNUMBER(D37),IF(AND(ISNUMBER(D37),ISNUMBER(D36),D36&lt;&gt;0,ISNUMBER(D33),ISNUMBER(D32),D32&lt;&gt;0),D37/D36-D33/D32,"不適用"),"")</f>
        <v/>
      </c>
      <c r="E55" s="63" t="str">
        <f aca="false">IF(ISNUMBER(E37),IF(AND(ISNUMBER(E37),ISNUMBER(E36),E36&lt;&gt;0,ISNUMBER(E33),ISNUMBER(E32),E32&lt;&gt;0),E37/E36-E33/E32,"不適用"),"")</f>
        <v/>
      </c>
      <c r="F55" s="63" t="str">
        <f aca="false">IF(ISNUMBER(F37),IF(AND(ISNUMBER(F37),ISNUMBER(F36),F36&lt;&gt;0,ISNUMBER(F33),ISNUMBER(F32),F32&lt;&gt;0),F37/F36-F33/F32,"不適用"),"")</f>
        <v/>
      </c>
      <c r="G55" s="63" t="str">
        <f aca="false">IF(ISNUMBER(G37),IF(AND(ISNUMBER(G37),ISNUMBER(G36),G36&lt;&gt;0,ISNUMBER(G33),ISNUMBER(G32),G32&lt;&gt;0),G37/G36-G33/G32,"不適用"),"")</f>
        <v/>
      </c>
      <c r="H55" s="63" t="str">
        <f aca="false">IF(ISNUMBER(H37),IF(AND(ISNUMBER(H37),ISNUMBER(H36),H36&lt;&gt;0,ISNUMBER(H33),ISNUMBER(H32),H32&lt;&gt;0),H37/H36-H33/H32,"不適用"),"")</f>
        <v/>
      </c>
    </row>
    <row r="56" customFormat="false" ht="15" hidden="true" customHeight="false" outlineLevel="1" collapsed="false">
      <c r="A56" s="3" t="s">
        <v>867</v>
      </c>
      <c r="B56" s="10" t="s">
        <v>68</v>
      </c>
      <c r="C56" s="63" t="str">
        <f aca="false">IF(ISNUMBER(C37),"不適用","")</f>
        <v/>
      </c>
      <c r="D56" s="63" t="str">
        <f aca="false">IF(ISNUMBER(D37),"不適用","")</f>
        <v/>
      </c>
      <c r="E56" s="63" t="str">
        <f aca="false">IF(ISNUMBER(E37),"不適用","")</f>
        <v/>
      </c>
      <c r="F56" s="63" t="str">
        <f aca="false">IF(ISNUMBER(F37),"不適用","")</f>
        <v/>
      </c>
      <c r="G56" s="63" t="str">
        <f aca="false">IF(ISNUMBER(G37),"不適用","")</f>
        <v/>
      </c>
      <c r="H56" s="63" t="str">
        <f aca="false">IF(ISNUMBER(H37),"不適用","")</f>
        <v/>
      </c>
    </row>
    <row r="57" customFormat="false" ht="15" hidden="true" customHeight="false" outlineLevel="1" collapsed="false">
      <c r="A57" s="3" t="s">
        <v>868</v>
      </c>
      <c r="B57" s="10" t="s">
        <v>68</v>
      </c>
      <c r="C57" s="63" t="n">
        <f aca="false">IF(AND(ISNUMBER(C27),ISNUMBER(C34)),C27-(C34),"不適用")</f>
        <v>0.0186139062902073</v>
      </c>
      <c r="D57" s="63" t="n">
        <f aca="false">IF(AND(ISNUMBER(D27),ISNUMBER(D34)),D27-(D34),"不適用")</f>
        <v>-0.0530559882187969</v>
      </c>
      <c r="E57" s="63" t="str">
        <f aca="false">IF(AND(ISNUMBER(E27),ISNUMBER(E34)),E27-(E34),"不適用")</f>
        <v>不適用</v>
      </c>
      <c r="F57" s="63" t="str">
        <f aca="false">IF(AND(ISNUMBER(F27),ISNUMBER(F34)),F27-(F34),"不適用")</f>
        <v>不適用</v>
      </c>
      <c r="G57" s="63" t="str">
        <f aca="false">IF(AND(ISNUMBER(G27),ISNUMBER(G34)),G27-(G34),"不適用")</f>
        <v>不適用</v>
      </c>
      <c r="H57" s="63" t="str">
        <f aca="false">IF(AND(ISNUMBER(H27),ISNUMBER(H34)),H27-(H34),"不適用")</f>
        <v>不適用</v>
      </c>
    </row>
    <row r="58" customFormat="false" ht="15" hidden="true" customHeight="false" outlineLevel="1" collapsed="false">
      <c r="A58" s="3" t="s">
        <v>869</v>
      </c>
      <c r="B58" s="10" t="s">
        <v>68</v>
      </c>
      <c r="C58" s="63" t="s">
        <v>803</v>
      </c>
      <c r="D58" s="63" t="s">
        <v>803</v>
      </c>
      <c r="E58" s="63" t="s">
        <v>803</v>
      </c>
      <c r="F58" s="63" t="s">
        <v>803</v>
      </c>
      <c r="G58" s="63" t="s">
        <v>803</v>
      </c>
      <c r="H58" s="63" t="s">
        <v>803</v>
      </c>
    </row>
    <row r="59" customFormat="false" ht="15" hidden="true" customHeight="false" outlineLevel="1" collapsed="false">
      <c r="A59" s="3" t="s">
        <v>870</v>
      </c>
      <c r="B59" s="10" t="s">
        <v>68</v>
      </c>
      <c r="C59" s="63" t="str">
        <f aca="false">IF(ISNUMBER(C38),IF(AND(ISNUMBER(C27)),C38-(C27),"不適用"),"")</f>
        <v/>
      </c>
      <c r="D59" s="63" t="str">
        <f aca="false">IF(ISNUMBER(D38),IF(AND(ISNUMBER(D27)),D38-(D27),"不適用"),"")</f>
        <v/>
      </c>
      <c r="E59" s="63" t="str">
        <f aca="false">IF(ISNUMBER(E38),IF(AND(ISNUMBER(E27)),E38-(E27),"不適用"),"")</f>
        <v/>
      </c>
      <c r="F59" s="63" t="str">
        <f aca="false">IF(ISNUMBER(F38),IF(AND(ISNUMBER(F27)),F38-(F27),"不適用"),"")</f>
        <v/>
      </c>
      <c r="G59" s="63" t="str">
        <f aca="false">IF(ISNUMBER(G38),IF(AND(ISNUMBER(G27)),G38-(G27),"不適用"),"")</f>
        <v/>
      </c>
      <c r="H59" s="63" t="str">
        <f aca="false">IF(ISNUMBER(H38),IF(AND(ISNUMBER(H27)),H38-(H27),"不適用"),"")</f>
        <v/>
      </c>
    </row>
    <row r="60" customFormat="false" ht="15" hidden="true" customHeight="false" outlineLevel="1" collapsed="false">
      <c r="A60" s="3" t="s">
        <v>871</v>
      </c>
      <c r="B60" s="10" t="s">
        <v>68</v>
      </c>
      <c r="C60" s="63" t="str">
        <f aca="false">IF(ISNUMBER(C38),IF(AND(ISNUMBER(C34)),C38-(C34),"不適用"),"")</f>
        <v/>
      </c>
      <c r="D60" s="63" t="str">
        <f aca="false">IF(ISNUMBER(D38),IF(AND(ISNUMBER(D34)),D38-(D34),"不適用"),"")</f>
        <v/>
      </c>
      <c r="E60" s="63" t="str">
        <f aca="false">IF(ISNUMBER(E38),IF(AND(ISNUMBER(E34)),E38-(E34),"不適用"),"")</f>
        <v/>
      </c>
      <c r="F60" s="63" t="str">
        <f aca="false">IF(ISNUMBER(F38),IF(AND(ISNUMBER(F34)),F38-(F34),"不適用"),"")</f>
        <v/>
      </c>
      <c r="G60" s="63" t="str">
        <f aca="false">IF(ISNUMBER(G38),IF(AND(ISNUMBER(G34)),G38-(G34),"不適用"),"")</f>
        <v/>
      </c>
      <c r="H60" s="63" t="str">
        <f aca="false">IF(ISNUMBER(H38),IF(AND(ISNUMBER(H34)),H38-(H34),"不適用"),"")</f>
        <v/>
      </c>
    </row>
    <row r="61" customFormat="false" ht="15" hidden="true" customHeight="false" outlineLevel="1" collapsed="false">
      <c r="A61" s="3" t="s">
        <v>872</v>
      </c>
      <c r="B61" s="10" t="s">
        <v>68</v>
      </c>
      <c r="C61" s="63" t="str">
        <f aca="false">IF(ISNUMBER(C38),"不適用","")</f>
        <v/>
      </c>
      <c r="D61" s="63" t="str">
        <f aca="false">IF(ISNUMBER(D38),"不適用","")</f>
        <v/>
      </c>
      <c r="E61" s="63" t="str">
        <f aca="false">IF(ISNUMBER(E38),"不適用","")</f>
        <v/>
      </c>
      <c r="F61" s="63" t="str">
        <f aca="false">IF(ISNUMBER(F38),"不適用","")</f>
        <v/>
      </c>
      <c r="G61" s="63" t="str">
        <f aca="false">IF(ISNUMBER(G38),"不適用","")</f>
        <v/>
      </c>
      <c r="H61" s="63" t="str">
        <f aca="false">IF(ISNUMBER(H38),"不適用","")</f>
        <v/>
      </c>
    </row>
    <row r="62" customFormat="false" ht="15" hidden="true" customHeight="false" outlineLevel="1" collapsed="false">
      <c r="A62" s="3" t="s">
        <v>873</v>
      </c>
      <c r="B62" s="10" t="s">
        <v>56</v>
      </c>
      <c r="C62" s="62" t="s">
        <v>803</v>
      </c>
      <c r="D62" s="62" t="s">
        <v>803</v>
      </c>
      <c r="E62" s="62" t="s">
        <v>803</v>
      </c>
      <c r="F62" s="62" t="s">
        <v>803</v>
      </c>
      <c r="G62" s="62" t="s">
        <v>803</v>
      </c>
      <c r="H62" s="62" t="s">
        <v>803</v>
      </c>
    </row>
    <row r="63" customFormat="false" ht="15" hidden="true" customHeight="false" outlineLevel="1" collapsed="false">
      <c r="A63" s="3" t="s">
        <v>874</v>
      </c>
      <c r="B63" s="10" t="s">
        <v>56</v>
      </c>
      <c r="C63" s="62" t="s">
        <v>803</v>
      </c>
      <c r="D63" s="62" t="s">
        <v>803</v>
      </c>
      <c r="E63" s="62" t="s">
        <v>803</v>
      </c>
      <c r="F63" s="62" t="s">
        <v>803</v>
      </c>
      <c r="G63" s="62" t="s">
        <v>803</v>
      </c>
      <c r="H63" s="62" t="s">
        <v>803</v>
      </c>
    </row>
    <row r="64" customFormat="false" ht="15" hidden="true" customHeight="false" outlineLevel="1" collapsed="false">
      <c r="A64" s="3" t="s">
        <v>875</v>
      </c>
      <c r="B64" s="10" t="s">
        <v>56</v>
      </c>
      <c r="C64" s="62" t="str">
        <f aca="false">IF(ISNUMBER(C39),IF(AND(ISNUMBER(C30)),C39-(C30),"不適用"),"")</f>
        <v/>
      </c>
      <c r="D64" s="62" t="str">
        <f aca="false">IF(ISNUMBER(D39),IF(AND(ISNUMBER(D30)),D39-(D30),"不適用"),"")</f>
        <v/>
      </c>
      <c r="E64" s="62" t="str">
        <f aca="false">IF(ISNUMBER(E39),IF(AND(ISNUMBER(E30)),E39-(E30),"不適用"),"")</f>
        <v/>
      </c>
      <c r="F64" s="62" t="str">
        <f aca="false">IF(ISNUMBER(F39),IF(AND(ISNUMBER(F30)),F39-(F30),"不適用"),"")</f>
        <v/>
      </c>
      <c r="G64" s="62" t="str">
        <f aca="false">IF(ISNUMBER(G39),IF(AND(ISNUMBER(G30)),G39-(G30),"不適用"),"")</f>
        <v/>
      </c>
      <c r="H64" s="62" t="str">
        <f aca="false">IF(ISNUMBER(H39),IF(AND(ISNUMBER(H30)),H39-(H30),"不適用"),"")</f>
        <v/>
      </c>
    </row>
    <row r="65" customFormat="false" ht="15" hidden="true" customHeight="false" outlineLevel="1" collapsed="false">
      <c r="A65" s="3" t="s">
        <v>876</v>
      </c>
      <c r="B65" s="10" t="s">
        <v>56</v>
      </c>
      <c r="C65" s="62" t="str">
        <f aca="false">IF(ISNUMBER(C39),"不適用","")</f>
        <v/>
      </c>
      <c r="D65" s="62" t="str">
        <f aca="false">IF(ISNUMBER(D39),"不適用","")</f>
        <v/>
      </c>
      <c r="E65" s="62" t="str">
        <f aca="false">IF(ISNUMBER(E39),"不適用","")</f>
        <v/>
      </c>
      <c r="F65" s="62" t="str">
        <f aca="false">IF(ISNUMBER(F39),"不適用","")</f>
        <v/>
      </c>
      <c r="G65" s="62" t="str">
        <f aca="false">IF(ISNUMBER(G39),"不適用","")</f>
        <v/>
      </c>
      <c r="H65" s="62" t="str">
        <f aca="false">IF(ISNUMBER(H39),"不適用","")</f>
        <v/>
      </c>
    </row>
    <row r="66" customFormat="false" ht="15" hidden="true" customHeight="false" outlineLevel="1" collapsed="false">
      <c r="A66" s="3" t="s">
        <v>877</v>
      </c>
      <c r="B66" s="10" t="s">
        <v>56</v>
      </c>
      <c r="C66" s="62" t="str">
        <f aca="false">IF(ISNUMBER(C39),"不適用","")</f>
        <v/>
      </c>
      <c r="D66" s="62" t="str">
        <f aca="false">IF(ISNUMBER(D39),"不適用","")</f>
        <v/>
      </c>
      <c r="E66" s="62" t="str">
        <f aca="false">IF(ISNUMBER(E39),"不適用","")</f>
        <v/>
      </c>
      <c r="F66" s="62" t="str">
        <f aca="false">IF(ISNUMBER(F39),"不適用","")</f>
        <v/>
      </c>
      <c r="G66" s="62" t="str">
        <f aca="false">IF(ISNUMBER(G39),"不適用","")</f>
        <v/>
      </c>
      <c r="H66" s="62" t="str">
        <f aca="false">IF(ISNUMBER(H39),"不適用","")</f>
        <v/>
      </c>
    </row>
    <row r="67" customFormat="false" ht="15" hidden="true" customHeight="false" outlineLevel="1" collapsed="false">
      <c r="A67" s="3" t="s">
        <v>878</v>
      </c>
      <c r="B67" s="10" t="s">
        <v>68</v>
      </c>
      <c r="C67" s="63" t="s">
        <v>803</v>
      </c>
      <c r="D67" s="63" t="s">
        <v>803</v>
      </c>
      <c r="E67" s="63" t="s">
        <v>803</v>
      </c>
      <c r="F67" s="63" t="s">
        <v>803</v>
      </c>
      <c r="G67" s="63" t="s">
        <v>803</v>
      </c>
      <c r="H67" s="63" t="s">
        <v>803</v>
      </c>
    </row>
    <row r="68" customFormat="false" ht="15" hidden="true" customHeight="false" outlineLevel="1" collapsed="false">
      <c r="A68" s="3" t="s">
        <v>879</v>
      </c>
      <c r="B68" s="10" t="s">
        <v>68</v>
      </c>
      <c r="C68" s="63" t="s">
        <v>803</v>
      </c>
      <c r="D68" s="63" t="s">
        <v>803</v>
      </c>
      <c r="E68" s="63" t="s">
        <v>803</v>
      </c>
      <c r="F68" s="63" t="s">
        <v>803</v>
      </c>
      <c r="G68" s="63" t="s">
        <v>803</v>
      </c>
      <c r="H68" s="63" t="s">
        <v>803</v>
      </c>
    </row>
    <row r="69" customFormat="false" ht="15" hidden="true" customHeight="false" outlineLevel="1" collapsed="false">
      <c r="A69" s="3" t="s">
        <v>880</v>
      </c>
      <c r="B69" s="10" t="s">
        <v>68</v>
      </c>
      <c r="C69" s="63" t="str">
        <f aca="false">IF(ISNUMBER(C39),IF(AND(ISNUMBER(C39),ISNUMBER(C36),C36&lt;&gt;0,ISNUMBER(C30),ISNUMBER(C22),C22&lt;&gt;0),C39/C36-C30/C22,"不適用"),"")</f>
        <v/>
      </c>
      <c r="D69" s="63" t="str">
        <f aca="false">IF(ISNUMBER(D39),IF(AND(ISNUMBER(D39),ISNUMBER(D36),D36&lt;&gt;0,ISNUMBER(D30),ISNUMBER(D22),D22&lt;&gt;0),D39/D36-D30/D22,"不適用"),"")</f>
        <v/>
      </c>
      <c r="E69" s="63" t="str">
        <f aca="false">IF(ISNUMBER(E39),IF(AND(ISNUMBER(E39),ISNUMBER(E36),E36&lt;&gt;0,ISNUMBER(E30),ISNUMBER(E22),E22&lt;&gt;0),E39/E36-E30/E22,"不適用"),"")</f>
        <v/>
      </c>
      <c r="F69" s="63" t="str">
        <f aca="false">IF(ISNUMBER(F39),IF(AND(ISNUMBER(F39),ISNUMBER(F36),F36&lt;&gt;0,ISNUMBER(F30),ISNUMBER(F22),F22&lt;&gt;0),F39/F36-F30/F22,"不適用"),"")</f>
        <v/>
      </c>
      <c r="G69" s="63" t="str">
        <f aca="false">IF(ISNUMBER(G39),IF(AND(ISNUMBER(G39),ISNUMBER(G36),G36&lt;&gt;0,ISNUMBER(G30),ISNUMBER(G22),G22&lt;&gt;0),G39/G36-G30/G22,"不適用"),"")</f>
        <v/>
      </c>
      <c r="H69" s="63" t="str">
        <f aca="false">IF(ISNUMBER(H39),IF(AND(ISNUMBER(H39),ISNUMBER(H36),H36&lt;&gt;0,ISNUMBER(H30),ISNUMBER(H22),H22&lt;&gt;0),H39/H36-H30/H22,"不適用"),"")</f>
        <v/>
      </c>
    </row>
    <row r="70" customFormat="false" ht="15" hidden="true" customHeight="false" outlineLevel="1" collapsed="false">
      <c r="A70" s="3" t="s">
        <v>881</v>
      </c>
      <c r="B70" s="10" t="s">
        <v>68</v>
      </c>
      <c r="C70" s="63" t="str">
        <f aca="false">IF(ISNUMBER(C39),"不適用","")</f>
        <v/>
      </c>
      <c r="D70" s="63" t="str">
        <f aca="false">IF(ISNUMBER(D39),"不適用","")</f>
        <v/>
      </c>
      <c r="E70" s="63" t="str">
        <f aca="false">IF(ISNUMBER(E39),"不適用","")</f>
        <v/>
      </c>
      <c r="F70" s="63" t="str">
        <f aca="false">IF(ISNUMBER(F39),"不適用","")</f>
        <v/>
      </c>
      <c r="G70" s="63" t="str">
        <f aca="false">IF(ISNUMBER(G39),"不適用","")</f>
        <v/>
      </c>
      <c r="H70" s="63" t="str">
        <f aca="false">IF(ISNUMBER(H39),"不適用","")</f>
        <v/>
      </c>
    </row>
    <row r="71" customFormat="false" ht="15" hidden="true" customHeight="false" outlineLevel="1" collapsed="false">
      <c r="A71" s="3" t="s">
        <v>882</v>
      </c>
      <c r="B71" s="10" t="s">
        <v>68</v>
      </c>
      <c r="C71" s="63" t="str">
        <f aca="false">IF(ISNUMBER(C39),"不適用","")</f>
        <v/>
      </c>
      <c r="D71" s="63" t="str">
        <f aca="false">IF(ISNUMBER(D39),"不適用","")</f>
        <v/>
      </c>
      <c r="E71" s="63" t="str">
        <f aca="false">IF(ISNUMBER(E39),"不適用","")</f>
        <v/>
      </c>
      <c r="F71" s="63" t="str">
        <f aca="false">IF(ISNUMBER(F39),"不適用","")</f>
        <v/>
      </c>
      <c r="G71" s="63" t="str">
        <f aca="false">IF(ISNUMBER(G39),"不適用","")</f>
        <v/>
      </c>
      <c r="H71" s="63" t="str">
        <f aca="false">IF(ISNUMBER(H39),"不適用","")</f>
        <v/>
      </c>
    </row>
    <row r="72" customFormat="false" ht="15" hidden="true" customHeight="false" outlineLevel="1" collapsed="false">
      <c r="A72" s="3" t="s">
        <v>883</v>
      </c>
      <c r="B72" s="10" t="s">
        <v>42</v>
      </c>
      <c r="C72" s="63" t="s">
        <v>803</v>
      </c>
      <c r="D72" s="63" t="s">
        <v>803</v>
      </c>
      <c r="E72" s="63" t="s">
        <v>803</v>
      </c>
      <c r="F72" s="63" t="s">
        <v>803</v>
      </c>
      <c r="G72" s="63" t="s">
        <v>803</v>
      </c>
      <c r="H72" s="63" t="s">
        <v>803</v>
      </c>
    </row>
    <row r="73" customFormat="false" ht="15" hidden="true" customHeight="false" outlineLevel="1" collapsed="false">
      <c r="A73" s="3" t="s">
        <v>884</v>
      </c>
      <c r="B73" s="10" t="s">
        <v>42</v>
      </c>
      <c r="C73" s="63" t="s">
        <v>803</v>
      </c>
      <c r="D73" s="63" t="s">
        <v>803</v>
      </c>
      <c r="E73" s="63" t="s">
        <v>803</v>
      </c>
      <c r="F73" s="63" t="s">
        <v>803</v>
      </c>
      <c r="G73" s="63" t="s">
        <v>803</v>
      </c>
      <c r="H73" s="63" t="s">
        <v>803</v>
      </c>
    </row>
    <row r="74" customFormat="false" ht="15" hidden="true" customHeight="false" outlineLevel="1" collapsed="false">
      <c r="A74" s="3" t="s">
        <v>885</v>
      </c>
      <c r="B74" s="10" t="s">
        <v>42</v>
      </c>
      <c r="C74" s="63" t="str">
        <f aca="false">IF(ISNUMBER(C40),IF(AND(ISNUMBER(C31),C31&lt;&gt;0),C40/(C31)-1,"不適用"),"")</f>
        <v/>
      </c>
      <c r="D74" s="63" t="str">
        <f aca="false">IF(ISNUMBER(D40),IF(AND(ISNUMBER(D31),D31&lt;&gt;0),D40/(D31)-1,"不適用"),"")</f>
        <v/>
      </c>
      <c r="E74" s="63" t="str">
        <f aca="false">IF(ISNUMBER(E40),IF(AND(ISNUMBER(E31),E31&lt;&gt;0),E40/(E31)-1,"不適用"),"")</f>
        <v/>
      </c>
      <c r="F74" s="63" t="str">
        <f aca="false">IF(ISNUMBER(F40),IF(AND(ISNUMBER(F31),F31&lt;&gt;0),F40/(F31)-1,"不適用"),"")</f>
        <v/>
      </c>
      <c r="G74" s="63" t="str">
        <f aca="false">IF(ISNUMBER(G40),IF(AND(ISNUMBER(G31),G31&lt;&gt;0),G40/(G31)-1,"不適用"),"")</f>
        <v/>
      </c>
      <c r="H74" s="63" t="str">
        <f aca="false">IF(ISNUMBER(H40),IF(AND(ISNUMBER(H31),H31&lt;&gt;0),H40/(H31)-1,"不適用"),"")</f>
        <v/>
      </c>
    </row>
    <row r="75" customFormat="false" ht="15" hidden="true" customHeight="false" outlineLevel="1" collapsed="false">
      <c r="A75" s="3" t="s">
        <v>886</v>
      </c>
      <c r="B75" s="10" t="s">
        <v>42</v>
      </c>
      <c r="C75" s="63" t="str">
        <f aca="false">IF(ISNUMBER(C40),"不適用","")</f>
        <v/>
      </c>
      <c r="D75" s="63" t="str">
        <f aca="false">IF(ISNUMBER(D40),"不適用","")</f>
        <v/>
      </c>
      <c r="E75" s="63" t="str">
        <f aca="false">IF(ISNUMBER(E40),"不適用","")</f>
        <v/>
      </c>
      <c r="F75" s="63" t="str">
        <f aca="false">IF(ISNUMBER(F40),"不適用","")</f>
        <v/>
      </c>
      <c r="G75" s="63" t="str">
        <f aca="false">IF(ISNUMBER(G40),"不適用","")</f>
        <v/>
      </c>
      <c r="H75" s="63" t="str">
        <f aca="false">IF(ISNUMBER(H40),"不適用","")</f>
        <v/>
      </c>
    </row>
    <row r="76" customFormat="false" ht="15" hidden="true" customHeight="false" outlineLevel="1" collapsed="false">
      <c r="A76" s="3" t="s">
        <v>887</v>
      </c>
      <c r="B76" s="10" t="s">
        <v>42</v>
      </c>
      <c r="C76" s="63" t="str">
        <f aca="false">IF(ISNUMBER(C40),"不適用","")</f>
        <v/>
      </c>
      <c r="D76" s="63" t="str">
        <f aca="false">IF(ISNUMBER(D40),"不適用","")</f>
        <v/>
      </c>
      <c r="E76" s="63" t="str">
        <f aca="false">IF(ISNUMBER(E40),"不適用","")</f>
        <v/>
      </c>
      <c r="F76" s="63" t="str">
        <f aca="false">IF(ISNUMBER(F40),"不適用","")</f>
        <v/>
      </c>
      <c r="G76" s="63" t="str">
        <f aca="false">IF(ISNUMBER(G40),"不適用","")</f>
        <v/>
      </c>
      <c r="H76" s="63" t="str">
        <f aca="false">IF(ISNUMBER(H40),"不適用","")</f>
        <v/>
      </c>
    </row>
    <row r="77" customFormat="false" ht="15" hidden="true" customHeight="false" outlineLevel="1" collapsed="false">
      <c r="A77" s="3" t="s">
        <v>888</v>
      </c>
      <c r="B77" s="10" t="s">
        <v>143</v>
      </c>
      <c r="C77" s="64" t="s">
        <v>803</v>
      </c>
      <c r="D77" s="64" t="s">
        <v>803</v>
      </c>
      <c r="E77" s="64" t="s">
        <v>803</v>
      </c>
      <c r="F77" s="64" t="s">
        <v>803</v>
      </c>
      <c r="G77" s="64" t="s">
        <v>803</v>
      </c>
      <c r="H77" s="64" t="s">
        <v>803</v>
      </c>
    </row>
    <row r="78" customFormat="false" ht="15" hidden="true" customHeight="false" outlineLevel="1" collapsed="false">
      <c r="A78" s="3" t="s">
        <v>889</v>
      </c>
      <c r="B78" s="10" t="s">
        <v>143</v>
      </c>
      <c r="C78" s="64" t="s">
        <v>803</v>
      </c>
      <c r="D78" s="64" t="s">
        <v>803</v>
      </c>
      <c r="E78" s="64" t="s">
        <v>803</v>
      </c>
      <c r="F78" s="64" t="s">
        <v>803</v>
      </c>
      <c r="G78" s="64" t="s">
        <v>803</v>
      </c>
      <c r="H78" s="64" t="s">
        <v>803</v>
      </c>
    </row>
    <row r="79" customFormat="false" ht="15" hidden="true" customHeight="false" outlineLevel="1" collapsed="false">
      <c r="A79" s="3" t="s">
        <v>890</v>
      </c>
      <c r="B79" s="10" t="s">
        <v>143</v>
      </c>
      <c r="C79" s="64" t="str">
        <f aca="false">IF(ISNUMBER(C41),IF(AND(ISNUMBER(C19)),C41-(C19),"不適用"),"")</f>
        <v/>
      </c>
      <c r="D79" s="64" t="str">
        <f aca="false">IF(ISNUMBER(D41),IF(AND(ISNUMBER(D19)),D41-(D19),"不適用"),"")</f>
        <v/>
      </c>
      <c r="E79" s="64" t="str">
        <f aca="false">IF(ISNUMBER(E41),IF(AND(ISNUMBER(E19)),E41-(E19),"不適用"),"")</f>
        <v/>
      </c>
      <c r="F79" s="64" t="str">
        <f aca="false">IF(ISNUMBER(F41),IF(AND(ISNUMBER(F19)),F41-(F19),"不適用"),"")</f>
        <v/>
      </c>
      <c r="G79" s="64" t="str">
        <f aca="false">IF(ISNUMBER(G41),IF(AND(ISNUMBER(G19)),G41-(G19),"不適用"),"")</f>
        <v/>
      </c>
      <c r="H79" s="64" t="str">
        <f aca="false">IF(ISNUMBER(H41),IF(AND(ISNUMBER(H19)),H41-(H19),"不適用"),"")</f>
        <v/>
      </c>
    </row>
    <row r="80" customFormat="false" ht="15" hidden="true" customHeight="false" outlineLevel="1" collapsed="false">
      <c r="A80" s="3" t="s">
        <v>891</v>
      </c>
      <c r="B80" s="10" t="s">
        <v>143</v>
      </c>
      <c r="C80" s="64" t="str">
        <f aca="false">IF(ISNUMBER(C41),"不適用","")</f>
        <v/>
      </c>
      <c r="D80" s="64" t="str">
        <f aca="false">IF(ISNUMBER(D41),"不適用","")</f>
        <v/>
      </c>
      <c r="E80" s="64" t="str">
        <f aca="false">IF(ISNUMBER(E41),"不適用","")</f>
        <v/>
      </c>
      <c r="F80" s="64" t="str">
        <f aca="false">IF(ISNUMBER(F41),"不適用","")</f>
        <v/>
      </c>
      <c r="G80" s="64" t="str">
        <f aca="false">IF(ISNUMBER(G41),"不適用","")</f>
        <v/>
      </c>
      <c r="H80" s="64" t="str">
        <f aca="false">IF(ISNUMBER(H41),"不適用","")</f>
        <v/>
      </c>
    </row>
    <row r="81" customFormat="false" ht="15" hidden="true" customHeight="false" outlineLevel="1" collapsed="false">
      <c r="A81" s="3" t="s">
        <v>892</v>
      </c>
      <c r="B81" s="10" t="s">
        <v>143</v>
      </c>
      <c r="C81" s="64" t="str">
        <f aca="false">IF(ISNUMBER(C41),"不適用","")</f>
        <v/>
      </c>
      <c r="D81" s="64" t="str">
        <f aca="false">IF(ISNUMBER(D41),"不適用","")</f>
        <v/>
      </c>
      <c r="E81" s="64" t="str">
        <f aca="false">IF(ISNUMBER(E41),"不適用","")</f>
        <v/>
      </c>
      <c r="F81" s="64" t="str">
        <f aca="false">IF(ISNUMBER(F41),"不適用","")</f>
        <v/>
      </c>
      <c r="G81" s="64" t="str">
        <f aca="false">IF(ISNUMBER(G41),"不適用","")</f>
        <v/>
      </c>
      <c r="H81" s="64" t="str">
        <f aca="false">IF(ISNUMBER(H41),"不適用","")</f>
        <v/>
      </c>
    </row>
    <row r="82" customFormat="false" ht="15" hidden="true" customHeight="false" outlineLevel="1" collapsed="false">
      <c r="A82" s="3" t="s">
        <v>893</v>
      </c>
      <c r="B82" s="10" t="s">
        <v>56</v>
      </c>
      <c r="C82" s="62" t="n">
        <f aca="false">IF(COUNT(C32,D32)=2,C32+D32,"不適用")</f>
        <v>2.4204</v>
      </c>
      <c r="D82" s="62" t="n">
        <f aca="false">IF(COUNT(C32,D32)=2,C32+D32,"不適用")</f>
        <v>2.4204</v>
      </c>
      <c r="E82" s="62" t="str">
        <f aca="false">IF(COUNT(E32,F32,G32,H32)=4,E32+F32+G32+H32,"不適用")</f>
        <v>不適用</v>
      </c>
      <c r="F82" s="62" t="str">
        <f aca="false">IF(COUNT(E32,F32,G32,H32)=4,E32+F32+G32+H32,"不適用")</f>
        <v>不適用</v>
      </c>
      <c r="G82" s="62" t="str">
        <f aca="false">IF(COUNT(E32,F32,G32,H32)=4,E32+F32+G32+H32,"不適用")</f>
        <v>不適用</v>
      </c>
      <c r="H82" s="62" t="str">
        <f aca="false">IF(COUNT(E32,F32,G32,H32)=4,E32+F32+G32+H32,"不適用")</f>
        <v>不適用</v>
      </c>
      <c r="J82" s="5" t="s">
        <v>894</v>
      </c>
    </row>
    <row r="83" customFormat="false" ht="15" hidden="true" customHeight="false" outlineLevel="1" collapsed="false">
      <c r="A83" s="3" t="s">
        <v>895</v>
      </c>
      <c r="B83" s="10" t="s">
        <v>56</v>
      </c>
      <c r="C83" s="62" t="n">
        <f aca="false">IF(AND(ISNUMBER(C82),C82&lt;&gt;0,ISNUMBER(C32),ISNUMBER(C22)),(損益!C8-C82)*(C32)/C82,"不適用")</f>
        <v>-0.394704673380582</v>
      </c>
      <c r="D83" s="62" t="n">
        <f aca="false">IF(AND(ISNUMBER(D82),D82&lt;&gt;0,ISNUMBER(D32),ISNUMBER(D22)),(損益!C8-D82)*(D32)/D82,"不適用")</f>
        <v>-0.667495895276701</v>
      </c>
      <c r="E83" s="62" t="str">
        <f aca="false">IF(AND(ISNUMBER(E82),E82&lt;&gt;0,ISNUMBER(E32),ISNUMBER(E22)),(損益!D8-E82)*(E32)/E82,"不適用")</f>
        <v>不適用</v>
      </c>
      <c r="F83" s="62" t="str">
        <f aca="false">IF(AND(ISNUMBER(F82),F82&lt;&gt;0,ISNUMBER(F32),ISNUMBER(F22)),(損益!D8-F82)*(F32)/F82,"不適用")</f>
        <v>不適用</v>
      </c>
      <c r="G83" s="62" t="str">
        <f aca="false">IF(AND(ISNUMBER(G82),G82&lt;&gt;0,ISNUMBER(G32),ISNUMBER(G22)),(損益!D8-G82)*(G32)/G82,"不適用")</f>
        <v>不適用</v>
      </c>
      <c r="H83" s="62" t="str">
        <f aca="false">IF(AND(ISNUMBER(H82),H82&lt;&gt;0,ISNUMBER(H32),ISNUMBER(H22)),(損益!D8-H82)*(H32)/H82,"不適用")</f>
        <v>不適用</v>
      </c>
      <c r="J83" s="10" t="s">
        <v>896</v>
      </c>
    </row>
    <row r="84" customFormat="false" ht="15" hidden="true" customHeight="false" outlineLevel="1" collapsed="false">
      <c r="A84" s="3" t="s">
        <v>897</v>
      </c>
      <c r="B84" s="10" t="s">
        <v>56</v>
      </c>
      <c r="C84" s="62" t="n">
        <f aca="false">IF(AND(ISNUMBER(C82),C82&lt;&gt;0,ISNUMBER(C32),ISNUMBER(C22)),(C22/損益!C8-(C32)/C82)*損益!C8,"不適用")</f>
        <v>0.142137817161488</v>
      </c>
      <c r="D84" s="62" t="n">
        <f aca="false">IF(AND(ISNUMBER(D82),D82&lt;&gt;0,ISNUMBER(D32),ISNUMBER(D22)),(D22/損益!C8-(D32)/D82)*損益!C8,"不適用")</f>
        <v>-0.142137817161487</v>
      </c>
      <c r="E84" s="62" t="str">
        <f aca="false">IF(AND(ISNUMBER(E82),E82&lt;&gt;0,ISNUMBER(E32),ISNUMBER(E22)),(E22/損益!D8-(E32)/E82)*損益!D8,"不適用")</f>
        <v>不適用</v>
      </c>
      <c r="F84" s="62" t="str">
        <f aca="false">IF(AND(ISNUMBER(F82),F82&lt;&gt;0,ISNUMBER(F32),ISNUMBER(F22)),(F22/損益!D8-(F32)/F82)*損益!D8,"不適用")</f>
        <v>不適用</v>
      </c>
      <c r="G84" s="62" t="str">
        <f aca="false">IF(AND(ISNUMBER(G82),G82&lt;&gt;0,ISNUMBER(G32),ISNUMBER(G22)),(G22/損益!D8-(G32)/G82)*損益!D8,"不適用")</f>
        <v>不適用</v>
      </c>
      <c r="H84" s="62" t="str">
        <f aca="false">IF(AND(ISNUMBER(H82),H82&lt;&gt;0,ISNUMBER(H32),ISNUMBER(H22)),(H22/損益!D8-(H32)/H82)*損益!D8,"不適用")</f>
        <v>不適用</v>
      </c>
      <c r="J84" s="10" t="s">
        <v>898</v>
      </c>
    </row>
    <row r="85" customFormat="false" ht="15" hidden="true" customHeight="false" outlineLevel="1" collapsed="false">
      <c r="A85" s="3" t="s">
        <v>899</v>
      </c>
      <c r="C85" s="42" t="str">
        <f aca="false">IF(ISNUMBER(C42),IF(ABS(C42)&gt;輸入與假設!$C$274,IF(ISNUMBER(C83),IF(ABS(C84)&gt;ABS(C83),"營收 vs 共識 "&amp;IF(C42&lt;0,"−","+")&amp;TEXT(ABS(C42)*100,"#,##0.0")&amp;"%"&amp;"：拆法（分配 "&amp;IF(C84&lt;0,"−","+")&amp;IF(ABS(C84)&lt;0,"−","")&amp;"$"&amp;TEXT(ABS(ABS(C84)),"#,##0.000")&amp;"bn"&amp;"（Q3'26 占 2H26 "&amp;TEXT((C22/損益!C8)*100,"#,##0.0")&amp;"%"&amp;"，共識合計 "&amp;TEXT(((C32)/C82)*100,"#,##0.0")&amp;"%"&amp;"）；水準 "&amp;IF(C83&lt;0,"−","+")&amp;IF(ABS(C83)&lt;0,"−","")&amp;"$"&amp;TEXT(ABS(ABS(C83)),"#,##0.000")&amp;"bn"&amp;"）","營收 vs 共識 "&amp;IF(C42&lt;0,"−","+")&amp;TEXT(ABS(C42)*100,"#,##0.0")&amp;"%"&amp;"：觀點（水準 "&amp;IF(C83&lt;0,"−","+")&amp;IF(ABS(C83)&lt;0,"−","")&amp;"$"&amp;TEXT(ABS(ABS(C83)),"#,##0.000")&amp;"bn"&amp;"（2H26 模型 "&amp;IF(損益!C8&lt;0,"−","")&amp;"$"&amp;TEXT(ABS(損益!C8),"#,##0.000")&amp;"bn"&amp;"，共識合計 "&amp;IF(C82&lt;0,"−","")&amp;"$"&amp;TEXT(ABS(C82),"#,##0.000")&amp;"bn"&amp;"）；分配 "&amp;IF(C84&lt;0,"−","+")&amp;IF(ABS(C84)&lt;0,"−","")&amp;"$"&amp;TEXT(ABS(ABS(C84)),"#,##0.000")&amp;"bn"&amp;"；"&amp;"每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"&amp;IF(C42&lt;0,"−","+")&amp;TEXT(ABS(C42)*100,"#,##0.0")&amp;"%"&amp;"：觀點（"&amp;"每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>營收 vs 共識 −28.1%：觀點（水準 −$0.395bn（2H26 模型 $1.358bn，共識合計 $2.420bn）；分配 +$0.142bn；每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</v>
      </c>
      <c r="D85" s="42" t="str">
        <f aca="false">IF(ISNUMBER(D42),IF(ABS(D42)&gt;輸入與假設!$C$274,IF(ISNUMBER(D83),IF(ABS(D84)&gt;ABS(D83),"營收 vs 共識 "&amp;IF(D42&lt;0,"−","+")&amp;TEXT(ABS(D42)*100,"#,##0.0")&amp;"%"&amp;"：拆法（分配 "&amp;IF(D84&lt;0,"−","+")&amp;IF(ABS(D84)&lt;0,"−","")&amp;"$"&amp;TEXT(ABS(ABS(D84)),"#,##0.000")&amp;"bn"&amp;"（Q4'26 占 2H26 "&amp;TEXT((D22/損益!C8)*100,"#,##0.0")&amp;"%"&amp;"，共識合計 "&amp;TEXT(((D32)/D82)*100,"#,##0.0")&amp;"%"&amp;"）；水準 "&amp;IF(D83&lt;0,"−","+")&amp;IF(ABS(D83)&lt;0,"−","")&amp;"$"&amp;TEXT(ABS(ABS(D83)),"#,##0.000")&amp;"bn"&amp;"）","營收 vs 共識 "&amp;IF(D42&lt;0,"−","+")&amp;TEXT(ABS(D42)*100,"#,##0.0")&amp;"%"&amp;"：觀點（水準 "&amp;IF(D83&lt;0,"−","+")&amp;IF(ABS(D83)&lt;0,"−","")&amp;"$"&amp;TEXT(ABS(ABS(D83)),"#,##0.000")&amp;"bn"&amp;"（2H26 模型 "&amp;IF(損益!C8&lt;0,"−","")&amp;"$"&amp;TEXT(ABS(損益!C8),"#,##0.000")&amp;"bn"&amp;"，共識合計 "&amp;IF(D82&lt;0,"−","")&amp;"$"&amp;TEXT(ABS(D82),"#,##0.000")&amp;"bn"&amp;"）；分配 "&amp;IF(D84&lt;0,"−","+")&amp;IF(ABS(D84)&lt;0,"−","")&amp;"$"&amp;TEXT(ABS(ABS(D84)),"#,##0.000")&amp;"bn"&amp;"；"&amp;"每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"&amp;IF(D42&lt;0,"−","+")&amp;TEXT(ABS(D42)*100,"#,##0.0")&amp;"%"&amp;"：觀點（"&amp;"每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>營收 vs 共識 −53.2%：觀點（水準 −$0.667bn（2H26 模型 $1.358bn，共識合計 $2.420bn）；分配 −$0.142bn；每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</v>
      </c>
      <c r="E85" s="42" t="str">
        <f aca="false">IF(ISNUMBER(E42),IF(ABS(E42)&gt;輸入與假設!$C$274,IF(ISNUMBER(E83),IF(ABS(E84)&gt;ABS(E83),"營收 vs 共識 "&amp;IF(E42&lt;0,"−","+")&amp;TEXT(ABS(E42)*100,"#,##0.0")&amp;"%"&amp;"：拆法（分配 "&amp;IF(E84&lt;0,"−","+")&amp;IF(ABS(E84)&lt;0,"−","")&amp;"$"&amp;TEXT(ABS(ABS(E84)),"#,##0.000")&amp;"bn"&amp;"（Q1'27 占 FY27 "&amp;TEXT((E22/損益!D8)*100,"#,##0.0")&amp;"%"&amp;"，共識合計 "&amp;TEXT(((E32)/E82)*100,"#,##0.0")&amp;"%"&amp;"）；水準 "&amp;IF(E83&lt;0,"−","+")&amp;IF(ABS(E83)&lt;0,"−","")&amp;"$"&amp;TEXT(ABS(ABS(E83)),"#,##0.000")&amp;"bn"&amp;"）","營收 vs 共識 "&amp;IF(E42&lt;0,"−","+")&amp;TEXT(ABS(E42)*100,"#,##0.0")&amp;"%"&amp;"：觀點（水準 "&amp;IF(E83&lt;0,"−","+")&amp;IF(ABS(E83)&lt;0,"−","")&amp;"$"&amp;TEXT(ABS(ABS(E83)),"#,##0.000")&amp;"bn"&amp;"（FY27 模型 "&amp;IF(損益!D8&lt;0,"−","")&amp;"$"&amp;TEXT(ABS(損益!D8),"#,##0.000")&amp;"bn"&amp;"，共識合計 "&amp;IF(E82&lt;0,"−","")&amp;"$"&amp;TEXT(ABS(E82),"#,##0.000")&amp;"bn"&amp;"）；分配 "&amp;IF(E84&lt;0,"−","+")&amp;IF(ABS(E84)&lt;0,"−","")&amp;"$"&amp;TEXT(ABS(ABS(E84)),"#,##0.000")&amp;"bn"&amp;"；"&amp;"每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"&amp;IF(E42&lt;0,"−","+")&amp;TEXT(ABS(E42)*100,"#,##0.0")&amp;"%"&amp;"：觀點（"&amp;"每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/>
      </c>
      <c r="F85" s="42" t="str">
        <f aca="false">IF(ISNUMBER(F42),IF(ABS(F42)&gt;輸入與假設!$C$274,IF(ISNUMBER(F83),IF(ABS(F84)&gt;ABS(F83),"營收 vs 共識 "&amp;IF(F42&lt;0,"−","+")&amp;TEXT(ABS(F42)*100,"#,##0.0")&amp;"%"&amp;"：拆法（分配 "&amp;IF(F84&lt;0,"−","+")&amp;IF(ABS(F84)&lt;0,"−","")&amp;"$"&amp;TEXT(ABS(ABS(F84)),"#,##0.000")&amp;"bn"&amp;"（Q2'27 占 FY27 "&amp;TEXT((F22/損益!D8)*100,"#,##0.0")&amp;"%"&amp;"，共識合計 "&amp;TEXT(((F32)/F82)*100,"#,##0.0")&amp;"%"&amp;"）；水準 "&amp;IF(F83&lt;0,"−","+")&amp;IF(ABS(F83)&lt;0,"−","")&amp;"$"&amp;TEXT(ABS(ABS(F83)),"#,##0.000")&amp;"bn"&amp;"）","營收 vs 共識 "&amp;IF(F42&lt;0,"−","+")&amp;TEXT(ABS(F42)*100,"#,##0.0")&amp;"%"&amp;"：觀點（水準 "&amp;IF(F83&lt;0,"−","+")&amp;IF(ABS(F83)&lt;0,"−","")&amp;"$"&amp;TEXT(ABS(ABS(F83)),"#,##0.000")&amp;"bn"&amp;"（FY27 模型 "&amp;IF(損益!D8&lt;0,"−","")&amp;"$"&amp;TEXT(ABS(損益!D8),"#,##0.000")&amp;"bn"&amp;"，共識合計 "&amp;IF(F82&lt;0,"−","")&amp;"$"&amp;TEXT(ABS(F82),"#,##0.000")&amp;"bn"&amp;"）；分配 "&amp;IF(F84&lt;0,"−","+")&amp;IF(ABS(F84)&lt;0,"−","")&amp;"$"&amp;TEXT(ABS(ABS(F84)),"#,##0.000")&amp;"bn"&amp;"；"&amp;"每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"&amp;IF(F42&lt;0,"−","+")&amp;TEXT(ABS(F42)*100,"#,##0.0")&amp;"%"&amp;"：觀點（"&amp;"每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/>
      </c>
      <c r="G85" s="42" t="str">
        <f aca="false">IF(ISNUMBER(G42),IF(ABS(G42)&gt;輸入與假設!$C$274,IF(ISNUMBER(G83),IF(ABS(G84)&gt;ABS(G83),"營收 vs 共識 "&amp;IF(G42&lt;0,"−","+")&amp;TEXT(ABS(G42)*100,"#,##0.0")&amp;"%"&amp;"：拆法（分配 "&amp;IF(G84&lt;0,"−","+")&amp;IF(ABS(G84)&lt;0,"−","")&amp;"$"&amp;TEXT(ABS(ABS(G84)),"#,##0.000")&amp;"bn"&amp;"（Q3'27 占 FY27 "&amp;TEXT((G22/損益!D8)*100,"#,##0.0")&amp;"%"&amp;"，共識合計 "&amp;TEXT(((G32)/G82)*100,"#,##0.0")&amp;"%"&amp;"）；水準 "&amp;IF(G83&lt;0,"−","+")&amp;IF(ABS(G83)&lt;0,"−","")&amp;"$"&amp;TEXT(ABS(ABS(G83)),"#,##0.000")&amp;"bn"&amp;"）","營收 vs 共識 "&amp;IF(G42&lt;0,"−","+")&amp;TEXT(ABS(G42)*100,"#,##0.0")&amp;"%"&amp;"：觀點（水準 "&amp;IF(G83&lt;0,"−","+")&amp;IF(ABS(G83)&lt;0,"−","")&amp;"$"&amp;TEXT(ABS(ABS(G83)),"#,##0.000")&amp;"bn"&amp;"（FY27 模型 "&amp;IF(損益!D8&lt;0,"−","")&amp;"$"&amp;TEXT(ABS(損益!D8),"#,##0.000")&amp;"bn"&amp;"，共識合計 "&amp;IF(G82&lt;0,"−","")&amp;"$"&amp;TEXT(ABS(G82),"#,##0.000")&amp;"bn"&amp;"）；分配 "&amp;IF(G84&lt;0,"−","+")&amp;IF(ABS(G84)&lt;0,"−","")&amp;"$"&amp;TEXT(ABS(ABS(G84)),"#,##0.000")&amp;"bn"&amp;"；"&amp;"每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"&amp;IF(G42&lt;0,"−","+")&amp;TEXT(ABS(G42)*100,"#,##0.0")&amp;"%"&amp;"：觀點（"&amp;"每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/>
      </c>
      <c r="H85" s="42" t="str">
        <f aca="false">IF(ISNUMBER(H42),IF(ABS(H42)&gt;輸入與假設!$C$274,IF(ISNUMBER(H83),IF(ABS(H84)&gt;ABS(H83),"營收 vs 共識 "&amp;IF(H42&lt;0,"−","+")&amp;TEXT(ABS(H42)*100,"#,##0.0")&amp;"%"&amp;"：拆法（分配 "&amp;IF(H84&lt;0,"−","+")&amp;IF(ABS(H84)&lt;0,"−","")&amp;"$"&amp;TEXT(ABS(ABS(H84)),"#,##0.000")&amp;"bn"&amp;"（Q4'27 占 FY27 "&amp;TEXT((H22/損益!D8)*100,"#,##0.0")&amp;"%"&amp;"，共識合計 "&amp;TEXT(((H32)/H82)*100,"#,##0.0")&amp;"%"&amp;"）；水準 "&amp;IF(H83&lt;0,"−","+")&amp;IF(ABS(H83)&lt;0,"−","")&amp;"$"&amp;TEXT(ABS(ABS(H83)),"#,##0.000")&amp;"bn"&amp;"）","營收 vs 共識 "&amp;IF(H42&lt;0,"−","+")&amp;TEXT(ABS(H42)*100,"#,##0.0")&amp;"%"&amp;"：觀點（水準 "&amp;IF(H83&lt;0,"−","+")&amp;IF(ABS(H83)&lt;0,"−","")&amp;"$"&amp;TEXT(ABS(ABS(H83)),"#,##0.000")&amp;"bn"&amp;"（FY27 模型 "&amp;IF(損益!D8&lt;0,"−","")&amp;"$"&amp;TEXT(ABS(損益!D8),"#,##0.000")&amp;"bn"&amp;"，共識合計 "&amp;IF(H82&lt;0,"−","")&amp;"$"&amp;TEXT(ABS(H82),"#,##0.000")&amp;"bn"&amp;"）；分配 "&amp;IF(H84&lt;0,"−","+")&amp;IF(ABS(H84)&lt;0,"−","")&amp;"$"&amp;TEXT(ABS(ABS(H84)),"#,##0.000")&amp;"bn"&amp;"；"&amp;"每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"&amp;IF(H42&lt;0,"−","+")&amp;TEXT(ABS(H42)*100,"#,##0.0")&amp;"%"&amp;"：觀點（"&amp;"每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/>
      </c>
    </row>
    <row r="86" customFormat="false" ht="15" hidden="true" customHeight="false" outlineLevel="1" collapsed="false">
      <c r="A86" s="3" t="s">
        <v>900</v>
      </c>
      <c r="C86" s="42" t="str">
        <f aca="false">IF(ISNUMBER(C42),IF(ABS(C42)&gt;輸入與假設!$C$274,IF(ISNUMBER(C83),IF(ABS(C84)&gt;ABS(C83),"拆法","觀點"),"觀點"),""),"")</f>
        <v>觀點</v>
      </c>
      <c r="D86" s="42" t="str">
        <f aca="false">IF(ISNUMBER(D42),IF(ABS(D42)&gt;輸入與假設!$C$274,IF(ISNUMBER(D83),IF(ABS(D84)&gt;ABS(D83),"拆法","觀點"),"觀點"),""),"")</f>
        <v>觀點</v>
      </c>
      <c r="E86" s="42" t="str">
        <f aca="false">IF(ISNUMBER(E42),IF(ABS(E42)&gt;輸入與假設!$C$274,IF(ISNUMBER(E83),IF(ABS(E84)&gt;ABS(E83),"拆法","觀點"),"觀點"),""),"")</f>
        <v/>
      </c>
      <c r="F86" s="42" t="str">
        <f aca="false">IF(ISNUMBER(F42),IF(ABS(F42)&gt;輸入與假設!$C$274,IF(ISNUMBER(F83),IF(ABS(F84)&gt;ABS(F83),"拆法","觀點"),"觀點"),""),"")</f>
        <v/>
      </c>
      <c r="G86" s="42" t="str">
        <f aca="false">IF(ISNUMBER(G42),IF(ABS(G42)&gt;輸入與假設!$C$274,IF(ISNUMBER(G83),IF(ABS(G84)&gt;ABS(G83),"拆法","觀點"),"觀點"),""),"")</f>
        <v/>
      </c>
      <c r="H86" s="42" t="str">
        <f aca="false">IF(ISNUMBER(H42),IF(ABS(H42)&gt;輸入與假設!$C$274,IF(ISNUMBER(H83),IF(ABS(H84)&gt;ABS(H83),"拆法","觀點"),"觀點"),""),"")</f>
        <v/>
      </c>
    </row>
    <row r="87" customFormat="false" ht="15" hidden="true" customHeight="false" outlineLevel="1" collapsed="false">
      <c r="A87" s="3" t="s">
        <v>901</v>
      </c>
      <c r="C87" s="42"/>
      <c r="D87" s="42"/>
      <c r="E87" s="42"/>
      <c r="F87" s="42"/>
      <c r="G87" s="42"/>
      <c r="H87" s="42"/>
    </row>
    <row r="88" customFormat="false" ht="15" hidden="true" customHeight="false" outlineLevel="1" collapsed="false">
      <c r="A88" s="3" t="s">
        <v>902</v>
      </c>
      <c r="C88" s="42"/>
      <c r="D88" s="42"/>
      <c r="E88" s="42"/>
      <c r="F88" s="42"/>
      <c r="G88" s="42"/>
      <c r="H88" s="42"/>
    </row>
    <row r="89" customFormat="false" ht="15" hidden="true" customHeight="false" outlineLevel="1" collapsed="false">
      <c r="A89" s="3" t="s">
        <v>903</v>
      </c>
      <c r="C89" s="42" t="str">
        <f aca="false">IF(ISNUMBER(C44),IF(ABS(C44)&gt;輸入與假設!$C$274,"營收 實際 vs 模型 "&amp;IF(C44&lt;0,"−","+")&amp;TEXT(ABS(C44)*100,"#,##0.0")&amp;"%"&amp;"：觀點（"&amp;"每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D89" s="42" t="str">
        <f aca="false">IF(ISNUMBER(D44),IF(ABS(D44)&gt;輸入與假設!$C$274,"營收 實際 vs 模型 "&amp;IF(D44&lt;0,"−","+")&amp;TEXT(ABS(D44)*100,"#,##0.0")&amp;"%"&amp;"：觀點（"&amp;"每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E89" s="42" t="str">
        <f aca="false">IF(ISNUMBER(E44),IF(ABS(E44)&gt;輸入與假設!$C$274,"營收 實際 vs 模型 "&amp;IF(E44&lt;0,"−","+")&amp;TEXT(ABS(E44)*100,"#,##0.0")&amp;"%"&amp;"：觀點（"&amp;"每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F89" s="42" t="str">
        <f aca="false">IF(ISNUMBER(F44),IF(ABS(F44)&gt;輸入與假設!$C$274,"營收 實際 vs 模型 "&amp;IF(F44&lt;0,"−","+")&amp;TEXT(ABS(F44)*100,"#,##0.0")&amp;"%"&amp;"：觀點（"&amp;"每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G89" s="42" t="str">
        <f aca="false">IF(ISNUMBER(G44),IF(ABS(G44)&gt;輸入與假設!$C$274,"營收 實際 vs 模型 "&amp;IF(G44&lt;0,"−","+")&amp;TEXT(ABS(G44)*100,"#,##0.0")&amp;"%"&amp;"：觀點（"&amp;"每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H89" s="42" t="str">
        <f aca="false">IF(ISNUMBER(H44),IF(ABS(H44)&gt;輸入與假設!$C$274,"營收 實際 vs 模型 "&amp;IF(H44&lt;0,"−","+")&amp;TEXT(ABS(H44)*100,"#,##0.0")&amp;"%"&amp;"：觀點（"&amp;"每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</row>
    <row r="90" customFormat="false" ht="15" hidden="true" customHeight="false" outlineLevel="1" collapsed="false">
      <c r="A90" s="3" t="s">
        <v>904</v>
      </c>
      <c r="C90" s="42" t="str">
        <f aca="false">IF(ISNUMBER(C44),IF(ABS(C44)&gt;輸入與假設!$C$274,"觀點",""),"")</f>
        <v/>
      </c>
      <c r="D90" s="42" t="str">
        <f aca="false">IF(ISNUMBER(D44),IF(ABS(D44)&gt;輸入與假設!$C$274,"觀點",""),"")</f>
        <v/>
      </c>
      <c r="E90" s="42" t="str">
        <f aca="false">IF(ISNUMBER(E44),IF(ABS(E44)&gt;輸入與假設!$C$274,"觀點",""),"")</f>
        <v/>
      </c>
      <c r="F90" s="42" t="str">
        <f aca="false">IF(ISNUMBER(F44),IF(ABS(F44)&gt;輸入與假設!$C$274,"觀點",""),"")</f>
        <v/>
      </c>
      <c r="G90" s="42" t="str">
        <f aca="false">IF(ISNUMBER(G44),IF(ABS(G44)&gt;輸入與假設!$C$274,"觀點",""),"")</f>
        <v/>
      </c>
      <c r="H90" s="42" t="str">
        <f aca="false">IF(ISNUMBER(H44),IF(ABS(H44)&gt;輸入與假設!$C$274,"觀點",""),"")</f>
        <v/>
      </c>
    </row>
    <row r="91" customFormat="false" ht="15" hidden="true" customHeight="false" outlineLevel="1" collapsed="false">
      <c r="A91" s="3" t="s">
        <v>905</v>
      </c>
      <c r="B91" s="10" t="s">
        <v>56</v>
      </c>
      <c r="C91" s="62" t="n">
        <f aca="false">IF(COUNT(C33,D33)=2,C33+D33,"不適用")</f>
        <v>1.1024</v>
      </c>
      <c r="D91" s="62" t="n">
        <f aca="false">IF(COUNT(C33,D33)=2,C33+D33,"不適用")</f>
        <v>1.1024</v>
      </c>
      <c r="E91" s="62" t="str">
        <f aca="false">IF(COUNT(E33,F33,G33,H33)=4,E33+F33+G33+H33,"不適用")</f>
        <v>不適用</v>
      </c>
      <c r="F91" s="62" t="str">
        <f aca="false">IF(COUNT(E33,F33,G33,H33)=4,E33+F33+G33+H33,"不適用")</f>
        <v>不適用</v>
      </c>
      <c r="G91" s="62" t="str">
        <f aca="false">IF(COUNT(E33,F33,G33,H33)=4,E33+F33+G33+H33,"不適用")</f>
        <v>不適用</v>
      </c>
      <c r="H91" s="62" t="str">
        <f aca="false">IF(COUNT(E33,F33,G33,H33)=4,E33+F33+G33+H33,"不適用")</f>
        <v>不適用</v>
      </c>
      <c r="J91" s="5" t="s">
        <v>894</v>
      </c>
    </row>
    <row r="92" customFormat="false" ht="15" hidden="true" customHeight="false" outlineLevel="1" collapsed="false">
      <c r="A92" s="3" t="s">
        <v>906</v>
      </c>
      <c r="B92" s="10" t="s">
        <v>56</v>
      </c>
      <c r="C92" s="62" t="n">
        <f aca="false">IF(AND(ISNUMBER(C91),C91&lt;&gt;0,ISNUMBER(C33),ISNUMBER(C28)),(損益!C19-C91)*(C33)/C91,"不適用")</f>
        <v>-0.171395371428207</v>
      </c>
      <c r="D92" s="62" t="n">
        <f aca="false">IF(AND(ISNUMBER(D91),D91&lt;&gt;0,ISNUMBER(D33),ISNUMBER(D28)),(損益!C19-D91)*(D33)/D91,"不適用")</f>
        <v>-0.349979511194463</v>
      </c>
      <c r="E92" s="62" t="str">
        <f aca="false">IF(AND(ISNUMBER(E91),E91&lt;&gt;0,ISNUMBER(E33),ISNUMBER(E28)),(損益!D19-E91)*(E33)/E91,"不適用")</f>
        <v>不適用</v>
      </c>
      <c r="F92" s="62" t="str">
        <f aca="false">IF(AND(ISNUMBER(F91),F91&lt;&gt;0,ISNUMBER(F33),ISNUMBER(F28)),(損益!D19-F91)*(F33)/F91,"不適用")</f>
        <v>不適用</v>
      </c>
      <c r="G92" s="62" t="str">
        <f aca="false">IF(AND(ISNUMBER(G91),G91&lt;&gt;0,ISNUMBER(G33),ISNUMBER(G28)),(損益!D19-G91)*(G33)/G91,"不適用")</f>
        <v>不適用</v>
      </c>
      <c r="H92" s="62" t="str">
        <f aca="false">IF(AND(ISNUMBER(H91),H91&lt;&gt;0,ISNUMBER(H33),ISNUMBER(H28)),(損益!D19-H91)*(H33)/H91,"不適用")</f>
        <v>不適用</v>
      </c>
      <c r="J92" s="10" t="s">
        <v>896</v>
      </c>
    </row>
    <row r="93" customFormat="false" ht="15" hidden="true" customHeight="false" outlineLevel="1" collapsed="false">
      <c r="A93" s="3" t="s">
        <v>907</v>
      </c>
      <c r="B93" s="10" t="s">
        <v>56</v>
      </c>
      <c r="C93" s="62" t="n">
        <f aca="false">IF(AND(ISNUMBER(C91),C91&lt;&gt;0,ISNUMBER(C33),ISNUMBER(C28)),(C28/損益!C19-(C33)/C91)*損益!C19,"不適用")</f>
        <v>0.0816673634480538</v>
      </c>
      <c r="D93" s="62" t="n">
        <f aca="false">IF(AND(ISNUMBER(D91),D91&lt;&gt;0,ISNUMBER(D33),ISNUMBER(D28)),(D28/損益!C19-(D33)/D91)*損益!C19,"不適用")</f>
        <v>-0.0816673634480538</v>
      </c>
      <c r="E93" s="62" t="str">
        <f aca="false">IF(AND(ISNUMBER(E91),E91&lt;&gt;0,ISNUMBER(E33),ISNUMBER(E28)),(E28/損益!D19-(E33)/E91)*損益!D19,"不適用")</f>
        <v>不適用</v>
      </c>
      <c r="F93" s="62" t="str">
        <f aca="false">IF(AND(ISNUMBER(F91),F91&lt;&gt;0,ISNUMBER(F33),ISNUMBER(F28)),(F28/損益!D19-(F33)/F91)*損益!D19,"不適用")</f>
        <v>不適用</v>
      </c>
      <c r="G93" s="62" t="str">
        <f aca="false">IF(AND(ISNUMBER(G91),G91&lt;&gt;0,ISNUMBER(G33),ISNUMBER(G28)),(G28/損益!D19-(G33)/G91)*損益!D19,"不適用")</f>
        <v>不適用</v>
      </c>
      <c r="H93" s="62" t="str">
        <f aca="false">IF(AND(ISNUMBER(H91),H91&lt;&gt;0,ISNUMBER(H33),ISNUMBER(H28)),(H28/損益!D19-(H33)/H91)*損益!D19,"不適用")</f>
        <v>不適用</v>
      </c>
      <c r="J93" s="10" t="s">
        <v>898</v>
      </c>
    </row>
    <row r="94" customFormat="false" ht="15" hidden="true" customHeight="false" outlineLevel="1" collapsed="false">
      <c r="A94" s="3" t="s">
        <v>908</v>
      </c>
      <c r="C94" s="42" t="str">
        <f aca="false">IF(ISNUMBER(C47),IF(IF(ISNUMBER(C52),ABS(C52)&gt;輸入與假設!$C$275,OR(AND(C33&lt;&gt;0,ABS(C47)&gt;輸入與假設!$C$274*ABS(C33)),AND(C33=0,C47&lt;&gt;0))),IF(ISNUMBER(C92),IF(ABS(C93)&gt;ABS(C92),"調整後 EBITDA vs 共識 "&amp;IF(C47&lt;0,"−","+")&amp;IF(ABS(C47)&lt;0,"−","")&amp;"$"&amp;TEXT(ABS(ABS(C47)),"#,##0.00")&amp;"bn"&amp;IF(ISNUMBER(C52),"／"&amp;IF(C52&lt;0,"−","+")&amp;TEXT(ABS(C52)*100,"#,##0.0")&amp;"pt","")&amp;"：拆法（分配 "&amp;IF(C93&lt;0,"−","+")&amp;IF(ABS(C93)&lt;0,"−","")&amp;"$"&amp;TEXT(ABS(ABS(C93)),"#,##0.000")&amp;"bn"&amp;"（Q3'26 占 2H26 "&amp;TEXT((C28/損益!C19)*100,"#,##0.0")&amp;"%"&amp;"，共識合計 "&amp;TEXT(((C33)/C91)*100,"#,##0.0")&amp;"%"&amp;"）；水準 "&amp;IF(C92&lt;0,"−","+")&amp;IF(ABS(C92)&lt;0,"−","")&amp;"$"&amp;TEXT(ABS(ABS(C92)),"#,##0.000")&amp;"bn"&amp;"）","調整後 EBITDA vs 共識 "&amp;IF(C47&lt;0,"−","+")&amp;IF(ABS(C47)&lt;0,"−","")&amp;"$"&amp;TEXT(ABS(ABS(C47)),"#,##0.00")&amp;"bn"&amp;IF(ISNUMBER(C52),"／"&amp;IF(C52&lt;0,"−","+")&amp;TEXT(ABS(C52)*100,"#,##0.0")&amp;"pt","")&amp;"：觀點（水準 "&amp;IF(C92&lt;0,"−","+")&amp;IF(ABS(C92)&lt;0,"−","")&amp;"$"&amp;TEXT(ABS(ABS(C92)),"#,##0.000")&amp;"bn"&amp;"（2H26 模型 "&amp;IF(損益!C19&lt;0,"−","")&amp;"$"&amp;TEXT(ABS(損益!C19),"#,##0.000")&amp;"bn"&amp;"，共識合計 "&amp;IF(C91&lt;0,"−","")&amp;"$"&amp;TEXT(ABS(C91),"#,##0.000")&amp;"bn"&amp;"）；分配 "&amp;IF(C93&lt;0,"−","+")&amp;IF(ABS(C93)&lt;0,"−","")&amp;"$"&amp;TEXT(ABS(ABS(C93)),"#,##0.000")&amp;"bn"&amp;"；"&amp;"模型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"&amp;IF((輸入與假設!$C$245)&lt;0,"−","")&amp;TEXT(ABS((輸入與假設!$C$245)),"#,##0.00")&amp;"（口徑未揭露）"&amp;"）"),"調整後 EBITDA vs 共識 "&amp;IF(C47&lt;0,"−","+")&amp;IF(ABS(C47)&lt;0,"−","")&amp;"$"&amp;TEXT(ABS(ABS(C47)),"#,##0.00")&amp;"bn"&amp;IF(ISNUMBER(C52),"／"&amp;IF(C52&lt;0,"−","+")&amp;TEXT(ABS(C52)*100,"#,##0.0")&amp;"pt","")&amp;"：觀點（"&amp;"模型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"&amp;IF((輸入與假設!$C$245)&lt;0,"−","")&amp;TEXT(ABS((輸入與假設!$C$245)),"#,##0.00")&amp;"（口徑未揭露）"&amp;"）"),""),"")</f>
        <v/>
      </c>
      <c r="D94" s="42" t="str">
        <f aca="false">IF(ISNUMBER(D47),IF(IF(ISNUMBER(D52),ABS(D52)&gt;輸入與假設!$C$275,OR(AND(D33&lt;&gt;0,ABS(D47)&gt;輸入與假設!$C$274*ABS(D33)),AND(D33=0,D47&lt;&gt;0))),IF(ISNUMBER(D92),IF(ABS(D93)&gt;ABS(D92),"調整後 EBITDA vs 共識 "&amp;IF(D47&lt;0,"−","+")&amp;IF(ABS(D47)&lt;0,"−","")&amp;"$"&amp;TEXT(ABS(ABS(D47)),"#,##0.00")&amp;"bn"&amp;IF(ISNUMBER(D52),"／"&amp;IF(D52&lt;0,"−","+")&amp;TEXT(ABS(D52)*100,"#,##0.0")&amp;"pt","")&amp;"：拆法（分配 "&amp;IF(D93&lt;0,"−","+")&amp;IF(ABS(D93)&lt;0,"−","")&amp;"$"&amp;TEXT(ABS(ABS(D93)),"#,##0.000")&amp;"bn"&amp;"（Q4'26 占 2H26 "&amp;TEXT((D28/損益!C19)*100,"#,##0.0")&amp;"%"&amp;"，共識合計 "&amp;TEXT(((D33)/D91)*100,"#,##0.0")&amp;"%"&amp;"）；水準 "&amp;IF(D92&lt;0,"−","+")&amp;IF(ABS(D92)&lt;0,"−","")&amp;"$"&amp;TEXT(ABS(ABS(D92)),"#,##0.000")&amp;"bn"&amp;"）","調整後 EBITDA vs 共識 "&amp;IF(D47&lt;0,"−","+")&amp;IF(ABS(D47)&lt;0,"−","")&amp;"$"&amp;TEXT(ABS(ABS(D47)),"#,##0.00")&amp;"bn"&amp;IF(ISNUMBER(D52),"／"&amp;IF(D52&lt;0,"−","+")&amp;TEXT(ABS(D52)*100,"#,##0.0")&amp;"pt","")&amp;"：觀點（水準 "&amp;IF(D92&lt;0,"−","+")&amp;IF(ABS(D92)&lt;0,"−","")&amp;"$"&amp;TEXT(ABS(ABS(D92)),"#,##0.000")&amp;"bn"&amp;"（2H26 模型 "&amp;IF(損益!C19&lt;0,"−","")&amp;"$"&amp;TEXT(ABS(損益!C19),"#,##0.000")&amp;"bn"&amp;"，共識合計 "&amp;IF(D91&lt;0,"−","")&amp;"$"&amp;TEXT(ABS(D91),"#,##0.000")&amp;"bn"&amp;"）；分配 "&amp;IF(D93&lt;0,"−","+")&amp;IF(ABS(D93)&lt;0,"−","")&amp;"$"&amp;TEXT(ABS(ABS(D93)),"#,##0.000")&amp;"bn"&amp;"；"&amp;"模型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"&amp;IF((輸入與假設!$D$245)&lt;0,"−","")&amp;TEXT(ABS((輸入與假設!$D$245)),"#,##0.00")&amp;"（口徑未揭露）"&amp;"）"),"調整後 EBITDA vs 共識 "&amp;IF(D47&lt;0,"−","+")&amp;IF(ABS(D47)&lt;0,"−","")&amp;"$"&amp;TEXT(ABS(ABS(D47)),"#,##0.00")&amp;"bn"&amp;IF(ISNUMBER(D52),"／"&amp;IF(D52&lt;0,"−","+")&amp;TEXT(ABS(D52)*100,"#,##0.0")&amp;"pt","")&amp;"：觀點（"&amp;"模型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"&amp;IF((輸入與假設!$D$245)&lt;0,"−","")&amp;TEXT(ABS((輸入與假設!$D$245)),"#,##0.00")&amp;"（口徑未揭露）"&amp;"）"),""),"")</f>
        <v>調整後 EBITDA vs 共識 −$0.43bn／−5.3pt：觀點（水準 −$0.350bn（2H26 模型 $0.581bn，共識合計 $1.102bn）；分配 −$0.082bn；模型 EBITDA 率 43.3%；季度共識 EBITDA 0.74、營收 1.52（口徑未揭露））</v>
      </c>
      <c r="E94" s="42" t="str">
        <f aca="false">IF(ISNUMBER(E47),IF(IF(ISNUMBER(E52),ABS(E52)&gt;輸入與假設!$C$275,OR(AND(E33&lt;&gt;0,ABS(E47)&gt;輸入與假設!$C$274*ABS(E33)),AND(E33=0,E47&lt;&gt;0))),IF(ISNUMBER(E92),IF(ABS(E93)&gt;ABS(E92),"調整後 EBITDA vs 共識 "&amp;IF(E47&lt;0,"−","+")&amp;IF(ABS(E47)&lt;0,"−","")&amp;"$"&amp;TEXT(ABS(ABS(E47)),"#,##0.00")&amp;"bn"&amp;IF(ISNUMBER(E52),"／"&amp;IF(E52&lt;0,"−","+")&amp;TEXT(ABS(E52)*100,"#,##0.0")&amp;"pt","")&amp;"：拆法（分配 "&amp;IF(E93&lt;0,"−","+")&amp;IF(ABS(E93)&lt;0,"−","")&amp;"$"&amp;TEXT(ABS(ABS(E93)),"#,##0.000")&amp;"bn"&amp;"（Q1'27 占 FY27 "&amp;TEXT((E28/損益!D19)*100,"#,##0.0")&amp;"%"&amp;"，共識合計 "&amp;TEXT(((E33)/E91)*100,"#,##0.0")&amp;"%"&amp;"）；水準 "&amp;IF(E92&lt;0,"−","+")&amp;IF(ABS(E92)&lt;0,"−","")&amp;"$"&amp;TEXT(ABS(ABS(E92)),"#,##0.000")&amp;"bn"&amp;"）","調整後 EBITDA vs 共識 "&amp;IF(E47&lt;0,"−","+")&amp;IF(ABS(E47)&lt;0,"−","")&amp;"$"&amp;TEXT(ABS(ABS(E47)),"#,##0.00")&amp;"bn"&amp;IF(ISNUMBER(E52),"／"&amp;IF(E52&lt;0,"−","+")&amp;TEXT(ABS(E52)*100,"#,##0.0")&amp;"pt","")&amp;"：觀點（水準 "&amp;IF(E92&lt;0,"−","+")&amp;IF(ABS(E92)&lt;0,"−","")&amp;"$"&amp;TEXT(ABS(ABS(E92)),"#,##0.000")&amp;"bn"&amp;"（FY27 模型 "&amp;IF(損益!D19&lt;0,"−","")&amp;"$"&amp;TEXT(ABS(損益!D19),"#,##0.000")&amp;"bn"&amp;"，共識合計 "&amp;IF(E91&lt;0,"−","")&amp;"$"&amp;TEXT(ABS(E91),"#,##0.000")&amp;"bn"&amp;"）；分配 "&amp;IF(E93&lt;0,"−","+")&amp;IF(ABS(E93)&lt;0,"−","")&amp;"$"&amp;TEXT(ABS(ABS(E93)),"#,##0.000")&amp;"bn"&amp;"；"&amp;"模型 EBITDA 率 "&amp;IF((E27)&lt;0,"−","")&amp;TEXT(ABS((E27))*100,"#,##0.0")&amp;"%"&amp;"；季度共識 EBITDA "&amp;"不適用"&amp;"、營收 "&amp;"不適用"&amp;"（口徑未揭露）"&amp;"）"),"調整後 EBITDA vs 共識 "&amp;IF(E47&lt;0,"−","+")&amp;IF(ABS(E47)&lt;0,"−","")&amp;"$"&amp;TEXT(ABS(ABS(E47)),"#,##0.00")&amp;"bn"&amp;IF(ISNUMBER(E52),"／"&amp;IF(E52&lt;0,"−","+")&amp;TEXT(ABS(E52)*100,"#,##0.0")&amp;"pt","")&amp;"：觀點（"&amp;"模型 EBITDA 率 "&amp;IF((E27)&lt;0,"−","")&amp;TEXT(ABS((E27))*100,"#,##0.0")&amp;"%"&amp;"；季度共識 EBITDA "&amp;"不適用"&amp;"、營收 "&amp;"不適用"&amp;"（口徑未揭露）"&amp;"）"),""),"")</f>
        <v/>
      </c>
      <c r="F94" s="42" t="str">
        <f aca="false">IF(ISNUMBER(F47),IF(IF(ISNUMBER(F52),ABS(F52)&gt;輸入與假設!$C$275,OR(AND(F33&lt;&gt;0,ABS(F47)&gt;輸入與假設!$C$274*ABS(F33)),AND(F33=0,F47&lt;&gt;0))),IF(ISNUMBER(F92),IF(ABS(F93)&gt;ABS(F92),"調整後 EBITDA vs 共識 "&amp;IF(F47&lt;0,"−","+")&amp;IF(ABS(F47)&lt;0,"−","")&amp;"$"&amp;TEXT(ABS(ABS(F47)),"#,##0.00")&amp;"bn"&amp;IF(ISNUMBER(F52),"／"&amp;IF(F52&lt;0,"−","+")&amp;TEXT(ABS(F52)*100,"#,##0.0")&amp;"pt","")&amp;"：拆法（分配 "&amp;IF(F93&lt;0,"−","+")&amp;IF(ABS(F93)&lt;0,"−","")&amp;"$"&amp;TEXT(ABS(ABS(F93)),"#,##0.000")&amp;"bn"&amp;"（Q2'27 占 FY27 "&amp;TEXT((F28/損益!D19)*100,"#,##0.0")&amp;"%"&amp;"，共識合計 "&amp;TEXT(((F33)/F91)*100,"#,##0.0")&amp;"%"&amp;"）；水準 "&amp;IF(F92&lt;0,"−","+")&amp;IF(ABS(F92)&lt;0,"−","")&amp;"$"&amp;TEXT(ABS(ABS(F92)),"#,##0.000")&amp;"bn"&amp;"）","調整後 EBITDA vs 共識 "&amp;IF(F47&lt;0,"−","+")&amp;IF(ABS(F47)&lt;0,"−","")&amp;"$"&amp;TEXT(ABS(ABS(F47)),"#,##0.00")&amp;"bn"&amp;IF(ISNUMBER(F52),"／"&amp;IF(F52&lt;0,"−","+")&amp;TEXT(ABS(F52)*100,"#,##0.0")&amp;"pt","")&amp;"：觀點（水準 "&amp;IF(F92&lt;0,"−","+")&amp;IF(ABS(F92)&lt;0,"−","")&amp;"$"&amp;TEXT(ABS(ABS(F92)),"#,##0.000")&amp;"bn"&amp;"（FY27 模型 "&amp;IF(損益!D19&lt;0,"−","")&amp;"$"&amp;TEXT(ABS(損益!D19),"#,##0.000")&amp;"bn"&amp;"，共識合計 "&amp;IF(F91&lt;0,"−","")&amp;"$"&amp;TEXT(ABS(F91),"#,##0.000")&amp;"bn"&amp;"）；分配 "&amp;IF(F93&lt;0,"−","+")&amp;IF(ABS(F93)&lt;0,"−","")&amp;"$"&amp;TEXT(ABS(ABS(F93)),"#,##0.000")&amp;"bn"&amp;"；"&amp;"模型 EBITDA 率 "&amp;IF((F27)&lt;0,"−","")&amp;TEXT(ABS((F27))*100,"#,##0.0")&amp;"%"&amp;"；季度共識 EBITDA "&amp;"不適用"&amp;"、營收 "&amp;"不適用"&amp;"（口徑未揭露）"&amp;"）"),"調整後 EBITDA vs 共識 "&amp;IF(F47&lt;0,"−","+")&amp;IF(ABS(F47)&lt;0,"−","")&amp;"$"&amp;TEXT(ABS(ABS(F47)),"#,##0.00")&amp;"bn"&amp;IF(ISNUMBER(F52),"／"&amp;IF(F52&lt;0,"−","+")&amp;TEXT(ABS(F52)*100,"#,##0.0")&amp;"pt","")&amp;"：觀點（"&amp;"模型 EBITDA 率 "&amp;IF((F27)&lt;0,"−","")&amp;TEXT(ABS((F27))*100,"#,##0.0")&amp;"%"&amp;"；季度共識 EBITDA "&amp;"不適用"&amp;"、營收 "&amp;"不適用"&amp;"（口徑未揭露）"&amp;"）"),""),"")</f>
        <v/>
      </c>
      <c r="G94" s="42" t="str">
        <f aca="false">IF(ISNUMBER(G47),IF(IF(ISNUMBER(G52),ABS(G52)&gt;輸入與假設!$C$275,OR(AND(G33&lt;&gt;0,ABS(G47)&gt;輸入與假設!$C$274*ABS(G33)),AND(G33=0,G47&lt;&gt;0))),IF(ISNUMBER(G92),IF(ABS(G93)&gt;ABS(G92),"調整後 EBITDA vs 共識 "&amp;IF(G47&lt;0,"−","+")&amp;IF(ABS(G47)&lt;0,"−","")&amp;"$"&amp;TEXT(ABS(ABS(G47)),"#,##0.00")&amp;"bn"&amp;IF(ISNUMBER(G52),"／"&amp;IF(G52&lt;0,"−","+")&amp;TEXT(ABS(G52)*100,"#,##0.0")&amp;"pt","")&amp;"：拆法（分配 "&amp;IF(G93&lt;0,"−","+")&amp;IF(ABS(G93)&lt;0,"−","")&amp;"$"&amp;TEXT(ABS(ABS(G93)),"#,##0.000")&amp;"bn"&amp;"（Q3'27 占 FY27 "&amp;TEXT((G28/損益!D19)*100,"#,##0.0")&amp;"%"&amp;"，共識合計 "&amp;TEXT(((G33)/G91)*100,"#,##0.0")&amp;"%"&amp;"）；水準 "&amp;IF(G92&lt;0,"−","+")&amp;IF(ABS(G92)&lt;0,"−","")&amp;"$"&amp;TEXT(ABS(ABS(G92)),"#,##0.000")&amp;"bn"&amp;"）","調整後 EBITDA vs 共識 "&amp;IF(G47&lt;0,"−","+")&amp;IF(ABS(G47)&lt;0,"−","")&amp;"$"&amp;TEXT(ABS(ABS(G47)),"#,##0.00")&amp;"bn"&amp;IF(ISNUMBER(G52),"／"&amp;IF(G52&lt;0,"−","+")&amp;TEXT(ABS(G52)*100,"#,##0.0")&amp;"pt","")&amp;"：觀點（水準 "&amp;IF(G92&lt;0,"−","+")&amp;IF(ABS(G92)&lt;0,"−","")&amp;"$"&amp;TEXT(ABS(ABS(G92)),"#,##0.000")&amp;"bn"&amp;"（FY27 模型 "&amp;IF(損益!D19&lt;0,"−","")&amp;"$"&amp;TEXT(ABS(損益!D19),"#,##0.000")&amp;"bn"&amp;"，共識合計 "&amp;IF(G91&lt;0,"−","")&amp;"$"&amp;TEXT(ABS(G91),"#,##0.000")&amp;"bn"&amp;"）；分配 "&amp;IF(G93&lt;0,"−","+")&amp;IF(ABS(G93)&lt;0,"−","")&amp;"$"&amp;TEXT(ABS(ABS(G93)),"#,##0.000")&amp;"bn"&amp;"；"&amp;"模型 EBITDA 率 "&amp;IF((G27)&lt;0,"−","")&amp;TEXT(ABS((G27))*100,"#,##0.0")&amp;"%"&amp;"；季度共識 EBITDA "&amp;"不適用"&amp;"、營收 "&amp;"不適用"&amp;"（口徑未揭露）"&amp;"）"),"調整後 EBITDA vs 共識 "&amp;IF(G47&lt;0,"−","+")&amp;IF(ABS(G47)&lt;0,"−","")&amp;"$"&amp;TEXT(ABS(ABS(G47)),"#,##0.00")&amp;"bn"&amp;IF(ISNUMBER(G52),"／"&amp;IF(G52&lt;0,"−","+")&amp;TEXT(ABS(G52)*100,"#,##0.0")&amp;"pt","")&amp;"：觀點（"&amp;"模型 EBITDA 率 "&amp;IF((G27)&lt;0,"−","")&amp;TEXT(ABS((G27))*100,"#,##0.0")&amp;"%"&amp;"；季度共識 EBITDA "&amp;"不適用"&amp;"、營收 "&amp;"不適用"&amp;"（口徑未揭露）"&amp;"）"),""),"")</f>
        <v/>
      </c>
      <c r="H94" s="42" t="str">
        <f aca="false">IF(ISNUMBER(H47),IF(IF(ISNUMBER(H52),ABS(H52)&gt;輸入與假設!$C$275,OR(AND(H33&lt;&gt;0,ABS(H47)&gt;輸入與假設!$C$274*ABS(H33)),AND(H33=0,H47&lt;&gt;0))),IF(ISNUMBER(H92),IF(ABS(H93)&gt;ABS(H92),"調整後 EBITDA vs 共識 "&amp;IF(H47&lt;0,"−","+")&amp;IF(ABS(H47)&lt;0,"−","")&amp;"$"&amp;TEXT(ABS(ABS(H47)),"#,##0.00")&amp;"bn"&amp;IF(ISNUMBER(H52),"／"&amp;IF(H52&lt;0,"−","+")&amp;TEXT(ABS(H52)*100,"#,##0.0")&amp;"pt","")&amp;"：拆法（分配 "&amp;IF(H93&lt;0,"−","+")&amp;IF(ABS(H93)&lt;0,"−","")&amp;"$"&amp;TEXT(ABS(ABS(H93)),"#,##0.000")&amp;"bn"&amp;"（Q4'27 占 FY27 "&amp;TEXT((H28/損益!D19)*100,"#,##0.0")&amp;"%"&amp;"，共識合計 "&amp;TEXT(((H33)/H91)*100,"#,##0.0")&amp;"%"&amp;"）；水準 "&amp;IF(H92&lt;0,"−","+")&amp;IF(ABS(H92)&lt;0,"−","")&amp;"$"&amp;TEXT(ABS(ABS(H92)),"#,##0.000")&amp;"bn"&amp;"）","調整後 EBITDA vs 共識 "&amp;IF(H47&lt;0,"−","+")&amp;IF(ABS(H47)&lt;0,"−","")&amp;"$"&amp;TEXT(ABS(ABS(H47)),"#,##0.00")&amp;"bn"&amp;IF(ISNUMBER(H52),"／"&amp;IF(H52&lt;0,"−","+")&amp;TEXT(ABS(H52)*100,"#,##0.0")&amp;"pt","")&amp;"：觀點（水準 "&amp;IF(H92&lt;0,"−","+")&amp;IF(ABS(H92)&lt;0,"−","")&amp;"$"&amp;TEXT(ABS(ABS(H92)),"#,##0.000")&amp;"bn"&amp;"（FY27 模型 "&amp;IF(損益!D19&lt;0,"−","")&amp;"$"&amp;TEXT(ABS(損益!D19),"#,##0.000")&amp;"bn"&amp;"，共識合計 "&amp;IF(H91&lt;0,"−","")&amp;"$"&amp;TEXT(ABS(H91),"#,##0.000")&amp;"bn"&amp;"）；分配 "&amp;IF(H93&lt;0,"−","+")&amp;IF(ABS(H93)&lt;0,"−","")&amp;"$"&amp;TEXT(ABS(ABS(H93)),"#,##0.000")&amp;"bn"&amp;"；"&amp;"模型 EBITDA 率 "&amp;IF((H27)&lt;0,"−","")&amp;TEXT(ABS((H27))*100,"#,##0.0")&amp;"%"&amp;"；季度共識 EBITDA "&amp;"不適用"&amp;"、營收 "&amp;"不適用"&amp;"（口徑未揭露）"&amp;"）"),"調整後 EBITDA vs 共識 "&amp;IF(H47&lt;0,"−","+")&amp;IF(ABS(H47)&lt;0,"−","")&amp;"$"&amp;TEXT(ABS(ABS(H47)),"#,##0.00")&amp;"bn"&amp;IF(ISNUMBER(H52),"／"&amp;IF(H52&lt;0,"−","+")&amp;TEXT(ABS(H52)*100,"#,##0.0")&amp;"pt","")&amp;"：觀點（"&amp;"模型 EBITDA 率 "&amp;IF((H27)&lt;0,"−","")&amp;TEXT(ABS((H27))*100,"#,##0.0")&amp;"%"&amp;"；季度共識 EBITDA "&amp;"不適用"&amp;"、營收 "&amp;"不適用"&amp;"（口徑未揭露）"&amp;"）"),""),"")</f>
        <v/>
      </c>
    </row>
    <row r="95" customFormat="false" ht="15" hidden="true" customHeight="false" outlineLevel="1" collapsed="false">
      <c r="A95" s="3" t="s">
        <v>909</v>
      </c>
      <c r="C95" s="42" t="str">
        <f aca="false">IF(ISNUMBER(C47),IF(IF(ISNUMBER(C52),ABS(C52)&gt;輸入與假設!$C$275,OR(AND(C33&lt;&gt;0,ABS(C47)&gt;輸入與假設!$C$274*ABS(C33)),AND(C33=0,C47&lt;&gt;0))),IF(ISNUMBER(C92),IF(ABS(C93)&gt;ABS(C92),"拆法","觀點"),"觀點"),""),"")</f>
        <v/>
      </c>
      <c r="D95" s="42" t="str">
        <f aca="false">IF(ISNUMBER(D47),IF(IF(ISNUMBER(D52),ABS(D52)&gt;輸入與假設!$C$275,OR(AND(D33&lt;&gt;0,ABS(D47)&gt;輸入與假設!$C$274*ABS(D33)),AND(D33=0,D47&lt;&gt;0))),IF(ISNUMBER(D92),IF(ABS(D93)&gt;ABS(D92),"拆法","觀點"),"觀點"),""),"")</f>
        <v>觀點</v>
      </c>
      <c r="E95" s="42" t="str">
        <f aca="false">IF(ISNUMBER(E47),IF(IF(ISNUMBER(E52),ABS(E52)&gt;輸入與假設!$C$275,OR(AND(E33&lt;&gt;0,ABS(E47)&gt;輸入與假設!$C$274*ABS(E33)),AND(E33=0,E47&lt;&gt;0))),IF(ISNUMBER(E92),IF(ABS(E93)&gt;ABS(E92),"拆法","觀點"),"觀點"),""),"")</f>
        <v/>
      </c>
      <c r="F95" s="42" t="str">
        <f aca="false">IF(ISNUMBER(F47),IF(IF(ISNUMBER(F52),ABS(F52)&gt;輸入與假設!$C$275,OR(AND(F33&lt;&gt;0,ABS(F47)&gt;輸入與假設!$C$274*ABS(F33)),AND(F33=0,F47&lt;&gt;0))),IF(ISNUMBER(F92),IF(ABS(F93)&gt;ABS(F92),"拆法","觀點"),"觀點"),""),"")</f>
        <v/>
      </c>
      <c r="G95" s="42" t="str">
        <f aca="false">IF(ISNUMBER(G47),IF(IF(ISNUMBER(G52),ABS(G52)&gt;輸入與假設!$C$275,OR(AND(G33&lt;&gt;0,ABS(G47)&gt;輸入與假設!$C$274*ABS(G33)),AND(G33=0,G47&lt;&gt;0))),IF(ISNUMBER(G92),IF(ABS(G93)&gt;ABS(G92),"拆法","觀點"),"觀點"),""),"")</f>
        <v/>
      </c>
      <c r="H95" s="42" t="str">
        <f aca="false">IF(ISNUMBER(H47),IF(IF(ISNUMBER(H52),ABS(H52)&gt;輸入與假設!$C$275,OR(AND(H33&lt;&gt;0,ABS(H47)&gt;輸入與假設!$C$274*ABS(H33)),AND(H33=0,H47&lt;&gt;0))),IF(ISNUMBER(H92),IF(ABS(H93)&gt;ABS(H92),"拆法","觀點"),"觀點"),""),"")</f>
        <v/>
      </c>
    </row>
    <row r="96" customFormat="false" ht="15" hidden="true" customHeight="false" outlineLevel="1" collapsed="false">
      <c r="A96" s="3" t="s">
        <v>910</v>
      </c>
      <c r="C96" s="42"/>
      <c r="D96" s="42"/>
      <c r="E96" s="42"/>
      <c r="F96" s="42"/>
      <c r="G96" s="42"/>
      <c r="H96" s="42"/>
    </row>
    <row r="97" customFormat="false" ht="15" hidden="true" customHeight="false" outlineLevel="1" collapsed="false">
      <c r="A97" s="3" t="s">
        <v>911</v>
      </c>
      <c r="C97" s="42"/>
      <c r="D97" s="42"/>
      <c r="E97" s="42"/>
      <c r="F97" s="42"/>
      <c r="G97" s="42"/>
      <c r="H97" s="42"/>
    </row>
    <row r="98" customFormat="false" ht="15" hidden="true" customHeight="false" outlineLevel="1" collapsed="false">
      <c r="A98" s="3" t="s">
        <v>912</v>
      </c>
      <c r="C98" s="42" t="str">
        <f aca="false">IF(ISNUMBER(C49),IF(IF(ISNUMBER(C54),ABS(C54)&gt;輸入與假設!$C$275,OR(AND(C28&lt;&gt;0,ABS(C49)&gt;輸入與假設!$C$274*ABS(C28)),AND(C28=0,C49&lt;&gt;0))),"調整後 EBITDA 實際 vs 模型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"&amp;IF((輸入與假設!$C$245)&lt;0,"−","")&amp;TEXT(ABS((輸入與假設!$C$245)),"#,##0.00")&amp;"（口徑未揭露）"&amp;"）",""),"")</f>
        <v/>
      </c>
      <c r="D98" s="42" t="str">
        <f aca="false">IF(ISNUMBER(D49),IF(IF(ISNUMBER(D54),ABS(D54)&gt;輸入與假設!$C$275,OR(AND(D28&lt;&gt;0,ABS(D49)&gt;輸入與假設!$C$274*ABS(D28)),AND(D28=0,D49&lt;&gt;0))),"調整後 EBITDA 實際 vs 模型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"&amp;IF((輸入與假設!$D$245)&lt;0,"−","")&amp;TEXT(ABS((輸入與假設!$D$245)),"#,##0.00")&amp;"（口徑未揭露）"&amp;"）",""),"")</f>
        <v/>
      </c>
      <c r="E98" s="42" t="str">
        <f aca="false">IF(ISNUMBER(E49),IF(IF(ISNUMBER(E54),ABS(E54)&gt;輸入與假設!$C$275,OR(AND(E28&lt;&gt;0,ABS(E49)&gt;輸入與假設!$C$274*ABS(E28)),AND(E28=0,E49&lt;&gt;0))),"調整後 EBITDA 實際 vs 模型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"&amp;"不適用"&amp;"（口徑未揭露）"&amp;"）",""),"")</f>
        <v/>
      </c>
      <c r="F98" s="42" t="str">
        <f aca="false">IF(ISNUMBER(F49),IF(IF(ISNUMBER(F54),ABS(F54)&gt;輸入與假設!$C$275,OR(AND(F28&lt;&gt;0,ABS(F49)&gt;輸入與假設!$C$274*ABS(F28)),AND(F28=0,F49&lt;&gt;0))),"調整後 EBITDA 實際 vs 模型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"&amp;"不適用"&amp;"（口徑未揭露）"&amp;"）",""),"")</f>
        <v/>
      </c>
      <c r="G98" s="42" t="str">
        <f aca="false">IF(ISNUMBER(G49),IF(IF(ISNUMBER(G54),ABS(G54)&gt;輸入與假設!$C$275,OR(AND(G28&lt;&gt;0,ABS(G49)&gt;輸入與假設!$C$274*ABS(G28)),AND(G28=0,G49&lt;&gt;0))),"調整後 EBITDA 實際 vs 模型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"&amp;"不適用"&amp;"（口徑未揭露）"&amp;"）",""),"")</f>
        <v/>
      </c>
      <c r="H98" s="42" t="str">
        <f aca="false">IF(ISNUMBER(H49),IF(IF(ISNUMBER(H54),ABS(H54)&gt;輸入與假設!$C$275,OR(AND(H28&lt;&gt;0,ABS(H49)&gt;輸入與假設!$C$274*ABS(H28)),AND(H28=0,H49&lt;&gt;0))),"調整後 EBITDA 實際 vs 模型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"&amp;"不適用"&amp;"（口徑未揭露）"&amp;"）",""),"")</f>
        <v/>
      </c>
    </row>
    <row r="99" customFormat="false" ht="15" hidden="true" customHeight="false" outlineLevel="1" collapsed="false">
      <c r="A99" s="3" t="s">
        <v>913</v>
      </c>
      <c r="C99" s="42" t="str">
        <f aca="false">IF(ISNUMBER(C49),IF(IF(ISNUMBER(C54),ABS(C54)&gt;輸入與假設!$C$275,OR(AND(C28&lt;&gt;0,ABS(C49)&gt;輸入與假設!$C$274*ABS(C28)),AND(C28=0,C49&lt;&gt;0))),"觀點",""),"")</f>
        <v/>
      </c>
      <c r="D99" s="42" t="str">
        <f aca="false">IF(ISNUMBER(D49),IF(IF(ISNUMBER(D54),ABS(D54)&gt;輸入與假設!$C$275,OR(AND(D28&lt;&gt;0,ABS(D49)&gt;輸入與假設!$C$274*ABS(D28)),AND(D28=0,D49&lt;&gt;0))),"觀點",""),"")</f>
        <v/>
      </c>
      <c r="E99" s="42" t="str">
        <f aca="false">IF(ISNUMBER(E49),IF(IF(ISNUMBER(E54),ABS(E54)&gt;輸入與假設!$C$275,OR(AND(E28&lt;&gt;0,ABS(E49)&gt;輸入與假設!$C$274*ABS(E28)),AND(E28=0,E49&lt;&gt;0))),"觀點",""),"")</f>
        <v/>
      </c>
      <c r="F99" s="42" t="str">
        <f aca="false">IF(ISNUMBER(F49),IF(IF(ISNUMBER(F54),ABS(F54)&gt;輸入與假設!$C$275,OR(AND(F28&lt;&gt;0,ABS(F49)&gt;輸入與假設!$C$274*ABS(F28)),AND(F28=0,F49&lt;&gt;0))),"觀點",""),"")</f>
        <v/>
      </c>
      <c r="G99" s="42" t="str">
        <f aca="false">IF(ISNUMBER(G49),IF(IF(ISNUMBER(G54),ABS(G54)&gt;輸入與假設!$C$275,OR(AND(G28&lt;&gt;0,ABS(G49)&gt;輸入與假設!$C$274*ABS(G28)),AND(G28=0,G49&lt;&gt;0))),"觀點",""),"")</f>
        <v/>
      </c>
      <c r="H99" s="42" t="str">
        <f aca="false">IF(ISNUMBER(H49),IF(IF(ISNUMBER(H54),ABS(H54)&gt;輸入與假設!$C$275,OR(AND(H28&lt;&gt;0,ABS(H49)&gt;輸入與假設!$C$274*ABS(H28)),AND(H28=0,H49&lt;&gt;0))),"觀點",""),"")</f>
        <v/>
      </c>
    </row>
    <row r="100" customFormat="false" ht="15" hidden="true" customHeight="false" outlineLevel="1" collapsed="false">
      <c r="A100" s="3" t="s">
        <v>914</v>
      </c>
      <c r="C100" s="42"/>
      <c r="D100" s="42"/>
      <c r="E100" s="42"/>
      <c r="F100" s="42"/>
      <c r="G100" s="42"/>
      <c r="H100" s="42"/>
    </row>
    <row r="101" customFormat="false" ht="15" hidden="true" customHeight="false" outlineLevel="1" collapsed="false">
      <c r="A101" s="3" t="s">
        <v>915</v>
      </c>
      <c r="C101" s="42"/>
      <c r="D101" s="42"/>
      <c r="E101" s="42"/>
      <c r="F101" s="42"/>
      <c r="G101" s="42"/>
      <c r="H101" s="42"/>
    </row>
    <row r="102" customFormat="false" ht="15" hidden="true" customHeight="false" outlineLevel="1" collapsed="false">
      <c r="A102" s="3" t="s">
        <v>916</v>
      </c>
      <c r="C102" s="42"/>
      <c r="D102" s="42"/>
      <c r="E102" s="42"/>
      <c r="F102" s="42"/>
      <c r="G102" s="42"/>
      <c r="H102" s="42"/>
    </row>
    <row r="103" customFormat="false" ht="15" hidden="true" customHeight="false" outlineLevel="1" collapsed="false">
      <c r="A103" s="3" t="s">
        <v>917</v>
      </c>
      <c r="C103" s="42"/>
      <c r="D103" s="42"/>
      <c r="E103" s="42"/>
      <c r="F103" s="42"/>
      <c r="G103" s="42"/>
      <c r="H103" s="42"/>
    </row>
    <row r="104" customFormat="false" ht="15" hidden="true" customHeight="false" outlineLevel="1" collapsed="false">
      <c r="A104" s="3" t="s">
        <v>918</v>
      </c>
      <c r="C104" s="42" t="str">
        <f aca="false">IF(ISNUMBER(C64),IF(IF(ISNUMBER(C69),ABS(C69)&gt;輸入與假設!$C$275,OR(AND(C30&lt;&gt;0,ABS(C64)&gt;輸入與假設!$C$274*ABS(C30)),AND(C30=0,C64&lt;&gt;0))),"調整後營業利益 實際 vs 模型 "&amp;IF(C64&lt;0,"−","+")&amp;IF(ABS(C64)&lt;0,"−","")&amp;"$"&amp;TEXT(ABS(ABS(C64)),"#,##0.00")&amp;"bn"&amp;IF(ISNUMBER(C69),"／"&amp;IF(C69&lt;0,"−","+")&amp;TEXT(ABS(C69)*100,"#,##0.0")&amp;"pt","")&amp;"：已知限制（"&amp;"模型車隊折舊 "&amp;IF((C29)&lt;0,"−","")&amp;TEXT(ABS((C29)),"#,##0.00")&amp;" 以期初毛 PP&amp;E（含尚未啟用資產）計，高於實際走勢（同 CRWV 模板待辦 6，不在本次範圍）"&amp;"）",""),"")</f>
        <v/>
      </c>
      <c r="D104" s="42" t="str">
        <f aca="false">IF(ISNUMBER(D64),IF(IF(ISNUMBER(D69),ABS(D69)&gt;輸入與假設!$C$275,OR(AND(D30&lt;&gt;0,ABS(D64)&gt;輸入與假設!$C$274*ABS(D30)),AND(D30=0,D64&lt;&gt;0))),"調整後營業利益 實際 vs 模型 "&amp;IF(D64&lt;0,"−","+")&amp;IF(ABS(D64)&lt;0,"−","")&amp;"$"&amp;TEXT(ABS(ABS(D64)),"#,##0.00")&amp;"bn"&amp;IF(ISNUMBER(D69),"／"&amp;IF(D69&lt;0,"−","+")&amp;TEXT(ABS(D69)*100,"#,##0.0")&amp;"pt","")&amp;"：已知限制（"&amp;"模型車隊折舊 "&amp;IF((D29)&lt;0,"−","")&amp;TEXT(ABS((D29)),"#,##0.00")&amp;" 以期初毛 PP&amp;E（含尚未啟用資產）計，高於實際走勢（同 CRWV 模板待辦 6，不在本次範圍）"&amp;"）",""),"")</f>
        <v/>
      </c>
      <c r="E104" s="42" t="str">
        <f aca="false">IF(ISNUMBER(E64),IF(IF(ISNUMBER(E69),ABS(E69)&gt;輸入與假設!$C$275,OR(AND(E30&lt;&gt;0,ABS(E64)&gt;輸入與假設!$C$274*ABS(E30)),AND(E30=0,E64&lt;&gt;0))),"調整後營業利益 實際 vs 模型 "&amp;IF(E64&lt;0,"−","+")&amp;IF(ABS(E64)&lt;0,"−","")&amp;"$"&amp;TEXT(ABS(ABS(E64)),"#,##0.00")&amp;"bn"&amp;IF(ISNUMBER(E69),"／"&amp;IF(E69&lt;0,"−","+")&amp;TEXT(ABS(E69)*100,"#,##0.0")&amp;"pt","")&amp;"：已知限制（"&amp;"模型車隊折舊 "&amp;IF((E29)&lt;0,"−","")&amp;TEXT(ABS((E29)),"#,##0.00")&amp;" 以期初毛 PP&amp;E（含尚未啟用資產）計，高於實際走勢（同 CRWV 模板待辦 6，不在本次範圍）"&amp;"）",""),"")</f>
        <v/>
      </c>
      <c r="F104" s="42" t="str">
        <f aca="false">IF(ISNUMBER(F64),IF(IF(ISNUMBER(F69),ABS(F69)&gt;輸入與假設!$C$275,OR(AND(F30&lt;&gt;0,ABS(F64)&gt;輸入與假設!$C$274*ABS(F30)),AND(F30=0,F64&lt;&gt;0))),"調整後營業利益 實際 vs 模型 "&amp;IF(F64&lt;0,"−","+")&amp;IF(ABS(F64)&lt;0,"−","")&amp;"$"&amp;TEXT(ABS(ABS(F64)),"#,##0.00")&amp;"bn"&amp;IF(ISNUMBER(F69),"／"&amp;IF(F69&lt;0,"−","+")&amp;TEXT(ABS(F69)*100,"#,##0.0")&amp;"pt","")&amp;"：已知限制（"&amp;"模型車隊折舊 "&amp;IF((F29)&lt;0,"−","")&amp;TEXT(ABS((F29)),"#,##0.00")&amp;" 以期初毛 PP&amp;E（含尚未啟用資產）計，高於實際走勢（同 CRWV 模板待辦 6，不在本次範圍）"&amp;"）",""),"")</f>
        <v/>
      </c>
      <c r="G104" s="42" t="str">
        <f aca="false">IF(ISNUMBER(G64),IF(IF(ISNUMBER(G69),ABS(G69)&gt;輸入與假設!$C$275,OR(AND(G30&lt;&gt;0,ABS(G64)&gt;輸入與假設!$C$274*ABS(G30)),AND(G30=0,G64&lt;&gt;0))),"調整後營業利益 實際 vs 模型 "&amp;IF(G64&lt;0,"−","+")&amp;IF(ABS(G64)&lt;0,"−","")&amp;"$"&amp;TEXT(ABS(ABS(G64)),"#,##0.00")&amp;"bn"&amp;IF(ISNUMBER(G69),"／"&amp;IF(G69&lt;0,"−","+")&amp;TEXT(ABS(G69)*100,"#,##0.0")&amp;"pt","")&amp;"：已知限制（"&amp;"模型車隊折舊 "&amp;IF((G29)&lt;0,"−","")&amp;TEXT(ABS((G29)),"#,##0.00")&amp;" 以期初毛 PP&amp;E（含尚未啟用資產）計，高於實際走勢（同 CRWV 模板待辦 6，不在本次範圍）"&amp;"）",""),"")</f>
        <v/>
      </c>
      <c r="H104" s="42" t="str">
        <f aca="false">IF(ISNUMBER(H64),IF(IF(ISNUMBER(H69),ABS(H69)&gt;輸入與假設!$C$275,OR(AND(H30&lt;&gt;0,ABS(H64)&gt;輸入與假設!$C$274*ABS(H30)),AND(H30=0,H64&lt;&gt;0))),"調整後營業利益 實際 vs 模型 "&amp;IF(H64&lt;0,"−","+")&amp;IF(ABS(H64)&lt;0,"−","")&amp;"$"&amp;TEXT(ABS(ABS(H64)),"#,##0.00")&amp;"bn"&amp;IF(ISNUMBER(H69),"／"&amp;IF(H69&lt;0,"−","+")&amp;TEXT(ABS(H69)*100,"#,##0.0")&amp;"pt","")&amp;"：已知限制（"&amp;"模型車隊折舊 "&amp;IF((H29)&lt;0,"−","")&amp;TEXT(ABS((H29)),"#,##0.00")&amp;" 以期初毛 PP&amp;E（含尚未啟用資產）計，高於實際走勢（同 CRWV 模板待辦 6，不在本次範圍）"&amp;"）",""),"")</f>
        <v/>
      </c>
    </row>
    <row r="105" customFormat="false" ht="15" hidden="true" customHeight="false" outlineLevel="1" collapsed="false">
      <c r="A105" s="3" t="s">
        <v>919</v>
      </c>
      <c r="C105" s="42" t="str">
        <f aca="false">IF(ISNUMBER(C64),IF(IF(ISNUMBER(C69),ABS(C69)&gt;輸入與假設!$C$275,OR(AND(C30&lt;&gt;0,ABS(C64)&gt;輸入與假設!$C$274*ABS(C30)),AND(C30=0,C64&lt;&gt;0))),"已知限制",""),"")</f>
        <v/>
      </c>
      <c r="D105" s="42" t="str">
        <f aca="false">IF(ISNUMBER(D64),IF(IF(ISNUMBER(D69),ABS(D69)&gt;輸入與假設!$C$275,OR(AND(D30&lt;&gt;0,ABS(D64)&gt;輸入與假設!$C$274*ABS(D30)),AND(D30=0,D64&lt;&gt;0))),"已知限制",""),"")</f>
        <v/>
      </c>
      <c r="E105" s="42" t="str">
        <f aca="false">IF(ISNUMBER(E64),IF(IF(ISNUMBER(E69),ABS(E69)&gt;輸入與假設!$C$275,OR(AND(E30&lt;&gt;0,ABS(E64)&gt;輸入與假設!$C$274*ABS(E30)),AND(E30=0,E64&lt;&gt;0))),"已知限制",""),"")</f>
        <v/>
      </c>
      <c r="F105" s="42" t="str">
        <f aca="false">IF(ISNUMBER(F64),IF(IF(ISNUMBER(F69),ABS(F69)&gt;輸入與假設!$C$275,OR(AND(F30&lt;&gt;0,ABS(F64)&gt;輸入與假設!$C$274*ABS(F30)),AND(F30=0,F64&lt;&gt;0))),"已知限制",""),"")</f>
        <v/>
      </c>
      <c r="G105" s="42" t="str">
        <f aca="false">IF(ISNUMBER(G64),IF(IF(ISNUMBER(G69),ABS(G69)&gt;輸入與假設!$C$275,OR(AND(G30&lt;&gt;0,ABS(G64)&gt;輸入與假設!$C$274*ABS(G30)),AND(G30=0,G64&lt;&gt;0))),"已知限制",""),"")</f>
        <v/>
      </c>
      <c r="H105" s="42" t="str">
        <f aca="false">IF(ISNUMBER(H64),IF(IF(ISNUMBER(H69),ABS(H69)&gt;輸入與假設!$C$275,OR(AND(H30&lt;&gt;0,ABS(H64)&gt;輸入與假設!$C$274*ABS(H30)),AND(H30=0,H64&lt;&gt;0))),"已知限制",""),"")</f>
        <v/>
      </c>
    </row>
    <row r="106" customFormat="false" ht="15" hidden="true" customHeight="false" outlineLevel="1" collapsed="false">
      <c r="A106" s="3" t="s">
        <v>920</v>
      </c>
      <c r="C106" s="42"/>
      <c r="D106" s="42"/>
      <c r="E106" s="42"/>
      <c r="F106" s="42"/>
      <c r="G106" s="42"/>
      <c r="H106" s="42"/>
    </row>
    <row r="107" customFormat="false" ht="15" hidden="true" customHeight="false" outlineLevel="1" collapsed="false">
      <c r="A107" s="3" t="s">
        <v>921</v>
      </c>
      <c r="C107" s="42"/>
      <c r="D107" s="42"/>
      <c r="E107" s="42"/>
      <c r="F107" s="42"/>
      <c r="G107" s="42"/>
      <c r="H107" s="42"/>
    </row>
    <row r="108" customFormat="false" ht="15" hidden="true" customHeight="false" outlineLevel="1" collapsed="false">
      <c r="A108" s="3" t="s">
        <v>922</v>
      </c>
      <c r="C108" s="42"/>
      <c r="D108" s="42"/>
      <c r="E108" s="42"/>
      <c r="F108" s="42"/>
      <c r="G108" s="42"/>
      <c r="H108" s="42"/>
    </row>
    <row r="109" customFormat="false" ht="15" hidden="true" customHeight="false" outlineLevel="1" collapsed="false">
      <c r="A109" s="3" t="s">
        <v>923</v>
      </c>
      <c r="C109" s="42"/>
      <c r="D109" s="42"/>
      <c r="E109" s="42"/>
      <c r="F109" s="42"/>
      <c r="G109" s="42"/>
      <c r="H109" s="42"/>
    </row>
    <row r="110" customFormat="false" ht="15" hidden="true" customHeight="false" outlineLevel="1" collapsed="false">
      <c r="A110" s="3" t="s">
        <v>924</v>
      </c>
      <c r="C110" s="42" t="str">
        <f aca="false">IF(ISNUMBER(C74),IF(ABS(C74)&gt;輸入與假設!$C$274,"CapEx（毛額） 實際 vs 模型 "&amp;IF(C74&lt;0,"−","+")&amp;TEXT(ABS(C74)*100,"#,##0.0")&amp;"%"&amp;"：觀點（"&amp;"CapEx 依新增已連網 MW × 每 MW 建置成本（Tokenomics IF_CapexTotal）計算；共識口徑未揭露"&amp;"）",""),"")</f>
        <v/>
      </c>
      <c r="D110" s="42" t="str">
        <f aca="false">IF(ISNUMBER(D74),IF(ABS(D74)&gt;輸入與假設!$C$274,"CapEx（毛額） 實際 vs 模型 "&amp;IF(D74&lt;0,"−","+")&amp;TEXT(ABS(D74)*100,"#,##0.0")&amp;"%"&amp;"：觀點（"&amp;"CapEx 依新增已連網 MW × 每 MW 建置成本（Tokenomics IF_CapexTotal）計算；共識口徑未揭露"&amp;"）",""),"")</f>
        <v/>
      </c>
      <c r="E110" s="42" t="str">
        <f aca="false">IF(ISNUMBER(E74),IF(ABS(E74)&gt;輸入與假設!$C$274,"CapEx（毛額） 實際 vs 模型 "&amp;IF(E74&lt;0,"−","+")&amp;TEXT(ABS(E74)*100,"#,##0.0")&amp;"%"&amp;"：觀點（"&amp;"CapEx 依新增已連網 MW × 每 MW 建置成本（Tokenomics IF_CapexTotal）計算；共識口徑未揭露"&amp;"）",""),"")</f>
        <v/>
      </c>
      <c r="F110" s="42" t="str">
        <f aca="false">IF(ISNUMBER(F74),IF(ABS(F74)&gt;輸入與假設!$C$274,"CapEx（毛額） 實際 vs 模型 "&amp;IF(F74&lt;0,"−","+")&amp;TEXT(ABS(F74)*100,"#,##0.0")&amp;"%"&amp;"：觀點（"&amp;"CapEx 依新增已連網 MW × 每 MW 建置成本（Tokenomics IF_CapexTotal）計算；共識口徑未揭露"&amp;"）",""),"")</f>
        <v/>
      </c>
      <c r="G110" s="42" t="str">
        <f aca="false">IF(ISNUMBER(G74),IF(ABS(G74)&gt;輸入與假設!$C$274,"CapEx（毛額） 實際 vs 模型 "&amp;IF(G74&lt;0,"−","+")&amp;TEXT(ABS(G74)*100,"#,##0.0")&amp;"%"&amp;"：觀點（"&amp;"CapEx 依新增已連網 MW × 每 MW 建置成本（Tokenomics IF_CapexTotal）計算；共識口徑未揭露"&amp;"）",""),"")</f>
        <v/>
      </c>
      <c r="H110" s="42" t="str">
        <f aca="false">IF(ISNUMBER(H74),IF(ABS(H74)&gt;輸入與假設!$C$274,"CapEx（毛額） 實際 vs 模型 "&amp;IF(H74&lt;0,"−","+")&amp;TEXT(ABS(H74)*100,"#,##0.0")&amp;"%"&amp;"：觀點（"&amp;"CapEx 依新增已連網 MW × 每 MW 建置成本（Tokenomics IF_CapexTotal）計算；共識口徑未揭露"&amp;"）",""),"")</f>
        <v/>
      </c>
    </row>
    <row r="111" customFormat="false" ht="15" hidden="true" customHeight="false" outlineLevel="1" collapsed="false">
      <c r="A111" s="3" t="s">
        <v>925</v>
      </c>
      <c r="C111" s="42" t="str">
        <f aca="false">IF(ISNUMBER(C74),IF(ABS(C74)&gt;輸入與假設!$C$274,"觀點",""),"")</f>
        <v/>
      </c>
      <c r="D111" s="42" t="str">
        <f aca="false">IF(ISNUMBER(D74),IF(ABS(D74)&gt;輸入與假設!$C$274,"觀點",""),"")</f>
        <v/>
      </c>
      <c r="E111" s="42" t="str">
        <f aca="false">IF(ISNUMBER(E74),IF(ABS(E74)&gt;輸入與假設!$C$274,"觀點",""),"")</f>
        <v/>
      </c>
      <c r="F111" s="42" t="str">
        <f aca="false">IF(ISNUMBER(F74),IF(ABS(F74)&gt;輸入與假設!$C$274,"觀點",""),"")</f>
        <v/>
      </c>
      <c r="G111" s="42" t="str">
        <f aca="false">IF(ISNUMBER(G74),IF(ABS(G74)&gt;輸入與假設!$C$274,"觀點",""),"")</f>
        <v/>
      </c>
      <c r="H111" s="42" t="str">
        <f aca="false">IF(ISNUMBER(H74),IF(ABS(H74)&gt;輸入與假設!$C$274,"觀點",""),"")</f>
        <v/>
      </c>
    </row>
    <row r="112" customFormat="false" ht="15" hidden="true" customHeight="false" outlineLevel="1" collapsed="false">
      <c r="A112" s="3" t="s">
        <v>926</v>
      </c>
      <c r="C112" s="42"/>
      <c r="D112" s="42"/>
      <c r="E112" s="42"/>
      <c r="F112" s="42"/>
      <c r="G112" s="42"/>
      <c r="H112" s="42"/>
    </row>
    <row r="113" customFormat="false" ht="15" hidden="true" customHeight="false" outlineLevel="1" collapsed="false">
      <c r="A113" s="3" t="s">
        <v>927</v>
      </c>
      <c r="C113" s="42"/>
      <c r="D113" s="42"/>
      <c r="E113" s="42"/>
      <c r="F113" s="42"/>
      <c r="G113" s="42"/>
      <c r="H113" s="42"/>
    </row>
    <row r="114" customFormat="false" ht="15" hidden="true" customHeight="false" outlineLevel="1" collapsed="false">
      <c r="A114" s="3" t="s">
        <v>928</v>
      </c>
      <c r="C114" s="42"/>
      <c r="D114" s="42"/>
      <c r="E114" s="42"/>
      <c r="F114" s="42"/>
      <c r="G114" s="42"/>
      <c r="H114" s="42"/>
    </row>
    <row r="115" customFormat="false" ht="15" hidden="true" customHeight="false" outlineLevel="1" collapsed="false">
      <c r="A115" s="3" t="s">
        <v>929</v>
      </c>
      <c r="C115" s="42"/>
      <c r="D115" s="42"/>
      <c r="E115" s="42"/>
      <c r="F115" s="42"/>
      <c r="G115" s="42"/>
      <c r="H115" s="42"/>
    </row>
    <row r="116" customFormat="false" ht="15" hidden="true" customHeight="false" outlineLevel="1" collapsed="false">
      <c r="A116" s="3" t="s">
        <v>930</v>
      </c>
      <c r="C116" s="42"/>
      <c r="D116" s="42"/>
      <c r="E116" s="42"/>
      <c r="F116" s="42"/>
      <c r="G116" s="42"/>
      <c r="H116" s="42"/>
    </row>
    <row r="117" customFormat="false" ht="15" hidden="true" customHeight="false" outlineLevel="1" collapsed="false">
      <c r="A117" s="3" t="s">
        <v>931</v>
      </c>
      <c r="C117" s="42"/>
      <c r="D117" s="42"/>
      <c r="E117" s="42"/>
      <c r="F117" s="42"/>
      <c r="G117" s="42"/>
      <c r="H117" s="42"/>
    </row>
    <row r="118" customFormat="false" ht="15" hidden="true" customHeight="false" outlineLevel="1" collapsed="false">
      <c r="A118" s="3" t="s">
        <v>932</v>
      </c>
      <c r="C118" s="42" t="str">
        <f aca="false">MID(IF(C85&lt;&gt;"","；"&amp;C85,"")&amp;IF(C87&lt;&gt;"","；"&amp;C87,"")&amp;IF(C89&lt;&gt;"","；"&amp;C89,"")&amp;IF(C94&lt;&gt;"","；"&amp;C94,"")&amp;IF(C96&lt;&gt;"","；"&amp;C96,"")&amp;IF(C98&lt;&gt;"","；"&amp;C98,"")&amp;IF(C100&lt;&gt;"","；"&amp;C100,"")&amp;IF(C102&lt;&gt;"","；"&amp;C102,"")&amp;IF(C104&lt;&gt;"","；"&amp;C104,"")&amp;IF(C106&lt;&gt;"","；"&amp;C106,"")&amp;IF(C108&lt;&gt;"","；"&amp;C108,"")&amp;IF(C110&lt;&gt;"","；"&amp;C110,"")&amp;IF(C112&lt;&gt;"","；"&amp;C112,"")&amp;IF(C114&lt;&gt;"","；"&amp;C114,"")&amp;IF(C116&lt;&gt;"","；"&amp;C116,""),2,9999)</f>
        <v>營收 vs 共識 −28.1%：觀點（水準 −$0.395bn（2H26 模型 $1.358bn，共識合計 $2.420bn）；分配 +$0.142bn；每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</v>
      </c>
      <c r="D118" s="42" t="str">
        <f aca="false">MID(IF(D85&lt;&gt;"","；"&amp;D85,"")&amp;IF(D87&lt;&gt;"","；"&amp;D87,"")&amp;IF(D89&lt;&gt;"","；"&amp;D89,"")&amp;IF(D94&lt;&gt;"","；"&amp;D94,"")&amp;IF(D96&lt;&gt;"","；"&amp;D96,"")&amp;IF(D98&lt;&gt;"","；"&amp;D98,"")&amp;IF(D100&lt;&gt;"","；"&amp;D100,"")&amp;IF(D102&lt;&gt;"","；"&amp;D102,"")&amp;IF(D104&lt;&gt;"","；"&amp;D104,"")&amp;IF(D106&lt;&gt;"","；"&amp;D106,"")&amp;IF(D108&lt;&gt;"","；"&amp;D108,"")&amp;IF(D110&lt;&gt;"","；"&amp;D110,"")&amp;IF(D112&lt;&gt;"","；"&amp;D112,"")&amp;IF(D114&lt;&gt;"","；"&amp;D114,"")&amp;IF(D116&lt;&gt;"","；"&amp;D116,""),2,9999)</f>
        <v>營收 vs 共識 −53.2%：觀點（水準 −$0.667bn（2H26 模型 $1.358bn，共識合計 $2.420bn）；分配 −$0.142bn；每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與單價假設）；調整後 EBITDA vs 共識 −$0.43bn／−5.3pt：觀點（水準 −$0.350bn（2H26 模型 $0.581bn，共識合計 $1.102bn）；分配 −$0.082bn；模型 EBITDA 率 43.3%；季度共識 EBITDA 0.74、營收 1.52（口徑未揭露））</v>
      </c>
      <c r="E118" s="42" t="str">
        <f aca="false">MID(IF(E85&lt;&gt;"","；"&amp;E85,"")&amp;IF(E87&lt;&gt;"","；"&amp;E87,"")&amp;IF(E89&lt;&gt;"","；"&amp;E89,"")&amp;IF(E94&lt;&gt;"","；"&amp;E94,"")&amp;IF(E96&lt;&gt;"","；"&amp;E96,"")&amp;IF(E98&lt;&gt;"","；"&amp;E98,"")&amp;IF(E100&lt;&gt;"","；"&amp;E100,"")&amp;IF(E102&lt;&gt;"","；"&amp;E102,"")&amp;IF(E104&lt;&gt;"","；"&amp;E104,"")&amp;IF(E106&lt;&gt;"","；"&amp;E106,"")&amp;IF(E108&lt;&gt;"","；"&amp;E108,"")&amp;IF(E110&lt;&gt;"","；"&amp;E110,"")&amp;IF(E112&lt;&gt;"","；"&amp;E112,"")&amp;IF(E114&lt;&gt;"","；"&amp;E114,"")&amp;IF(E116&lt;&gt;"","；"&amp;E116,""),2,9999)</f>
        <v/>
      </c>
      <c r="F118" s="42" t="str">
        <f aca="false">MID(IF(F85&lt;&gt;"","；"&amp;F85,"")&amp;IF(F87&lt;&gt;"","；"&amp;F87,"")&amp;IF(F89&lt;&gt;"","；"&amp;F89,"")&amp;IF(F94&lt;&gt;"","；"&amp;F94,"")&amp;IF(F96&lt;&gt;"","；"&amp;F96,"")&amp;IF(F98&lt;&gt;"","；"&amp;F98,"")&amp;IF(F100&lt;&gt;"","；"&amp;F100,"")&amp;IF(F102&lt;&gt;"","；"&amp;F102,"")&amp;IF(F104&lt;&gt;"","；"&amp;F104,"")&amp;IF(F106&lt;&gt;"","；"&amp;F106,"")&amp;IF(F108&lt;&gt;"","；"&amp;F108,"")&amp;IF(F110&lt;&gt;"","；"&amp;F110,"")&amp;IF(F112&lt;&gt;"","；"&amp;F112,"")&amp;IF(F114&lt;&gt;"","；"&amp;F114,"")&amp;IF(F116&lt;&gt;"","；"&amp;F116,""),2,9999)</f>
        <v/>
      </c>
      <c r="G118" s="42" t="str">
        <f aca="false">MID(IF(G85&lt;&gt;"","；"&amp;G85,"")&amp;IF(G87&lt;&gt;"","；"&amp;G87,"")&amp;IF(G89&lt;&gt;"","；"&amp;G89,"")&amp;IF(G94&lt;&gt;"","；"&amp;G94,"")&amp;IF(G96&lt;&gt;"","；"&amp;G96,"")&amp;IF(G98&lt;&gt;"","；"&amp;G98,"")&amp;IF(G100&lt;&gt;"","；"&amp;G100,"")&amp;IF(G102&lt;&gt;"","；"&amp;G102,"")&amp;IF(G104&lt;&gt;"","；"&amp;G104,"")&amp;IF(G106&lt;&gt;"","；"&amp;G106,"")&amp;IF(G108&lt;&gt;"","；"&amp;G108,"")&amp;IF(G110&lt;&gt;"","；"&amp;G110,"")&amp;IF(G112&lt;&gt;"","；"&amp;G112,"")&amp;IF(G114&lt;&gt;"","；"&amp;G114,"")&amp;IF(G116&lt;&gt;"","；"&amp;G116,""),2,9999)</f>
        <v/>
      </c>
      <c r="H118" s="42" t="str">
        <f aca="false">MID(IF(H85&lt;&gt;"","；"&amp;H85,"")&amp;IF(H87&lt;&gt;"","；"&amp;H87,"")&amp;IF(H89&lt;&gt;"","；"&amp;H89,"")&amp;IF(H94&lt;&gt;"","；"&amp;H94,"")&amp;IF(H96&lt;&gt;"","；"&amp;H96,"")&amp;IF(H98&lt;&gt;"","；"&amp;H98,"")&amp;IF(H100&lt;&gt;"","；"&amp;H100,"")&amp;IF(H102&lt;&gt;"","；"&amp;H102,"")&amp;IF(H104&lt;&gt;"","；"&amp;H104,"")&amp;IF(H106&lt;&gt;"","；"&amp;H106,"")&amp;IF(H108&lt;&gt;"","；"&amp;H108,"")&amp;IF(H110&lt;&gt;"","；"&amp;H110,"")&amp;IF(H112&lt;&gt;"","；"&amp;H112,"")&amp;IF(H114&lt;&gt;"","；"&amp;H114,"")&amp;IF(H116&lt;&gt;"","；"&amp;H116,""),2,9999)</f>
        <v/>
      </c>
    </row>
    <row r="119" customFormat="false" ht="15" hidden="true" customHeight="false" outlineLevel="1" collapsed="false">
      <c r="A119" s="3" t="s">
        <v>933</v>
      </c>
      <c r="C119" s="42" t="str">
        <f aca="false">IF((C86&amp;IF(AND(C88&lt;&gt;"",C88&lt;&gt;C86),IF((C86)&lt;&gt;"","、","")&amp;C88,"")&amp;IF(AND(C90&lt;&gt;"",C90&lt;&gt;C86,C90&lt;&gt;C88),IF((C86&amp;C88)&lt;&gt;"","、","")&amp;C90,""))&lt;&gt;"","〔"&amp;(C86&amp;IF(AND(C88&lt;&gt;"",C88&lt;&gt;C86),IF((C86)&lt;&gt;"","、","")&amp;C88,"")&amp;IF(AND(C90&lt;&gt;"",C90&lt;&gt;C86,C90&lt;&gt;C88),IF((C86&amp;C88)&lt;&gt;"","、","")&amp;C90,""))&amp;"〕","")</f>
        <v>〔觀點〕</v>
      </c>
      <c r="D119" s="42" t="str">
        <f aca="false">IF((D86&amp;IF(AND(D88&lt;&gt;"",D88&lt;&gt;D86),IF((D86)&lt;&gt;"","、","")&amp;D88,"")&amp;IF(AND(D90&lt;&gt;"",D90&lt;&gt;D86,D90&lt;&gt;D88),IF((D86&amp;D88)&lt;&gt;"","、","")&amp;D90,""))&lt;&gt;"","〔"&amp;(D86&amp;IF(AND(D88&lt;&gt;"",D88&lt;&gt;D86),IF((D86)&lt;&gt;"","、","")&amp;D88,"")&amp;IF(AND(D90&lt;&gt;"",D90&lt;&gt;D86,D90&lt;&gt;D88),IF((D86&amp;D88)&lt;&gt;"","、","")&amp;D90,""))&amp;"〕","")</f>
        <v>〔觀點〕</v>
      </c>
      <c r="E119" s="42" t="str">
        <f aca="false">IF((E86&amp;IF(AND(E88&lt;&gt;"",E88&lt;&gt;E86),IF((E86)&lt;&gt;"","、","")&amp;E88,"")&amp;IF(AND(E90&lt;&gt;"",E90&lt;&gt;E86,E90&lt;&gt;E88),IF((E86&amp;E88)&lt;&gt;"","、","")&amp;E90,""))&lt;&gt;"","〔"&amp;(E86&amp;IF(AND(E88&lt;&gt;"",E88&lt;&gt;E86),IF((E86)&lt;&gt;"","、","")&amp;E88,"")&amp;IF(AND(E90&lt;&gt;"",E90&lt;&gt;E86,E90&lt;&gt;E88),IF((E86&amp;E88)&lt;&gt;"","、","")&amp;E90,""))&amp;"〕","")</f>
        <v/>
      </c>
      <c r="F119" s="42" t="str">
        <f aca="false">IF((F86&amp;IF(AND(F88&lt;&gt;"",F88&lt;&gt;F86),IF((F86)&lt;&gt;"","、","")&amp;F88,"")&amp;IF(AND(F90&lt;&gt;"",F90&lt;&gt;F86,F90&lt;&gt;F88),IF((F86&amp;F88)&lt;&gt;"","、","")&amp;F90,""))&lt;&gt;"","〔"&amp;(F86&amp;IF(AND(F88&lt;&gt;"",F88&lt;&gt;F86),IF((F86)&lt;&gt;"","、","")&amp;F88,"")&amp;IF(AND(F90&lt;&gt;"",F90&lt;&gt;F86,F90&lt;&gt;F88),IF((F86&amp;F88)&lt;&gt;"","、","")&amp;F90,""))&amp;"〕","")</f>
        <v/>
      </c>
      <c r="G119" s="42" t="str">
        <f aca="false">IF((G86&amp;IF(AND(G88&lt;&gt;"",G88&lt;&gt;G86),IF((G86)&lt;&gt;"","、","")&amp;G88,"")&amp;IF(AND(G90&lt;&gt;"",G90&lt;&gt;G86,G90&lt;&gt;G88),IF((G86&amp;G88)&lt;&gt;"","、","")&amp;G90,""))&lt;&gt;"","〔"&amp;(G86&amp;IF(AND(G88&lt;&gt;"",G88&lt;&gt;G86),IF((G86)&lt;&gt;"","、","")&amp;G88,"")&amp;IF(AND(G90&lt;&gt;"",G90&lt;&gt;G86,G90&lt;&gt;G88),IF((G86&amp;G88)&lt;&gt;"","、","")&amp;G90,""))&amp;"〕","")</f>
        <v/>
      </c>
      <c r="H119" s="42" t="str">
        <f aca="false">IF((H86&amp;IF(AND(H88&lt;&gt;"",H88&lt;&gt;H86),IF((H86)&lt;&gt;"","、","")&amp;H88,"")&amp;IF(AND(H90&lt;&gt;"",H90&lt;&gt;H86,H90&lt;&gt;H88),IF((H86&amp;H88)&lt;&gt;"","、","")&amp;H90,""))&lt;&gt;"","〔"&amp;(H86&amp;IF(AND(H88&lt;&gt;"",H88&lt;&gt;H86),IF((H86)&lt;&gt;"","、","")&amp;H88,"")&amp;IF(AND(H90&lt;&gt;"",H90&lt;&gt;H86,H90&lt;&gt;H88),IF((H86&amp;H88)&lt;&gt;"","、","")&amp;H90,""))&amp;"〕","")</f>
        <v/>
      </c>
    </row>
    <row r="120" customFormat="false" ht="15" hidden="true" customHeight="false" outlineLevel="1" collapsed="false">
      <c r="A120" s="3" t="s">
        <v>934</v>
      </c>
      <c r="C120" s="42" t="str">
        <f aca="false">IF((C95&amp;IF(AND(C97&lt;&gt;"",C97&lt;&gt;C95),IF((C95)&lt;&gt;"","、","")&amp;C97,"")&amp;IF(AND(C99&lt;&gt;"",C99&lt;&gt;C95,C99&lt;&gt;C97),IF((C95&amp;C97)&lt;&gt;"","、","")&amp;C99,""))&lt;&gt;"","〔"&amp;(C95&amp;IF(AND(C97&lt;&gt;"",C97&lt;&gt;C95),IF((C95)&lt;&gt;"","、","")&amp;C97,"")&amp;IF(AND(C99&lt;&gt;"",C99&lt;&gt;C95,C99&lt;&gt;C97),IF((C95&amp;C97)&lt;&gt;"","、","")&amp;C99,""))&amp;"〕","")</f>
        <v/>
      </c>
      <c r="D120" s="42" t="str">
        <f aca="false">IF((D95&amp;IF(AND(D97&lt;&gt;"",D97&lt;&gt;D95),IF((D95)&lt;&gt;"","、","")&amp;D97,"")&amp;IF(AND(D99&lt;&gt;"",D99&lt;&gt;D95,D99&lt;&gt;D97),IF((D95&amp;D97)&lt;&gt;"","、","")&amp;D99,""))&lt;&gt;"","〔"&amp;(D95&amp;IF(AND(D97&lt;&gt;"",D97&lt;&gt;D95),IF((D95)&lt;&gt;"","、","")&amp;D97,"")&amp;IF(AND(D99&lt;&gt;"",D99&lt;&gt;D95,D99&lt;&gt;D97),IF((D95&amp;D97)&lt;&gt;"","、","")&amp;D99,""))&amp;"〕","")</f>
        <v>〔觀點〕</v>
      </c>
      <c r="E120" s="42" t="str">
        <f aca="false">IF((E95&amp;IF(AND(E97&lt;&gt;"",E97&lt;&gt;E95),IF((E95)&lt;&gt;"","、","")&amp;E97,"")&amp;IF(AND(E99&lt;&gt;"",E99&lt;&gt;E95,E99&lt;&gt;E97),IF((E95&amp;E97)&lt;&gt;"","、","")&amp;E99,""))&lt;&gt;"","〔"&amp;(E95&amp;IF(AND(E97&lt;&gt;"",E97&lt;&gt;E95),IF((E95)&lt;&gt;"","、","")&amp;E97,"")&amp;IF(AND(E99&lt;&gt;"",E99&lt;&gt;E95,E99&lt;&gt;E97),IF((E95&amp;E97)&lt;&gt;"","、","")&amp;E99,""))&amp;"〕","")</f>
        <v/>
      </c>
      <c r="F120" s="42" t="str">
        <f aca="false">IF((F95&amp;IF(AND(F97&lt;&gt;"",F97&lt;&gt;F95),IF((F95)&lt;&gt;"","、","")&amp;F97,"")&amp;IF(AND(F99&lt;&gt;"",F99&lt;&gt;F95,F99&lt;&gt;F97),IF((F95&amp;F97)&lt;&gt;"","、","")&amp;F99,""))&lt;&gt;"","〔"&amp;(F95&amp;IF(AND(F97&lt;&gt;"",F97&lt;&gt;F95),IF((F95)&lt;&gt;"","、","")&amp;F97,"")&amp;IF(AND(F99&lt;&gt;"",F99&lt;&gt;F95,F99&lt;&gt;F97),IF((F95&amp;F97)&lt;&gt;"","、","")&amp;F99,""))&amp;"〕","")</f>
        <v/>
      </c>
      <c r="G120" s="42" t="str">
        <f aca="false">IF((G95&amp;IF(AND(G97&lt;&gt;"",G97&lt;&gt;G95),IF((G95)&lt;&gt;"","、","")&amp;G97,"")&amp;IF(AND(G99&lt;&gt;"",G99&lt;&gt;G95,G99&lt;&gt;G97),IF((G95&amp;G97)&lt;&gt;"","、","")&amp;G99,""))&lt;&gt;"","〔"&amp;(G95&amp;IF(AND(G97&lt;&gt;"",G97&lt;&gt;G95),IF((G95)&lt;&gt;"","、","")&amp;G97,"")&amp;IF(AND(G99&lt;&gt;"",G99&lt;&gt;G95,G99&lt;&gt;G97),IF((G95&amp;G97)&lt;&gt;"","、","")&amp;G99,""))&amp;"〕","")</f>
        <v/>
      </c>
      <c r="H120" s="42" t="str">
        <f aca="false">IF((H95&amp;IF(AND(H97&lt;&gt;"",H97&lt;&gt;H95),IF((H95)&lt;&gt;"","、","")&amp;H97,"")&amp;IF(AND(H99&lt;&gt;"",H99&lt;&gt;H95,H99&lt;&gt;H97),IF((H95&amp;H97)&lt;&gt;"","、","")&amp;H99,""))&lt;&gt;"","〔"&amp;(H95&amp;IF(AND(H97&lt;&gt;"",H97&lt;&gt;H95),IF((H95)&lt;&gt;"","、","")&amp;H97,"")&amp;IF(AND(H99&lt;&gt;"",H99&lt;&gt;H95,H99&lt;&gt;H97),IF((H95&amp;H97)&lt;&gt;"","、","")&amp;H99,""))&amp;"〕","")</f>
        <v/>
      </c>
    </row>
    <row r="121" customFormat="false" ht="15" hidden="true" customHeight="false" outlineLevel="1" collapsed="false">
      <c r="A121" s="3" t="s">
        <v>935</v>
      </c>
      <c r="C121" s="42" t="str">
        <f aca="false">IF((C101&amp;IF(AND(C103&lt;&gt;"",C103&lt;&gt;C101),IF((C101)&lt;&gt;"","、","")&amp;C103,"")&amp;IF(AND(C105&lt;&gt;"",C105&lt;&gt;C101,C105&lt;&gt;C103),IF((C101&amp;C103)&lt;&gt;"","、","")&amp;C105,""))&lt;&gt;"","〔"&amp;(C101&amp;IF(AND(C103&lt;&gt;"",C103&lt;&gt;C101),IF((C101)&lt;&gt;"","、","")&amp;C103,"")&amp;IF(AND(C105&lt;&gt;"",C105&lt;&gt;C101,C105&lt;&gt;C103),IF((C101&amp;C103)&lt;&gt;"","、","")&amp;C105,""))&amp;"〕","")</f>
        <v/>
      </c>
      <c r="D121" s="42" t="str">
        <f aca="false">IF((D101&amp;IF(AND(D103&lt;&gt;"",D103&lt;&gt;D101),IF((D101)&lt;&gt;"","、","")&amp;D103,"")&amp;IF(AND(D105&lt;&gt;"",D105&lt;&gt;D101,D105&lt;&gt;D103),IF((D101&amp;D103)&lt;&gt;"","、","")&amp;D105,""))&lt;&gt;"","〔"&amp;(D101&amp;IF(AND(D103&lt;&gt;"",D103&lt;&gt;D101),IF((D101)&lt;&gt;"","、","")&amp;D103,"")&amp;IF(AND(D105&lt;&gt;"",D105&lt;&gt;D101,D105&lt;&gt;D103),IF((D101&amp;D103)&lt;&gt;"","、","")&amp;D105,""))&amp;"〕","")</f>
        <v/>
      </c>
      <c r="E121" s="42" t="str">
        <f aca="false">IF((E101&amp;IF(AND(E103&lt;&gt;"",E103&lt;&gt;E101),IF((E101)&lt;&gt;"","、","")&amp;E103,"")&amp;IF(AND(E105&lt;&gt;"",E105&lt;&gt;E101,E105&lt;&gt;E103),IF((E101&amp;E103)&lt;&gt;"","、","")&amp;E105,""))&lt;&gt;"","〔"&amp;(E101&amp;IF(AND(E103&lt;&gt;"",E103&lt;&gt;E101),IF((E101)&lt;&gt;"","、","")&amp;E103,"")&amp;IF(AND(E105&lt;&gt;"",E105&lt;&gt;E101,E105&lt;&gt;E103),IF((E101&amp;E103)&lt;&gt;"","、","")&amp;E105,""))&amp;"〕","")</f>
        <v/>
      </c>
      <c r="F121" s="42" t="str">
        <f aca="false">IF((F101&amp;IF(AND(F103&lt;&gt;"",F103&lt;&gt;F101),IF((F101)&lt;&gt;"","、","")&amp;F103,"")&amp;IF(AND(F105&lt;&gt;"",F105&lt;&gt;F101,F105&lt;&gt;F103),IF((F101&amp;F103)&lt;&gt;"","、","")&amp;F105,""))&lt;&gt;"","〔"&amp;(F101&amp;IF(AND(F103&lt;&gt;"",F103&lt;&gt;F101),IF((F101)&lt;&gt;"","、","")&amp;F103,"")&amp;IF(AND(F105&lt;&gt;"",F105&lt;&gt;F101,F105&lt;&gt;F103),IF((F101&amp;F103)&lt;&gt;"","、","")&amp;F105,""))&amp;"〕","")</f>
        <v/>
      </c>
      <c r="G121" s="42" t="str">
        <f aca="false">IF((G101&amp;IF(AND(G103&lt;&gt;"",G103&lt;&gt;G101),IF((G101)&lt;&gt;"","、","")&amp;G103,"")&amp;IF(AND(G105&lt;&gt;"",G105&lt;&gt;G101,G105&lt;&gt;G103),IF((G101&amp;G103)&lt;&gt;"","、","")&amp;G105,""))&lt;&gt;"","〔"&amp;(G101&amp;IF(AND(G103&lt;&gt;"",G103&lt;&gt;G101),IF((G101)&lt;&gt;"","、","")&amp;G103,"")&amp;IF(AND(G105&lt;&gt;"",G105&lt;&gt;G101,G105&lt;&gt;G103),IF((G101&amp;G103)&lt;&gt;"","、","")&amp;G105,""))&amp;"〕","")</f>
        <v/>
      </c>
      <c r="H121" s="42" t="str">
        <f aca="false">IF((H101&amp;IF(AND(H103&lt;&gt;"",H103&lt;&gt;H101),IF((H101)&lt;&gt;"","、","")&amp;H103,"")&amp;IF(AND(H105&lt;&gt;"",H105&lt;&gt;H101,H105&lt;&gt;H103),IF((H101&amp;H103)&lt;&gt;"","、","")&amp;H105,""))&lt;&gt;"","〔"&amp;(H101&amp;IF(AND(H103&lt;&gt;"",H103&lt;&gt;H101),IF((H101)&lt;&gt;"","、","")&amp;H103,"")&amp;IF(AND(H105&lt;&gt;"",H105&lt;&gt;H101,H105&lt;&gt;H103),IF((H101&amp;H103)&lt;&gt;"","、","")&amp;H105,""))&amp;"〕","")</f>
        <v/>
      </c>
    </row>
    <row r="122" customFormat="false" ht="15" hidden="true" customHeight="false" outlineLevel="1" collapsed="false">
      <c r="A122" s="3" t="s">
        <v>936</v>
      </c>
      <c r="C122" s="42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22" s="42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/>
      </c>
      <c r="E122" s="42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22" s="42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22" s="42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22" s="42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23" customFormat="false" ht="15" hidden="true" customHeight="false" outlineLevel="1" collapsed="false">
      <c r="A123" s="3" t="s">
        <v>937</v>
      </c>
      <c r="C123" s="42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/>
      </c>
      <c r="D123" s="42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23" s="42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23" s="42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23" s="42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23" s="42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24" customFormat="false" ht="15" hidden="true" customHeight="false" outlineLevel="1" collapsed="false">
      <c r="A124" s="3" t="s">
        <v>938</v>
      </c>
      <c r="C124" s="42" t="str">
        <f aca="false">"營收：模型 "&amp;IF(ISNUMBER(C22),IF(C22&lt;0,"−","")&amp;"$"&amp;TEXT(ABS(C22),"#,##0.00")&amp;"bn","不適用")&amp;IF(ISNUMBER(C32),"｜共識 "&amp;IF(C32&lt;0,"−","")&amp;"$"&amp;TEXT(ABS(C32),"#,##0.00")&amp;"bn"&amp;"（"&amp;IF(ISNUMBER(C42),IF(C42&lt;0,"−","+")&amp;TEXT(ABS(C42)*100,"#,##0.0")&amp;"%","不適用")&amp;"）","")&amp;IF(ISNUMBER(C36),"｜實際 "&amp;IF(C36&lt;0,"−","")&amp;"$"&amp;TEXT(ABS(C36),"#,##0.00")&amp;"bn"&amp;"（較模型 "&amp;IF(ISNUMBER(C44),IF(C44&lt;0,"−","+")&amp;TEXT(ABS(C44)*100,"#,##0.0")&amp;"%","不適用")&amp;IF(ISNUMBER(C32),"、較共識 "&amp;IF(ISNUMBER(C45),IF(C45&lt;0,"−","+")&amp;TEXT(ABS(C45)*100,"#,##0.0")&amp;"%","不適用"),"")&amp;"）","")&amp;C119</f>
        <v>營收：模型 $0.65bn｜共識 $0.90bn（−28.1%）〔觀點〕</v>
      </c>
      <c r="D124" s="42" t="str">
        <f aca="false">"營收：模型 "&amp;IF(ISNUMBER(D22),IF(D22&lt;0,"−","")&amp;"$"&amp;TEXT(ABS(D22),"#,##0.00")&amp;"bn","不適用")&amp;IF(ISNUMBER(D32),"｜共識 "&amp;IF(D32&lt;0,"−","")&amp;"$"&amp;TEXT(ABS(D32),"#,##0.00")&amp;"bn"&amp;"（"&amp;IF(ISNUMBER(D42),IF(D42&lt;0,"−","+")&amp;TEXT(ABS(D42)*100,"#,##0.0")&amp;"%","不適用")&amp;"）","")&amp;IF(ISNUMBER(D36),"｜實際 "&amp;IF(D36&lt;0,"−","")&amp;"$"&amp;TEXT(ABS(D36),"#,##0.00")&amp;"bn"&amp;"（較模型 "&amp;IF(ISNUMBER(D44),IF(D44&lt;0,"−","+")&amp;TEXT(ABS(D44)*100,"#,##0.0")&amp;"%","不適用")&amp;IF(ISNUMBER(D32),"、較共識 "&amp;IF(ISNUMBER(D45),IF(D45&lt;0,"−","+")&amp;TEXT(ABS(D45)*100,"#,##0.0")&amp;"%","不適用"),"")&amp;"）","")&amp;D119</f>
        <v>營收：模型 $0.71bn｜共識 $1.52bn（−53.2%）〔觀點〕</v>
      </c>
      <c r="E124" s="42" t="str">
        <f aca="false">"營收：模型 "&amp;IF(ISNUMBER(E22),IF(E22&lt;0,"−","")&amp;"$"&amp;TEXT(ABS(E22),"#,##0.00")&amp;"bn","不適用")&amp;IF(ISNUMBER(E32),"｜共識 "&amp;IF(E32&lt;0,"−","")&amp;"$"&amp;TEXT(ABS(E32),"#,##0.00")&amp;"bn"&amp;"（"&amp;IF(ISNUMBER(E42),IF(E42&lt;0,"−","+")&amp;TEXT(ABS(E42)*100,"#,##0.0")&amp;"%","不適用")&amp;"）","")&amp;IF(ISNUMBER(E36),"｜實際 "&amp;IF(E36&lt;0,"−","")&amp;"$"&amp;TEXT(ABS(E36),"#,##0.00")&amp;"bn"&amp;"（較模型 "&amp;IF(ISNUMBER(E44),IF(E44&lt;0,"−","+")&amp;TEXT(ABS(E44)*100,"#,##0.0")&amp;"%","不適用")&amp;IF(ISNUMBER(E32),"、較共識 "&amp;IF(ISNUMBER(E45),IF(E45&lt;0,"−","+")&amp;TEXT(ABS(E45)*100,"#,##0.0")&amp;"%","不適用"),"")&amp;"）","")&amp;E119</f>
        <v>營收：模型 $0.98bn</v>
      </c>
      <c r="F124" s="42" t="str">
        <f aca="false">"營收：模型 "&amp;IF(ISNUMBER(F22),IF(F22&lt;0,"−","")&amp;"$"&amp;TEXT(ABS(F22),"#,##0.00")&amp;"bn","不適用")&amp;IF(ISNUMBER(F32),"｜共識 "&amp;IF(F32&lt;0,"−","")&amp;"$"&amp;TEXT(ABS(F32),"#,##0.00")&amp;"bn"&amp;"（"&amp;IF(ISNUMBER(F42),IF(F42&lt;0,"−","+")&amp;TEXT(ABS(F42)*100,"#,##0.0")&amp;"%","不適用")&amp;"）","")&amp;IF(ISNUMBER(F36),"｜實際 "&amp;IF(F36&lt;0,"−","")&amp;"$"&amp;TEXT(ABS(F36),"#,##0.00")&amp;"bn"&amp;"（較模型 "&amp;IF(ISNUMBER(F44),IF(F44&lt;0,"−","+")&amp;TEXT(ABS(F44)*100,"#,##0.0")&amp;"%","不適用")&amp;IF(ISNUMBER(F32),"、較共識 "&amp;IF(ISNUMBER(F45),IF(F45&lt;0,"−","+")&amp;TEXT(ABS(F45)*100,"#,##0.0")&amp;"%","不適用"),"")&amp;"）","")&amp;F119</f>
        <v>營收：模型 $1.32bn</v>
      </c>
      <c r="G124" s="42" t="str">
        <f aca="false">"營收：模型 "&amp;IF(ISNUMBER(G22),IF(G22&lt;0,"−","")&amp;"$"&amp;TEXT(ABS(G22),"#,##0.00")&amp;"bn","不適用")&amp;IF(ISNUMBER(G32),"｜共識 "&amp;IF(G32&lt;0,"−","")&amp;"$"&amp;TEXT(ABS(G32),"#,##0.00")&amp;"bn"&amp;"（"&amp;IF(ISNUMBER(G42),IF(G42&lt;0,"−","+")&amp;TEXT(ABS(G42)*100,"#,##0.0")&amp;"%","不適用")&amp;"）","")&amp;IF(ISNUMBER(G36),"｜實際 "&amp;IF(G36&lt;0,"−","")&amp;"$"&amp;TEXT(ABS(G36),"#,##0.00")&amp;"bn"&amp;"（較模型 "&amp;IF(ISNUMBER(G44),IF(G44&lt;0,"−","+")&amp;TEXT(ABS(G44)*100,"#,##0.0")&amp;"%","不適用")&amp;IF(ISNUMBER(G32),"、較共識 "&amp;IF(ISNUMBER(G45),IF(G45&lt;0,"−","+")&amp;TEXT(ABS(G45)*100,"#,##0.0")&amp;"%","不適用"),"")&amp;"）","")&amp;G119</f>
        <v>營收：模型 $1.66bn</v>
      </c>
      <c r="H124" s="42" t="str">
        <f aca="false">"營收：模型 "&amp;IF(ISNUMBER(H22),IF(H22&lt;0,"−","")&amp;"$"&amp;TEXT(ABS(H22),"#,##0.00")&amp;"bn","不適用")&amp;IF(ISNUMBER(H32),"｜共識 "&amp;IF(H32&lt;0,"−","")&amp;"$"&amp;TEXT(ABS(H32),"#,##0.00")&amp;"bn"&amp;"（"&amp;IF(ISNUMBER(H42),IF(H42&lt;0,"−","+")&amp;TEXT(ABS(H42)*100,"#,##0.0")&amp;"%","不適用")&amp;"）","")&amp;IF(ISNUMBER(H36),"｜實際 "&amp;IF(H36&lt;0,"−","")&amp;"$"&amp;TEXT(ABS(H36),"#,##0.00")&amp;"bn"&amp;"（較模型 "&amp;IF(ISNUMBER(H44),IF(H44&lt;0,"−","+")&amp;TEXT(ABS(H44)*100,"#,##0.0")&amp;"%","不適用")&amp;IF(ISNUMBER(H32),"、較共識 "&amp;IF(ISNUMBER(H45),IF(H45&lt;0,"−","+")&amp;TEXT(ABS(H45)*100,"#,##0.0")&amp;"%","不適用"),"")&amp;"）","")&amp;H119</f>
        <v>營收：模型 $2.00bn</v>
      </c>
    </row>
    <row r="125" customFormat="false" ht="15" hidden="true" customHeight="false" outlineLevel="1" collapsed="false">
      <c r="A125" s="3" t="s">
        <v>939</v>
      </c>
      <c r="C125" s="42" t="str">
        <f aca="false">"調整後 EBITDA：模型 "&amp;IF(ISNUMBER(C28),IF(C28&lt;0,"−","")&amp;"$"&amp;TEXT(ABS(C28),"#,##0.00")&amp;"bn","不適用")&amp;IF(ISNUMBER(C33),"｜共識 "&amp;IF(C33&lt;0,"−","")&amp;"$"&amp;TEXT(ABS(C33),"#,##0.00")&amp;"bn"&amp;"（"&amp;IF(ISNUMBER(C47),IF(C47&lt;0,"−","+")&amp;IF(ABS(C47)&lt;0,"−","")&amp;"$"&amp;TEXT(ABS(ABS(C47)),"#,##0.00")&amp;"bn"&amp;IF(ISNUMBER(C52),"／"&amp;IF(C52&lt;0,"−","+")&amp;TEXT(ABS(C52)*100,"#,##0.0")&amp;"pt",""),"不適用")&amp;"）","")&amp;IF(ISNUMBER(C37),"｜實際 "&amp;IF(C37&lt;0,"−","")&amp;"$"&amp;TEXT(ABS(C37),"#,##0.00")&amp;"bn"&amp;"（較模型 "&amp;IF(ISNUMBER(C49),IF(C49&lt;0,"−","+")&amp;IF(ABS(C49)&lt;0,"−","")&amp;"$"&amp;TEXT(ABS(ABS(C49)),"#,##0.00")&amp;"bn"&amp;IF(ISNUMBER(C54),"／"&amp;IF(C54&lt;0,"−","+")&amp;TEXT(ABS(C54)*100,"#,##0.0")&amp;"pt",""),"不適用")&amp;IF(ISNUMBER(C33),"、較共識 "&amp;IF(ISNUMBER(C50),IF(C50&lt;0,"−","+")&amp;IF(ABS(C50)&lt;0,"−","")&amp;"$"&amp;TEXT(ABS(ABS(C50)),"#,##0.00")&amp;"bn"&amp;IF(ISNUMBER(C55),"／"&amp;IF(C55&lt;0,"−","+")&amp;TEXT(ABS(C55)*100,"#,##0.0")&amp;"pt",""),"不適用"),"")&amp;"）","")&amp;C120</f>
        <v>調整後 EBITDA：模型 $0.27bn｜共識 $0.36bn（−$0.09bn／+1.9pt）</v>
      </c>
      <c r="D125" s="42" t="str">
        <f aca="false">"調整後 EBITDA：模型 "&amp;IF(ISNUMBER(D28),IF(D28&lt;0,"−","")&amp;"$"&amp;TEXT(ABS(D28),"#,##0.00")&amp;"bn","不適用")&amp;IF(ISNUMBER(D33),"｜共識 "&amp;IF(D33&lt;0,"−","")&amp;"$"&amp;TEXT(ABS(D33),"#,##0.00")&amp;"bn"&amp;"（"&amp;IF(ISNUMBER(D47),IF(D47&lt;0,"−","+")&amp;IF(ABS(D47)&lt;0,"−","")&amp;"$"&amp;TEXT(ABS(ABS(D47)),"#,##0.00")&amp;"bn"&amp;IF(ISNUMBER(D52),"／"&amp;IF(D52&lt;0,"−","+")&amp;TEXT(ABS(D52)*100,"#,##0.0")&amp;"pt",""),"不適用")&amp;"）","")&amp;IF(ISNUMBER(D37),"｜實際 "&amp;IF(D37&lt;0,"−","")&amp;"$"&amp;TEXT(ABS(D37),"#,##0.00")&amp;"bn"&amp;"（較模型 "&amp;IF(ISNUMBER(D49),IF(D49&lt;0,"−","+")&amp;IF(ABS(D49)&lt;0,"−","")&amp;"$"&amp;TEXT(ABS(ABS(D49)),"#,##0.00")&amp;"bn"&amp;IF(ISNUMBER(D54),"／"&amp;IF(D54&lt;0,"−","+")&amp;TEXT(ABS(D54)*100,"#,##0.0")&amp;"pt",""),"不適用")&amp;IF(ISNUMBER(D33),"、較共識 "&amp;IF(ISNUMBER(D50),IF(D50&lt;0,"−","+")&amp;IF(ABS(D50)&lt;0,"−","")&amp;"$"&amp;TEXT(ABS(ABS(D50)),"#,##0.00")&amp;"bn"&amp;IF(ISNUMBER(D55),"／"&amp;IF(D55&lt;0,"−","+")&amp;TEXT(ABS(D55)*100,"#,##0.0")&amp;"pt",""),"不適用"),"")&amp;"）","")&amp;D120</f>
        <v>調整後 EBITDA：模型 $0.31bn｜共識 $0.74bn（−$0.43bn／−5.3pt）〔觀點〕</v>
      </c>
      <c r="E125" s="42" t="str">
        <f aca="false">"調整後 EBITDA：模型 "&amp;IF(ISNUMBER(E28),IF(E28&lt;0,"−","")&amp;"$"&amp;TEXT(ABS(E28),"#,##0.00")&amp;"bn","不適用")&amp;IF(ISNUMBER(E33),"｜共識 "&amp;IF(E33&lt;0,"−","")&amp;"$"&amp;TEXT(ABS(E33),"#,##0.00")&amp;"bn"&amp;"（"&amp;IF(ISNUMBER(E47),IF(E47&lt;0,"−","+")&amp;IF(ABS(E47)&lt;0,"−","")&amp;"$"&amp;TEXT(ABS(ABS(E47)),"#,##0.00")&amp;"bn"&amp;IF(ISNUMBER(E52),"／"&amp;IF(E52&lt;0,"−","+")&amp;TEXT(ABS(E52)*100,"#,##0.0")&amp;"pt",""),"不適用")&amp;"）","")&amp;IF(ISNUMBER(E37),"｜實際 "&amp;IF(E37&lt;0,"−","")&amp;"$"&amp;TEXT(ABS(E37),"#,##0.00")&amp;"bn"&amp;"（較模型 "&amp;IF(ISNUMBER(E49),IF(E49&lt;0,"−","+")&amp;IF(ABS(E49)&lt;0,"−","")&amp;"$"&amp;TEXT(ABS(ABS(E49)),"#,##0.00")&amp;"bn"&amp;IF(ISNUMBER(E54),"／"&amp;IF(E54&lt;0,"−","+")&amp;TEXT(ABS(E54)*100,"#,##0.0")&amp;"pt",""),"不適用")&amp;IF(ISNUMBER(E33),"、較共識 "&amp;IF(ISNUMBER(E50),IF(E50&lt;0,"−","+")&amp;IF(ABS(E50)&lt;0,"−","")&amp;"$"&amp;TEXT(ABS(ABS(E50)),"#,##0.00")&amp;"bn"&amp;IF(ISNUMBER(E55),"／"&amp;IF(E55&lt;0,"−","+")&amp;TEXT(ABS(E55)*100,"#,##0.0")&amp;"pt",""),"不適用"),"")&amp;"）","")&amp;E120</f>
        <v>調整後 EBITDA：模型 $0.44bn</v>
      </c>
      <c r="F125" s="42" t="str">
        <f aca="false">"調整後 EBITDA：模型 "&amp;IF(ISNUMBER(F28),IF(F28&lt;0,"−","")&amp;"$"&amp;TEXT(ABS(F28),"#,##0.00")&amp;"bn","不適用")&amp;IF(ISNUMBER(F33),"｜共識 "&amp;IF(F33&lt;0,"−","")&amp;"$"&amp;TEXT(ABS(F33),"#,##0.00")&amp;"bn"&amp;"（"&amp;IF(ISNUMBER(F47),IF(F47&lt;0,"−","+")&amp;IF(ABS(F47)&lt;0,"−","")&amp;"$"&amp;TEXT(ABS(ABS(F47)),"#,##0.00")&amp;"bn"&amp;IF(ISNUMBER(F52),"／"&amp;IF(F52&lt;0,"−","+")&amp;TEXT(ABS(F52)*100,"#,##0.0")&amp;"pt",""),"不適用")&amp;"）","")&amp;IF(ISNUMBER(F37),"｜實際 "&amp;IF(F37&lt;0,"−","")&amp;"$"&amp;TEXT(ABS(F37),"#,##0.00")&amp;"bn"&amp;"（較模型 "&amp;IF(ISNUMBER(F49),IF(F49&lt;0,"−","+")&amp;IF(ABS(F49)&lt;0,"−","")&amp;"$"&amp;TEXT(ABS(ABS(F49)),"#,##0.00")&amp;"bn"&amp;IF(ISNUMBER(F54),"／"&amp;IF(F54&lt;0,"−","+")&amp;TEXT(ABS(F54)*100,"#,##0.0")&amp;"pt",""),"不適用")&amp;IF(ISNUMBER(F33),"、較共識 "&amp;IF(ISNUMBER(F50),IF(F50&lt;0,"−","+")&amp;IF(ABS(F50)&lt;0,"−","")&amp;"$"&amp;TEXT(ABS(ABS(F50)),"#,##0.00")&amp;"bn"&amp;IF(ISNUMBER(F55),"／"&amp;IF(F55&lt;0,"−","+")&amp;TEXT(ABS(F55)*100,"#,##0.0")&amp;"pt",""),"不適用"),"")&amp;"）","")&amp;F120</f>
        <v>調整後 EBITDA：模型 $0.61bn</v>
      </c>
      <c r="G125" s="42" t="str">
        <f aca="false">"調整後 EBITDA：模型 "&amp;IF(ISNUMBER(G28),IF(G28&lt;0,"−","")&amp;"$"&amp;TEXT(ABS(G28),"#,##0.00")&amp;"bn","不適用")&amp;IF(ISNUMBER(G33),"｜共識 "&amp;IF(G33&lt;0,"−","")&amp;"$"&amp;TEXT(ABS(G33),"#,##0.00")&amp;"bn"&amp;"（"&amp;IF(ISNUMBER(G47),IF(G47&lt;0,"−","+")&amp;IF(ABS(G47)&lt;0,"−","")&amp;"$"&amp;TEXT(ABS(ABS(G47)),"#,##0.00")&amp;"bn"&amp;IF(ISNUMBER(G52),"／"&amp;IF(G52&lt;0,"−","+")&amp;TEXT(ABS(G52)*100,"#,##0.0")&amp;"pt",""),"不適用")&amp;"）","")&amp;IF(ISNUMBER(G37),"｜實際 "&amp;IF(G37&lt;0,"−","")&amp;"$"&amp;TEXT(ABS(G37),"#,##0.00")&amp;"bn"&amp;"（較模型 "&amp;IF(ISNUMBER(G49),IF(G49&lt;0,"−","+")&amp;IF(ABS(G49)&lt;0,"−","")&amp;"$"&amp;TEXT(ABS(ABS(G49)),"#,##0.00")&amp;"bn"&amp;IF(ISNUMBER(G54),"／"&amp;IF(G54&lt;0,"−","+")&amp;TEXT(ABS(G54)*100,"#,##0.0")&amp;"pt",""),"不適用")&amp;IF(ISNUMBER(G33),"、較共識 "&amp;IF(ISNUMBER(G50),IF(G50&lt;0,"−","+")&amp;IF(ABS(G50)&lt;0,"−","")&amp;"$"&amp;TEXT(ABS(ABS(G50)),"#,##0.00")&amp;"bn"&amp;IF(ISNUMBER(G55),"／"&amp;IF(G55&lt;0,"−","+")&amp;TEXT(ABS(G55)*100,"#,##0.0")&amp;"pt",""),"不適用"),"")&amp;"）","")&amp;G120</f>
        <v>調整後 EBITDA：模型 $0.78bn</v>
      </c>
      <c r="H125" s="42" t="str">
        <f aca="false">"調整後 EBITDA：模型 "&amp;IF(ISNUMBER(H28),IF(H28&lt;0,"−","")&amp;"$"&amp;TEXT(ABS(H28),"#,##0.00")&amp;"bn","不適用")&amp;IF(ISNUMBER(H33),"｜共識 "&amp;IF(H33&lt;0,"−","")&amp;"$"&amp;TEXT(ABS(H33),"#,##0.00")&amp;"bn"&amp;"（"&amp;IF(ISNUMBER(H47),IF(H47&lt;0,"−","+")&amp;IF(ABS(H47)&lt;0,"−","")&amp;"$"&amp;TEXT(ABS(ABS(H47)),"#,##0.00")&amp;"bn"&amp;IF(ISNUMBER(H52),"／"&amp;IF(H52&lt;0,"−","+")&amp;TEXT(ABS(H52)*100,"#,##0.0")&amp;"pt",""),"不適用")&amp;"）","")&amp;IF(ISNUMBER(H37),"｜實際 "&amp;IF(H37&lt;0,"−","")&amp;"$"&amp;TEXT(ABS(H37),"#,##0.00")&amp;"bn"&amp;"（較模型 "&amp;IF(ISNUMBER(H49),IF(H49&lt;0,"−","+")&amp;IF(ABS(H49)&lt;0,"−","")&amp;"$"&amp;TEXT(ABS(ABS(H49)),"#,##0.00")&amp;"bn"&amp;IF(ISNUMBER(H54),"／"&amp;IF(H54&lt;0,"−","+")&amp;TEXT(ABS(H54)*100,"#,##0.0")&amp;"pt",""),"不適用")&amp;IF(ISNUMBER(H33),"、較共識 "&amp;IF(ISNUMBER(H50),IF(H50&lt;0,"−","+")&amp;IF(ABS(H50)&lt;0,"−","")&amp;"$"&amp;TEXT(ABS(ABS(H50)),"#,##0.00")&amp;"bn"&amp;IF(ISNUMBER(H55),"／"&amp;IF(H55&lt;0,"−","+")&amp;TEXT(ABS(H55)*100,"#,##0.0")&amp;"pt",""),"不適用"),"")&amp;"）","")&amp;H120</f>
        <v>調整後 EBITDA：模型 $0.96bn</v>
      </c>
    </row>
    <row r="126" customFormat="false" ht="15" hidden="true" customHeight="false" outlineLevel="1" collapsed="false">
      <c r="A126" s="3" t="s">
        <v>940</v>
      </c>
      <c r="C126" s="42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"&amp;IF(C34&lt;0,"−","")&amp;TEXT(ABS(C34)*100,"#,##0.0")&amp;"%"&amp;"（"&amp;IF(ISNUMBER(C57),IF(C57&lt;0,"−","+")&amp;TEXT(ABS(C57)*100,"#,##0.0")&amp;"pt","不適用")&amp;"）","")&amp;IF(ISNUMBER(C38),"｜實際 "&amp;IF(C38&lt;0,"−","")&amp;TEXT(ABS(C38)*100,"#,##0.0")&amp;"%"&amp;"（較模型 "&amp;IF(ISNUMBER(C59),IF(C59&lt;0,"−","+")&amp;TEXT(ABS(C59)*100,"#,##0.0")&amp;"pt","不適用")&amp;IF(ISNUMBER(C34),"、較共識 "&amp;IF(ISNUMBER(C60),IF(C60&lt;0,"−","+")&amp;TEXT(ABS(C60)*100,"#,##0.0")&amp;"pt","不適用"),"")&amp;"）","")</f>
        <v>EBITDA 率：模型 42.2%｜共識 40.3%（+1.9pt）</v>
      </c>
      <c r="D126" s="42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"&amp;IF(D34&lt;0,"−","")&amp;TEXT(ABS(D34)*100,"#,##0.0")&amp;"%"&amp;"（"&amp;IF(ISNUMBER(D57),IF(D57&lt;0,"−","+")&amp;TEXT(ABS(D57)*100,"#,##0.0")&amp;"pt","不適用")&amp;"）","")&amp;IF(ISNUMBER(D38),"｜實際 "&amp;IF(D38&lt;0,"−","")&amp;TEXT(ABS(D38)*100,"#,##0.0")&amp;"%"&amp;"（較模型 "&amp;IF(ISNUMBER(D59),IF(D59&lt;0,"−","+")&amp;TEXT(ABS(D59)*100,"#,##0.0")&amp;"pt","不適用")&amp;IF(ISNUMBER(D34),"、較共識 "&amp;IF(ISNUMBER(D60),IF(D60&lt;0,"−","+")&amp;TEXT(ABS(D60)*100,"#,##0.0")&amp;"pt","不適用"),"")&amp;"）","")</f>
        <v>EBITDA 率：模型 43.3%｜共識 48.7%（−5.3pt）</v>
      </c>
      <c r="E126" s="42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"&amp;IF(E34&lt;0,"−","")&amp;TEXT(ABS(E34)*100,"#,##0.0")&amp;"%"&amp;"（"&amp;IF(ISNUMBER(E57),IF(E57&lt;0,"−","+")&amp;TEXT(ABS(E57)*100,"#,##0.0")&amp;"pt","不適用")&amp;"）","")&amp;IF(ISNUMBER(E38),"｜實際 "&amp;IF(E38&lt;0,"−","")&amp;TEXT(ABS(E38)*100,"#,##0.0")&amp;"%"&amp;"（較模型 "&amp;IF(ISNUMBER(E59),IF(E59&lt;0,"−","+")&amp;TEXT(ABS(E59)*100,"#,##0.0")&amp;"pt","不適用")&amp;IF(ISNUMBER(E34),"、較共識 "&amp;IF(ISNUMBER(E60),IF(E60&lt;0,"−","+")&amp;TEXT(ABS(E60)*100,"#,##0.0")&amp;"pt","不適用"),"")&amp;"）","")</f>
        <v>EBITDA 率：模型 44.5%</v>
      </c>
      <c r="F126" s="42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"&amp;IF(F34&lt;0,"−","")&amp;TEXT(ABS(F34)*100,"#,##0.0")&amp;"%"&amp;"（"&amp;IF(ISNUMBER(F57),IF(F57&lt;0,"−","+")&amp;TEXT(ABS(F57)*100,"#,##0.0")&amp;"pt","不適用")&amp;"）","")&amp;IF(ISNUMBER(F38),"｜實際 "&amp;IF(F38&lt;0,"−","")&amp;TEXT(ABS(F38)*100,"#,##0.0")&amp;"%"&amp;"（較模型 "&amp;IF(ISNUMBER(F59),IF(F59&lt;0,"−","+")&amp;TEXT(ABS(F59)*100,"#,##0.0")&amp;"pt","不適用")&amp;IF(ISNUMBER(F34),"、較共識 "&amp;IF(ISNUMBER(F60),IF(F60&lt;0,"−","+")&amp;TEXT(ABS(F60)*100,"#,##0.0")&amp;"pt","不適用"),"")&amp;"）","")</f>
        <v>EBITDA 率：模型 45.7%</v>
      </c>
      <c r="G126" s="42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"&amp;IF(G34&lt;0,"−","")&amp;TEXT(ABS(G34)*100,"#,##0.0")&amp;"%"&amp;"（"&amp;IF(ISNUMBER(G57),IF(G57&lt;0,"−","+")&amp;TEXT(ABS(G57)*100,"#,##0.0")&amp;"pt","不適用")&amp;"）","")&amp;IF(ISNUMBER(G38),"｜實際 "&amp;IF(G38&lt;0,"−","")&amp;TEXT(ABS(G38)*100,"#,##0.0")&amp;"%"&amp;"（較模型 "&amp;IF(ISNUMBER(G59),IF(G59&lt;0,"−","+")&amp;TEXT(ABS(G59)*100,"#,##0.0")&amp;"pt","不適用")&amp;IF(ISNUMBER(G34),"、較共識 "&amp;IF(ISNUMBER(G60),IF(G60&lt;0,"−","+")&amp;TEXT(ABS(G60)*100,"#,##0.0")&amp;"pt","不適用"),"")&amp;"）","")</f>
        <v>EBITDA 率：模型 46.9%</v>
      </c>
      <c r="H126" s="42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"&amp;IF(H34&lt;0,"−","")&amp;TEXT(ABS(H34)*100,"#,##0.0")&amp;"%"&amp;"（"&amp;IF(ISNUMBER(H57),IF(H57&lt;0,"−","+")&amp;TEXT(ABS(H57)*100,"#,##0.0")&amp;"pt","不適用")&amp;"）","")&amp;IF(ISNUMBER(H38),"｜實際 "&amp;IF(H38&lt;0,"−","")&amp;TEXT(ABS(H38)*100,"#,##0.0")&amp;"%"&amp;"（較模型 "&amp;IF(ISNUMBER(H59),IF(H59&lt;0,"−","+")&amp;TEXT(ABS(H59)*100,"#,##0.0")&amp;"pt","不適用")&amp;IF(ISNUMBER(H34),"、較共識 "&amp;IF(ISNUMBER(H60),IF(H60&lt;0,"−","+")&amp;TEXT(ABS(H60)*100,"#,##0.0")&amp;"pt","不適用"),"")&amp;"）","")</f>
        <v>EBITDA 率：模型 48.1%</v>
      </c>
    </row>
    <row r="127" customFormat="false" ht="15" hidden="true" customHeight="false" outlineLevel="1" collapsed="false">
      <c r="A127" s="3" t="s">
        <v>941</v>
      </c>
      <c r="C127" s="42" t="str">
        <f aca="false">"調整後營業利益：模型 "&amp;IF(ISNUMBER(C30),IF(C30&lt;0,"−","")&amp;"$"&amp;TEXT(ABS(C30),"#,##0.00")&amp;"bn","不適用")&amp;IF(ISNUMBER(C39),"｜實際 "&amp;IF(C39&lt;0,"−","")&amp;"$"&amp;TEXT(ABS(C39),"#,##0.00")&amp;"bn"&amp;"（較模型 "&amp;IF(ISNUMBER(C64),IF(C64&lt;0,"−","+")&amp;IF(ABS(C64)&lt;0,"−","")&amp;"$"&amp;TEXT(ABS(ABS(C64)),"#,##0.00")&amp;"bn"&amp;IF(ISNUMBER(C69),"／"&amp;IF(C69&lt;0,"−","+")&amp;TEXT(ABS(C69)*100,"#,##0.0")&amp;"pt",""),"不適用")&amp;"）","")&amp;C121</f>
        <v>調整後營業利益：模型 −$0.66bn</v>
      </c>
      <c r="D127" s="42" t="str">
        <f aca="false">"調整後營業利益：模型 "&amp;IF(ISNUMBER(D30),IF(D30&lt;0,"−","")&amp;"$"&amp;TEXT(ABS(D30),"#,##0.00")&amp;"bn","不適用")&amp;IF(ISNUMBER(D39),"｜實際 "&amp;IF(D39&lt;0,"−","")&amp;"$"&amp;TEXT(ABS(D39),"#,##0.00")&amp;"bn"&amp;"（較模型 "&amp;IF(ISNUMBER(D64),IF(D64&lt;0,"−","+")&amp;IF(ABS(D64)&lt;0,"−","")&amp;"$"&amp;TEXT(ABS(ABS(D64)),"#,##0.00")&amp;"bn"&amp;IF(ISNUMBER(D69),"／"&amp;IF(D69&lt;0,"−","+")&amp;TEXT(ABS(D69)*100,"#,##0.0")&amp;"pt",""),"不適用")&amp;"）","")&amp;D121</f>
        <v>調整後營業利益：模型 −$1.07bn</v>
      </c>
      <c r="E127" s="42" t="str">
        <f aca="false">"調整後營業利益：模型 "&amp;IF(ISNUMBER(E30),IF(E30&lt;0,"−","")&amp;"$"&amp;TEXT(ABS(E30),"#,##0.00")&amp;"bn","不適用")&amp;IF(ISNUMBER(E39),"｜實際 "&amp;IF(E39&lt;0,"−","")&amp;"$"&amp;TEXT(ABS(E39),"#,##0.00")&amp;"bn"&amp;"（較模型 "&amp;IF(ISNUMBER(E64),IF(E64&lt;0,"−","+")&amp;IF(ABS(E64)&lt;0,"−","")&amp;"$"&amp;TEXT(ABS(ABS(E64)),"#,##0.00")&amp;"bn"&amp;IF(ISNUMBER(E69),"／"&amp;IF(E69&lt;0,"−","+")&amp;TEXT(ABS(E69)*100,"#,##0.0")&amp;"pt",""),"不適用")&amp;"）","")&amp;E121</f>
        <v>調整後營業利益：模型 −$1.34bn</v>
      </c>
      <c r="F127" s="42" t="str">
        <f aca="false">"調整後營業利益：模型 "&amp;IF(ISNUMBER(F30),IF(F30&lt;0,"−","")&amp;"$"&amp;TEXT(ABS(F30),"#,##0.00")&amp;"bn","不適用")&amp;IF(ISNUMBER(F39),"｜實際 "&amp;IF(F39&lt;0,"−","")&amp;"$"&amp;TEXT(ABS(F39),"#,##0.00")&amp;"bn"&amp;"（較模型 "&amp;IF(ISNUMBER(F64),IF(F64&lt;0,"−","+")&amp;IF(ABS(F64)&lt;0,"−","")&amp;"$"&amp;TEXT(ABS(ABS(F64)),"#,##0.00")&amp;"bn"&amp;IF(ISNUMBER(F69),"／"&amp;IF(F69&lt;0,"−","+")&amp;TEXT(ABS(F69)*100,"#,##0.0")&amp;"pt",""),"不適用")&amp;"）","")&amp;F121</f>
        <v>調整後營業利益：模型 −$1.52bn</v>
      </c>
      <c r="G127" s="42" t="str">
        <f aca="false">"調整後營業利益：模型 "&amp;IF(ISNUMBER(G30),IF(G30&lt;0,"−","")&amp;"$"&amp;TEXT(ABS(G30),"#,##0.00")&amp;"bn","不適用")&amp;IF(ISNUMBER(G39),"｜實際 "&amp;IF(G39&lt;0,"−","")&amp;"$"&amp;TEXT(ABS(G39),"#,##0.00")&amp;"bn"&amp;"（較模型 "&amp;IF(ISNUMBER(G64),IF(G64&lt;0,"−","+")&amp;IF(ABS(G64)&lt;0,"−","")&amp;"$"&amp;TEXT(ABS(ABS(G64)),"#,##0.00")&amp;"bn"&amp;IF(ISNUMBER(G69),"／"&amp;IF(G69&lt;0,"−","+")&amp;TEXT(ABS(G69)*100,"#,##0.0")&amp;"pt",""),"不適用")&amp;"）","")&amp;G121</f>
        <v>調整後營業利益：模型 −$1.68bn</v>
      </c>
      <c r="H127" s="42" t="str">
        <f aca="false">"調整後營業利益：模型 "&amp;IF(ISNUMBER(H30),IF(H30&lt;0,"−","")&amp;"$"&amp;TEXT(ABS(H30),"#,##0.00")&amp;"bn","不適用")&amp;IF(ISNUMBER(H39),"｜實際 "&amp;IF(H39&lt;0,"−","")&amp;"$"&amp;TEXT(ABS(H39),"#,##0.00")&amp;"bn"&amp;"（較模型 "&amp;IF(ISNUMBER(H64),IF(H64&lt;0,"−","+")&amp;IF(ABS(H64)&lt;0,"−","")&amp;"$"&amp;TEXT(ABS(ABS(H64)),"#,##0.00")&amp;"bn"&amp;IF(ISNUMBER(H69),"／"&amp;IF(H69&lt;0,"−","+")&amp;TEXT(ABS(H69)*100,"#,##0.0")&amp;"pt",""),"不適用")&amp;"）","")&amp;H121</f>
        <v>調整後營業利益：模型 −$1.85bn</v>
      </c>
    </row>
    <row r="128" customFormat="false" ht="15" hidden="true" customHeight="false" outlineLevel="1" collapsed="false">
      <c r="A128" s="3" t="s">
        <v>942</v>
      </c>
      <c r="C128" s="42" t="str">
        <f aca="false">"CapEx（毛額）：模型 "&amp;IF(ISNUMBER(C31),IF(C31&lt;0,"−","")&amp;"$"&amp;TEXT(ABS(C31),"#,##0.00")&amp;"bn","不適用")&amp;IF(ISNUMBER(C40),"｜實際 "&amp;IF(C40&lt;0,"−","")&amp;"$"&amp;TEXT(ABS(C40),"#,##0.00")&amp;"bn"&amp;"（較模型 "&amp;IF(ISNUMBER(C74),IF(C74&lt;0,"−","+")&amp;TEXT(ABS(C74)*100,"#,##0.0")&amp;"%","不適用")&amp;"）","")&amp;C122</f>
        <v>CapEx（毛額）：模型 $8.96bn</v>
      </c>
      <c r="D128" s="42" t="str">
        <f aca="false">"CapEx（毛額）：模型 "&amp;IF(ISNUMBER(D31),IF(D31&lt;0,"−","")&amp;"$"&amp;TEXT(ABS(D31),"#,##0.00")&amp;"bn","不適用")&amp;IF(ISNUMBER(D40),"｜實際 "&amp;IF(D40&lt;0,"−","")&amp;"$"&amp;TEXT(ABS(D40),"#,##0.00")&amp;"bn"&amp;"（較模型 "&amp;IF(ISNUMBER(D74),IF(D74&lt;0,"−","+")&amp;TEXT(ABS(D74)*100,"#,##0.0")&amp;"%","不適用")&amp;"）","")&amp;D122</f>
        <v>CapEx（毛額）：模型 $8.96bn</v>
      </c>
      <c r="E128" s="42" t="str">
        <f aca="false">"CapEx（毛額）：模型 "&amp;IF(ISNUMBER(E31),IF(E31&lt;0,"−","")&amp;"$"&amp;TEXT(ABS(E31),"#,##0.00")&amp;"bn","不適用")&amp;IF(ISNUMBER(E40),"｜實際 "&amp;IF(E40&lt;0,"−","")&amp;"$"&amp;TEXT(ABS(E40),"#,##0.00")&amp;"bn"&amp;"（較模型 "&amp;IF(ISNUMBER(E74),IF(E74&lt;0,"−","+")&amp;TEXT(ABS(E74)*100,"#,##0.0")&amp;"%","不適用")&amp;"）","")&amp;E122</f>
        <v>CapEx（毛額）：模型 $6.90bn</v>
      </c>
      <c r="F128" s="42" t="str">
        <f aca="false">"CapEx（毛額）：模型 "&amp;IF(ISNUMBER(F31),IF(F31&lt;0,"−","")&amp;"$"&amp;TEXT(ABS(F31),"#,##0.00")&amp;"bn","不適用")&amp;IF(ISNUMBER(F40),"｜實際 "&amp;IF(F40&lt;0,"−","")&amp;"$"&amp;TEXT(ABS(F40),"#,##0.00")&amp;"bn"&amp;"（較模型 "&amp;IF(ISNUMBER(F74),IF(F74&lt;0,"−","+")&amp;TEXT(ABS(F74)*100,"#,##0.0")&amp;"%","不適用")&amp;"）","")&amp;F122</f>
        <v>CapEx（毛額）：模型 $6.90bn</v>
      </c>
      <c r="G128" s="42" t="str">
        <f aca="false">"CapEx（毛額）：模型 "&amp;IF(ISNUMBER(G31),IF(G31&lt;0,"−","")&amp;"$"&amp;TEXT(ABS(G31),"#,##0.00")&amp;"bn","不適用")&amp;IF(ISNUMBER(G40),"｜實際 "&amp;IF(G40&lt;0,"−","")&amp;"$"&amp;TEXT(ABS(G40),"#,##0.00")&amp;"bn"&amp;"（較模型 "&amp;IF(ISNUMBER(G74),IF(G74&lt;0,"−","+")&amp;TEXT(ABS(G74)*100,"#,##0.0")&amp;"%","不適用")&amp;"）","")&amp;G122</f>
        <v>CapEx（毛額）：模型 $6.90bn</v>
      </c>
      <c r="H128" s="42" t="str">
        <f aca="false">"CapEx（毛額）：模型 "&amp;IF(ISNUMBER(H31),IF(H31&lt;0,"−","")&amp;"$"&amp;TEXT(ABS(H31),"#,##0.00")&amp;"bn","不適用")&amp;IF(ISNUMBER(H40),"｜實際 "&amp;IF(H40&lt;0,"−","")&amp;"$"&amp;TEXT(ABS(H40),"#,##0.00")&amp;"bn"&amp;"（較模型 "&amp;IF(ISNUMBER(H74),IF(H74&lt;0,"−","+")&amp;TEXT(ABS(H74)*100,"#,##0.0")&amp;"%","不適用")&amp;"）","")&amp;H122</f>
        <v>CapEx（毛額）：模型 $6.90bn</v>
      </c>
    </row>
    <row r="129" customFormat="false" ht="15" hidden="true" customHeight="false" outlineLevel="1" collapsed="false">
      <c r="A129" s="3" t="s">
        <v>943</v>
      </c>
      <c r="C129" s="42" t="str">
        <f aca="false">"季末已連網 MW-IT：模型 "&amp;IF(ISNUMBER(C19),IF(C19&lt;0,"−","")&amp;TEXT(ABS(C19),"#,##0")&amp;" MW","不適用")&amp;IF(ISNUMBER(C41),"｜實際 "&amp;IF(C41&lt;0,"−","")&amp;TEXT(ABS(C41),"#,##0")&amp;" MW"&amp;"（較模型 "&amp;IF(ISNUMBER(C79),IF(C79&lt;0,"−","+")&amp;IF(ABS(C79)&lt;0,"−","")&amp;TEXT(ABS(ABS(C79)),"#,##0")&amp;" MW","不適用")&amp;"）","")&amp;C123</f>
        <v>季末已連網 MW-IT：模型 605 MW</v>
      </c>
      <c r="D129" s="42" t="str">
        <f aca="false">"季末已連網 MW-IT：模型 "&amp;IF(ISNUMBER(D19),IF(D19&lt;0,"−","")&amp;TEXT(ABS(D19),"#,##0")&amp;" MW","不適用")&amp;IF(ISNUMBER(D41),"｜實際 "&amp;IF(D41&lt;0,"−","")&amp;TEXT(ABS(D41),"#,##0")&amp;" MW"&amp;"（較模型 "&amp;IF(ISNUMBER(D79),IF(D79&lt;0,"−","+")&amp;IF(ABS(D79)&lt;0,"−","")&amp;TEXT(ABS(ABS(D79)),"#,##0")&amp;" MW","不適用")&amp;"）","")&amp;D123</f>
        <v>季末已連網 MW-IT：模型 750 MW</v>
      </c>
      <c r="E129" s="42" t="str">
        <f aca="false">"季末已連網 MW-IT：模型 "&amp;IF(ISNUMBER(E19),IF(E19&lt;0,"−","")&amp;TEXT(ABS(E19),"#,##0")&amp;" MW","不適用")&amp;IF(ISNUMBER(E41),"｜實際 "&amp;IF(E41&lt;0,"−","")&amp;TEXT(ABS(E41),"#,##0")&amp;" MW"&amp;"（較模型 "&amp;IF(ISNUMBER(E79),IF(E79&lt;0,"−","+")&amp;IF(ABS(E79)&lt;0,"−","")&amp;TEXT(ABS(ABS(E79)),"#,##0")&amp;" MW","不適用")&amp;"）","")&amp;E123</f>
        <v>季末已連網 MW-IT：模型 895 MW</v>
      </c>
      <c r="F129" s="42" t="str">
        <f aca="false">"季末已連網 MW-IT：模型 "&amp;IF(ISNUMBER(F19),IF(F19&lt;0,"−","")&amp;TEXT(ABS(F19),"#,##0")&amp;" MW","不適用")&amp;IF(ISNUMBER(F41),"｜實際 "&amp;IF(F41&lt;0,"−","")&amp;TEXT(ABS(F41),"#,##0")&amp;" MW"&amp;"（較模型 "&amp;IF(ISNUMBER(F79),IF(F79&lt;0,"−","+")&amp;IF(ABS(F79)&lt;0,"−","")&amp;TEXT(ABS(ABS(F79)),"#,##0")&amp;" MW","不適用")&amp;"）","")&amp;F123</f>
        <v>季末已連網 MW-IT：模型 1,040 MW</v>
      </c>
      <c r="G129" s="42" t="str">
        <f aca="false">"季末已連網 MW-IT：模型 "&amp;IF(ISNUMBER(G19),IF(G19&lt;0,"−","")&amp;TEXT(ABS(G19),"#,##0")&amp;" MW","不適用")&amp;IF(ISNUMBER(G41),"｜實際 "&amp;IF(G41&lt;0,"−","")&amp;TEXT(ABS(G41),"#,##0")&amp;" MW"&amp;"（較模型 "&amp;IF(ISNUMBER(G79),IF(G79&lt;0,"−","+")&amp;IF(ABS(G79)&lt;0,"−","")&amp;TEXT(ABS(ABS(G79)),"#,##0")&amp;" MW","不適用")&amp;"）","")&amp;G123</f>
        <v>季末已連網 MW-IT：模型 1,185 MW</v>
      </c>
      <c r="H129" s="42" t="str">
        <f aca="false">"季末已連網 MW-IT：模型 "&amp;IF(ISNUMBER(H19),IF(H19&lt;0,"−","")&amp;TEXT(ABS(H19),"#,##0")&amp;" MW","不適用")&amp;IF(ISNUMBER(H41),"｜實際 "&amp;IF(H41&lt;0,"−","")&amp;TEXT(ABS(H41),"#,##0")&amp;" MW"&amp;"（較模型 "&amp;IF(ISNUMBER(H79),IF(H79&lt;0,"−","+")&amp;IF(ABS(H79)&lt;0,"−","")&amp;TEXT(ABS(ABS(H79)),"#,##0")&amp;" MW","不適用")&amp;"）","")&amp;H123</f>
        <v>季末已連網 MW-IT：模型 1,330 MW</v>
      </c>
    </row>
    <row r="130" customFormat="false" ht="15" hidden="true" customHeight="false" outlineLevel="1" collapsed="false"/>
    <row r="131" customFormat="false" ht="15" hidden="true" customHeight="false" outlineLevel="1" collapsed="false">
      <c r="A131" s="2" t="s">
        <v>944</v>
      </c>
    </row>
    <row r="132" customFormat="false" ht="15" hidden="true" customHeight="false" outlineLevel="1" collapsed="false">
      <c r="A132" s="3" t="s">
        <v>945</v>
      </c>
      <c r="C132" s="65" t="n">
        <f aca="false">C22+D22-損益!C8</f>
        <v>0</v>
      </c>
      <c r="D132" s="65" t="n">
        <f aca="false">E22+F22+G22+H22-損益!D8</f>
        <v>0</v>
      </c>
    </row>
    <row r="133" customFormat="false" ht="15" hidden="true" customHeight="false" outlineLevel="1" collapsed="false">
      <c r="A133" s="3" t="s">
        <v>946</v>
      </c>
      <c r="C133" s="65" t="n">
        <f aca="false">C28+D28-損益!C19</f>
        <v>0</v>
      </c>
      <c r="D133" s="65" t="n">
        <f aca="false">E28+F28+G28+H28-損益!D19</f>
        <v>0</v>
      </c>
    </row>
    <row r="134" customFormat="false" ht="15" hidden="true" customHeight="false" outlineLevel="1" collapsed="false">
      <c r="A134" s="3" t="s">
        <v>947</v>
      </c>
      <c r="C134" s="65" t="n">
        <f aca="false">C30+D30-損益!C10</f>
        <v>0</v>
      </c>
      <c r="D134" s="65" t="n">
        <f aca="false">E30+F30+G30+H30-損益!D10</f>
        <v>0</v>
      </c>
    </row>
    <row r="135" customFormat="false" ht="15" hidden="true" customHeight="false" outlineLevel="1" collapsed="false">
      <c r="A135" s="3" t="s">
        <v>948</v>
      </c>
      <c r="C135" s="65" t="n">
        <f aca="false">C31+D31-輸入與假設!C$91</f>
        <v>0</v>
      </c>
      <c r="D135" s="65" t="n">
        <f aca="false">E31+F31+G31+H31-輸入與假設!D$91</f>
        <v>0</v>
      </c>
    </row>
    <row r="136" customFormat="false" ht="15" hidden="true" customHeight="false" outlineLevel="1" collapsed="false">
      <c r="A136" s="3" t="s">
        <v>949</v>
      </c>
      <c r="C136" s="65" t="n">
        <f aca="false">C29+D29-輸入與假設!C$92</f>
        <v>0</v>
      </c>
      <c r="D136" s="65" t="n">
        <f aca="false">E29+F29+G29+H29-輸入與假設!D$92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1" t="s">
        <v>950</v>
      </c>
    </row>
    <row r="2" customFormat="false" ht="15" hidden="false" customHeight="false" outlineLevel="0" collapsed="false">
      <c r="A2" s="5" t="s">
        <v>951</v>
      </c>
    </row>
    <row r="3" customFormat="false" ht="15" hidden="false" customHeight="false" outlineLevel="0" collapsed="false">
      <c r="A3" s="10" t="s">
        <v>952</v>
      </c>
    </row>
    <row r="5" customFormat="false" ht="15" hidden="false" customHeight="false" outlineLevel="0" collapsed="false">
      <c r="A5" s="13" t="s">
        <v>50</v>
      </c>
      <c r="B5" s="13" t="s">
        <v>51</v>
      </c>
      <c r="C5" s="26" t="s">
        <v>52</v>
      </c>
      <c r="D5" s="26" t="s">
        <v>53</v>
      </c>
      <c r="E5" s="26" t="s">
        <v>54</v>
      </c>
      <c r="F5" s="26" t="s">
        <v>139</v>
      </c>
      <c r="G5" s="26" t="s">
        <v>140</v>
      </c>
      <c r="I5" s="13" t="s">
        <v>643</v>
      </c>
    </row>
    <row r="6" customFormat="false" ht="15" hidden="false" customHeight="false" outlineLevel="0" collapsed="false">
      <c r="A6" s="3" t="s">
        <v>415</v>
      </c>
      <c r="B6" s="5"/>
      <c r="C6" s="62" t="str">
        <f aca="false">"2026-07-01~12-31"</f>
        <v>2026-07-01~12-31</v>
      </c>
      <c r="D6" s="62" t="str">
        <f aca="false">"2027 全年"</f>
        <v>2027 全年</v>
      </c>
      <c r="E6" s="62" t="str">
        <f aca="false">"2028 全年"</f>
        <v>2028 全年</v>
      </c>
      <c r="F6" s="62" t="str">
        <f aca="false">"2029 全年"</f>
        <v>2029 全年</v>
      </c>
      <c r="G6" s="62" t="str">
        <f aca="false">"2030 全年"</f>
        <v>2030 全年</v>
      </c>
      <c r="I6" s="10" t="s">
        <v>953</v>
      </c>
    </row>
    <row r="7" customFormat="false" ht="15" hidden="false" customHeight="false" outlineLevel="0" collapsed="false">
      <c r="A7" s="3" t="s">
        <v>196</v>
      </c>
      <c r="B7" s="5"/>
      <c r="C7" s="40" t="n">
        <f aca="false">輸入與假設!C$37</f>
        <v>0.5</v>
      </c>
      <c r="D7" s="40" t="n">
        <f aca="false">輸入與假設!D$37</f>
        <v>1</v>
      </c>
      <c r="E7" s="40" t="n">
        <f aca="false">輸入與假設!E$37</f>
        <v>1</v>
      </c>
      <c r="F7" s="40" t="n">
        <f aca="false">輸入與假設!F$37</f>
        <v>1</v>
      </c>
      <c r="G7" s="40" t="n">
        <f aca="false">輸入與假設!G$37</f>
        <v>1</v>
      </c>
      <c r="I7" s="5" t="s">
        <v>954</v>
      </c>
    </row>
    <row r="8" customFormat="false" ht="15" hidden="false" customHeight="false" outlineLevel="0" collapsed="false">
      <c r="A8" s="46" t="s">
        <v>955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1" collapsed="false">
      <c r="A9" s="4" t="s">
        <v>956</v>
      </c>
      <c r="B9" s="10" t="s">
        <v>143</v>
      </c>
      <c r="C9" s="64" t="n">
        <f aca="false">MAX(0,輸入與假設!C$39)</f>
        <v>750</v>
      </c>
      <c r="D9" s="64" t="n">
        <f aca="false">MAX(輸入與假設!D$39,C9)</f>
        <v>1330</v>
      </c>
      <c r="E9" s="64" t="n">
        <f aca="false">MAX(輸入與假設!E$39,D9)</f>
        <v>1910</v>
      </c>
      <c r="F9" s="64" t="n">
        <f aca="false">MAX(輸入與假設!F$39,E9)</f>
        <v>2490</v>
      </c>
      <c r="G9" s="64" t="n">
        <f aca="false">MAX(輸入與假設!G$39,F9)</f>
        <v>3070</v>
      </c>
      <c r="I9" s="5" t="s">
        <v>957</v>
      </c>
    </row>
    <row r="10" customFormat="false" ht="15" hidden="false" customHeight="false" outlineLevel="1" collapsed="false">
      <c r="A10" s="4" t="s">
        <v>958</v>
      </c>
      <c r="B10" s="10" t="s">
        <v>143</v>
      </c>
      <c r="C10" s="64" t="n">
        <f aca="false">MIN(MAX(0,輸入與假設!C$40),C9)</f>
        <v>338</v>
      </c>
      <c r="D10" s="64" t="n">
        <f aca="false">MIN(MAX(0,輸入與假設!D$40),D9)</f>
        <v>904</v>
      </c>
      <c r="E10" s="64" t="n">
        <f aca="false">MIN(MAX(0,輸入與假設!E$40),E9)</f>
        <v>1719</v>
      </c>
      <c r="F10" s="64" t="n">
        <f aca="false">MIN(MAX(0,輸入與假設!F$40),F9)</f>
        <v>2241</v>
      </c>
      <c r="G10" s="64" t="n">
        <f aca="false">MIN(MAX(0,輸入與假設!G$40),G9)</f>
        <v>2763</v>
      </c>
      <c r="I10" s="5" t="s">
        <v>959</v>
      </c>
    </row>
    <row r="11" customFormat="false" ht="15" hidden="false" customHeight="false" outlineLevel="1" collapsed="false">
      <c r="A11" s="3" t="s">
        <v>960</v>
      </c>
      <c r="B11" s="10" t="s">
        <v>143</v>
      </c>
      <c r="C11" s="64" t="n">
        <f aca="false">輸入與假設!$C$32</f>
        <v>253</v>
      </c>
      <c r="D11" s="64" t="n">
        <f aca="false">C10</f>
        <v>338</v>
      </c>
      <c r="E11" s="64" t="n">
        <f aca="false">D10</f>
        <v>904</v>
      </c>
      <c r="F11" s="64" t="n">
        <f aca="false">E10</f>
        <v>1719</v>
      </c>
      <c r="G11" s="64" t="n">
        <f aca="false">F10</f>
        <v>2241</v>
      </c>
      <c r="I11" s="5" t="s">
        <v>961</v>
      </c>
    </row>
    <row r="12" customFormat="false" ht="15" hidden="false" customHeight="false" outlineLevel="1" collapsed="false">
      <c r="A12" s="3" t="s">
        <v>962</v>
      </c>
      <c r="B12" s="10" t="s">
        <v>143</v>
      </c>
      <c r="C12" s="64" t="n">
        <f aca="false">IF(輸入與假設!$C$33=1,(C11+C10)/2,C10)</f>
        <v>295.5</v>
      </c>
      <c r="D12" s="64" t="n">
        <f aca="false">IF(輸入與假設!$C$33=1,(D11+D10)/2,D10)</f>
        <v>621</v>
      </c>
      <c r="E12" s="64" t="n">
        <f aca="false">IF(輸入與假設!$C$33=1,(E11+E10)/2,E10)</f>
        <v>1311.5</v>
      </c>
      <c r="F12" s="64" t="n">
        <f aca="false">IF(輸入與假設!$C$33=1,(F11+F10)/2,F10)</f>
        <v>1980</v>
      </c>
      <c r="G12" s="64" t="n">
        <f aca="false">IF(輸入與假設!$C$33=1,(G11+G10)/2,G10)</f>
        <v>2502</v>
      </c>
      <c r="I12" s="5" t="s">
        <v>963</v>
      </c>
    </row>
    <row r="13" customFormat="false" ht="15" hidden="false" customHeight="false" outlineLevel="1" collapsed="false">
      <c r="A13" s="3" t="s">
        <v>204</v>
      </c>
      <c r="B13" s="10" t="s">
        <v>42</v>
      </c>
      <c r="C13" s="47" t="n">
        <f aca="false">輸入與假設!C$41</f>
        <v>1</v>
      </c>
      <c r="D13" s="47" t="n">
        <f aca="false">輸入與假設!D$41</f>
        <v>1</v>
      </c>
      <c r="E13" s="47" t="n">
        <f aca="false">輸入與假設!E$41</f>
        <v>1</v>
      </c>
      <c r="F13" s="47" t="n">
        <f aca="false">輸入與假設!F$41</f>
        <v>1</v>
      </c>
      <c r="G13" s="47" t="n">
        <f aca="false">輸入與假設!G$41</f>
        <v>1</v>
      </c>
    </row>
    <row r="14" customFormat="false" ht="15" hidden="false" customHeight="false" outlineLevel="1" collapsed="false">
      <c r="A14" s="3" t="s">
        <v>206</v>
      </c>
      <c r="B14" s="10" t="s">
        <v>161</v>
      </c>
      <c r="C14" s="22" t="n">
        <f aca="false">輸入與假設!C$42</f>
        <v>0.0091925511427595</v>
      </c>
      <c r="D14" s="22" t="n">
        <f aca="false">輸入與假設!D$42</f>
        <v>0.00962184411946704</v>
      </c>
      <c r="E14" s="22" t="n">
        <f aca="false">輸入與假設!E$42</f>
        <v>0.0100188932420853</v>
      </c>
      <c r="F14" s="22" t="n">
        <f aca="false">輸入與假設!F$42</f>
        <v>0.010264054283229</v>
      </c>
      <c r="G14" s="22" t="n">
        <f aca="false">輸入與假設!G$42</f>
        <v>0.0103952998833731</v>
      </c>
    </row>
    <row r="15" customFormat="false" ht="15" hidden="false" customHeight="false" outlineLevel="1" collapsed="false">
      <c r="A15" s="3" t="s">
        <v>964</v>
      </c>
      <c r="B15" s="10" t="s">
        <v>56</v>
      </c>
      <c r="C15" s="36" t="n">
        <f aca="false">C12*輸入與假設!C$42*輸入與假設!$C$35*輸入與假設!C$41*C7</f>
        <v>1.35819943134272</v>
      </c>
      <c r="D15" s="36" t="n">
        <f aca="false">D12*輸入與假設!D$42*輸入與假設!$C$35*輸入與假設!D$41*D7</f>
        <v>5.97516519818903</v>
      </c>
      <c r="E15" s="36" t="n">
        <f aca="false">E12*輸入與假設!E$42*輸入與假設!$C$35*輸入與假設!E$41*E7</f>
        <v>13.1397784869949</v>
      </c>
      <c r="F15" s="36" t="n">
        <f aca="false">F12*輸入與假設!F$42*輸入與假設!$C$35*輸入與假設!F$41*F7</f>
        <v>20.3228274807935</v>
      </c>
      <c r="G15" s="36" t="n">
        <f aca="false">G12*輸入與假設!G$42*輸入與假設!$C$35*輸入與假設!G$41*G7</f>
        <v>26.0090403081994</v>
      </c>
      <c r="I15" s="5" t="s">
        <v>965</v>
      </c>
    </row>
    <row r="16" customFormat="false" ht="15" hidden="false" customHeight="false" outlineLevel="0" collapsed="false">
      <c r="A16" s="46" t="s">
        <v>966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1" collapsed="false">
      <c r="A17" s="3" t="s">
        <v>967</v>
      </c>
      <c r="B17" s="10" t="s">
        <v>56</v>
      </c>
      <c r="C17" s="62" t="n">
        <f aca="false">(輸入與假設!$C$26+輸入與假設!$C$27)*(輸入與假設!C$38/輸入與假設!$C$29)*輸入與假設!$C$28</f>
        <v>3.374154</v>
      </c>
      <c r="D17" s="62" t="n">
        <f aca="false">(輸入與假設!$C$26+輸入與假設!$C$27)*(輸入與假設!D$38/輸入與假設!$C$29)*輸入與假設!$C$28</f>
        <v>6.748308</v>
      </c>
      <c r="E17" s="62" t="n">
        <f aca="false">(輸入與假設!$C$26+輸入與假設!$C$27)*(輸入與假設!E$38/輸入與假設!$C$29)*輸入與假設!$C$28</f>
        <v>7.123214</v>
      </c>
      <c r="F17" s="62" t="n">
        <f aca="false">(輸入與假設!$C$26+輸入與假設!$C$27)*(輸入與假設!F$38/輸入與假設!$C$29)*輸入與假設!$C$28</f>
        <v>7.49812</v>
      </c>
      <c r="G17" s="62" t="n">
        <f aca="false">(輸入與假設!$C$26+輸入與假設!$C$27)*(輸入與假設!G$38/輸入與假設!$C$29)*輸入與假設!$C$28</f>
        <v>5.998496</v>
      </c>
      <c r="I17" s="5" t="s">
        <v>968</v>
      </c>
    </row>
    <row r="18" customFormat="false" ht="15" hidden="false" customHeight="false" outlineLevel="0" collapsed="false">
      <c r="A18" s="46" t="s">
        <v>969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3" t="s">
        <v>970</v>
      </c>
      <c r="B19" s="10" t="s">
        <v>56</v>
      </c>
      <c r="C19" s="36" t="n">
        <f aca="false">MAX(0,C17-C15)</f>
        <v>2.01595456865728</v>
      </c>
      <c r="D19" s="36" t="n">
        <f aca="false">MAX(0,D17-D15)</f>
        <v>0.773142801810966</v>
      </c>
      <c r="E19" s="36" t="n">
        <f aca="false">MAX(0,E17-E15)</f>
        <v>0</v>
      </c>
      <c r="F19" s="36" t="n">
        <f aca="false">MAX(0,F17-F15)</f>
        <v>0</v>
      </c>
      <c r="G19" s="36" t="n">
        <f aca="false">MAX(0,G17-G15)</f>
        <v>0</v>
      </c>
      <c r="I19" s="5" t="s">
        <v>971</v>
      </c>
    </row>
    <row r="20" customFormat="false" ht="15" hidden="false" customHeight="false" outlineLevel="1" collapsed="false">
      <c r="A20" s="3" t="s">
        <v>972</v>
      </c>
      <c r="B20" s="10" t="s">
        <v>56</v>
      </c>
      <c r="C20" s="62" t="n">
        <f aca="false">C17-C19</f>
        <v>1.35819943134272</v>
      </c>
      <c r="D20" s="62" t="n">
        <f aca="false">D17-D19</f>
        <v>5.97516519818903</v>
      </c>
      <c r="E20" s="62" t="n">
        <f aca="false">E17-E19</f>
        <v>7.123214</v>
      </c>
      <c r="F20" s="62" t="n">
        <f aca="false">F17-F19</f>
        <v>7.49812</v>
      </c>
      <c r="G20" s="62" t="n">
        <f aca="false">G17-G19</f>
        <v>5.998496</v>
      </c>
      <c r="I20" s="5" t="s">
        <v>973</v>
      </c>
    </row>
    <row r="21" customFormat="false" ht="15" hidden="false" customHeight="false" outlineLevel="1" collapsed="false">
      <c r="A21" s="3" t="s">
        <v>974</v>
      </c>
      <c r="B21" s="10" t="s">
        <v>56</v>
      </c>
      <c r="C21" s="62" t="n">
        <f aca="false">MAX(0,C15-C17)</f>
        <v>0</v>
      </c>
      <c r="D21" s="62" t="n">
        <f aca="false">MAX(0,D15-D17)</f>
        <v>0</v>
      </c>
      <c r="E21" s="62" t="n">
        <f aca="false">MAX(0,E15-E17)</f>
        <v>6.01656448699492</v>
      </c>
      <c r="F21" s="62" t="n">
        <f aca="false">MAX(0,F15-F17)</f>
        <v>12.8247074807935</v>
      </c>
      <c r="G21" s="62" t="n">
        <f aca="false">MAX(0,G15-G17)</f>
        <v>20.0105443081994</v>
      </c>
      <c r="I21" s="5" t="s">
        <v>975</v>
      </c>
    </row>
    <row r="22" customFormat="false" ht="15" hidden="false" customHeight="false" outlineLevel="1" collapsed="false">
      <c r="A22" s="3" t="s">
        <v>208</v>
      </c>
      <c r="B22" s="10" t="s">
        <v>42</v>
      </c>
      <c r="C22" s="47" t="n">
        <f aca="false">IF(輸入與假設!$C$34="mw",1,輸入與假設!C$43)</f>
        <v>1</v>
      </c>
      <c r="D22" s="47" t="n">
        <f aca="false">IF(輸入與假設!$C$34="mw",1,輸入與假設!D$43)</f>
        <v>1</v>
      </c>
      <c r="E22" s="47" t="n">
        <f aca="false">IF(輸入與假設!$C$34="mw",1,輸入與假設!E$43)</f>
        <v>1</v>
      </c>
      <c r="F22" s="47" t="n">
        <f aca="false">IF(輸入與假設!$C$34="mw",1,輸入與假設!F$43)</f>
        <v>1</v>
      </c>
      <c r="G22" s="47" t="n">
        <f aca="false">IF(輸入與假設!$C$34="mw",1,輸入與假設!G$43)</f>
        <v>1</v>
      </c>
      <c r="I22" s="10" t="s">
        <v>976</v>
      </c>
    </row>
    <row r="23" customFormat="false" ht="15" hidden="false" customHeight="false" outlineLevel="1" collapsed="false">
      <c r="A23" s="3" t="s">
        <v>977</v>
      </c>
      <c r="B23" s="10" t="s">
        <v>56</v>
      </c>
      <c r="C23" s="62" t="n">
        <f aca="false">C21*C22</f>
        <v>0</v>
      </c>
      <c r="D23" s="62" t="n">
        <f aca="false">D21*D22</f>
        <v>0</v>
      </c>
      <c r="E23" s="62" t="n">
        <f aca="false">E21*E22</f>
        <v>6.01656448699492</v>
      </c>
      <c r="F23" s="62" t="n">
        <f aca="false">F21*F22</f>
        <v>12.8247074807935</v>
      </c>
      <c r="G23" s="62" t="n">
        <f aca="false">G21*G22</f>
        <v>20.0105443081994</v>
      </c>
      <c r="I23" s="5" t="s">
        <v>978</v>
      </c>
    </row>
    <row r="24" customFormat="false" ht="15" hidden="false" customHeight="false" outlineLevel="1" collapsed="false">
      <c r="A24" s="3" t="s">
        <v>979</v>
      </c>
      <c r="B24" s="10" t="s">
        <v>56</v>
      </c>
      <c r="C24" s="62" t="n">
        <f aca="false">MAX(0,C15-C20-C23)</f>
        <v>0</v>
      </c>
      <c r="D24" s="62" t="n">
        <f aca="false">MAX(0,D15-D20-D23)</f>
        <v>0</v>
      </c>
      <c r="E24" s="62" t="n">
        <f aca="false">MAX(0,E15-E20-E23)</f>
        <v>0</v>
      </c>
      <c r="F24" s="62" t="n">
        <f aca="false">MAX(0,F15-F20-F23)</f>
        <v>0</v>
      </c>
      <c r="G24" s="62" t="n">
        <f aca="false">MAX(0,G15-G20-G23)</f>
        <v>0</v>
      </c>
      <c r="I24" s="5" t="s">
        <v>980</v>
      </c>
    </row>
    <row r="25" customFormat="false" ht="15" hidden="false" customHeight="false" outlineLevel="1" collapsed="false">
      <c r="A25" s="3" t="s">
        <v>981</v>
      </c>
      <c r="B25" s="10" t="s">
        <v>56</v>
      </c>
      <c r="C25" s="36" t="n">
        <f aca="false">C20+C23</f>
        <v>1.35819943134272</v>
      </c>
      <c r="D25" s="36" t="n">
        <f aca="false">D20+D23</f>
        <v>5.97516519818903</v>
      </c>
      <c r="E25" s="36" t="n">
        <f aca="false">E20+E23</f>
        <v>13.1397784869949</v>
      </c>
      <c r="F25" s="36" t="n">
        <f aca="false">F20+F23</f>
        <v>20.3228274807935</v>
      </c>
      <c r="G25" s="36" t="n">
        <f aca="false">G20+G23</f>
        <v>26.0090403081994</v>
      </c>
      <c r="I25" s="5" t="s">
        <v>982</v>
      </c>
    </row>
    <row r="26" customFormat="false" ht="15" hidden="false" customHeight="false" outlineLevel="1" collapsed="false">
      <c r="A26" s="3" t="s">
        <v>983</v>
      </c>
      <c r="B26" s="10" t="s">
        <v>56</v>
      </c>
      <c r="C26" s="62" t="n">
        <f aca="false">C25-C12*輸入與假設!C$42*輸入與假設!$C$35*輸入與假設!C$41*C7</f>
        <v>0</v>
      </c>
      <c r="D26" s="62" t="n">
        <f aca="false">D25-D12*輸入與假設!D$42*輸入與假設!$C$35*輸入與假設!D$41*D7</f>
        <v>0</v>
      </c>
      <c r="E26" s="62" t="n">
        <f aca="false">E25-E12*輸入與假設!E$42*輸入與假設!$C$35*輸入與假設!E$41*E7</f>
        <v>0</v>
      </c>
      <c r="F26" s="62" t="n">
        <f aca="false">F25-F12*輸入與假設!F$42*輸入與假設!$C$35*輸入與假設!F$41*F7</f>
        <v>0</v>
      </c>
      <c r="G26" s="62" t="n">
        <f aca="false">G25-G12*輸入與假設!G$42*輸入與假設!$C$35*輸入與假設!G$41*G7</f>
        <v>0</v>
      </c>
      <c r="I26" s="10" t="s">
        <v>984</v>
      </c>
    </row>
    <row r="27" customFormat="false" ht="15" hidden="false" customHeight="false" outlineLevel="1" collapsed="false">
      <c r="A27" s="4" t="s">
        <v>985</v>
      </c>
      <c r="B27" s="10" t="s">
        <v>56</v>
      </c>
      <c r="C27" s="40" t="n">
        <f aca="false">輸入與假設!$C$190</f>
        <v>0.9813</v>
      </c>
      <c r="D27" s="40" t="n">
        <f aca="false">0</f>
        <v>0</v>
      </c>
      <c r="E27" s="40" t="n">
        <f aca="false">0</f>
        <v>0</v>
      </c>
      <c r="F27" s="40" t="n">
        <f aca="false">0</f>
        <v>0</v>
      </c>
      <c r="G27" s="40" t="n">
        <f aca="false">0</f>
        <v>0</v>
      </c>
      <c r="I27" s="10" t="s">
        <v>986</v>
      </c>
    </row>
    <row r="28" customFormat="false" ht="15" hidden="false" customHeight="false" outlineLevel="1" collapsed="false">
      <c r="A28" s="4" t="s">
        <v>987</v>
      </c>
      <c r="B28" s="10" t="s">
        <v>56</v>
      </c>
      <c r="C28" s="66" t="n">
        <f aca="false">C27+C25+輸入與假設!C$46</f>
        <v>2.33949943134272</v>
      </c>
      <c r="D28" s="36" t="n">
        <f aca="false">D27+D25+輸入與假設!D$46</f>
        <v>5.97516519818903</v>
      </c>
      <c r="E28" s="36" t="n">
        <f aca="false">E27+E25+輸入與假設!E$46</f>
        <v>13.1397784869949</v>
      </c>
      <c r="F28" s="36" t="n">
        <f aca="false">F27+F25+輸入與假設!F$46</f>
        <v>20.3228274807935</v>
      </c>
      <c r="G28" s="36" t="n">
        <f aca="false">G27+G25+輸入與假設!G$46</f>
        <v>26.0090403081994</v>
      </c>
      <c r="I28" s="10" t="s">
        <v>988</v>
      </c>
    </row>
    <row r="29" customFormat="false" ht="15" hidden="false" customHeight="false" outlineLevel="0" collapsed="false">
      <c r="A29" s="46" t="s">
        <v>989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210</v>
      </c>
      <c r="B30" s="10" t="s">
        <v>42</v>
      </c>
      <c r="C30" s="47" t="n">
        <f aca="false">輸入與假設!C$44</f>
        <v>0.005</v>
      </c>
      <c r="D30" s="47" t="n">
        <f aca="false">輸入與假設!D$44</f>
        <v>0.01</v>
      </c>
      <c r="E30" s="47" t="n">
        <f aca="false">輸入與假設!E$44</f>
        <v>0.015</v>
      </c>
      <c r="F30" s="47" t="n">
        <f aca="false">輸入與假設!F$44</f>
        <v>0.02</v>
      </c>
      <c r="G30" s="47" t="n">
        <f aca="false">輸入與假設!G$44</f>
        <v>0.025</v>
      </c>
    </row>
    <row r="31" customFormat="false" ht="15" hidden="false" customHeight="false" outlineLevel="1" collapsed="false">
      <c r="A31" s="3" t="s">
        <v>212</v>
      </c>
      <c r="B31" s="10" t="s">
        <v>42</v>
      </c>
      <c r="C31" s="47" t="n">
        <f aca="false">輸入與假設!C$45</f>
        <v>0.5</v>
      </c>
      <c r="D31" s="47" t="n">
        <f aca="false">輸入與假設!D$45</f>
        <v>0.5</v>
      </c>
      <c r="E31" s="47" t="n">
        <f aca="false">輸入與假設!E$45</f>
        <v>0.5</v>
      </c>
      <c r="F31" s="47" t="n">
        <f aca="false">輸入與假設!F$45</f>
        <v>0.5</v>
      </c>
      <c r="G31" s="47" t="n">
        <f aca="false">輸入與假設!G$45</f>
        <v>0.5</v>
      </c>
    </row>
    <row r="32" customFormat="false" ht="15" hidden="false" customHeight="false" outlineLevel="1" collapsed="false">
      <c r="A32" s="3" t="s">
        <v>990</v>
      </c>
      <c r="B32" s="10" t="s">
        <v>56</v>
      </c>
      <c r="C32" s="62" t="n">
        <f aca="false">C20*輸入與假設!C$44*(1-輸入與假設!C$45)</f>
        <v>0.00339549857835679</v>
      </c>
      <c r="D32" s="62" t="n">
        <f aca="false">D20*輸入與假設!D$44*(1-輸入與假設!D$45)</f>
        <v>0.0298758259909452</v>
      </c>
      <c r="E32" s="62" t="n">
        <f aca="false">E20*輸入與假設!E$44*(1-輸入與假設!E$45)</f>
        <v>0.053424105</v>
      </c>
      <c r="F32" s="62" t="n">
        <f aca="false">F20*輸入與假設!F$44*(1-輸入與假設!F$45)</f>
        <v>0.0749812</v>
      </c>
      <c r="G32" s="62" t="n">
        <f aca="false">G20*輸入與假設!G$44*(1-輸入與假設!G$45)</f>
        <v>0.0749812</v>
      </c>
      <c r="I32" s="5" t="s">
        <v>991</v>
      </c>
    </row>
    <row r="33" customFormat="false" ht="15" hidden="false" customHeight="false" outlineLevel="1" collapsed="false">
      <c r="A33" s="3" t="s">
        <v>992</v>
      </c>
      <c r="B33" s="10" t="s">
        <v>56</v>
      </c>
      <c r="C33" s="62" t="n">
        <f aca="false">C20-C32</f>
        <v>1.35480393276436</v>
      </c>
      <c r="D33" s="62" t="n">
        <f aca="false">D20-D32</f>
        <v>5.94528937219809</v>
      </c>
      <c r="E33" s="62" t="n">
        <f aca="false">E20-E32</f>
        <v>7.069789895</v>
      </c>
      <c r="F33" s="62" t="n">
        <f aca="false">F20-F32</f>
        <v>7.4231388</v>
      </c>
      <c r="G33" s="62" t="n">
        <f aca="false">G20-G32</f>
        <v>5.9235148</v>
      </c>
    </row>
    <row r="34" customFormat="false" ht="15" hidden="false" customHeight="false" outlineLevel="1" collapsed="false">
      <c r="A34" s="4" t="s">
        <v>993</v>
      </c>
      <c r="B34" s="10" t="s">
        <v>42</v>
      </c>
      <c r="C34" s="47" t="n">
        <f aca="false">輸入與假設!C$53</f>
        <v>0.497</v>
      </c>
      <c r="D34" s="47" t="n">
        <f aca="false">輸入與假設!D$53</f>
        <v>0.49025</v>
      </c>
      <c r="E34" s="47" t="n">
        <f aca="false">輸入與假設!E$53</f>
        <v>0.4835</v>
      </c>
      <c r="F34" s="47" t="n">
        <f aca="false">輸入與假設!F$53</f>
        <v>0.47675</v>
      </c>
      <c r="G34" s="47" t="n">
        <f aca="false">輸入與假設!G$53</f>
        <v>0.47</v>
      </c>
      <c r="I34" s="5" t="s">
        <v>994</v>
      </c>
    </row>
    <row r="35" customFormat="false" ht="15" hidden="false" customHeight="false" outlineLevel="1" collapsed="false">
      <c r="A35" s="3" t="s">
        <v>995</v>
      </c>
      <c r="B35" s="10" t="s">
        <v>56</v>
      </c>
      <c r="C35" s="62" t="n">
        <f aca="false">C25+輸入與假設!C$46</f>
        <v>1.35819943134272</v>
      </c>
      <c r="D35" s="62" t="n">
        <f aca="false">D25+輸入與假設!D$46</f>
        <v>5.97516519818903</v>
      </c>
      <c r="E35" s="62" t="n">
        <f aca="false">E25+輸入與假設!E$46</f>
        <v>13.1397784869949</v>
      </c>
      <c r="F35" s="62" t="n">
        <f aca="false">F25+輸入與假設!F$46</f>
        <v>20.3228274807935</v>
      </c>
      <c r="G35" s="62" t="n">
        <f aca="false">G25+輸入與假設!G$46</f>
        <v>26.0090403081994</v>
      </c>
    </row>
    <row r="36" customFormat="false" ht="15" hidden="false" customHeight="false" outlineLevel="1" collapsed="false">
      <c r="A36" s="4" t="s">
        <v>996</v>
      </c>
      <c r="B36" s="10" t="s">
        <v>42</v>
      </c>
      <c r="C36" s="67" t="n">
        <f aca="false">輸入與假設!C$53+各期收支!C15/MAX(0.01,C35)</f>
        <v>0.601255676104955</v>
      </c>
      <c r="D36" s="67" t="n">
        <f aca="false">輸入與假設!D$53+各期收支!D15/MAX(0.01,D35)</f>
        <v>0.59991867323938</v>
      </c>
      <c r="E36" s="67" t="n">
        <f aca="false">輸入與假設!E$53+各期收支!E15/MAX(0.01,E35)</f>
        <v>0.561489359936436</v>
      </c>
      <c r="F36" s="67" t="n">
        <f aca="false">輸入與假設!F$53+各期收支!F15/MAX(0.01,F35)</f>
        <v>0.526339047552997</v>
      </c>
      <c r="G36" s="67" t="n">
        <f aca="false">輸入與假設!G$53+各期收支!G15/MAX(0.01,G35)</f>
        <v>0.50824755934106</v>
      </c>
      <c r="I36" s="5" t="s">
        <v>997</v>
      </c>
    </row>
    <row r="37" customFormat="false" ht="15" hidden="false" customHeight="false" outlineLevel="1" collapsed="false">
      <c r="A37" s="4" t="s">
        <v>998</v>
      </c>
      <c r="B37" s="10" t="s">
        <v>56</v>
      </c>
      <c r="C37" s="36" t="n">
        <f aca="false">C33*C36</f>
        <v>0.814583554583887</v>
      </c>
      <c r="D37" s="36" t="n">
        <f aca="false">D33*D36</f>
        <v>3.56669011219327</v>
      </c>
      <c r="E37" s="36" t="n">
        <f aca="false">E33*E36</f>
        <v>3.96961180302863</v>
      </c>
      <c r="F37" s="36" t="n">
        <f aca="false">F33*F36</f>
        <v>3.9070878058457</v>
      </c>
      <c r="G37" s="36" t="n">
        <f aca="false">G33*G36</f>
        <v>3.01061193982065</v>
      </c>
      <c r="I37" s="10" t="s">
        <v>999</v>
      </c>
    </row>
    <row r="38" customFormat="false" ht="15" hidden="false" customHeight="false" outlineLevel="1" collapsed="false">
      <c r="A38" s="3" t="s">
        <v>1000</v>
      </c>
      <c r="B38" s="10" t="s">
        <v>56</v>
      </c>
      <c r="C38" s="62" t="n">
        <f aca="false">C23*(1-輸入與假設!C$44*(1-輸入與假設!C$45))*C36</f>
        <v>0</v>
      </c>
      <c r="D38" s="62" t="n">
        <f aca="false">D23*(1-輸入與假設!D$44*(1-輸入與假設!D$45))*D36</f>
        <v>0</v>
      </c>
      <c r="E38" s="62" t="n">
        <f aca="false">E23*(1-輸入與假設!E$44*(1-輸入與假設!E$45))*E36</f>
        <v>3.35290016574792</v>
      </c>
      <c r="F38" s="62" t="n">
        <f aca="false">F23*(1-輸入與假設!F$44*(1-輸入與假設!F$45))*F36</f>
        <v>6.68264287738078</v>
      </c>
      <c r="G38" s="62" t="n">
        <f aca="false">G23*(1-輸入與假設!G$44*(1-輸入與假設!G$45))*G36</f>
        <v>10.0431814269069</v>
      </c>
      <c r="I38" s="5" t="s">
        <v>1001</v>
      </c>
    </row>
    <row r="39" customFormat="false" ht="15" hidden="false" customHeight="false" outlineLevel="1" collapsed="false"/>
    <row r="40" customFormat="false" ht="15" hidden="false" customHeight="false" outlineLevel="1" collapsed="false">
      <c r="A40" s="2" t="s">
        <v>1002</v>
      </c>
    </row>
    <row r="41" customFormat="false" ht="15" hidden="false" customHeight="false" outlineLevel="1" collapsed="false">
      <c r="A41" s="5" t="s">
        <v>1003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1" t="s">
        <v>1004</v>
      </c>
    </row>
    <row r="2" customFormat="false" ht="15" hidden="false" customHeight="false" outlineLevel="0" collapsed="false">
      <c r="A2" s="5" t="s">
        <v>1005</v>
      </c>
    </row>
    <row r="4" customFormat="false" ht="17.15" hidden="false" customHeight="false" outlineLevel="0" collapsed="false">
      <c r="A4" s="13" t="s">
        <v>1006</v>
      </c>
      <c r="B4" s="13" t="s">
        <v>1007</v>
      </c>
      <c r="C4" s="13" t="s">
        <v>1008</v>
      </c>
      <c r="D4" s="13" t="s">
        <v>1009</v>
      </c>
      <c r="E4" s="13" t="s">
        <v>1010</v>
      </c>
      <c r="F4" s="13" t="s">
        <v>1011</v>
      </c>
      <c r="G4" s="13" t="s">
        <v>1012</v>
      </c>
      <c r="H4" s="13" t="s">
        <v>1013</v>
      </c>
      <c r="I4" s="13" t="s">
        <v>1014</v>
      </c>
      <c r="J4" s="13" t="s">
        <v>1015</v>
      </c>
      <c r="K4" s="13" t="s">
        <v>620</v>
      </c>
    </row>
    <row r="5" customFormat="false" ht="15" hidden="false" customHeight="false" outlineLevel="0" collapsed="false">
      <c r="A5" s="4" t="s">
        <v>1016</v>
      </c>
      <c r="B5" s="10" t="s">
        <v>1017</v>
      </c>
      <c r="C5" s="20" t="n">
        <v>258</v>
      </c>
      <c r="D5" s="20" t="n">
        <v>0</v>
      </c>
      <c r="E5" s="68" t="s">
        <v>1018</v>
      </c>
      <c r="F5" s="68" t="s">
        <v>1018</v>
      </c>
      <c r="I5" s="10" t="s">
        <v>1019</v>
      </c>
      <c r="J5" s="10" t="s">
        <v>1020</v>
      </c>
      <c r="K5" s="10" t="s">
        <v>1021</v>
      </c>
    </row>
    <row r="6" customFormat="false" ht="15" hidden="false" customHeight="false" outlineLevel="0" collapsed="false">
      <c r="A6" s="4" t="s">
        <v>1022</v>
      </c>
      <c r="B6" s="10" t="s">
        <v>1023</v>
      </c>
      <c r="C6" s="20" t="n">
        <v>1000</v>
      </c>
      <c r="D6" s="20" t="n">
        <v>0</v>
      </c>
      <c r="E6" s="68" t="s">
        <v>1018</v>
      </c>
      <c r="F6" s="68" t="s">
        <v>1018</v>
      </c>
      <c r="I6" s="10" t="s">
        <v>1019</v>
      </c>
      <c r="J6" s="10" t="s">
        <v>1020</v>
      </c>
      <c r="K6" s="5" t="s">
        <v>1024</v>
      </c>
    </row>
    <row r="7" customFormat="false" ht="15" hidden="false" customHeight="false" outlineLevel="0" collapsed="false">
      <c r="A7" s="4" t="s">
        <v>1025</v>
      </c>
      <c r="B7" s="10" t="s">
        <v>1017</v>
      </c>
      <c r="C7" s="20" t="n">
        <v>1000</v>
      </c>
      <c r="D7" s="20" t="n">
        <v>0</v>
      </c>
      <c r="E7" s="68" t="s">
        <v>1018</v>
      </c>
      <c r="F7" s="68" t="s">
        <v>1018</v>
      </c>
      <c r="I7" s="10" t="s">
        <v>1026</v>
      </c>
      <c r="J7" s="10" t="s">
        <v>1020</v>
      </c>
      <c r="K7" s="5" t="s">
        <v>1027</v>
      </c>
    </row>
    <row r="8" customFormat="false" ht="15" hidden="false" customHeight="false" outlineLevel="0" collapsed="false">
      <c r="A8" s="4" t="s">
        <v>1028</v>
      </c>
      <c r="B8" s="10" t="s">
        <v>1029</v>
      </c>
      <c r="C8" s="20" t="n">
        <v>0</v>
      </c>
      <c r="D8" s="20" t="n">
        <v>0</v>
      </c>
      <c r="E8" s="68" t="s">
        <v>1018</v>
      </c>
      <c r="F8" s="68" t="s">
        <v>1018</v>
      </c>
      <c r="I8" s="10" t="s">
        <v>1030</v>
      </c>
      <c r="J8" s="10" t="s">
        <v>1020</v>
      </c>
      <c r="K8" s="10" t="s">
        <v>1031</v>
      </c>
    </row>
    <row r="9" customFormat="false" ht="15" hidden="false" customHeight="false" outlineLevel="0" collapsed="false">
      <c r="A9" s="4" t="s">
        <v>1032</v>
      </c>
      <c r="B9" s="10" t="s">
        <v>1033</v>
      </c>
      <c r="C9" s="20" t="n">
        <v>0</v>
      </c>
      <c r="D9" s="20" t="n">
        <v>0</v>
      </c>
      <c r="E9" s="68" t="s">
        <v>1018</v>
      </c>
      <c r="F9" s="68" t="s">
        <v>1018</v>
      </c>
      <c r="I9" s="10" t="s">
        <v>1019</v>
      </c>
      <c r="J9" s="10" t="s">
        <v>1020</v>
      </c>
      <c r="K9" s="5" t="s">
        <v>1034</v>
      </c>
    </row>
    <row r="10" customFormat="false" ht="15" hidden="false" customHeight="false" outlineLevel="0" collapsed="false">
      <c r="A10" s="4" t="s">
        <v>1035</v>
      </c>
      <c r="B10" s="10" t="s">
        <v>1036</v>
      </c>
      <c r="C10" s="20" t="n">
        <v>0</v>
      </c>
      <c r="D10" s="20" t="n">
        <v>0</v>
      </c>
      <c r="E10" s="68" t="s">
        <v>1018</v>
      </c>
      <c r="F10" s="68" t="s">
        <v>1018</v>
      </c>
      <c r="I10" s="5" t="s">
        <v>1037</v>
      </c>
      <c r="J10" s="10" t="s">
        <v>1020</v>
      </c>
      <c r="K10" s="5" t="s">
        <v>1038</v>
      </c>
    </row>
    <row r="11" customFormat="false" ht="15" hidden="false" customHeight="false" outlineLevel="0" collapsed="false">
      <c r="A11" s="2" t="s">
        <v>1039</v>
      </c>
      <c r="C11" s="69" t="n">
        <f aca="false">SUM(C5:C10)</f>
        <v>2258</v>
      </c>
      <c r="D11" s="69" t="n">
        <f aca="false">SUM(D5:D10)</f>
        <v>0</v>
      </c>
      <c r="E11" s="53" t="n">
        <f aca="false">SUM(E5:E10)</f>
        <v>0</v>
      </c>
      <c r="G11" s="53" t="n">
        <f aca="false">SUM(G5:G10)</f>
        <v>0</v>
      </c>
      <c r="H11" s="70" t="n">
        <f aca="false">IF(I11&gt;0,G11/I11*1000,0)</f>
        <v>0</v>
      </c>
      <c r="I11" s="44" t="n">
        <f aca="false">SUMPRODUCT(ISNUMBER(G5:G10)*C5:C10)</f>
        <v>0</v>
      </c>
      <c r="K11" s="5" t="s">
        <v>1040</v>
      </c>
    </row>
    <row r="13" customFormat="false" ht="15" hidden="false" customHeight="false" outlineLevel="0" collapsed="false">
      <c r="A13" s="46" t="s">
        <v>1041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1" collapsed="false">
      <c r="A14" s="3" t="s">
        <v>1042</v>
      </c>
      <c r="E14" s="24" t="n">
        <v>2.1751</v>
      </c>
      <c r="K14" s="10" t="s">
        <v>1043</v>
      </c>
    </row>
    <row r="15" customFormat="false" ht="15" hidden="false" customHeight="false" outlineLevel="1" collapsed="false">
      <c r="A15" s="3" t="s">
        <v>1044</v>
      </c>
      <c r="E15" s="24" t="n">
        <v>12.0541</v>
      </c>
      <c r="K15" s="10" t="s">
        <v>1045</v>
      </c>
    </row>
    <row r="16" customFormat="false" ht="15" hidden="false" customHeight="false" outlineLevel="1" collapsed="false">
      <c r="A16" s="3" t="s">
        <v>1046</v>
      </c>
      <c r="E16" s="24" t="n">
        <v>0</v>
      </c>
      <c r="K16" s="10" t="s">
        <v>1047</v>
      </c>
    </row>
    <row r="17" customFormat="false" ht="15" hidden="false" customHeight="false" outlineLevel="1" collapsed="false">
      <c r="A17" s="2" t="s">
        <v>1048</v>
      </c>
      <c r="E17" s="53" t="n">
        <f aca="false">SUM(E14:E16)</f>
        <v>14.2292</v>
      </c>
      <c r="K17" s="5" t="s">
        <v>1049</v>
      </c>
    </row>
    <row r="18" customFormat="false" ht="15" hidden="false" customHeight="false" outlineLevel="1" collapsed="false">
      <c r="A18" s="3" t="s">
        <v>1050</v>
      </c>
      <c r="E18" s="52" t="n">
        <f aca="false">-E11</f>
        <v>-0</v>
      </c>
    </row>
    <row r="19" customFormat="false" ht="15" hidden="false" customHeight="false" outlineLevel="1" collapsed="false">
      <c r="A19" s="2" t="s">
        <v>1051</v>
      </c>
      <c r="E19" s="53" t="n">
        <f aca="false">E17+E18</f>
        <v>14.2292</v>
      </c>
      <c r="K19" s="5" t="s">
        <v>1052</v>
      </c>
    </row>
    <row r="20" customFormat="false" ht="15" hidden="false" customHeight="false" outlineLevel="1" collapsed="false">
      <c r="A20" s="3" t="s">
        <v>1053</v>
      </c>
      <c r="E20" s="27" t="n">
        <f aca="false">IF(E17&lt;&gt;0,E19/E17,0)</f>
        <v>1</v>
      </c>
    </row>
    <row r="22" customFormat="false" ht="15" hidden="false" customHeight="false" outlineLevel="0" collapsed="false">
      <c r="A22" s="46" t="s">
        <v>1054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1" collapsed="false">
      <c r="A23" s="13" t="s">
        <v>50</v>
      </c>
      <c r="B23" s="13" t="s">
        <v>51</v>
      </c>
      <c r="C23" s="14" t="s">
        <v>52</v>
      </c>
      <c r="D23" s="14" t="s">
        <v>53</v>
      </c>
      <c r="E23" s="14" t="s">
        <v>54</v>
      </c>
      <c r="F23" s="14" t="s">
        <v>139</v>
      </c>
      <c r="G23" s="14" t="s">
        <v>140</v>
      </c>
    </row>
    <row r="24" customFormat="false" ht="15" hidden="false" customHeight="false" outlineLevel="1" collapsed="false">
      <c r="A24" s="3" t="s">
        <v>1055</v>
      </c>
      <c r="B24" s="10" t="s">
        <v>56</v>
      </c>
      <c r="C24" s="62" t="n">
        <f aca="false">各期收支!C15</f>
        <v>0.1416</v>
      </c>
      <c r="D24" s="62" t="n">
        <f aca="false">各期收支!D15</f>
        <v>0.65528843967151</v>
      </c>
      <c r="E24" s="62" t="n">
        <f aca="false">各期收支!E15</f>
        <v>1.02476291390728</v>
      </c>
      <c r="F24" s="62" t="n">
        <f aca="false">各期收支!F15</f>
        <v>1.00778965835642</v>
      </c>
      <c r="G24" s="62" t="n">
        <f aca="false">各期收支!G15</f>
        <v>0.994782312591867</v>
      </c>
    </row>
    <row r="25" customFormat="false" ht="15" hidden="false" customHeight="false" outlineLevel="1" collapsed="false">
      <c r="A25" s="3" t="s">
        <v>1056</v>
      </c>
      <c r="B25" s="10" t="s">
        <v>143</v>
      </c>
      <c r="C25" s="64" t="n">
        <f aca="false">(輸入與假設!C$83+輸入與假設!C$39)/2</f>
        <v>460</v>
      </c>
      <c r="D25" s="64" t="n">
        <f aca="false">(輸入與假設!D$83+輸入與假設!D$39)/2</f>
        <v>1040</v>
      </c>
      <c r="E25" s="64" t="n">
        <f aca="false">(輸入與假設!E$83+輸入與假設!E$39)/2</f>
        <v>1620</v>
      </c>
      <c r="F25" s="64" t="n">
        <f aca="false">(輸入與假設!F$83+輸入與假設!F$39)/2</f>
        <v>2200</v>
      </c>
      <c r="G25" s="64" t="n">
        <f aca="false">(輸入與假設!G$83+輸入與假設!G$39)/2</f>
        <v>2780</v>
      </c>
    </row>
    <row r="26" customFormat="false" ht="15" hidden="false" customHeight="false" outlineLevel="1" collapsed="false">
      <c r="A26" s="3" t="s">
        <v>196</v>
      </c>
      <c r="B26" s="5" t="s">
        <v>244</v>
      </c>
      <c r="C26" s="62" t="n">
        <f aca="false">輸入與假設!C$37</f>
        <v>0.5</v>
      </c>
      <c r="D26" s="62" t="n">
        <f aca="false">輸入與假設!D$37</f>
        <v>1</v>
      </c>
      <c r="E26" s="62" t="n">
        <f aca="false">輸入與假設!E$37</f>
        <v>1</v>
      </c>
      <c r="F26" s="62" t="n">
        <f aca="false">輸入與假設!F$37</f>
        <v>1</v>
      </c>
      <c r="G26" s="62" t="n">
        <f aca="false">輸入與假設!G$37</f>
        <v>1</v>
      </c>
    </row>
    <row r="27" customFormat="false" ht="15" hidden="false" customHeight="false" outlineLevel="1" collapsed="false">
      <c r="A27" s="2" t="s">
        <v>1057</v>
      </c>
      <c r="B27" s="10" t="s">
        <v>235</v>
      </c>
      <c r="C27" s="36" t="n">
        <f aca="false">C24/C26/C25*1000</f>
        <v>0.615652173913044</v>
      </c>
      <c r="D27" s="36" t="n">
        <f aca="false">D24/D26/D25*1000</f>
        <v>0.630085038145682</v>
      </c>
      <c r="E27" s="36" t="n">
        <f aca="false">E24/E26/E25*1000</f>
        <v>0.632569699942768</v>
      </c>
      <c r="F27" s="36" t="n">
        <f aca="false">F24/F26/F25*1000</f>
        <v>0.458086208343826</v>
      </c>
      <c r="G27" s="36" t="n">
        <f aca="false">G24/G26/G25*1000</f>
        <v>0.357835364241679</v>
      </c>
      <c r="K27" s="10" t="s">
        <v>1058</v>
      </c>
    </row>
    <row r="28" customFormat="false" ht="15" hidden="false" customHeight="false" outlineLevel="1" collapsed="false">
      <c r="A28" s="3" t="s">
        <v>1059</v>
      </c>
      <c r="C28" s="23" t="n">
        <v>0.25</v>
      </c>
      <c r="K28" s="5" t="s">
        <v>1060</v>
      </c>
    </row>
    <row r="29" customFormat="false" ht="15" hidden="false" customHeight="false" outlineLevel="1" collapsed="false">
      <c r="A29" s="3" t="s">
        <v>1061</v>
      </c>
      <c r="B29" s="10" t="s">
        <v>56</v>
      </c>
      <c r="C29" s="62" t="n">
        <f aca="false">C25*運營_站點!$H$11/1000*$C$28*C26</f>
        <v>0</v>
      </c>
      <c r="D29" s="62" t="n">
        <f aca="false">D25*運營_站點!$H$11/1000*$C$28*D26</f>
        <v>0</v>
      </c>
      <c r="E29" s="62" t="n">
        <f aca="false">E25*運營_站點!$H$11/1000*$C$28*E26</f>
        <v>0</v>
      </c>
      <c r="F29" s="62" t="n">
        <f aca="false">F25*運營_站點!$H$11/1000*$C$28*F26</f>
        <v>0</v>
      </c>
      <c r="G29" s="62" t="n">
        <f aca="false">G25*運營_站點!$H$11/1000*$C$28*G26</f>
        <v>0</v>
      </c>
      <c r="K29" s="5" t="s">
        <v>1062</v>
      </c>
    </row>
    <row r="30" customFormat="false" ht="15" hidden="false" customHeight="false" outlineLevel="1" collapsed="false">
      <c r="A30" s="2" t="s">
        <v>1063</v>
      </c>
      <c r="B30" s="10" t="s">
        <v>56</v>
      </c>
      <c r="C30" s="36" t="n">
        <f aca="false">C29-C24</f>
        <v>-0.1416</v>
      </c>
      <c r="D30" s="36" t="n">
        <f aca="false">D29-D24</f>
        <v>-0.65528843967151</v>
      </c>
      <c r="E30" s="36" t="n">
        <f aca="false">E29-E24</f>
        <v>-1.02476291390728</v>
      </c>
      <c r="F30" s="36" t="n">
        <f aca="false">F29-F24</f>
        <v>-1.00778965835642</v>
      </c>
      <c r="G30" s="36" t="n">
        <f aca="false">G29-G24</f>
        <v>-0.994782312591867</v>
      </c>
      <c r="K30" s="5" t="s">
        <v>1064</v>
      </c>
    </row>
    <row r="31" customFormat="false" ht="15" hidden="false" customHeight="false" outlineLevel="1" collapsed="false">
      <c r="A31" s="2" t="s">
        <v>1065</v>
      </c>
      <c r="C31" s="70" t="n">
        <f aca="false">SUM(C30:G30)</f>
        <v>-3.82422332452708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1" t="s">
        <v>1066</v>
      </c>
    </row>
    <row r="2" customFormat="false" ht="15" hidden="false" customHeight="false" outlineLevel="0" collapsed="false">
      <c r="A2" s="5" t="s">
        <v>1067</v>
      </c>
    </row>
    <row r="3" customFormat="false" ht="15" hidden="false" customHeight="false" outlineLevel="0" collapsed="false">
      <c r="A3" s="5" t="s">
        <v>1068</v>
      </c>
    </row>
    <row r="4" customFormat="false" ht="15" hidden="false" customHeight="false" outlineLevel="0" collapsed="false">
      <c r="A4" s="6" t="s">
        <v>1069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13" t="s">
        <v>50</v>
      </c>
      <c r="B5" s="13" t="s">
        <v>51</v>
      </c>
      <c r="C5" s="13" t="s">
        <v>1070</v>
      </c>
      <c r="D5" s="13" t="s">
        <v>1071</v>
      </c>
      <c r="E5" s="13" t="s">
        <v>1072</v>
      </c>
      <c r="I5" s="13" t="s">
        <v>1073</v>
      </c>
    </row>
    <row r="6" customFormat="false" ht="15" hidden="false" customHeight="false" outlineLevel="1" collapsed="false">
      <c r="A6" s="4" t="s">
        <v>1074</v>
      </c>
      <c r="B6" s="5" t="s">
        <v>1075</v>
      </c>
      <c r="C6" s="71" t="n">
        <f aca="false">8.9073/TK_HoldEcon_GB300</f>
        <v>0.81820353817925</v>
      </c>
      <c r="D6" s="71" t="n">
        <f aca="false">9.7/TK_HoldEcon_GB300</f>
        <v>0.891019087752599</v>
      </c>
      <c r="E6" s="71" t="n">
        <f aca="false">12.7247/TK_HoldEcon_GB300</f>
        <v>1.16886088514696</v>
      </c>
      <c r="I6" s="10" t="s">
        <v>1076</v>
      </c>
    </row>
    <row r="7" customFormat="false" ht="15" hidden="false" customHeight="false" outlineLevel="1" collapsed="false">
      <c r="A7" s="4" t="s">
        <v>1077</v>
      </c>
      <c r="B7" s="5" t="s">
        <v>1075</v>
      </c>
      <c r="C7" s="71" t="n">
        <f aca="false">2.4075/TK_GPUhrEcon_H100</f>
        <v>1.56068027206872</v>
      </c>
      <c r="D7" s="71" t="n">
        <f aca="false">2.82/TK_GPUhrEcon_H100</f>
        <v>1.82808654921445</v>
      </c>
      <c r="E7" s="71" t="n">
        <f aca="false">6.82/TK_GPUhrEcon_GB300</f>
        <v>2.67263621959162</v>
      </c>
      <c r="I7" s="10" t="s">
        <v>1078</v>
      </c>
    </row>
    <row r="8" customFormat="false" ht="15" hidden="false" customHeight="false" outlineLevel="1" collapsed="false">
      <c r="A8" s="72" t="s">
        <v>1079</v>
      </c>
      <c r="B8" s="5" t="s">
        <v>1075</v>
      </c>
      <c r="C8" s="73" t="n">
        <f aca="false">CHOOSE(輸入與假設!$F$5,C6,D6,E6)</f>
        <v>0.891019087752599</v>
      </c>
      <c r="I8" s="5" t="s">
        <v>1080</v>
      </c>
    </row>
    <row r="9" customFormat="false" ht="15" hidden="false" customHeight="false" outlineLevel="1" collapsed="false">
      <c r="A9" s="72" t="s">
        <v>1081</v>
      </c>
      <c r="B9" s="5" t="s">
        <v>1075</v>
      </c>
      <c r="C9" s="73" t="n">
        <f aca="false">CHOOSE(輸入與假設!$F$5,C7,D7,E7)</f>
        <v>1.82808654921445</v>
      </c>
      <c r="I9" s="5" t="s">
        <v>1080</v>
      </c>
    </row>
    <row r="10" customFormat="false" ht="15" hidden="false" customHeight="false" outlineLevel="1" collapsed="false">
      <c r="A10" s="2" t="s">
        <v>1082</v>
      </c>
      <c r="B10" s="10" t="s">
        <v>42</v>
      </c>
      <c r="C10" s="23" t="n">
        <v>0</v>
      </c>
      <c r="I10" s="5" t="s">
        <v>1083</v>
      </c>
    </row>
    <row r="11" customFormat="false" ht="15" hidden="false" customHeight="false" outlineLevel="1" collapsed="false">
      <c r="A11" s="4" t="s">
        <v>1084</v>
      </c>
      <c r="B11" s="5" t="s">
        <v>1075</v>
      </c>
      <c r="C11" s="71" t="n">
        <f aca="false">17400/5/300/TK_HoldEcon_GB300</f>
        <v>1.06554859978661</v>
      </c>
      <c r="D11" s="71" t="n">
        <f aca="false">17400/5/250/TK_HoldEcon_GB300</f>
        <v>1.27865831974394</v>
      </c>
      <c r="E11" s="71" t="n">
        <f aca="false">3.973/TK_GPUhrEcon_GB300</f>
        <v>1.55694775666239</v>
      </c>
      <c r="I11" s="10" t="s">
        <v>1085</v>
      </c>
    </row>
    <row r="12" customFormat="false" ht="15" hidden="false" customHeight="false" outlineLevel="1" collapsed="false">
      <c r="A12" s="3" t="s">
        <v>1086</v>
      </c>
      <c r="I12" s="5" t="s">
        <v>1087</v>
      </c>
    </row>
    <row r="14" customFormat="false" ht="15" hidden="false" customHeight="false" outlineLevel="0" collapsed="false">
      <c r="A14" s="6" t="s">
        <v>1088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1" collapsed="false">
      <c r="A15" s="13" t="s">
        <v>1089</v>
      </c>
      <c r="B15" s="13" t="s">
        <v>51</v>
      </c>
      <c r="C15" s="14" t="s">
        <v>1090</v>
      </c>
      <c r="D15" s="14" t="s">
        <v>1091</v>
      </c>
      <c r="E15" s="13" t="s">
        <v>1092</v>
      </c>
      <c r="I15" s="13" t="s">
        <v>1073</v>
      </c>
    </row>
    <row r="16" customFormat="false" ht="15" hidden="false" customHeight="false" outlineLevel="1" collapsed="false">
      <c r="A16" s="3" t="s">
        <v>1093</v>
      </c>
      <c r="B16" s="10" t="s">
        <v>235</v>
      </c>
      <c r="C16" s="74" t="n">
        <f aca="false">TK_HoldEcon_H100</f>
        <v>9.70308728611469</v>
      </c>
      <c r="D16" s="74" t="n">
        <f aca="false">TK_RevGWFleet_H100</f>
        <v>6.68304023377571</v>
      </c>
      <c r="E16" s="23" t="n">
        <v>0.28</v>
      </c>
      <c r="I16" s="10" t="s">
        <v>1094</v>
      </c>
    </row>
    <row r="17" customFormat="false" ht="15" hidden="false" customHeight="false" outlineLevel="1" collapsed="false">
      <c r="A17" s="3" t="s">
        <v>1095</v>
      </c>
      <c r="B17" s="10" t="s">
        <v>235</v>
      </c>
      <c r="C17" s="74" t="n">
        <f aca="false">TK_HoldEcon_GB200</f>
        <v>8.82816556596761</v>
      </c>
      <c r="D17" s="74" t="n">
        <f aca="false">TK_RevGWFleet_GB200</f>
        <v>32.8855044002063</v>
      </c>
      <c r="E17" s="23" t="n">
        <v>0.19</v>
      </c>
      <c r="I17" s="5" t="s">
        <v>1096</v>
      </c>
    </row>
    <row r="18" customFormat="false" ht="15" hidden="false" customHeight="false" outlineLevel="1" collapsed="false">
      <c r="A18" s="3" t="s">
        <v>1097</v>
      </c>
      <c r="B18" s="10" t="s">
        <v>235</v>
      </c>
      <c r="C18" s="74" t="n">
        <f aca="false">TK_HoldEcon_GB300</f>
        <v>10.8864110021101</v>
      </c>
      <c r="D18" s="74" t="n">
        <f aca="false">TK_RevGWFleet_GB300</f>
        <v>40.1114652107936</v>
      </c>
      <c r="E18" s="23" t="n">
        <v>0.53</v>
      </c>
      <c r="I18" s="5" t="s">
        <v>1098</v>
      </c>
    </row>
    <row r="19" customFormat="false" ht="15" hidden="false" customHeight="false" outlineLevel="1" collapsed="false">
      <c r="A19" s="3" t="s">
        <v>1099</v>
      </c>
      <c r="B19" s="10" t="s">
        <v>235</v>
      </c>
      <c r="C19" s="74" t="n">
        <f aca="false">TK_HoldEcon_VR200</f>
        <v>12.2254710045841</v>
      </c>
      <c r="D19" s="74" t="n">
        <f aca="false">TK_RevGWFleet_VR200</f>
        <v>65.9628389770872</v>
      </c>
      <c r="E19" s="23" t="n">
        <v>0</v>
      </c>
      <c r="I19" s="10" t="s">
        <v>1100</v>
      </c>
    </row>
    <row r="20" customFormat="false" ht="15" hidden="false" customHeight="false" outlineLevel="1" collapsed="false">
      <c r="A20" s="3" t="s">
        <v>1101</v>
      </c>
      <c r="E20" s="55" t="n">
        <f aca="false">SUM(E16:E19)</f>
        <v>1</v>
      </c>
      <c r="I20" s="10" t="s">
        <v>1102</v>
      </c>
    </row>
    <row r="21" customFormat="false" ht="15" hidden="false" customHeight="false" outlineLevel="1" collapsed="false">
      <c r="A21" s="3" t="s">
        <v>1103</v>
      </c>
      <c r="B21" s="10" t="s">
        <v>143</v>
      </c>
      <c r="C21" s="20" t="n">
        <v>366</v>
      </c>
      <c r="I21" s="5" t="s">
        <v>1104</v>
      </c>
    </row>
    <row r="22" customFormat="false" ht="15" hidden="false" customHeight="false" outlineLevel="1" collapsed="false"/>
    <row r="23" customFormat="false" ht="17.15" hidden="false" customHeight="false" outlineLevel="1" collapsed="false">
      <c r="A23" s="13" t="s">
        <v>1105</v>
      </c>
      <c r="B23" s="13" t="s">
        <v>51</v>
      </c>
      <c r="C23" s="14" t="s">
        <v>52</v>
      </c>
      <c r="D23" s="14" t="s">
        <v>53</v>
      </c>
      <c r="E23" s="14" t="s">
        <v>54</v>
      </c>
      <c r="F23" s="14" t="s">
        <v>139</v>
      </c>
      <c r="G23" s="14" t="s">
        <v>140</v>
      </c>
      <c r="I23" s="13" t="s">
        <v>1073</v>
      </c>
    </row>
    <row r="24" customFormat="false" ht="15" hidden="false" customHeight="false" outlineLevel="1" collapsed="false">
      <c r="A24" s="3" t="s">
        <v>1106</v>
      </c>
      <c r="B24" s="10" t="s">
        <v>42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I24" s="10" t="s">
        <v>1107</v>
      </c>
    </row>
    <row r="25" customFormat="false" ht="15" hidden="false" customHeight="false" outlineLevel="1" collapsed="false">
      <c r="A25" s="3" t="s">
        <v>1108</v>
      </c>
      <c r="B25" s="10" t="s">
        <v>42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</row>
    <row r="26" customFormat="false" ht="15" hidden="false" customHeight="false" outlineLevel="1" collapsed="false">
      <c r="A26" s="3" t="s">
        <v>1109</v>
      </c>
      <c r="B26" s="10" t="s">
        <v>42</v>
      </c>
      <c r="C26" s="23" t="n">
        <v>1</v>
      </c>
      <c r="D26" s="23" t="n">
        <v>0.5</v>
      </c>
      <c r="E26" s="23" t="n">
        <v>0</v>
      </c>
      <c r="F26" s="23" t="n">
        <v>0</v>
      </c>
      <c r="G26" s="23" t="n">
        <v>0</v>
      </c>
    </row>
    <row r="27" customFormat="false" ht="15" hidden="false" customHeight="false" outlineLevel="1" collapsed="false">
      <c r="A27" s="3" t="s">
        <v>1110</v>
      </c>
      <c r="B27" s="10" t="s">
        <v>42</v>
      </c>
      <c r="C27" s="23" t="n">
        <v>0</v>
      </c>
      <c r="D27" s="23" t="n">
        <v>0.5</v>
      </c>
      <c r="E27" s="23" t="n">
        <v>1</v>
      </c>
      <c r="F27" s="23" t="n">
        <v>1</v>
      </c>
      <c r="G27" s="23" t="n">
        <v>1</v>
      </c>
    </row>
    <row r="28" customFormat="false" ht="15" hidden="false" customHeight="false" outlineLevel="1" collapsed="false">
      <c r="A28" s="3" t="s">
        <v>1111</v>
      </c>
      <c r="B28" s="5"/>
      <c r="C28" s="64" t="n">
        <v>0</v>
      </c>
      <c r="D28" s="64" t="n">
        <v>1</v>
      </c>
      <c r="E28" s="64" t="n">
        <v>2</v>
      </c>
      <c r="F28" s="64" t="n">
        <v>3</v>
      </c>
      <c r="G28" s="64" t="n">
        <v>4</v>
      </c>
      <c r="I28" s="10" t="s">
        <v>1112</v>
      </c>
    </row>
    <row r="30" customFormat="false" ht="15" hidden="false" customHeight="false" outlineLevel="0" collapsed="false">
      <c r="A30" s="6" t="s">
        <v>1113</v>
      </c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1" collapsed="false">
      <c r="A31" s="13" t="s">
        <v>1089</v>
      </c>
      <c r="B31" s="13" t="s">
        <v>51</v>
      </c>
      <c r="C31" s="14" t="s">
        <v>1114</v>
      </c>
      <c r="D31" s="14" t="s">
        <v>1115</v>
      </c>
      <c r="E31" s="14" t="s">
        <v>1116</v>
      </c>
      <c r="F31" s="14" t="s">
        <v>1117</v>
      </c>
      <c r="I31" s="13" t="s">
        <v>1073</v>
      </c>
    </row>
    <row r="32" customFormat="false" ht="15" hidden="false" customHeight="false" outlineLevel="1" collapsed="false">
      <c r="A32" s="3" t="s">
        <v>1118</v>
      </c>
      <c r="B32" s="10" t="s">
        <v>235</v>
      </c>
      <c r="C32" s="74" t="n">
        <f aca="false">TK_RevGWFleet_100_H100</f>
        <v>11.1384003896262</v>
      </c>
      <c r="D32" s="74" t="n">
        <f aca="false">TK_RevGWFleet_Util_H100</f>
        <v>6.68304023377571</v>
      </c>
      <c r="E32" s="74" t="n">
        <f aca="false">TK_RevGWFleet_Prod_H100</f>
        <v>5.01848956376868</v>
      </c>
      <c r="F32" s="74" t="n">
        <f aca="false">TK_RevGWFleet_Life_H100</f>
        <v>5.01848956376868</v>
      </c>
      <c r="I32" s="5" t="s">
        <v>1119</v>
      </c>
    </row>
    <row r="33" customFormat="false" ht="15" hidden="false" customHeight="false" outlineLevel="1" collapsed="false">
      <c r="A33" s="3" t="s">
        <v>1120</v>
      </c>
      <c r="B33" s="10" t="s">
        <v>235</v>
      </c>
      <c r="C33" s="74" t="n">
        <f aca="false">TK_RevGWFleet_100_GB200</f>
        <v>54.8091740003439</v>
      </c>
      <c r="D33" s="74" t="n">
        <f aca="false">TK_RevGWFleet_Util_GB200</f>
        <v>32.8855044002063</v>
      </c>
      <c r="E33" s="74" t="n">
        <f aca="false">TK_RevGWFleet_Prod_GB200</f>
        <v>26.277375674595</v>
      </c>
      <c r="F33" s="74" t="n">
        <f aca="false">TK_RevGWFleet_Life_GB200</f>
        <v>26.277375674595</v>
      </c>
    </row>
    <row r="34" customFormat="false" ht="15" hidden="false" customHeight="false" outlineLevel="1" collapsed="false">
      <c r="A34" s="3" t="s">
        <v>1121</v>
      </c>
      <c r="B34" s="10" t="s">
        <v>235</v>
      </c>
      <c r="C34" s="74" t="n">
        <f aca="false">TK_RevGWFleet_100_GB300</f>
        <v>66.8524420179894</v>
      </c>
      <c r="D34" s="74" t="n">
        <f aca="false">TK_RevGWFleet_Util_GB300</f>
        <v>40.1114652107936</v>
      </c>
      <c r="E34" s="74" t="n">
        <f aca="false">TK_RevGWFleet_Prod_GB300</f>
        <v>31.7743161074204</v>
      </c>
      <c r="F34" s="74" t="n">
        <f aca="false">TK_RevGWFleet_Life_GB300</f>
        <v>31.7743161074204</v>
      </c>
    </row>
    <row r="35" customFormat="false" ht="15" hidden="false" customHeight="false" outlineLevel="1" collapsed="false">
      <c r="A35" s="3" t="s">
        <v>1122</v>
      </c>
      <c r="B35" s="10" t="s">
        <v>235</v>
      </c>
      <c r="C35" s="74" t="n">
        <f aca="false">TK_RevGWFleet_100_VR200</f>
        <v>109.938064961812</v>
      </c>
      <c r="D35" s="74" t="n">
        <f aca="false">TK_RevGWFleet_Util_VR200</f>
        <v>65.9628389770872</v>
      </c>
      <c r="E35" s="74" t="n">
        <f aca="false">TK_RevGWFleet_Prod_VR200</f>
        <v>53.1540686485926</v>
      </c>
      <c r="F35" s="74" t="n">
        <f aca="false">TK_RevGWFleet_Life_VR200</f>
        <v>53.1540686485926</v>
      </c>
    </row>
    <row r="37" customFormat="false" ht="15" hidden="false" customHeight="false" outlineLevel="0" collapsed="false">
      <c r="A37" s="6" t="s">
        <v>1123</v>
      </c>
      <c r="B37" s="7"/>
      <c r="C37" s="7"/>
      <c r="D37" s="7"/>
      <c r="E37" s="7"/>
      <c r="F37" s="7"/>
      <c r="G37" s="7"/>
      <c r="H37" s="7"/>
    </row>
    <row r="38" customFormat="false" ht="17.15" hidden="false" customHeight="false" outlineLevel="1" collapsed="false">
      <c r="A38" s="13" t="s">
        <v>1124</v>
      </c>
      <c r="B38" s="13" t="s">
        <v>51</v>
      </c>
      <c r="C38" s="14" t="s">
        <v>1125</v>
      </c>
      <c r="D38" s="13" t="s">
        <v>1126</v>
      </c>
      <c r="E38" s="14" t="s">
        <v>1127</v>
      </c>
      <c r="F38" s="14" t="s">
        <v>1128</v>
      </c>
      <c r="I38" s="13" t="s">
        <v>1129</v>
      </c>
    </row>
    <row r="39" customFormat="false" ht="15" hidden="false" customHeight="false" outlineLevel="1" collapsed="false">
      <c r="A39" s="3" t="s">
        <v>1130</v>
      </c>
      <c r="B39" s="10" t="s">
        <v>143</v>
      </c>
      <c r="C39" s="20" t="n">
        <v>205</v>
      </c>
      <c r="D39" s="20" t="n">
        <v>0</v>
      </c>
      <c r="E39" s="20" t="n">
        <v>50</v>
      </c>
      <c r="F39" s="20" t="n">
        <v>274</v>
      </c>
      <c r="I39" s="5" t="s">
        <v>1131</v>
      </c>
    </row>
    <row r="40" customFormat="false" ht="15" hidden="false" customHeight="false" outlineLevel="1" collapsed="false">
      <c r="A40" s="3" t="s">
        <v>1132</v>
      </c>
      <c r="B40" s="10" t="s">
        <v>143</v>
      </c>
      <c r="C40" s="20" t="n">
        <v>46</v>
      </c>
      <c r="D40" s="20" t="n">
        <v>0</v>
      </c>
      <c r="E40" s="20" t="n">
        <v>37</v>
      </c>
      <c r="F40" s="20" t="n">
        <v>60</v>
      </c>
      <c r="I40" s="10" t="s">
        <v>1133</v>
      </c>
    </row>
    <row r="41" customFormat="false" ht="15" hidden="false" customHeight="false" outlineLevel="1" collapsed="false">
      <c r="A41" s="3" t="s">
        <v>1134</v>
      </c>
      <c r="B41" s="10" t="s">
        <v>143</v>
      </c>
      <c r="C41" s="20" t="n">
        <v>188</v>
      </c>
      <c r="D41" s="20" t="n">
        <v>1</v>
      </c>
      <c r="E41" s="20" t="n">
        <v>150</v>
      </c>
      <c r="F41" s="20" t="n">
        <v>247</v>
      </c>
      <c r="I41" s="10" t="s">
        <v>1135</v>
      </c>
    </row>
    <row r="42" customFormat="false" ht="15" hidden="false" customHeight="false" outlineLevel="1" collapsed="false">
      <c r="A42" s="3" t="s">
        <v>1136</v>
      </c>
      <c r="B42" s="10" t="s">
        <v>143</v>
      </c>
      <c r="C42" s="20" t="n">
        <v>0</v>
      </c>
      <c r="D42" s="20" t="n">
        <v>1</v>
      </c>
      <c r="E42" s="20" t="n">
        <v>0</v>
      </c>
      <c r="F42" s="20" t="n">
        <v>235</v>
      </c>
      <c r="I42" s="5" t="s">
        <v>1137</v>
      </c>
    </row>
    <row r="43" customFormat="false" ht="15" hidden="false" customHeight="false" outlineLevel="1" collapsed="false">
      <c r="A43" s="3" t="s">
        <v>1138</v>
      </c>
      <c r="I43" s="5" t="s">
        <v>1139</v>
      </c>
    </row>
    <row r="44" customFormat="false" ht="15" hidden="false" customHeight="false" outlineLevel="1" collapsed="false"/>
    <row r="45" customFormat="false" ht="15" hidden="false" customHeight="false" outlineLevel="1" collapsed="false">
      <c r="A45" s="18" t="s">
        <v>1140</v>
      </c>
      <c r="B45" s="19"/>
      <c r="C45" s="19"/>
      <c r="D45" s="19"/>
      <c r="E45" s="19"/>
      <c r="F45" s="19"/>
      <c r="G45" s="19"/>
      <c r="H45" s="19"/>
    </row>
    <row r="46" customFormat="false" ht="15" hidden="false" customHeight="false" outlineLevel="2" collapsed="false">
      <c r="A46" s="13" t="s">
        <v>50</v>
      </c>
      <c r="B46" s="13" t="s">
        <v>51</v>
      </c>
      <c r="C46" s="14" t="s">
        <v>52</v>
      </c>
      <c r="D46" s="14" t="s">
        <v>53</v>
      </c>
      <c r="E46" s="14" t="s">
        <v>54</v>
      </c>
      <c r="F46" s="14" t="s">
        <v>139</v>
      </c>
      <c r="G46" s="14" t="s">
        <v>140</v>
      </c>
      <c r="I46" s="13" t="s">
        <v>1073</v>
      </c>
    </row>
    <row r="47" customFormat="false" ht="15" hidden="false" customHeight="false" outlineLevel="2" collapsed="false">
      <c r="A47" s="3" t="s">
        <v>1141</v>
      </c>
      <c r="B47" s="10" t="s">
        <v>143</v>
      </c>
      <c r="C47" s="60" t="n">
        <f aca="false">輸入與假設!C11*輸入與假設!C21</f>
        <v>562.5</v>
      </c>
      <c r="D47" s="60" t="n">
        <f aca="false">輸入與假設!D11*輸入與假設!D21</f>
        <v>1130.5</v>
      </c>
      <c r="E47" s="60" t="n">
        <f aca="false">輸入與假設!E11*輸入與假設!E21</f>
        <v>1719</v>
      </c>
      <c r="F47" s="60" t="n">
        <f aca="false">輸入與假設!F11*輸入與假設!F21</f>
        <v>2241</v>
      </c>
      <c r="G47" s="60" t="n">
        <f aca="false">輸入與假設!G11*輸入與假設!G21</f>
        <v>2625.3</v>
      </c>
    </row>
    <row r="48" customFormat="false" ht="15" hidden="false" customHeight="false" outlineLevel="2" collapsed="false">
      <c r="A48" s="3" t="s">
        <v>1142</v>
      </c>
      <c r="B48" s="10" t="s">
        <v>143</v>
      </c>
      <c r="C48" s="64" t="n">
        <f aca="false">$C$21</f>
        <v>366</v>
      </c>
      <c r="D48" s="64" t="n">
        <f aca="false">C47</f>
        <v>562.5</v>
      </c>
      <c r="E48" s="64" t="n">
        <f aca="false">D47</f>
        <v>1130.5</v>
      </c>
      <c r="F48" s="64" t="n">
        <f aca="false">E47</f>
        <v>1719</v>
      </c>
      <c r="G48" s="64" t="n">
        <f aca="false">F47</f>
        <v>2241</v>
      </c>
    </row>
    <row r="49" customFormat="false" ht="15" hidden="false" customHeight="false" outlineLevel="2" collapsed="false">
      <c r="A49" s="3" t="s">
        <v>1143</v>
      </c>
      <c r="B49" s="10" t="s">
        <v>143</v>
      </c>
      <c r="C49" s="64" t="n">
        <f aca="false">MAX(0,C47-C48)</f>
        <v>196.5</v>
      </c>
      <c r="D49" s="64" t="n">
        <f aca="false">MAX(0,D47-D48)</f>
        <v>568</v>
      </c>
      <c r="E49" s="64" t="n">
        <f aca="false">MAX(0,E47-E48)</f>
        <v>588.5</v>
      </c>
      <c r="F49" s="64" t="n">
        <f aca="false">MAX(0,F47-F48)</f>
        <v>522</v>
      </c>
      <c r="G49" s="64" t="n">
        <f aca="false">MAX(0,G47-G48)</f>
        <v>384.3</v>
      </c>
    </row>
    <row r="50" customFormat="false" ht="15" hidden="false" customHeight="false" outlineLevel="2" collapsed="false">
      <c r="A50" s="3" t="s">
        <v>1144</v>
      </c>
      <c r="B50" s="10" t="s">
        <v>143</v>
      </c>
      <c r="C50" s="64" t="n">
        <f aca="false">$C$21*$E$16+C49*C24</f>
        <v>102.48</v>
      </c>
      <c r="D50" s="64" t="n">
        <f aca="false">C50+D49*D24</f>
        <v>102.48</v>
      </c>
      <c r="E50" s="64" t="n">
        <f aca="false">D50+E49*E24</f>
        <v>102.48</v>
      </c>
      <c r="F50" s="64" t="n">
        <f aca="false">E50+F49*F24</f>
        <v>102.48</v>
      </c>
      <c r="G50" s="64" t="n">
        <f aca="false">F50+G49*G24</f>
        <v>102.48</v>
      </c>
    </row>
    <row r="51" customFormat="false" ht="15" hidden="false" customHeight="false" outlineLevel="2" collapsed="false">
      <c r="A51" s="3" t="s">
        <v>1145</v>
      </c>
      <c r="B51" s="10" t="s">
        <v>143</v>
      </c>
      <c r="C51" s="64" t="n">
        <f aca="false">$C$21*$E$17+C49*C25</f>
        <v>69.54</v>
      </c>
      <c r="D51" s="64" t="n">
        <f aca="false">C51+D49*D25</f>
        <v>69.54</v>
      </c>
      <c r="E51" s="64" t="n">
        <f aca="false">D51+E49*E25</f>
        <v>69.54</v>
      </c>
      <c r="F51" s="64" t="n">
        <f aca="false">E51+F49*F25</f>
        <v>69.54</v>
      </c>
      <c r="G51" s="64" t="n">
        <f aca="false">F51+G49*G25</f>
        <v>69.54</v>
      </c>
    </row>
    <row r="52" customFormat="false" ht="15" hidden="false" customHeight="false" outlineLevel="2" collapsed="false">
      <c r="A52" s="3" t="s">
        <v>1146</v>
      </c>
      <c r="B52" s="10" t="s">
        <v>143</v>
      </c>
      <c r="C52" s="64" t="n">
        <f aca="false">$C$21*$E$18+C49*C26</f>
        <v>390.48</v>
      </c>
      <c r="D52" s="64" t="n">
        <f aca="false">C52+D49*D26</f>
        <v>674.48</v>
      </c>
      <c r="E52" s="64" t="n">
        <f aca="false">D52+E49*E26</f>
        <v>674.48</v>
      </c>
      <c r="F52" s="64" t="n">
        <f aca="false">E52+F49*F26</f>
        <v>674.48</v>
      </c>
      <c r="G52" s="64" t="n">
        <f aca="false">F52+G49*G26</f>
        <v>674.48</v>
      </c>
    </row>
    <row r="53" customFormat="false" ht="15" hidden="false" customHeight="false" outlineLevel="2" collapsed="false">
      <c r="A53" s="3" t="s">
        <v>1147</v>
      </c>
      <c r="B53" s="10" t="s">
        <v>143</v>
      </c>
      <c r="C53" s="64" t="n">
        <f aca="false">$C$21*$E$19+C49*C27</f>
        <v>0</v>
      </c>
      <c r="D53" s="64" t="n">
        <f aca="false">C53+D49*D27</f>
        <v>284</v>
      </c>
      <c r="E53" s="64" t="n">
        <f aca="false">D53+E49*E27</f>
        <v>872.5</v>
      </c>
      <c r="F53" s="64" t="n">
        <f aca="false">E53+F49*F27</f>
        <v>1394.5</v>
      </c>
      <c r="G53" s="64" t="n">
        <f aca="false">F53+G49*G27</f>
        <v>1778.8</v>
      </c>
    </row>
    <row r="54" customFormat="false" ht="15" hidden="false" customHeight="false" outlineLevel="2" collapsed="false">
      <c r="A54" s="3" t="s">
        <v>1148</v>
      </c>
      <c r="B54" s="10" t="s">
        <v>42</v>
      </c>
      <c r="C54" s="63" t="n">
        <f aca="false">($C$21*$E$16+C50)/(C48+C47)</f>
        <v>0.220743134087237</v>
      </c>
      <c r="D54" s="63" t="n">
        <f aca="false">(C50+D50)/(D48+D47)</f>
        <v>0.121063201417602</v>
      </c>
      <c r="E54" s="63" t="n">
        <f aca="false">(D50+E50)/(E48+E47)</f>
        <v>0.071928408492718</v>
      </c>
      <c r="F54" s="63" t="n">
        <f aca="false">(E50+F50)/(F48+F47)</f>
        <v>0.0517575757575758</v>
      </c>
      <c r="G54" s="63" t="n">
        <f aca="false">(F50+G50)/(G48+G47)</f>
        <v>0.04211824178534</v>
      </c>
    </row>
    <row r="55" customFormat="false" ht="15" hidden="false" customHeight="false" outlineLevel="2" collapsed="false">
      <c r="A55" s="3" t="s">
        <v>1149</v>
      </c>
      <c r="B55" s="10" t="s">
        <v>42</v>
      </c>
      <c r="C55" s="63" t="n">
        <f aca="false">($C$21*$E$17+C51)/(C48+C47)</f>
        <v>0.149789983844911</v>
      </c>
      <c r="D55" s="63" t="n">
        <f aca="false">(C51+D51)/(D48+D47)</f>
        <v>0.0821500295333727</v>
      </c>
      <c r="E55" s="63" t="n">
        <f aca="false">(D51+E51)/(E48+E47)</f>
        <v>0.048808562905773</v>
      </c>
      <c r="F55" s="63" t="n">
        <f aca="false">(E51+F51)/(F48+F47)</f>
        <v>0.0351212121212121</v>
      </c>
      <c r="G55" s="63" t="n">
        <f aca="false">(F51+G51)/(G48+G47)</f>
        <v>0.028580235497195</v>
      </c>
    </row>
    <row r="56" customFormat="false" ht="15" hidden="false" customHeight="false" outlineLevel="2" collapsed="false">
      <c r="A56" s="3" t="s">
        <v>1150</v>
      </c>
      <c r="B56" s="10" t="s">
        <v>42</v>
      </c>
      <c r="C56" s="63" t="n">
        <f aca="false">($C$21*$E$18+C52)/(C48+C47)</f>
        <v>0.629466882067851</v>
      </c>
      <c r="D56" s="63" t="n">
        <f aca="false">(C52+D52)/(D48+D47)</f>
        <v>0.629037212049616</v>
      </c>
      <c r="E56" s="63" t="n">
        <f aca="false">(D52+E52)/(E48+E47)</f>
        <v>0.4734023512897</v>
      </c>
      <c r="F56" s="63" t="n">
        <f aca="false">(E52+F52)/(F48+F47)</f>
        <v>0.340646464646465</v>
      </c>
      <c r="G56" s="63" t="n">
        <f aca="false">(F52+G52)/(G48+G47)</f>
        <v>0.277204446910384</v>
      </c>
    </row>
    <row r="57" customFormat="false" ht="15" hidden="false" customHeight="false" outlineLevel="2" collapsed="false">
      <c r="A57" s="3" t="s">
        <v>1151</v>
      </c>
      <c r="B57" s="10" t="s">
        <v>42</v>
      </c>
      <c r="C57" s="63" t="n">
        <f aca="false">($C$21*$E$19+C53)/(C48+C47)</f>
        <v>0</v>
      </c>
      <c r="D57" s="63" t="n">
        <f aca="false">(C53+D53)/(D48+D47)</f>
        <v>0.167749556999409</v>
      </c>
      <c r="E57" s="63" t="n">
        <f aca="false">(D53+E53)/(E48+E47)</f>
        <v>0.405860677311809</v>
      </c>
      <c r="F57" s="63" t="n">
        <f aca="false">(E53+F53)/(F48+F47)</f>
        <v>0.572474747474748</v>
      </c>
      <c r="G57" s="63" t="n">
        <f aca="false">(F53+G53)/(G48+G47)</f>
        <v>0.652097075807081</v>
      </c>
    </row>
    <row r="58" customFormat="false" ht="15" hidden="false" customHeight="false" outlineLevel="2" collapsed="false">
      <c r="A58" s="2" t="s">
        <v>1152</v>
      </c>
      <c r="B58" s="10" t="s">
        <v>235</v>
      </c>
      <c r="C58" s="51" t="n">
        <f aca="false">C54*$C$16+C55*$C$17+C56*$C$18+C57*$C$19</f>
        <v>10.3168958657729</v>
      </c>
      <c r="D58" s="51" t="n">
        <f aca="false">D54*$C$16+D55*$C$17+D56*$C$18+D57*$C$19</f>
        <v>10.7986958435829</v>
      </c>
      <c r="E58" s="51" t="n">
        <f aca="false">E54*$C$16+E55*$C$17+E56*$C$18+E57*$C$19</f>
        <v>11.2443082082066</v>
      </c>
      <c r="F58" s="51" t="n">
        <f aca="false">F54*$C$16+F55*$C$17+F56*$C$18+F57*$C$19</f>
        <v>11.5194549974433</v>
      </c>
      <c r="G58" s="51" t="n">
        <f aca="false">G54*$C$16+G55*$C$17+G56*$C$18+G57*$C$19</f>
        <v>11.650943460397</v>
      </c>
      <c r="I58" s="10" t="s">
        <v>1153</v>
      </c>
    </row>
    <row r="59" customFormat="false" ht="15" hidden="false" customHeight="false" outlineLevel="2" collapsed="false">
      <c r="A59" s="3" t="s">
        <v>1154</v>
      </c>
      <c r="B59" s="10" t="s">
        <v>143</v>
      </c>
      <c r="C59" s="64" t="n">
        <f aca="false">(C48+C47)/2</f>
        <v>464.25</v>
      </c>
      <c r="D59" s="64" t="n">
        <f aca="false">(D48+D47)/2</f>
        <v>846.5</v>
      </c>
      <c r="E59" s="64" t="n">
        <f aca="false">(E48+E47)/2</f>
        <v>1424.75</v>
      </c>
      <c r="F59" s="64" t="n">
        <f aca="false">(F48+F47)/2</f>
        <v>1980</v>
      </c>
      <c r="G59" s="64" t="n">
        <f aca="false">(G48+G47)/2</f>
        <v>2433.15</v>
      </c>
    </row>
    <row r="60" customFormat="false" ht="15" hidden="false" customHeight="false" outlineLevel="2" collapsed="false">
      <c r="A60" s="3" t="s">
        <v>1155</v>
      </c>
      <c r="B60" s="10" t="s">
        <v>143</v>
      </c>
      <c r="C60" s="64" t="n">
        <f aca="false">SUMIF($D$39:$D$42,"&lt;="&amp;C$28,$C$39:$C$42)</f>
        <v>251</v>
      </c>
      <c r="D60" s="64" t="n">
        <f aca="false">SUMIF($D$39:$D$42,"&lt;="&amp;D$28,$C$39:$C$42)</f>
        <v>439</v>
      </c>
      <c r="E60" s="64" t="n">
        <f aca="false">SUMIF($D$39:$D$42,"&lt;="&amp;E$28,$C$39:$C$42)</f>
        <v>439</v>
      </c>
      <c r="F60" s="64" t="n">
        <f aca="false">SUMIF($D$39:$D$42,"&lt;="&amp;F$28,$C$39:$C$42)</f>
        <v>439</v>
      </c>
      <c r="G60" s="64" t="n">
        <f aca="false">SUMIF($D$39:$D$42,"&lt;="&amp;G$28,$C$39:$C$42)</f>
        <v>439</v>
      </c>
    </row>
    <row r="61" customFormat="false" ht="15" hidden="false" customHeight="false" outlineLevel="2" collapsed="false">
      <c r="A61" s="3" t="s">
        <v>1156</v>
      </c>
      <c r="B61" s="10" t="s">
        <v>42</v>
      </c>
      <c r="C61" s="63" t="n">
        <f aca="false">MIN(1,C60/C59)</f>
        <v>0.540656973613355</v>
      </c>
      <c r="D61" s="63" t="n">
        <f aca="false">MIN(1,D60/D59)</f>
        <v>0.518606024808033</v>
      </c>
      <c r="E61" s="63" t="n">
        <f aca="false">MIN(1,E60/E59)</f>
        <v>0.30812423232146</v>
      </c>
      <c r="F61" s="63" t="n">
        <f aca="false">MIN(1,F60/F59)</f>
        <v>0.221717171717172</v>
      </c>
      <c r="G61" s="63" t="n">
        <f aca="false">MIN(1,G60/G59)</f>
        <v>0.18042455253478</v>
      </c>
    </row>
    <row r="62" customFormat="false" ht="15" hidden="false" customHeight="false" outlineLevel="2" collapsed="false">
      <c r="A62" s="2" t="s">
        <v>1157</v>
      </c>
      <c r="B62" s="5" t="s">
        <v>1075</v>
      </c>
      <c r="C62" s="51" t="n">
        <f aca="false">$C$10*$C$9+(1-$C$10)*$C$8</f>
        <v>0.891019087752599</v>
      </c>
      <c r="D62" s="51" t="n">
        <f aca="false">$C$10*$C$9+(1-$C$10)*$C$8</f>
        <v>0.891019087752599</v>
      </c>
      <c r="E62" s="51" t="n">
        <f aca="false">$C$10*$C$9+(1-$C$10)*$C$8</f>
        <v>0.891019087752599</v>
      </c>
      <c r="F62" s="51" t="n">
        <f aca="false">$C$10*$C$9+(1-$C$10)*$C$8</f>
        <v>0.891019087752599</v>
      </c>
      <c r="G62" s="51" t="n">
        <f aca="false">$C$10*$C$9+(1-$C$10)*$C$8</f>
        <v>0.891019087752599</v>
      </c>
    </row>
    <row r="63" customFormat="false" ht="15" hidden="false" customHeight="false" outlineLevel="2" collapsed="false">
      <c r="A63" s="2" t="s">
        <v>1158</v>
      </c>
      <c r="B63" s="10" t="s">
        <v>235</v>
      </c>
      <c r="C63" s="51" t="n">
        <f aca="false">C58*C62</f>
        <v>9.1925511427595</v>
      </c>
      <c r="D63" s="51" t="n">
        <f aca="false">D58*D62</f>
        <v>9.62184411946704</v>
      </c>
      <c r="E63" s="51" t="n">
        <f aca="false">E58*E62</f>
        <v>10.0188932420853</v>
      </c>
      <c r="F63" s="51" t="n">
        <f aca="false">F58*F62</f>
        <v>10.264054283229</v>
      </c>
      <c r="G63" s="51" t="n">
        <f aca="false">G58*G62</f>
        <v>10.3812130135401</v>
      </c>
      <c r="I63" s="5" t="s">
        <v>1159</v>
      </c>
    </row>
    <row r="64" customFormat="false" ht="15" hidden="false" customHeight="false" outlineLevel="2" collapsed="false">
      <c r="A64" s="3" t="s">
        <v>1160</v>
      </c>
      <c r="B64" s="10" t="s">
        <v>235</v>
      </c>
      <c r="C64" s="50" t="n">
        <f aca="false">C54*$D$16+C55*$D$17+C56*$D$18+C57*$D$19</f>
        <v>31.6499933606847</v>
      </c>
      <c r="D64" s="50" t="n">
        <f aca="false">D54*$D$16+D55*$D$17+D56*$D$18+D57*$D$19</f>
        <v>39.8074566678529</v>
      </c>
      <c r="E64" s="50" t="n">
        <f aca="false">E54*$D$16+E55*$D$17+E56*$D$18+E57*$D$19</f>
        <v>47.8463791072289</v>
      </c>
      <c r="F64" s="50" t="n">
        <f aca="false">F54*$D$16+F55*$D$17+F56*$D$18+F57*$D$19</f>
        <v>52.9267651389152</v>
      </c>
      <c r="G64" s="50" t="n">
        <f aca="false">G54*$D$16+G55*$D$17+G56*$D$18+G57*$D$19</f>
        <v>55.3546043020443</v>
      </c>
    </row>
    <row r="65" customFormat="false" ht="15" hidden="false" customHeight="false" outlineLevel="2" collapsed="false">
      <c r="A65" s="3" t="s">
        <v>1161</v>
      </c>
      <c r="B65" s="10" t="s">
        <v>235</v>
      </c>
      <c r="C65" s="50" t="n">
        <f aca="false">C54*$C$32+C55*$C$33+C56*$C$34+C57*$C$35</f>
        <v>52.7499889344746</v>
      </c>
      <c r="D65" s="50" t="n">
        <f aca="false">D54*$C$32+D55*$C$33+D56*$C$34+D57*$C$35</f>
        <v>66.3457611130881</v>
      </c>
      <c r="E65" s="50" t="n">
        <f aca="false">E54*$C$32+E55*$C$33+E56*$C$34+E57*$C$35</f>
        <v>79.7439651787149</v>
      </c>
      <c r="F65" s="50" t="n">
        <f aca="false">F54*$C$32+F55*$C$33+F56*$C$34+F57*$C$35</f>
        <v>88.2112752315254</v>
      </c>
      <c r="G65" s="50" t="n">
        <f aca="false">G54*$C$32+G55*$C$33+G56*$C$34+G57*$C$35</f>
        <v>92.2576738367406</v>
      </c>
    </row>
    <row r="66" customFormat="false" ht="15" hidden="false" customHeight="false" outlineLevel="2" collapsed="false">
      <c r="A66" s="3" t="s">
        <v>1162</v>
      </c>
      <c r="B66" s="10" t="s">
        <v>235</v>
      </c>
      <c r="C66" s="50" t="n">
        <f aca="false">C54*$D$32+C55*$D$33+C56*$D$34+C57*$D$35</f>
        <v>31.6499933606847</v>
      </c>
      <c r="D66" s="50" t="n">
        <f aca="false">D54*$D$32+D55*$D$33+D56*$D$34+D57*$D$35</f>
        <v>39.8074566678529</v>
      </c>
      <c r="E66" s="50" t="n">
        <f aca="false">E54*$D$32+E55*$D$33+E56*$D$34+E57*$D$35</f>
        <v>47.8463791072289</v>
      </c>
      <c r="F66" s="50" t="n">
        <f aca="false">F54*$D$32+F55*$D$33+F56*$D$34+F57*$D$35</f>
        <v>52.9267651389152</v>
      </c>
      <c r="G66" s="50" t="n">
        <f aca="false">G54*$D$32+G55*$D$33+G56*$D$34+G57*$D$35</f>
        <v>55.3546043020443</v>
      </c>
    </row>
    <row r="67" customFormat="false" ht="15" hidden="false" customHeight="false" outlineLevel="2" collapsed="false">
      <c r="A67" s="3" t="s">
        <v>1163</v>
      </c>
      <c r="B67" s="10" t="s">
        <v>235</v>
      </c>
      <c r="C67" s="50" t="n">
        <f aca="false">C54*$E$32+C55*$E$33+C56*$E$34+C57*$E$35</f>
        <v>25.0447644824509</v>
      </c>
      <c r="D67" s="50" t="n">
        <f aca="false">D54*$E$32+D55*$E$33+D56*$E$34+D57*$E$35</f>
        <v>31.6700402881107</v>
      </c>
      <c r="E67" s="50" t="n">
        <f aca="false">E54*$E$32+E55*$E$33+E56*$E$34+E57*$E$35</f>
        <v>38.2587151704425</v>
      </c>
      <c r="F67" s="50" t="n">
        <f aca="false">F54*$E$32+F55*$E$33+F56*$E$34+F57*$E$35</f>
        <v>42.435808614252</v>
      </c>
      <c r="G67" s="50" t="n">
        <f aca="false">G54*$E$32+G55*$E$33+G56*$E$34+G57*$E$35</f>
        <v>44.4319779973815</v>
      </c>
    </row>
    <row r="68" customFormat="false" ht="15" hidden="false" customHeight="false" outlineLevel="2" collapsed="false">
      <c r="A68" s="3" t="s">
        <v>1164</v>
      </c>
      <c r="B68" s="10" t="s">
        <v>235</v>
      </c>
      <c r="C68" s="50" t="n">
        <f aca="false">C54*$F$32+C55*$F$33+C56*$F$34+C57*$F$35</f>
        <v>25.0447644824509</v>
      </c>
      <c r="D68" s="50" t="n">
        <f aca="false">D54*$F$32+D55*$F$33+D56*$F$34+D57*$F$35</f>
        <v>31.6700402881107</v>
      </c>
      <c r="E68" s="50" t="n">
        <f aca="false">E54*$F$32+E55*$F$33+E56*$F$34+E57*$F$35</f>
        <v>38.2587151704425</v>
      </c>
      <c r="F68" s="50" t="n">
        <f aca="false">F54*$F$32+F55*$F$33+F56*$F$34+F57*$F$35</f>
        <v>42.435808614252</v>
      </c>
      <c r="G68" s="50" t="n">
        <f aca="false">G54*$F$32+G55*$F$33+G56*$F$34+G57*$F$35</f>
        <v>44.4319779973815</v>
      </c>
    </row>
    <row r="69" customFormat="false" ht="15" hidden="false" customHeight="false" outlineLevel="2" collapsed="false">
      <c r="A69" s="3" t="s">
        <v>1165</v>
      </c>
      <c r="B69" s="10" t="s">
        <v>42</v>
      </c>
      <c r="C69" s="63" t="n">
        <f aca="false">C63/C65</f>
        <v>0.174266408930974</v>
      </c>
      <c r="D69" s="63" t="n">
        <f aca="false">D63/D65</f>
        <v>0.145025755346545</v>
      </c>
      <c r="E69" s="63" t="n">
        <f aca="false">E63/E65</f>
        <v>0.125638262652627</v>
      </c>
      <c r="F69" s="63" t="n">
        <f aca="false">F63/F65</f>
        <v>0.116357622722144</v>
      </c>
      <c r="G69" s="63" t="n">
        <f aca="false">G63/G65</f>
        <v>0.112524114058096</v>
      </c>
      <c r="I69" s="5" t="s">
        <v>1166</v>
      </c>
    </row>
    <row r="70" customFormat="false" ht="15" hidden="false" customHeight="false" outlineLevel="2" collapsed="false">
      <c r="A70" s="3" t="s">
        <v>1167</v>
      </c>
      <c r="B70" s="10" t="s">
        <v>42</v>
      </c>
      <c r="C70" s="63" t="n">
        <f aca="false">C63/C66</f>
        <v>0.290444014884957</v>
      </c>
      <c r="D70" s="63" t="n">
        <f aca="false">D63/D66</f>
        <v>0.241709592244242</v>
      </c>
      <c r="E70" s="63" t="n">
        <f aca="false">E63/E66</f>
        <v>0.209397104421045</v>
      </c>
      <c r="F70" s="63" t="n">
        <f aca="false">F63/F66</f>
        <v>0.193929371203574</v>
      </c>
      <c r="G70" s="63" t="n">
        <f aca="false">G63/G66</f>
        <v>0.187540190096828</v>
      </c>
      <c r="I70" s="5" t="s">
        <v>1166</v>
      </c>
    </row>
    <row r="71" customFormat="false" ht="15" hidden="false" customHeight="false" outlineLevel="2" collapsed="false">
      <c r="A71" s="3" t="s">
        <v>1168</v>
      </c>
      <c r="B71" s="10" t="s">
        <v>42</v>
      </c>
      <c r="C71" s="63" t="n">
        <f aca="false">C63/C67</f>
        <v>0.367044822849136</v>
      </c>
      <c r="D71" s="63" t="n">
        <f aca="false">D63/D67</f>
        <v>0.303815341942561</v>
      </c>
      <c r="E71" s="63" t="n">
        <f aca="false">E63/E67</f>
        <v>0.261872182519752</v>
      </c>
      <c r="F71" s="63" t="n">
        <f aca="false">F63/F67</f>
        <v>0.24187248030386</v>
      </c>
      <c r="G71" s="63" t="n">
        <f aca="false">G63/G67</f>
        <v>0.233642828463587</v>
      </c>
      <c r="I71" s="5" t="s">
        <v>1169</v>
      </c>
    </row>
    <row r="72" customFormat="false" ht="15" hidden="false" customHeight="false" outlineLevel="2" collapsed="false">
      <c r="A72" s="3" t="s">
        <v>1170</v>
      </c>
      <c r="B72" s="10" t="s">
        <v>42</v>
      </c>
      <c r="C72" s="63" t="n">
        <f aca="false">C63/C68</f>
        <v>0.367044822849136</v>
      </c>
      <c r="D72" s="63" t="n">
        <f aca="false">D63/D68</f>
        <v>0.303815341942561</v>
      </c>
      <c r="E72" s="63" t="n">
        <f aca="false">E63/E68</f>
        <v>0.261872182519752</v>
      </c>
      <c r="F72" s="63" t="n">
        <f aca="false">F63/F68</f>
        <v>0.24187248030386</v>
      </c>
      <c r="G72" s="63" t="n">
        <f aca="false">G63/G68</f>
        <v>0.233642828463587</v>
      </c>
      <c r="I72" s="5" t="s">
        <v>1166</v>
      </c>
    </row>
    <row r="73" customFormat="false" ht="15" hidden="false" customHeight="false" outlineLevel="2" collapsed="false">
      <c r="A73" s="3" t="s">
        <v>1171</v>
      </c>
      <c r="B73" s="10" t="s">
        <v>42</v>
      </c>
      <c r="C73" s="63" t="n">
        <f aca="false">C71</f>
        <v>0.367044822849136</v>
      </c>
      <c r="D73" s="63" t="n">
        <f aca="false">D71</f>
        <v>0.303815341942561</v>
      </c>
      <c r="E73" s="63" t="n">
        <f aca="false">E71</f>
        <v>0.261872182519752</v>
      </c>
      <c r="F73" s="63" t="n">
        <f aca="false">F71</f>
        <v>0.24187248030386</v>
      </c>
      <c r="G73" s="63" t="n">
        <f aca="false">G71</f>
        <v>0.233642828463587</v>
      </c>
      <c r="I73" s="10" t="s">
        <v>1172</v>
      </c>
    </row>
    <row r="74" customFormat="false" ht="15" hidden="false" customHeight="false" outlineLevel="1" collapsed="false"/>
    <row r="75" customFormat="false" ht="15" hidden="false" customHeight="false" outlineLevel="1" collapsed="false">
      <c r="A75" s="18" t="s">
        <v>1173</v>
      </c>
      <c r="B75" s="19"/>
      <c r="C75" s="19"/>
      <c r="D75" s="19"/>
      <c r="E75" s="19"/>
      <c r="F75" s="19"/>
      <c r="G75" s="19"/>
      <c r="H75" s="19"/>
    </row>
    <row r="76" customFormat="false" ht="15" hidden="false" customHeight="false" outlineLevel="2" collapsed="false">
      <c r="A76" s="13" t="s">
        <v>50</v>
      </c>
      <c r="B76" s="13" t="s">
        <v>51</v>
      </c>
      <c r="C76" s="14" t="s">
        <v>52</v>
      </c>
      <c r="D76" s="14" t="s">
        <v>53</v>
      </c>
      <c r="E76" s="14" t="s">
        <v>54</v>
      </c>
      <c r="F76" s="14" t="s">
        <v>139</v>
      </c>
      <c r="G76" s="14" t="s">
        <v>140</v>
      </c>
      <c r="I76" s="13" t="s">
        <v>1073</v>
      </c>
    </row>
    <row r="77" customFormat="false" ht="15" hidden="false" customHeight="false" outlineLevel="2" collapsed="false">
      <c r="A77" s="3" t="s">
        <v>1174</v>
      </c>
      <c r="B77" s="10" t="s">
        <v>143</v>
      </c>
      <c r="C77" s="60" t="n">
        <f aca="false">輸入與假設!C14*輸入與假設!C21</f>
        <v>562.5</v>
      </c>
      <c r="D77" s="60" t="n">
        <f aca="false">輸入與假設!D14*輸入與假設!D21</f>
        <v>1130.5</v>
      </c>
      <c r="E77" s="60" t="n">
        <f aca="false">輸入與假設!E14*輸入與假設!E21</f>
        <v>1719</v>
      </c>
      <c r="F77" s="60" t="n">
        <f aca="false">輸入與假設!F14*輸入與假設!F21</f>
        <v>2241</v>
      </c>
      <c r="G77" s="60" t="n">
        <f aca="false">輸入與假設!G14*輸入與假設!G21</f>
        <v>2763</v>
      </c>
    </row>
    <row r="78" customFormat="false" ht="15" hidden="false" customHeight="false" outlineLevel="2" collapsed="false">
      <c r="A78" s="3" t="s">
        <v>1175</v>
      </c>
      <c r="B78" s="10" t="s">
        <v>143</v>
      </c>
      <c r="C78" s="64" t="n">
        <f aca="false">$C$21</f>
        <v>366</v>
      </c>
      <c r="D78" s="64" t="n">
        <f aca="false">C77</f>
        <v>562.5</v>
      </c>
      <c r="E78" s="64" t="n">
        <f aca="false">D77</f>
        <v>1130.5</v>
      </c>
      <c r="F78" s="64" t="n">
        <f aca="false">E77</f>
        <v>1719</v>
      </c>
      <c r="G78" s="64" t="n">
        <f aca="false">F77</f>
        <v>2241</v>
      </c>
    </row>
    <row r="79" customFormat="false" ht="15" hidden="false" customHeight="false" outlineLevel="2" collapsed="false">
      <c r="A79" s="3" t="s">
        <v>1176</v>
      </c>
      <c r="B79" s="10" t="s">
        <v>143</v>
      </c>
      <c r="C79" s="64" t="n">
        <f aca="false">MAX(0,C77-C78)</f>
        <v>196.5</v>
      </c>
      <c r="D79" s="64" t="n">
        <f aca="false">MAX(0,D77-D78)</f>
        <v>568</v>
      </c>
      <c r="E79" s="64" t="n">
        <f aca="false">MAX(0,E77-E78)</f>
        <v>588.5</v>
      </c>
      <c r="F79" s="64" t="n">
        <f aca="false">MAX(0,F77-F78)</f>
        <v>522</v>
      </c>
      <c r="G79" s="64" t="n">
        <f aca="false">MAX(0,G77-G78)</f>
        <v>522</v>
      </c>
    </row>
    <row r="80" customFormat="false" ht="15" hidden="false" customHeight="false" outlineLevel="2" collapsed="false">
      <c r="A80" s="3" t="s">
        <v>1177</v>
      </c>
      <c r="B80" s="10" t="s">
        <v>143</v>
      </c>
      <c r="C80" s="64" t="n">
        <f aca="false">$C$21*$E$16+C79*C24</f>
        <v>102.48</v>
      </c>
      <c r="D80" s="64" t="n">
        <f aca="false">C80+D79*D24</f>
        <v>102.48</v>
      </c>
      <c r="E80" s="64" t="n">
        <f aca="false">D80+E79*E24</f>
        <v>102.48</v>
      </c>
      <c r="F80" s="64" t="n">
        <f aca="false">E80+F79*F24</f>
        <v>102.48</v>
      </c>
      <c r="G80" s="64" t="n">
        <f aca="false">F80+G79*G24</f>
        <v>102.48</v>
      </c>
    </row>
    <row r="81" customFormat="false" ht="15" hidden="false" customHeight="false" outlineLevel="2" collapsed="false">
      <c r="A81" s="3" t="s">
        <v>1178</v>
      </c>
      <c r="B81" s="10" t="s">
        <v>143</v>
      </c>
      <c r="C81" s="64" t="n">
        <f aca="false">$C$21*$E$17+C79*C25</f>
        <v>69.54</v>
      </c>
      <c r="D81" s="64" t="n">
        <f aca="false">C81+D79*D25</f>
        <v>69.54</v>
      </c>
      <c r="E81" s="64" t="n">
        <f aca="false">D81+E79*E25</f>
        <v>69.54</v>
      </c>
      <c r="F81" s="64" t="n">
        <f aca="false">E81+F79*F25</f>
        <v>69.54</v>
      </c>
      <c r="G81" s="64" t="n">
        <f aca="false">F81+G79*G25</f>
        <v>69.54</v>
      </c>
    </row>
    <row r="82" customFormat="false" ht="15" hidden="false" customHeight="false" outlineLevel="2" collapsed="false">
      <c r="A82" s="3" t="s">
        <v>1179</v>
      </c>
      <c r="B82" s="10" t="s">
        <v>143</v>
      </c>
      <c r="C82" s="64" t="n">
        <f aca="false">$C$21*$E$18+C79*C26</f>
        <v>390.48</v>
      </c>
      <c r="D82" s="64" t="n">
        <f aca="false">C82+D79*D26</f>
        <v>674.48</v>
      </c>
      <c r="E82" s="64" t="n">
        <f aca="false">D82+E79*E26</f>
        <v>674.48</v>
      </c>
      <c r="F82" s="64" t="n">
        <f aca="false">E82+F79*F26</f>
        <v>674.48</v>
      </c>
      <c r="G82" s="64" t="n">
        <f aca="false">F82+G79*G26</f>
        <v>674.48</v>
      </c>
    </row>
    <row r="83" customFormat="false" ht="15" hidden="false" customHeight="false" outlineLevel="2" collapsed="false">
      <c r="A83" s="3" t="s">
        <v>1180</v>
      </c>
      <c r="B83" s="10" t="s">
        <v>143</v>
      </c>
      <c r="C83" s="64" t="n">
        <f aca="false">$C$21*$E$19+C79*C27</f>
        <v>0</v>
      </c>
      <c r="D83" s="64" t="n">
        <f aca="false">C83+D79*D27</f>
        <v>284</v>
      </c>
      <c r="E83" s="64" t="n">
        <f aca="false">D83+E79*E27</f>
        <v>872.5</v>
      </c>
      <c r="F83" s="64" t="n">
        <f aca="false">E83+F79*F27</f>
        <v>1394.5</v>
      </c>
      <c r="G83" s="64" t="n">
        <f aca="false">F83+G79*G27</f>
        <v>1916.5</v>
      </c>
    </row>
    <row r="84" customFormat="false" ht="15" hidden="false" customHeight="false" outlineLevel="2" collapsed="false">
      <c r="A84" s="3" t="s">
        <v>1181</v>
      </c>
      <c r="B84" s="10" t="s">
        <v>42</v>
      </c>
      <c r="C84" s="63" t="n">
        <f aca="false">($C$21*$E$16+C80)/(C78+C77)</f>
        <v>0.220743134087237</v>
      </c>
      <c r="D84" s="63" t="n">
        <f aca="false">(C80+D80)/(D78+D77)</f>
        <v>0.121063201417602</v>
      </c>
      <c r="E84" s="63" t="n">
        <f aca="false">(D80+E80)/(E78+E77)</f>
        <v>0.071928408492718</v>
      </c>
      <c r="F84" s="63" t="n">
        <f aca="false">(E80+F80)/(F78+F77)</f>
        <v>0.0517575757575758</v>
      </c>
      <c r="G84" s="63" t="n">
        <f aca="false">(F80+G80)/(G78+G77)</f>
        <v>0.0409592326139089</v>
      </c>
    </row>
    <row r="85" customFormat="false" ht="15" hidden="false" customHeight="false" outlineLevel="2" collapsed="false">
      <c r="A85" s="3" t="s">
        <v>1182</v>
      </c>
      <c r="B85" s="10" t="s">
        <v>42</v>
      </c>
      <c r="C85" s="63" t="n">
        <f aca="false">($C$21*$E$17+C81)/(C78+C77)</f>
        <v>0.149789983844911</v>
      </c>
      <c r="D85" s="63" t="n">
        <f aca="false">(C81+D81)/(D78+D77)</f>
        <v>0.0821500295333727</v>
      </c>
      <c r="E85" s="63" t="n">
        <f aca="false">(D81+E81)/(E78+E77)</f>
        <v>0.048808562905773</v>
      </c>
      <c r="F85" s="63" t="n">
        <f aca="false">(E81+F81)/(F78+F77)</f>
        <v>0.0351212121212121</v>
      </c>
      <c r="G85" s="63" t="n">
        <f aca="false">(F81+G81)/(G78+G77)</f>
        <v>0.0277937649880096</v>
      </c>
    </row>
    <row r="86" customFormat="false" ht="15" hidden="false" customHeight="false" outlineLevel="2" collapsed="false">
      <c r="A86" s="3" t="s">
        <v>1183</v>
      </c>
      <c r="B86" s="10" t="s">
        <v>42</v>
      </c>
      <c r="C86" s="63" t="n">
        <f aca="false">($C$21*$E$18+C82)/(C78+C77)</f>
        <v>0.629466882067851</v>
      </c>
      <c r="D86" s="63" t="n">
        <f aca="false">(C82+D82)/(D78+D77)</f>
        <v>0.629037212049616</v>
      </c>
      <c r="E86" s="63" t="n">
        <f aca="false">(D82+E82)/(E78+E77)</f>
        <v>0.4734023512897</v>
      </c>
      <c r="F86" s="63" t="n">
        <f aca="false">(E82+F82)/(F78+F77)</f>
        <v>0.340646464646465</v>
      </c>
      <c r="G86" s="63" t="n">
        <f aca="false">(F82+G82)/(G78+G77)</f>
        <v>0.269576338928857</v>
      </c>
    </row>
    <row r="87" customFormat="false" ht="15" hidden="false" customHeight="false" outlineLevel="2" collapsed="false">
      <c r="A87" s="3" t="s">
        <v>1184</v>
      </c>
      <c r="B87" s="10" t="s">
        <v>42</v>
      </c>
      <c r="C87" s="63" t="n">
        <f aca="false">($C$21*$E$19+C83)/(C78+C77)</f>
        <v>0</v>
      </c>
      <c r="D87" s="63" t="n">
        <f aca="false">(C83+D83)/(D78+D77)</f>
        <v>0.167749556999409</v>
      </c>
      <c r="E87" s="63" t="n">
        <f aca="false">(D83+E83)/(E78+E77)</f>
        <v>0.405860677311809</v>
      </c>
      <c r="F87" s="63" t="n">
        <f aca="false">(E83+F83)/(F78+F77)</f>
        <v>0.572474747474748</v>
      </c>
      <c r="G87" s="63" t="n">
        <f aca="false">(F83+G83)/(G78+G77)</f>
        <v>0.661670663469225</v>
      </c>
    </row>
    <row r="88" customFormat="false" ht="15" hidden="false" customHeight="false" outlineLevel="2" collapsed="false">
      <c r="A88" s="2" t="s">
        <v>1185</v>
      </c>
      <c r="B88" s="10" t="s">
        <v>235</v>
      </c>
      <c r="C88" s="51" t="n">
        <f aca="false">C84*$C$16+C85*$C$17+C86*$C$18+C87*$C$19</f>
        <v>10.3168958657729</v>
      </c>
      <c r="D88" s="51" t="n">
        <f aca="false">D84*$C$16+D85*$C$17+D86*$C$18+D87*$C$19</f>
        <v>10.7986958435829</v>
      </c>
      <c r="E88" s="51" t="n">
        <f aca="false">E84*$C$16+E85*$C$17+E86*$C$18+E87*$C$19</f>
        <v>11.2443082082066</v>
      </c>
      <c r="F88" s="51" t="n">
        <f aca="false">F84*$C$16+F85*$C$17+F86*$C$18+F87*$C$19</f>
        <v>11.5194549974433</v>
      </c>
      <c r="G88" s="51" t="n">
        <f aca="false">G84*$C$16+G85*$C$17+G86*$C$18+G87*$C$19</f>
        <v>11.6667533010914</v>
      </c>
    </row>
    <row r="89" customFormat="false" ht="15" hidden="false" customHeight="false" outlineLevel="2" collapsed="false">
      <c r="A89" s="3" t="s">
        <v>1186</v>
      </c>
      <c r="B89" s="10" t="s">
        <v>143</v>
      </c>
      <c r="C89" s="64" t="n">
        <f aca="false">(C78+C77)/2</f>
        <v>464.25</v>
      </c>
      <c r="D89" s="64" t="n">
        <f aca="false">(D78+D77)/2</f>
        <v>846.5</v>
      </c>
      <c r="E89" s="64" t="n">
        <f aca="false">(E78+E77)/2</f>
        <v>1424.75</v>
      </c>
      <c r="F89" s="64" t="n">
        <f aca="false">(F78+F77)/2</f>
        <v>1980</v>
      </c>
      <c r="G89" s="64" t="n">
        <f aca="false">(G78+G77)/2</f>
        <v>2502</v>
      </c>
    </row>
    <row r="90" customFormat="false" ht="15" hidden="false" customHeight="false" outlineLevel="2" collapsed="false">
      <c r="A90" s="3" t="s">
        <v>1187</v>
      </c>
      <c r="B90" s="10" t="s">
        <v>143</v>
      </c>
      <c r="C90" s="64" t="n">
        <f aca="false">SUMIF($D$39:$D$42,"&lt;="&amp;C$28,$C$39:$C$42)</f>
        <v>251</v>
      </c>
      <c r="D90" s="64" t="n">
        <f aca="false">SUMIF($D$39:$D$42,"&lt;="&amp;D$28,$C$39:$C$42)</f>
        <v>439</v>
      </c>
      <c r="E90" s="64" t="n">
        <f aca="false">SUMIF($D$39:$D$42,"&lt;="&amp;E$28,$C$39:$C$42)</f>
        <v>439</v>
      </c>
      <c r="F90" s="64" t="n">
        <f aca="false">SUMIF($D$39:$D$42,"&lt;="&amp;F$28,$C$39:$C$42)</f>
        <v>439</v>
      </c>
      <c r="G90" s="64" t="n">
        <f aca="false">SUMIF($D$39:$D$42,"&lt;="&amp;G$28,$C$39:$C$42)</f>
        <v>439</v>
      </c>
    </row>
    <row r="91" customFormat="false" ht="15" hidden="false" customHeight="false" outlineLevel="2" collapsed="false">
      <c r="A91" s="3" t="s">
        <v>1188</v>
      </c>
      <c r="B91" s="10" t="s">
        <v>42</v>
      </c>
      <c r="C91" s="63" t="n">
        <f aca="false">MIN(1,C90/C89)</f>
        <v>0.540656973613355</v>
      </c>
      <c r="D91" s="63" t="n">
        <f aca="false">MIN(1,D90/D89)</f>
        <v>0.518606024808033</v>
      </c>
      <c r="E91" s="63" t="n">
        <f aca="false">MIN(1,E90/E89)</f>
        <v>0.30812423232146</v>
      </c>
      <c r="F91" s="63" t="n">
        <f aca="false">MIN(1,F90/F89)</f>
        <v>0.221717171717172</v>
      </c>
      <c r="G91" s="63" t="n">
        <f aca="false">MIN(1,G90/G89)</f>
        <v>0.175459632294165</v>
      </c>
    </row>
    <row r="92" customFormat="false" ht="15" hidden="false" customHeight="false" outlineLevel="2" collapsed="false">
      <c r="A92" s="2" t="s">
        <v>1189</v>
      </c>
      <c r="B92" s="5" t="s">
        <v>1075</v>
      </c>
      <c r="C92" s="51" t="n">
        <f aca="false">$C$10*$C$9+(1-$C$10)*$C$8</f>
        <v>0.891019087752599</v>
      </c>
      <c r="D92" s="51" t="n">
        <f aca="false">$C$10*$C$9+(1-$C$10)*$C$8</f>
        <v>0.891019087752599</v>
      </c>
      <c r="E92" s="51" t="n">
        <f aca="false">$C$10*$C$9+(1-$C$10)*$C$8</f>
        <v>0.891019087752599</v>
      </c>
      <c r="F92" s="51" t="n">
        <f aca="false">$C$10*$C$9+(1-$C$10)*$C$8</f>
        <v>0.891019087752599</v>
      </c>
      <c r="G92" s="51" t="n">
        <f aca="false">$C$10*$C$9+(1-$C$10)*$C$8</f>
        <v>0.891019087752599</v>
      </c>
    </row>
    <row r="93" customFormat="false" ht="15" hidden="false" customHeight="false" outlineLevel="2" collapsed="false">
      <c r="A93" s="2" t="s">
        <v>1190</v>
      </c>
      <c r="B93" s="10" t="s">
        <v>235</v>
      </c>
      <c r="C93" s="51" t="n">
        <f aca="false">C88*C92</f>
        <v>9.1925511427595</v>
      </c>
      <c r="D93" s="51" t="n">
        <f aca="false">D88*D92</f>
        <v>9.62184411946704</v>
      </c>
      <c r="E93" s="51" t="n">
        <f aca="false">E88*E92</f>
        <v>10.0188932420853</v>
      </c>
      <c r="F93" s="51" t="n">
        <f aca="false">F88*F92</f>
        <v>10.264054283229</v>
      </c>
      <c r="G93" s="51" t="n">
        <f aca="false">G88*G92</f>
        <v>10.3952998833731</v>
      </c>
      <c r="I93" s="5" t="s">
        <v>1191</v>
      </c>
    </row>
    <row r="94" customFormat="false" ht="15" hidden="false" customHeight="false" outlineLevel="2" collapsed="false">
      <c r="A94" s="3" t="s">
        <v>1192</v>
      </c>
      <c r="B94" s="10" t="s">
        <v>235</v>
      </c>
      <c r="C94" s="50" t="n">
        <f aca="false">C84*$D$16+C85*$D$17+C86*$D$18+C87*$D$19</f>
        <v>31.6499933606847</v>
      </c>
      <c r="D94" s="50" t="n">
        <f aca="false">D84*$D$16+D85*$D$17+D86*$D$18+D87*$D$19</f>
        <v>39.8074566678529</v>
      </c>
      <c r="E94" s="50" t="n">
        <f aca="false">E84*$D$16+E85*$D$17+E86*$D$18+E87*$D$19</f>
        <v>47.8463791072289</v>
      </c>
      <c r="F94" s="50" t="n">
        <f aca="false">F84*$D$16+F85*$D$17+F86*$D$18+F87*$D$19</f>
        <v>52.9267651389152</v>
      </c>
      <c r="G94" s="50" t="n">
        <f aca="false">G84*$D$16+G85*$D$17+G86*$D$18+G87*$D$19</f>
        <v>55.6465215511957</v>
      </c>
    </row>
    <row r="95" customFormat="false" ht="15" hidden="false" customHeight="false" outlineLevel="2" collapsed="false">
      <c r="A95" s="3" t="s">
        <v>1193</v>
      </c>
      <c r="B95" s="10" t="s">
        <v>235</v>
      </c>
      <c r="C95" s="50" t="n">
        <f aca="false">C84*$C$32+C85*$C$33+C86*$C$34+C87*$C$35</f>
        <v>52.7499889344746</v>
      </c>
      <c r="D95" s="50" t="n">
        <f aca="false">D84*$C$32+D85*$C$33+D86*$C$34+D87*$C$35</f>
        <v>66.3457611130881</v>
      </c>
      <c r="E95" s="50" t="n">
        <f aca="false">E84*$C$32+E85*$C$33+E86*$C$34+E87*$C$35</f>
        <v>79.7439651787149</v>
      </c>
      <c r="F95" s="50" t="n">
        <f aca="false">F84*$C$32+F85*$C$33+F86*$C$34+F87*$C$35</f>
        <v>88.2112752315254</v>
      </c>
      <c r="G95" s="50" t="n">
        <f aca="false">G84*$C$32+G85*$C$33+G86*$C$34+G87*$C$35</f>
        <v>92.7442025853262</v>
      </c>
    </row>
    <row r="96" customFormat="false" ht="15" hidden="false" customHeight="false" outlineLevel="2" collapsed="false">
      <c r="A96" s="3" t="s">
        <v>1194</v>
      </c>
      <c r="B96" s="10" t="s">
        <v>235</v>
      </c>
      <c r="C96" s="50" t="n">
        <f aca="false">C84*$D$32+C85*$D$33+C86*$D$34+C87*$D$35</f>
        <v>31.6499933606847</v>
      </c>
      <c r="D96" s="50" t="n">
        <f aca="false">D84*$D$32+D85*$D$33+D86*$D$34+D87*$D$35</f>
        <v>39.8074566678529</v>
      </c>
      <c r="E96" s="50" t="n">
        <f aca="false">E84*$D$32+E85*$D$33+E86*$D$34+E87*$D$35</f>
        <v>47.8463791072289</v>
      </c>
      <c r="F96" s="50" t="n">
        <f aca="false">F84*$D$32+F85*$D$33+F86*$D$34+F87*$D$35</f>
        <v>52.9267651389152</v>
      </c>
      <c r="G96" s="50" t="n">
        <f aca="false">G84*$D$32+G85*$D$33+G86*$D$34+G87*$D$35</f>
        <v>55.6465215511957</v>
      </c>
    </row>
    <row r="97" customFormat="false" ht="15" hidden="false" customHeight="false" outlineLevel="2" collapsed="false">
      <c r="A97" s="3" t="s">
        <v>1195</v>
      </c>
      <c r="B97" s="10" t="s">
        <v>235</v>
      </c>
      <c r="C97" s="50" t="n">
        <f aca="false">C84*$E$32+C85*$E$33+C86*$E$34+C87*$E$35</f>
        <v>25.0447644824509</v>
      </c>
      <c r="D97" s="50" t="n">
        <f aca="false">D84*$E$32+D85*$E$33+D86*$E$34+D87*$E$35</f>
        <v>31.6700402881107</v>
      </c>
      <c r="E97" s="50" t="n">
        <f aca="false">E84*$E$32+E85*$E$33+E86*$E$34+E87*$E$35</f>
        <v>38.2587151704425</v>
      </c>
      <c r="F97" s="50" t="n">
        <f aca="false">F84*$E$32+F85*$E$33+F86*$E$34+F87*$E$35</f>
        <v>42.435808614252</v>
      </c>
      <c r="G97" s="50" t="n">
        <f aca="false">G84*$E$32+G85*$E$33+G86*$E$34+G87*$E$35</f>
        <v>44.6719923624238</v>
      </c>
    </row>
    <row r="98" customFormat="false" ht="15" hidden="false" customHeight="false" outlineLevel="2" collapsed="false">
      <c r="A98" s="3" t="s">
        <v>1196</v>
      </c>
      <c r="B98" s="10" t="s">
        <v>235</v>
      </c>
      <c r="C98" s="50" t="n">
        <f aca="false">C84*$F$32+C85*$F$33+C86*$F$34+C87*$F$35</f>
        <v>25.0447644824509</v>
      </c>
      <c r="D98" s="50" t="n">
        <f aca="false">D84*$F$32+D85*$F$33+D86*$F$34+D87*$F$35</f>
        <v>31.6700402881107</v>
      </c>
      <c r="E98" s="50" t="n">
        <f aca="false">E84*$F$32+E85*$F$33+E86*$F$34+E87*$F$35</f>
        <v>38.2587151704425</v>
      </c>
      <c r="F98" s="50" t="n">
        <f aca="false">F84*$F$32+F85*$F$33+F86*$F$34+F87*$F$35</f>
        <v>42.435808614252</v>
      </c>
      <c r="G98" s="50" t="n">
        <f aca="false">G84*$F$32+G85*$F$33+G86*$F$34+G87*$F$35</f>
        <v>44.6719923624238</v>
      </c>
    </row>
    <row r="99" customFormat="false" ht="15" hidden="false" customHeight="false" outlineLevel="2" collapsed="false">
      <c r="A99" s="3" t="s">
        <v>1197</v>
      </c>
      <c r="B99" s="10" t="s">
        <v>42</v>
      </c>
      <c r="C99" s="63" t="n">
        <f aca="false">C93/C95</f>
        <v>0.174266408930974</v>
      </c>
      <c r="D99" s="63" t="n">
        <f aca="false">D93/D95</f>
        <v>0.145025755346545</v>
      </c>
      <c r="E99" s="63" t="n">
        <f aca="false">E93/E95</f>
        <v>0.125638262652627</v>
      </c>
      <c r="F99" s="63" t="n">
        <f aca="false">F93/F95</f>
        <v>0.116357622722144</v>
      </c>
      <c r="G99" s="63" t="n">
        <f aca="false">G93/G95</f>
        <v>0.112085710951142</v>
      </c>
      <c r="I99" s="5" t="s">
        <v>1166</v>
      </c>
    </row>
    <row r="100" customFormat="false" ht="15" hidden="false" customHeight="false" outlineLevel="2" collapsed="false">
      <c r="A100" s="3" t="s">
        <v>1198</v>
      </c>
      <c r="B100" s="10" t="s">
        <v>42</v>
      </c>
      <c r="C100" s="63" t="n">
        <f aca="false">C93/C96</f>
        <v>0.290444014884957</v>
      </c>
      <c r="D100" s="63" t="n">
        <f aca="false">D93/D96</f>
        <v>0.241709592244242</v>
      </c>
      <c r="E100" s="63" t="n">
        <f aca="false">E93/E96</f>
        <v>0.209397104421045</v>
      </c>
      <c r="F100" s="63" t="n">
        <f aca="false">F93/F96</f>
        <v>0.193929371203574</v>
      </c>
      <c r="G100" s="63" t="n">
        <f aca="false">G93/G96</f>
        <v>0.186809518251904</v>
      </c>
      <c r="I100" s="5" t="s">
        <v>1166</v>
      </c>
    </row>
    <row r="101" customFormat="false" ht="15" hidden="false" customHeight="false" outlineLevel="2" collapsed="false">
      <c r="A101" s="3" t="s">
        <v>1199</v>
      </c>
      <c r="B101" s="10" t="s">
        <v>42</v>
      </c>
      <c r="C101" s="63" t="n">
        <f aca="false">C93/C97</f>
        <v>0.367044822849136</v>
      </c>
      <c r="D101" s="63" t="n">
        <f aca="false">D93/D97</f>
        <v>0.303815341942561</v>
      </c>
      <c r="E101" s="63" t="n">
        <f aca="false">E93/E97</f>
        <v>0.261872182519752</v>
      </c>
      <c r="F101" s="63" t="n">
        <f aca="false">F93/F97</f>
        <v>0.24187248030386</v>
      </c>
      <c r="G101" s="63" t="n">
        <f aca="false">G93/G97</f>
        <v>0.232702848779074</v>
      </c>
      <c r="I101" s="5" t="s">
        <v>1169</v>
      </c>
    </row>
    <row r="102" customFormat="false" ht="15" hidden="false" customHeight="false" outlineLevel="2" collapsed="false">
      <c r="A102" s="3" t="s">
        <v>1200</v>
      </c>
      <c r="B102" s="10" t="s">
        <v>42</v>
      </c>
      <c r="C102" s="63" t="n">
        <f aca="false">C93/C98</f>
        <v>0.367044822849136</v>
      </c>
      <c r="D102" s="63" t="n">
        <f aca="false">D93/D98</f>
        <v>0.303815341942561</v>
      </c>
      <c r="E102" s="63" t="n">
        <f aca="false">E93/E98</f>
        <v>0.261872182519752</v>
      </c>
      <c r="F102" s="63" t="n">
        <f aca="false">F93/F98</f>
        <v>0.24187248030386</v>
      </c>
      <c r="G102" s="63" t="n">
        <f aca="false">G93/G98</f>
        <v>0.232702848779074</v>
      </c>
      <c r="I102" s="5" t="s">
        <v>1166</v>
      </c>
    </row>
    <row r="103" customFormat="false" ht="15" hidden="false" customHeight="false" outlineLevel="2" collapsed="false">
      <c r="A103" s="3" t="s">
        <v>1201</v>
      </c>
      <c r="B103" s="10" t="s">
        <v>42</v>
      </c>
      <c r="C103" s="63" t="n">
        <f aca="false">C101</f>
        <v>0.367044822849136</v>
      </c>
      <c r="D103" s="63" t="n">
        <f aca="false">D101</f>
        <v>0.303815341942561</v>
      </c>
      <c r="E103" s="63" t="n">
        <f aca="false">E101</f>
        <v>0.261872182519752</v>
      </c>
      <c r="F103" s="63" t="n">
        <f aca="false">F101</f>
        <v>0.24187248030386</v>
      </c>
      <c r="G103" s="63" t="n">
        <f aca="false">G101</f>
        <v>0.232702848779074</v>
      </c>
      <c r="I103" s="10" t="s">
        <v>1172</v>
      </c>
    </row>
    <row r="104" customFormat="false" ht="15" hidden="false" customHeight="false" outlineLevel="1" collapsed="false"/>
    <row r="105" customFormat="false" ht="15" hidden="false" customHeight="false" outlineLevel="1" collapsed="false">
      <c r="A105" s="18" t="s">
        <v>1202</v>
      </c>
      <c r="B105" s="19"/>
      <c r="C105" s="19"/>
      <c r="D105" s="19"/>
      <c r="E105" s="19"/>
      <c r="F105" s="19"/>
      <c r="G105" s="19"/>
      <c r="H105" s="19"/>
    </row>
    <row r="106" customFormat="false" ht="15" hidden="false" customHeight="false" outlineLevel="2" collapsed="false">
      <c r="A106" s="13" t="s">
        <v>50</v>
      </c>
      <c r="B106" s="13" t="s">
        <v>51</v>
      </c>
      <c r="C106" s="14" t="s">
        <v>52</v>
      </c>
      <c r="D106" s="14" t="s">
        <v>53</v>
      </c>
      <c r="E106" s="14" t="s">
        <v>54</v>
      </c>
      <c r="F106" s="14" t="s">
        <v>139</v>
      </c>
      <c r="G106" s="14" t="s">
        <v>140</v>
      </c>
      <c r="I106" s="13" t="s">
        <v>1073</v>
      </c>
    </row>
    <row r="107" customFormat="false" ht="15" hidden="false" customHeight="false" outlineLevel="2" collapsed="false">
      <c r="A107" s="3" t="s">
        <v>1203</v>
      </c>
      <c r="B107" s="10" t="s">
        <v>143</v>
      </c>
      <c r="C107" s="60" t="n">
        <f aca="false">輸入與假設!C17*輸入與假設!C21</f>
        <v>562.5</v>
      </c>
      <c r="D107" s="60" t="n">
        <f aca="false">輸入與假設!D17*輸入與假設!D21</f>
        <v>1345.55</v>
      </c>
      <c r="E107" s="60" t="n">
        <f aca="false">輸入與假設!E17*輸入與假設!E21</f>
        <v>2174.4</v>
      </c>
      <c r="F107" s="60" t="n">
        <f aca="false">輸入與假設!F17*輸入與假設!F21</f>
        <v>2924.1</v>
      </c>
      <c r="G107" s="60" t="n">
        <f aca="false">輸入與假設!G17*輸入與假設!G21</f>
        <v>3673.8</v>
      </c>
    </row>
    <row r="108" customFormat="false" ht="15" hidden="false" customHeight="false" outlineLevel="2" collapsed="false">
      <c r="A108" s="3" t="s">
        <v>1204</v>
      </c>
      <c r="B108" s="10" t="s">
        <v>143</v>
      </c>
      <c r="C108" s="64" t="n">
        <f aca="false">$C$21</f>
        <v>366</v>
      </c>
      <c r="D108" s="64" t="n">
        <f aca="false">C107</f>
        <v>562.5</v>
      </c>
      <c r="E108" s="64" t="n">
        <f aca="false">D107</f>
        <v>1345.55</v>
      </c>
      <c r="F108" s="64" t="n">
        <f aca="false">E107</f>
        <v>2174.4</v>
      </c>
      <c r="G108" s="64" t="n">
        <f aca="false">F107</f>
        <v>2924.1</v>
      </c>
    </row>
    <row r="109" customFormat="false" ht="15" hidden="false" customHeight="false" outlineLevel="2" collapsed="false">
      <c r="A109" s="3" t="s">
        <v>1205</v>
      </c>
      <c r="B109" s="10" t="s">
        <v>143</v>
      </c>
      <c r="C109" s="64" t="n">
        <f aca="false">MAX(0,C107-C108)</f>
        <v>196.5</v>
      </c>
      <c r="D109" s="64" t="n">
        <f aca="false">MAX(0,D107-D108)</f>
        <v>783.05</v>
      </c>
      <c r="E109" s="64" t="n">
        <f aca="false">MAX(0,E107-E108)</f>
        <v>828.85</v>
      </c>
      <c r="F109" s="64" t="n">
        <f aca="false">MAX(0,F107-F108)</f>
        <v>749.7</v>
      </c>
      <c r="G109" s="64" t="n">
        <f aca="false">MAX(0,G107-G108)</f>
        <v>749.7</v>
      </c>
    </row>
    <row r="110" customFormat="false" ht="15" hidden="false" customHeight="false" outlineLevel="2" collapsed="false">
      <c r="A110" s="3" t="s">
        <v>1206</v>
      </c>
      <c r="B110" s="10" t="s">
        <v>143</v>
      </c>
      <c r="C110" s="64" t="n">
        <f aca="false">$C$21*$E$16+C109*C24</f>
        <v>102.48</v>
      </c>
      <c r="D110" s="64" t="n">
        <f aca="false">C110+D109*D24</f>
        <v>102.48</v>
      </c>
      <c r="E110" s="64" t="n">
        <f aca="false">D110+E109*E24</f>
        <v>102.48</v>
      </c>
      <c r="F110" s="64" t="n">
        <f aca="false">E110+F109*F24</f>
        <v>102.48</v>
      </c>
      <c r="G110" s="64" t="n">
        <f aca="false">F110+G109*G24</f>
        <v>102.48</v>
      </c>
    </row>
    <row r="111" customFormat="false" ht="15" hidden="false" customHeight="false" outlineLevel="2" collapsed="false">
      <c r="A111" s="3" t="s">
        <v>1207</v>
      </c>
      <c r="B111" s="10" t="s">
        <v>143</v>
      </c>
      <c r="C111" s="64" t="n">
        <f aca="false">$C$21*$E$17+C109*C25</f>
        <v>69.54</v>
      </c>
      <c r="D111" s="64" t="n">
        <f aca="false">C111+D109*D25</f>
        <v>69.54</v>
      </c>
      <c r="E111" s="64" t="n">
        <f aca="false">D111+E109*E25</f>
        <v>69.54</v>
      </c>
      <c r="F111" s="64" t="n">
        <f aca="false">E111+F109*F25</f>
        <v>69.54</v>
      </c>
      <c r="G111" s="64" t="n">
        <f aca="false">F111+G109*G25</f>
        <v>69.54</v>
      </c>
    </row>
    <row r="112" customFormat="false" ht="15" hidden="false" customHeight="false" outlineLevel="2" collapsed="false">
      <c r="A112" s="3" t="s">
        <v>1208</v>
      </c>
      <c r="B112" s="10" t="s">
        <v>143</v>
      </c>
      <c r="C112" s="64" t="n">
        <f aca="false">$C$21*$E$18+C109*C26</f>
        <v>390.48</v>
      </c>
      <c r="D112" s="64" t="n">
        <f aca="false">C112+D109*D26</f>
        <v>782.005</v>
      </c>
      <c r="E112" s="64" t="n">
        <f aca="false">D112+E109*E26</f>
        <v>782.005</v>
      </c>
      <c r="F112" s="64" t="n">
        <f aca="false">E112+F109*F26</f>
        <v>782.005</v>
      </c>
      <c r="G112" s="64" t="n">
        <f aca="false">F112+G109*G26</f>
        <v>782.005</v>
      </c>
    </row>
    <row r="113" customFormat="false" ht="15" hidden="false" customHeight="false" outlineLevel="2" collapsed="false">
      <c r="A113" s="3" t="s">
        <v>1209</v>
      </c>
      <c r="B113" s="10" t="s">
        <v>143</v>
      </c>
      <c r="C113" s="64" t="n">
        <f aca="false">$C$21*$E$19+C109*C27</f>
        <v>0</v>
      </c>
      <c r="D113" s="64" t="n">
        <f aca="false">C113+D109*D27</f>
        <v>391.525</v>
      </c>
      <c r="E113" s="64" t="n">
        <f aca="false">D113+E109*E27</f>
        <v>1220.375</v>
      </c>
      <c r="F113" s="64" t="n">
        <f aca="false">E113+F109*F27</f>
        <v>1970.075</v>
      </c>
      <c r="G113" s="64" t="n">
        <f aca="false">F113+G109*G27</f>
        <v>2719.775</v>
      </c>
    </row>
    <row r="114" customFormat="false" ht="15" hidden="false" customHeight="false" outlineLevel="2" collapsed="false">
      <c r="A114" s="3" t="s">
        <v>1210</v>
      </c>
      <c r="B114" s="10" t="s">
        <v>42</v>
      </c>
      <c r="C114" s="63" t="n">
        <f aca="false">($C$21*$E$16+C110)/(C108+C107)</f>
        <v>0.220743134087237</v>
      </c>
      <c r="D114" s="63" t="n">
        <f aca="false">(C110+D110)/(D108+D107)</f>
        <v>0.107418568695789</v>
      </c>
      <c r="E114" s="63" t="n">
        <f aca="false">(D110+E110)/(E108+E107)</f>
        <v>0.0582280998309635</v>
      </c>
      <c r="F114" s="63" t="n">
        <f aca="false">(E110+F110)/(F108+F107)</f>
        <v>0.0402000588408355</v>
      </c>
      <c r="G114" s="63" t="n">
        <f aca="false">(F110+G110)/(G108+G107)</f>
        <v>0.0310644295912336</v>
      </c>
    </row>
    <row r="115" customFormat="false" ht="15" hidden="false" customHeight="false" outlineLevel="2" collapsed="false">
      <c r="A115" s="3" t="s">
        <v>1211</v>
      </c>
      <c r="B115" s="10" t="s">
        <v>42</v>
      </c>
      <c r="C115" s="63" t="n">
        <f aca="false">($C$21*$E$17+C111)/(C108+C107)</f>
        <v>0.149789983844911</v>
      </c>
      <c r="D115" s="63" t="n">
        <f aca="false">(C111+D111)/(D108+D107)</f>
        <v>0.0728911716149996</v>
      </c>
      <c r="E115" s="63" t="n">
        <f aca="false">(D111+E111)/(E108+E107)</f>
        <v>0.0395119248852967</v>
      </c>
      <c r="F115" s="63" t="n">
        <f aca="false">(E111+F111)/(F108+F107)</f>
        <v>0.0272786113562813</v>
      </c>
      <c r="G115" s="63" t="n">
        <f aca="false">(F111+G111)/(G108+G107)</f>
        <v>0.0210794343654799</v>
      </c>
    </row>
    <row r="116" customFormat="false" ht="15" hidden="false" customHeight="false" outlineLevel="2" collapsed="false">
      <c r="A116" s="3" t="s">
        <v>1212</v>
      </c>
      <c r="B116" s="10" t="s">
        <v>42</v>
      </c>
      <c r="C116" s="63" t="n">
        <f aca="false">($C$21*$E$18+C112)/(C108+C107)</f>
        <v>0.629466882067851</v>
      </c>
      <c r="D116" s="63" t="n">
        <f aca="false">(C112+D112)/(D108+D107)</f>
        <v>0.614493854982836</v>
      </c>
      <c r="E116" s="63" t="n">
        <f aca="false">(D112+E112)/(E108+E107)</f>
        <v>0.444327334195088</v>
      </c>
      <c r="F116" s="63" t="n">
        <f aca="false">(E112+F112)/(F108+F107)</f>
        <v>0.306758850642346</v>
      </c>
      <c r="G116" s="63" t="n">
        <f aca="false">(F112+G112)/(G108+G107)</f>
        <v>0.237046636050865</v>
      </c>
    </row>
    <row r="117" customFormat="false" ht="15" hidden="false" customHeight="false" outlineLevel="2" collapsed="false">
      <c r="A117" s="3" t="s">
        <v>1213</v>
      </c>
      <c r="B117" s="10" t="s">
        <v>42</v>
      </c>
      <c r="C117" s="63" t="n">
        <f aca="false">($C$21*$E$19+C113)/(C108+C107)</f>
        <v>0</v>
      </c>
      <c r="D117" s="63" t="n">
        <f aca="false">(C113+D113)/(D108+D107)</f>
        <v>0.205196404706376</v>
      </c>
      <c r="E117" s="63" t="n">
        <f aca="false">(D113+E113)/(E108+E107)</f>
        <v>0.457932641088652</v>
      </c>
      <c r="F117" s="63" t="n">
        <f aca="false">(E113+F113)/(F108+F107)</f>
        <v>0.625762479160537</v>
      </c>
      <c r="G117" s="63" t="n">
        <f aca="false">(F113+G113)/(G108+G107)</f>
        <v>0.710809499992422</v>
      </c>
    </row>
    <row r="118" customFormat="false" ht="15" hidden="false" customHeight="false" outlineLevel="2" collapsed="false">
      <c r="A118" s="2" t="s">
        <v>1214</v>
      </c>
      <c r="B118" s="10" t="s">
        <v>235</v>
      </c>
      <c r="C118" s="51" t="n">
        <f aca="false">C114*$C$16+C115*$C$17+C116*$C$18+C117*$C$19</f>
        <v>10.3168958657729</v>
      </c>
      <c r="D118" s="51" t="n">
        <f aca="false">D114*$C$16+D115*$C$17+D116*$C$18+D117*$C$19</f>
        <v>10.8840424391162</v>
      </c>
      <c r="E118" s="51" t="n">
        <f aca="false">E114*$C$16+E115*$C$17+E116*$C$18+E117*$C$19</f>
        <v>11.3493823550835</v>
      </c>
      <c r="F118" s="51" t="n">
        <f aca="false">F114*$C$16+F115*$C$17+F116*$C$18+F117*$C$19</f>
        <v>11.6206287486638</v>
      </c>
      <c r="G118" s="51" t="n">
        <f aca="false">G114*$C$16+G115*$C$17+G116*$C$18+G117*$C$19</f>
        <v>11.7580816470901</v>
      </c>
    </row>
    <row r="119" customFormat="false" ht="15" hidden="false" customHeight="false" outlineLevel="2" collapsed="false">
      <c r="A119" s="3" t="s">
        <v>1215</v>
      </c>
      <c r="B119" s="10" t="s">
        <v>143</v>
      </c>
      <c r="C119" s="64" t="n">
        <f aca="false">(C108+C107)/2</f>
        <v>464.25</v>
      </c>
      <c r="D119" s="64" t="n">
        <f aca="false">(D108+D107)/2</f>
        <v>954.025</v>
      </c>
      <c r="E119" s="64" t="n">
        <f aca="false">(E108+E107)/2</f>
        <v>1759.975</v>
      </c>
      <c r="F119" s="64" t="n">
        <f aca="false">(F108+F107)/2</f>
        <v>2549.25</v>
      </c>
      <c r="G119" s="64" t="n">
        <f aca="false">(G108+G107)/2</f>
        <v>3298.95</v>
      </c>
    </row>
    <row r="120" customFormat="false" ht="15" hidden="false" customHeight="false" outlineLevel="2" collapsed="false">
      <c r="A120" s="3" t="s">
        <v>1216</v>
      </c>
      <c r="B120" s="10" t="s">
        <v>143</v>
      </c>
      <c r="C120" s="64" t="n">
        <f aca="false">SUMIF($D$39:$D$42,"&lt;="&amp;C$28,$C$39:$C$42)</f>
        <v>251</v>
      </c>
      <c r="D120" s="64" t="n">
        <f aca="false">SUMIF($D$39:$D$42,"&lt;="&amp;D$28,$C$39:$C$42)</f>
        <v>439</v>
      </c>
      <c r="E120" s="64" t="n">
        <f aca="false">SUMIF($D$39:$D$42,"&lt;="&amp;E$28,$C$39:$C$42)</f>
        <v>439</v>
      </c>
      <c r="F120" s="64" t="n">
        <f aca="false">SUMIF($D$39:$D$42,"&lt;="&amp;F$28,$C$39:$C$42)</f>
        <v>439</v>
      </c>
      <c r="G120" s="64" t="n">
        <f aca="false">SUMIF($D$39:$D$42,"&lt;="&amp;G$28,$C$39:$C$42)</f>
        <v>439</v>
      </c>
    </row>
    <row r="121" customFormat="false" ht="15" hidden="false" customHeight="false" outlineLevel="2" collapsed="false">
      <c r="A121" s="3" t="s">
        <v>1217</v>
      </c>
      <c r="B121" s="10" t="s">
        <v>42</v>
      </c>
      <c r="C121" s="63" t="n">
        <f aca="false">MIN(1,C120/C119)</f>
        <v>0.540656973613355</v>
      </c>
      <c r="D121" s="63" t="n">
        <f aca="false">MIN(1,D120/D119)</f>
        <v>0.460155656298315</v>
      </c>
      <c r="E121" s="63" t="n">
        <f aca="false">MIN(1,E120/E119)</f>
        <v>0.249435361297746</v>
      </c>
      <c r="F121" s="63" t="n">
        <f aca="false">MIN(1,F120/F119)</f>
        <v>0.172207512013337</v>
      </c>
      <c r="G121" s="63" t="n">
        <f aca="false">MIN(1,G120/G119)</f>
        <v>0.133072644326225</v>
      </c>
    </row>
    <row r="122" customFormat="false" ht="15" hidden="false" customHeight="false" outlineLevel="2" collapsed="false">
      <c r="A122" s="2" t="s">
        <v>1218</v>
      </c>
      <c r="B122" s="5" t="s">
        <v>1075</v>
      </c>
      <c r="C122" s="51" t="n">
        <f aca="false">$C$10*$C$9+(1-$C$10)*$C$8</f>
        <v>0.891019087752599</v>
      </c>
      <c r="D122" s="51" t="n">
        <f aca="false">$C$10*$C$9+(1-$C$10)*$C$8</f>
        <v>0.891019087752599</v>
      </c>
      <c r="E122" s="51" t="n">
        <f aca="false">$C$10*$C$9+(1-$C$10)*$C$8</f>
        <v>0.891019087752599</v>
      </c>
      <c r="F122" s="51" t="n">
        <f aca="false">$C$10*$C$9+(1-$C$10)*$C$8</f>
        <v>0.891019087752599</v>
      </c>
      <c r="G122" s="51" t="n">
        <f aca="false">$C$10*$C$9+(1-$C$10)*$C$8</f>
        <v>0.891019087752599</v>
      </c>
    </row>
    <row r="123" customFormat="false" ht="15" hidden="false" customHeight="false" outlineLevel="2" collapsed="false">
      <c r="A123" s="2" t="s">
        <v>1219</v>
      </c>
      <c r="B123" s="10" t="s">
        <v>235</v>
      </c>
      <c r="C123" s="51" t="n">
        <f aca="false">C118*C122</f>
        <v>9.1925511427595</v>
      </c>
      <c r="D123" s="51" t="n">
        <f aca="false">D118*D122</f>
        <v>9.6978895651619</v>
      </c>
      <c r="E123" s="51" t="n">
        <f aca="false">E118*E122</f>
        <v>10.1125163125819</v>
      </c>
      <c r="F123" s="51" t="n">
        <f aca="false">F118*F122</f>
        <v>10.354202026746</v>
      </c>
      <c r="G123" s="51" t="n">
        <f aca="false">G118*G122</f>
        <v>10.4766751829108</v>
      </c>
      <c r="I123" s="5" t="s">
        <v>1220</v>
      </c>
    </row>
    <row r="124" customFormat="false" ht="15" hidden="false" customHeight="false" outlineLevel="2" collapsed="false">
      <c r="A124" s="3" t="s">
        <v>1221</v>
      </c>
      <c r="B124" s="10" t="s">
        <v>235</v>
      </c>
      <c r="C124" s="50" t="n">
        <f aca="false">C114*$D$16+C115*$D$17+C116*$D$18+C117*$D$19</f>
        <v>31.6499933606847</v>
      </c>
      <c r="D124" s="50" t="n">
        <f aca="false">D114*$D$16+D115*$D$17+D116*$D$18+D117*$D$19</f>
        <v>41.2985318500442</v>
      </c>
      <c r="E124" s="50" t="n">
        <f aca="false">E114*$D$16+E115*$D$17+E116*$D$18+E117*$D$19</f>
        <v>49.7176677878366</v>
      </c>
      <c r="F124" s="50" t="n">
        <f aca="false">F114*$D$16+F115*$D$17+F116*$D$18+F117*$D$19</f>
        <v>54.7473461208349</v>
      </c>
      <c r="G124" s="50" t="n">
        <f aca="false">G114*$D$16+G115*$D$17+G116*$D$18+G117*$D$19</f>
        <v>57.2961131510513</v>
      </c>
    </row>
    <row r="125" customFormat="false" ht="15" hidden="false" customHeight="false" outlineLevel="2" collapsed="false">
      <c r="A125" s="3" t="s">
        <v>1222</v>
      </c>
      <c r="B125" s="10" t="s">
        <v>235</v>
      </c>
      <c r="C125" s="50" t="n">
        <f aca="false">C114*$C$32+C115*$C$33+C116*$C$34+C117*$C$35</f>
        <v>52.7499889344746</v>
      </c>
      <c r="D125" s="50" t="n">
        <f aca="false">D114*$C$32+D115*$C$33+D116*$C$34+D117*$C$35</f>
        <v>68.8308864167403</v>
      </c>
      <c r="E125" s="50" t="n">
        <f aca="false">E114*$C$32+E115*$C$33+E116*$C$34+E117*$C$35</f>
        <v>82.8627796463944</v>
      </c>
      <c r="F125" s="50" t="n">
        <f aca="false">F114*$C$32+F115*$C$33+F116*$C$34+F117*$C$35</f>
        <v>91.2455768680581</v>
      </c>
      <c r="G125" s="50" t="n">
        <f aca="false">G114*$C$32+G115*$C$33+G116*$C$34+G117*$C$35</f>
        <v>95.4935219184188</v>
      </c>
    </row>
    <row r="126" customFormat="false" ht="15" hidden="false" customHeight="false" outlineLevel="2" collapsed="false">
      <c r="A126" s="3" t="s">
        <v>1223</v>
      </c>
      <c r="B126" s="10" t="s">
        <v>235</v>
      </c>
      <c r="C126" s="50" t="n">
        <f aca="false">C114*$D$32+C115*$D$33+C116*$D$34+C117*$D$35</f>
        <v>31.6499933606847</v>
      </c>
      <c r="D126" s="50" t="n">
        <f aca="false">D114*$D$32+D115*$D$33+D116*$D$34+D117*$D$35</f>
        <v>41.2985318500442</v>
      </c>
      <c r="E126" s="50" t="n">
        <f aca="false">E114*$D$32+E115*$D$33+E116*$D$34+E117*$D$35</f>
        <v>49.7176677878366</v>
      </c>
      <c r="F126" s="50" t="n">
        <f aca="false">F114*$D$32+F115*$D$33+F116*$D$34+F117*$D$35</f>
        <v>54.7473461208349</v>
      </c>
      <c r="G126" s="50" t="n">
        <f aca="false">G114*$D$32+G115*$D$33+G116*$D$34+G117*$D$35</f>
        <v>57.2961131510513</v>
      </c>
    </row>
    <row r="127" customFormat="false" ht="15" hidden="false" customHeight="false" outlineLevel="2" collapsed="false">
      <c r="A127" s="3" t="s">
        <v>1224</v>
      </c>
      <c r="B127" s="10" t="s">
        <v>235</v>
      </c>
      <c r="C127" s="50" t="n">
        <f aca="false">C114*$E$32+C115*$E$33+C116*$E$34+C117*$E$35</f>
        <v>25.0447644824509</v>
      </c>
      <c r="D127" s="50" t="n">
        <f aca="false">D114*$E$32+D115*$E$33+D116*$E$34+D117*$E$35</f>
        <v>32.8866134423426</v>
      </c>
      <c r="E127" s="50" t="n">
        <f aca="false">E114*$E$32+E115*$E$33+E116*$E$34+E117*$E$35</f>
        <v>39.7896670178968</v>
      </c>
      <c r="F127" s="50" t="n">
        <f aca="false">F114*$E$32+F115*$E$33+F116*$E$34+F117*$E$35</f>
        <v>43.9274283583175</v>
      </c>
      <c r="G127" s="50" t="n">
        <f aca="false">G114*$E$32+G115*$E$33+G116*$E$34+G117*$E$35</f>
        <v>46.0242204362875</v>
      </c>
    </row>
    <row r="128" customFormat="false" ht="15" hidden="false" customHeight="false" outlineLevel="2" collapsed="false">
      <c r="A128" s="3" t="s">
        <v>1225</v>
      </c>
      <c r="B128" s="10" t="s">
        <v>235</v>
      </c>
      <c r="C128" s="50" t="n">
        <f aca="false">C114*$F$32+C115*$F$33+C116*$F$34+C117*$F$35</f>
        <v>25.0447644824509</v>
      </c>
      <c r="D128" s="50" t="n">
        <f aca="false">D114*$F$32+D115*$F$33+D116*$F$34+D117*$F$35</f>
        <v>32.8866134423426</v>
      </c>
      <c r="E128" s="50" t="n">
        <f aca="false">E114*$F$32+E115*$F$33+E116*$F$34+E117*$F$35</f>
        <v>39.7896670178968</v>
      </c>
      <c r="F128" s="50" t="n">
        <f aca="false">F114*$F$32+F115*$F$33+F116*$F$34+F117*$F$35</f>
        <v>43.9274283583175</v>
      </c>
      <c r="G128" s="50" t="n">
        <f aca="false">G114*$F$32+G115*$F$33+G116*$F$34+G117*$F$35</f>
        <v>46.0242204362875</v>
      </c>
    </row>
    <row r="129" customFormat="false" ht="15" hidden="false" customHeight="false" outlineLevel="2" collapsed="false">
      <c r="A129" s="3" t="s">
        <v>1226</v>
      </c>
      <c r="B129" s="10" t="s">
        <v>42</v>
      </c>
      <c r="C129" s="63" t="n">
        <f aca="false">C123/C125</f>
        <v>0.174266408930974</v>
      </c>
      <c r="D129" s="63" t="n">
        <f aca="false">D123/D125</f>
        <v>0.140894445357648</v>
      </c>
      <c r="E129" s="63" t="n">
        <f aca="false">E123/E125</f>
        <v>0.122039308308697</v>
      </c>
      <c r="F129" s="63" t="n">
        <f aca="false">F123/F125</f>
        <v>0.113476207638188</v>
      </c>
      <c r="G129" s="63" t="n">
        <f aca="false">G123/G125</f>
        <v>0.109710847107107</v>
      </c>
      <c r="I129" s="5" t="s">
        <v>1166</v>
      </c>
    </row>
    <row r="130" customFormat="false" ht="15" hidden="false" customHeight="false" outlineLevel="2" collapsed="false">
      <c r="A130" s="3" t="s">
        <v>1227</v>
      </c>
      <c r="B130" s="10" t="s">
        <v>42</v>
      </c>
      <c r="C130" s="63" t="n">
        <f aca="false">C123/C126</f>
        <v>0.290444014884957</v>
      </c>
      <c r="D130" s="63" t="n">
        <f aca="false">D123/D126</f>
        <v>0.23482407559608</v>
      </c>
      <c r="E130" s="63" t="n">
        <f aca="false">E123/E126</f>
        <v>0.203398847181162</v>
      </c>
      <c r="F130" s="63" t="n">
        <f aca="false">F123/F126</f>
        <v>0.189127012730314</v>
      </c>
      <c r="G130" s="63" t="n">
        <f aca="false">G123/G126</f>
        <v>0.182851411845178</v>
      </c>
      <c r="I130" s="5" t="s">
        <v>1166</v>
      </c>
    </row>
    <row r="131" customFormat="false" ht="15" hidden="false" customHeight="false" outlineLevel="2" collapsed="false">
      <c r="A131" s="3" t="s">
        <v>1228</v>
      </c>
      <c r="B131" s="10" t="s">
        <v>42</v>
      </c>
      <c r="C131" s="63" t="n">
        <f aca="false">C123/C127</f>
        <v>0.367044822849136</v>
      </c>
      <c r="D131" s="63" t="n">
        <f aca="false">D123/D127</f>
        <v>0.294888665935896</v>
      </c>
      <c r="E131" s="63" t="n">
        <f aca="false">E123/E127</f>
        <v>0.254149307357448</v>
      </c>
      <c r="F131" s="63" t="n">
        <f aca="false">F123/F127</f>
        <v>0.235711545467367</v>
      </c>
      <c r="G131" s="63" t="n">
        <f aca="false">G123/G127</f>
        <v>0.22763395194089</v>
      </c>
      <c r="I131" s="5" t="s">
        <v>1169</v>
      </c>
    </row>
    <row r="132" customFormat="false" ht="15" hidden="false" customHeight="false" outlineLevel="2" collapsed="false">
      <c r="A132" s="3" t="s">
        <v>1229</v>
      </c>
      <c r="B132" s="10" t="s">
        <v>42</v>
      </c>
      <c r="C132" s="63" t="n">
        <f aca="false">C123/C128</f>
        <v>0.367044822849136</v>
      </c>
      <c r="D132" s="63" t="n">
        <f aca="false">D123/D128</f>
        <v>0.294888665935896</v>
      </c>
      <c r="E132" s="63" t="n">
        <f aca="false">E123/E128</f>
        <v>0.254149307357448</v>
      </c>
      <c r="F132" s="63" t="n">
        <f aca="false">F123/F128</f>
        <v>0.235711545467367</v>
      </c>
      <c r="G132" s="63" t="n">
        <f aca="false">G123/G128</f>
        <v>0.22763395194089</v>
      </c>
      <c r="I132" s="5" t="s">
        <v>1166</v>
      </c>
    </row>
    <row r="133" customFormat="false" ht="15" hidden="false" customHeight="false" outlineLevel="2" collapsed="false">
      <c r="A133" s="3" t="s">
        <v>1230</v>
      </c>
      <c r="B133" s="10" t="s">
        <v>42</v>
      </c>
      <c r="C133" s="63" t="n">
        <f aca="false">C131</f>
        <v>0.367044822849136</v>
      </c>
      <c r="D133" s="63" t="n">
        <f aca="false">D131</f>
        <v>0.294888665935896</v>
      </c>
      <c r="E133" s="63" t="n">
        <f aca="false">E131</f>
        <v>0.254149307357448</v>
      </c>
      <c r="F133" s="63" t="n">
        <f aca="false">F131</f>
        <v>0.235711545467367</v>
      </c>
      <c r="G133" s="63" t="n">
        <f aca="false">G131</f>
        <v>0.22763395194089</v>
      </c>
      <c r="I133" s="10" t="s">
        <v>1172</v>
      </c>
    </row>
    <row r="135" customFormat="false" ht="15" hidden="false" customHeight="false" outlineLevel="0" collapsed="false">
      <c r="A135" s="46" t="s">
        <v>1231</v>
      </c>
      <c r="B135" s="7"/>
      <c r="C135" s="7"/>
      <c r="D135" s="7"/>
      <c r="E135" s="7"/>
      <c r="F135" s="7"/>
      <c r="G135" s="7"/>
      <c r="H135" s="7"/>
    </row>
    <row r="136" customFormat="false" ht="15" hidden="false" customHeight="false" outlineLevel="1" collapsed="false">
      <c r="A136" s="13" t="s">
        <v>50</v>
      </c>
      <c r="B136" s="13" t="s">
        <v>51</v>
      </c>
      <c r="C136" s="14" t="s">
        <v>52</v>
      </c>
      <c r="D136" s="14" t="s">
        <v>53</v>
      </c>
      <c r="E136" s="14" t="s">
        <v>54</v>
      </c>
      <c r="F136" s="14" t="s">
        <v>139</v>
      </c>
      <c r="G136" s="14" t="s">
        <v>140</v>
      </c>
      <c r="I136" s="13" t="s">
        <v>1073</v>
      </c>
    </row>
    <row r="137" customFormat="false" ht="15" hidden="false" customHeight="false" outlineLevel="1" collapsed="false">
      <c r="A137" s="3" t="s">
        <v>1232</v>
      </c>
      <c r="B137" s="10" t="s">
        <v>235</v>
      </c>
      <c r="C137" s="50" t="n">
        <f aca="false">CHOOSE(輸入與假設!$C$5,C58,C88,C118)</f>
        <v>10.3168958657729</v>
      </c>
      <c r="D137" s="50" t="n">
        <f aca="false">CHOOSE(輸入與假設!$C$5,D58,D88,D118)</f>
        <v>10.7986958435829</v>
      </c>
      <c r="E137" s="50" t="n">
        <f aca="false">CHOOSE(輸入與假設!$C$5,E58,E88,E118)</f>
        <v>11.2443082082066</v>
      </c>
      <c r="F137" s="50" t="n">
        <f aca="false">CHOOSE(輸入與假設!$C$5,F58,F88,F118)</f>
        <v>11.5194549974433</v>
      </c>
      <c r="G137" s="50" t="n">
        <f aca="false">CHOOSE(輸入與假設!$C$5,G58,G88,G118)</f>
        <v>11.6667533010914</v>
      </c>
    </row>
    <row r="138" customFormat="false" ht="15" hidden="false" customHeight="false" outlineLevel="1" collapsed="false">
      <c r="A138" s="3" t="s">
        <v>1233</v>
      </c>
      <c r="B138" s="10" t="s">
        <v>42</v>
      </c>
      <c r="C138" s="63" t="n">
        <f aca="false">CHOOSE(輸入與假設!$C$5,C61,C91,C121)</f>
        <v>0.540656973613355</v>
      </c>
      <c r="D138" s="63" t="n">
        <f aca="false">CHOOSE(輸入與假設!$C$5,D61,D91,D121)</f>
        <v>0.518606024808033</v>
      </c>
      <c r="E138" s="63" t="n">
        <f aca="false">CHOOSE(輸入與假設!$C$5,E61,E91,E121)</f>
        <v>0.30812423232146</v>
      </c>
      <c r="F138" s="63" t="n">
        <f aca="false">CHOOSE(輸入與假設!$C$5,F61,F91,F121)</f>
        <v>0.221717171717172</v>
      </c>
      <c r="G138" s="63" t="n">
        <f aca="false">CHOOSE(輸入與假設!$C$5,G61,G91,G121)</f>
        <v>0.175459632294165</v>
      </c>
    </row>
    <row r="139" customFormat="false" ht="15" hidden="false" customHeight="false" outlineLevel="1" collapsed="false">
      <c r="A139" s="3" t="s">
        <v>1234</v>
      </c>
      <c r="B139" s="5" t="s">
        <v>1075</v>
      </c>
      <c r="C139" s="50" t="n">
        <f aca="false">CHOOSE(輸入與假設!$C$5,C62,C92,C122)</f>
        <v>0.891019087752599</v>
      </c>
      <c r="D139" s="50" t="n">
        <f aca="false">CHOOSE(輸入與假設!$C$5,D62,D92,D122)</f>
        <v>0.891019087752599</v>
      </c>
      <c r="E139" s="50" t="n">
        <f aca="false">CHOOSE(輸入與假設!$C$5,E62,E92,E122)</f>
        <v>0.891019087752599</v>
      </c>
      <c r="F139" s="50" t="n">
        <f aca="false">CHOOSE(輸入與假設!$C$5,F62,F92,F122)</f>
        <v>0.891019087752599</v>
      </c>
      <c r="G139" s="50" t="n">
        <f aca="false">CHOOSE(輸入與假設!$C$5,G62,G92,G122)</f>
        <v>0.891019087752599</v>
      </c>
    </row>
    <row r="140" customFormat="false" ht="15" hidden="false" customHeight="false" outlineLevel="1" collapsed="false">
      <c r="A140" s="2" t="s">
        <v>1235</v>
      </c>
      <c r="B140" s="10" t="s">
        <v>235</v>
      </c>
      <c r="C140" s="51" t="n">
        <f aca="false">CHOOSE(輸入與假設!$C$5,C63,C93,C123)</f>
        <v>9.1925511427595</v>
      </c>
      <c r="D140" s="51" t="n">
        <f aca="false">CHOOSE(輸入與假設!$C$5,D63,D93,D123)</f>
        <v>9.62184411946704</v>
      </c>
      <c r="E140" s="51" t="n">
        <f aca="false">CHOOSE(輸入與假設!$C$5,E63,E93,E123)</f>
        <v>10.0188932420853</v>
      </c>
      <c r="F140" s="51" t="n">
        <f aca="false">CHOOSE(輸入與假設!$C$5,F63,F93,F123)</f>
        <v>10.264054283229</v>
      </c>
      <c r="G140" s="51" t="n">
        <f aca="false">CHOOSE(輸入與假設!$C$5,G63,G93,G123)</f>
        <v>10.3952998833731</v>
      </c>
    </row>
    <row r="141" customFormat="false" ht="15" hidden="false" customHeight="false" outlineLevel="1" collapsed="false">
      <c r="A141" s="3" t="s">
        <v>1236</v>
      </c>
      <c r="B141" s="10" t="s">
        <v>42</v>
      </c>
      <c r="C141" s="63" t="n">
        <f aca="false">CHOOSE(輸入與假設!$C$5,C69,C99,C129)</f>
        <v>0.174266408930974</v>
      </c>
      <c r="D141" s="63" t="n">
        <f aca="false">CHOOSE(輸入與假設!$C$5,D69,D99,D129)</f>
        <v>0.145025755346545</v>
      </c>
      <c r="E141" s="63" t="n">
        <f aca="false">CHOOSE(輸入與假設!$C$5,E69,E99,E129)</f>
        <v>0.125638262652627</v>
      </c>
      <c r="F141" s="63" t="n">
        <f aca="false">CHOOSE(輸入與假設!$C$5,F69,F99,F129)</f>
        <v>0.116357622722144</v>
      </c>
      <c r="G141" s="63" t="n">
        <f aca="false">CHOOSE(輸入與假設!$C$5,G69,G99,G129)</f>
        <v>0.112085710951142</v>
      </c>
    </row>
    <row r="142" customFormat="false" ht="15" hidden="false" customHeight="false" outlineLevel="1" collapsed="false">
      <c r="A142" s="3" t="s">
        <v>1237</v>
      </c>
      <c r="B142" s="10" t="s">
        <v>42</v>
      </c>
      <c r="C142" s="63" t="n">
        <f aca="false">CHOOSE(輸入與假設!$C$5,C70,C100,C130)</f>
        <v>0.290444014884957</v>
      </c>
      <c r="D142" s="63" t="n">
        <f aca="false">CHOOSE(輸入與假設!$C$5,D70,D100,D130)</f>
        <v>0.241709592244242</v>
      </c>
      <c r="E142" s="63" t="n">
        <f aca="false">CHOOSE(輸入與假設!$C$5,E70,E100,E130)</f>
        <v>0.209397104421045</v>
      </c>
      <c r="F142" s="63" t="n">
        <f aca="false">CHOOSE(輸入與假設!$C$5,F70,F100,F130)</f>
        <v>0.193929371203574</v>
      </c>
      <c r="G142" s="63" t="n">
        <f aca="false">CHOOSE(輸入與假設!$C$5,G70,G100,G130)</f>
        <v>0.186809518251904</v>
      </c>
    </row>
    <row r="143" customFormat="false" ht="15" hidden="false" customHeight="false" outlineLevel="1" collapsed="false">
      <c r="A143" s="3" t="s">
        <v>1238</v>
      </c>
      <c r="B143" s="10" t="s">
        <v>42</v>
      </c>
      <c r="C143" s="63" t="n">
        <f aca="false">CHOOSE(輸入與假設!$C$5,C71,C101,C131)</f>
        <v>0.367044822849136</v>
      </c>
      <c r="D143" s="63" t="n">
        <f aca="false">CHOOSE(輸入與假設!$C$5,D71,D101,D131)</f>
        <v>0.303815341942561</v>
      </c>
      <c r="E143" s="63" t="n">
        <f aca="false">CHOOSE(輸入與假設!$C$5,E71,E101,E131)</f>
        <v>0.261872182519752</v>
      </c>
      <c r="F143" s="63" t="n">
        <f aca="false">CHOOSE(輸入與假設!$C$5,F71,F101,F131)</f>
        <v>0.24187248030386</v>
      </c>
      <c r="G143" s="63" t="n">
        <f aca="false">CHOOSE(輸入與假設!$C$5,G71,G101,G131)</f>
        <v>0.232702848779074</v>
      </c>
    </row>
    <row r="144" customFormat="false" ht="15" hidden="false" customHeight="false" outlineLevel="1" collapsed="false">
      <c r="A144" s="3" t="s">
        <v>1239</v>
      </c>
      <c r="B144" s="10" t="s">
        <v>42</v>
      </c>
      <c r="C144" s="63" t="n">
        <f aca="false">CHOOSE(輸入與假設!$C$5,C72,C102,C132)</f>
        <v>0.367044822849136</v>
      </c>
      <c r="D144" s="63" t="n">
        <f aca="false">CHOOSE(輸入與假設!$C$5,D72,D102,D132)</f>
        <v>0.303815341942561</v>
      </c>
      <c r="E144" s="63" t="n">
        <f aca="false">CHOOSE(輸入與假設!$C$5,E72,E102,E132)</f>
        <v>0.261872182519752</v>
      </c>
      <c r="F144" s="63" t="n">
        <f aca="false">CHOOSE(輸入與假設!$C$5,F72,F102,F132)</f>
        <v>0.24187248030386</v>
      </c>
      <c r="G144" s="63" t="n">
        <f aca="false">CHOOSE(輸入與假設!$C$5,G72,G102,G132)</f>
        <v>0.232702848779074</v>
      </c>
    </row>
    <row r="145" customFormat="false" ht="15" hidden="false" customHeight="false" outlineLevel="1" collapsed="false">
      <c r="A145" s="3" t="s">
        <v>1240</v>
      </c>
      <c r="B145" s="10" t="s">
        <v>42</v>
      </c>
      <c r="C145" s="63" t="n">
        <f aca="false">CHOOSE(輸入與假設!$C$5,C73,C103,C133)</f>
        <v>0.367044822849136</v>
      </c>
      <c r="D145" s="63" t="n">
        <f aca="false">CHOOSE(輸入與假設!$C$5,D73,D103,D133)</f>
        <v>0.303815341942561</v>
      </c>
      <c r="E145" s="63" t="n">
        <f aca="false">CHOOSE(輸入與假設!$C$5,E73,E103,E133)</f>
        <v>0.261872182519752</v>
      </c>
      <c r="F145" s="63" t="n">
        <f aca="false">CHOOSE(輸入與假設!$C$5,F73,F103,F133)</f>
        <v>0.24187248030386</v>
      </c>
      <c r="G145" s="63" t="n">
        <f aca="false">CHOOSE(輸入與假設!$C$5,G73,G103,G133)</f>
        <v>0.232702848779074</v>
      </c>
    </row>
    <row r="146" customFormat="false" ht="15" hidden="false" customHeight="false" outlineLevel="1" collapsed="false">
      <c r="A146" s="3" t="s">
        <v>1241</v>
      </c>
      <c r="B146" s="10" t="s">
        <v>42</v>
      </c>
      <c r="C146" s="63" t="n">
        <f aca="false">MAX(C145:G145)</f>
        <v>0.367044822849136</v>
      </c>
      <c r="D146" s="63"/>
      <c r="E146" s="63"/>
      <c r="F146" s="63"/>
      <c r="G146" s="63"/>
    </row>
    <row r="148" customFormat="false" ht="15" hidden="false" customHeight="false" outlineLevel="0" collapsed="false">
      <c r="A148" s="6" t="s">
        <v>1242</v>
      </c>
      <c r="B148" s="7"/>
      <c r="C148" s="7"/>
      <c r="D148" s="7"/>
      <c r="E148" s="7"/>
      <c r="F148" s="7"/>
      <c r="G148" s="7"/>
      <c r="H148" s="7"/>
    </row>
    <row r="149" customFormat="false" ht="17.15" hidden="false" customHeight="false" outlineLevel="1" collapsed="false">
      <c r="A149" s="13" t="s">
        <v>1243</v>
      </c>
      <c r="B149" s="13" t="s">
        <v>51</v>
      </c>
      <c r="C149" s="13" t="s">
        <v>1244</v>
      </c>
      <c r="D149" s="14" t="s">
        <v>1245</v>
      </c>
      <c r="E149" s="13" t="s">
        <v>1246</v>
      </c>
      <c r="F149" s="13" t="s">
        <v>1247</v>
      </c>
      <c r="I149" s="13" t="s">
        <v>1248</v>
      </c>
    </row>
    <row r="150" customFormat="false" ht="15" hidden="false" customHeight="false" outlineLevel="1" collapsed="false">
      <c r="A150" s="3" t="s">
        <v>1249</v>
      </c>
      <c r="B150" s="10" t="s">
        <v>1250</v>
      </c>
      <c r="C150" s="75" t="n">
        <v>9.7</v>
      </c>
      <c r="D150" s="22" t="n">
        <f aca="false">TK_HoldEcon_GB300</f>
        <v>10.8864110021101</v>
      </c>
      <c r="E150" s="50" t="n">
        <f aca="false">C150/D150</f>
        <v>0.891019087752599</v>
      </c>
      <c r="F150" s="3" t="s">
        <v>1251</v>
      </c>
      <c r="I150" s="10" t="s">
        <v>1252</v>
      </c>
    </row>
    <row r="151" customFormat="false" ht="15" hidden="false" customHeight="false" outlineLevel="1" collapsed="false">
      <c r="A151" s="3" t="s">
        <v>1253</v>
      </c>
      <c r="B151" s="10" t="s">
        <v>1250</v>
      </c>
      <c r="C151" s="75" t="n">
        <v>11.333</v>
      </c>
      <c r="D151" s="22" t="n">
        <f aca="false">TK_HoldEcon_GB300</f>
        <v>10.8864110021101</v>
      </c>
      <c r="E151" s="50" t="n">
        <f aca="false">C151/D151</f>
        <v>1.04102261046394</v>
      </c>
      <c r="F151" s="3" t="s">
        <v>1254</v>
      </c>
      <c r="I151" s="10" t="s">
        <v>1255</v>
      </c>
    </row>
    <row r="152" customFormat="false" ht="15" hidden="false" customHeight="false" outlineLevel="1" collapsed="false">
      <c r="A152" s="3" t="s">
        <v>1256</v>
      </c>
      <c r="B152" s="10" t="s">
        <v>1250</v>
      </c>
      <c r="C152" s="75" t="n">
        <v>13.333</v>
      </c>
      <c r="D152" s="22" t="n">
        <f aca="false">TK_HoldEcon_GB300</f>
        <v>10.8864110021101</v>
      </c>
      <c r="E152" s="50" t="n">
        <f aca="false">C152/D152</f>
        <v>1.22473788628922</v>
      </c>
      <c r="F152" s="3" t="s">
        <v>1257</v>
      </c>
      <c r="I152" s="10" t="s">
        <v>1258</v>
      </c>
    </row>
    <row r="153" customFormat="false" ht="15" hidden="false" customHeight="false" outlineLevel="1" collapsed="false">
      <c r="A153" s="3" t="s">
        <v>1259</v>
      </c>
      <c r="B153" s="10" t="s">
        <v>1260</v>
      </c>
      <c r="C153" s="75" t="n">
        <v>2.82</v>
      </c>
      <c r="D153" s="22" t="n">
        <f aca="false">TK_GPUhrEcon_H100</f>
        <v>1.54259654785589</v>
      </c>
      <c r="E153" s="50" t="n">
        <f aca="false">C153/D153</f>
        <v>1.82808654921445</v>
      </c>
      <c r="F153" s="3" t="s">
        <v>1261</v>
      </c>
      <c r="I153" s="10" t="s">
        <v>1262</v>
      </c>
    </row>
    <row r="154" customFormat="false" ht="15" hidden="false" customHeight="false" outlineLevel="1" collapsed="false">
      <c r="A154" s="3" t="s">
        <v>1263</v>
      </c>
      <c r="B154" s="10" t="s">
        <v>1260</v>
      </c>
      <c r="C154" s="75" t="n">
        <v>6.82</v>
      </c>
      <c r="D154" s="22" t="n">
        <f aca="false">TK_GPUhrEcon_GB300</f>
        <v>2.55178761329595</v>
      </c>
      <c r="E154" s="50" t="n">
        <f aca="false">C154/D154</f>
        <v>2.67263621959162</v>
      </c>
      <c r="F154" s="3" t="s">
        <v>1254</v>
      </c>
      <c r="I154" s="10" t="s">
        <v>1264</v>
      </c>
    </row>
    <row r="155" customFormat="false" ht="15" hidden="false" customHeight="false" outlineLevel="1" collapsed="false">
      <c r="A155" s="3" t="s">
        <v>1265</v>
      </c>
      <c r="B155" s="10" t="s">
        <v>1260</v>
      </c>
      <c r="C155" s="75" t="n">
        <v>4.08</v>
      </c>
      <c r="D155" s="22" t="n">
        <f aca="false">TK_GPUhrEcon_GB200</f>
        <v>2.00846099652078</v>
      </c>
      <c r="E155" s="50" t="n">
        <f aca="false">C155/D155</f>
        <v>2.03140613985918</v>
      </c>
      <c r="F155" s="3" t="s">
        <v>1254</v>
      </c>
      <c r="I155" s="10" t="s">
        <v>1266</v>
      </c>
    </row>
    <row r="156" customFormat="false" ht="15" hidden="false" customHeight="false" outlineLevel="1" collapsed="false">
      <c r="A156" s="3" t="s">
        <v>1267</v>
      </c>
      <c r="B156" s="10" t="s">
        <v>1260</v>
      </c>
      <c r="C156" s="75" t="n">
        <v>5.87</v>
      </c>
      <c r="D156" s="22" t="n">
        <f aca="false">TK_GPUhrEcon_GB200</f>
        <v>2.00846099652078</v>
      </c>
      <c r="E156" s="50" t="n">
        <f aca="false">C156/D156</f>
        <v>2.92263579435622</v>
      </c>
      <c r="F156" s="3" t="s">
        <v>1257</v>
      </c>
      <c r="I156" s="10" t="s">
        <v>1268</v>
      </c>
    </row>
    <row r="157" customFormat="false" ht="15" hidden="false" customHeight="false" outlineLevel="1" collapsed="false">
      <c r="A157" s="3" t="s">
        <v>1269</v>
      </c>
      <c r="B157" s="10" t="s">
        <v>1260</v>
      </c>
      <c r="C157" s="75" t="n">
        <v>4.5</v>
      </c>
      <c r="D157" s="22" t="n">
        <f aca="false">TK_GPUhrEcon_H100</f>
        <v>1.54259654785589</v>
      </c>
      <c r="E157" s="50" t="n">
        <f aca="false">C157/D157</f>
        <v>2.91715938704434</v>
      </c>
      <c r="F157" s="3" t="s">
        <v>1257</v>
      </c>
      <c r="I157" s="10" t="s">
        <v>1270</v>
      </c>
    </row>
    <row r="158" customFormat="false" ht="15" hidden="false" customHeight="false" outlineLevel="1" collapsed="false">
      <c r="A158" s="3" t="s">
        <v>1271</v>
      </c>
      <c r="B158" s="10" t="s">
        <v>1260</v>
      </c>
      <c r="C158" s="75" t="n">
        <v>5.4</v>
      </c>
      <c r="D158" s="22" t="n">
        <f aca="false">TK_GPUhrEcon_H100</f>
        <v>1.54259654785589</v>
      </c>
      <c r="E158" s="50" t="n">
        <f aca="false">C158/D158</f>
        <v>3.50059126445321</v>
      </c>
      <c r="F158" s="3" t="s">
        <v>1257</v>
      </c>
      <c r="I158" s="10" t="s">
        <v>1272</v>
      </c>
    </row>
    <row r="159" customFormat="false" ht="15" hidden="false" customHeight="false" outlineLevel="1" collapsed="false">
      <c r="A159" s="3" t="s">
        <v>1273</v>
      </c>
      <c r="B159" s="10" t="s">
        <v>1260</v>
      </c>
      <c r="C159" s="75" t="n">
        <v>9.5</v>
      </c>
      <c r="D159" s="22" t="n">
        <f aca="false">TK_GPUhrEcon_GB300</f>
        <v>2.55178761329595</v>
      </c>
      <c r="E159" s="50" t="n">
        <f aca="false">C159/D159</f>
        <v>3.72288036453378</v>
      </c>
      <c r="F159" s="3" t="s">
        <v>1257</v>
      </c>
      <c r="I159" s="10" t="s">
        <v>1274</v>
      </c>
    </row>
    <row r="160" customFormat="false" ht="15" hidden="false" customHeight="false" outlineLevel="1" collapsed="false">
      <c r="A160" s="3" t="s">
        <v>1275</v>
      </c>
      <c r="B160" s="10" t="s">
        <v>1260</v>
      </c>
      <c r="C160" s="75" t="n">
        <v>3.973</v>
      </c>
      <c r="D160" s="22" t="n">
        <f aca="false">TK_GPUhrEcon_GB300</f>
        <v>2.55178761329595</v>
      </c>
      <c r="E160" s="50" t="n">
        <f aca="false">C160/D160</f>
        <v>1.55694775666239</v>
      </c>
      <c r="F160" s="3" t="s">
        <v>1257</v>
      </c>
      <c r="I160" s="10" t="s">
        <v>1276</v>
      </c>
    </row>
    <row r="161" customFormat="false" ht="15" hidden="false" customHeight="false" outlineLevel="1" collapsed="false">
      <c r="A161" s="3" t="s">
        <v>1277</v>
      </c>
      <c r="B161" s="10" t="s">
        <v>56</v>
      </c>
      <c r="C161" s="68" t="n">
        <v>40</v>
      </c>
      <c r="I161" s="10" t="s">
        <v>1278</v>
      </c>
    </row>
    <row r="162" customFormat="false" ht="15" hidden="false" customHeight="false" outlineLevel="1" collapsed="false">
      <c r="A162" s="3" t="s">
        <v>1279</v>
      </c>
      <c r="B162" s="5"/>
      <c r="C162" s="76" t="s">
        <v>1280</v>
      </c>
      <c r="I162" s="5" t="s">
        <v>1281</v>
      </c>
    </row>
    <row r="163" customFormat="false" ht="15" hidden="false" customHeight="false" outlineLevel="1" collapsed="false">
      <c r="A163" s="3" t="s">
        <v>1282</v>
      </c>
      <c r="B163" s="5" t="s">
        <v>1283</v>
      </c>
      <c r="C163" s="68" t="n">
        <v>0.35</v>
      </c>
      <c r="I163" s="10" t="s">
        <v>1284</v>
      </c>
    </row>
    <row r="164" customFormat="false" ht="15" hidden="false" customHeight="false" outlineLevel="1" collapsed="false">
      <c r="A164" s="5" t="s">
        <v>1280</v>
      </c>
      <c r="I164" s="10" t="s">
        <v>1285</v>
      </c>
    </row>
    <row r="165" customFormat="false" ht="15" hidden="false" customHeight="false" outlineLevel="1" collapsed="false">
      <c r="A165" s="5" t="s">
        <v>1280</v>
      </c>
      <c r="I165" s="5" t="s">
        <v>1286</v>
      </c>
    </row>
    <row r="166" customFormat="false" ht="15" hidden="false" customHeight="false" outlineLevel="1" collapsed="false">
      <c r="A166" s="5" t="s">
        <v>1280</v>
      </c>
      <c r="I166" s="10" t="s">
        <v>1287</v>
      </c>
    </row>
    <row r="168" customFormat="false" ht="15" hidden="false" customHeight="false" outlineLevel="0" collapsed="false">
      <c r="A168" s="6" t="s">
        <v>1288</v>
      </c>
      <c r="B168" s="7"/>
      <c r="C168" s="7"/>
      <c r="D168" s="7"/>
      <c r="E168" s="7"/>
      <c r="F168" s="7"/>
      <c r="G168" s="7"/>
      <c r="H168" s="7"/>
    </row>
    <row r="169" customFormat="false" ht="15" hidden="false" customHeight="false" outlineLevel="1" collapsed="false">
      <c r="A169" s="13" t="s">
        <v>50</v>
      </c>
      <c r="B169" s="13" t="s">
        <v>51</v>
      </c>
      <c r="C169" s="14" t="s">
        <v>52</v>
      </c>
      <c r="D169" s="14" t="s">
        <v>53</v>
      </c>
      <c r="E169" s="14" t="s">
        <v>54</v>
      </c>
      <c r="F169" s="14" t="s">
        <v>139</v>
      </c>
      <c r="G169" s="14" t="s">
        <v>140</v>
      </c>
      <c r="I169" s="13" t="s">
        <v>1073</v>
      </c>
    </row>
    <row r="170" customFormat="false" ht="15" hidden="false" customHeight="false" outlineLevel="1" collapsed="false">
      <c r="A170" s="3" t="s">
        <v>1289</v>
      </c>
      <c r="B170" s="10" t="s">
        <v>235</v>
      </c>
      <c r="C170" s="75" t="n">
        <v>11.62</v>
      </c>
      <c r="D170" s="75" t="n">
        <v>11.62</v>
      </c>
      <c r="E170" s="75" t="n">
        <v>11.62</v>
      </c>
      <c r="F170" s="75" t="n">
        <v>11.62</v>
      </c>
      <c r="G170" s="75" t="n">
        <v>11.62</v>
      </c>
      <c r="I170" s="10" t="s">
        <v>1290</v>
      </c>
    </row>
    <row r="171" customFormat="false" ht="15" hidden="false" customHeight="false" outlineLevel="1" collapsed="false">
      <c r="A171" s="3" t="s">
        <v>1291</v>
      </c>
      <c r="B171" s="10" t="s">
        <v>235</v>
      </c>
      <c r="C171" s="75" t="n">
        <v>17.4</v>
      </c>
      <c r="D171" s="75" t="n">
        <v>17.4</v>
      </c>
      <c r="E171" s="75" t="n">
        <v>17.4</v>
      </c>
      <c r="F171" s="75" t="n">
        <v>17.4</v>
      </c>
      <c r="G171" s="75" t="n">
        <v>17.4</v>
      </c>
    </row>
    <row r="172" customFormat="false" ht="15" hidden="false" customHeight="false" outlineLevel="1" collapsed="false">
      <c r="A172" s="3" t="s">
        <v>1292</v>
      </c>
      <c r="B172" s="10" t="s">
        <v>235</v>
      </c>
      <c r="C172" s="75" t="n">
        <v>24.2</v>
      </c>
      <c r="D172" s="75" t="n">
        <v>24.2</v>
      </c>
      <c r="E172" s="75" t="n">
        <v>24.2</v>
      </c>
      <c r="F172" s="75" t="n">
        <v>24.2</v>
      </c>
      <c r="G172" s="75" t="n">
        <v>24.2</v>
      </c>
    </row>
    <row r="173" customFormat="false" ht="15" hidden="false" customHeight="false" outlineLevel="1" collapsed="false">
      <c r="A173" s="3" t="s">
        <v>1293</v>
      </c>
      <c r="B173" s="10" t="s">
        <v>42</v>
      </c>
      <c r="C173" s="63" t="n">
        <f aca="false">C140/CHOOSE(輸入與假設!$C$5,C170,C171,C172)-1</f>
        <v>-0.471692463059799</v>
      </c>
      <c r="D173" s="63" t="n">
        <f aca="false">D140/CHOOSE(輸入與假設!$C$5,D170,D171,D172)-1</f>
        <v>-0.447020452904193</v>
      </c>
      <c r="E173" s="63" t="n">
        <f aca="false">E140/CHOOSE(輸入與假設!$C$5,E170,E171,E172)-1</f>
        <v>-0.424201537811188</v>
      </c>
      <c r="F173" s="63" t="n">
        <f aca="false">F140/CHOOSE(輸入與假設!$C$5,F170,F171,F172)-1</f>
        <v>-0.410111822802929</v>
      </c>
      <c r="G173" s="63" t="n">
        <f aca="false">G140/CHOOSE(輸入與假設!$C$5,G170,G171,G172)-1</f>
        <v>-0.402568972219939</v>
      </c>
    </row>
    <row r="174" customFormat="false" ht="15" hidden="false" customHeight="false" outlineLevel="1" collapsed="false">
      <c r="A174" s="3" t="s">
        <v>1294</v>
      </c>
      <c r="B174" s="10" t="s">
        <v>235</v>
      </c>
      <c r="C174" s="50" t="n">
        <f aca="false">C137*(1+0.15)/(1-0.08)</f>
        <v>12.8961198322161</v>
      </c>
      <c r="D174" s="50" t="n">
        <f aca="false">D137*(1+0.15)/(1-0.08)</f>
        <v>13.4983698044787</v>
      </c>
      <c r="E174" s="50" t="n">
        <f aca="false">E137*(1+0.15)/(1-0.08)</f>
        <v>14.0553852602583</v>
      </c>
      <c r="F174" s="50" t="n">
        <f aca="false">F137*(1+0.15)/(1-0.08)</f>
        <v>14.3993187468041</v>
      </c>
      <c r="G174" s="50" t="n">
        <f aca="false">G137*(1+0.15)/(1-0.08)</f>
        <v>14.5834416263642</v>
      </c>
      <c r="I174" s="10" t="s">
        <v>1295</v>
      </c>
    </row>
    <row r="175" customFormat="false" ht="15" hidden="false" customHeight="false" outlineLevel="1" collapsed="false">
      <c r="A175" s="3" t="s">
        <v>1296</v>
      </c>
      <c r="B175" s="10" t="s">
        <v>235</v>
      </c>
      <c r="C175" s="75" t="n">
        <v>20</v>
      </c>
      <c r="D175" s="75" t="n">
        <v>25</v>
      </c>
      <c r="E175" s="75"/>
      <c r="F175" s="75"/>
      <c r="G175" s="75"/>
      <c r="I175" s="5" t="s">
        <v>1297</v>
      </c>
    </row>
    <row r="177" customFormat="false" ht="15" hidden="false" customHeight="false" outlineLevel="0" collapsed="false">
      <c r="A177" s="6" t="s">
        <v>1298</v>
      </c>
      <c r="B177" s="7"/>
      <c r="C177" s="7"/>
      <c r="D177" s="7"/>
      <c r="E177" s="7"/>
      <c r="F177" s="7"/>
      <c r="G177" s="7"/>
      <c r="H177" s="7"/>
    </row>
    <row r="178" customFormat="false" ht="15" hidden="false" customHeight="false" outlineLevel="1" collapsed="false">
      <c r="A178" s="13" t="s">
        <v>50</v>
      </c>
      <c r="B178" s="13" t="s">
        <v>51</v>
      </c>
      <c r="C178" s="13" t="s">
        <v>501</v>
      </c>
      <c r="I178" s="13" t="s">
        <v>1299</v>
      </c>
    </row>
    <row r="179" customFormat="false" ht="15" hidden="false" customHeight="false" outlineLevel="1" collapsed="false">
      <c r="A179" s="4" t="s">
        <v>1300</v>
      </c>
      <c r="B179" s="10" t="s">
        <v>56</v>
      </c>
      <c r="C179" s="62" t="n">
        <f aca="false">輸入與假設!$C$31*4</f>
        <v>2.3292</v>
      </c>
      <c r="I179" s="5" t="s">
        <v>1301</v>
      </c>
    </row>
    <row r="180" customFormat="false" ht="15" hidden="false" customHeight="false" outlineLevel="1" collapsed="false">
      <c r="A180" s="4" t="s">
        <v>1302</v>
      </c>
      <c r="B180" s="10" t="s">
        <v>143</v>
      </c>
      <c r="C180" s="64" t="n">
        <f aca="false">$C$21</f>
        <v>366</v>
      </c>
      <c r="I180" s="5" t="s">
        <v>1303</v>
      </c>
    </row>
    <row r="181" customFormat="false" ht="15" hidden="false" customHeight="false" outlineLevel="1" collapsed="false">
      <c r="A181" s="4" t="s">
        <v>1304</v>
      </c>
      <c r="B181" s="10" t="s">
        <v>143</v>
      </c>
      <c r="C181" s="64" t="n">
        <f aca="false">輸入與假設!$C$32</f>
        <v>253</v>
      </c>
      <c r="I181" s="5" t="s">
        <v>1305</v>
      </c>
    </row>
    <row r="182" customFormat="false" ht="15" hidden="false" customHeight="false" outlineLevel="1" collapsed="false">
      <c r="A182" s="4" t="s">
        <v>1306</v>
      </c>
      <c r="B182" s="10" t="s">
        <v>235</v>
      </c>
      <c r="C182" s="50" t="n">
        <f aca="false">$C$179/$C$180*1000</f>
        <v>6.36393442622951</v>
      </c>
      <c r="I182" s="5" t="s">
        <v>1307</v>
      </c>
    </row>
    <row r="183" customFormat="false" ht="15" hidden="false" customHeight="false" outlineLevel="1" collapsed="false">
      <c r="A183" s="4" t="s">
        <v>1308</v>
      </c>
      <c r="B183" s="10" t="s">
        <v>235</v>
      </c>
      <c r="C183" s="50" t="n">
        <f aca="false">$C$179/$C$181*1000</f>
        <v>9.20632411067194</v>
      </c>
      <c r="I183" s="5" t="s">
        <v>1309</v>
      </c>
    </row>
    <row r="184" customFormat="false" ht="15" hidden="false" customHeight="false" outlineLevel="1" collapsed="false">
      <c r="A184" s="4" t="s">
        <v>1310</v>
      </c>
      <c r="B184" s="10" t="s">
        <v>235</v>
      </c>
      <c r="C184" s="50" t="n">
        <f aca="false">$E$16*$C$16+$E$17*$C$17+$E$18*$C$18+$E$19*$C$19</f>
        <v>10.1640137287643</v>
      </c>
    </row>
    <row r="185" customFormat="false" ht="15" hidden="false" customHeight="false" outlineLevel="1" collapsed="false">
      <c r="A185" s="4" t="s">
        <v>1311</v>
      </c>
      <c r="B185" s="5" t="s">
        <v>1075</v>
      </c>
      <c r="C185" s="50" t="n">
        <f aca="false">$C$182/$C$184</f>
        <v>0.626124147020727</v>
      </c>
      <c r="I185" s="5" t="s">
        <v>1312</v>
      </c>
    </row>
    <row r="186" customFormat="false" ht="15" hidden="false" customHeight="false" outlineLevel="1" collapsed="false">
      <c r="A186" s="4" t="s">
        <v>1313</v>
      </c>
      <c r="B186" s="5" t="s">
        <v>1075</v>
      </c>
      <c r="C186" s="50" t="n">
        <f aca="false">$C$183/$C$184</f>
        <v>0.905776434029984</v>
      </c>
    </row>
    <row r="187" customFormat="false" ht="15" hidden="false" customHeight="false" outlineLevel="1" collapsed="false">
      <c r="A187" s="2" t="s">
        <v>1314</v>
      </c>
      <c r="B187" s="10" t="s">
        <v>235</v>
      </c>
      <c r="C187" s="51" t="n">
        <f aca="false">C140</f>
        <v>9.1925511427595</v>
      </c>
    </row>
    <row r="188" customFormat="false" ht="15" hidden="false" customHeight="false" outlineLevel="1" collapsed="false">
      <c r="A188" s="3" t="s">
        <v>1315</v>
      </c>
      <c r="B188" s="10" t="s">
        <v>235</v>
      </c>
      <c r="C188" s="50" t="n">
        <f aca="false">C137</f>
        <v>10.3168958657729</v>
      </c>
    </row>
    <row r="189" customFormat="false" ht="15" hidden="false" customHeight="false" outlineLevel="1" collapsed="false">
      <c r="A189" s="3" t="s">
        <v>1316</v>
      </c>
      <c r="B189" s="5" t="s">
        <v>1075</v>
      </c>
      <c r="C189" s="50" t="n">
        <f aca="false">C139</f>
        <v>0.891019087752599</v>
      </c>
    </row>
    <row r="190" customFormat="false" ht="15" hidden="false" customHeight="false" outlineLevel="1" collapsed="false">
      <c r="A190" s="2" t="s">
        <v>1317</v>
      </c>
      <c r="B190" s="10" t="s">
        <v>235</v>
      </c>
      <c r="C190" s="51" t="n">
        <f aca="false">$C$187-$C$182</f>
        <v>2.82861671652999</v>
      </c>
    </row>
    <row r="191" customFormat="false" ht="15" hidden="false" customHeight="false" outlineLevel="1" collapsed="false">
      <c r="A191" s="3" t="s">
        <v>1318</v>
      </c>
      <c r="B191" s="10" t="s">
        <v>42</v>
      </c>
      <c r="C191" s="63" t="n">
        <f aca="false">$C$190/$C$182</f>
        <v>0.444476094045156</v>
      </c>
    </row>
    <row r="192" customFormat="false" ht="15" hidden="false" customHeight="false" outlineLevel="1" collapsed="false">
      <c r="A192" s="4" t="s">
        <v>1319</v>
      </c>
      <c r="B192" s="10" t="s">
        <v>235</v>
      </c>
      <c r="C192" s="50" t="n">
        <f aca="false">$C$183-$C$182</f>
        <v>2.84238968444243</v>
      </c>
      <c r="I192" s="5" t="s">
        <v>1320</v>
      </c>
    </row>
    <row r="193" customFormat="false" ht="15" hidden="false" customHeight="false" outlineLevel="1" collapsed="false">
      <c r="A193" s="4" t="s">
        <v>1321</v>
      </c>
      <c r="B193" s="10" t="s">
        <v>235</v>
      </c>
      <c r="C193" s="50" t="n">
        <f aca="false">($C$189-$C$186)*$C$184</f>
        <v>-0.149993870163466</v>
      </c>
      <c r="I193" s="5" t="s">
        <v>1322</v>
      </c>
    </row>
    <row r="194" customFormat="false" ht="15" hidden="false" customHeight="false" outlineLevel="1" collapsed="false">
      <c r="A194" s="4" t="s">
        <v>1323</v>
      </c>
      <c r="B194" s="10" t="s">
        <v>235</v>
      </c>
      <c r="C194" s="50" t="n">
        <f aca="false">($C$188-$C$184)*$C$189</f>
        <v>0.136220902251033</v>
      </c>
      <c r="I194" s="5" t="s">
        <v>1324</v>
      </c>
    </row>
    <row r="195" customFormat="false" ht="15" hidden="false" customHeight="false" outlineLevel="1" collapsed="false">
      <c r="A195" s="4" t="s">
        <v>1325</v>
      </c>
      <c r="B195" s="10" t="s">
        <v>235</v>
      </c>
      <c r="C195" s="50" t="n">
        <f aca="false">$C$190-$C$192-$C$193-$C$194</f>
        <v>-1.08246744900953E-015</v>
      </c>
      <c r="I195" s="5" t="s">
        <v>1326</v>
      </c>
    </row>
    <row r="196" customFormat="false" ht="15" hidden="false" customHeight="false" outlineLevel="1" collapsed="false">
      <c r="A196" s="3" t="s">
        <v>1327</v>
      </c>
      <c r="B196" s="10" t="s">
        <v>235</v>
      </c>
      <c r="C196" s="77" t="n">
        <f aca="false">$C$192+$C$193+$C$194+$C$195-$C$190</f>
        <v>0</v>
      </c>
      <c r="I196" s="5" t="s">
        <v>1328</v>
      </c>
    </row>
    <row r="197" customFormat="false" ht="15" hidden="false" customHeight="false" outlineLevel="1" collapsed="false">
      <c r="A197" s="2" t="s">
        <v>1329</v>
      </c>
      <c r="I197" s="5" t="s">
        <v>1330</v>
      </c>
    </row>
    <row r="199" customFormat="false" ht="15" hidden="false" customHeight="false" outlineLevel="0" collapsed="false">
      <c r="A199" s="6" t="s">
        <v>1331</v>
      </c>
      <c r="B199" s="7"/>
      <c r="C199" s="7"/>
      <c r="D199" s="7"/>
      <c r="E199" s="7"/>
      <c r="F199" s="7"/>
      <c r="G199" s="7"/>
      <c r="H199" s="7"/>
    </row>
    <row r="200" customFormat="false" ht="15" hidden="false" customHeight="false" outlineLevel="1" collapsed="false">
      <c r="A200" s="13" t="s">
        <v>1332</v>
      </c>
      <c r="B200" s="13" t="s">
        <v>51</v>
      </c>
      <c r="C200" s="13" t="s">
        <v>1333</v>
      </c>
      <c r="D200" s="13" t="s">
        <v>1334</v>
      </c>
      <c r="E200" s="13" t="s">
        <v>1335</v>
      </c>
      <c r="I200" s="13" t="s">
        <v>620</v>
      </c>
    </row>
    <row r="201" customFormat="false" ht="15" hidden="false" customHeight="false" outlineLevel="1" collapsed="false">
      <c r="A201" s="3" t="s">
        <v>1336</v>
      </c>
      <c r="B201" s="10" t="s">
        <v>39</v>
      </c>
      <c r="C201" s="49" t="n">
        <v>24.382364</v>
      </c>
      <c r="D201" s="49" t="n">
        <v>29.693039</v>
      </c>
      <c r="E201" s="49" t="n">
        <v>45.512162</v>
      </c>
      <c r="I201" s="5" t="s">
        <v>1337</v>
      </c>
    </row>
    <row r="202" customFormat="false" ht="15" hidden="false" customHeight="false" outlineLevel="1" collapsed="false">
      <c r="A202" s="3" t="s">
        <v>1338</v>
      </c>
      <c r="B202" s="10" t="s">
        <v>39</v>
      </c>
      <c r="C202" s="49" t="n">
        <v>17.522903</v>
      </c>
      <c r="D202" s="49" t="n">
        <v>22.032804</v>
      </c>
      <c r="E202" s="49" t="n">
        <v>39.849853</v>
      </c>
    </row>
    <row r="203" customFormat="false" ht="15" hidden="false" customHeight="false" outlineLevel="1" collapsed="false">
      <c r="A203" s="3" t="s">
        <v>1339</v>
      </c>
      <c r="B203" s="10" t="s">
        <v>39</v>
      </c>
      <c r="C203" s="49" t="n">
        <v>13.780471</v>
      </c>
      <c r="D203" s="49" t="n">
        <v>20.398771</v>
      </c>
      <c r="E203" s="49" t="n">
        <v>42.297452</v>
      </c>
    </row>
    <row r="204" customFormat="false" ht="15" hidden="false" customHeight="false" outlineLevel="1" collapsed="false">
      <c r="A204" s="3" t="s">
        <v>1340</v>
      </c>
      <c r="B204" s="10" t="s">
        <v>56</v>
      </c>
      <c r="C204" s="62" t="n">
        <v>58.108801</v>
      </c>
      <c r="D204" s="62" t="n">
        <v>57.796898</v>
      </c>
      <c r="E204" s="62" t="n">
        <v>48.991944</v>
      </c>
    </row>
    <row r="205" customFormat="false" ht="15" hidden="false" customHeight="false" outlineLevel="1" collapsed="false">
      <c r="A205" s="3" t="s">
        <v>1341</v>
      </c>
      <c r="B205" s="10" t="s">
        <v>56</v>
      </c>
      <c r="C205" s="62" t="n">
        <v>49.483949</v>
      </c>
      <c r="D205" s="62" t="n">
        <v>47.915627</v>
      </c>
      <c r="E205" s="62" t="n">
        <v>41.051751</v>
      </c>
    </row>
    <row r="206" customFormat="false" ht="15" hidden="false" customHeight="false" outlineLevel="1" collapsed="false">
      <c r="A206" s="3" t="s">
        <v>1342</v>
      </c>
      <c r="B206" s="10" t="s">
        <v>56</v>
      </c>
      <c r="C206" s="62" t="n">
        <v>58.360989</v>
      </c>
      <c r="D206" s="62" t="n">
        <v>57.95459</v>
      </c>
      <c r="E206" s="62" t="n">
        <v>50.20453</v>
      </c>
    </row>
    <row r="207" customFormat="false" ht="15" hidden="false" customHeight="false" outlineLevel="1" collapsed="false">
      <c r="A207" s="3" t="s">
        <v>1343</v>
      </c>
      <c r="B207" s="10" t="s">
        <v>56</v>
      </c>
      <c r="C207" s="62" t="n">
        <v>69.325963</v>
      </c>
      <c r="D207" s="62" t="n">
        <v>66.799648</v>
      </c>
      <c r="E207" s="62" t="n">
        <v>57.157865</v>
      </c>
    </row>
    <row r="208" customFormat="false" ht="15" hidden="false" customHeight="false" outlineLevel="1" collapsed="false">
      <c r="A208" s="3" t="s">
        <v>1344</v>
      </c>
      <c r="B208" s="10" t="s">
        <v>56</v>
      </c>
      <c r="C208" s="62" t="n">
        <v>80.354624</v>
      </c>
      <c r="D208" s="62" t="n">
        <v>77.799804</v>
      </c>
      <c r="E208" s="62" t="n">
        <v>68.049252</v>
      </c>
    </row>
    <row r="209" customFormat="false" ht="15" hidden="false" customHeight="false" outlineLevel="1" collapsed="false">
      <c r="A209" s="3" t="s">
        <v>1345</v>
      </c>
      <c r="B209" s="10" t="s">
        <v>56</v>
      </c>
      <c r="C209" s="62" t="n">
        <v>114.389171</v>
      </c>
      <c r="D209" s="62" t="n">
        <v>111.111525</v>
      </c>
      <c r="E209" s="62" t="n">
        <v>98.602893</v>
      </c>
    </row>
    <row r="210" customFormat="false" ht="15" hidden="false" customHeight="false" outlineLevel="1" collapsed="false">
      <c r="A210" s="2" t="s">
        <v>1346</v>
      </c>
      <c r="B210" s="10" t="s">
        <v>39</v>
      </c>
      <c r="C210" s="78" t="n">
        <f aca="false">INDEX(C201:E203,輸入與假設!$C$5,輸入與假設!$F$5)-評價_DCF與目標價!C49</f>
        <v>2.7882012432201E-007</v>
      </c>
      <c r="D210" s="2" t="str">
        <f aca="false">IF(ABS(C210)&lt;0.01,"通過","快照已過期")</f>
        <v>通過</v>
      </c>
      <c r="I210" s="5" t="s">
        <v>1347</v>
      </c>
    </row>
    <row r="212" customFormat="false" ht="15" hidden="false" customHeight="false" outlineLevel="0" collapsed="false">
      <c r="A212" s="6" t="s">
        <v>1348</v>
      </c>
      <c r="B212" s="7"/>
      <c r="C212" s="7"/>
      <c r="D212" s="7"/>
      <c r="E212" s="7"/>
      <c r="F212" s="7"/>
      <c r="G212" s="7"/>
      <c r="H212" s="7"/>
    </row>
    <row r="213" customFormat="false" ht="15" hidden="false" customHeight="false" outlineLevel="1" collapsed="false">
      <c r="A213" s="13" t="s">
        <v>1349</v>
      </c>
      <c r="B213" s="13" t="s">
        <v>51</v>
      </c>
      <c r="C213" s="13" t="s">
        <v>1350</v>
      </c>
      <c r="D213" s="13" t="s">
        <v>1071</v>
      </c>
      <c r="E213" s="13" t="s">
        <v>1351</v>
      </c>
      <c r="F213" s="13" t="s">
        <v>1352</v>
      </c>
      <c r="G213" s="13" t="s">
        <v>1353</v>
      </c>
      <c r="H213" s="13" t="s">
        <v>1354</v>
      </c>
    </row>
    <row r="214" customFormat="false" ht="15" hidden="false" customHeight="false" outlineLevel="1" collapsed="false">
      <c r="A214" s="2" t="s">
        <v>1355</v>
      </c>
      <c r="B214" s="10" t="s">
        <v>39</v>
      </c>
      <c r="C214" s="79" t="n">
        <v>29.693039</v>
      </c>
      <c r="D214" s="79" t="n">
        <v>22.032804</v>
      </c>
      <c r="E214" s="79" t="n">
        <v>20.398771</v>
      </c>
      <c r="F214" s="54" t="n">
        <v>57.796898</v>
      </c>
      <c r="G214" s="54" t="n">
        <v>47.915627</v>
      </c>
      <c r="H214" s="54" t="n">
        <v>57.95459</v>
      </c>
    </row>
    <row r="215" customFormat="false" ht="15" hidden="false" customHeight="false" outlineLevel="1" collapsed="false">
      <c r="A215" s="3" t="s">
        <v>1356</v>
      </c>
      <c r="B215" s="10" t="s">
        <v>39</v>
      </c>
      <c r="C215" s="79" t="n">
        <v>24.382364</v>
      </c>
      <c r="D215" s="79" t="n">
        <v>17.522903</v>
      </c>
      <c r="E215" s="79" t="n">
        <v>13.780471</v>
      </c>
      <c r="F215" s="54" t="n">
        <v>58.108801</v>
      </c>
      <c r="G215" s="54" t="n">
        <v>49.483949</v>
      </c>
      <c r="H215" s="54" t="n">
        <v>58.360989</v>
      </c>
    </row>
    <row r="216" customFormat="false" ht="15" hidden="false" customHeight="false" outlineLevel="1" collapsed="false">
      <c r="A216" s="3" t="s">
        <v>1357</v>
      </c>
      <c r="B216" s="10" t="s">
        <v>39</v>
      </c>
      <c r="C216" s="79" t="n">
        <v>38.076326</v>
      </c>
      <c r="D216" s="79" t="n">
        <v>31.59833</v>
      </c>
      <c r="E216" s="79" t="n">
        <v>32.155167</v>
      </c>
      <c r="F216" s="54" t="n">
        <v>53.310098</v>
      </c>
      <c r="G216" s="54" t="n">
        <v>44.495771</v>
      </c>
      <c r="H216" s="54" t="n">
        <v>54.15026</v>
      </c>
    </row>
    <row r="217" customFormat="false" ht="15" hidden="false" customHeight="false" outlineLevel="1" collapsed="false">
      <c r="A217" s="3" t="s">
        <v>1358</v>
      </c>
      <c r="B217" s="10" t="s">
        <v>39</v>
      </c>
      <c r="C217" s="79" t="n">
        <v>45.512162</v>
      </c>
      <c r="D217" s="79" t="n">
        <v>39.849853</v>
      </c>
      <c r="E217" s="79" t="n">
        <v>42.297452</v>
      </c>
      <c r="F217" s="54" t="n">
        <v>48.991944</v>
      </c>
      <c r="G217" s="54" t="n">
        <v>41.051751</v>
      </c>
      <c r="H217" s="54" t="n">
        <v>50.20453</v>
      </c>
    </row>
    <row r="218" customFormat="false" ht="15" hidden="false" customHeight="false" outlineLevel="1" collapsed="false">
      <c r="A218" s="3" t="s">
        <v>1359</v>
      </c>
      <c r="B218" s="10" t="s">
        <v>39</v>
      </c>
      <c r="C218" s="79" t="n">
        <v>39.460919</v>
      </c>
      <c r="D218" s="79" t="n">
        <v>33.138386</v>
      </c>
      <c r="E218" s="79" t="n">
        <v>34.142596</v>
      </c>
      <c r="F218" s="54" t="n">
        <v>52.533478</v>
      </c>
      <c r="G218" s="54" t="n">
        <v>43.834961</v>
      </c>
      <c r="H218" s="54" t="n">
        <v>53.512243</v>
      </c>
    </row>
    <row r="219" customFormat="false" ht="15" hidden="false" customHeight="false" outlineLevel="1" collapsed="false">
      <c r="A219" s="3" t="s">
        <v>1360</v>
      </c>
      <c r="B219" s="10" t="s">
        <v>39</v>
      </c>
      <c r="C219" s="79" t="n">
        <v>52.359837</v>
      </c>
      <c r="D219" s="79" t="n">
        <v>47.164562</v>
      </c>
      <c r="E219" s="79" t="n">
        <v>51.433837</v>
      </c>
      <c r="F219" s="54" t="n">
        <v>44.155904</v>
      </c>
      <c r="G219" s="54" t="n">
        <v>37.716732</v>
      </c>
      <c r="H219" s="54" t="n">
        <v>46.555477</v>
      </c>
    </row>
    <row r="220" customFormat="false" ht="15" hidden="false" customHeight="false" outlineLevel="1" collapsed="false">
      <c r="A220" s="3" t="s">
        <v>1361</v>
      </c>
      <c r="B220" s="10" t="s">
        <v>39</v>
      </c>
      <c r="C220" s="79" t="n">
        <v>71.822997</v>
      </c>
      <c r="D220" s="79" t="n">
        <v>67.728415</v>
      </c>
      <c r="E220" s="79" t="n">
        <v>77.229065</v>
      </c>
      <c r="F220" s="54" t="n">
        <v>31.901711</v>
      </c>
      <c r="G220" s="54" t="n">
        <v>28.159057</v>
      </c>
      <c r="H220" s="54" t="n">
        <v>36.089399</v>
      </c>
    </row>
    <row r="221" customFormat="false" ht="15" hidden="false" customHeight="false" outlineLevel="1" collapsed="false">
      <c r="A221" s="3" t="s">
        <v>1362</v>
      </c>
      <c r="B221" s="10" t="s">
        <v>39</v>
      </c>
      <c r="C221" s="79" t="n">
        <v>35.00794</v>
      </c>
      <c r="D221" s="79" t="n">
        <v>28.03612</v>
      </c>
      <c r="E221" s="79" t="n">
        <v>27.677118</v>
      </c>
      <c r="F221" s="54" t="n">
        <v>55.165647</v>
      </c>
      <c r="G221" s="54" t="n">
        <v>45.896597</v>
      </c>
      <c r="H221" s="54" t="n">
        <v>55.615304</v>
      </c>
    </row>
    <row r="222" customFormat="false" ht="15" hidden="false" customHeight="false" outlineLevel="1" collapsed="false">
      <c r="A222" s="3" t="s">
        <v>1363</v>
      </c>
      <c r="B222" s="10" t="s">
        <v>39</v>
      </c>
      <c r="C222" s="79" t="n">
        <v>40.195826</v>
      </c>
      <c r="D222" s="79" t="n">
        <v>33.955186</v>
      </c>
      <c r="E222" s="79" t="n">
        <v>35.195517</v>
      </c>
      <c r="F222" s="54" t="n">
        <v>52.126145</v>
      </c>
      <c r="G222" s="54" t="n">
        <v>43.488465</v>
      </c>
      <c r="H222" s="54" t="n">
        <v>53.177742</v>
      </c>
    </row>
    <row r="223" customFormat="false" ht="15" hidden="false" customHeight="false" outlineLevel="1" collapsed="false">
      <c r="A223" s="3" t="s">
        <v>1364</v>
      </c>
      <c r="B223" s="10" t="s">
        <v>39</v>
      </c>
      <c r="C223" s="79" t="n">
        <v>33.345991</v>
      </c>
      <c r="D223" s="79" t="n">
        <v>24.578688</v>
      </c>
      <c r="E223" s="79" t="n">
        <v>25.05021</v>
      </c>
      <c r="F223" s="54" t="n">
        <v>46.069183</v>
      </c>
      <c r="G223" s="54" t="n">
        <v>36.417044</v>
      </c>
      <c r="H223" s="54" t="n">
        <v>43.736699</v>
      </c>
    </row>
    <row r="224" customFormat="false" ht="15" hidden="false" customHeight="false" outlineLevel="1" collapsed="false">
      <c r="A224" s="3" t="s">
        <v>1365</v>
      </c>
      <c r="B224" s="10" t="s">
        <v>39</v>
      </c>
      <c r="C224" s="79" t="n">
        <v>13.699554</v>
      </c>
      <c r="D224" s="79" t="n">
        <v>13.962184</v>
      </c>
      <c r="E224" s="79" t="n">
        <v>0</v>
      </c>
      <c r="F224" s="54" t="n">
        <v>61.727885</v>
      </c>
      <c r="G224" s="54" t="n">
        <v>61.066698</v>
      </c>
      <c r="H224" s="54" t="n">
        <v>61.727885</v>
      </c>
    </row>
    <row r="225" customFormat="false" ht="15" hidden="false" customHeight="false" outlineLevel="1" collapsed="false">
      <c r="A225" s="3" t="s">
        <v>1366</v>
      </c>
      <c r="B225" s="10" t="s">
        <v>39</v>
      </c>
      <c r="C225" s="79" t="n">
        <v>29.642413</v>
      </c>
      <c r="D225" s="79" t="n">
        <v>21.991758</v>
      </c>
      <c r="E225" s="79" t="n">
        <v>20.447947</v>
      </c>
      <c r="F225" s="54" t="n">
        <v>57.995604</v>
      </c>
      <c r="G225" s="54" t="n">
        <v>48.114334</v>
      </c>
      <c r="H225" s="54" t="n">
        <v>58.257609</v>
      </c>
    </row>
    <row r="226" customFormat="false" ht="15" hidden="false" customHeight="false" outlineLevel="1" collapsed="false">
      <c r="A226" s="3" t="s">
        <v>1367</v>
      </c>
      <c r="B226" s="10" t="s">
        <v>39</v>
      </c>
      <c r="C226" s="79" t="n">
        <v>29.79302</v>
      </c>
      <c r="D226" s="79" t="n">
        <v>22.113903</v>
      </c>
      <c r="E226" s="79" t="n">
        <v>20.040125</v>
      </c>
      <c r="F226" s="54" t="n">
        <v>57.406457</v>
      </c>
      <c r="G226" s="54" t="n">
        <v>47.525186</v>
      </c>
      <c r="H226" s="54" t="n">
        <v>57.050004</v>
      </c>
    </row>
    <row r="227" customFormat="false" ht="15" hidden="false" customHeight="false" outlineLevel="1" collapsed="false">
      <c r="A227" s="10" t="s">
        <v>1368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21.6" hidden="false" customHeight="false" outlineLevel="0" collapsed="false">
      <c r="A1" s="1" t="s">
        <v>1369</v>
      </c>
    </row>
    <row r="2" customFormat="false" ht="15" hidden="false" customHeight="false" outlineLevel="0" collapsed="false">
      <c r="A2" s="5" t="s">
        <v>1370</v>
      </c>
    </row>
    <row r="3" customFormat="false" ht="15" hidden="false" customHeight="false" outlineLevel="0" collapsed="false">
      <c r="A3" s="5" t="s">
        <v>1371</v>
      </c>
    </row>
    <row r="4" customFormat="false" ht="17.15" hidden="false" customHeight="false" outlineLevel="0" collapsed="false">
      <c r="A4" s="13" t="s">
        <v>1372</v>
      </c>
      <c r="B4" s="14" t="s">
        <v>1373</v>
      </c>
      <c r="C4" s="14" t="s">
        <v>1245</v>
      </c>
      <c r="D4" s="14" t="s">
        <v>1374</v>
      </c>
      <c r="E4" s="13" t="s">
        <v>795</v>
      </c>
      <c r="F4" s="13" t="s">
        <v>1375</v>
      </c>
      <c r="G4" s="13" t="s">
        <v>1376</v>
      </c>
      <c r="H4" s="13" t="s">
        <v>1377</v>
      </c>
      <c r="I4" s="13" t="s">
        <v>1378</v>
      </c>
      <c r="J4" s="13" t="s">
        <v>503</v>
      </c>
    </row>
    <row r="5" customFormat="false" ht="15" hidden="false" customHeight="false" outlineLevel="0" collapsed="false">
      <c r="A5" s="3" t="s">
        <v>1379</v>
      </c>
      <c r="B5" s="10" t="s">
        <v>1380</v>
      </c>
      <c r="C5" s="32" t="n">
        <v>9.19</v>
      </c>
      <c r="D5" s="10" t="s">
        <v>1381</v>
      </c>
      <c r="E5" s="32" t="n">
        <v>6.28</v>
      </c>
      <c r="F5" s="80" t="n">
        <f aca="false">IF(ISNUMBER(E5),E5/C5-1,"不適用")</f>
        <v>-0.316648531011969</v>
      </c>
      <c r="G5" s="5" t="s">
        <v>1382</v>
      </c>
      <c r="H5" s="5" t="s">
        <v>1383</v>
      </c>
      <c r="I5" s="4" t="s">
        <v>1384</v>
      </c>
      <c r="J5" s="10" t="s">
        <v>1385</v>
      </c>
    </row>
    <row r="6" customFormat="false" ht="15" hidden="false" customHeight="false" outlineLevel="0" collapsed="false">
      <c r="A6" s="3" t="s">
        <v>1386</v>
      </c>
      <c r="B6" s="10" t="s">
        <v>1387</v>
      </c>
      <c r="C6" s="32" t="n">
        <v>0.891</v>
      </c>
      <c r="D6" s="10" t="s">
        <v>1388</v>
      </c>
      <c r="E6" s="32" t="n">
        <v>1.28</v>
      </c>
      <c r="F6" s="80" t="n">
        <f aca="false">IF(ISNUMBER(E6),E6/C6-1,"不適用")</f>
        <v>0.43658810325477</v>
      </c>
      <c r="G6" s="5" t="s">
        <v>1389</v>
      </c>
      <c r="H6" s="5" t="s">
        <v>1390</v>
      </c>
      <c r="I6" s="4" t="s">
        <v>1391</v>
      </c>
      <c r="J6" s="10" t="s">
        <v>1392</v>
      </c>
    </row>
    <row r="7" customFormat="false" ht="15" hidden="false" customHeight="false" outlineLevel="0" collapsed="false">
      <c r="A7" s="3" t="s">
        <v>1393</v>
      </c>
      <c r="B7" s="10" t="s">
        <v>1394</v>
      </c>
      <c r="C7" s="32" t="n">
        <v>1.92</v>
      </c>
      <c r="D7" s="10" t="s">
        <v>1395</v>
      </c>
      <c r="E7" s="32" t="n">
        <v>1.46</v>
      </c>
      <c r="F7" s="80" t="n">
        <f aca="false">IF(ISNUMBER(E7),E7/C7-1,"不適用")</f>
        <v>-0.239583333333333</v>
      </c>
      <c r="G7" s="5" t="s">
        <v>1396</v>
      </c>
      <c r="H7" s="5" t="s">
        <v>1397</v>
      </c>
      <c r="I7" s="4" t="s">
        <v>1398</v>
      </c>
      <c r="J7" s="10" t="s">
        <v>1385</v>
      </c>
    </row>
    <row r="8" customFormat="false" ht="15" hidden="false" customHeight="false" outlineLevel="0" collapsed="false">
      <c r="A8" s="3" t="s">
        <v>1399</v>
      </c>
      <c r="B8" s="5" t="s">
        <v>1400</v>
      </c>
      <c r="C8" s="23" t="n">
        <v>0.789</v>
      </c>
      <c r="D8" s="10" t="s">
        <v>1401</v>
      </c>
      <c r="E8" s="23" t="n">
        <v>0.497</v>
      </c>
      <c r="F8" s="80" t="n">
        <f aca="false">IF(ISNUMBER(E8),E8/C8-1,"不適用")</f>
        <v>-0.370088719898606</v>
      </c>
      <c r="G8" s="5" t="s">
        <v>1402</v>
      </c>
      <c r="H8" s="5" t="s">
        <v>1403</v>
      </c>
      <c r="I8" s="4" t="s">
        <v>1404</v>
      </c>
      <c r="J8" s="10" t="s">
        <v>1405</v>
      </c>
    </row>
    <row r="9" customFormat="false" ht="15" hidden="false" customHeight="false" outlineLevel="0" collapsed="false">
      <c r="A9" s="3" t="s">
        <v>1406</v>
      </c>
      <c r="B9" s="10" t="s">
        <v>1407</v>
      </c>
      <c r="C9" s="32" t="n">
        <v>44.91</v>
      </c>
      <c r="D9" s="10" t="s">
        <v>1408</v>
      </c>
      <c r="E9" s="32" t="n">
        <v>41.5</v>
      </c>
      <c r="F9" s="80" t="n">
        <f aca="false">IF(ISNUMBER(E9),E9/C9-1,"不適用")</f>
        <v>-0.0759296370518815</v>
      </c>
      <c r="G9" s="5" t="s">
        <v>1409</v>
      </c>
      <c r="H9" s="5" t="s">
        <v>1410</v>
      </c>
      <c r="I9" s="4" t="s">
        <v>1411</v>
      </c>
      <c r="J9" s="10" t="s">
        <v>1385</v>
      </c>
    </row>
    <row r="10" customFormat="false" ht="15" hidden="false" customHeight="false" outlineLevel="0" collapsed="false">
      <c r="A10" s="3" t="s">
        <v>1412</v>
      </c>
      <c r="B10" s="10" t="s">
        <v>1413</v>
      </c>
      <c r="C10" s="32" t="n">
        <v>6</v>
      </c>
      <c r="D10" s="5" t="s">
        <v>1414</v>
      </c>
      <c r="E10" s="32" t="n">
        <v>5</v>
      </c>
      <c r="F10" s="80" t="n">
        <f aca="false">IF(ISNUMBER(E10),E10/C10-1,"不適用")</f>
        <v>-0.166666666666667</v>
      </c>
      <c r="G10" s="5" t="s">
        <v>1415</v>
      </c>
      <c r="H10" s="5" t="s">
        <v>1416</v>
      </c>
      <c r="I10" s="4" t="s">
        <v>1417</v>
      </c>
      <c r="J10" s="10" t="s">
        <v>1405</v>
      </c>
    </row>
    <row r="11" customFormat="false" ht="15" hidden="false" customHeight="false" outlineLevel="0" collapsed="false">
      <c r="A11" s="3" t="s">
        <v>1418</v>
      </c>
      <c r="B11" s="10" t="s">
        <v>1419</v>
      </c>
      <c r="C11" s="32" t="n">
        <v>0.67</v>
      </c>
      <c r="D11" s="5" t="s">
        <v>1420</v>
      </c>
      <c r="E11" s="81" t="s">
        <v>1280</v>
      </c>
      <c r="F11" s="80" t="str">
        <f aca="false">IF(ISNUMBER(E11),E11/C11-1,"不適用")</f>
        <v>不適用</v>
      </c>
      <c r="G11" s="5" t="s">
        <v>1421</v>
      </c>
      <c r="H11" s="5" t="s">
        <v>1422</v>
      </c>
      <c r="I11" s="4" t="s">
        <v>1020</v>
      </c>
      <c r="J11" s="10" t="s">
        <v>1020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1" t="s">
        <v>1423</v>
      </c>
    </row>
    <row r="2" customFormat="false" ht="15" hidden="false" customHeight="false" outlineLevel="0" collapsed="false">
      <c r="A2" s="5" t="s">
        <v>1424</v>
      </c>
    </row>
    <row r="4" customFormat="false" ht="17.15" hidden="false" customHeight="false" outlineLevel="0" collapsed="false">
      <c r="A4" s="13" t="s">
        <v>1425</v>
      </c>
      <c r="B4" s="13" t="s">
        <v>1426</v>
      </c>
      <c r="C4" s="13" t="s">
        <v>1427</v>
      </c>
      <c r="D4" s="13" t="s">
        <v>1428</v>
      </c>
      <c r="E4" s="14" t="s">
        <v>1429</v>
      </c>
      <c r="F4" s="13" t="s">
        <v>1430</v>
      </c>
      <c r="I4" s="13" t="s">
        <v>505</v>
      </c>
    </row>
    <row r="5" customFormat="false" ht="15" hidden="false" customHeight="false" outlineLevel="0" collapsed="false">
      <c r="A5" s="3" t="s">
        <v>1431</v>
      </c>
      <c r="B5" s="5" t="s">
        <v>1432</v>
      </c>
      <c r="C5" s="10" t="s">
        <v>1433</v>
      </c>
      <c r="D5" s="23" t="n">
        <v>0</v>
      </c>
      <c r="E5" s="24" t="n">
        <v>0.0467</v>
      </c>
      <c r="F5" s="62" t="n">
        <f aca="false">D5*E5</f>
        <v>0</v>
      </c>
      <c r="I5" s="5" t="s">
        <v>1434</v>
      </c>
    </row>
    <row r="6" customFormat="false" ht="15" hidden="false" customHeight="false" outlineLevel="0" collapsed="false">
      <c r="A6" s="2" t="s">
        <v>1435</v>
      </c>
      <c r="E6" s="53" t="n">
        <f aca="false">SUM(E5:E5)</f>
        <v>0.0467</v>
      </c>
      <c r="F6" s="53" t="n">
        <f aca="false">SUM(F5:F5)</f>
        <v>0</v>
      </c>
      <c r="I6" s="5" t="s">
        <v>1436</v>
      </c>
    </row>
    <row r="7" customFormat="false" ht="15" hidden="false" customHeight="false" outlineLevel="0" collapsed="false">
      <c r="A7" s="2" t="s">
        <v>1437</v>
      </c>
      <c r="D7" s="82" t="n">
        <f aca="false">F6/E6</f>
        <v>0</v>
      </c>
      <c r="I7" s="5" t="s">
        <v>1438</v>
      </c>
    </row>
    <row r="9" customFormat="false" ht="15" hidden="false" customHeight="false" outlineLevel="0" collapsed="false">
      <c r="A9" s="3" t="s">
        <v>1439</v>
      </c>
      <c r="D9" s="83" t="n">
        <v>0</v>
      </c>
      <c r="E9" s="24" t="n">
        <v>0</v>
      </c>
      <c r="F9" s="9" t="n">
        <f aca="false">D9*E9</f>
        <v>0</v>
      </c>
      <c r="I9" s="10" t="s">
        <v>1440</v>
      </c>
    </row>
    <row r="11" customFormat="false" ht="15" hidden="false" customHeight="false" outlineLevel="0" collapsed="false">
      <c r="A11" s="46" t="s">
        <v>1441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1" collapsed="false">
      <c r="A12" s="13" t="s">
        <v>1442</v>
      </c>
      <c r="B12" s="13" t="s">
        <v>1427</v>
      </c>
      <c r="C12" s="13" t="s">
        <v>1443</v>
      </c>
      <c r="D12" s="13" t="s">
        <v>1444</v>
      </c>
      <c r="E12" s="13" t="s">
        <v>1445</v>
      </c>
      <c r="F12" s="13" t="s">
        <v>1446</v>
      </c>
      <c r="G12" s="13" t="s">
        <v>1447</v>
      </c>
      <c r="I12" s="13" t="s">
        <v>505</v>
      </c>
    </row>
    <row r="13" customFormat="false" ht="15" hidden="false" customHeight="false" outlineLevel="1" collapsed="false">
      <c r="A13" s="4" t="s">
        <v>1448</v>
      </c>
      <c r="B13" s="10" t="s">
        <v>1449</v>
      </c>
      <c r="C13" s="83" t="n">
        <v>0.02</v>
      </c>
      <c r="D13" s="39" t="n">
        <v>0.0875</v>
      </c>
      <c r="E13" s="75" t="n">
        <v>1.2</v>
      </c>
      <c r="F13" s="38" t="n">
        <v>51.45</v>
      </c>
      <c r="G13" s="64" t="n">
        <v>3</v>
      </c>
      <c r="I13" s="10" t="s">
        <v>1450</v>
      </c>
    </row>
    <row r="14" customFormat="false" ht="15" hidden="false" customHeight="false" outlineLevel="1" collapsed="false">
      <c r="A14" s="4" t="s">
        <v>1451</v>
      </c>
      <c r="B14" s="10" t="s">
        <v>1452</v>
      </c>
      <c r="C14" s="83" t="n">
        <v>0.03</v>
      </c>
      <c r="D14" s="39" t="n">
        <v>0.0875</v>
      </c>
      <c r="E14" s="75" t="n">
        <v>1.25</v>
      </c>
      <c r="F14" s="38" t="n">
        <v>51.45</v>
      </c>
      <c r="G14" s="64" t="n">
        <v>5</v>
      </c>
      <c r="I14" s="5" t="s">
        <v>1453</v>
      </c>
    </row>
    <row r="15" customFormat="false" ht="15" hidden="false" customHeight="false" outlineLevel="1" collapsed="false">
      <c r="A15" s="4" t="s">
        <v>1454</v>
      </c>
      <c r="B15" s="10" t="s">
        <v>1455</v>
      </c>
      <c r="C15" s="83" t="n">
        <v>0.01</v>
      </c>
      <c r="D15" s="39" t="n">
        <v>1.58125</v>
      </c>
      <c r="E15" s="75" t="n">
        <v>1.15</v>
      </c>
      <c r="F15" s="38" t="n">
        <v>138.75</v>
      </c>
      <c r="G15" s="64" t="n">
        <v>4</v>
      </c>
      <c r="I15" s="5" t="s">
        <v>1456</v>
      </c>
    </row>
    <row r="16" customFormat="false" ht="15" hidden="false" customHeight="false" outlineLevel="1" collapsed="false">
      <c r="A16" s="4" t="s">
        <v>1457</v>
      </c>
      <c r="B16" s="10" t="s">
        <v>1458</v>
      </c>
      <c r="C16" s="83" t="n">
        <v>0.0275</v>
      </c>
      <c r="D16" s="39" t="n">
        <v>1.58125</v>
      </c>
      <c r="E16" s="75" t="n">
        <v>1.15</v>
      </c>
      <c r="F16" s="38" t="n">
        <v>138.75</v>
      </c>
      <c r="G16" s="64" t="n">
        <v>5</v>
      </c>
      <c r="I16" s="5" t="s">
        <v>1459</v>
      </c>
    </row>
    <row r="17" customFormat="false" ht="15" hidden="false" customHeight="false" outlineLevel="1" collapsed="false">
      <c r="A17" s="4" t="s">
        <v>1460</v>
      </c>
      <c r="B17" s="10" t="s">
        <v>1461</v>
      </c>
      <c r="C17" s="83" t="n">
        <v>0.0125</v>
      </c>
      <c r="D17" s="39" t="n">
        <v>2.5875</v>
      </c>
      <c r="E17" s="75" t="n">
        <v>1.2</v>
      </c>
      <c r="F17" s="38" t="n">
        <v>183.22</v>
      </c>
      <c r="G17" s="64" t="n">
        <v>5</v>
      </c>
      <c r="I17" s="5" t="s">
        <v>1462</v>
      </c>
    </row>
    <row r="18" customFormat="false" ht="15" hidden="false" customHeight="false" outlineLevel="1" collapsed="false">
      <c r="A18" s="4" t="s">
        <v>1463</v>
      </c>
      <c r="B18" s="10" t="s">
        <v>1464</v>
      </c>
      <c r="C18" s="83" t="n">
        <v>0.02625</v>
      </c>
      <c r="D18" s="39" t="n">
        <v>1.75</v>
      </c>
      <c r="E18" s="75" t="n">
        <v>1.2</v>
      </c>
      <c r="F18" s="38" t="n">
        <v>180.31</v>
      </c>
      <c r="G18" s="64" t="n">
        <v>5</v>
      </c>
      <c r="I18" s="5" t="s">
        <v>1465</v>
      </c>
    </row>
    <row r="19" customFormat="false" ht="15" hidden="false" customHeight="false" outlineLevel="1" collapsed="false">
      <c r="A19" s="4" t="s">
        <v>1466</v>
      </c>
      <c r="B19" s="10" t="s">
        <v>1467</v>
      </c>
      <c r="C19" s="83" t="n">
        <v>0.005</v>
      </c>
      <c r="D19" s="39" t="n">
        <v>3.45</v>
      </c>
      <c r="E19" s="75" t="n">
        <v>1.1</v>
      </c>
      <c r="F19" s="38" t="n">
        <v>313.46</v>
      </c>
      <c r="G19" s="64" t="n">
        <v>4</v>
      </c>
      <c r="I19" s="10" t="s">
        <v>1468</v>
      </c>
    </row>
    <row r="20" customFormat="false" ht="15" hidden="false" customHeight="false" outlineLevel="1" collapsed="false">
      <c r="A20" s="4" t="s">
        <v>1469</v>
      </c>
      <c r="B20" s="10" t="s">
        <v>1470</v>
      </c>
      <c r="C20" s="83" t="n">
        <v>0.045</v>
      </c>
      <c r="D20" s="39" t="n">
        <v>2.3</v>
      </c>
      <c r="E20" s="75" t="n">
        <v>1.25</v>
      </c>
      <c r="F20" s="38" t="n">
        <v>324.65</v>
      </c>
      <c r="G20" s="64" t="n">
        <v>5</v>
      </c>
      <c r="I20" s="10" t="s">
        <v>1471</v>
      </c>
    </row>
    <row r="21" customFormat="false" ht="15" hidden="false" customHeight="false" outlineLevel="1" collapsed="false">
      <c r="I21" s="5" t="s">
        <v>1472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3" t="s">
        <v>1473</v>
      </c>
      <c r="C23" s="13" t="s">
        <v>1474</v>
      </c>
      <c r="D23" s="13" t="s">
        <v>1475</v>
      </c>
      <c r="E23" s="13" t="s">
        <v>1476</v>
      </c>
      <c r="F23" s="13" t="s">
        <v>1477</v>
      </c>
      <c r="G23" s="13" t="s">
        <v>1478</v>
      </c>
      <c r="H23" s="13" t="s">
        <v>1479</v>
      </c>
      <c r="I23" s="13" t="s">
        <v>620</v>
      </c>
    </row>
    <row r="24" customFormat="false" ht="15" hidden="false" customHeight="false" outlineLevel="1" collapsed="false">
      <c r="A24" s="3" t="str">
        <f aca="false">A13</f>
        <v>2.00% 2029（2025-06）</v>
      </c>
      <c r="C24" s="28" t="n">
        <f aca="false">D13*E13</f>
        <v>0.105</v>
      </c>
      <c r="D24" s="28" t="n">
        <f aca="false">D13/F13</f>
        <v>0.00170068027210884</v>
      </c>
      <c r="E24" s="49" t="n">
        <f aca="false">F13*E13</f>
        <v>61.74</v>
      </c>
      <c r="F24" s="64" t="n">
        <f aca="false">IF(E24&lt;輸入與假設!$C$104,1,0)</f>
        <v>1</v>
      </c>
      <c r="G24" s="64" t="n">
        <f aca="false">IF(E24&lt;輸入與假設!$C$125,1,0)</f>
        <v>1</v>
      </c>
      <c r="H24" s="64" t="n">
        <f aca="false">IF(E24&lt;評價_DCF與目標價!$C$64,1,0)</f>
        <v>0</v>
      </c>
    </row>
    <row r="25" customFormat="false" ht="15" hidden="false" customHeight="false" outlineLevel="1" collapsed="false">
      <c r="A25" s="3" t="str">
        <f aca="false">A14</f>
        <v>3.00% 2031（2025-06）</v>
      </c>
      <c r="C25" s="28" t="n">
        <f aca="false">D14*E14</f>
        <v>0.109375</v>
      </c>
      <c r="D25" s="28" t="n">
        <f aca="false">D14/F14</f>
        <v>0.00170068027210884</v>
      </c>
      <c r="E25" s="49" t="n">
        <f aca="false">F14*E14</f>
        <v>64.3125</v>
      </c>
      <c r="F25" s="64" t="n">
        <f aca="false">IF(E25&lt;輸入與假設!$C$104,1,0)</f>
        <v>1</v>
      </c>
      <c r="G25" s="64" t="n">
        <f aca="false">IF(E25&lt;輸入與假設!$C$125,1,0)</f>
        <v>1</v>
      </c>
      <c r="H25" s="64" t="n">
        <f aca="false">IF(E25&lt;評價_DCF與目標價!$C$64,1,0)</f>
        <v>0</v>
      </c>
    </row>
    <row r="26" customFormat="false" ht="15" hidden="false" customHeight="false" outlineLevel="1" collapsed="false">
      <c r="A26" s="3" t="str">
        <f aca="false">A15</f>
        <v>1.00% 2030（2025-09）</v>
      </c>
      <c r="C26" s="28" t="n">
        <f aca="false">D15*E15</f>
        <v>1.8184375</v>
      </c>
      <c r="D26" s="28" t="n">
        <f aca="false">D15/F15</f>
        <v>0.0113963963963964</v>
      </c>
      <c r="E26" s="49" t="n">
        <f aca="false">F15*E15</f>
        <v>159.5625</v>
      </c>
      <c r="F26" s="64" t="n">
        <f aca="false">IF(E26&lt;輸入與假設!$C$104,1,0)</f>
        <v>1</v>
      </c>
      <c r="G26" s="64" t="n">
        <f aca="false">IF(E26&lt;輸入與假設!$C$125,1,0)</f>
        <v>1</v>
      </c>
      <c r="H26" s="64" t="n">
        <f aca="false">IF(E26&lt;評價_DCF與目標價!$C$64,1,0)</f>
        <v>0</v>
      </c>
    </row>
    <row r="27" customFormat="false" ht="15" hidden="false" customHeight="false" outlineLevel="1" collapsed="false">
      <c r="A27" s="3" t="str">
        <f aca="false">A16</f>
        <v>2.75% 2032（2025-09）</v>
      </c>
      <c r="C27" s="28" t="n">
        <f aca="false">D16*E16</f>
        <v>1.8184375</v>
      </c>
      <c r="D27" s="28" t="n">
        <f aca="false">D16/F16</f>
        <v>0.0113963963963964</v>
      </c>
      <c r="E27" s="49" t="n">
        <f aca="false">F16*E16</f>
        <v>159.5625</v>
      </c>
      <c r="F27" s="64" t="n">
        <f aca="false">IF(E27&lt;輸入與假設!$C$104,1,0)</f>
        <v>1</v>
      </c>
      <c r="G27" s="64" t="n">
        <f aca="false">IF(E27&lt;輸入與假設!$C$125,1,0)</f>
        <v>1</v>
      </c>
      <c r="H27" s="64" t="n">
        <f aca="false">IF(E27&lt;評價_DCF與目標價!$C$64,1,0)</f>
        <v>0</v>
      </c>
    </row>
    <row r="28" customFormat="false" ht="15" hidden="false" customHeight="false" outlineLevel="1" collapsed="false">
      <c r="A28" s="3" t="str">
        <f aca="false">A17</f>
        <v>1.25% 2031（2026-03）</v>
      </c>
      <c r="C28" s="28" t="n">
        <f aca="false">D17*E17</f>
        <v>3.105</v>
      </c>
      <c r="D28" s="28" t="n">
        <f aca="false">D17/F17</f>
        <v>0.0141223665538697</v>
      </c>
      <c r="E28" s="49" t="n">
        <f aca="false">F17*E17</f>
        <v>219.864</v>
      </c>
      <c r="F28" s="64" t="n">
        <f aca="false">IF(E28&lt;輸入與假設!$C$104,1,0)</f>
        <v>1</v>
      </c>
      <c r="G28" s="64" t="n">
        <f aca="false">IF(E28&lt;輸入與假設!$C$125,1,0)</f>
        <v>1</v>
      </c>
      <c r="H28" s="64" t="n">
        <f aca="false">IF(E28&lt;評價_DCF與目標價!$C$64,1,0)</f>
        <v>0</v>
      </c>
    </row>
    <row r="29" customFormat="false" ht="15" hidden="false" customHeight="false" outlineLevel="1" collapsed="false">
      <c r="A29" s="3" t="str">
        <f aca="false">A18</f>
        <v>2.625% 2033（2026-03）</v>
      </c>
      <c r="C29" s="28" t="n">
        <f aca="false">D18*E18</f>
        <v>2.1</v>
      </c>
      <c r="D29" s="28" t="n">
        <f aca="false">D18/F18</f>
        <v>0.00970550718207532</v>
      </c>
      <c r="E29" s="49" t="n">
        <f aca="false">F18*E18</f>
        <v>216.372</v>
      </c>
      <c r="F29" s="64" t="n">
        <f aca="false">IF(E29&lt;輸入與假設!$C$104,1,0)</f>
        <v>1</v>
      </c>
      <c r="G29" s="64" t="n">
        <f aca="false">IF(E29&lt;輸入與假設!$C$125,1,0)</f>
        <v>1</v>
      </c>
      <c r="H29" s="64" t="n">
        <f aca="false">IF(E29&lt;評價_DCF與目標價!$C$64,1,0)</f>
        <v>0</v>
      </c>
    </row>
    <row r="30" customFormat="false" ht="15" hidden="false" customHeight="false" outlineLevel="1" collapsed="false">
      <c r="A30" s="3" t="str">
        <f aca="false">A19</f>
        <v>0.50% 2030（2026-08）</v>
      </c>
      <c r="C30" s="28" t="n">
        <f aca="false">D19*E19</f>
        <v>3.795</v>
      </c>
      <c r="D30" s="28" t="n">
        <f aca="false">D19/F19</f>
        <v>0.0110061889874306</v>
      </c>
      <c r="E30" s="49" t="n">
        <f aca="false">F19*E19</f>
        <v>344.806</v>
      </c>
      <c r="F30" s="64" t="n">
        <f aca="false">IF(E30&lt;輸入與假設!$C$104,1,0)</f>
        <v>0</v>
      </c>
      <c r="G30" s="64" t="n">
        <f aca="false">IF(E30&lt;輸入與假設!$C$125,1,0)</f>
        <v>0</v>
      </c>
      <c r="H30" s="64" t="n">
        <f aca="false">IF(E30&lt;評價_DCF與目標價!$C$64,1,0)</f>
        <v>0</v>
      </c>
    </row>
    <row r="31" customFormat="false" ht="15" hidden="false" customHeight="false" outlineLevel="1" collapsed="false">
      <c r="A31" s="3" t="str">
        <f aca="false">A20</f>
        <v>4.50% 2034（2026-08）</v>
      </c>
      <c r="C31" s="28" t="n">
        <f aca="false">D20*E20</f>
        <v>2.875</v>
      </c>
      <c r="D31" s="28" t="n">
        <f aca="false">D20/F20</f>
        <v>0.00708455259510242</v>
      </c>
      <c r="E31" s="49" t="n">
        <f aca="false">F20*E20</f>
        <v>405.8125</v>
      </c>
      <c r="F31" s="64" t="n">
        <f aca="false">IF(E31&lt;輸入與假設!$C$104,1,0)</f>
        <v>0</v>
      </c>
      <c r="G31" s="64" t="n">
        <f aca="false">IF(E31&lt;輸入與假設!$C$125,1,0)</f>
        <v>0</v>
      </c>
      <c r="H31" s="64" t="n">
        <f aca="false">IF(E31&lt;評價_DCF與目標價!$C$64,1,0)</f>
        <v>0</v>
      </c>
    </row>
    <row r="32" customFormat="false" ht="15" hidden="false" customHeight="false" outlineLevel="1" collapsed="false">
      <c r="A32" s="2" t="s">
        <v>1480</v>
      </c>
      <c r="C32" s="84" t="n">
        <f aca="false">SUM(C24:C31)</f>
        <v>15.72625</v>
      </c>
      <c r="D32" s="84" t="n">
        <f aca="false">SUM(D24:D31)</f>
        <v>0.0681127686554885</v>
      </c>
      <c r="I32" s="5" t="s">
        <v>1481</v>
      </c>
    </row>
    <row r="34" customFormat="false" ht="15" hidden="false" customHeight="false" outlineLevel="0" collapsed="false">
      <c r="A34" s="46" t="s">
        <v>1482</v>
      </c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1" collapsed="false">
      <c r="A35" s="13" t="s">
        <v>50</v>
      </c>
      <c r="B35" s="13" t="s">
        <v>51</v>
      </c>
      <c r="C35" s="26" t="s">
        <v>52</v>
      </c>
      <c r="D35" s="26" t="s">
        <v>53</v>
      </c>
      <c r="E35" s="26" t="s">
        <v>54</v>
      </c>
      <c r="F35" s="26" t="s">
        <v>139</v>
      </c>
      <c r="G35" s="26" t="s">
        <v>140</v>
      </c>
      <c r="I35" s="13" t="s">
        <v>643</v>
      </c>
    </row>
    <row r="36" customFormat="false" ht="15" hidden="false" customHeight="false" outlineLevel="1" collapsed="false">
      <c r="A36" s="3" t="s">
        <v>1483</v>
      </c>
      <c r="B36" s="10" t="s">
        <v>56</v>
      </c>
      <c r="C36" s="62" t="n">
        <f aca="false">E6</f>
        <v>0.0467</v>
      </c>
      <c r="D36" s="62" t="n">
        <f aca="false">C38</f>
        <v>0</v>
      </c>
      <c r="E36" s="62" t="n">
        <f aca="false">D38</f>
        <v>0</v>
      </c>
      <c r="F36" s="62" t="n">
        <f aca="false">E38</f>
        <v>0</v>
      </c>
      <c r="G36" s="62" t="n">
        <f aca="false">F38</f>
        <v>0</v>
      </c>
      <c r="I36" s="10" t="s">
        <v>1484</v>
      </c>
    </row>
    <row r="37" customFormat="false" ht="15" hidden="false" customHeight="false" outlineLevel="1" collapsed="false">
      <c r="A37" s="3" t="s">
        <v>1485</v>
      </c>
      <c r="B37" s="10" t="s">
        <v>56</v>
      </c>
      <c r="C37" s="40" t="n">
        <f aca="false">輸入與假設!C$120</f>
        <v>0.0467</v>
      </c>
      <c r="D37" s="40" t="n">
        <f aca="false">輸入與假設!D$120</f>
        <v>0</v>
      </c>
      <c r="E37" s="40" t="n">
        <f aca="false">輸入與假設!E$120</f>
        <v>0</v>
      </c>
      <c r="F37" s="40" t="n">
        <f aca="false">輸入與假設!F$120</f>
        <v>0</v>
      </c>
      <c r="G37" s="40" t="n">
        <f aca="false">輸入與假設!G$120</f>
        <v>0</v>
      </c>
      <c r="I37" s="5" t="s">
        <v>1486</v>
      </c>
    </row>
    <row r="38" customFormat="false" ht="15" hidden="false" customHeight="false" outlineLevel="1" collapsed="false">
      <c r="A38" s="3" t="s">
        <v>1487</v>
      </c>
      <c r="B38" s="10" t="s">
        <v>56</v>
      </c>
      <c r="C38" s="62" t="n">
        <f aca="false">C36-C37</f>
        <v>0</v>
      </c>
      <c r="D38" s="62" t="n">
        <f aca="false">D36-D37</f>
        <v>0</v>
      </c>
      <c r="E38" s="62" t="n">
        <f aca="false">E36-E37</f>
        <v>0</v>
      </c>
      <c r="F38" s="62" t="n">
        <f aca="false">F36-F37</f>
        <v>0</v>
      </c>
      <c r="G38" s="62" t="n">
        <f aca="false">G36-G37</f>
        <v>0</v>
      </c>
    </row>
    <row r="39" customFormat="false" ht="15" hidden="false" customHeight="false" outlineLevel="1" collapsed="false">
      <c r="A39" s="3" t="s">
        <v>1488</v>
      </c>
      <c r="B39" s="10" t="s">
        <v>56</v>
      </c>
      <c r="C39" s="62" t="n">
        <f aca="false">(C36+C38)/2</f>
        <v>0.02335</v>
      </c>
      <c r="D39" s="62" t="n">
        <f aca="false">(D36+D38)/2</f>
        <v>0</v>
      </c>
      <c r="E39" s="62" t="n">
        <f aca="false">(E36+E38)/2</f>
        <v>0</v>
      </c>
      <c r="F39" s="62" t="n">
        <f aca="false">(F36+F38)/2</f>
        <v>0</v>
      </c>
      <c r="G39" s="62" t="n">
        <f aca="false">(G36+G38)/2</f>
        <v>0</v>
      </c>
    </row>
    <row r="40" customFormat="false" ht="15" hidden="false" customHeight="false" outlineLevel="1" collapsed="false">
      <c r="A40" s="3" t="s">
        <v>1489</v>
      </c>
      <c r="B40" s="10" t="s">
        <v>56</v>
      </c>
      <c r="C40" s="62" t="n">
        <f aca="false">C39*資產負債_既有債務!$D$7*輸入與假設!C$37</f>
        <v>0</v>
      </c>
      <c r="D40" s="62" t="n">
        <f aca="false">D39*資產負債_既有債務!$D$7*輸入與假設!D$37</f>
        <v>0</v>
      </c>
      <c r="E40" s="62" t="n">
        <f aca="false">E39*資產負債_既有債務!$D$7*輸入與假設!E$37</f>
        <v>0</v>
      </c>
      <c r="F40" s="62" t="n">
        <f aca="false">F39*資產負債_既有債務!$D$7*輸入與假設!F$37</f>
        <v>0</v>
      </c>
      <c r="G40" s="62" t="n">
        <f aca="false">G39*資產負債_既有債務!$D$7*輸入與假設!G$37</f>
        <v>0</v>
      </c>
      <c r="I40" s="5" t="s">
        <v>1490</v>
      </c>
    </row>
    <row r="41" customFormat="false" ht="15" hidden="false" customHeight="false" outlineLevel="1" collapsed="false">
      <c r="A41" s="3" t="s">
        <v>1491</v>
      </c>
      <c r="B41" s="10" t="s">
        <v>56</v>
      </c>
      <c r="C41" s="62" t="n">
        <f aca="false">資產負債_既有債務!$F$9*輸入與假設!C$37</f>
        <v>0</v>
      </c>
      <c r="D41" s="62" t="n">
        <f aca="false">資產負債_既有債務!$F$9*輸入與假設!D$37</f>
        <v>0</v>
      </c>
      <c r="E41" s="62" t="n">
        <f aca="false">資產負債_既有債務!$F$9*輸入與假設!E$37</f>
        <v>0</v>
      </c>
      <c r="F41" s="62" t="n">
        <f aca="false">資產負債_既有債務!$F$9*輸入與假設!F$37</f>
        <v>0</v>
      </c>
      <c r="G41" s="62" t="n">
        <f aca="false">資產負債_既有債務!$F$9*輸入與假設!G$37</f>
        <v>0</v>
      </c>
    </row>
    <row r="42" customFormat="false" ht="15" hidden="false" customHeight="false" outlineLevel="1" collapsed="false">
      <c r="A42" s="3" t="s">
        <v>1492</v>
      </c>
      <c r="B42" s="10" t="s">
        <v>56</v>
      </c>
      <c r="C42" s="62" t="n">
        <f aca="false">IF(輸入與假設!$C$100=1,SUMPRODUCT((1-資產負債_既有債務!$F$24:$F$31)*資產負債_既有債務!$C$24:$C$31*(資產負債_既有債務!$G$13:$G$20=0)),0)</f>
        <v>0</v>
      </c>
      <c r="D42" s="62" t="n">
        <f aca="false">IF(輸入與假設!$C$100=1,SUMPRODUCT((1-資產負債_既有債務!$F$24:$F$31)*資產負債_既有債務!$C$24:$C$31*(資產負債_既有債務!$G$13:$G$20=1)),0)</f>
        <v>0</v>
      </c>
      <c r="E42" s="62" t="n">
        <f aca="false">IF(輸入與假設!$C$100=1,SUMPRODUCT((1-資產負債_既有債務!$F$24:$F$31)*資產負債_既有債務!$C$24:$C$31*(資產負債_既有債務!$G$13:$G$20=2)),0)</f>
        <v>0</v>
      </c>
      <c r="F42" s="62" t="n">
        <f aca="false">IF(輸入與假設!$C$100=1,SUMPRODUCT((1-資產負債_既有債務!$F$24:$F$31)*資產負債_既有債務!$C$24:$C$31*(資產負債_既有債務!$G$13:$G$20=3)),0)</f>
        <v>0</v>
      </c>
      <c r="G42" s="62" t="n">
        <f aca="false">IF(輸入與假設!$C$100=1,SUMPRODUCT((1-資產負債_既有債務!$F$24:$F$31)*資產負債_既有債務!$C$24:$C$31*(資產負債_既有債務!$G$13:$G$20=4)),0)</f>
        <v>3.795</v>
      </c>
      <c r="I42" s="5" t="s">
        <v>1493</v>
      </c>
    </row>
    <row r="43" customFormat="false" ht="15" hidden="false" customHeight="false" outlineLevel="1" collapsed="false">
      <c r="A43" s="3" t="s">
        <v>1494</v>
      </c>
      <c r="B43" s="10" t="s">
        <v>56</v>
      </c>
      <c r="C43" s="62" t="n">
        <f aca="false">IF(輸入與假設!$C$100=1,SUMPRODUCT((1-資產負債_既有債務!$F$24:$F$31)*資產負債_既有債務!$C$24:$C$31*(資產負債_既有債務!$G$13:$G$20&gt;0)),SUMPRODUCT((1-資產負債_既有債務!$F$24:$F$31)*資產負債_既有債務!$C$24:$C$31))</f>
        <v>6.67</v>
      </c>
      <c r="D43" s="62" t="n">
        <f aca="false">IF(輸入與假設!$C$100=1,SUMPRODUCT((1-資產負債_既有債務!$F$24:$F$31)*資產負債_既有債務!$C$24:$C$31*(資產負債_既有債務!$G$13:$G$20&gt;1)),SUMPRODUCT((1-資產負債_既有債務!$F$24:$F$31)*資產負債_既有債務!$C$24:$C$31))</f>
        <v>6.67</v>
      </c>
      <c r="E43" s="62" t="n">
        <f aca="false">IF(輸入與假設!$C$100=1,SUMPRODUCT((1-資產負債_既有債務!$F$24:$F$31)*資產負債_既有債務!$C$24:$C$31*(資產負債_既有債務!$G$13:$G$20&gt;2)),SUMPRODUCT((1-資產負債_既有債務!$F$24:$F$31)*資產負債_既有債務!$C$24:$C$31))</f>
        <v>6.67</v>
      </c>
      <c r="F43" s="62" t="n">
        <f aca="false">IF(輸入與假設!$C$100=1,SUMPRODUCT((1-資產負債_既有債務!$F$24:$F$31)*資產負債_既有債務!$C$24:$C$31*(資產負債_既有債務!$G$13:$G$20&gt;3)),SUMPRODUCT((1-資產負債_既有債務!$F$24:$F$31)*資產負債_既有債務!$C$24:$C$31))</f>
        <v>6.67</v>
      </c>
      <c r="G43" s="62" t="n">
        <f aca="false">IF(輸入與假設!$C$100=1,SUMPRODUCT((1-資產負債_既有債務!$F$24:$F$31)*資產負債_既有債務!$C$24:$C$31*(資產負債_既有債務!$G$13:$G$20&gt;4)),SUMPRODUCT((1-資產負債_既有債務!$F$24:$F$31)*資產負債_既有債務!$C$24:$C$31))</f>
        <v>2.875</v>
      </c>
      <c r="I43" s="5" t="s">
        <v>1495</v>
      </c>
    </row>
    <row r="44" customFormat="false" ht="15" hidden="false" customHeight="false" outlineLevel="1" collapsed="false">
      <c r="A44" s="3" t="s">
        <v>1496</v>
      </c>
      <c r="B44" s="10" t="s">
        <v>56</v>
      </c>
      <c r="C44" s="62" t="n">
        <f aca="false">IF(輸入與假設!$C$100=1,SUMPRODUCT((1-資產負債_既有債務!$F$24:$F$31)*資產負債_既有債務!$D$13:$D$20*資產負債_既有債務!$C$13:$C$20*((資產負債_既有債務!$G$13:$G$20&gt;0)+0.5*(資產負債_既有債務!$G$13:$G$20=0))),SUMPRODUCT((1-資產負債_既有債務!$F$24:$F$31)*資產負債_既有債務!$D$13:$D$20*資產負債_既有債務!$C$13:$C$20))*輸入與假設!C$37</f>
        <v>0.060375</v>
      </c>
      <c r="D44" s="62" t="n">
        <f aca="false">IF(輸入與假設!$C$100=1,SUMPRODUCT((1-資產負債_既有債務!$F$24:$F$31)*資產負債_既有債務!$D$13:$D$20*資產負債_既有債務!$C$13:$C$20*((資產負債_既有債務!$G$13:$G$20&gt;1)+0.5*(資產負債_既有債務!$G$13:$G$20=1))),SUMPRODUCT((1-資產負債_既有債務!$F$24:$F$31)*資產負債_既有債務!$D$13:$D$20*資產負債_既有債務!$C$13:$C$20))*輸入與假設!D$37</f>
        <v>0.12075</v>
      </c>
      <c r="E44" s="62" t="n">
        <f aca="false">IF(輸入與假設!$C$100=1,SUMPRODUCT((1-資產負債_既有債務!$F$24:$F$31)*資產負債_既有債務!$D$13:$D$20*資產負債_既有債務!$C$13:$C$20*((資產負債_既有債務!$G$13:$G$20&gt;2)+0.5*(資產負債_既有債務!$G$13:$G$20=2))),SUMPRODUCT((1-資產負債_既有債務!$F$24:$F$31)*資產負債_既有債務!$D$13:$D$20*資產負債_既有債務!$C$13:$C$20))*輸入與假設!E$37</f>
        <v>0.12075</v>
      </c>
      <c r="F44" s="62" t="n">
        <f aca="false">IF(輸入與假設!$C$100=1,SUMPRODUCT((1-資產負債_既有債務!$F$24:$F$31)*資產負債_既有債務!$D$13:$D$20*資產負債_既有債務!$C$13:$C$20*((資產負債_既有債務!$G$13:$G$20&gt;3)+0.5*(資產負債_既有債務!$G$13:$G$20=3))),SUMPRODUCT((1-資產負債_既有債務!$F$24:$F$31)*資產負債_既有債務!$D$13:$D$20*資產負債_既有債務!$C$13:$C$20))*輸入與假設!F$37</f>
        <v>0.12075</v>
      </c>
      <c r="G44" s="62" t="n">
        <f aca="false">IF(輸入與假設!$C$100=1,SUMPRODUCT((1-資產負債_既有債務!$F$24:$F$31)*資產負債_既有債務!$D$13:$D$20*資產負債_既有債務!$C$13:$C$20*((資產負債_既有債務!$G$13:$G$20&gt;4)+0.5*(資產負債_既有債務!$G$13:$G$20=4))),SUMPRODUCT((1-資產負債_既有債務!$F$24:$F$31)*資產負債_既有債務!$D$13:$D$20*資產負債_既有債務!$C$13:$C$20))*輸入與假設!G$37</f>
        <v>0.112125</v>
      </c>
      <c r="I44" s="5" t="s">
        <v>1497</v>
      </c>
    </row>
    <row r="45" customFormat="false" ht="15" hidden="false" customHeight="false" outlineLevel="1" collapsed="false">
      <c r="A45" s="4" t="s">
        <v>1498</v>
      </c>
      <c r="B45" s="10" t="s">
        <v>56</v>
      </c>
      <c r="C45" s="24" t="n">
        <f aca="false">0</f>
        <v>0</v>
      </c>
      <c r="D45" s="24" t="n">
        <f aca="false">0</f>
        <v>0</v>
      </c>
      <c r="E45" s="24" t="n">
        <f aca="false">0</f>
        <v>0</v>
      </c>
      <c r="F45" s="24" t="n">
        <f aca="false">0</f>
        <v>0</v>
      </c>
      <c r="G45" s="24" t="n">
        <f aca="false">0</f>
        <v>0</v>
      </c>
      <c r="I45" s="5" t="s">
        <v>1499</v>
      </c>
    </row>
    <row r="46" customFormat="false" ht="15" hidden="false" customHeight="false" outlineLevel="1" collapsed="false">
      <c r="A46" s="2" t="s">
        <v>1500</v>
      </c>
      <c r="B46" s="10" t="s">
        <v>56</v>
      </c>
      <c r="C46" s="36" t="n">
        <f aca="false">C40+C41+C44+C45</f>
        <v>0.060375</v>
      </c>
      <c r="D46" s="36" t="n">
        <f aca="false">D40+D41+D44+D45</f>
        <v>0.12075</v>
      </c>
      <c r="E46" s="36" t="n">
        <f aca="false">E40+E41+E44+E45</f>
        <v>0.12075</v>
      </c>
      <c r="F46" s="36" t="n">
        <f aca="false">F40+F41+F44+F45</f>
        <v>0.12075</v>
      </c>
      <c r="G46" s="36" t="n">
        <f aca="false">G40+G41+G44+G45</f>
        <v>0.112125</v>
      </c>
      <c r="I46" s="5" t="s">
        <v>1501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1502</v>
      </c>
    </row>
    <row r="2" customFormat="false" ht="15" hidden="false" customHeight="false" outlineLevel="0" collapsed="false">
      <c r="A2" s="5" t="s">
        <v>1503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139</v>
      </c>
      <c r="G4" s="26" t="s">
        <v>140</v>
      </c>
      <c r="I4" s="13" t="s">
        <v>643</v>
      </c>
    </row>
    <row r="5" customFormat="false" ht="15" hidden="false" customHeight="false" outlineLevel="0" collapsed="false">
      <c r="A5" s="46" t="s">
        <v>1504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1505</v>
      </c>
      <c r="B6" s="10" t="s">
        <v>56</v>
      </c>
      <c r="C6" s="62" t="n">
        <f aca="false">輸入與假設!$C$95</f>
        <v>8.0421</v>
      </c>
      <c r="D6" s="62" t="n">
        <f aca="false">各期收支!C47</f>
        <v>2.17986958711722</v>
      </c>
      <c r="E6" s="62" t="n">
        <f aca="false">各期收支!D47</f>
        <v>2.00000000000001</v>
      </c>
      <c r="F6" s="62" t="n">
        <f aca="false">各期收支!E47</f>
        <v>2.00000000000001</v>
      </c>
      <c r="G6" s="62" t="n">
        <f aca="false">各期收支!F47</f>
        <v>2.00000000000001</v>
      </c>
      <c r="I6" s="10" t="s">
        <v>1506</v>
      </c>
    </row>
    <row r="7" customFormat="false" ht="15" hidden="false" customHeight="false" outlineLevel="1" collapsed="false">
      <c r="A7" s="3" t="s">
        <v>1507</v>
      </c>
      <c r="B7" s="10" t="s">
        <v>56</v>
      </c>
      <c r="C7" s="62" t="n">
        <f aca="false">各期收支!C83-輸入與假設!$C$95</f>
        <v>-5.86223041288278</v>
      </c>
      <c r="D7" s="62" t="n">
        <f aca="false">各期收支!D83-各期收支!C83</f>
        <v>-18.2817557579227</v>
      </c>
      <c r="E7" s="62" t="n">
        <f aca="false">各期收支!E83-各期收支!D83</f>
        <v>-18.024435224227</v>
      </c>
      <c r="F7" s="62" t="n">
        <f aca="false">各期收支!F83-各期收支!E83</f>
        <v>-16.3736598811941</v>
      </c>
      <c r="G7" s="62" t="n">
        <f aca="false">各期收支!G83-各期收支!F83</f>
        <v>-27.2998224432405</v>
      </c>
      <c r="I7" s="5" t="s">
        <v>1508</v>
      </c>
    </row>
    <row r="8" customFormat="false" ht="15" hidden="false" customHeight="false" outlineLevel="1" collapsed="false">
      <c r="A8" s="3" t="s">
        <v>1509</v>
      </c>
      <c r="B8" s="10" t="s">
        <v>56</v>
      </c>
      <c r="C8" s="62" t="n">
        <f aca="false">各期收支!C66</f>
        <v>0</v>
      </c>
      <c r="D8" s="62" t="n">
        <f aca="false">各期收支!D66</f>
        <v>7.014069</v>
      </c>
      <c r="E8" s="62" t="n">
        <f aca="false">各期收支!E66</f>
        <v>0</v>
      </c>
      <c r="F8" s="62" t="n">
        <f aca="false">各期收支!F66</f>
        <v>0</v>
      </c>
      <c r="G8" s="62" t="n">
        <f aca="false">各期收支!G66</f>
        <v>0</v>
      </c>
    </row>
    <row r="9" customFormat="false" ht="15" hidden="false" customHeight="false" outlineLevel="1" collapsed="false">
      <c r="A9" s="3" t="s">
        <v>1510</v>
      </c>
      <c r="B9" s="10" t="s">
        <v>56</v>
      </c>
      <c r="C9" s="62" t="n">
        <f aca="false">各期收支!C69</f>
        <v>0</v>
      </c>
      <c r="D9" s="62" t="n">
        <f aca="false">各期收支!D69</f>
        <v>5</v>
      </c>
      <c r="E9" s="62" t="n">
        <f aca="false">各期收支!E69</f>
        <v>5</v>
      </c>
      <c r="F9" s="62" t="n">
        <f aca="false">各期收支!F69</f>
        <v>5</v>
      </c>
      <c r="G9" s="62" t="n">
        <f aca="false">各期收支!G69</f>
        <v>5</v>
      </c>
    </row>
    <row r="10" customFormat="false" ht="15" hidden="false" customHeight="false" outlineLevel="1" collapsed="false">
      <c r="A10" s="3" t="s">
        <v>1511</v>
      </c>
      <c r="B10" s="10" t="s">
        <v>56</v>
      </c>
      <c r="C10" s="62" t="n">
        <f aca="false">各期收支!C73</f>
        <v>0</v>
      </c>
      <c r="D10" s="62" t="n">
        <f aca="false">各期收支!D73</f>
        <v>0</v>
      </c>
      <c r="E10" s="62" t="n">
        <f aca="false">各期收支!E73</f>
        <v>0</v>
      </c>
      <c r="F10" s="62" t="n">
        <f aca="false">各期收支!F73</f>
        <v>0</v>
      </c>
      <c r="G10" s="62" t="n">
        <f aca="false">各期收支!G73</f>
        <v>8.79973378209146</v>
      </c>
    </row>
    <row r="11" customFormat="false" ht="15" hidden="false" customHeight="false" outlineLevel="1" collapsed="false">
      <c r="A11" s="3" t="s">
        <v>1512</v>
      </c>
      <c r="B11" s="10" t="s">
        <v>56</v>
      </c>
      <c r="C11" s="62" t="n">
        <f aca="false">各期收支!C72</f>
        <v>0</v>
      </c>
      <c r="D11" s="62" t="n">
        <f aca="false">各期收支!D72</f>
        <v>6.64873165580547</v>
      </c>
      <c r="E11" s="62" t="n">
        <f aca="false">各期收支!E72</f>
        <v>13.690349709227</v>
      </c>
      <c r="F11" s="62" t="n">
        <f aca="false">各期收支!F72</f>
        <v>12.1445743661941</v>
      </c>
      <c r="G11" s="62" t="n">
        <f aca="false">各期收支!G72</f>
        <v>15.4319712</v>
      </c>
    </row>
    <row r="12" customFormat="false" ht="15" hidden="false" customHeight="false" outlineLevel="1" collapsed="false">
      <c r="A12" s="3" t="s">
        <v>1513</v>
      </c>
      <c r="B12" s="10" t="s">
        <v>56</v>
      </c>
      <c r="C12" s="62" t="n">
        <f aca="false">-各期收支!C74</f>
        <v>-0</v>
      </c>
      <c r="D12" s="62" t="n">
        <f aca="false">-各期收支!D74</f>
        <v>-0.560914485</v>
      </c>
      <c r="E12" s="62" t="n">
        <f aca="false">-各期收支!E74</f>
        <v>-0.665914485</v>
      </c>
      <c r="F12" s="62" t="n">
        <f aca="false">-各期收支!F74</f>
        <v>-0.770914485</v>
      </c>
      <c r="G12" s="62" t="n">
        <f aca="false">-各期收支!G74</f>
        <v>-1.93188253885097</v>
      </c>
    </row>
    <row r="13" customFormat="false" ht="15" hidden="false" customHeight="false" outlineLevel="1" collapsed="false">
      <c r="A13" s="2" t="s">
        <v>1514</v>
      </c>
      <c r="B13" s="10" t="s">
        <v>56</v>
      </c>
      <c r="C13" s="36" t="n">
        <f aca="false">SUM(C6:C12)</f>
        <v>2.17986958711722</v>
      </c>
      <c r="D13" s="36" t="n">
        <f aca="false">SUM(D6:D12)</f>
        <v>2</v>
      </c>
      <c r="E13" s="36" t="n">
        <f aca="false">SUM(E6:E12)</f>
        <v>2</v>
      </c>
      <c r="F13" s="36" t="n">
        <f aca="false">SUM(F6:F12)</f>
        <v>2.00000000000001</v>
      </c>
      <c r="G13" s="36" t="n">
        <f aca="false">SUM(G6:G12)</f>
        <v>2</v>
      </c>
      <c r="I13" s="5" t="s">
        <v>1515</v>
      </c>
    </row>
    <row r="14" customFormat="false" ht="15" hidden="false" customHeight="false" outlineLevel="1" collapsed="false">
      <c r="A14" s="3" t="s">
        <v>1516</v>
      </c>
      <c r="B14" s="10" t="s">
        <v>56</v>
      </c>
      <c r="C14" s="62" t="n">
        <f aca="false">C13-各期收支!C47</f>
        <v>0</v>
      </c>
      <c r="D14" s="62" t="n">
        <f aca="false">D13-各期收支!D47</f>
        <v>0</v>
      </c>
      <c r="E14" s="62" t="n">
        <f aca="false">E13-各期收支!E47</f>
        <v>0</v>
      </c>
      <c r="F14" s="62" t="n">
        <f aca="false">F13-各期收支!F47</f>
        <v>0</v>
      </c>
      <c r="G14" s="62" t="n">
        <f aca="false">G13-各期收支!G47</f>
        <v>0</v>
      </c>
      <c r="I14" s="5" t="s">
        <v>1517</v>
      </c>
    </row>
    <row r="15" customFormat="false" ht="15" hidden="false" customHeight="false" outlineLevel="0" collapsed="false">
      <c r="A15" s="46" t="s">
        <v>1518</v>
      </c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1" collapsed="false">
      <c r="A16" s="3" t="s">
        <v>1519</v>
      </c>
      <c r="B16" s="10" t="s">
        <v>56</v>
      </c>
      <c r="C16" s="62" t="n">
        <f aca="false">資產負債_既有債務!$E$6+SUMPRODUCT((1-資產負債_既有債務!$F$24:$F$31)*資產負債_既有債務!$C$24:$C$31)</f>
        <v>6.7167</v>
      </c>
      <c r="D16" s="62" t="n">
        <f aca="false">C18</f>
        <v>6.67</v>
      </c>
      <c r="E16" s="62" t="n">
        <f aca="false">D18</f>
        <v>6.67</v>
      </c>
      <c r="F16" s="62" t="n">
        <f aca="false">E18</f>
        <v>6.67</v>
      </c>
      <c r="G16" s="62" t="n">
        <f aca="false">F18</f>
        <v>6.67</v>
      </c>
      <c r="I16" s="10" t="s">
        <v>1520</v>
      </c>
    </row>
    <row r="17" customFormat="false" ht="15" hidden="false" customHeight="false" outlineLevel="1" collapsed="false">
      <c r="A17" s="3" t="s">
        <v>1521</v>
      </c>
      <c r="B17" s="10" t="s">
        <v>56</v>
      </c>
      <c r="C17" s="62" t="n">
        <f aca="false">-IF(輸入與假設!$C$100=1,輸入與假設!C$120,0)-資產負債_既有債務!C42</f>
        <v>-0.0467</v>
      </c>
      <c r="D17" s="62" t="n">
        <f aca="false">-IF(輸入與假設!$C$100=1,輸入與假設!D$120,0)-資產負債_既有債務!D42</f>
        <v>-0</v>
      </c>
      <c r="E17" s="62" t="n">
        <f aca="false">-IF(輸入與假設!$C$100=1,輸入與假設!E$120,0)-資產負債_既有債務!E42</f>
        <v>-0</v>
      </c>
      <c r="F17" s="62" t="n">
        <f aca="false">-IF(輸入與假設!$C$100=1,輸入與假設!F$120,0)-資產負債_既有債務!F42</f>
        <v>-0</v>
      </c>
      <c r="G17" s="62" t="n">
        <f aca="false">-IF(輸入與假設!$C$100=1,輸入與假設!G$120,0)-資產負債_既有債務!G42</f>
        <v>-3.795</v>
      </c>
    </row>
    <row r="18" customFormat="false" ht="15" hidden="false" customHeight="false" outlineLevel="1" collapsed="false">
      <c r="A18" s="3" t="s">
        <v>1522</v>
      </c>
      <c r="B18" s="10" t="s">
        <v>56</v>
      </c>
      <c r="C18" s="62" t="n">
        <f aca="false">各期收支!C62-0</f>
        <v>6.67</v>
      </c>
      <c r="D18" s="62" t="n">
        <f aca="false">各期收支!D62-0</f>
        <v>6.67</v>
      </c>
      <c r="E18" s="62" t="n">
        <f aca="false">各期收支!E62-0</f>
        <v>6.67</v>
      </c>
      <c r="F18" s="62" t="n">
        <f aca="false">各期收支!F62-0</f>
        <v>6.67</v>
      </c>
      <c r="G18" s="62" t="n">
        <f aca="false">各期收支!G62-0</f>
        <v>2.875</v>
      </c>
      <c r="I18" s="5" t="s">
        <v>1523</v>
      </c>
    </row>
    <row r="19" customFormat="false" ht="15" hidden="false" customHeight="false" outlineLevel="1" collapsed="false">
      <c r="A19" s="3" t="s">
        <v>1524</v>
      </c>
      <c r="B19" s="10" t="s">
        <v>56</v>
      </c>
      <c r="C19" s="62" t="n">
        <f aca="false">0</f>
        <v>0</v>
      </c>
      <c r="D19" s="62" t="n">
        <f aca="false">0</f>
        <v>0</v>
      </c>
      <c r="E19" s="62" t="n">
        <f aca="false">0</f>
        <v>0</v>
      </c>
      <c r="F19" s="62" t="n">
        <f aca="false">0</f>
        <v>0</v>
      </c>
      <c r="G19" s="62" t="n">
        <f aca="false">0</f>
        <v>0</v>
      </c>
    </row>
    <row r="20" customFormat="false" ht="15" hidden="false" customHeight="false" outlineLevel="1" collapsed="false">
      <c r="A20" s="3" t="s">
        <v>1525</v>
      </c>
      <c r="B20" s="10" t="s">
        <v>56</v>
      </c>
      <c r="C20" s="62" t="n">
        <f aca="false">各期收支!C78</f>
        <v>0</v>
      </c>
      <c r="D20" s="62" t="n">
        <f aca="false">各期收支!D78</f>
        <v>7.014069</v>
      </c>
      <c r="E20" s="62" t="n">
        <f aca="false">各期收支!E78</f>
        <v>7.014069</v>
      </c>
      <c r="F20" s="62" t="n">
        <f aca="false">各期收支!F78</f>
        <v>7.014069</v>
      </c>
      <c r="G20" s="62" t="n">
        <f aca="false">各期收支!G78</f>
        <v>7.014069</v>
      </c>
    </row>
    <row r="21" customFormat="false" ht="15" hidden="false" customHeight="false" outlineLevel="1" collapsed="false">
      <c r="A21" s="3" t="s">
        <v>1526</v>
      </c>
      <c r="B21" s="10" t="s">
        <v>56</v>
      </c>
      <c r="C21" s="62" t="n">
        <f aca="false">各期收支!C81</f>
        <v>0</v>
      </c>
      <c r="D21" s="62" t="n">
        <f aca="false">各期收支!D81</f>
        <v>5</v>
      </c>
      <c r="E21" s="62" t="n">
        <f aca="false">各期收支!E81</f>
        <v>10</v>
      </c>
      <c r="F21" s="62" t="n">
        <f aca="false">各期收支!F81</f>
        <v>15</v>
      </c>
      <c r="G21" s="62" t="n">
        <f aca="false">各期收支!G81</f>
        <v>20</v>
      </c>
    </row>
    <row r="22" customFormat="false" ht="15" hidden="false" customHeight="false" outlineLevel="1" collapsed="false">
      <c r="A22" s="3" t="s">
        <v>1527</v>
      </c>
      <c r="B22" s="10" t="s">
        <v>56</v>
      </c>
      <c r="C22" s="62" t="n">
        <f aca="false">各期收支!C80</f>
        <v>0</v>
      </c>
      <c r="D22" s="62" t="n">
        <f aca="false">各期收支!D80</f>
        <v>0</v>
      </c>
      <c r="E22" s="62" t="n">
        <f aca="false">各期收支!E80</f>
        <v>0</v>
      </c>
      <c r="F22" s="62" t="n">
        <f aca="false">各期收支!F80</f>
        <v>0</v>
      </c>
      <c r="G22" s="62" t="n">
        <f aca="false">各期收支!G80</f>
        <v>8.79973378209146</v>
      </c>
    </row>
    <row r="23" customFormat="false" ht="15" hidden="false" customHeight="false" outlineLevel="1" collapsed="false">
      <c r="A23" s="2" t="s">
        <v>1528</v>
      </c>
      <c r="B23" s="10" t="s">
        <v>56</v>
      </c>
      <c r="C23" s="36" t="n">
        <f aca="false">SUM(C18:C22)</f>
        <v>6.67</v>
      </c>
      <c r="D23" s="36" t="n">
        <f aca="false">SUM(D18:D22)</f>
        <v>18.684069</v>
      </c>
      <c r="E23" s="36" t="n">
        <f aca="false">SUM(E18:E22)</f>
        <v>23.684069</v>
      </c>
      <c r="F23" s="36" t="n">
        <f aca="false">SUM(F18:F22)</f>
        <v>28.684069</v>
      </c>
      <c r="G23" s="36" t="n">
        <f aca="false">SUM(G18:G22)</f>
        <v>38.6888027820915</v>
      </c>
      <c r="I23" s="5" t="s">
        <v>1529</v>
      </c>
    </row>
    <row r="24" customFormat="false" ht="15" hidden="false" customHeight="false" outlineLevel="1" collapsed="false">
      <c r="A24" s="2" t="s">
        <v>1530</v>
      </c>
      <c r="B24" s="10" t="s">
        <v>56</v>
      </c>
      <c r="C24" s="36" t="n">
        <f aca="false">C23-C13</f>
        <v>4.49013041288278</v>
      </c>
      <c r="D24" s="36" t="n">
        <f aca="false">D23-D13</f>
        <v>16.684069</v>
      </c>
      <c r="E24" s="36" t="n">
        <f aca="false">E23-E13</f>
        <v>21.684069</v>
      </c>
      <c r="F24" s="36" t="n">
        <f aca="false">F23-F13</f>
        <v>26.684069</v>
      </c>
      <c r="G24" s="36" t="n">
        <f aca="false">G23-G13</f>
        <v>36.6888027820915</v>
      </c>
    </row>
    <row r="25" customFormat="false" ht="15" hidden="false" customHeight="false" outlineLevel="0" collapsed="false">
      <c r="A25" s="46" t="s">
        <v>1531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3" t="s">
        <v>1532</v>
      </c>
      <c r="B26" s="10" t="s">
        <v>318</v>
      </c>
      <c r="C26" s="50" t="n">
        <f aca="false">損益!C20</f>
        <v>0.3193</v>
      </c>
      <c r="D26" s="50" t="n">
        <f aca="false">損益!D20</f>
        <v>0.322493</v>
      </c>
      <c r="E26" s="50" t="n">
        <f aca="false">損益!E20</f>
        <v>0.32571793</v>
      </c>
      <c r="F26" s="50" t="n">
        <f aca="false">損益!F20</f>
        <v>0.3289751093</v>
      </c>
      <c r="G26" s="50" t="n">
        <f aca="false">損益!G20</f>
        <v>0.332264860393</v>
      </c>
    </row>
    <row r="27" customFormat="false" ht="15" hidden="false" customHeight="false" outlineLevel="1" collapsed="false">
      <c r="A27" s="3" t="s">
        <v>1533</v>
      </c>
      <c r="B27" s="10" t="s">
        <v>318</v>
      </c>
      <c r="C27" s="50" t="n">
        <f aca="false">各期收支!C76</f>
        <v>0</v>
      </c>
      <c r="D27" s="50" t="n">
        <f aca="false">各期收支!D76</f>
        <v>0.0295652924223061</v>
      </c>
      <c r="E27" s="50" t="n">
        <f aca="false">各期收支!E76</f>
        <v>0.0608776550883216</v>
      </c>
      <c r="F27" s="50" t="n">
        <f aca="false">各期收支!F76</f>
        <v>0.0540039681354044</v>
      </c>
      <c r="G27" s="50" t="n">
        <f aca="false">各期收支!G76</f>
        <v>0.0686222222222222</v>
      </c>
    </row>
    <row r="28" customFormat="false" ht="15" hidden="false" customHeight="false" outlineLevel="1" collapsed="false">
      <c r="A28" s="2" t="s">
        <v>1534</v>
      </c>
      <c r="B28" s="10" t="s">
        <v>318</v>
      </c>
      <c r="C28" s="51" t="n">
        <f aca="false">損益!C21</f>
        <v>0.3193</v>
      </c>
      <c r="D28" s="51" t="n">
        <f aca="false">損益!D21</f>
        <v>0.352058292422306</v>
      </c>
      <c r="E28" s="51" t="n">
        <f aca="false">損益!E21</f>
        <v>0.416160877510628</v>
      </c>
      <c r="F28" s="51" t="n">
        <f aca="false">損益!F21</f>
        <v>0.473422024946032</v>
      </c>
      <c r="G28" s="51" t="n">
        <f aca="false">損益!G21</f>
        <v>0.545333998261254</v>
      </c>
      <c r="I28" s="5" t="s">
        <v>1535</v>
      </c>
    </row>
    <row r="29" customFormat="false" ht="15" hidden="false" customHeight="false" outlineLevel="0" collapsed="false">
      <c r="A29" s="46" t="s">
        <v>1536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729</v>
      </c>
      <c r="B30" s="10" t="s">
        <v>56</v>
      </c>
      <c r="C30" s="62" t="n">
        <f aca="false">各期收支!C61</f>
        <v>34.116446</v>
      </c>
      <c r="D30" s="62" t="n">
        <f aca="false">各期收支!D61</f>
        <v>27.368138</v>
      </c>
      <c r="E30" s="62" t="n">
        <f aca="false">各期收支!E61</f>
        <v>32.2780529739898</v>
      </c>
      <c r="F30" s="62" t="n">
        <f aca="false">各期收支!F61</f>
        <v>32.3796544745921</v>
      </c>
      <c r="G30" s="62" t="n">
        <f aca="false">各期收支!G61</f>
        <v>27.9281246486104</v>
      </c>
    </row>
    <row r="31" customFormat="false" ht="15" hidden="false" customHeight="false" outlineLevel="1" collapsed="false">
      <c r="A31" s="3" t="s">
        <v>733</v>
      </c>
      <c r="B31" s="10" t="s">
        <v>56</v>
      </c>
      <c r="C31" s="62" t="n">
        <f aca="false">各期收支!C63</f>
        <v>17.058223</v>
      </c>
      <c r="D31" s="62" t="n">
        <f aca="false">各期收支!D63</f>
        <v>13.684069</v>
      </c>
      <c r="E31" s="62" t="n">
        <f aca="false">各期收支!E63</f>
        <v>16.1390264869949</v>
      </c>
      <c r="F31" s="62" t="n">
        <f aca="false">各期收支!F63</f>
        <v>16.189827237296</v>
      </c>
      <c r="G31" s="62" t="n">
        <f aca="false">各期收支!G63</f>
        <v>13.9640623243052</v>
      </c>
    </row>
    <row r="32" customFormat="false" ht="15" hidden="false" customHeight="false" outlineLevel="1" collapsed="false">
      <c r="A32" s="3" t="s">
        <v>1537</v>
      </c>
      <c r="B32" s="10" t="s">
        <v>102</v>
      </c>
      <c r="C32" s="85" t="n">
        <f aca="false">C23/MAX(0.01,C30)</f>
        <v>0.195506882516426</v>
      </c>
      <c r="D32" s="85" t="n">
        <f aca="false">D23/MAX(0.01,D30)</f>
        <v>0.682694197171908</v>
      </c>
      <c r="E32" s="85" t="n">
        <f aca="false">E23/MAX(0.01,E30)</f>
        <v>0.733751475626024</v>
      </c>
      <c r="F32" s="85" t="n">
        <f aca="false">F23/MAX(0.01,F30)</f>
        <v>0.885867050326557</v>
      </c>
      <c r="G32" s="85" t="n">
        <f aca="false">G23/MAX(0.01,G30)</f>
        <v>1.3852989869127</v>
      </c>
      <c r="I32" s="5" t="s">
        <v>1538</v>
      </c>
    </row>
    <row r="33" customFormat="false" ht="15" hidden="false" customHeight="false" outlineLevel="1" collapsed="false">
      <c r="A33" s="3" t="s">
        <v>1539</v>
      </c>
      <c r="B33" s="10" t="s">
        <v>102</v>
      </c>
      <c r="C33" s="86" t="n">
        <f aca="false">C23/MAX(0.01,損益!C19/輸入與假設!C$37)</f>
        <v>5.73985512890345</v>
      </c>
      <c r="D33" s="86" t="n">
        <f aca="false">D23/MAX(0.01,損益!D19/輸入與假設!D$37)</f>
        <v>6.70082244819151</v>
      </c>
      <c r="E33" s="86" t="n">
        <f aca="false">E23/MAX(0.01,損益!E19/輸入與假設!E$37)</f>
        <v>3.78395195977027</v>
      </c>
      <c r="F33" s="86" t="n">
        <f aca="false">F23/MAX(0.01,損益!F19/輸入與假設!F$37)</f>
        <v>2.97493701408807</v>
      </c>
      <c r="G33" s="86" t="n">
        <f aca="false">G23/MAX(0.01,損益!G19/輸入與假設!G$37)</f>
        <v>3.16492268413587</v>
      </c>
      <c r="I33" s="10" t="s">
        <v>1540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1" t="s">
        <v>1541</v>
      </c>
    </row>
    <row r="2" customFormat="false" ht="15" hidden="false" customHeight="false" outlineLevel="0" collapsed="false">
      <c r="A2" s="5" t="s">
        <v>1542</v>
      </c>
    </row>
    <row r="4" customFormat="false" ht="15" hidden="false" customHeight="false" outlineLevel="0" collapsed="false">
      <c r="A4" s="2" t="s">
        <v>1543</v>
      </c>
    </row>
    <row r="5" customFormat="false" ht="17.15" hidden="false" customHeight="false" outlineLevel="0" collapsed="false">
      <c r="A5" s="13" t="s">
        <v>50</v>
      </c>
      <c r="B5" s="13" t="s">
        <v>51</v>
      </c>
      <c r="C5" s="14" t="s">
        <v>1544</v>
      </c>
      <c r="D5" s="14" t="s">
        <v>1019</v>
      </c>
      <c r="E5" s="14" t="s">
        <v>1545</v>
      </c>
      <c r="F5" s="14" t="s">
        <v>1546</v>
      </c>
      <c r="G5" s="14" t="s">
        <v>1547</v>
      </c>
      <c r="H5" s="13" t="s">
        <v>1548</v>
      </c>
    </row>
    <row r="6" customFormat="false" ht="15" hidden="false" customHeight="false" outlineLevel="0" collapsed="false">
      <c r="A6" s="3" t="s">
        <v>1549</v>
      </c>
      <c r="B6" s="10" t="s">
        <v>56</v>
      </c>
      <c r="C6" s="24" t="n">
        <v>0.0916</v>
      </c>
      <c r="D6" s="24" t="n">
        <v>0.2352</v>
      </c>
      <c r="E6" s="24" t="n">
        <v>0.2342</v>
      </c>
      <c r="F6" s="24" t="n">
        <v>0.2414</v>
      </c>
      <c r="G6" s="24" t="n">
        <v>0.2427</v>
      </c>
      <c r="H6" s="24" t="n">
        <v>1.13</v>
      </c>
    </row>
    <row r="7" customFormat="false" ht="15" hidden="false" customHeight="false" outlineLevel="0" collapsed="false">
      <c r="A7" s="3" t="s">
        <v>1550</v>
      </c>
      <c r="B7" s="10" t="s">
        <v>56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1551</v>
      </c>
      <c r="C8" s="53" t="n">
        <f aca="false">SUM(C6:C7)</f>
        <v>0.0916</v>
      </c>
      <c r="D8" s="53" t="n">
        <f aca="false">SUM(D6:D7)</f>
        <v>0.2352</v>
      </c>
      <c r="E8" s="53" t="n">
        <f aca="false">SUM(E6:E7)</f>
        <v>0.2342</v>
      </c>
      <c r="F8" s="53" t="n">
        <f aca="false">SUM(F6:F7)</f>
        <v>0.2414</v>
      </c>
      <c r="G8" s="53" t="n">
        <f aca="false">SUM(G6:G7)</f>
        <v>0.2427</v>
      </c>
      <c r="H8" s="53" t="n">
        <f aca="false">SUM(H6:H7)</f>
        <v>1.13</v>
      </c>
      <c r="I8" s="5" t="s">
        <v>1552</v>
      </c>
    </row>
    <row r="10" customFormat="false" ht="15" hidden="false" customHeight="false" outlineLevel="0" collapsed="false">
      <c r="A10" s="2" t="s">
        <v>1553</v>
      </c>
    </row>
    <row r="11" customFormat="false" ht="17.15" hidden="false" customHeight="false" outlineLevel="0" collapsed="false">
      <c r="A11" s="13" t="s">
        <v>50</v>
      </c>
      <c r="B11" s="13" t="s">
        <v>51</v>
      </c>
      <c r="C11" s="14" t="s">
        <v>1544</v>
      </c>
      <c r="D11" s="14" t="s">
        <v>1019</v>
      </c>
      <c r="E11" s="14" t="s">
        <v>1545</v>
      </c>
      <c r="F11" s="14" t="s">
        <v>1546</v>
      </c>
      <c r="G11" s="14" t="s">
        <v>1547</v>
      </c>
      <c r="H11" s="13" t="s">
        <v>1548</v>
      </c>
    </row>
    <row r="12" customFormat="false" ht="15" hidden="false" customHeight="false" outlineLevel="0" collapsed="false">
      <c r="A12" s="3" t="s">
        <v>1554</v>
      </c>
      <c r="B12" s="10" t="s">
        <v>56</v>
      </c>
      <c r="C12" s="24" t="n">
        <v>0.0467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5" t="s">
        <v>1555</v>
      </c>
    </row>
    <row r="13" customFormat="false" ht="15" hidden="false" customHeight="false" outlineLevel="0" collapsed="false">
      <c r="A13" s="2" t="s">
        <v>1480</v>
      </c>
      <c r="C13" s="53" t="n">
        <f aca="false">SUM(C12:H12)</f>
        <v>0.0467</v>
      </c>
    </row>
    <row r="15" customFormat="false" ht="15" hidden="false" customHeight="false" outlineLevel="0" collapsed="false">
      <c r="A15" s="2" t="s">
        <v>1556</v>
      </c>
    </row>
    <row r="16" customFormat="false" ht="15" hidden="false" customHeight="false" outlineLevel="0" collapsed="false">
      <c r="A16" s="13" t="s">
        <v>50</v>
      </c>
      <c r="B16" s="13" t="s">
        <v>51</v>
      </c>
      <c r="C16" s="13" t="s">
        <v>1557</v>
      </c>
      <c r="D16" s="13" t="s">
        <v>1014</v>
      </c>
      <c r="E16" s="13" t="s">
        <v>1558</v>
      </c>
      <c r="F16" s="13" t="s">
        <v>1559</v>
      </c>
    </row>
    <row r="17" customFormat="false" ht="15" hidden="false" customHeight="false" outlineLevel="0" collapsed="false">
      <c r="A17" s="3" t="s">
        <v>1560</v>
      </c>
      <c r="B17" s="10" t="s">
        <v>56</v>
      </c>
      <c r="C17" s="87" t="n">
        <v>12.0541</v>
      </c>
      <c r="D17" s="5" t="s">
        <v>1561</v>
      </c>
      <c r="E17" s="5" t="s">
        <v>1562</v>
      </c>
      <c r="F17" s="5" t="s">
        <v>1563</v>
      </c>
    </row>
    <row r="18" customFormat="false" ht="15" hidden="false" customHeight="false" outlineLevel="0" collapsed="false">
      <c r="A18" s="3" t="s">
        <v>1564</v>
      </c>
      <c r="B18" s="10" t="s">
        <v>56</v>
      </c>
      <c r="C18" s="87" t="n">
        <v>0</v>
      </c>
      <c r="D18" s="5" t="s">
        <v>1565</v>
      </c>
      <c r="E18" s="5" t="s">
        <v>1562</v>
      </c>
      <c r="F18" s="5" t="s">
        <v>1563</v>
      </c>
    </row>
    <row r="19" customFormat="false" ht="15" hidden="false" customHeight="false" outlineLevel="0" collapsed="false">
      <c r="A19" s="3" t="s">
        <v>299</v>
      </c>
      <c r="B19" s="10" t="s">
        <v>56</v>
      </c>
      <c r="C19" s="87" t="n">
        <v>0.775</v>
      </c>
      <c r="D19" s="10" t="s">
        <v>1566</v>
      </c>
      <c r="E19" s="5" t="s">
        <v>1567</v>
      </c>
      <c r="F19" s="5" t="s">
        <v>1568</v>
      </c>
    </row>
    <row r="20" customFormat="false" ht="15" hidden="false" customHeight="false" outlineLevel="0" collapsed="false">
      <c r="A20" s="2" t="s">
        <v>1569</v>
      </c>
      <c r="C20" s="53" t="n">
        <f aca="false">C17+C18</f>
        <v>12.0541</v>
      </c>
    </row>
    <row r="21" customFormat="false" ht="15" hidden="false" customHeight="false" outlineLevel="0" collapsed="false">
      <c r="A21" s="3" t="s">
        <v>1570</v>
      </c>
      <c r="C21" s="88" t="n">
        <f aca="false">SUM(各期收支!C14:G14)</f>
        <v>2.77912332452708</v>
      </c>
    </row>
    <row r="22" customFormat="false" ht="15" hidden="false" customHeight="false" outlineLevel="0" collapsed="false">
      <c r="A22" s="3" t="s">
        <v>1571</v>
      </c>
      <c r="C22" s="52" t="n">
        <f aca="false">各期收支!G14*12</f>
        <v>9.0249877511024</v>
      </c>
    </row>
    <row r="23" customFormat="false" ht="15" hidden="false" customHeight="false" outlineLevel="0" collapsed="false">
      <c r="A23" s="2" t="s">
        <v>1572</v>
      </c>
      <c r="C23" s="89" t="n">
        <f aca="false">(C21+C22)/C20</f>
        <v>0.979261087566013</v>
      </c>
      <c r="I23" s="5" t="s">
        <v>1573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1" t="s">
        <v>1574</v>
      </c>
    </row>
    <row r="2" customFormat="false" ht="15" hidden="false" customHeight="false" outlineLevel="0" collapsed="false">
      <c r="A2" s="5" t="s">
        <v>1575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139</v>
      </c>
      <c r="G4" s="26" t="s">
        <v>140</v>
      </c>
      <c r="I4" s="13" t="s">
        <v>643</v>
      </c>
    </row>
    <row r="5" customFormat="false" ht="15" hidden="false" customHeight="false" outlineLevel="0" collapsed="false">
      <c r="A5" s="46" t="s">
        <v>1576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1577</v>
      </c>
      <c r="B6" s="10" t="s">
        <v>56</v>
      </c>
      <c r="C6" s="40" t="n">
        <f aca="false">運營_產能與收入!C25</f>
        <v>1.35819943134272</v>
      </c>
      <c r="D6" s="40" t="n">
        <f aca="false">運營_產能與收入!D25</f>
        <v>5.97516519818903</v>
      </c>
      <c r="E6" s="40" t="n">
        <f aca="false">運營_產能與收入!E25</f>
        <v>13.1397784869949</v>
      </c>
      <c r="F6" s="40" t="n">
        <f aca="false">運營_產能與收入!F25</f>
        <v>20.3228274807935</v>
      </c>
      <c r="G6" s="40" t="n">
        <f aca="false">運營_產能與收入!G25</f>
        <v>26.0090403081994</v>
      </c>
      <c r="I6" s="5" t="s">
        <v>1578</v>
      </c>
    </row>
    <row r="7" customFormat="false" ht="15" hidden="false" customHeight="false" outlineLevel="1" collapsed="false">
      <c r="A7" s="3" t="s">
        <v>1579</v>
      </c>
      <c r="B7" s="10" t="s">
        <v>56</v>
      </c>
      <c r="C7" s="40" t="n">
        <f aca="false">輸入與假設!C$46</f>
        <v>0</v>
      </c>
      <c r="D7" s="40" t="n">
        <f aca="false">輸入與假設!D$46</f>
        <v>0</v>
      </c>
      <c r="E7" s="40" t="n">
        <f aca="false">輸入與假設!E$46</f>
        <v>0</v>
      </c>
      <c r="F7" s="40" t="n">
        <f aca="false">輸入與假設!F$46</f>
        <v>0</v>
      </c>
      <c r="G7" s="40" t="n">
        <f aca="false">輸入與假設!G$46</f>
        <v>0</v>
      </c>
    </row>
    <row r="8" customFormat="false" ht="15" hidden="false" customHeight="false" outlineLevel="1" collapsed="false">
      <c r="A8" s="2" t="s">
        <v>1580</v>
      </c>
      <c r="B8" s="10" t="s">
        <v>56</v>
      </c>
      <c r="C8" s="36" t="n">
        <f aca="false">C6+C7</f>
        <v>1.35819943134272</v>
      </c>
      <c r="D8" s="36" t="n">
        <f aca="false">D6+D7</f>
        <v>5.97516519818903</v>
      </c>
      <c r="E8" s="36" t="n">
        <f aca="false">E6+E7</f>
        <v>13.1397784869949</v>
      </c>
      <c r="F8" s="36" t="n">
        <f aca="false">F6+F7</f>
        <v>20.3228274807935</v>
      </c>
      <c r="G8" s="36" t="n">
        <f aca="false">G6+G7</f>
        <v>26.0090403081994</v>
      </c>
    </row>
    <row r="9" customFormat="false" ht="15" hidden="false" customHeight="false" outlineLevel="1" collapsed="false">
      <c r="A9" s="4" t="s">
        <v>223</v>
      </c>
      <c r="B9" s="10" t="s">
        <v>42</v>
      </c>
      <c r="C9" s="47" t="n">
        <f aca="false">輸入與假設!C$53</f>
        <v>0.497</v>
      </c>
      <c r="D9" s="47" t="n">
        <f aca="false">輸入與假設!D$53</f>
        <v>0.49025</v>
      </c>
      <c r="E9" s="47" t="n">
        <f aca="false">輸入與假設!E$53</f>
        <v>0.4835</v>
      </c>
      <c r="F9" s="47" t="n">
        <f aca="false">輸入與假設!F$53</f>
        <v>0.47675</v>
      </c>
      <c r="G9" s="47" t="n">
        <f aca="false">輸入與假設!G$53</f>
        <v>0.47</v>
      </c>
    </row>
    <row r="10" customFormat="false" ht="15" hidden="false" customHeight="false" outlineLevel="1" collapsed="false">
      <c r="A10" s="3" t="s">
        <v>1581</v>
      </c>
      <c r="B10" s="10" t="s">
        <v>56</v>
      </c>
      <c r="C10" s="62" t="n">
        <f aca="false">C8*輸入與假設!C$53+輸入與假設!C$47-輸入與假設!C$92</f>
        <v>-1.72971937862267</v>
      </c>
      <c r="D10" s="62" t="n">
        <f aca="false">D8*輸入與假設!D$53+輸入與假設!D$47-輸入與假設!D$92</f>
        <v>-6.38449694958783</v>
      </c>
      <c r="E10" s="62" t="n">
        <f aca="false">E8*輸入與假設!E$53+輸入與假設!E$47-輸入與假設!E$92</f>
        <v>-8.58835090953796</v>
      </c>
      <c r="F10" s="62" t="n">
        <f aca="false">F8*輸入與假設!F$53+輸入與假設!F$47-輸入與假設!F$92</f>
        <v>-11.0352626385317</v>
      </c>
      <c r="G10" s="62" t="n">
        <f aca="false">G8*輸入與假設!G$53+輸入與假設!G$47-輸入與假設!G$92</f>
        <v>-14.2826585271463</v>
      </c>
      <c r="I10" s="5" t="s">
        <v>1582</v>
      </c>
    </row>
    <row r="11" customFormat="false" ht="15" hidden="false" customHeight="false" outlineLevel="1" collapsed="false">
      <c r="A11" s="3" t="s">
        <v>1583</v>
      </c>
      <c r="B11" s="10" t="s">
        <v>56</v>
      </c>
      <c r="C11" s="40" t="n">
        <f aca="false">各期收支!C20</f>
        <v>0.060375</v>
      </c>
      <c r="D11" s="40" t="n">
        <f aca="false">各期收支!D20</f>
        <v>0.681664485</v>
      </c>
      <c r="E11" s="40" t="n">
        <f aca="false">各期收支!E20</f>
        <v>0.786664485</v>
      </c>
      <c r="F11" s="40" t="n">
        <f aca="false">各期收支!F20</f>
        <v>0.891664485</v>
      </c>
      <c r="G11" s="40" t="n">
        <f aca="false">各期收支!G20</f>
        <v>2.04400753885097</v>
      </c>
    </row>
    <row r="12" customFormat="false" ht="15" hidden="false" customHeight="false" outlineLevel="1" collapsed="false">
      <c r="A12" s="3" t="s">
        <v>1584</v>
      </c>
      <c r="B12" s="10" t="s">
        <v>56</v>
      </c>
      <c r="C12" s="62" t="n">
        <f aca="false">C10-C11</f>
        <v>-1.79009437862267</v>
      </c>
      <c r="D12" s="62" t="n">
        <f aca="false">D10-D11</f>
        <v>-7.06616143458783</v>
      </c>
      <c r="E12" s="62" t="n">
        <f aca="false">E10-E11</f>
        <v>-9.37501539453796</v>
      </c>
      <c r="F12" s="62" t="n">
        <f aca="false">F10-F11</f>
        <v>-11.9269271235317</v>
      </c>
      <c r="G12" s="62" t="n">
        <f aca="false">G10-G11</f>
        <v>-16.3266660659973</v>
      </c>
    </row>
    <row r="13" customFormat="false" ht="15" hidden="false" customHeight="false" outlineLevel="1" collapsed="false">
      <c r="A13" s="4" t="s">
        <v>1585</v>
      </c>
      <c r="B13" s="10" t="s">
        <v>56</v>
      </c>
      <c r="C13" s="62" t="n">
        <f aca="false">輸入與假設!$C$139</f>
        <v>0.8</v>
      </c>
      <c r="D13" s="62" t="n">
        <f aca="false">C15</f>
        <v>2.59009437862267</v>
      </c>
      <c r="E13" s="62" t="n">
        <f aca="false">D15</f>
        <v>9.6562558132105</v>
      </c>
      <c r="F13" s="62" t="n">
        <f aca="false">E15</f>
        <v>19.0312712077485</v>
      </c>
      <c r="G13" s="62" t="n">
        <f aca="false">F15</f>
        <v>30.9581983312802</v>
      </c>
      <c r="I13" s="10" t="s">
        <v>1586</v>
      </c>
    </row>
    <row r="14" customFormat="false" ht="15" hidden="false" customHeight="false" outlineLevel="1" collapsed="false">
      <c r="A14" s="3" t="s">
        <v>1587</v>
      </c>
      <c r="B14" s="10" t="s">
        <v>56</v>
      </c>
      <c r="C14" s="62" t="n">
        <f aca="false">MIN(C13,MAX(0,C12)*輸入與假設!$C$140)</f>
        <v>0</v>
      </c>
      <c r="D14" s="62" t="n">
        <f aca="false">MIN(D13,MAX(0,D12)*輸入與假設!$C$140)</f>
        <v>0</v>
      </c>
      <c r="E14" s="62" t="n">
        <f aca="false">MIN(E13,MAX(0,E12)*輸入與假設!$C$140)</f>
        <v>0</v>
      </c>
      <c r="F14" s="62" t="n">
        <f aca="false">MIN(F13,MAX(0,F12)*輸入與假設!$C$140)</f>
        <v>0</v>
      </c>
      <c r="G14" s="62" t="n">
        <f aca="false">MIN(G13,MAX(0,G12)*輸入與假設!$C$140)</f>
        <v>0</v>
      </c>
      <c r="I14" s="5" t="s">
        <v>1588</v>
      </c>
    </row>
    <row r="15" customFormat="false" ht="15" hidden="false" customHeight="false" outlineLevel="1" collapsed="false">
      <c r="A15" s="4" t="s">
        <v>1589</v>
      </c>
      <c r="B15" s="10" t="s">
        <v>56</v>
      </c>
      <c r="C15" s="62" t="n">
        <f aca="false">C13-C14+MAX(0,-C12)</f>
        <v>2.59009437862267</v>
      </c>
      <c r="D15" s="62" t="n">
        <f aca="false">D13-D14+MAX(0,-D12)</f>
        <v>9.6562558132105</v>
      </c>
      <c r="E15" s="62" t="n">
        <f aca="false">E13-E14+MAX(0,-E12)</f>
        <v>19.0312712077485</v>
      </c>
      <c r="F15" s="62" t="n">
        <f aca="false">F13-F14+MAX(0,-F12)</f>
        <v>30.9581983312802</v>
      </c>
      <c r="G15" s="62" t="n">
        <f aca="false">G13-G14+MAX(0,-G12)</f>
        <v>47.2848643972774</v>
      </c>
    </row>
    <row r="16" customFormat="false" ht="15" hidden="false" customHeight="false" outlineLevel="1" collapsed="false">
      <c r="A16" s="3" t="s">
        <v>1590</v>
      </c>
      <c r="B16" s="10" t="s">
        <v>56</v>
      </c>
      <c r="C16" s="62" t="n">
        <f aca="false">MAX(0,C12-C14)*輸入與假設!$C$138</f>
        <v>0</v>
      </c>
      <c r="D16" s="62" t="n">
        <f aca="false">MAX(0,D12-D14)*輸入與假設!$C$138</f>
        <v>0</v>
      </c>
      <c r="E16" s="62" t="n">
        <f aca="false">MAX(0,E12-E14)*輸入與假設!$C$138</f>
        <v>0</v>
      </c>
      <c r="F16" s="62" t="n">
        <f aca="false">MAX(0,F12-F14)*輸入與假設!$C$138</f>
        <v>0</v>
      </c>
      <c r="G16" s="62" t="n">
        <f aca="false">MAX(0,G12-G14)*輸入與假設!$C$138</f>
        <v>0</v>
      </c>
      <c r="I16" s="5" t="s">
        <v>1591</v>
      </c>
    </row>
    <row r="17" customFormat="false" ht="15" hidden="false" customHeight="false" outlineLevel="1" collapsed="false">
      <c r="A17" s="2" t="s">
        <v>1592</v>
      </c>
      <c r="B17" s="10" t="s">
        <v>56</v>
      </c>
      <c r="C17" s="36" t="n">
        <f aca="false">C12-C16</f>
        <v>-1.79009437862267</v>
      </c>
      <c r="D17" s="36" t="n">
        <f aca="false">D12-D16</f>
        <v>-7.06616143458783</v>
      </c>
      <c r="E17" s="36" t="n">
        <f aca="false">E12-E16</f>
        <v>-9.37501539453796</v>
      </c>
      <c r="F17" s="36" t="n">
        <f aca="false">F12-F16</f>
        <v>-11.9269271235317</v>
      </c>
      <c r="G17" s="36" t="n">
        <f aca="false">G12-G16</f>
        <v>-16.3266660659973</v>
      </c>
    </row>
    <row r="18" customFormat="false" ht="15" hidden="false" customHeight="false" outlineLevel="1" collapsed="false">
      <c r="A18" s="4" t="s">
        <v>482</v>
      </c>
      <c r="B18" s="10" t="s">
        <v>56</v>
      </c>
      <c r="C18" s="40" t="n">
        <f aca="false">輸入與假設!C$92</f>
        <v>2.310744496</v>
      </c>
      <c r="D18" s="40" t="n">
        <f aca="false">輸入與假設!D$92</f>
        <v>9.172821688</v>
      </c>
      <c r="E18" s="40" t="n">
        <f aca="false">輸入與假設!E$92</f>
        <v>14.847433808</v>
      </c>
      <c r="F18" s="40" t="n">
        <f aca="false">輸入與假設!F$92</f>
        <v>20.67717064</v>
      </c>
      <c r="G18" s="40" t="n">
        <f aca="false">輸入與假設!G$92</f>
        <v>26.506907472</v>
      </c>
      <c r="I18" s="5" t="s">
        <v>1593</v>
      </c>
    </row>
    <row r="19" customFormat="false" ht="15" hidden="false" customHeight="false" outlineLevel="1" collapsed="false">
      <c r="A19" s="72" t="s">
        <v>1594</v>
      </c>
      <c r="B19" s="10" t="s">
        <v>56</v>
      </c>
      <c r="C19" s="36" t="n">
        <f aca="false">C10+C18</f>
        <v>0.58102511737733</v>
      </c>
      <c r="D19" s="36" t="n">
        <f aca="false">D10+D18</f>
        <v>2.78832473841217</v>
      </c>
      <c r="E19" s="36" t="n">
        <f aca="false">E10+E18</f>
        <v>6.25908289846204</v>
      </c>
      <c r="F19" s="36" t="n">
        <f aca="false">F10+F18</f>
        <v>9.6419080014683</v>
      </c>
      <c r="G19" s="36" t="n">
        <f aca="false">G10+G18</f>
        <v>12.2242489448537</v>
      </c>
    </row>
    <row r="20" customFormat="false" ht="15" hidden="false" customHeight="false" outlineLevel="1" collapsed="false">
      <c r="A20" s="3" t="s">
        <v>1595</v>
      </c>
      <c r="B20" s="10" t="s">
        <v>318</v>
      </c>
      <c r="C20" s="28" t="n">
        <f aca="false">評價_DCF與目標價!$C$67</f>
        <v>0.3193</v>
      </c>
      <c r="D20" s="28" t="n">
        <f aca="false">C20*(1+輸入與假設!$C$148)</f>
        <v>0.322493</v>
      </c>
      <c r="E20" s="28" t="n">
        <f aca="false">D20*(1+輸入與假設!$C$148)</f>
        <v>0.32571793</v>
      </c>
      <c r="F20" s="28" t="n">
        <f aca="false">E20*(1+輸入與假設!$C$148)</f>
        <v>0.3289751093</v>
      </c>
      <c r="G20" s="28" t="n">
        <f aca="false">F20*(1+輸入與假設!$C$148)</f>
        <v>0.332264860393</v>
      </c>
      <c r="I20" s="10" t="s">
        <v>1596</v>
      </c>
    </row>
    <row r="21" customFormat="false" ht="15" hidden="false" customHeight="false" outlineLevel="1" collapsed="false">
      <c r="A21" s="3" t="s">
        <v>1597</v>
      </c>
      <c r="B21" s="10" t="s">
        <v>318</v>
      </c>
      <c r="C21" s="28" t="n">
        <f aca="false">C20+各期收支!C77</f>
        <v>0.3193</v>
      </c>
      <c r="D21" s="28" t="n">
        <f aca="false">D20+各期收支!D77</f>
        <v>0.352058292422306</v>
      </c>
      <c r="E21" s="28" t="n">
        <f aca="false">E20+各期收支!E77</f>
        <v>0.416160877510628</v>
      </c>
      <c r="F21" s="28" t="n">
        <f aca="false">F20+各期收支!F77</f>
        <v>0.473422024946032</v>
      </c>
      <c r="G21" s="28" t="n">
        <f aca="false">G20+各期收支!G77</f>
        <v>0.545333998261254</v>
      </c>
      <c r="I21" s="5" t="s">
        <v>1598</v>
      </c>
    </row>
    <row r="22" customFormat="false" ht="15" hidden="false" customHeight="false" outlineLevel="1" collapsed="false">
      <c r="A22" s="3" t="s">
        <v>1599</v>
      </c>
      <c r="B22" s="10" t="s">
        <v>39</v>
      </c>
      <c r="C22" s="49" t="n">
        <f aca="false">C17/C21</f>
        <v>-5.60630873355049</v>
      </c>
      <c r="D22" s="49" t="n">
        <f aca="false">D17/D21</f>
        <v>-20.070998430316</v>
      </c>
      <c r="E22" s="49" t="n">
        <f aca="false">E17/E21</f>
        <v>-22.5273828011345</v>
      </c>
      <c r="F22" s="49" t="n">
        <f aca="false">F17/F21</f>
        <v>-25.1930127773234</v>
      </c>
      <c r="G22" s="49" t="n">
        <f aca="false">G17/G21</f>
        <v>-29.9388376995626</v>
      </c>
      <c r="I22" s="10" t="s">
        <v>1600</v>
      </c>
    </row>
    <row r="24" customFormat="false" ht="15" hidden="false" customHeight="false" outlineLevel="0" collapsed="false">
      <c r="A24" s="46" t="s">
        <v>1601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1" collapsed="false">
      <c r="A25" s="4" t="s">
        <v>1602</v>
      </c>
      <c r="B25" s="10" t="s">
        <v>56</v>
      </c>
      <c r="C25" s="40" t="n">
        <f aca="false">輸入與假設!$C$190</f>
        <v>0.9813</v>
      </c>
      <c r="D25" s="40" t="n">
        <f aca="false">0</f>
        <v>0</v>
      </c>
      <c r="E25" s="40" t="n">
        <f aca="false">0</f>
        <v>0</v>
      </c>
      <c r="F25" s="40" t="n">
        <f aca="false">0</f>
        <v>0</v>
      </c>
      <c r="G25" s="40" t="n">
        <f aca="false">0</f>
        <v>0</v>
      </c>
    </row>
    <row r="26" customFormat="false" ht="15" hidden="false" customHeight="false" outlineLevel="1" collapsed="false">
      <c r="A26" s="2" t="s">
        <v>1603</v>
      </c>
      <c r="B26" s="10" t="s">
        <v>56</v>
      </c>
      <c r="C26" s="36" t="n">
        <f aca="false">C25+C8</f>
        <v>2.33949943134272</v>
      </c>
      <c r="D26" s="36" t="n">
        <f aca="false">D25+D8</f>
        <v>5.97516519818903</v>
      </c>
      <c r="E26" s="36" t="n">
        <f aca="false">E25+E8</f>
        <v>13.1397784869949</v>
      </c>
      <c r="F26" s="36" t="n">
        <f aca="false">F25+F8</f>
        <v>20.3228274807935</v>
      </c>
      <c r="G26" s="36" t="n">
        <f aca="false">G25+G8</f>
        <v>26.0090403081994</v>
      </c>
      <c r="I26" s="10" t="s">
        <v>1604</v>
      </c>
    </row>
    <row r="27" customFormat="false" ht="15" hidden="false" customHeight="false" outlineLevel="1" collapsed="false">
      <c r="A27" s="3" t="s">
        <v>1605</v>
      </c>
      <c r="B27" s="10" t="s">
        <v>42</v>
      </c>
      <c r="C27" s="63" t="n">
        <f aca="false">C26/0.5298-1</f>
        <v>3.41581621619992</v>
      </c>
      <c r="D27" s="63" t="n">
        <f aca="false">D26/C26-1</f>
        <v>1.55403575574271</v>
      </c>
      <c r="E27" s="63" t="n">
        <f aca="false">E26/D26-1</f>
        <v>1.19906530634121</v>
      </c>
      <c r="F27" s="63" t="n">
        <f aca="false">F26/E26-1</f>
        <v>0.546664390188008</v>
      </c>
      <c r="G27" s="63" t="n">
        <f aca="false">G26/F26-1</f>
        <v>0.279794375697957</v>
      </c>
      <c r="I27" s="10" t="s">
        <v>1606</v>
      </c>
    </row>
    <row r="28" customFormat="false" ht="15" hidden="false" customHeight="false" outlineLevel="1" collapsed="false">
      <c r="A28" s="3" t="s">
        <v>1607</v>
      </c>
      <c r="B28" s="10" t="s">
        <v>56</v>
      </c>
      <c r="C28" s="62" t="n">
        <f aca="false">輸入與假設!$C$191+C10</f>
        <v>-2.03361937862267</v>
      </c>
      <c r="D28" s="62" t="n">
        <f aca="false">D10</f>
        <v>-6.38449694958783</v>
      </c>
      <c r="E28" s="62" t="n">
        <f aca="false">E10</f>
        <v>-8.58835090953796</v>
      </c>
      <c r="F28" s="62" t="n">
        <f aca="false">F10</f>
        <v>-11.0352626385317</v>
      </c>
      <c r="G28" s="62" t="n">
        <f aca="false">G10</f>
        <v>-14.2826585271463</v>
      </c>
    </row>
    <row r="29" customFormat="false" ht="15" hidden="false" customHeight="false" outlineLevel="1" collapsed="false">
      <c r="A29" s="3" t="s">
        <v>1608</v>
      </c>
      <c r="B29" s="10" t="s">
        <v>42</v>
      </c>
      <c r="C29" s="63" t="n">
        <f aca="false">C28/C26</f>
        <v>-0.869254059812063</v>
      </c>
      <c r="D29" s="63" t="n">
        <f aca="false">D28/D26</f>
        <v>-1.06850551203553</v>
      </c>
      <c r="E29" s="63" t="n">
        <f aca="false">E28/E26</f>
        <v>-0.653614588559333</v>
      </c>
      <c r="F29" s="63" t="n">
        <f aca="false">F28/F26</f>
        <v>-0.542998391781892</v>
      </c>
      <c r="G29" s="63" t="n">
        <f aca="false">G28/G26</f>
        <v>-0.54914208128793</v>
      </c>
    </row>
    <row r="30" customFormat="false" ht="15" hidden="false" customHeight="false" outlineLevel="1" collapsed="false">
      <c r="A30" s="3" t="s">
        <v>1609</v>
      </c>
      <c r="B30" s="10" t="s">
        <v>56</v>
      </c>
      <c r="C30" s="62" t="n">
        <f aca="false">輸入與假設!$C$194+C18</f>
        <v>2.782444496</v>
      </c>
      <c r="D30" s="62" t="n">
        <f aca="false">D18</f>
        <v>9.172821688</v>
      </c>
      <c r="E30" s="62" t="n">
        <f aca="false">E18</f>
        <v>14.847433808</v>
      </c>
      <c r="F30" s="62" t="n">
        <f aca="false">F18</f>
        <v>20.67717064</v>
      </c>
      <c r="G30" s="62" t="n">
        <f aca="false">G18</f>
        <v>26.506907472</v>
      </c>
      <c r="I30" s="10" t="s">
        <v>1610</v>
      </c>
    </row>
    <row r="31" customFormat="false" ht="15" hidden="false" customHeight="false" outlineLevel="1" collapsed="false">
      <c r="A31" s="2" t="s">
        <v>1611</v>
      </c>
      <c r="B31" s="10" t="s">
        <v>56</v>
      </c>
      <c r="C31" s="36" t="n">
        <f aca="false">C28+C30</f>
        <v>0.748825117377331</v>
      </c>
      <c r="D31" s="36" t="n">
        <f aca="false">D28+D30</f>
        <v>2.78832473841217</v>
      </c>
      <c r="E31" s="36" t="n">
        <f aca="false">E28+E30</f>
        <v>6.25908289846204</v>
      </c>
      <c r="F31" s="36" t="n">
        <f aca="false">F28+F30</f>
        <v>9.6419080014683</v>
      </c>
      <c r="G31" s="36" t="n">
        <f aca="false">G28+G30</f>
        <v>12.2242489448537</v>
      </c>
    </row>
    <row r="32" customFormat="false" ht="15" hidden="false" customHeight="false" outlineLevel="1" collapsed="false">
      <c r="A32" s="3" t="s">
        <v>1612</v>
      </c>
      <c r="B32" s="10" t="s">
        <v>56</v>
      </c>
      <c r="C32" s="62" t="n">
        <f aca="false">輸入與假設!$C$188+C11</f>
        <v>0.243175</v>
      </c>
      <c r="D32" s="62" t="n">
        <f aca="false">D11</f>
        <v>0.681664485</v>
      </c>
      <c r="E32" s="62" t="n">
        <f aca="false">E11</f>
        <v>0.786664485</v>
      </c>
      <c r="F32" s="62" t="n">
        <f aca="false">F11</f>
        <v>0.891664485</v>
      </c>
      <c r="G32" s="62" t="n">
        <f aca="false">G11</f>
        <v>2.04400753885097</v>
      </c>
      <c r="I32" s="10" t="s">
        <v>1613</v>
      </c>
    </row>
    <row r="33" customFormat="false" ht="15" hidden="false" customHeight="false" outlineLevel="1" collapsed="false">
      <c r="A33" s="2" t="s">
        <v>1614</v>
      </c>
      <c r="B33" s="10" t="s">
        <v>56</v>
      </c>
      <c r="C33" s="36" t="n">
        <f aca="false">輸入與假設!$C$192+C17</f>
        <v>-1.35929437862267</v>
      </c>
      <c r="D33" s="36" t="n">
        <f aca="false">D17</f>
        <v>-7.06616143458783</v>
      </c>
      <c r="E33" s="36" t="n">
        <f aca="false">E17</f>
        <v>-9.37501539453796</v>
      </c>
      <c r="F33" s="36" t="n">
        <f aca="false">F17</f>
        <v>-11.9269271235317</v>
      </c>
      <c r="G33" s="36" t="n">
        <f aca="false">G17</f>
        <v>-16.3266660659973</v>
      </c>
    </row>
    <row r="34" customFormat="false" ht="15" hidden="false" customHeight="false" outlineLevel="1" collapsed="false">
      <c r="A34" s="3" t="s">
        <v>1615</v>
      </c>
      <c r="B34" s="10" t="s">
        <v>42</v>
      </c>
      <c r="C34" s="63" t="n">
        <f aca="false">C33/C26</f>
        <v>-0.581019324224638</v>
      </c>
      <c r="D34" s="63" t="n">
        <f aca="false">D33/D26</f>
        <v>-1.1825884641197</v>
      </c>
      <c r="E34" s="63" t="n">
        <f aca="false">E33/E26</f>
        <v>-0.71348351905756</v>
      </c>
      <c r="F34" s="63" t="n">
        <f aca="false">F33/F26</f>
        <v>-0.586873412904946</v>
      </c>
      <c r="G34" s="63" t="n">
        <f aca="false">G33/G26</f>
        <v>-0.627730430363102</v>
      </c>
    </row>
    <row r="35" customFormat="false" ht="15" hidden="false" customHeight="false" outlineLevel="1" collapsed="false">
      <c r="A35" s="2" t="s">
        <v>1616</v>
      </c>
      <c r="B35" s="10" t="s">
        <v>39</v>
      </c>
      <c r="C35" s="90" t="n">
        <f aca="false">輸入與假設!$C$196+C17/C21</f>
        <v>-4.00630873355049</v>
      </c>
      <c r="D35" s="90" t="n">
        <f aca="false">D17/D21</f>
        <v>-20.070998430316</v>
      </c>
      <c r="E35" s="90" t="n">
        <f aca="false">E17/E21</f>
        <v>-22.5273828011345</v>
      </c>
      <c r="F35" s="90" t="n">
        <f aca="false">F17/F21</f>
        <v>-25.1930127773234</v>
      </c>
      <c r="G35" s="90" t="n">
        <f aca="false">G17/G21</f>
        <v>-29.9388376995626</v>
      </c>
      <c r="I35" s="10" t="s">
        <v>1617</v>
      </c>
    </row>
    <row r="36" customFormat="false" ht="15" hidden="false" customHeight="false" outlineLevel="1" collapsed="false">
      <c r="A36" s="3" t="s">
        <v>1618</v>
      </c>
      <c r="B36" s="10" t="s">
        <v>39</v>
      </c>
      <c r="C36" s="49" t="n">
        <f aca="false">輸入與假設!$C$197+(C17+輸入與假設!$C$149*輸入與假設!C$37)/C21</f>
        <v>-3.29273842349724</v>
      </c>
      <c r="D36" s="49" t="n">
        <f aca="false">(D17+輸入與假設!$C$149*輸入與假設!D$37)/D21</f>
        <v>-19.7017413987445</v>
      </c>
      <c r="E36" s="49" t="n">
        <f aca="false">(E17+輸入與假設!$C$149*輸入與假設!E$37)/E21</f>
        <v>-22.2150036059117</v>
      </c>
      <c r="F36" s="49" t="n">
        <f aca="false">(F17+輸入與假設!$C$149*輸入與假設!F$37)/F21</f>
        <v>-24.9184163429585</v>
      </c>
      <c r="G36" s="49" t="n">
        <f aca="false">(G17+輸入與假設!$C$149*輸入與假設!G$37)/G21</f>
        <v>-29.7004516821596</v>
      </c>
      <c r="I36" s="5" t="s">
        <v>1619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1" t="s">
        <v>1620</v>
      </c>
    </row>
    <row r="2" customFormat="false" ht="15" hidden="false" customHeight="false" outlineLevel="0" collapsed="false">
      <c r="A2" s="5" t="s">
        <v>1621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139</v>
      </c>
      <c r="G4" s="26" t="s">
        <v>140</v>
      </c>
      <c r="I4" s="13" t="s">
        <v>643</v>
      </c>
    </row>
    <row r="5" customFormat="false" ht="15" hidden="false" customHeight="false" outlineLevel="0" collapsed="false">
      <c r="A5" s="6" t="s">
        <v>1622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1623</v>
      </c>
      <c r="B6" s="10" t="s">
        <v>56</v>
      </c>
      <c r="C6" s="62" t="n">
        <f aca="false">輸入與假設!C$91-各期收支!C8</f>
        <v>11.0182723008</v>
      </c>
      <c r="D6" s="62" t="n">
        <f aca="false">輸入與假設!D$91-各期收支!D8</f>
        <v>16.9724237796</v>
      </c>
      <c r="E6" s="62" t="n">
        <f aca="false">輸入與假設!E$91-各期收支!E8</f>
        <v>17.9264407584</v>
      </c>
      <c r="F6" s="62" t="n">
        <f aca="false">輸入與假設!F$91-各期收支!F8</f>
        <v>17.9264407584</v>
      </c>
      <c r="G6" s="62" t="n">
        <f aca="false">輸入與假設!G$91-各期收支!G8</f>
        <v>26.4700205984</v>
      </c>
      <c r="I6" s="10" t="s">
        <v>1624</v>
      </c>
    </row>
    <row r="7" customFormat="false" ht="15" hidden="false" customHeight="false" outlineLevel="1" collapsed="false">
      <c r="A7" s="3" t="s">
        <v>1625</v>
      </c>
      <c r="B7" s="10" t="s">
        <v>56</v>
      </c>
      <c r="C7" s="62" t="n">
        <f aca="false">0.5298</f>
        <v>0.5298</v>
      </c>
      <c r="D7" s="62" t="n">
        <f aca="false">0.9813+損益!C8</f>
        <v>2.33949943134272</v>
      </c>
      <c r="E7" s="62" t="n">
        <f aca="false">損益!D8</f>
        <v>5.97516519818903</v>
      </c>
      <c r="F7" s="62" t="n">
        <f aca="false">損益!E8</f>
        <v>13.1397784869949</v>
      </c>
      <c r="G7" s="62" t="n">
        <f aca="false">損益!F8</f>
        <v>20.3228274807935</v>
      </c>
      <c r="I7" s="10" t="s">
        <v>1626</v>
      </c>
    </row>
    <row r="8" customFormat="false" ht="15" hidden="false" customHeight="false" outlineLevel="1" collapsed="false">
      <c r="A8" s="3" t="s">
        <v>1627</v>
      </c>
      <c r="B8" s="10" t="s">
        <v>56</v>
      </c>
      <c r="C8" s="40" t="n">
        <f aca="false">各期收支!C10</f>
        <v>0.995866666666667</v>
      </c>
      <c r="D8" s="40" t="n">
        <f aca="false">各期收支!D10</f>
        <v>3.95898365084444</v>
      </c>
      <c r="E8" s="40" t="n">
        <f aca="false">各期收支!E10</f>
        <v>6.1809935206963</v>
      </c>
      <c r="F8" s="40" t="n">
        <f aca="false">各期收支!F10</f>
        <v>7.8614101476642</v>
      </c>
      <c r="G8" s="40" t="n">
        <f aca="false">各期收支!G10</f>
        <v>8.98168789897613</v>
      </c>
      <c r="I8" s="5" t="s">
        <v>1628</v>
      </c>
    </row>
    <row r="9" customFormat="false" ht="15" hidden="false" customHeight="false" outlineLevel="1" collapsed="false">
      <c r="A9" s="3" t="s">
        <v>1629</v>
      </c>
      <c r="B9" s="10" t="s">
        <v>56</v>
      </c>
      <c r="C9" s="62" t="n">
        <f aca="false">輸入與假設!$C$141*MAX(0,損益!C8-C7)</f>
        <v>0.0165679886268543</v>
      </c>
      <c r="D9" s="62" t="n">
        <f aca="false">輸入與假設!$C$141*MAX(0,損益!D8-D7)</f>
        <v>0.0727133153369263</v>
      </c>
      <c r="E9" s="62" t="n">
        <f aca="false">輸入與假設!$C$141*MAX(0,損益!E8-E7)</f>
        <v>0.143292265776118</v>
      </c>
      <c r="F9" s="62" t="n">
        <f aca="false">輸入與假設!$C$141*MAX(0,損益!F8-F7)</f>
        <v>0.143660979875972</v>
      </c>
      <c r="G9" s="62" t="n">
        <f aca="false">輸入與假設!$C$141*MAX(0,損益!G8-G7)</f>
        <v>0.113724256548118</v>
      </c>
      <c r="I9" s="5" t="s">
        <v>1630</v>
      </c>
    </row>
    <row r="10" customFormat="false" ht="15" hidden="false" customHeight="false" outlineLevel="1" collapsed="false">
      <c r="A10" s="3" t="s">
        <v>1631</v>
      </c>
      <c r="B10" s="10" t="s">
        <v>56</v>
      </c>
      <c r="C10" s="62" t="n">
        <f aca="false">輸入與假設!$C$139</f>
        <v>0.8</v>
      </c>
      <c r="D10" s="62" t="n">
        <f aca="false">C12</f>
        <v>2.52971937862267</v>
      </c>
      <c r="E10" s="62" t="n">
        <f aca="false">D12</f>
        <v>8.9142163282105</v>
      </c>
      <c r="F10" s="62" t="n">
        <f aca="false">E12</f>
        <v>17.5025672377485</v>
      </c>
      <c r="G10" s="62" t="n">
        <f aca="false">F12</f>
        <v>28.5378298762802</v>
      </c>
      <c r="I10" s="10" t="s">
        <v>1632</v>
      </c>
    </row>
    <row r="11" customFormat="false" ht="15" hidden="false" customHeight="false" outlineLevel="1" collapsed="false">
      <c r="A11" s="3" t="s">
        <v>1633</v>
      </c>
      <c r="B11" s="10" t="s">
        <v>56</v>
      </c>
      <c r="C11" s="62" t="n">
        <f aca="false">MIN(C10,MAX(0,損益!C10)*輸入與假設!$C$140)</f>
        <v>0</v>
      </c>
      <c r="D11" s="62" t="n">
        <f aca="false">MIN(D10,MAX(0,損益!D10)*輸入與假設!$C$140)</f>
        <v>0</v>
      </c>
      <c r="E11" s="62" t="n">
        <f aca="false">MIN(E10,MAX(0,損益!E10)*輸入與假設!$C$140)</f>
        <v>0</v>
      </c>
      <c r="F11" s="62" t="n">
        <f aca="false">MIN(F10,MAX(0,損益!F10)*輸入與假設!$C$140)</f>
        <v>0</v>
      </c>
      <c r="G11" s="62" t="n">
        <f aca="false">MIN(G10,MAX(0,損益!G10)*輸入與假設!$C$140)</f>
        <v>0</v>
      </c>
    </row>
    <row r="12" customFormat="false" ht="15" hidden="false" customHeight="false" outlineLevel="1" collapsed="false">
      <c r="A12" s="3" t="s">
        <v>1634</v>
      </c>
      <c r="B12" s="10" t="s">
        <v>56</v>
      </c>
      <c r="C12" s="62" t="n">
        <f aca="false">C10-C11+MAX(0,-損益!C10)</f>
        <v>2.52971937862267</v>
      </c>
      <c r="D12" s="62" t="n">
        <f aca="false">D10-D11+MAX(0,-損益!D10)</f>
        <v>8.9142163282105</v>
      </c>
      <c r="E12" s="62" t="n">
        <f aca="false">E10-E11+MAX(0,-損益!E10)</f>
        <v>17.5025672377485</v>
      </c>
      <c r="F12" s="62" t="n">
        <f aca="false">F10-F11+MAX(0,-損益!F10)</f>
        <v>28.5378298762802</v>
      </c>
      <c r="G12" s="62" t="n">
        <f aca="false">G10-G11+MAX(0,-損益!G10)</f>
        <v>42.8204884034264</v>
      </c>
    </row>
    <row r="13" customFormat="false" ht="15" hidden="false" customHeight="false" outlineLevel="1" collapsed="false">
      <c r="A13" s="3" t="s">
        <v>1635</v>
      </c>
      <c r="B13" s="10" t="s">
        <v>56</v>
      </c>
      <c r="C13" s="62" t="n">
        <f aca="false">MAX(0,損益!C10-C11)*輸入與假設!$C$138</f>
        <v>0</v>
      </c>
      <c r="D13" s="62" t="n">
        <f aca="false">MAX(0,損益!D10-D11)*輸入與假設!$C$138</f>
        <v>0</v>
      </c>
      <c r="E13" s="62" t="n">
        <f aca="false">MAX(0,損益!E10-E11)*輸入與假設!$C$138</f>
        <v>0</v>
      </c>
      <c r="F13" s="62" t="n">
        <f aca="false">MAX(0,損益!F10-F11)*輸入與假設!$C$138</f>
        <v>0</v>
      </c>
      <c r="G13" s="62" t="n">
        <f aca="false">MAX(0,損益!G10-G11)*輸入與假設!$C$138</f>
        <v>0</v>
      </c>
      <c r="I13" s="5" t="s">
        <v>1636</v>
      </c>
    </row>
    <row r="14" customFormat="false" ht="15" hidden="false" customHeight="false" outlineLevel="1" collapsed="false">
      <c r="A14" s="72" t="s">
        <v>1637</v>
      </c>
      <c r="B14" s="10" t="s">
        <v>56</v>
      </c>
      <c r="C14" s="36" t="n">
        <f aca="false">損益!C10-C13+損益!C18-C6-C9-C8</f>
        <v>-11.4496818387162</v>
      </c>
      <c r="D14" s="36" t="n">
        <f aca="false">損益!D10-D13+損益!D18-D6-D9-D8</f>
        <v>-18.2157960073692</v>
      </c>
      <c r="E14" s="36" t="n">
        <f aca="false">損益!E10-E13+損益!E18-E6-E9-E8</f>
        <v>-17.9916436464104</v>
      </c>
      <c r="F14" s="36" t="n">
        <f aca="false">損益!F10-F13+損益!F18-F6-F9-F8</f>
        <v>-16.2896038844719</v>
      </c>
      <c r="G14" s="36" t="n">
        <f aca="false">損益!G10-G13+損益!G18-G6-G9-G8</f>
        <v>-23.3411838090705</v>
      </c>
      <c r="I14" s="5" t="s">
        <v>1638</v>
      </c>
    </row>
    <row r="15" customFormat="false" ht="15" hidden="false" customHeight="false" outlineLevel="1" collapsed="false">
      <c r="A15" s="3" t="s">
        <v>1639</v>
      </c>
      <c r="B15" s="5" t="s">
        <v>244</v>
      </c>
      <c r="C15" s="91" t="n">
        <f aca="false">輸入與假設!$C$167</f>
        <v>0.5</v>
      </c>
      <c r="D15" s="91" t="n">
        <f aca="false">輸入與假設!$D$167</f>
        <v>1.5</v>
      </c>
      <c r="E15" s="91" t="n">
        <f aca="false">輸入與假設!$E$167</f>
        <v>2.5</v>
      </c>
      <c r="F15" s="91" t="n">
        <f aca="false">輸入與假設!$F$167</f>
        <v>3.5</v>
      </c>
      <c r="G15" s="91" t="n">
        <f aca="false">輸入與假設!$G$167</f>
        <v>4.5</v>
      </c>
      <c r="I15" s="5" t="s">
        <v>1640</v>
      </c>
    </row>
    <row r="16" customFormat="false" ht="15" hidden="false" customHeight="false" outlineLevel="1" collapsed="false">
      <c r="A16" s="3" t="s">
        <v>1641</v>
      </c>
      <c r="B16" s="5"/>
      <c r="C16" s="50" t="n">
        <f aca="false">1/(1+輸入與假設!$C$135)^C15</f>
        <v>0.949157995752499</v>
      </c>
      <c r="D16" s="50" t="n">
        <f aca="false">1/(1+輸入與假設!$C$135)^D15</f>
        <v>0.85509729347072</v>
      </c>
      <c r="E16" s="50" t="n">
        <f aca="false">1/(1+輸入與假設!$C$135)^E15</f>
        <v>0.770357922045693</v>
      </c>
      <c r="F16" s="50" t="n">
        <f aca="false">1/(1+輸入與假設!$C$135)^F15</f>
        <v>0.694016145987111</v>
      </c>
      <c r="G16" s="50" t="n">
        <f aca="false">1/(1+輸入與假設!$C$135)^G15</f>
        <v>0.62523977115956</v>
      </c>
    </row>
    <row r="17" customFormat="false" ht="15" hidden="false" customHeight="false" outlineLevel="1" collapsed="false">
      <c r="A17" s="4" t="s">
        <v>1642</v>
      </c>
      <c r="B17" s="10" t="s">
        <v>56</v>
      </c>
      <c r="C17" s="62" t="n">
        <f aca="false">C14*C16</f>
        <v>-10.8675570660396</v>
      </c>
      <c r="D17" s="62" t="n">
        <f aca="false">D14*D16</f>
        <v>-15.5762778643161</v>
      </c>
      <c r="E17" s="62" t="n">
        <f aca="false">E14*E16</f>
        <v>-13.8600052136353</v>
      </c>
      <c r="F17" s="62" t="n">
        <f aca="false">F14*F16</f>
        <v>-11.3052481075578</v>
      </c>
      <c r="G17" s="62" t="n">
        <f aca="false">G14*G16</f>
        <v>-14.5938364233765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1643</v>
      </c>
      <c r="C19" s="9" t="n">
        <f aca="false">SUM(C17:G17)</f>
        <v>-66.2029246749254</v>
      </c>
      <c r="I19" s="5" t="s">
        <v>1644</v>
      </c>
    </row>
    <row r="20" customFormat="false" ht="15" hidden="false" customHeight="false" outlineLevel="1" collapsed="false">
      <c r="A20" s="3" t="s">
        <v>1645</v>
      </c>
      <c r="C20" s="9" t="n">
        <f aca="false">損益!G10*(1-輸入與假設!$C$138)+損益!G18-損益!G18*輸入與假設!$C$137</f>
        <v>-5.29635113274255</v>
      </c>
      <c r="I20" s="5" t="s">
        <v>1646</v>
      </c>
    </row>
    <row r="21" customFormat="false" ht="15" hidden="false" customHeight="false" outlineLevel="1" collapsed="false">
      <c r="A21" s="3" t="s">
        <v>1647</v>
      </c>
      <c r="C21" s="52" t="n">
        <f aca="false">IF(OR(C30=1,C20&lt;=0),0,C20*(1+輸入與假設!$C$136)/(輸入與假設!$C$135-輸入與假設!$C$136))</f>
        <v>0</v>
      </c>
      <c r="I21" s="5" t="s">
        <v>1648</v>
      </c>
    </row>
    <row r="22" customFormat="false" ht="15" hidden="false" customHeight="false" outlineLevel="1" collapsed="false">
      <c r="A22" s="3" t="s">
        <v>1649</v>
      </c>
      <c r="C22" s="52" t="n">
        <f aca="false">C21*G16</f>
        <v>0</v>
      </c>
    </row>
    <row r="23" customFormat="false" ht="15" hidden="false" customHeight="false" outlineLevel="1" collapsed="false">
      <c r="A23" s="3" t="s">
        <v>1650</v>
      </c>
      <c r="C23" s="52" t="n">
        <f aca="false">C19+C22</f>
        <v>-66.2029246749254</v>
      </c>
    </row>
    <row r="24" customFormat="false" ht="15" hidden="false" customHeight="false" outlineLevel="1" collapsed="false">
      <c r="A24" s="3" t="s">
        <v>1651</v>
      </c>
      <c r="C24" s="9" t="n">
        <f aca="false">-評價_DCF與目標價!$C$68</f>
        <v>0.456599999999999</v>
      </c>
      <c r="I24" s="5" t="s">
        <v>1652</v>
      </c>
    </row>
    <row r="25" customFormat="false" ht="15" hidden="false" customHeight="false" outlineLevel="1" collapsed="false">
      <c r="A25" s="3" t="s">
        <v>1653</v>
      </c>
      <c r="C25" s="52" t="n">
        <f aca="false">C23+C24</f>
        <v>-65.7463246749254</v>
      </c>
    </row>
    <row r="26" customFormat="false" ht="15" hidden="false" customHeight="false" outlineLevel="1" collapsed="false">
      <c r="A26" s="72" t="s">
        <v>1654</v>
      </c>
      <c r="C26" s="92" t="n">
        <f aca="false">IF(C30=1,0,IF(輸入與假設!$C$151=2,C32,C31))</f>
        <v>0</v>
      </c>
      <c r="I26" s="5" t="s">
        <v>1655</v>
      </c>
    </row>
    <row r="27" customFormat="false" ht="15" hidden="false" customHeight="false" outlineLevel="1" collapsed="false">
      <c r="A27" s="3" t="s">
        <v>1656</v>
      </c>
      <c r="C27" s="27" t="n">
        <f aca="false">C22/C23</f>
        <v>-0</v>
      </c>
      <c r="I27" s="5" t="str">
        <f aca="false">"超過 "&amp;IF(ROUND(ABS(輸入與假設!$C$176)*100,4)=INT(ROUND(ABS(輸入與假設!$C$176)*100,4)),TEXT(ROUND(ABS(輸入與假設!$C$176)*100,4),"0"),TEXT(ROUND(ABS(輸入與假設!$C$176)*100,4),"0.0"))&amp;"%"&amp;"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1657</v>
      </c>
      <c r="C28" s="52" t="n">
        <f aca="false">各期收支!C72/(1+輸入與假設!$C$135)^輸入與假設!$C$168+各期收支!D72/(1+輸入與假設!$C$135)^輸入與假設!$D$168+各期收支!E72/(1+輸入與假設!$C$135)^輸入與假設!$E$168+各期收支!F72/(1+輸入與假設!$C$135)^輸入與假設!$F$168+各期收支!G72/(1+輸入與假設!$C$135)^輸入與假設!$G$168</f>
        <v>38.082984045827</v>
      </c>
      <c r="I28" s="5" t="s">
        <v>1658</v>
      </c>
    </row>
    <row r="29" customFormat="false" ht="15" hidden="false" customHeight="false" outlineLevel="1" collapsed="false">
      <c r="A29" s="3" t="s">
        <v>1659</v>
      </c>
      <c r="C29" s="93" t="n">
        <f aca="false">評價_DCF與目標價!$C$67+各期收支!G77</f>
        <v>0.532369137868254</v>
      </c>
    </row>
    <row r="30" customFormat="false" ht="15" hidden="false" customHeight="false" outlineLevel="1" collapsed="false">
      <c r="A30" s="4" t="s">
        <v>1660</v>
      </c>
      <c r="C30" s="44" t="n">
        <f aca="false">IF(輸入與假設!$C$135&lt;=輸入與假設!$C$136,1,0)</f>
        <v>0</v>
      </c>
      <c r="I30" s="10" t="s">
        <v>1661</v>
      </c>
    </row>
    <row r="31" customFormat="false" ht="15" hidden="false" customHeight="false" outlineLevel="1" collapsed="false">
      <c r="A31" s="72" t="s">
        <v>1662</v>
      </c>
      <c r="C31" s="43" t="n">
        <f aca="false">MAX(0,(C25+C28)/C29)</f>
        <v>0</v>
      </c>
    </row>
    <row r="32" customFormat="false" ht="15" hidden="false" customHeight="false" outlineLevel="1" collapsed="false">
      <c r="A32" s="72" t="s">
        <v>1663</v>
      </c>
      <c r="C32" s="43" t="n">
        <f aca="false">IF((C23+C28)&lt;=0,0,IF(評價_DCF與目標價!$C$68&lt;=0,(C23+C28),(C23+C28)*NORMSDIST(C33)-評價_DCF與目標價!$C$68*EXP(-輸入與假設!$C$153*輸入與假設!$C$154)*NORMSDIST(C34))/C29)</f>
        <v>0</v>
      </c>
      <c r="I32" s="10" t="s">
        <v>1664</v>
      </c>
    </row>
    <row r="33" customFormat="false" ht="15" hidden="false" customHeight="false" outlineLevel="1" collapsed="false">
      <c r="A33" s="3" t="s">
        <v>1665</v>
      </c>
      <c r="C33" s="93" t="n">
        <f aca="false">IF(OR((C23+C28)&lt;=0,評價_DCF與目標價!$C$68&lt;=0),0,(LN((C23+C28)/評價_DCF與目標價!$C$68)+(輸入與假設!$C$153+輸入與假設!$C$152^2/2)*輸入與假設!$C$154)/(輸入與假設!$C$152*SQRT(輸入與假設!$C$154)))</f>
        <v>0</v>
      </c>
    </row>
    <row r="34" customFormat="false" ht="15" hidden="false" customHeight="false" outlineLevel="1" collapsed="false">
      <c r="A34" s="3" t="s">
        <v>1666</v>
      </c>
      <c r="C34" s="93" t="n">
        <f aca="false">C33-輸入與假設!$C$152*SQRT(輸入與假設!$C$154)</f>
        <v>-1.06066017177982</v>
      </c>
    </row>
    <row r="36" customFormat="false" ht="15" hidden="false" customHeight="false" outlineLevel="0" collapsed="false">
      <c r="A36" s="46" t="s">
        <v>1667</v>
      </c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1" collapsed="false">
      <c r="A37" s="3" t="s">
        <v>1668</v>
      </c>
      <c r="C37" s="94" t="str">
        <f aca="false">CHOOSE(輸入與假設!$C$143,"FY27","FY28","FY29","FY30")</f>
        <v>FY29</v>
      </c>
      <c r="I37" s="5" t="s">
        <v>1669</v>
      </c>
    </row>
    <row r="38" customFormat="false" ht="15" hidden="false" customHeight="false" outlineLevel="1" collapsed="false">
      <c r="A38" s="3" t="s">
        <v>1670</v>
      </c>
      <c r="C38" s="9" t="n">
        <f aca="false">INDEX(損益!$D$19:$G$19,1,輸入與假設!$C$143)</f>
        <v>9.6419080014683</v>
      </c>
    </row>
    <row r="39" customFormat="false" ht="15" hidden="false" customHeight="false" outlineLevel="1" collapsed="false">
      <c r="A39" s="3" t="s">
        <v>1671</v>
      </c>
      <c r="C39" s="52" t="n">
        <f aca="false">C38*輸入與假設!$C$142</f>
        <v>57.8514480088098</v>
      </c>
    </row>
    <row r="40" customFormat="false" ht="15" hidden="false" customHeight="false" outlineLevel="1" collapsed="false">
      <c r="A40" s="3" t="s">
        <v>1672</v>
      </c>
      <c r="C40" s="9" t="n">
        <f aca="false">INDEX(各期收支!$D$82:$G$82,1,輸入與假設!$C$143)-INDEX(各期收支!$D$47:$G$47,1,輸入與假設!$C$143)+評價_DCF與目標價!$C$69</f>
        <v>33.232869</v>
      </c>
      <c r="I40" s="5" t="s">
        <v>1673</v>
      </c>
    </row>
    <row r="41" customFormat="false" ht="15" hidden="false" customHeight="false" outlineLevel="1" collapsed="false">
      <c r="A41" s="3" t="s">
        <v>1674</v>
      </c>
      <c r="C41" s="95" t="n">
        <f aca="false">INDEX(損益!$D$21:$G$21,1,輸入與假設!$C$143)</f>
        <v>0.473422024946032</v>
      </c>
      <c r="I41" s="5" t="s">
        <v>1675</v>
      </c>
    </row>
    <row r="42" customFormat="false" ht="15" hidden="false" customHeight="false" outlineLevel="1" collapsed="false">
      <c r="A42" s="3" t="s">
        <v>1676</v>
      </c>
      <c r="C42" s="95" t="n">
        <f aca="false">1/(1+輸入與假設!$C$135)^(輸入與假設!$C$143-輸入與假設!$C$164)</f>
        <v>0.770357922045693</v>
      </c>
      <c r="I42" s="5" t="s">
        <v>1677</v>
      </c>
    </row>
    <row r="43" customFormat="false" ht="15" hidden="false" customHeight="false" outlineLevel="1" collapsed="false">
      <c r="A43" s="4" t="s">
        <v>1678</v>
      </c>
      <c r="C43" s="43" t="n">
        <f aca="false">MAX(0,(C39-C40)/C41)*C42</f>
        <v>40.059643129418</v>
      </c>
      <c r="I43" s="5" t="s">
        <v>1679</v>
      </c>
    </row>
    <row r="45" customFormat="false" ht="15" hidden="false" customHeight="false" outlineLevel="0" collapsed="false">
      <c r="A45" s="46" t="s">
        <v>1680</v>
      </c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1" collapsed="false">
      <c r="A46" s="4" t="s">
        <v>1681</v>
      </c>
      <c r="C46" s="11" t="n">
        <f aca="false">C26*(1+輸入與假設!$C$135)^輸入與假設!$C$160</f>
        <v>0</v>
      </c>
      <c r="I46" s="5" t="s">
        <v>1682</v>
      </c>
    </row>
    <row r="47" customFormat="false" ht="15" hidden="false" customHeight="false" outlineLevel="1" collapsed="false">
      <c r="A47" s="4" t="s">
        <v>1683</v>
      </c>
      <c r="C47" s="11" t="n">
        <f aca="false">C46*IF(C30=1,0,輸入與假設!$C$144)</f>
        <v>0</v>
      </c>
    </row>
    <row r="48" customFormat="false" ht="15" hidden="false" customHeight="false" outlineLevel="1" collapsed="false">
      <c r="A48" s="4" t="s">
        <v>1684</v>
      </c>
      <c r="C48" s="11" t="n">
        <f aca="false">C43*IF(C30=1,1,1-輸入與假設!$C$144)</f>
        <v>22.0328037211799</v>
      </c>
    </row>
    <row r="49" customFormat="false" ht="15" hidden="false" customHeight="false" outlineLevel="1" collapsed="false">
      <c r="A49" s="2" t="s">
        <v>1680</v>
      </c>
      <c r="C49" s="96" t="n">
        <f aca="false">SUM(C47:C48)</f>
        <v>22.0328037211799</v>
      </c>
      <c r="I49" s="5" t="s">
        <v>1685</v>
      </c>
    </row>
    <row r="50" customFormat="false" ht="15" hidden="false" customHeight="false" outlineLevel="1" collapsed="false">
      <c r="A50" s="3" t="s">
        <v>1686</v>
      </c>
      <c r="C50" s="11" t="n">
        <f aca="false">輸入與假設!$C$125</f>
        <v>249.87</v>
      </c>
    </row>
    <row r="51" customFormat="false" ht="15" hidden="false" customHeight="false" outlineLevel="1" collapsed="false">
      <c r="A51" s="3" t="s">
        <v>1687</v>
      </c>
      <c r="C51" s="27" t="n">
        <f aca="false">C49/C50-1</f>
        <v>-0.911822933040462</v>
      </c>
    </row>
    <row r="53" customFormat="false" ht="15" hidden="false" customHeight="false" outlineLevel="0" collapsed="false">
      <c r="A53" s="46" t="s">
        <v>1688</v>
      </c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1" collapsed="false">
      <c r="A54" s="3" t="s">
        <v>1689</v>
      </c>
      <c r="C54" s="97" t="n">
        <f aca="false">SUMPRODUCT(資產負債_既有債務!$D$24:$D$31*資產負債_既有債務!$G$24:$G$31)</f>
        <v>0.0500220270729555</v>
      </c>
      <c r="I54" s="5" t="s">
        <v>1690</v>
      </c>
    </row>
    <row r="55" customFormat="false" ht="15" hidden="false" customHeight="false" outlineLevel="1" collapsed="false">
      <c r="A55" s="3" t="s">
        <v>1691</v>
      </c>
      <c r="C55" s="97" t="n">
        <f aca="false">輸入與假設!$C$126+C54</f>
        <v>0.369322027072955</v>
      </c>
    </row>
    <row r="56" customFormat="false" ht="15" hidden="false" customHeight="false" outlineLevel="1" collapsed="false">
      <c r="A56" s="3" t="s">
        <v>1692</v>
      </c>
      <c r="C56" s="9" t="n">
        <f aca="false">輸入與假設!$C$127+SUMPRODUCT(資產負債_既有債務!$C$24:$C$31*(1-資產負債_既有債務!$G$24:$G$31))+輸入與假設!$C$134</f>
        <v>-9.51285</v>
      </c>
      <c r="I56" s="5" t="s">
        <v>1693</v>
      </c>
    </row>
    <row r="57" customFormat="false" ht="15" hidden="false" customHeight="false" outlineLevel="1" collapsed="false">
      <c r="A57" s="3" t="s">
        <v>1694</v>
      </c>
      <c r="C57" s="95" t="n">
        <f aca="false">C55+各期收支!G77</f>
        <v>0.58239116494121</v>
      </c>
    </row>
    <row r="58" customFormat="false" ht="15" hidden="false" customHeight="false" outlineLevel="1" collapsed="false">
      <c r="A58" s="3" t="s">
        <v>1695</v>
      </c>
      <c r="C58" s="95" t="n">
        <f aca="false">IF(OR((C23+C28)&lt;=0,C56&lt;=0),0,(LN((C23+C28)/C56)+(輸入與假設!$C$153+輸入與假設!$C$152^2/2)*輸入與假設!$C$154)/(輸入與假設!$C$152*SQRT(輸入與假設!$C$154)))</f>
        <v>0</v>
      </c>
    </row>
    <row r="59" customFormat="false" ht="15" hidden="false" customHeight="false" outlineLevel="1" collapsed="false">
      <c r="A59" s="3" t="s">
        <v>1696</v>
      </c>
      <c r="C59" s="11" t="n">
        <f aca="false">IF(C30=1,0,IF(輸入與假設!$C$151=2,IF((C23+C28)&lt;=0,0,IF(C56&lt;=0,(C23+C28),(C23+C28)*NORMSDIST(C58)-C56*EXP(-輸入與假設!$C$153*輸入與假設!$C$154)*NORMSDIST(C58-輸入與假設!$C$152*SQRT(輸入與假設!$C$154)))/C57),MAX(0,(C23-C56+C28)/C57)))</f>
        <v>0</v>
      </c>
      <c r="I59" s="5" t="s">
        <v>1697</v>
      </c>
    </row>
    <row r="60" customFormat="false" ht="15" hidden="false" customHeight="false" outlineLevel="1" collapsed="false">
      <c r="A60" s="3" t="s">
        <v>1698</v>
      </c>
      <c r="C60" s="9" t="n">
        <f aca="false">INDEX(各期收支!$D$82:$G$82,1,輸入與假設!$C$143)-INDEX(各期收支!$D$47:$G$47,1,輸入與假設!$C$143)+SUMPRODUCT(資產負債_既有債務!$C$24:$C$31*(資產負債_既有債務!$F$24:$F$31-資產負債_既有債務!$G$24:$G$31))+輸入與假設!$C$134</f>
        <v>24.176619</v>
      </c>
      <c r="I60" s="5" t="s">
        <v>1699</v>
      </c>
    </row>
    <row r="61" customFormat="false" ht="15" hidden="false" customHeight="false" outlineLevel="1" collapsed="false">
      <c r="A61" s="3" t="s">
        <v>1700</v>
      </c>
      <c r="C61" s="95" t="n">
        <f aca="false">C55*(1+輸入與假設!$C$148)^輸入與假設!$C$143+INDEX(各期收支!$D$77:$G$77,1,輸入與假設!$C$143)</f>
        <v>0.524959769461325</v>
      </c>
    </row>
    <row r="62" customFormat="false" ht="15" hidden="false" customHeight="false" outlineLevel="1" collapsed="false">
      <c r="A62" s="3" t="s">
        <v>1701</v>
      </c>
      <c r="C62" s="11" t="n">
        <f aca="false">MAX(0,(C39-C60)/C61)*C42</f>
        <v>49.4164940050362</v>
      </c>
    </row>
    <row r="63" customFormat="false" ht="15" hidden="false" customHeight="false" outlineLevel="1" collapsed="false">
      <c r="A63" s="2" t="s">
        <v>1702</v>
      </c>
      <c r="C63" s="92" t="n">
        <f aca="false">C59*(1+輸入與假設!$C$135)^輸入與假設!$C$160*IF(C30=1,0,輸入與假設!$C$144)+C62*IF(C30=1,1,1-輸入與假設!$C$144)</f>
        <v>27.1790717027699</v>
      </c>
    </row>
    <row r="64" customFormat="false" ht="15" hidden="false" customHeight="false" outlineLevel="1" collapsed="false">
      <c r="A64" s="2" t="s">
        <v>1703</v>
      </c>
      <c r="C64" s="92" t="n">
        <f aca="false">MIN(輸入與假設!$C$125,C63)</f>
        <v>27.1790717027699</v>
      </c>
      <c r="I64" s="5" t="s">
        <v>1704</v>
      </c>
    </row>
    <row r="65" customFormat="false" ht="15" hidden="false" customHeight="false" outlineLevel="1" collapsed="false">
      <c r="A65" s="3" t="s">
        <v>1705</v>
      </c>
      <c r="C65" s="97" t="n">
        <f aca="false">SUMPRODUCT(資產負債_既有債務!$D$24:$D$31*資產負債_既有債務!$H$24:$H$31)</f>
        <v>0</v>
      </c>
      <c r="I65" s="5" t="s">
        <v>1706</v>
      </c>
    </row>
    <row r="66" customFormat="false" ht="15" hidden="false" customHeight="false" outlineLevel="1" collapsed="false">
      <c r="A66" s="3" t="s">
        <v>1707</v>
      </c>
      <c r="C66" s="9" t="n">
        <f aca="false">SUMPRODUCT(資產負債_既有債務!$C$24:$C$31*(1-資產負債_既有債務!$H$24:$H$31))</f>
        <v>15.72625</v>
      </c>
    </row>
    <row r="67" customFormat="false" ht="15" hidden="false" customHeight="false" outlineLevel="1" collapsed="false">
      <c r="A67" s="2" t="s">
        <v>1708</v>
      </c>
      <c r="C67" s="84" t="n">
        <f aca="false">輸入與假設!$C$126+C65</f>
        <v>0.3193</v>
      </c>
      <c r="I67" s="10" t="s">
        <v>1709</v>
      </c>
    </row>
    <row r="68" customFormat="false" ht="15" hidden="false" customHeight="false" outlineLevel="1" collapsed="false">
      <c r="A68" s="2" t="s">
        <v>1710</v>
      </c>
      <c r="C68" s="53" t="n">
        <f aca="false">輸入與假設!$C$127+C66+輸入與假設!$C$134</f>
        <v>-0.456599999999999</v>
      </c>
      <c r="I68" s="10" t="s">
        <v>1711</v>
      </c>
    </row>
    <row r="69" customFormat="false" ht="15" hidden="false" customHeight="false" outlineLevel="1" collapsed="false">
      <c r="A69" s="3" t="s">
        <v>1712</v>
      </c>
      <c r="C69" s="9" t="n">
        <f aca="false">SUMPRODUCT(資產負債_既有債務!$C$24:$C$31*(資產負債_既有債務!$F$24:$F$31-資產負債_既有債務!$H$24:$H$31))+輸入與假設!$C$134</f>
        <v>6.5488</v>
      </c>
      <c r="I69" s="5" t="s">
        <v>1713</v>
      </c>
    </row>
    <row r="70" customFormat="false" ht="15" hidden="false" customHeight="false" outlineLevel="1" collapsed="false">
      <c r="A70" s="4" t="s">
        <v>1714</v>
      </c>
      <c r="C70" s="3" t="str">
        <f aca="false">IF(C30=1,"DCF 失效，已以 EV/EBITDA 100% 計。",IF(AND(輸入與假設!$C$151&lt;&gt;2,C85&lt;0),"DCF 為 $0 仍計 "&amp;TEXT(輸入與假設!$C$144,"0%")&amp;" 權重的原因：DCF 沒有失效，而是算出的股權價值為負（每股約 −$"&amp;TEXT(ABS(C85),"0.0")&amp;"），代表自由現金流折現後的企業價值不足以償還淨負債。EV/EBITDA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$"&amp;TEXT(C43,"0.0")&amp;"（"&amp;CHOOSE(D84+2,"賣出","中立","買進")&amp;"）；"&amp;TEXT(輸入與假設!$C$144,"0%")&amp;"／"&amp;TEXT(1-輸入與假設!$C$144,"0%")&amp;" 為判斷值。",""))</f>
        <v>DCF 為 $0 仍計 45% 權重的原因：DCF 沒有失效，而是算出的股權價值為負（每股約 −$52.0），代表自由現金流折現後的企業價值不足以償還淨負債。EV/EBITDA 沒有扣除 GPU 汰換與擴張支出，保留 DCF 權重，是為了讓目標價反映「EBITDA 付不起資本成本」。若不計 DCF，目標價為 $40.1（賣出）；45%／55% 為判斷值。</v>
      </c>
      <c r="I70" s="5" t="s">
        <v>1715</v>
      </c>
    </row>
    <row r="72" customFormat="false" ht="15" hidden="false" customHeight="false" outlineLevel="0" collapsed="false">
      <c r="A72" s="46" t="s">
        <v>1716</v>
      </c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1" collapsed="false">
      <c r="A73" s="3" t="s">
        <v>1717</v>
      </c>
      <c r="C73" s="11" t="n">
        <f aca="false">C49</f>
        <v>22.0328037211799</v>
      </c>
      <c r="I73" s="5" t="str">
        <f aca="false">"評等規則不變：空間 ≥"&amp;IF(ROUND(ABS(輸入與假設!$C$170)*100,4)=INT(ROUND(ABS(輸入與假設!$C$170)*100,4)),TEXT(ROUND(ABS(輸入與假設!$C$170)*100,4),"0"),TEXT(ROUND(ABS(輸入與假設!$C$170)*100,4),"0.0"))&amp;"%"&amp;" 且終值占比 &lt;"&amp;IF(ROUND(ABS(輸入與假設!$C$171)*100,4)=INT(ROUND(ABS(輸入與假設!$C$171)*100,4)),TEXT(ROUND(ABS(輸入與假設!$C$171)*100,4),"0"),TEXT(ROUND(ABS(輸入與假設!$C$171)*100,4),"0.0"))&amp;"%"&amp;"、股權募資 ≤"&amp;IF(輸入與假設!$C$173=INT(輸入與假設!$C$173),TEXT(輸入與假設!$C$173,"0"),TEXT(輸入與假設!$C$173,"0.0"))&amp;" 倍現市值 → 買進；空間 ≤−"&amp;IF(ROUND(ABS(輸入與假設!$C$172)*100,4)=INT(ROUND(ABS(輸入與假設!$C$172)*100,4)),TEXT(ROUND(ABS(輸入與假設!$C$172)*100,4),"0"),TEXT(ROUND(ABS(輸入與假設!$C$172)*100,4),"0.0"))&amp;"%"&amp;"，或股權募資 &gt;"&amp;IF(輸入與假設!$C$173=INT(輸入與假設!$C$173),TEXT(輸入與假設!$C$173,"0"),TEXT(輸入與假設!$C$173,"0.0"))&amp;" 倍且空間 ≤−"&amp;IF(ROUND(ABS(輸入與假設!$C$174)*100,4)=INT(ROUND(ABS(輸入與假設!$C$174)*100,4)),TEXT(ROUND(ABS(輸入與假設!$C$174)*100,4),"0"),TEXT(ROUND(ABS(輸入與假設!$C$174)*100,4),"0.0"))&amp;"%"&amp;"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4" customFormat="false" ht="15" hidden="false" customHeight="false" outlineLevel="1" collapsed="false">
      <c r="A74" s="3" t="s">
        <v>1718</v>
      </c>
      <c r="C74" s="12" t="n">
        <f aca="false">C22/MAX(ABS(C23),1)*IF(C23=0,1,SIGN(C23))</f>
        <v>-0</v>
      </c>
    </row>
    <row r="75" customFormat="false" ht="15" hidden="false" customHeight="false" outlineLevel="1" collapsed="false">
      <c r="A75" s="3" t="s">
        <v>1719</v>
      </c>
      <c r="C75" s="15" t="n">
        <f aca="false">SUM(各期收支!C72:G72)/(輸入與假設!$C$125*輸入與假設!$C$126)</f>
        <v>0.600570698657779</v>
      </c>
    </row>
    <row r="76" customFormat="false" ht="15" hidden="false" customHeight="false" outlineLevel="1" collapsed="false">
      <c r="A76" s="3" t="s">
        <v>1720</v>
      </c>
      <c r="C76" s="8" t="n">
        <f aca="false">IF(AND((C49/MAX(輸入與假設!$C$125,0.01)-1)&gt;=輸入與假設!$C$170,$C$74&lt;輸入與假設!$C$171,$C$75&lt;=輸入與假設!$C$173),1,IF(OR((C49/MAX(輸入與假設!$C$125,0.01)-1)&lt;=輸入與假設!$C$172,AND($C$75&gt;輸入與假設!$C$173,(C49/MAX(輸入與假設!$C$125,0.01)-1)&lt;=輸入與假設!$C$174)),-1,0))</f>
        <v>-1</v>
      </c>
      <c r="D76" s="8" t="str">
        <f aca="false">CHOOSE(C76+2,"賣出","中立","買進")</f>
        <v>賣出</v>
      </c>
    </row>
    <row r="77" customFormat="false" ht="15" hidden="false" customHeight="false" outlineLevel="1" collapsed="false">
      <c r="A77" s="3" t="s">
        <v>1721</v>
      </c>
      <c r="C77" s="11" t="n">
        <f aca="false">輸入與假設!$C$125*(1+輸入與假設!$C$172)</f>
        <v>212.3895</v>
      </c>
    </row>
    <row r="78" customFormat="false" ht="15" hidden="false" customHeight="false" outlineLevel="1" collapsed="false">
      <c r="A78" s="3" t="s">
        <v>1722</v>
      </c>
      <c r="C78" s="11" t="n">
        <f aca="false">輸入與假設!D202</f>
        <v>29.6930388399238</v>
      </c>
      <c r="D78" s="8" t="n">
        <f aca="false">輸入與假設!E202</f>
        <v>-1</v>
      </c>
      <c r="E78" s="11" t="n">
        <f aca="false">C78-$C$77</f>
        <v>-182.696461160076</v>
      </c>
      <c r="I78" s="5" t="s">
        <v>1723</v>
      </c>
    </row>
    <row r="79" customFormat="false" ht="15" hidden="false" customHeight="false" outlineLevel="1" collapsed="false">
      <c r="A79" s="3" t="s">
        <v>1724</v>
      </c>
      <c r="C79" s="11" t="n">
        <f aca="false">輸入與假設!D203</f>
        <v>22.0328037211799</v>
      </c>
      <c r="D79" s="8" t="n">
        <f aca="false">輸入與假設!E203</f>
        <v>-1</v>
      </c>
      <c r="E79" s="11" t="n">
        <f aca="false">C79-$C$77</f>
        <v>-190.35669627882</v>
      </c>
    </row>
    <row r="80" customFormat="false" ht="15" hidden="false" customHeight="false" outlineLevel="1" collapsed="false">
      <c r="A80" s="3" t="s">
        <v>1725</v>
      </c>
      <c r="C80" s="11" t="n">
        <f aca="false">輸入與假設!D204</f>
        <v>20.3987710007867</v>
      </c>
      <c r="D80" s="8" t="n">
        <f aca="false">輸入與假設!E204</f>
        <v>-1</v>
      </c>
      <c r="E80" s="11" t="n">
        <f aca="false">C80-$C$77</f>
        <v>-191.990728999213</v>
      </c>
    </row>
    <row r="81" customFormat="false" ht="15" hidden="false" customHeight="false" outlineLevel="1" collapsed="false">
      <c r="A81" s="3" t="s">
        <v>1726</v>
      </c>
      <c r="C81" s="11" t="n">
        <f aca="false">MIN(C78,C80)</f>
        <v>20.3987710007867</v>
      </c>
      <c r="D81" s="11" t="n">
        <f aca="false">MAX(C78,C80)</f>
        <v>29.6930388399238</v>
      </c>
    </row>
    <row r="82" customFormat="false" ht="15" hidden="false" customHeight="false" outlineLevel="1" collapsed="false">
      <c r="A82" s="3" t="s">
        <v>1727</v>
      </c>
      <c r="C82" s="15" t="n">
        <f aca="false">MIN(輸入與假設!$C$146,輸入與假設!$C$147)</f>
        <v>5</v>
      </c>
      <c r="D82" s="15" t="n">
        <f aca="false">MAX(輸入與假設!$C$146,輸入與假設!$C$147)</f>
        <v>6</v>
      </c>
    </row>
    <row r="83" customFormat="false" ht="15" hidden="false" customHeight="false" outlineLevel="1" collapsed="false">
      <c r="A83" s="3" t="s">
        <v>1728</v>
      </c>
      <c r="C83" s="11" t="n">
        <f aca="false">MIN(C46*IF(C30=1,0,輸入與假設!$C$144)+MAX(0,(C38*C82-C40)/C41)*C42*IF(C30=1,1,1-輸入與假設!$C$144),C46*IF(C30=1,0,輸入與假設!$C$144)+MAX(0,(C38*D82-C40)/C41)*C42*IF(C30=1,1,1-輸入與假設!$C$144))</f>
        <v>13.4036189734329</v>
      </c>
      <c r="D83" s="11" t="n">
        <f aca="false">MAX(C46*IF(C30=1,0,輸入與假設!$C$144)+MAX(0,(C38*C82-C40)/C41)*C42*IF(C30=1,1,1-輸入與假設!$C$144),C46*IF(C30=1,0,輸入與假設!$C$144)+MAX(0,(C38*D82-C40)/C41)*C42*IF(C30=1,1,1-輸入與假設!$C$144))</f>
        <v>22.0328037211799</v>
      </c>
      <c r="I83" s="5" t="s">
        <v>1729</v>
      </c>
    </row>
    <row r="84" customFormat="false" ht="15" hidden="false" customHeight="false" outlineLevel="1" collapsed="false">
      <c r="A84" s="3" t="s">
        <v>1730</v>
      </c>
      <c r="C84" s="11" t="n">
        <f aca="false">C43</f>
        <v>40.059643129418</v>
      </c>
      <c r="D84" s="8" t="n">
        <f aca="false">IF(AND((C43/MAX(輸入與假設!$C$125,0.01)-1)&gt;=輸入與假設!$C$170,$C$74&lt;輸入與假設!$C$171,$C$75&lt;=輸入與假設!$C$173),1,IF(OR((C43/MAX(輸入與假設!$C$125,0.01)-1)&lt;=輸入與假設!$C$172,AND($C$75&gt;輸入與假設!$C$173,(C43/MAX(輸入與假設!$C$125,0.01)-1)&lt;=輸入與假設!$C$174)),-1,0))</f>
        <v>-1</v>
      </c>
      <c r="E84" s="11" t="str">
        <f aca="false">CHOOSE(D84+2,"賣出","中立","買進")</f>
        <v>賣出</v>
      </c>
    </row>
    <row r="85" customFormat="false" ht="15" hidden="false" customHeight="false" outlineLevel="1" collapsed="false">
      <c r="A85" s="3" t="s">
        <v>1731</v>
      </c>
      <c r="C85" s="11" t="n">
        <f aca="false">(C25+C28)/C29</f>
        <v>-51.9627053135907</v>
      </c>
    </row>
    <row r="86" customFormat="false" ht="15" hidden="false" customHeight="false" outlineLevel="1" collapsed="false">
      <c r="A86" s="3" t="s">
        <v>1732</v>
      </c>
      <c r="C86" s="3" t="str">
        <f aca="false">"目標價 $"&amp;TEXT(C49,"0.0")&amp;"（情境區間 $"&amp;TEXT(C81,"0.0")&amp;"–$"&amp;TEXT(D81,"0.0")&amp;"）"</f>
        <v>目標價 $22.0（情境區間 $20.4–$29.7）</v>
      </c>
    </row>
    <row r="87" customFormat="false" ht="15" hidden="false" customHeight="false" outlineLevel="1" collapsed="false">
      <c r="A87" s="3" t="s">
        <v>1733</v>
      </c>
      <c r="C87" s="3" t="str">
        <f aca="false">"方法區間（目前情境，"&amp;IF(C82=INT(C82),TEXT(C82,"0"),TEXT(C82,"0.0"))&amp;"–"&amp;IF(D82=INT(D82),TEXT(D82,"0"),TEXT(D82,"0.0"))&amp;"x）"</f>
        <v>方法區間（目前情境，5–6x）</v>
      </c>
    </row>
    <row r="88" customFormat="false" ht="15" hidden="false" customHeight="false" outlineLevel="1" collapsed="false">
      <c r="A88" s="3" t="s">
        <v>1734</v>
      </c>
      <c r="C88" s="3" t="str">
        <f aca="false">IF(ABS(輸入與假設!$C$142-D82)&lt;0.000000001,"目前點位位於方法區間上緣（"&amp;IF(D82=INT(D82),TEXT(D82,"0"),TEXT(D82,"0.0"))&amp;"x 為穩態倍數上緣）",IF(ABS(輸入與假設!$C$142-C82)&lt;0.000000001,"目前點位位於方法區間下緣（"&amp;IF(C82=INT(C82),TEXT(C82,"0"),TEXT(C82,"0.0"))&amp;"x）","目前點位"&amp;IF(AND(輸入與假設!$C$142&gt;C82,輸入與假設!$C$142&lt;D82),"位於方法區間內",IF(輸入與假設!$C$142&gt;D82,"高於方法區間上緣","低於方法區間下緣"))&amp;"（目前倍數 "&amp;IF(輸入與假設!$C$142=INT(輸入與假設!$C$142),TEXT(輸入與假設!$C$142,"0"),TEXT(輸入與假設!$C$142,"0.0"))&amp;"x）"))</f>
        <v>目前點位位於方法區間上緣（6x 為穩態倍數上緣）</v>
      </c>
    </row>
    <row r="89" customFormat="false" ht="15" hidden="false" customHeight="false" outlineLevel="1" collapsed="false">
      <c r="A89" s="2" t="s">
        <v>1735</v>
      </c>
      <c r="C89" s="3" t="str">
        <f aca="false">IF(D81&lt;輸入與假設!$C$125,"情境區間上緣 $"&amp;TEXT(D81,"0.0")&amp;" 低於現價 $"&amp;TEXT(輸入與假設!$C$125,"0.00")&amp;IF((D78&lt;&gt;-1)+(D79&lt;&gt;-1)+(D80&lt;&gt;-1)&gt;0,"，但"&amp;SUBSTITUTE(TRIM(IF(D78&lt;&gt;-1,"保守","")&amp;" "&amp;IF(D79&lt;&gt;-1,"基準","")&amp;" "&amp;IF(D80&lt;&gt;-1,"積極",""))," ","、")&amp;"情境未達賣出門檻 $"&amp;TEXT($C$77,"0.0"),"：賣出在三個擴張情境下都成立"),"情境區間上緣 $"&amp;TEXT(D81,"0.0")&amp;" 不低於現價 $"&amp;TEXT(輸入與假設!$C$125,"0.00")&amp;"：賣出並非在三個擴張情境下都成立")&amp;"。"&amp;IF(ABS(E78)&lt;輸入與假設!$C$175*輸入與假設!$C$125,"保守情境 $"&amp;TEXT(C78,"0.0")&amp;"，"&amp;IF(E78&lt;0,"距賣出門檻","高於賣出門檻")&amp;" $"&amp;TEXT($C$77,"0.0")&amp;" 僅 $"&amp;TEXT(ABS(E78),"0.0")&amp;"。","")&amp;IF(ABS(E79)&lt;輸入與假設!$C$175*輸入與假設!$C$125,"基準情境 $"&amp;TEXT(C79,"0.0")&amp;"，"&amp;IF(E79&lt;0,"距賣出門檻","高於賣出門檻")&amp;" $"&amp;TEXT($C$77,"0.0")&amp;" 僅 $"&amp;TEXT(ABS(E79),"0.0")&amp;"。","")&amp;IF(ABS(E80)&lt;輸入與假設!$C$175*輸入與假設!$C$125,"積極情境 $"&amp;TEXT(C80,"0.0")&amp;"，"&amp;IF(E80&lt;0,"距賣出門檻","高於賣出門檻")&amp;" $"&amp;TEXT($C$77,"0.0")&amp;" 僅 $"&amp;TEXT(ABS(E80),"0.0")&amp;"。","")</f>
        <v>情境區間上緣 $29.7 低於現價 $249.87：賣出在三個擴張情境下都成立。</v>
      </c>
    </row>
    <row r="91" customFormat="false" ht="15" hidden="false" customHeight="false" outlineLevel="0" collapsed="false">
      <c r="A91" s="46" t="s">
        <v>1736</v>
      </c>
      <c r="B91" s="7"/>
      <c r="C91" s="7"/>
      <c r="D91" s="7"/>
      <c r="E91" s="7"/>
      <c r="F91" s="7"/>
      <c r="G91" s="7"/>
      <c r="H91" s="7"/>
    </row>
    <row r="92" customFormat="false" ht="17.15" hidden="false" customHeight="false" outlineLevel="1" collapsed="false">
      <c r="A92" s="13" t="s">
        <v>1737</v>
      </c>
      <c r="B92" s="13" t="s">
        <v>1738</v>
      </c>
      <c r="C92" s="14" t="s">
        <v>53</v>
      </c>
      <c r="D92" s="14" t="s">
        <v>54</v>
      </c>
      <c r="E92" s="14" t="s">
        <v>139</v>
      </c>
      <c r="F92" s="14" t="s">
        <v>140</v>
      </c>
      <c r="I92" s="10" t="s">
        <v>1739</v>
      </c>
    </row>
    <row r="93" customFormat="false" ht="15" hidden="false" customHeight="false" outlineLevel="1" collapsed="false">
      <c r="A93" s="3" t="s">
        <v>1740</v>
      </c>
      <c r="B93" s="98" t="n">
        <v>3.4</v>
      </c>
      <c r="C93" s="11" t="n">
        <f aca="false">MAX(0,(INDEX(損益!$D$19:$G$19,1,1)*$B93-(INDEX(各期收支!$D$82:$G$82,1,1)-INDEX(各期收支!$D$47:$G$47,1,1)+評價_DCF與目標價!$C$69))/INDEX(損益!$D$21:$G$21,1,1))/(1+輸入與假設!$C$135)^(1-輸入與假設!$C$164)</f>
        <v>0</v>
      </c>
      <c r="D93" s="11" t="n">
        <f aca="false">MAX(0,(INDEX(損益!$D$19:$G$19,1,2)*$B93-(INDEX(各期收支!$D$82:$G$82,1,2)-INDEX(各期收支!$D$47:$G$47,1,2)+評價_DCF與目標價!$C$69))/INDEX(損益!$D$21:$G$21,1,2))/(1+輸入與假設!$C$135)^(2-輸入與假設!$C$164)</f>
        <v>0</v>
      </c>
      <c r="E93" s="11" t="n">
        <f aca="false">MAX(0,(INDEX(損益!$D$19:$G$19,1,3)*$B93-(INDEX(各期收支!$D$82:$G$82,1,3)-INDEX(各期收支!$D$47:$G$47,1,3)+評價_DCF與目標價!$C$69))/INDEX(損益!$D$21:$G$21,1,3))/(1+輸入與假設!$C$135)^(3-輸入與假設!$C$164)</f>
        <v>0</v>
      </c>
      <c r="F93" s="11" t="n">
        <f aca="false">MAX(0,(INDEX(損益!$D$19:$G$19,1,4)*$B93-(INDEX(各期收支!$D$82:$G$82,1,4)-INDEX(各期收支!$D$47:$G$47,1,4)+評價_DCF與目標價!$C$69))/INDEX(損益!$D$21:$G$21,1,4))/(1+輸入與假設!$C$135)^(4-輸入與假設!$C$164)</f>
        <v>0</v>
      </c>
    </row>
    <row r="94" customFormat="false" ht="15" hidden="false" customHeight="false" outlineLevel="1" collapsed="false">
      <c r="A94" s="3" t="s">
        <v>1741</v>
      </c>
      <c r="B94" s="98" t="n">
        <v>4.5</v>
      </c>
      <c r="C94" s="11" t="n">
        <f aca="false">MAX(0,(INDEX(損益!$D$19:$G$19,1,1)*$B94-(INDEX(各期收支!$D$82:$G$82,1,1)-INDEX(各期收支!$D$47:$G$47,1,1)+評價_DCF與目標價!$C$69))/INDEX(損益!$D$21:$G$21,1,1))/(1+輸入與假設!$C$135)^(1-輸入與假設!$C$164)</f>
        <v>0</v>
      </c>
      <c r="D94" s="11" t="n">
        <f aca="false">MAX(0,(INDEX(損益!$D$19:$G$19,1,2)*$B94-(INDEX(各期收支!$D$82:$G$82,1,2)-INDEX(各期收支!$D$47:$G$47,1,2)+評價_DCF與目標價!$C$69))/INDEX(損益!$D$21:$G$21,1,2))/(1+輸入與假設!$C$135)^(2-輸入與假設!$C$164)</f>
        <v>0</v>
      </c>
      <c r="E94" s="11" t="n">
        <f aca="false">MAX(0,(INDEX(損益!$D$19:$G$19,1,3)*$B94-(INDEX(各期收支!$D$82:$G$82,1,3)-INDEX(各期收支!$D$47:$G$47,1,3)+評價_DCF與目標價!$C$69))/INDEX(損益!$D$21:$G$21,1,3))/(1+輸入與假設!$C$135)^(3-輸入與假設!$C$164)</f>
        <v>16.5255029082899</v>
      </c>
      <c r="F94" s="11" t="n">
        <f aca="false">MAX(0,(INDEX(損益!$D$19:$G$19,1,4)*$B94-(INDEX(各期收支!$D$82:$G$82,1,4)-INDEX(各期收支!$D$47:$G$47,1,4)+評價_DCF與目標價!$C$69))/INDEX(損益!$D$21:$G$21,1,4))/(1+輸入與假設!$C$135)^(4-輸入與假設!$C$164)</f>
        <v>14.980953347534</v>
      </c>
    </row>
    <row r="95" customFormat="false" ht="15" hidden="false" customHeight="false" outlineLevel="1" collapsed="false">
      <c r="A95" s="3" t="s">
        <v>1742</v>
      </c>
      <c r="B95" s="98" t="n">
        <v>5</v>
      </c>
      <c r="C95" s="11" t="n">
        <f aca="false">MAX(0,(INDEX(損益!$D$19:$G$19,1,1)*$B95-(INDEX(各期收支!$D$82:$G$82,1,1)-INDEX(各期收支!$D$47:$G$47,1,1)+評價_DCF與目標價!$C$69))/INDEX(損益!$D$21:$G$21,1,1))/(1+輸入與假設!$C$135)^(1-輸入與假設!$C$164)</f>
        <v>0</v>
      </c>
      <c r="D95" s="11" t="n">
        <f aca="false">MAX(0,(INDEX(損益!$D$19:$G$19,1,2)*$B95-(INDEX(各期收支!$D$82:$G$82,1,2)-INDEX(各期收支!$D$47:$G$47,1,2)+評價_DCF與目標價!$C$69))/INDEX(損益!$D$21:$G$21,1,2))/(1+輸入與假設!$C$135)^(2-輸入與假設!$C$164)</f>
        <v>6.29269713498848</v>
      </c>
      <c r="E95" s="11" t="n">
        <f aca="false">MAX(0,(INDEX(損益!$D$19:$G$19,1,3)*$B95-(INDEX(各期收支!$D$82:$G$82,1,3)-INDEX(各期收支!$D$47:$G$47,1,3)+評價_DCF與目標價!$C$69))/INDEX(損益!$D$21:$G$21,1,3))/(1+輸入與假設!$C$135)^(3-輸入與假設!$C$164)</f>
        <v>24.3702163153326</v>
      </c>
      <c r="F95" s="11" t="n">
        <f aca="false">MAX(0,(INDEX(損益!$D$19:$G$19,1,4)*$B95-(INDEX(各期收支!$D$82:$G$82,1,4)-INDEX(各期收支!$D$47:$G$47,1,4)+評價_DCF與目標價!$C$69))/INDEX(損益!$D$21:$G$21,1,4))/(1+輸入與假設!$C$135)^(4-輸入與假設!$C$164)</f>
        <v>22.7595130626299</v>
      </c>
    </row>
    <row r="96" customFormat="false" ht="15" hidden="false" customHeight="false" outlineLevel="1" collapsed="false">
      <c r="A96" s="3" t="s">
        <v>1743</v>
      </c>
      <c r="B96" s="98" t="n">
        <v>6</v>
      </c>
      <c r="C96" s="11" t="n">
        <f aca="false">MAX(0,(INDEX(損益!$D$19:$G$19,1,1)*$B96-(INDEX(各期收支!$D$82:$G$82,1,1)-INDEX(各期收支!$D$47:$G$47,1,1)+評價_DCF與目標價!$C$69))/INDEX(損益!$D$21:$G$21,1,1))/(1+輸入與假設!$C$135)^(1-輸入與假設!$C$164)</f>
        <v>0</v>
      </c>
      <c r="D96" s="11" t="n">
        <f aca="false">MAX(0,(INDEX(損益!$D$19:$G$19,1,2)*$B96-(INDEX(各期收支!$D$82:$G$82,1,2)-INDEX(各期收支!$D$47:$G$47,1,2)+評價_DCF與目標價!$C$69))/INDEX(損益!$D$21:$G$21,1,2))/(1+輸入與假設!$C$135)^(2-輸入與假設!$C$164)</f>
        <v>19.153408305387</v>
      </c>
      <c r="E96" s="11" t="n">
        <f aca="false">MAX(0,(INDEX(損益!$D$19:$G$19,1,3)*$B96-(INDEX(各期收支!$D$82:$G$82,1,3)-INDEX(各期收支!$D$47:$G$47,1,3)+評價_DCF與目標價!$C$69))/INDEX(損益!$D$21:$G$21,1,3))/(1+輸入與假設!$C$135)^(3-輸入與假設!$C$164)</f>
        <v>40.059643129418</v>
      </c>
      <c r="F96" s="11" t="n">
        <f aca="false">MAX(0,(INDEX(損益!$D$19:$G$19,1,4)*$B96-(INDEX(各期收支!$D$82:$G$82,1,4)-INDEX(各期收支!$D$47:$G$47,1,4)+評價_DCF與目標價!$C$69))/INDEX(損益!$D$21:$G$21,1,4))/(1+輸入與假設!$C$135)^(4-輸入與假設!$C$164)</f>
        <v>38.3166324928218</v>
      </c>
    </row>
    <row r="97" customFormat="false" ht="15" hidden="false" customHeight="false" outlineLevel="1" collapsed="false">
      <c r="A97" s="3" t="s">
        <v>1744</v>
      </c>
      <c r="B97" s="98" t="n">
        <v>7</v>
      </c>
      <c r="C97" s="11" t="n">
        <f aca="false">MAX(0,(INDEX(損益!$D$19:$G$19,1,1)*$B97-(INDEX(各期收支!$D$82:$G$82,1,1)-INDEX(各期收支!$D$47:$G$47,1,1)+評價_DCF與目標價!$C$69))/INDEX(損益!$D$21:$G$21,1,1))/(1+輸入與假設!$C$135)^(1-輸入與假設!$C$164)</f>
        <v>0</v>
      </c>
      <c r="D97" s="11" t="n">
        <f aca="false">MAX(0,(INDEX(損益!$D$19:$G$19,1,2)*$B97-(INDEX(各期收支!$D$82:$G$82,1,2)-INDEX(各期收支!$D$47:$G$47,1,2)+評價_DCF與目標價!$C$69))/INDEX(損益!$D$21:$G$21,1,2))/(1+輸入與假設!$C$135)^(2-輸入與假設!$C$164)</f>
        <v>32.0141194757854</v>
      </c>
      <c r="E97" s="11" t="n">
        <f aca="false">MAX(0,(INDEX(損益!$D$19:$G$19,1,3)*$B97-(INDEX(各期收支!$D$82:$G$82,1,3)-INDEX(各期收支!$D$47:$G$47,1,3)+評價_DCF與目標價!$C$69))/INDEX(損益!$D$21:$G$21,1,3))/(1+輸入與假設!$C$135)^(3-輸入與假設!$C$164)</f>
        <v>55.7490699435033</v>
      </c>
      <c r="F97" s="11" t="n">
        <f aca="false">MAX(0,(INDEX(損益!$D$19:$G$19,1,4)*$B97-(INDEX(各期收支!$D$82:$G$82,1,4)-INDEX(各期收支!$D$47:$G$47,1,4)+評價_DCF與目標價!$C$69))/INDEX(損益!$D$21:$G$21,1,4))/(1+輸入與假設!$C$135)^(4-輸入與假設!$C$164)</f>
        <v>53.8737519230137</v>
      </c>
    </row>
    <row r="98" customFormat="false" ht="15" hidden="false" customHeight="false" outlineLevel="1" collapsed="false"/>
    <row r="99" customFormat="false" ht="15" hidden="false" customHeight="false" outlineLevel="1" collapsed="false">
      <c r="A99" s="13" t="s">
        <v>1745</v>
      </c>
      <c r="B99" s="13" t="s">
        <v>1738</v>
      </c>
      <c r="C99" s="14" t="s">
        <v>53</v>
      </c>
      <c r="D99" s="14" t="s">
        <v>54</v>
      </c>
      <c r="E99" s="14" t="s">
        <v>139</v>
      </c>
      <c r="F99" s="14" t="s">
        <v>140</v>
      </c>
    </row>
    <row r="100" customFormat="false" ht="15" hidden="false" customHeight="false" outlineLevel="1" collapsed="false">
      <c r="A100" s="3" t="s">
        <v>1746</v>
      </c>
      <c r="B100" s="98" t="n">
        <v>3.4</v>
      </c>
      <c r="C100" s="11" t="n">
        <f aca="false">C46*IF(C30=1,0,輸入與假設!$C$144)+C93*IF(C30=1,1,1-輸入與假設!$C$144)</f>
        <v>0</v>
      </c>
      <c r="D100" s="11" t="n">
        <f aca="false">C46*IF(C30=1,0,輸入與假設!$C$144)+D93*IF(C30=1,1,1-輸入與假設!$C$144)</f>
        <v>0</v>
      </c>
      <c r="E100" s="11" t="n">
        <f aca="false">C46*IF(C30=1,0,輸入與假設!$C$144)+E93*IF(C30=1,1,1-輸入與假設!$C$144)</f>
        <v>0</v>
      </c>
      <c r="F100" s="11" t="n">
        <f aca="false">C46*IF(C30=1,0,輸入與假設!$C$144)+F93*IF(C30=1,1,1-輸入與假設!$C$144)</f>
        <v>0</v>
      </c>
    </row>
    <row r="101" customFormat="false" ht="15" hidden="false" customHeight="false" outlineLevel="1" collapsed="false">
      <c r="A101" s="3" t="s">
        <v>1747</v>
      </c>
      <c r="B101" s="98" t="n">
        <v>4.5</v>
      </c>
      <c r="C101" s="11" t="n">
        <f aca="false">C46*IF(C30=1,0,輸入與假設!$C$144)+C94*IF(C30=1,1,1-輸入與假設!$C$144)</f>
        <v>0</v>
      </c>
      <c r="D101" s="11" t="n">
        <f aca="false">C46*IF(C30=1,0,輸入與假設!$C$144)+D94*IF(C30=1,1,1-輸入與假設!$C$144)</f>
        <v>0</v>
      </c>
      <c r="E101" s="11" t="n">
        <f aca="false">C46*IF(C30=1,0,輸入與假設!$C$144)+E94*IF(C30=1,1,1-輸入與假設!$C$144)</f>
        <v>9.08902659955945</v>
      </c>
      <c r="F101" s="11" t="n">
        <f aca="false">C46*IF(C30=1,0,輸入與假設!$C$144)+F94*IF(C30=1,1,1-輸入與假設!$C$144)</f>
        <v>8.23952434114369</v>
      </c>
    </row>
    <row r="102" customFormat="false" ht="15" hidden="false" customHeight="false" outlineLevel="1" collapsed="false">
      <c r="A102" s="3" t="s">
        <v>1748</v>
      </c>
      <c r="B102" s="98" t="n">
        <v>5</v>
      </c>
      <c r="C102" s="11" t="n">
        <f aca="false">C46*IF(C30=1,0,輸入與假設!$C$144)+C95*IF(C30=1,1,1-輸入與假設!$C$144)</f>
        <v>0</v>
      </c>
      <c r="D102" s="11" t="n">
        <f aca="false">C46*IF(C30=1,0,輸入與假設!$C$144)+D95*IF(C30=1,1,1-輸入與假設!$C$144)</f>
        <v>3.46098342424366</v>
      </c>
      <c r="E102" s="11" t="n">
        <f aca="false">C46*IF(C30=1,0,輸入與假設!$C$144)+E95*IF(C30=1,1,1-輸入與假設!$C$144)</f>
        <v>13.4036189734329</v>
      </c>
      <c r="F102" s="11" t="n">
        <f aca="false">C46*IF(C30=1,0,輸入與假設!$C$144)+F95*IF(C30=1,1,1-輸入與假設!$C$144)</f>
        <v>12.5177321844465</v>
      </c>
    </row>
    <row r="103" customFormat="false" ht="15" hidden="false" customHeight="false" outlineLevel="1" collapsed="false">
      <c r="A103" s="3" t="s">
        <v>1749</v>
      </c>
      <c r="B103" s="98" t="n">
        <v>6</v>
      </c>
      <c r="C103" s="11" t="n">
        <f aca="false">C46*IF(C30=1,0,輸入與假設!$C$144)+C96*IF(C30=1,1,1-輸入與假設!$C$144)</f>
        <v>0</v>
      </c>
      <c r="D103" s="11" t="n">
        <f aca="false">C46*IF(C30=1,0,輸入與假設!$C$144)+D96*IF(C30=1,1,1-輸入與假設!$C$144)</f>
        <v>10.5343745679628</v>
      </c>
      <c r="E103" s="11" t="n">
        <f aca="false">C46*IF(C30=1,0,輸入與假設!$C$144)+E96*IF(C30=1,1,1-輸入與假設!$C$144)</f>
        <v>22.0328037211799</v>
      </c>
      <c r="F103" s="11" t="n">
        <f aca="false">C46*IF(C30=1,0,輸入與假設!$C$144)+F96*IF(C30=1,1,1-輸入與假設!$C$144)</f>
        <v>21.074147871052</v>
      </c>
    </row>
    <row r="104" customFormat="false" ht="15" hidden="false" customHeight="false" outlineLevel="1" collapsed="false">
      <c r="A104" s="3" t="s">
        <v>1750</v>
      </c>
      <c r="B104" s="98" t="n">
        <v>7</v>
      </c>
      <c r="C104" s="11" t="n">
        <f aca="false">C46*IF(C30=1,0,輸入與假設!$C$144)+C97*IF(C30=1,1,1-輸入與假設!$C$144)</f>
        <v>0</v>
      </c>
      <c r="D104" s="11" t="n">
        <f aca="false">C46*IF(C30=1,0,輸入與假設!$C$144)+D97*IF(C30=1,1,1-輸入與假設!$C$144)</f>
        <v>17.607765711682</v>
      </c>
      <c r="E104" s="11" t="n">
        <f aca="false">C46*IF(C30=1,0,輸入與假設!$C$144)+E97*IF(C30=1,1,1-輸入與假設!$C$144)</f>
        <v>30.6619884689268</v>
      </c>
      <c r="F104" s="11" t="n">
        <f aca="false">C46*IF(C30=1,0,輸入與假設!$C$144)+F97*IF(C30=1,1,1-輸入與假設!$C$144)</f>
        <v>29.6305635576575</v>
      </c>
    </row>
  </sheetData>
  <conditionalFormatting sqref="C93:F97">
    <cfRule type="cellIs" priority="2" operator="greaterThanOrEqual" aboveAverage="0" equalAverage="0" bottom="0" percent="0" rank="0" text="" dxfId="0">
      <formula>輸入與假設!$C$125</formula>
    </cfRule>
  </conditionalFormatting>
  <conditionalFormatting sqref="C100:F104">
    <cfRule type="cellIs" priority="3" operator="greaterThanOrEqual" aboveAverage="0" equalAverage="0" bottom="0" percent="0" rank="0" text="" dxfId="0">
      <formula>輸入與假設!$C$125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1" t="s">
        <v>1751</v>
      </c>
    </row>
    <row r="2" customFormat="false" ht="15" hidden="false" customHeight="false" outlineLevel="0" collapsed="false">
      <c r="A2" s="5" t="s">
        <v>1752</v>
      </c>
    </row>
    <row r="4" customFormat="false" ht="15" hidden="false" customHeight="false" outlineLevel="0" collapsed="false">
      <c r="A4" s="46" t="s">
        <v>1753</v>
      </c>
      <c r="B4" s="7"/>
      <c r="C4" s="7"/>
      <c r="D4" s="7"/>
      <c r="E4" s="7"/>
      <c r="F4" s="7"/>
      <c r="G4" s="7"/>
    </row>
    <row r="5" customFormat="false" ht="15" hidden="false" customHeight="false" outlineLevel="1" collapsed="false">
      <c r="A5" s="3" t="s">
        <v>1686</v>
      </c>
      <c r="B5" s="99" t="n">
        <f aca="false">輸入與假設!$C$125</f>
        <v>249.87</v>
      </c>
    </row>
    <row r="6" customFormat="false" ht="15" hidden="false" customHeight="false" outlineLevel="1" collapsed="false">
      <c r="A6" s="3" t="s">
        <v>1754</v>
      </c>
      <c r="B6" s="99" t="n">
        <f aca="false">評價_DCF與目標價!C26</f>
        <v>0</v>
      </c>
    </row>
    <row r="7" customFormat="false" ht="15" hidden="false" customHeight="false" outlineLevel="1" collapsed="false">
      <c r="A7" s="2" t="s">
        <v>1755</v>
      </c>
      <c r="B7" s="96" t="n">
        <f aca="false">B6-B5</f>
        <v>-249.87</v>
      </c>
    </row>
    <row r="8" customFormat="false" ht="15" hidden="false" customHeight="false" outlineLevel="1" collapsed="false">
      <c r="A8" s="3" t="s">
        <v>1756</v>
      </c>
      <c r="B8" s="100" t="n">
        <f aca="false">輸入與假設!$C$35</f>
        <v>1</v>
      </c>
      <c r="C8" s="100" t="n">
        <f aca="false">輸入與假設!$C$67</f>
        <v>1</v>
      </c>
    </row>
    <row r="10" customFormat="false" ht="15" hidden="false" customHeight="false" outlineLevel="0" collapsed="false">
      <c r="A10" s="46" t="s">
        <v>1757</v>
      </c>
      <c r="B10" s="7"/>
      <c r="C10" s="7"/>
      <c r="D10" s="7"/>
      <c r="E10" s="7"/>
      <c r="F10" s="7"/>
      <c r="G10" s="7"/>
    </row>
    <row r="11" customFormat="false" ht="15" hidden="false" customHeight="false" outlineLevel="1" collapsed="false">
      <c r="A11" s="5" t="s">
        <v>1758</v>
      </c>
    </row>
    <row r="12" customFormat="false" ht="15" hidden="false" customHeight="false" outlineLevel="1" collapsed="false">
      <c r="A12" s="5" t="s">
        <v>1759</v>
      </c>
    </row>
    <row r="13" customFormat="false" ht="15" hidden="false" customHeight="false" outlineLevel="1" collapsed="false">
      <c r="A13" s="5" t="s">
        <v>1760</v>
      </c>
    </row>
    <row r="14" customFormat="false" ht="15" hidden="false" customHeight="false" outlineLevel="1" collapsed="false">
      <c r="A14" s="5" t="s">
        <v>1761</v>
      </c>
    </row>
    <row r="16" customFormat="false" ht="15" hidden="false" customHeight="false" outlineLevel="0" collapsed="false">
      <c r="A16" s="46" t="s">
        <v>1762</v>
      </c>
      <c r="B16" s="7"/>
      <c r="C16" s="7"/>
      <c r="D16" s="7"/>
      <c r="E16" s="7"/>
      <c r="F16" s="7"/>
      <c r="G16" s="7"/>
    </row>
    <row r="17" customFormat="false" ht="15" hidden="false" customHeight="false" outlineLevel="1" collapsed="false">
      <c r="A17" s="13" t="s">
        <v>1763</v>
      </c>
      <c r="B17" s="13" t="s">
        <v>1764</v>
      </c>
      <c r="C17" s="13" t="s">
        <v>1765</v>
      </c>
      <c r="D17" s="13" t="s">
        <v>1349</v>
      </c>
      <c r="G17" s="13" t="s">
        <v>1766</v>
      </c>
    </row>
    <row r="18" customFormat="false" ht="15" hidden="false" customHeight="false" outlineLevel="1" collapsed="false">
      <c r="A18" s="4" t="s">
        <v>1767</v>
      </c>
      <c r="B18" s="101" t="n">
        <v>10.3953</v>
      </c>
      <c r="C18" s="101" t="n">
        <v>31.7846</v>
      </c>
      <c r="D18" s="55" t="n">
        <v>2.0576</v>
      </c>
      <c r="G18" s="5" t="s">
        <v>1768</v>
      </c>
    </row>
    <row r="19" customFormat="false" ht="15" hidden="false" customHeight="false" outlineLevel="1" collapsed="false">
      <c r="A19" s="3" t="s">
        <v>1769</v>
      </c>
      <c r="B19" s="101" t="n">
        <v>50.2564</v>
      </c>
      <c r="C19" s="102" t="s">
        <v>1770</v>
      </c>
      <c r="D19" s="55" t="s">
        <v>1020</v>
      </c>
      <c r="G19" s="10" t="s">
        <v>1771</v>
      </c>
    </row>
    <row r="20" customFormat="false" ht="15" hidden="false" customHeight="false" outlineLevel="1" collapsed="false">
      <c r="A20" s="3" t="s">
        <v>221</v>
      </c>
      <c r="B20" s="55" t="n">
        <v>0.47</v>
      </c>
      <c r="C20" s="57" t="s">
        <v>1770</v>
      </c>
      <c r="D20" s="55" t="s">
        <v>1020</v>
      </c>
      <c r="G20" s="5" t="s">
        <v>1772</v>
      </c>
    </row>
    <row r="21" customFormat="false" ht="15" hidden="false" customHeight="false" outlineLevel="1" collapsed="false">
      <c r="A21" s="3" t="s">
        <v>1773</v>
      </c>
      <c r="B21" s="101" t="n">
        <v>10.3953</v>
      </c>
      <c r="C21" s="101" t="n">
        <v>29.1587</v>
      </c>
      <c r="D21" s="55" t="n">
        <v>1.805</v>
      </c>
      <c r="G21" s="5" t="s">
        <v>1774</v>
      </c>
    </row>
    <row r="23" customFormat="false" ht="15" hidden="false" customHeight="false" outlineLevel="0" collapsed="false">
      <c r="A23" s="46" t="s">
        <v>1775</v>
      </c>
      <c r="B23" s="7"/>
      <c r="C23" s="7"/>
      <c r="D23" s="7"/>
      <c r="E23" s="7"/>
      <c r="F23" s="7"/>
      <c r="G23" s="7"/>
    </row>
    <row r="24" customFormat="false" ht="17.15" hidden="false" customHeight="false" outlineLevel="1" collapsed="false">
      <c r="A24" s="13" t="s">
        <v>1776</v>
      </c>
      <c r="B24" s="103" t="n">
        <v>0.35</v>
      </c>
      <c r="C24" s="103" t="n">
        <v>0.47</v>
      </c>
      <c r="D24" s="103" t="n">
        <v>0.59</v>
      </c>
      <c r="E24" s="103" t="n">
        <v>0.7</v>
      </c>
    </row>
    <row r="25" customFormat="false" ht="15" hidden="false" customHeight="false" outlineLevel="1" collapsed="false">
      <c r="A25" s="4" t="s">
        <v>1777</v>
      </c>
      <c r="B25" s="101" t="n">
        <v>33.65</v>
      </c>
      <c r="C25" s="101" t="n">
        <v>25.51</v>
      </c>
      <c r="D25" s="101" t="n">
        <v>20.55</v>
      </c>
      <c r="E25" s="101" t="n">
        <v>17.44</v>
      </c>
    </row>
    <row r="26" customFormat="false" ht="15" hidden="false" customHeight="false" outlineLevel="1" collapsed="false">
      <c r="A26" s="4" t="s">
        <v>1778</v>
      </c>
      <c r="B26" s="101" t="n">
        <v>36.13</v>
      </c>
      <c r="C26" s="101" t="n">
        <v>27.39</v>
      </c>
      <c r="D26" s="101" t="n">
        <v>22.06</v>
      </c>
      <c r="E26" s="101" t="n">
        <v>18.72</v>
      </c>
    </row>
    <row r="27" customFormat="false" ht="15" hidden="false" customHeight="false" outlineLevel="1" collapsed="false">
      <c r="A27" s="4" t="s">
        <v>1779</v>
      </c>
      <c r="B27" s="101" t="n">
        <v>39.03</v>
      </c>
      <c r="C27" s="101" t="n">
        <v>29.59</v>
      </c>
      <c r="D27" s="101" t="n">
        <v>23.83</v>
      </c>
      <c r="E27" s="101" t="n">
        <v>20.22</v>
      </c>
    </row>
    <row r="28" customFormat="false" ht="15" hidden="false" customHeight="false" outlineLevel="1" collapsed="false">
      <c r="A28" s="4" t="s">
        <v>1780</v>
      </c>
      <c r="B28" s="101" t="s">
        <v>1020</v>
      </c>
      <c r="C28" s="104" t="n">
        <v>31.78</v>
      </c>
      <c r="D28" s="101" t="n">
        <v>25.6</v>
      </c>
      <c r="E28" s="101" t="n">
        <v>21.73</v>
      </c>
    </row>
    <row r="29" customFormat="false" ht="15" hidden="false" customHeight="false" outlineLevel="1" collapsed="false">
      <c r="A29" s="4" t="s">
        <v>1781</v>
      </c>
      <c r="B29" s="101" t="s">
        <v>1020</v>
      </c>
      <c r="C29" s="101" t="n">
        <v>33.98</v>
      </c>
      <c r="D29" s="101" t="n">
        <v>27.37</v>
      </c>
      <c r="E29" s="101" t="n">
        <v>23.24</v>
      </c>
    </row>
    <row r="30" customFormat="false" ht="15" hidden="false" customHeight="false" outlineLevel="1" collapsed="false">
      <c r="A30" s="5" t="s">
        <v>1782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1" t="s">
        <v>1783</v>
      </c>
    </row>
    <row r="2" customFormat="false" ht="15" hidden="false" customHeight="false" outlineLevel="0" collapsed="false">
      <c r="A2" s="10" t="s">
        <v>1784</v>
      </c>
    </row>
    <row r="4" customFormat="false" ht="17.15" hidden="false" customHeight="false" outlineLevel="0" collapsed="false">
      <c r="A4" s="13" t="s">
        <v>1785</v>
      </c>
      <c r="B4" s="13" t="s">
        <v>1786</v>
      </c>
      <c r="C4" s="13" t="s">
        <v>1787</v>
      </c>
      <c r="D4" s="14" t="s">
        <v>1788</v>
      </c>
      <c r="E4" s="14" t="s">
        <v>1789</v>
      </c>
      <c r="F4" s="105" t="s">
        <v>1790</v>
      </c>
      <c r="G4" s="13" t="s">
        <v>1791</v>
      </c>
      <c r="H4" s="14" t="s">
        <v>1792</v>
      </c>
      <c r="I4" s="14" t="s">
        <v>1793</v>
      </c>
      <c r="J4" s="13" t="s">
        <v>1794</v>
      </c>
      <c r="K4" s="13" t="s">
        <v>505</v>
      </c>
    </row>
    <row r="5" customFormat="false" ht="15" hidden="false" customHeight="false" outlineLevel="0" collapsed="false">
      <c r="A5" s="4" t="s">
        <v>1795</v>
      </c>
      <c r="B5" s="24" t="n">
        <v>47.12</v>
      </c>
      <c r="C5" s="24" t="n">
        <v>30.012</v>
      </c>
      <c r="D5" s="54" t="n">
        <f aca="false">B5+C5</f>
        <v>77.132</v>
      </c>
      <c r="E5" s="24" t="n">
        <v>7.59</v>
      </c>
      <c r="F5" s="106" t="n">
        <f aca="false">D5/E5</f>
        <v>10.1623188405797</v>
      </c>
      <c r="G5" s="107" t="n">
        <f aca="false">(D5+16.54)/E5</f>
        <v>12.3415019762846</v>
      </c>
      <c r="H5" s="24" t="n">
        <f aca="false">-0.231+3.991</f>
        <v>3.76</v>
      </c>
      <c r="I5" s="107" t="n">
        <f aca="false">IF(H5&gt;0,D5/H5,"n/m")</f>
        <v>20.513829787234</v>
      </c>
      <c r="J5" s="10" t="s">
        <v>1796</v>
      </c>
      <c r="K5" s="5" t="s">
        <v>1797</v>
      </c>
    </row>
    <row r="6" customFormat="false" ht="15" hidden="false" customHeight="false" outlineLevel="0" collapsed="false">
      <c r="A6" s="4" t="s">
        <v>1798</v>
      </c>
      <c r="B6" s="24" t="n">
        <v>18.61</v>
      </c>
      <c r="C6" s="24" t="n">
        <v>1.7</v>
      </c>
      <c r="D6" s="54" t="n">
        <f aca="false">B6+C6</f>
        <v>20.31</v>
      </c>
      <c r="E6" s="24" t="n">
        <v>0.707</v>
      </c>
      <c r="F6" s="106" t="n">
        <f aca="false">D6/E6</f>
        <v>28.7270155586987</v>
      </c>
      <c r="G6" s="107" t="n">
        <f aca="false">(D6+0.003)/E6</f>
        <v>28.7312588401697</v>
      </c>
      <c r="H6" s="24" t="n">
        <f aca="false">-1.047+0.418</f>
        <v>-0.629</v>
      </c>
      <c r="I6" s="107" t="str">
        <f aca="false">IF(H6&gt;0,D6/H6,"n/m")</f>
        <v>n/m</v>
      </c>
      <c r="J6" s="10" t="s">
        <v>1799</v>
      </c>
      <c r="K6" s="5" t="s">
        <v>1800</v>
      </c>
    </row>
    <row r="7" customFormat="false" ht="15" hidden="false" customHeight="false" outlineLevel="0" collapsed="false">
      <c r="A7" s="4" t="s">
        <v>1801</v>
      </c>
      <c r="B7" s="24" t="n">
        <v>8.22</v>
      </c>
      <c r="C7" s="24" t="n">
        <v>3.37</v>
      </c>
      <c r="D7" s="54" t="n">
        <f aca="false">B7+C7</f>
        <v>11.59</v>
      </c>
      <c r="E7" s="24" t="n">
        <v>0.6113</v>
      </c>
      <c r="F7" s="106" t="n">
        <f aca="false">D7/E7</f>
        <v>18.9595943072141</v>
      </c>
      <c r="G7" s="107" t="n">
        <f aca="false">(D7+0.066)/E7</f>
        <v>19.0675609357108</v>
      </c>
      <c r="H7" s="24" t="n">
        <f aca="false">-0.236+0.067</f>
        <v>-0.169</v>
      </c>
      <c r="I7" s="107" t="str">
        <f aca="false">IF(H7&gt;0,D7/H7,"n/m")</f>
        <v>n/m</v>
      </c>
      <c r="J7" s="10" t="s">
        <v>1802</v>
      </c>
      <c r="K7" s="5" t="s">
        <v>1803</v>
      </c>
    </row>
    <row r="8" customFormat="false" ht="15" hidden="false" customHeight="false" outlineLevel="0" collapsed="false">
      <c r="A8" s="4" t="s">
        <v>1804</v>
      </c>
      <c r="B8" s="24" t="n">
        <v>5.9</v>
      </c>
      <c r="C8" s="24" t="n">
        <v>2.53</v>
      </c>
      <c r="D8" s="54" t="n">
        <f aca="false">B8+C8</f>
        <v>8.43</v>
      </c>
      <c r="E8" s="24" t="n">
        <v>0.4403</v>
      </c>
      <c r="F8" s="106" t="n">
        <f aca="false">D8/E8</f>
        <v>19.1460367930956</v>
      </c>
      <c r="G8" s="107" t="n">
        <f aca="false">(D8+0.109)/E8</f>
        <v>19.3935952759482</v>
      </c>
      <c r="H8" s="24" t="n">
        <f aca="false">-0.561+0.063</f>
        <v>-0.498</v>
      </c>
      <c r="I8" s="107" t="str">
        <f aca="false">IF(H8&gt;0,D8/H8,"n/m")</f>
        <v>n/m</v>
      </c>
      <c r="J8" s="10" t="s">
        <v>1805</v>
      </c>
      <c r="K8" s="5" t="s">
        <v>1806</v>
      </c>
    </row>
    <row r="9" customFormat="false" ht="15" hidden="false" customHeight="false" outlineLevel="0" collapsed="false">
      <c r="A9" s="2" t="s">
        <v>1807</v>
      </c>
      <c r="F9" s="89" t="n">
        <f aca="false">MEDIAN(F5:F8)</f>
        <v>19.0528155501549</v>
      </c>
      <c r="G9" s="108" t="n">
        <f aca="false">MEDIAN(G5:G8)</f>
        <v>19.2305781058295</v>
      </c>
    </row>
    <row r="10" customFormat="false" ht="15" hidden="false" customHeight="false" outlineLevel="0" collapsed="false">
      <c r="A10" s="72" t="s">
        <v>1808</v>
      </c>
      <c r="B10" s="87" t="n">
        <v>63.81</v>
      </c>
      <c r="C10" s="88" t="n">
        <f aca="false">輸入與假設!$C$127+SUM(資產負債_既有債務!$C$24:$C$31)+輸入與假設!$C$134</f>
        <v>-0.456599999999999</v>
      </c>
      <c r="D10" s="52" t="n">
        <f aca="false">B10+C10</f>
        <v>63.3534</v>
      </c>
      <c r="E10" s="87" t="n">
        <v>1.36</v>
      </c>
      <c r="F10" s="89" t="n">
        <f aca="false">D10/E10</f>
        <v>46.5833823529412</v>
      </c>
      <c r="G10" s="108" t="n">
        <f aca="false">(D10+1.6253)/E10</f>
        <v>47.7784558823529</v>
      </c>
      <c r="H10" s="87" t="n">
        <f aca="false">-0.612+0.418</f>
        <v>-0.194</v>
      </c>
      <c r="I10" s="108" t="str">
        <f aca="false">IF(H10&gt;0,D10/H10,"n/m")</f>
        <v>n/m</v>
      </c>
      <c r="J10" s="10" t="s">
        <v>1809</v>
      </c>
      <c r="K10" s="10" t="s">
        <v>1810</v>
      </c>
    </row>
    <row r="11" customFormat="false" ht="15" hidden="false" customHeight="false" outlineLevel="0" collapsed="false">
      <c r="A11" s="4" t="s">
        <v>1811</v>
      </c>
      <c r="B11" s="52" t="n">
        <f aca="false">輸入與假設!$C$125*評價_DCF與目標價!$C$67</f>
        <v>79.783491</v>
      </c>
      <c r="C11" s="52" t="n">
        <f aca="false">評價_DCF與目標價!$C$68</f>
        <v>-0.456599999999999</v>
      </c>
      <c r="D11" s="52" t="n">
        <f aca="false">B11+C11</f>
        <v>79.326891</v>
      </c>
      <c r="E11" s="88" t="n">
        <f aca="false">損益!D8</f>
        <v>5.97516519818903</v>
      </c>
      <c r="F11" s="108" t="n">
        <f aca="false">D11/E11</f>
        <v>13.2761000522701</v>
      </c>
      <c r="G11" s="108" t="n">
        <f aca="false">(D11+1.6253)/E11</f>
        <v>13.5481092680978</v>
      </c>
      <c r="H11" s="88" t="n">
        <f aca="false">損益!D19</f>
        <v>2.78832473841217</v>
      </c>
      <c r="I11" s="108" t="n">
        <f aca="false">D11/H11</f>
        <v>28.4496600798274</v>
      </c>
      <c r="K11" s="5" t="s">
        <v>1812</v>
      </c>
    </row>
    <row r="13" customFormat="false" ht="15" hidden="false" customHeight="false" outlineLevel="0" collapsed="false">
      <c r="A13" s="5" t="s">
        <v>1813</v>
      </c>
    </row>
    <row r="14" customFormat="false" ht="15" hidden="false" customHeight="false" outlineLevel="0" collapsed="false">
      <c r="A14" s="10" t="s">
        <v>1814</v>
      </c>
    </row>
    <row r="15" customFormat="false" ht="15" hidden="false" customHeight="false" outlineLevel="0" collapsed="false">
      <c r="A15" s="5" t="s">
        <v>1815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1816</v>
      </c>
    </row>
    <row r="3" customFormat="false" ht="15" hidden="false" customHeight="false" outlineLevel="0" collapsed="false">
      <c r="A3" s="13" t="s">
        <v>1817</v>
      </c>
      <c r="B3" s="13" t="s">
        <v>1818</v>
      </c>
      <c r="C3" s="13" t="s">
        <v>1819</v>
      </c>
      <c r="D3" s="13" t="s">
        <v>1820</v>
      </c>
      <c r="E3" s="13" t="s">
        <v>620</v>
      </c>
    </row>
    <row r="4" customFormat="false" ht="15" hidden="false" customHeight="false" outlineLevel="0" collapsed="false">
      <c r="A4" s="4" t="s">
        <v>180</v>
      </c>
      <c r="B4" s="12" t="n">
        <f aca="false">SUM(輸入與假設!C38:G38)</f>
        <v>0.82</v>
      </c>
      <c r="C4" s="109" t="n">
        <f aca="false">輸入與假設!$C$29</f>
        <v>0.82</v>
      </c>
      <c r="D4" s="2" t="str">
        <f aca="false">IF(ABS(B4-C4)&lt;0.0001,"通過","不一致")</f>
        <v>通過</v>
      </c>
      <c r="E4" s="5" t="s">
        <v>1821</v>
      </c>
    </row>
    <row r="5" customFormat="false" ht="15" hidden="false" customHeight="false" outlineLevel="0" collapsed="false">
      <c r="A5" s="3" t="s">
        <v>1822</v>
      </c>
      <c r="B5" s="9" t="n">
        <f aca="false">各期收支!C96</f>
        <v>-9.32587340685132E-015</v>
      </c>
      <c r="C5" s="5" t="n">
        <f aca="false">0</f>
        <v>0</v>
      </c>
      <c r="D5" s="2" t="str">
        <f aca="false">IF(ABS(B5)&lt;0.01,"通過","不一致")</f>
        <v>通過</v>
      </c>
      <c r="E5" s="5" t="s">
        <v>1823</v>
      </c>
    </row>
    <row r="6" customFormat="false" ht="15" hidden="false" customHeight="false" outlineLevel="0" collapsed="false">
      <c r="A6" s="4" t="s">
        <v>1824</v>
      </c>
      <c r="B6" s="8" t="n">
        <f aca="false">運營_產能與收入!G9-運營_產能與收入!G10</f>
        <v>307</v>
      </c>
      <c r="C6" s="10" t="s">
        <v>1825</v>
      </c>
      <c r="D6" s="2" t="str">
        <f aca="false">IF(B6&gt;=0,"通過","不一致")</f>
        <v>通過</v>
      </c>
      <c r="E6" s="5" t="s">
        <v>1826</v>
      </c>
    </row>
    <row r="7" customFormat="false" ht="15" hidden="false" customHeight="false" outlineLevel="0" collapsed="false">
      <c r="A7" s="4" t="s">
        <v>1827</v>
      </c>
      <c r="B7" s="9" t="n">
        <f aca="false">各期收支!C100</f>
        <v>26.04618992</v>
      </c>
      <c r="C7" s="10" t="s">
        <v>1828</v>
      </c>
      <c r="D7" s="2" t="str">
        <f aca="false">IF(AND(B7&gt;=20,B7&lt;=25),"通過","觀察")</f>
        <v>觀察</v>
      </c>
      <c r="E7" s="10" t="s">
        <v>1829</v>
      </c>
    </row>
    <row r="8" customFormat="false" ht="15" hidden="false" customHeight="false" outlineLevel="0" collapsed="false">
      <c r="A8" s="4" t="s">
        <v>1830</v>
      </c>
      <c r="B8" s="9" t="n">
        <f aca="false">各期收支!C99</f>
        <v>2.33949943134272</v>
      </c>
      <c r="C8" s="10" t="s">
        <v>1831</v>
      </c>
      <c r="D8" s="2" t="str">
        <f aca="false">IF(AND(B8&gt;=3,B8&lt;=3.4),"通過","觀察")</f>
        <v>觀察</v>
      </c>
      <c r="E8" s="10" t="s">
        <v>1832</v>
      </c>
    </row>
    <row r="9" customFormat="false" ht="15" hidden="false" customHeight="false" outlineLevel="0" collapsed="false">
      <c r="A9" s="4" t="s">
        <v>1833</v>
      </c>
      <c r="B9" s="44" t="n">
        <f aca="false">SUM(各期收支!C6:G6)/((運營_產能與收入!G9-輸入與假設!$C$32)/1000)/1000*1000</f>
        <v>53.1179479162229</v>
      </c>
      <c r="C9" s="10" t="s">
        <v>1834</v>
      </c>
      <c r="D9" s="2" t="str">
        <f aca="false">IF(AND(B9&gt;=38,B9&lt;=68),"通過","觀察")</f>
        <v>通過</v>
      </c>
      <c r="E9" s="10" t="s">
        <v>1835</v>
      </c>
    </row>
    <row r="10" customFormat="false" ht="15" hidden="false" customHeight="false" outlineLevel="0" collapsed="false">
      <c r="A10" s="3" t="s">
        <v>1836</v>
      </c>
      <c r="B10" s="15" t="n">
        <f aca="false">資產負債_租賃承諾!C23</f>
        <v>0.979261087566013</v>
      </c>
      <c r="C10" s="10" t="s">
        <v>1837</v>
      </c>
      <c r="D10" s="2" t="str">
        <f aca="false">IF(B10&gt;=0.8,"通過","不一致")</f>
        <v>通過</v>
      </c>
      <c r="E10" s="5" t="s">
        <v>1838</v>
      </c>
    </row>
    <row r="11" customFormat="false" ht="15" hidden="false" customHeight="false" outlineLevel="0" collapsed="false">
      <c r="A11" s="4" t="s">
        <v>1839</v>
      </c>
      <c r="B11" s="9" t="n">
        <f aca="false">各期收支!C101</f>
        <v>0.243175</v>
      </c>
      <c r="C11" s="10" t="s">
        <v>1840</v>
      </c>
      <c r="D11" s="2" t="str">
        <f aca="false">IF(B11&gt;=0.2,"通過","觀察")</f>
        <v>通過</v>
      </c>
      <c r="E11" s="5" t="str">
        <f aca="false">"1H 實際 0.1828＋2H 模型 "&amp;TEXT(各期收支!C16,"0.0")&amp;"；公司未提供季度利息指引（不適用）"</f>
        <v>1H 實際 0.1828＋2H 模型 0.1；公司未提供季度利息指引（不適用）</v>
      </c>
    </row>
    <row r="12" customFormat="false" ht="15" hidden="false" customHeight="false" outlineLevel="0" collapsed="false">
      <c r="A12" s="4" t="s">
        <v>1841</v>
      </c>
      <c r="B12" s="27" t="n">
        <f aca="false">SUM(運營_產能與收入!E23:G23)/SUM(運營_產能與收入!E25:G25)</f>
        <v>0.653283013146965</v>
      </c>
      <c r="C12" s="10" t="s">
        <v>1842</v>
      </c>
      <c r="D12" s="2" t="str">
        <f aca="false">IF(B12&lt;0.5,"通過","觀察")</f>
        <v>觀察</v>
      </c>
      <c r="E12" s="10" t="s">
        <v>1843</v>
      </c>
    </row>
    <row r="13" customFormat="false" ht="15" hidden="false" customHeight="false" outlineLevel="0" collapsed="false">
      <c r="A13" s="3" t="s">
        <v>1844</v>
      </c>
      <c r="B13" s="52" t="n">
        <f aca="false">損益!D6-運營_產能與收入!D25</f>
        <v>0</v>
      </c>
      <c r="C13" s="5" t="n">
        <f aca="false">0</f>
        <v>0</v>
      </c>
      <c r="D13" s="2" t="str">
        <f aca="false">IF(ABS(B13)&lt;0.001,"通過","不一致")</f>
        <v>通過</v>
      </c>
      <c r="E13" s="10" t="s">
        <v>1845</v>
      </c>
    </row>
    <row r="14" customFormat="false" ht="15" hidden="false" customHeight="false" outlineLevel="0" collapsed="false">
      <c r="A14" s="3" t="s">
        <v>1656</v>
      </c>
      <c r="B14" s="12" t="n">
        <f aca="false">評價_DCF與目標價!C27</f>
        <v>-0</v>
      </c>
      <c r="C14" s="5" t="str">
        <f aca="false">"&lt;"&amp;IF(ROUND(ABS(輸入與假設!$C$176)*100,4)=INT(ROUND(ABS(輸入與假設!$C$176)*100,4)),TEXT(ROUND(ABS(輸入與假設!$C$176)*100,4),"0"),TEXT(ROUND(ABS(輸入與假設!$C$176)*100,4),"0.0"))&amp;"%"</f>
        <v>&lt;85%</v>
      </c>
      <c r="D14" s="2" t="str">
        <f aca="false">IF(B14&lt;輸入與假設!$C$176,"通過","觀察")</f>
        <v>通過</v>
      </c>
      <c r="E14" s="5" t="s">
        <v>1846</v>
      </c>
    </row>
    <row r="15" customFormat="false" ht="15" hidden="false" customHeight="false" outlineLevel="0" collapsed="false">
      <c r="A15" s="4" t="s">
        <v>1847</v>
      </c>
      <c r="B15" s="110" t="n">
        <f aca="false">(損益!D19-輸入與假設!D47)/損益!D8-輸入與假設!D53</f>
        <v>0</v>
      </c>
      <c r="C15" s="5" t="n">
        <f aca="false">0</f>
        <v>0</v>
      </c>
      <c r="D15" s="2" t="str">
        <f aca="false">IF(ABS(B15)&lt;0.0001,"通過","不一致")</f>
        <v>通過</v>
      </c>
      <c r="E15" s="5" t="s">
        <v>1848</v>
      </c>
    </row>
    <row r="16" customFormat="false" ht="15" hidden="false" customHeight="false" outlineLevel="0" collapsed="false">
      <c r="A16" s="3" t="s">
        <v>1849</v>
      </c>
      <c r="B16" s="52" t="n">
        <f aca="false">(運營_產能與收入!D37+運營_產能與收入!D38+輸入與假設!D54-各期收支!D15)+(運營_產能與收入!D32+運營_產能與收入!D23*輸入與假設!D44*(1-輸入與假設!D45))*運營_產能與收入!D36-(損益!D19-輸入與假設!D47)</f>
        <v>0</v>
      </c>
      <c r="C16" s="5" t="n">
        <f aca="false">0</f>
        <v>0</v>
      </c>
      <c r="D16" s="2" t="str">
        <f aca="false">IF(ABS(B16)&lt;0.001,"通過","不一致")</f>
        <v>通過</v>
      </c>
      <c r="E16" s="5" t="s">
        <v>1850</v>
      </c>
    </row>
    <row r="17" customFormat="false" ht="15" hidden="false" customHeight="false" outlineLevel="0" collapsed="false">
      <c r="A17" s="4" t="s">
        <v>1851</v>
      </c>
      <c r="B17" s="44" t="n">
        <f aca="false">評價_DCF與目標價!C30</f>
        <v>0</v>
      </c>
      <c r="C17" s="10" t="s">
        <v>1852</v>
      </c>
      <c r="D17" s="2" t="str">
        <f aca="false">IF(B17=0,"通過","觀察")</f>
        <v>通過</v>
      </c>
      <c r="E17" s="5" t="s">
        <v>1853</v>
      </c>
    </row>
    <row r="18" customFormat="false" ht="15" hidden="false" customHeight="false" outlineLevel="0" collapsed="false">
      <c r="A18" s="3" t="s">
        <v>1854</v>
      </c>
      <c r="B18" s="52" t="n">
        <f aca="false">MIN(各期收支!C47:G47)</f>
        <v>2.00000000000001</v>
      </c>
      <c r="C18" s="10" t="s">
        <v>1855</v>
      </c>
      <c r="D18" s="2" t="str">
        <f aca="false">IF(B18&gt;=1.999,"通過","不一致")</f>
        <v>通過</v>
      </c>
      <c r="E18" s="5" t="s">
        <v>1856</v>
      </c>
    </row>
    <row r="19" customFormat="false" ht="15" hidden="false" customHeight="false" outlineLevel="0" collapsed="false">
      <c r="A19" s="3" t="s">
        <v>1857</v>
      </c>
      <c r="B19" s="108" t="n">
        <f aca="false">SUM(各期收支!C72:G72)/(輸入與假設!$C$125*輸入與假設!$C$126)</f>
        <v>0.600570698657779</v>
      </c>
      <c r="C19" s="5" t="str">
        <f aca="false">"≤"&amp;IF(輸入與假設!$C$173=INT(輸入與假設!$C$173),TEXT(輸入與假設!$C$173,"0"),TEXT(輸入與假設!$C$173,"0.0"))&amp;"x"</f>
        <v>≤1.5x</v>
      </c>
      <c r="D19" s="2" t="str">
        <f aca="false">IF(B19&lt;=輸入與假設!$C$173,"通過","觀察")</f>
        <v>通過</v>
      </c>
      <c r="E19" s="5" t="str">
        <f aca="false">"超過 "&amp;IF(輸入與假設!$C$173=INT(輸入與假設!$C$173),TEXT(輸入與假設!$C$173,"0"),TEXT(輸入與假設!$C$173,"0.0"))&amp;"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1858</v>
      </c>
      <c r="B20" s="52" t="n">
        <f aca="false">資產負債_既有債務!E6+SUM(資產負債_既有債務!$C$24:$C$31)</f>
        <v>15.77295</v>
      </c>
      <c r="C20" s="10" t="s">
        <v>1859</v>
      </c>
      <c r="D20" s="2" t="str">
        <f aca="false">IF(ABS(B20-15.7785)&lt;0.01,"通過","不一致")</f>
        <v>通過</v>
      </c>
      <c r="E20" s="5" t="s">
        <v>1860</v>
      </c>
    </row>
    <row r="21" customFormat="false" ht="15" hidden="false" customHeight="false" outlineLevel="0" collapsed="false">
      <c r="A21" s="4" t="s">
        <v>1861</v>
      </c>
      <c r="B21" s="52" t="n">
        <f aca="false">輸入與假設!C86</f>
        <v>26.04618992</v>
      </c>
      <c r="C21" s="10" t="s">
        <v>1828</v>
      </c>
      <c r="D21" s="2" t="str">
        <f aca="false">IF(AND(B21&gt;=20,B21&lt;=25),"通過","觀察")</f>
        <v>觀察</v>
      </c>
      <c r="E21" s="5" t="s">
        <v>1862</v>
      </c>
    </row>
    <row r="22" customFormat="false" ht="15" hidden="false" customHeight="false" outlineLevel="0" collapsed="false">
      <c r="A22" s="4" t="s">
        <v>1863</v>
      </c>
      <c r="B22" s="52" t="n">
        <f aca="false">SUM(輸入與假設!C79:G79)</f>
        <v>0</v>
      </c>
      <c r="C22" s="5" t="n">
        <f aca="false">0</f>
        <v>0</v>
      </c>
      <c r="D22" s="2" t="str">
        <f aca="false">IF(ABS(B22-0)&lt;0.01,"通過","不一致")</f>
        <v>通過</v>
      </c>
      <c r="E22" s="5" t="s">
        <v>269</v>
      </c>
    </row>
    <row r="23" customFormat="false" ht="15" hidden="false" customHeight="false" outlineLevel="0" collapsed="false">
      <c r="A23" s="3" t="s">
        <v>1864</v>
      </c>
      <c r="B23" s="52" t="n">
        <f aca="false">運營_站點!G27</f>
        <v>0.357835364241679</v>
      </c>
      <c r="C23" s="5" t="s">
        <v>1865</v>
      </c>
      <c r="D23" s="2" t="str">
        <f aca="false">IF(B23&gt;=運營_站點!$H$11*運營_站點!$C$28*0.8,"通過","觀察")</f>
        <v>通過</v>
      </c>
      <c r="E23" s="5" t="s">
        <v>1866</v>
      </c>
    </row>
    <row r="24" customFormat="false" ht="15" hidden="false" customHeight="false" outlineLevel="0" collapsed="false">
      <c r="A24" s="3" t="s">
        <v>1867</v>
      </c>
      <c r="B24" s="52" t="n">
        <f aca="false">運營_站點!$C$31</f>
        <v>-3.82422332452708</v>
      </c>
      <c r="C24" s="10" t="s">
        <v>1868</v>
      </c>
      <c r="D24" s="2" t="str">
        <f aca="false">IF(B24&lt;10,"通過","觀察")</f>
        <v>通過</v>
      </c>
      <c r="E24" s="5" t="s">
        <v>1869</v>
      </c>
    </row>
    <row r="25" customFormat="false" ht="15" hidden="false" customHeight="false" outlineLevel="0" collapsed="false">
      <c r="A25" s="3" t="s">
        <v>1870</v>
      </c>
      <c r="B25" s="9" t="n">
        <f aca="false">SUM(運營_產能與收入!C26:G26)</f>
        <v>0</v>
      </c>
      <c r="C25" s="5" t="n">
        <f aca="false">0</f>
        <v>0</v>
      </c>
      <c r="D25" s="2" t="str">
        <f aca="false">IF(ABS(B25)&lt;0.000001,"通過","不一致")</f>
        <v>通過</v>
      </c>
      <c r="E25" s="10" t="s">
        <v>1871</v>
      </c>
    </row>
    <row r="26" customFormat="false" ht="15" hidden="false" customHeight="false" outlineLevel="0" collapsed="false">
      <c r="A26" s="3" t="s">
        <v>1872</v>
      </c>
      <c r="B26" s="12" t="n">
        <f aca="false">每MW收入_錨定!C146</f>
        <v>0.367044822849136</v>
      </c>
      <c r="C26" s="10" t="s">
        <v>1873</v>
      </c>
      <c r="D26" s="2" t="str">
        <f aca="false">IF(B26&lt;=0.5,"通過","警示")</f>
        <v>通過</v>
      </c>
      <c r="E26" s="10" t="s">
        <v>1874</v>
      </c>
    </row>
    <row r="28" customFormat="false" ht="15" hidden="false" customHeight="false" outlineLevel="0" collapsed="false">
      <c r="A28" s="2" t="s">
        <v>1875</v>
      </c>
    </row>
    <row r="29" customFormat="false" ht="15" hidden="false" customHeight="false" outlineLevel="0" collapsed="false">
      <c r="A29" s="3" t="s">
        <v>1876</v>
      </c>
      <c r="B29" s="9" t="n">
        <f aca="false">SUM(運營_產能與收入!C17:G17)</f>
        <v>30.742292</v>
      </c>
    </row>
    <row r="30" customFormat="false" ht="15" hidden="false" customHeight="false" outlineLevel="0" collapsed="false">
      <c r="A30" s="3" t="s">
        <v>1877</v>
      </c>
      <c r="B30" s="9" t="n">
        <f aca="false">SUM(運營_產能與收入!C19:G19)</f>
        <v>2.78909737046825</v>
      </c>
    </row>
    <row r="31" customFormat="false" ht="15" hidden="false" customHeight="false" outlineLevel="0" collapsed="false">
      <c r="A31" s="3" t="s">
        <v>1878</v>
      </c>
      <c r="B31" s="9" t="n">
        <f aca="false">SUM(運營_產能與收入!C23:G23)</f>
        <v>38.8518162759878</v>
      </c>
    </row>
    <row r="32" customFormat="false" ht="15" hidden="false" customHeight="false" outlineLevel="0" collapsed="false">
      <c r="A32" s="3" t="s">
        <v>1879</v>
      </c>
      <c r="B32" s="9" t="n">
        <f aca="false">SUM(輸入與假設!C91:G91)</f>
        <v>141.50295928</v>
      </c>
    </row>
    <row r="33" customFormat="false" ht="15" hidden="false" customHeight="false" outlineLevel="0" collapsed="false">
      <c r="A33" s="3" t="s">
        <v>1880</v>
      </c>
      <c r="B33" s="9" t="n">
        <f aca="false">SUM(各期收支!C15:G15)</f>
        <v>3.82422332452708</v>
      </c>
    </row>
    <row r="34" customFormat="false" ht="15" hidden="false" customHeight="false" outlineLevel="0" collapsed="false">
      <c r="A34" s="3" t="s">
        <v>1881</v>
      </c>
      <c r="B34" s="9" t="n">
        <f aca="false">SUM(各期收支!C20:G20)</f>
        <v>4.46437599385098</v>
      </c>
    </row>
    <row r="35" customFormat="false" ht="15" hidden="false" customHeight="false" outlineLevel="0" collapsed="false">
      <c r="A35" s="3" t="s">
        <v>1882</v>
      </c>
      <c r="B35" s="9" t="n">
        <f aca="false">SUM(輸入與假設!C120:G120)*輸入與假設!$C$100+SUM(資產負債_既有債務!C42:G42)</f>
        <v>3.8417</v>
      </c>
    </row>
    <row r="36" customFormat="false" ht="15" hidden="false" customHeight="false" outlineLevel="0" collapsed="false">
      <c r="A36" s="3" t="s">
        <v>1883</v>
      </c>
      <c r="B36" s="9" t="n">
        <f aca="false">SUM(各期收支!C45:G45)-(輸入與假設!$C$180-輸入與假設!$C$181-輸入與假設!$C$183)</f>
        <v>-91.6098297133181</v>
      </c>
    </row>
    <row r="37" customFormat="false" ht="15" hidden="false" customHeight="false" outlineLevel="0" collapsed="false">
      <c r="A37" s="4" t="s">
        <v>1884</v>
      </c>
      <c r="B37" s="9" t="n">
        <f aca="false">SUM(各期收支!C45:G45)</f>
        <v>-95.4876297133181</v>
      </c>
    </row>
    <row r="38" customFormat="false" ht="15" hidden="false" customHeight="false" outlineLevel="0" collapsed="false">
      <c r="A38" s="3" t="s">
        <v>1514</v>
      </c>
      <c r="B38" s="9" t="n">
        <f aca="false">各期收支!G47</f>
        <v>2.00000000000001</v>
      </c>
    </row>
    <row r="39" customFormat="false" ht="15" hidden="false" customHeight="false" outlineLevel="0" collapsed="false">
      <c r="A39" s="4" t="s">
        <v>1885</v>
      </c>
      <c r="B39" s="11" t="n">
        <f aca="false">評價_DCF與目標價!C26</f>
        <v>0</v>
      </c>
    </row>
    <row r="40" customFormat="false" ht="15" hidden="false" customHeight="false" outlineLevel="0" collapsed="false">
      <c r="A40" s="3" t="s">
        <v>1680</v>
      </c>
      <c r="B40" s="11" t="n">
        <f aca="false">評價_DCF與目標價!C49</f>
        <v>22.0328037211799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1886</v>
      </c>
    </row>
    <row r="2" customFormat="false" ht="15" hidden="false" customHeight="false" outlineLevel="0" collapsed="false">
      <c r="A2" s="10" t="s">
        <v>1887</v>
      </c>
    </row>
    <row r="4" customFormat="false" ht="15" hidden="false" customHeight="false" outlineLevel="0" collapsed="false">
      <c r="A4" s="13" t="s">
        <v>1888</v>
      </c>
      <c r="B4" s="13" t="s">
        <v>1889</v>
      </c>
      <c r="C4" s="13" t="s">
        <v>1890</v>
      </c>
      <c r="D4" s="13" t="s">
        <v>1891</v>
      </c>
      <c r="E4" s="13" t="s">
        <v>1892</v>
      </c>
    </row>
    <row r="5" customFormat="false" ht="86.55" hidden="false" customHeight="false" outlineLevel="0" collapsed="false">
      <c r="A5" s="111" t="s">
        <v>1893</v>
      </c>
      <c r="B5" s="111" t="s">
        <v>1894</v>
      </c>
      <c r="C5" s="112" t="s">
        <v>1895</v>
      </c>
      <c r="D5" s="113" t="s">
        <v>1896</v>
      </c>
      <c r="E5" s="112" t="s">
        <v>1897</v>
      </c>
    </row>
    <row r="6" customFormat="false" ht="58.2" hidden="false" customHeight="false" outlineLevel="0" collapsed="false">
      <c r="A6" s="111" t="s">
        <v>1898</v>
      </c>
      <c r="B6" s="111" t="s">
        <v>1899</v>
      </c>
      <c r="C6" s="112" t="s">
        <v>1900</v>
      </c>
      <c r="D6" s="113" t="s">
        <v>1901</v>
      </c>
      <c r="E6" s="112" t="s">
        <v>1902</v>
      </c>
    </row>
    <row r="7" customFormat="false" ht="44" hidden="false" customHeight="false" outlineLevel="0" collapsed="false">
      <c r="A7" s="111" t="s">
        <v>1903</v>
      </c>
      <c r="B7" s="111" t="s">
        <v>1899</v>
      </c>
      <c r="C7" s="112" t="s">
        <v>1904</v>
      </c>
      <c r="D7" s="113" t="s">
        <v>1905</v>
      </c>
      <c r="E7" s="112" t="s">
        <v>1906</v>
      </c>
    </row>
    <row r="8" customFormat="false" ht="15" hidden="false" customHeight="false" outlineLevel="0" collapsed="false">
      <c r="A8" s="111" t="s">
        <v>1907</v>
      </c>
      <c r="B8" s="111" t="s">
        <v>1908</v>
      </c>
      <c r="C8" s="112" t="s">
        <v>1909</v>
      </c>
      <c r="D8" s="113" t="s">
        <v>1905</v>
      </c>
      <c r="E8" s="112" t="s">
        <v>1910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1911</v>
      </c>
    </row>
    <row r="3" customFormat="false" ht="15" hidden="false" customHeight="false" outlineLevel="0" collapsed="false">
      <c r="A3" s="13" t="s">
        <v>1912</v>
      </c>
      <c r="B3" s="13" t="s">
        <v>1913</v>
      </c>
    </row>
    <row r="4" customFormat="false" ht="45.75" hidden="false" customHeight="true" outlineLevel="0" collapsed="false">
      <c r="A4" s="72" t="s">
        <v>512</v>
      </c>
      <c r="B4" s="114" t="s">
        <v>1914</v>
      </c>
    </row>
    <row r="5" customFormat="false" ht="45.75" hidden="false" customHeight="true" outlineLevel="0" collapsed="false">
      <c r="A5" s="72" t="s">
        <v>512</v>
      </c>
      <c r="B5" s="112" t="s">
        <v>1915</v>
      </c>
    </row>
    <row r="6" customFormat="false" ht="45.75" hidden="false" customHeight="true" outlineLevel="0" collapsed="false">
      <c r="A6" s="72" t="s">
        <v>512</v>
      </c>
      <c r="B6" s="114" t="s">
        <v>1916</v>
      </c>
    </row>
    <row r="7" customFormat="false" ht="45.75" hidden="false" customHeight="true" outlineLevel="0" collapsed="false">
      <c r="A7" s="72" t="s">
        <v>512</v>
      </c>
      <c r="B7" s="112" t="s">
        <v>1917</v>
      </c>
    </row>
    <row r="8" customFormat="false" ht="45.75" hidden="false" customHeight="true" outlineLevel="0" collapsed="false">
      <c r="A8" s="72" t="s">
        <v>512</v>
      </c>
      <c r="B8" s="112" t="s">
        <v>1918</v>
      </c>
    </row>
    <row r="9" customFormat="false" ht="45.75" hidden="false" customHeight="true" outlineLevel="0" collapsed="false">
      <c r="A9" s="72" t="s">
        <v>507</v>
      </c>
      <c r="B9" s="112" t="s">
        <v>1919</v>
      </c>
    </row>
    <row r="10" customFormat="false" ht="45.75" hidden="false" customHeight="true" outlineLevel="0" collapsed="false">
      <c r="A10" s="72" t="s">
        <v>512</v>
      </c>
      <c r="B10" s="112" t="s">
        <v>1920</v>
      </c>
    </row>
    <row r="11" customFormat="false" ht="45.75" hidden="false" customHeight="true" outlineLevel="0" collapsed="false">
      <c r="A11" s="72" t="s">
        <v>512</v>
      </c>
      <c r="B11" s="112" t="s">
        <v>1921</v>
      </c>
    </row>
    <row r="12" customFormat="false" ht="45.75" hidden="false" customHeight="true" outlineLevel="0" collapsed="false">
      <c r="A12" s="72" t="s">
        <v>512</v>
      </c>
      <c r="B12" s="112" t="s">
        <v>1922</v>
      </c>
    </row>
    <row r="13" customFormat="false" ht="45.75" hidden="false" customHeight="true" outlineLevel="0" collapsed="false">
      <c r="A13" s="72" t="s">
        <v>507</v>
      </c>
      <c r="B13" s="114" t="s">
        <v>1923</v>
      </c>
    </row>
    <row r="14" customFormat="false" ht="45.75" hidden="false" customHeight="true" outlineLevel="0" collapsed="false">
      <c r="A14" s="72" t="s">
        <v>1924</v>
      </c>
      <c r="B14" s="112" t="s">
        <v>1925</v>
      </c>
    </row>
    <row r="15" customFormat="false" ht="45.75" hidden="false" customHeight="true" outlineLevel="0" collapsed="false">
      <c r="A15" s="72" t="s">
        <v>1926</v>
      </c>
      <c r="B15" s="112" t="s">
        <v>1927</v>
      </c>
    </row>
    <row r="16" customFormat="false" ht="45.75" hidden="false" customHeight="true" outlineLevel="0" collapsed="false">
      <c r="A16" s="2" t="s">
        <v>1928</v>
      </c>
      <c r="B16" s="112" t="s">
        <v>1929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15" t="s">
        <v>1930</v>
      </c>
    </row>
    <row r="2" customFormat="false" ht="15" hidden="false" customHeight="false" outlineLevel="0" collapsed="false">
      <c r="A2" s="5" t="s">
        <v>1931</v>
      </c>
    </row>
    <row r="3" customFormat="false" ht="15" hidden="false" customHeight="false" outlineLevel="0" collapsed="false">
      <c r="A3" s="5" t="s">
        <v>1932</v>
      </c>
    </row>
    <row r="4" customFormat="false" ht="17.15" hidden="false" customHeight="false" outlineLevel="0" collapsed="false">
      <c r="A4" s="13" t="s">
        <v>1933</v>
      </c>
      <c r="B4" s="13" t="s">
        <v>1934</v>
      </c>
      <c r="C4" s="13" t="s">
        <v>1935</v>
      </c>
      <c r="D4" s="13" t="s">
        <v>51</v>
      </c>
      <c r="E4" s="13" t="s">
        <v>1089</v>
      </c>
      <c r="F4" s="13" t="s">
        <v>1936</v>
      </c>
      <c r="G4" s="13" t="s">
        <v>1071</v>
      </c>
      <c r="H4" s="13" t="s">
        <v>1937</v>
      </c>
      <c r="I4" s="14" t="s">
        <v>1938</v>
      </c>
      <c r="J4" s="13" t="s">
        <v>1939</v>
      </c>
    </row>
    <row r="5" customFormat="false" ht="15" hidden="false" customHeight="false" outlineLevel="0" collapsed="false">
      <c r="A5" s="4" t="s">
        <v>1940</v>
      </c>
      <c r="B5" s="4" t="s">
        <v>1941</v>
      </c>
      <c r="C5" s="3" t="s">
        <v>1942</v>
      </c>
      <c r="D5" s="5" t="s">
        <v>1943</v>
      </c>
      <c r="E5" s="4" t="s">
        <v>1944</v>
      </c>
      <c r="F5" s="20" t="n">
        <v>22439</v>
      </c>
      <c r="G5" s="20" t="n">
        <v>22439</v>
      </c>
      <c r="H5" s="20" t="n">
        <v>22439</v>
      </c>
      <c r="I5" s="10" t="s">
        <v>1945</v>
      </c>
      <c r="J5" s="10" t="s">
        <v>1946</v>
      </c>
    </row>
    <row r="6" customFormat="false" ht="15" hidden="false" customHeight="false" outlineLevel="0" collapsed="false">
      <c r="A6" s="4" t="s">
        <v>1947</v>
      </c>
      <c r="B6" s="4" t="s">
        <v>1941</v>
      </c>
      <c r="C6" s="3" t="s">
        <v>1942</v>
      </c>
      <c r="D6" s="5" t="s">
        <v>1943</v>
      </c>
      <c r="E6" s="4" t="s">
        <v>1948</v>
      </c>
      <c r="F6" s="20" t="n">
        <v>6969</v>
      </c>
      <c r="G6" s="20" t="n">
        <v>6969</v>
      </c>
      <c r="H6" s="20" t="n">
        <v>6969</v>
      </c>
      <c r="I6" s="10" t="s">
        <v>1949</v>
      </c>
      <c r="J6" s="10" t="s">
        <v>1946</v>
      </c>
    </row>
    <row r="7" customFormat="false" ht="15" hidden="false" customHeight="false" outlineLevel="0" collapsed="false">
      <c r="A7" s="4" t="s">
        <v>1950</v>
      </c>
      <c r="B7" s="4" t="s">
        <v>1941</v>
      </c>
      <c r="C7" s="3" t="s">
        <v>1942</v>
      </c>
      <c r="D7" s="5" t="s">
        <v>1943</v>
      </c>
      <c r="E7" s="4" t="s">
        <v>1951</v>
      </c>
      <c r="F7" s="20" t="n">
        <v>6764</v>
      </c>
      <c r="G7" s="20" t="n">
        <v>6764</v>
      </c>
      <c r="H7" s="20" t="n">
        <v>6764</v>
      </c>
      <c r="I7" s="10" t="s">
        <v>1952</v>
      </c>
      <c r="J7" s="10" t="s">
        <v>1946</v>
      </c>
    </row>
    <row r="8" customFormat="false" ht="15" hidden="false" customHeight="false" outlineLevel="0" collapsed="false">
      <c r="A8" s="4" t="s">
        <v>1953</v>
      </c>
      <c r="B8" s="4" t="s">
        <v>1941</v>
      </c>
      <c r="C8" s="3" t="s">
        <v>1942</v>
      </c>
      <c r="D8" s="5" t="s">
        <v>1943</v>
      </c>
      <c r="E8" s="4" t="s">
        <v>1954</v>
      </c>
      <c r="F8" s="20" t="n">
        <v>4052</v>
      </c>
      <c r="G8" s="20" t="n">
        <v>4052</v>
      </c>
      <c r="H8" s="20" t="n">
        <v>4052</v>
      </c>
      <c r="I8" s="10" t="s">
        <v>1955</v>
      </c>
      <c r="J8" s="10" t="s">
        <v>1946</v>
      </c>
    </row>
    <row r="9" customFormat="false" ht="15" hidden="false" customHeight="false" outlineLevel="0" collapsed="false">
      <c r="A9" s="4" t="s">
        <v>1956</v>
      </c>
      <c r="B9" s="4" t="s">
        <v>1941</v>
      </c>
      <c r="C9" s="3" t="s">
        <v>1942</v>
      </c>
      <c r="D9" s="5" t="s">
        <v>1943</v>
      </c>
      <c r="E9" s="4" t="s">
        <v>1957</v>
      </c>
      <c r="F9" s="20" t="n">
        <v>2705</v>
      </c>
      <c r="G9" s="20" t="n">
        <v>2705</v>
      </c>
      <c r="H9" s="20" t="n">
        <v>2705</v>
      </c>
      <c r="I9" s="10" t="s">
        <v>1958</v>
      </c>
      <c r="J9" s="10" t="s">
        <v>1946</v>
      </c>
    </row>
    <row r="10" customFormat="false" ht="15" hidden="false" customHeight="false" outlineLevel="0" collapsed="false">
      <c r="A10" s="4" t="s">
        <v>1959</v>
      </c>
      <c r="B10" s="4" t="s">
        <v>1960</v>
      </c>
      <c r="C10" s="3" t="s">
        <v>1961</v>
      </c>
      <c r="D10" s="5" t="s">
        <v>1962</v>
      </c>
      <c r="E10" s="4" t="s">
        <v>1944</v>
      </c>
      <c r="F10" s="20" t="n">
        <v>718048</v>
      </c>
      <c r="G10" s="20" t="n">
        <v>718048</v>
      </c>
      <c r="H10" s="20" t="n">
        <v>718048</v>
      </c>
      <c r="I10" s="10" t="s">
        <v>1963</v>
      </c>
      <c r="J10" s="10" t="s">
        <v>1946</v>
      </c>
    </row>
    <row r="11" customFormat="false" ht="15" hidden="false" customHeight="false" outlineLevel="0" collapsed="false">
      <c r="A11" s="4" t="s">
        <v>1964</v>
      </c>
      <c r="B11" s="4" t="s">
        <v>1960</v>
      </c>
      <c r="C11" s="3" t="s">
        <v>1961</v>
      </c>
      <c r="D11" s="5" t="s">
        <v>1962</v>
      </c>
      <c r="E11" s="4" t="s">
        <v>1948</v>
      </c>
      <c r="F11" s="20" t="n">
        <v>501768</v>
      </c>
      <c r="G11" s="20" t="n">
        <v>501768</v>
      </c>
      <c r="H11" s="20" t="n">
        <v>501768</v>
      </c>
      <c r="I11" s="10" t="s">
        <v>1965</v>
      </c>
      <c r="J11" s="10" t="s">
        <v>1946</v>
      </c>
    </row>
    <row r="12" customFormat="false" ht="15" hidden="false" customHeight="false" outlineLevel="0" collapsed="false">
      <c r="A12" s="4" t="s">
        <v>1966</v>
      </c>
      <c r="B12" s="4" t="s">
        <v>1960</v>
      </c>
      <c r="C12" s="3" t="s">
        <v>1961</v>
      </c>
      <c r="D12" s="5" t="s">
        <v>1962</v>
      </c>
      <c r="E12" s="4" t="s">
        <v>1951</v>
      </c>
      <c r="F12" s="20" t="n">
        <v>487008</v>
      </c>
      <c r="G12" s="20" t="n">
        <v>487008</v>
      </c>
      <c r="H12" s="20" t="n">
        <v>487008</v>
      </c>
      <c r="I12" s="10" t="s">
        <v>1967</v>
      </c>
      <c r="J12" s="10" t="s">
        <v>1946</v>
      </c>
    </row>
    <row r="13" customFormat="false" ht="15" hidden="false" customHeight="false" outlineLevel="0" collapsed="false">
      <c r="A13" s="4" t="s">
        <v>1968</v>
      </c>
      <c r="B13" s="4" t="s">
        <v>1960</v>
      </c>
      <c r="C13" s="3" t="s">
        <v>1961</v>
      </c>
      <c r="D13" s="5" t="s">
        <v>1962</v>
      </c>
      <c r="E13" s="4" t="s">
        <v>1954</v>
      </c>
      <c r="F13" s="20" t="n">
        <v>291744</v>
      </c>
      <c r="G13" s="20" t="n">
        <v>291744</v>
      </c>
      <c r="H13" s="20" t="n">
        <v>291744</v>
      </c>
      <c r="I13" s="10" t="s">
        <v>1969</v>
      </c>
      <c r="J13" s="10" t="s">
        <v>1946</v>
      </c>
    </row>
    <row r="14" customFormat="false" ht="15" hidden="false" customHeight="false" outlineLevel="0" collapsed="false">
      <c r="A14" s="4" t="s">
        <v>1970</v>
      </c>
      <c r="B14" s="4" t="s">
        <v>1960</v>
      </c>
      <c r="C14" s="3" t="s">
        <v>1961</v>
      </c>
      <c r="D14" s="5" t="s">
        <v>1962</v>
      </c>
      <c r="E14" s="4" t="s">
        <v>1957</v>
      </c>
      <c r="F14" s="20" t="n">
        <v>194760</v>
      </c>
      <c r="G14" s="20" t="n">
        <v>194760</v>
      </c>
      <c r="H14" s="20" t="n">
        <v>194760</v>
      </c>
      <c r="I14" s="10" t="s">
        <v>1971</v>
      </c>
      <c r="J14" s="10" t="s">
        <v>1946</v>
      </c>
    </row>
    <row r="15" customFormat="false" ht="15" hidden="false" customHeight="false" outlineLevel="0" collapsed="false">
      <c r="A15" s="4" t="s">
        <v>1972</v>
      </c>
      <c r="B15" s="4" t="s">
        <v>1973</v>
      </c>
      <c r="C15" s="3" t="s">
        <v>1974</v>
      </c>
      <c r="D15" s="10" t="s">
        <v>572</v>
      </c>
      <c r="E15" s="4" t="s">
        <v>1944</v>
      </c>
      <c r="F15" s="116" t="n">
        <v>1.1</v>
      </c>
      <c r="G15" s="116" t="n">
        <v>1.2</v>
      </c>
      <c r="H15" s="116" t="n">
        <v>1.3</v>
      </c>
      <c r="I15" s="10" t="s">
        <v>1975</v>
      </c>
      <c r="J15" s="10" t="s">
        <v>1946</v>
      </c>
    </row>
    <row r="16" customFormat="false" ht="15" hidden="false" customHeight="false" outlineLevel="0" collapsed="false">
      <c r="A16" s="4" t="s">
        <v>1976</v>
      </c>
      <c r="B16" s="4" t="s">
        <v>1973</v>
      </c>
      <c r="C16" s="3" t="s">
        <v>1974</v>
      </c>
      <c r="D16" s="10" t="s">
        <v>572</v>
      </c>
      <c r="E16" s="4" t="s">
        <v>1948</v>
      </c>
      <c r="F16" s="116" t="n">
        <v>1.1</v>
      </c>
      <c r="G16" s="116" t="n">
        <v>1.2</v>
      </c>
      <c r="H16" s="116" t="n">
        <v>1.3</v>
      </c>
      <c r="I16" s="10" t="s">
        <v>1977</v>
      </c>
      <c r="J16" s="10" t="s">
        <v>1946</v>
      </c>
    </row>
    <row r="17" customFormat="false" ht="15" hidden="false" customHeight="false" outlineLevel="0" collapsed="false">
      <c r="A17" s="4" t="s">
        <v>1978</v>
      </c>
      <c r="B17" s="4" t="s">
        <v>1973</v>
      </c>
      <c r="C17" s="3" t="s">
        <v>1974</v>
      </c>
      <c r="D17" s="10" t="s">
        <v>572</v>
      </c>
      <c r="E17" s="4" t="s">
        <v>1951</v>
      </c>
      <c r="F17" s="116" t="n">
        <v>1.1</v>
      </c>
      <c r="G17" s="116" t="n">
        <v>1.2</v>
      </c>
      <c r="H17" s="116" t="n">
        <v>1.3</v>
      </c>
      <c r="I17" s="10" t="s">
        <v>1979</v>
      </c>
      <c r="J17" s="10" t="s">
        <v>1946</v>
      </c>
    </row>
    <row r="18" customFormat="false" ht="15" hidden="false" customHeight="false" outlineLevel="0" collapsed="false">
      <c r="A18" s="4" t="s">
        <v>1980</v>
      </c>
      <c r="B18" s="4" t="s">
        <v>1973</v>
      </c>
      <c r="C18" s="3" t="s">
        <v>1974</v>
      </c>
      <c r="D18" s="10" t="s">
        <v>572</v>
      </c>
      <c r="E18" s="4" t="s">
        <v>1954</v>
      </c>
      <c r="F18" s="116" t="n">
        <v>1.1</v>
      </c>
      <c r="G18" s="116" t="n">
        <v>1.2</v>
      </c>
      <c r="H18" s="116" t="n">
        <v>1.3</v>
      </c>
      <c r="I18" s="10" t="s">
        <v>1981</v>
      </c>
      <c r="J18" s="10" t="s">
        <v>1946</v>
      </c>
    </row>
    <row r="19" customFormat="false" ht="15" hidden="false" customHeight="false" outlineLevel="0" collapsed="false">
      <c r="A19" s="4" t="s">
        <v>1982</v>
      </c>
      <c r="B19" s="4" t="s">
        <v>1973</v>
      </c>
      <c r="C19" s="3" t="s">
        <v>1974</v>
      </c>
      <c r="D19" s="10" t="s">
        <v>572</v>
      </c>
      <c r="E19" s="4" t="s">
        <v>1957</v>
      </c>
      <c r="F19" s="116" t="n">
        <v>1.1</v>
      </c>
      <c r="G19" s="116" t="n">
        <v>1.2</v>
      </c>
      <c r="H19" s="116" t="n">
        <v>1.3</v>
      </c>
      <c r="I19" s="10" t="s">
        <v>1983</v>
      </c>
      <c r="J19" s="10" t="s">
        <v>1946</v>
      </c>
    </row>
    <row r="20" customFormat="false" ht="15" hidden="false" customHeight="false" outlineLevel="0" collapsed="false">
      <c r="A20" s="4" t="s">
        <v>1984</v>
      </c>
      <c r="B20" s="4" t="s">
        <v>1985</v>
      </c>
      <c r="C20" s="3" t="s">
        <v>1986</v>
      </c>
      <c r="D20" s="10" t="s">
        <v>1987</v>
      </c>
      <c r="E20" s="4" t="s">
        <v>1944</v>
      </c>
      <c r="F20" s="116" t="n">
        <v>21.4202694</v>
      </c>
      <c r="G20" s="116" t="n">
        <v>27.510214</v>
      </c>
      <c r="H20" s="116" t="n">
        <v>34.1207434</v>
      </c>
      <c r="I20" s="10" t="s">
        <v>1988</v>
      </c>
      <c r="J20" s="10" t="s">
        <v>1946</v>
      </c>
    </row>
    <row r="21" customFormat="false" ht="15" hidden="false" customHeight="false" outlineLevel="0" collapsed="false">
      <c r="A21" s="4" t="s">
        <v>1989</v>
      </c>
      <c r="B21" s="4" t="s">
        <v>1985</v>
      </c>
      <c r="C21" s="3" t="s">
        <v>1986</v>
      </c>
      <c r="D21" s="10" t="s">
        <v>1987</v>
      </c>
      <c r="E21" s="4" t="s">
        <v>1948</v>
      </c>
      <c r="F21" s="116" t="n">
        <v>20.6393904</v>
      </c>
      <c r="G21" s="116" t="n">
        <v>24.015174</v>
      </c>
      <c r="H21" s="116" t="n">
        <v>27.6502044</v>
      </c>
      <c r="I21" s="10" t="s">
        <v>1990</v>
      </c>
      <c r="J21" s="10" t="s">
        <v>1946</v>
      </c>
    </row>
    <row r="22" customFormat="false" ht="15" hidden="false" customHeight="false" outlineLevel="0" collapsed="false">
      <c r="A22" s="4" t="s">
        <v>1991</v>
      </c>
      <c r="B22" s="4" t="s">
        <v>1985</v>
      </c>
      <c r="C22" s="3" t="s">
        <v>1986</v>
      </c>
      <c r="D22" s="10" t="s">
        <v>1987</v>
      </c>
      <c r="E22" s="4" t="s">
        <v>1951</v>
      </c>
      <c r="F22" s="116" t="n">
        <v>28.5549024</v>
      </c>
      <c r="G22" s="116" t="n">
        <v>32.237224</v>
      </c>
      <c r="H22" s="116" t="n">
        <v>39.2826064</v>
      </c>
      <c r="I22" s="10" t="s">
        <v>1992</v>
      </c>
      <c r="J22" s="10" t="s">
        <v>1946</v>
      </c>
    </row>
    <row r="23" customFormat="false" ht="15" hidden="false" customHeight="false" outlineLevel="0" collapsed="false">
      <c r="A23" s="4" t="s">
        <v>1993</v>
      </c>
      <c r="B23" s="4" t="s">
        <v>1985</v>
      </c>
      <c r="C23" s="3" t="s">
        <v>1986</v>
      </c>
      <c r="D23" s="10" t="s">
        <v>1987</v>
      </c>
      <c r="E23" s="4" t="s">
        <v>1954</v>
      </c>
      <c r="F23" s="116" t="n">
        <v>33.2734032</v>
      </c>
      <c r="G23" s="116" t="n">
        <v>37.586352</v>
      </c>
      <c r="H23" s="116" t="n">
        <v>42.6375752</v>
      </c>
      <c r="I23" s="10" t="s">
        <v>1994</v>
      </c>
      <c r="J23" s="10" t="s">
        <v>1946</v>
      </c>
    </row>
    <row r="24" customFormat="false" ht="15" hidden="false" customHeight="false" outlineLevel="0" collapsed="false">
      <c r="A24" s="4" t="s">
        <v>1995</v>
      </c>
      <c r="B24" s="4" t="s">
        <v>1985</v>
      </c>
      <c r="C24" s="3" t="s">
        <v>1986</v>
      </c>
      <c r="D24" s="10" t="s">
        <v>1987</v>
      </c>
      <c r="E24" s="4" t="s">
        <v>1957</v>
      </c>
      <c r="F24" s="116" t="n">
        <v>35.845578</v>
      </c>
      <c r="G24" s="116" t="n">
        <v>50.08578</v>
      </c>
      <c r="H24" s="116" t="n">
        <v>65.481558</v>
      </c>
      <c r="I24" s="10" t="s">
        <v>1996</v>
      </c>
      <c r="J24" s="10" t="s">
        <v>1946</v>
      </c>
    </row>
    <row r="25" customFormat="false" ht="15" hidden="false" customHeight="false" outlineLevel="0" collapsed="false">
      <c r="A25" s="4" t="s">
        <v>1997</v>
      </c>
      <c r="B25" s="4" t="s">
        <v>1998</v>
      </c>
      <c r="C25" s="3" t="s">
        <v>1999</v>
      </c>
      <c r="D25" s="10" t="s">
        <v>1987</v>
      </c>
      <c r="E25" s="4" t="s">
        <v>1944</v>
      </c>
      <c r="F25" s="116" t="n">
        <v>10.212</v>
      </c>
      <c r="G25" s="116" t="n">
        <v>12.67</v>
      </c>
      <c r="H25" s="116" t="n">
        <v>16.186</v>
      </c>
      <c r="I25" s="10" t="s">
        <v>2000</v>
      </c>
      <c r="J25" s="10" t="s">
        <v>1946</v>
      </c>
    </row>
    <row r="26" customFormat="false" ht="15" hidden="false" customHeight="false" outlineLevel="0" collapsed="false">
      <c r="A26" s="4" t="s">
        <v>2001</v>
      </c>
      <c r="B26" s="4" t="s">
        <v>1998</v>
      </c>
      <c r="C26" s="3" t="s">
        <v>1999</v>
      </c>
      <c r="D26" s="10" t="s">
        <v>1987</v>
      </c>
      <c r="E26" s="4" t="s">
        <v>1948</v>
      </c>
      <c r="F26" s="116" t="n">
        <v>10.212</v>
      </c>
      <c r="G26" s="116" t="n">
        <v>12.67</v>
      </c>
      <c r="H26" s="116" t="n">
        <v>16.186</v>
      </c>
      <c r="I26" s="10" t="s">
        <v>2002</v>
      </c>
      <c r="J26" s="10" t="s">
        <v>1946</v>
      </c>
    </row>
    <row r="27" customFormat="false" ht="15" hidden="false" customHeight="false" outlineLevel="0" collapsed="false">
      <c r="A27" s="4" t="s">
        <v>2003</v>
      </c>
      <c r="B27" s="4" t="s">
        <v>1998</v>
      </c>
      <c r="C27" s="3" t="s">
        <v>1999</v>
      </c>
      <c r="D27" s="10" t="s">
        <v>1987</v>
      </c>
      <c r="E27" s="4" t="s">
        <v>1951</v>
      </c>
      <c r="F27" s="116" t="n">
        <v>10.212</v>
      </c>
      <c r="G27" s="116" t="n">
        <v>12.67</v>
      </c>
      <c r="H27" s="116" t="n">
        <v>16.186</v>
      </c>
      <c r="I27" s="10" t="s">
        <v>2004</v>
      </c>
      <c r="J27" s="10" t="s">
        <v>1946</v>
      </c>
    </row>
    <row r="28" customFormat="false" ht="15" hidden="false" customHeight="false" outlineLevel="0" collapsed="false">
      <c r="A28" s="4" t="s">
        <v>2005</v>
      </c>
      <c r="B28" s="4" t="s">
        <v>1998</v>
      </c>
      <c r="C28" s="3" t="s">
        <v>1999</v>
      </c>
      <c r="D28" s="10" t="s">
        <v>1987</v>
      </c>
      <c r="E28" s="4" t="s">
        <v>1954</v>
      </c>
      <c r="F28" s="116" t="n">
        <v>10.212</v>
      </c>
      <c r="G28" s="116" t="n">
        <v>12.67</v>
      </c>
      <c r="H28" s="116" t="n">
        <v>16.186</v>
      </c>
      <c r="I28" s="10" t="s">
        <v>2006</v>
      </c>
      <c r="J28" s="10" t="s">
        <v>1946</v>
      </c>
    </row>
    <row r="29" customFormat="false" ht="15" hidden="false" customHeight="false" outlineLevel="0" collapsed="false">
      <c r="A29" s="4" t="s">
        <v>2007</v>
      </c>
      <c r="B29" s="4" t="s">
        <v>1998</v>
      </c>
      <c r="C29" s="3" t="s">
        <v>1999</v>
      </c>
      <c r="D29" s="10" t="s">
        <v>1987</v>
      </c>
      <c r="E29" s="4" t="s">
        <v>1957</v>
      </c>
      <c r="F29" s="116" t="n">
        <v>10.212</v>
      </c>
      <c r="G29" s="116" t="n">
        <v>12.67</v>
      </c>
      <c r="H29" s="116" t="n">
        <v>16.186</v>
      </c>
      <c r="I29" s="10" t="s">
        <v>2008</v>
      </c>
      <c r="J29" s="10" t="s">
        <v>1946</v>
      </c>
    </row>
    <row r="30" customFormat="false" ht="15" hidden="false" customHeight="false" outlineLevel="0" collapsed="false">
      <c r="A30" s="4" t="s">
        <v>2009</v>
      </c>
      <c r="B30" s="4" t="s">
        <v>2010</v>
      </c>
      <c r="C30" s="3" t="s">
        <v>2011</v>
      </c>
      <c r="D30" s="10" t="s">
        <v>1987</v>
      </c>
      <c r="E30" s="4" t="s">
        <v>1944</v>
      </c>
      <c r="F30" s="116" t="n">
        <v>31.6322694</v>
      </c>
      <c r="G30" s="116" t="n">
        <v>40.180214</v>
      </c>
      <c r="H30" s="116" t="n">
        <v>50.3067434</v>
      </c>
      <c r="I30" s="10" t="s">
        <v>2012</v>
      </c>
      <c r="J30" s="10" t="s">
        <v>1946</v>
      </c>
    </row>
    <row r="31" customFormat="false" ht="15" hidden="false" customHeight="false" outlineLevel="0" collapsed="false">
      <c r="A31" s="4" t="s">
        <v>2013</v>
      </c>
      <c r="B31" s="4" t="s">
        <v>2010</v>
      </c>
      <c r="C31" s="3" t="s">
        <v>2011</v>
      </c>
      <c r="D31" s="10" t="s">
        <v>1987</v>
      </c>
      <c r="E31" s="4" t="s">
        <v>1948</v>
      </c>
      <c r="F31" s="116" t="n">
        <v>30.8513904</v>
      </c>
      <c r="G31" s="116" t="n">
        <v>36.685174</v>
      </c>
      <c r="H31" s="116" t="n">
        <v>43.8362044</v>
      </c>
      <c r="I31" s="10" t="s">
        <v>2014</v>
      </c>
      <c r="J31" s="10" t="s">
        <v>1946</v>
      </c>
    </row>
    <row r="32" customFormat="false" ht="15" hidden="false" customHeight="false" outlineLevel="0" collapsed="false">
      <c r="A32" s="4" t="s">
        <v>2015</v>
      </c>
      <c r="B32" s="4" t="s">
        <v>2010</v>
      </c>
      <c r="C32" s="3" t="s">
        <v>2011</v>
      </c>
      <c r="D32" s="10" t="s">
        <v>1987</v>
      </c>
      <c r="E32" s="4" t="s">
        <v>1951</v>
      </c>
      <c r="F32" s="116" t="n">
        <v>38.7669024</v>
      </c>
      <c r="G32" s="116" t="n">
        <v>44.907224</v>
      </c>
      <c r="H32" s="116" t="n">
        <v>55.4686064</v>
      </c>
      <c r="I32" s="10" t="s">
        <v>2016</v>
      </c>
      <c r="J32" s="10" t="s">
        <v>1946</v>
      </c>
    </row>
    <row r="33" customFormat="false" ht="15" hidden="false" customHeight="false" outlineLevel="0" collapsed="false">
      <c r="A33" s="4" t="s">
        <v>2017</v>
      </c>
      <c r="B33" s="4" t="s">
        <v>2010</v>
      </c>
      <c r="C33" s="3" t="s">
        <v>2011</v>
      </c>
      <c r="D33" s="10" t="s">
        <v>1987</v>
      </c>
      <c r="E33" s="4" t="s">
        <v>1954</v>
      </c>
      <c r="F33" s="116" t="n">
        <v>43.4854032</v>
      </c>
      <c r="G33" s="116" t="n">
        <v>50.256352</v>
      </c>
      <c r="H33" s="116" t="n">
        <v>58.8235752</v>
      </c>
      <c r="I33" s="10" t="s">
        <v>2018</v>
      </c>
      <c r="J33" s="10" t="s">
        <v>1946</v>
      </c>
    </row>
    <row r="34" customFormat="false" ht="15" hidden="false" customHeight="false" outlineLevel="0" collapsed="false">
      <c r="A34" s="4" t="s">
        <v>2019</v>
      </c>
      <c r="B34" s="4" t="s">
        <v>2010</v>
      </c>
      <c r="C34" s="3" t="s">
        <v>2011</v>
      </c>
      <c r="D34" s="10" t="s">
        <v>1987</v>
      </c>
      <c r="E34" s="4" t="s">
        <v>1957</v>
      </c>
      <c r="F34" s="116" t="n">
        <v>46.057578</v>
      </c>
      <c r="G34" s="116" t="n">
        <v>62.75578</v>
      </c>
      <c r="H34" s="116" t="n">
        <v>81.667558</v>
      </c>
      <c r="I34" s="10" t="s">
        <v>2020</v>
      </c>
      <c r="J34" s="10" t="s">
        <v>1946</v>
      </c>
    </row>
    <row r="35" customFormat="false" ht="15" hidden="false" customHeight="false" outlineLevel="0" collapsed="false">
      <c r="A35" s="4" t="s">
        <v>2021</v>
      </c>
      <c r="B35" s="4" t="s">
        <v>2022</v>
      </c>
      <c r="C35" s="3" t="s">
        <v>2023</v>
      </c>
      <c r="D35" s="10" t="s">
        <v>2024</v>
      </c>
      <c r="E35" s="4" t="s">
        <v>1944</v>
      </c>
      <c r="F35" s="116" t="n">
        <v>5.19000377241587</v>
      </c>
      <c r="G35" s="116" t="n">
        <v>7.10411981353067</v>
      </c>
      <c r="H35" s="116" t="n">
        <v>12.2070705365445</v>
      </c>
      <c r="I35" s="10" t="s">
        <v>2025</v>
      </c>
      <c r="J35" s="10" t="s">
        <v>1946</v>
      </c>
    </row>
    <row r="36" customFormat="false" ht="15" hidden="false" customHeight="false" outlineLevel="0" collapsed="false">
      <c r="A36" s="4" t="s">
        <v>2026</v>
      </c>
      <c r="B36" s="4" t="s">
        <v>2022</v>
      </c>
      <c r="C36" s="3" t="s">
        <v>2023</v>
      </c>
      <c r="D36" s="10" t="s">
        <v>2024</v>
      </c>
      <c r="E36" s="4" t="s">
        <v>1948</v>
      </c>
      <c r="F36" s="116" t="n">
        <v>5.04951503784896</v>
      </c>
      <c r="G36" s="116" t="n">
        <v>6.44917840537967</v>
      </c>
      <c r="H36" s="116" t="n">
        <v>10.4195985807088</v>
      </c>
      <c r="I36" s="10" t="s">
        <v>2027</v>
      </c>
      <c r="J36" s="10" t="s">
        <v>1946</v>
      </c>
    </row>
    <row r="37" customFormat="false" ht="15" hidden="false" customHeight="false" outlineLevel="0" collapsed="false">
      <c r="A37" s="4" t="s">
        <v>2028</v>
      </c>
      <c r="B37" s="4" t="s">
        <v>2022</v>
      </c>
      <c r="C37" s="3" t="s">
        <v>2023</v>
      </c>
      <c r="D37" s="10" t="s">
        <v>2024</v>
      </c>
      <c r="E37" s="4" t="s">
        <v>1951</v>
      </c>
      <c r="F37" s="116" t="n">
        <v>6.47360284700915</v>
      </c>
      <c r="G37" s="116" t="n">
        <v>7.98992214647791</v>
      </c>
      <c r="H37" s="116" t="n">
        <v>13.6330236684808</v>
      </c>
      <c r="I37" s="10" t="s">
        <v>2029</v>
      </c>
      <c r="J37" s="10" t="s">
        <v>1946</v>
      </c>
    </row>
    <row r="38" customFormat="false" ht="15" hidden="false" customHeight="false" outlineLevel="0" collapsed="false">
      <c r="A38" s="4" t="s">
        <v>2030</v>
      </c>
      <c r="B38" s="4" t="s">
        <v>2022</v>
      </c>
      <c r="C38" s="3" t="s">
        <v>2023</v>
      </c>
      <c r="D38" s="10" t="s">
        <v>2024</v>
      </c>
      <c r="E38" s="4" t="s">
        <v>1954</v>
      </c>
      <c r="F38" s="116" t="n">
        <v>7.32251312176997</v>
      </c>
      <c r="G38" s="116" t="n">
        <v>8.9923042149807</v>
      </c>
      <c r="H38" s="116" t="n">
        <v>14.5598263108425</v>
      </c>
      <c r="I38" s="10" t="s">
        <v>2031</v>
      </c>
      <c r="J38" s="10" t="s">
        <v>1946</v>
      </c>
    </row>
    <row r="39" customFormat="false" ht="15" hidden="false" customHeight="false" outlineLevel="0" collapsed="false">
      <c r="A39" s="4" t="s">
        <v>2032</v>
      </c>
      <c r="B39" s="4" t="s">
        <v>2022</v>
      </c>
      <c r="C39" s="3" t="s">
        <v>2023</v>
      </c>
      <c r="D39" s="10" t="s">
        <v>2024</v>
      </c>
      <c r="E39" s="4" t="s">
        <v>1957</v>
      </c>
      <c r="F39" s="116" t="n">
        <v>7.78527570436843</v>
      </c>
      <c r="G39" s="116" t="n">
        <v>11.3345929943372</v>
      </c>
      <c r="H39" s="116" t="n">
        <v>20.8704255692031</v>
      </c>
      <c r="I39" s="10" t="s">
        <v>2033</v>
      </c>
      <c r="J39" s="10" t="s">
        <v>1946</v>
      </c>
    </row>
    <row r="40" customFormat="false" ht="15" hidden="false" customHeight="false" outlineLevel="0" collapsed="false">
      <c r="A40" s="4" t="s">
        <v>2034</v>
      </c>
      <c r="B40" s="4" t="s">
        <v>1090</v>
      </c>
      <c r="C40" s="3" t="s">
        <v>2035</v>
      </c>
      <c r="D40" s="10" t="s">
        <v>2024</v>
      </c>
      <c r="E40" s="4" t="s">
        <v>1944</v>
      </c>
      <c r="F40" s="116" t="n">
        <v>6.79107465326444</v>
      </c>
      <c r="G40" s="116" t="n">
        <v>9.70308728611469</v>
      </c>
      <c r="H40" s="116" t="n">
        <v>16.6637697337026</v>
      </c>
      <c r="I40" s="10" t="s">
        <v>2036</v>
      </c>
      <c r="J40" s="10" t="s">
        <v>1946</v>
      </c>
    </row>
    <row r="41" customFormat="false" ht="15" hidden="false" customHeight="false" outlineLevel="0" collapsed="false">
      <c r="A41" s="4" t="s">
        <v>2037</v>
      </c>
      <c r="B41" s="4" t="s">
        <v>1090</v>
      </c>
      <c r="C41" s="3" t="s">
        <v>2035</v>
      </c>
      <c r="D41" s="10" t="s">
        <v>2024</v>
      </c>
      <c r="E41" s="4" t="s">
        <v>1948</v>
      </c>
      <c r="F41" s="116" t="n">
        <v>6.6118162762144</v>
      </c>
      <c r="G41" s="116" t="n">
        <v>8.82816556596761</v>
      </c>
      <c r="H41" s="116" t="n">
        <v>14.3185748619737</v>
      </c>
      <c r="I41" s="10" t="s">
        <v>2038</v>
      </c>
      <c r="J41" s="10" t="s">
        <v>1946</v>
      </c>
    </row>
    <row r="42" customFormat="false" ht="15" hidden="false" customHeight="false" outlineLevel="0" collapsed="false">
      <c r="A42" s="4" t="s">
        <v>2039</v>
      </c>
      <c r="B42" s="4" t="s">
        <v>1090</v>
      </c>
      <c r="C42" s="3" t="s">
        <v>2035</v>
      </c>
      <c r="D42" s="10" t="s">
        <v>2024</v>
      </c>
      <c r="E42" s="4" t="s">
        <v>1951</v>
      </c>
      <c r="F42" s="116" t="n">
        <v>8.42889912085495</v>
      </c>
      <c r="G42" s="116" t="n">
        <v>10.8864110021101</v>
      </c>
      <c r="H42" s="116" t="n">
        <v>18.5346455040469</v>
      </c>
      <c r="I42" s="10" t="s">
        <v>2040</v>
      </c>
      <c r="J42" s="10" t="s">
        <v>1946</v>
      </c>
    </row>
    <row r="43" customFormat="false" ht="15" hidden="false" customHeight="false" outlineLevel="0" collapsed="false">
      <c r="A43" s="4" t="s">
        <v>2041</v>
      </c>
      <c r="B43" s="4" t="s">
        <v>1090</v>
      </c>
      <c r="C43" s="3" t="s">
        <v>2035</v>
      </c>
      <c r="D43" s="10" t="s">
        <v>2024</v>
      </c>
      <c r="E43" s="4" t="s">
        <v>1954</v>
      </c>
      <c r="F43" s="116" t="n">
        <v>9.51207691858967</v>
      </c>
      <c r="G43" s="116" t="n">
        <v>12.2254710045841</v>
      </c>
      <c r="H43" s="116" t="n">
        <v>19.7506269894487</v>
      </c>
      <c r="I43" s="10" t="s">
        <v>2042</v>
      </c>
      <c r="J43" s="10" t="s">
        <v>1946</v>
      </c>
    </row>
    <row r="44" customFormat="false" ht="15" hidden="false" customHeight="false" outlineLevel="0" collapsed="false">
      <c r="A44" s="4" t="s">
        <v>2043</v>
      </c>
      <c r="B44" s="4" t="s">
        <v>1090</v>
      </c>
      <c r="C44" s="3" t="s">
        <v>2035</v>
      </c>
      <c r="D44" s="10" t="s">
        <v>2024</v>
      </c>
      <c r="E44" s="4" t="s">
        <v>1957</v>
      </c>
      <c r="F44" s="116" t="n">
        <v>10.1025446864987</v>
      </c>
      <c r="G44" s="116" t="n">
        <v>15.3544827030524</v>
      </c>
      <c r="H44" s="116" t="n">
        <v>28.0302450108258</v>
      </c>
      <c r="I44" s="10" t="s">
        <v>2044</v>
      </c>
      <c r="J44" s="10" t="s">
        <v>1946</v>
      </c>
    </row>
    <row r="45" customFormat="false" ht="15" hidden="false" customHeight="false" outlineLevel="0" collapsed="false">
      <c r="A45" s="4" t="s">
        <v>2045</v>
      </c>
      <c r="B45" s="4" t="s">
        <v>2046</v>
      </c>
      <c r="C45" s="3" t="s">
        <v>2047</v>
      </c>
      <c r="D45" s="10" t="s">
        <v>2048</v>
      </c>
      <c r="E45" s="4" t="s">
        <v>1944</v>
      </c>
      <c r="F45" s="116" t="n">
        <v>1.07964486018265</v>
      </c>
      <c r="G45" s="116" t="n">
        <v>1.54259654785589</v>
      </c>
      <c r="H45" s="116" t="n">
        <v>2.64920565047995</v>
      </c>
      <c r="I45" s="10" t="s">
        <v>2049</v>
      </c>
      <c r="J45" s="10" t="s">
        <v>1946</v>
      </c>
    </row>
    <row r="46" customFormat="false" ht="15" hidden="false" customHeight="false" outlineLevel="0" collapsed="false">
      <c r="A46" s="4" t="s">
        <v>2050</v>
      </c>
      <c r="B46" s="4" t="s">
        <v>2046</v>
      </c>
      <c r="C46" s="3" t="s">
        <v>2047</v>
      </c>
      <c r="D46" s="10" t="s">
        <v>2048</v>
      </c>
      <c r="E46" s="4" t="s">
        <v>1948</v>
      </c>
      <c r="F46" s="116" t="n">
        <v>1.50422814430785</v>
      </c>
      <c r="G46" s="116" t="n">
        <v>2.00846099652078</v>
      </c>
      <c r="H46" s="116" t="n">
        <v>3.25756227849869</v>
      </c>
      <c r="I46" s="10" t="s">
        <v>2051</v>
      </c>
      <c r="J46" s="10" t="s">
        <v>1946</v>
      </c>
    </row>
    <row r="47" customFormat="false" ht="15" hidden="false" customHeight="false" outlineLevel="0" collapsed="false">
      <c r="A47" s="4" t="s">
        <v>2052</v>
      </c>
      <c r="B47" s="4" t="s">
        <v>2046</v>
      </c>
      <c r="C47" s="3" t="s">
        <v>2047</v>
      </c>
      <c r="D47" s="10" t="s">
        <v>2048</v>
      </c>
      <c r="E47" s="4" t="s">
        <v>1951</v>
      </c>
      <c r="F47" s="116" t="n">
        <v>1.97574392204647</v>
      </c>
      <c r="G47" s="116" t="n">
        <v>2.55178761329595</v>
      </c>
      <c r="H47" s="116" t="n">
        <v>4.34454282544458</v>
      </c>
      <c r="I47" s="10" t="s">
        <v>2053</v>
      </c>
      <c r="J47" s="10" t="s">
        <v>1946</v>
      </c>
    </row>
    <row r="48" customFormat="false" ht="15" hidden="false" customHeight="false" outlineLevel="0" collapsed="false">
      <c r="A48" s="4" t="s">
        <v>2054</v>
      </c>
      <c r="B48" s="4" t="s">
        <v>2046</v>
      </c>
      <c r="C48" s="3" t="s">
        <v>2047</v>
      </c>
      <c r="D48" s="10" t="s">
        <v>2048</v>
      </c>
      <c r="E48" s="4" t="s">
        <v>1954</v>
      </c>
      <c r="F48" s="116" t="n">
        <v>3.72193954123947</v>
      </c>
      <c r="G48" s="116" t="n">
        <v>4.78365180724219</v>
      </c>
      <c r="H48" s="116" t="n">
        <v>7.72813762813851</v>
      </c>
      <c r="I48" s="10" t="s">
        <v>2055</v>
      </c>
      <c r="J48" s="10" t="s">
        <v>1946</v>
      </c>
    </row>
    <row r="49" customFormat="false" ht="15" hidden="false" customHeight="false" outlineLevel="0" collapsed="false">
      <c r="A49" s="4" t="s">
        <v>2056</v>
      </c>
      <c r="B49" s="4" t="s">
        <v>2046</v>
      </c>
      <c r="C49" s="3" t="s">
        <v>2047</v>
      </c>
      <c r="D49" s="10" t="s">
        <v>2048</v>
      </c>
      <c r="E49" s="4" t="s">
        <v>1957</v>
      </c>
      <c r="F49" s="116" t="n">
        <v>5.92143420546319</v>
      </c>
      <c r="G49" s="116" t="n">
        <v>8.99976806898525</v>
      </c>
      <c r="H49" s="116" t="n">
        <v>16.4294498807254</v>
      </c>
      <c r="I49" s="10" t="s">
        <v>2057</v>
      </c>
      <c r="J49" s="10" t="s">
        <v>1946</v>
      </c>
    </row>
    <row r="50" customFormat="false" ht="15" hidden="false" customHeight="false" outlineLevel="0" collapsed="false">
      <c r="A50" s="4" t="s">
        <v>2058</v>
      </c>
      <c r="B50" s="4" t="s">
        <v>2059</v>
      </c>
      <c r="C50" s="3" t="s">
        <v>2060</v>
      </c>
      <c r="D50" s="10" t="s">
        <v>2024</v>
      </c>
      <c r="E50" s="4" t="s">
        <v>1944</v>
      </c>
      <c r="F50" s="116" t="n">
        <v>0.404712</v>
      </c>
      <c r="G50" s="116" t="n">
        <v>0.672768</v>
      </c>
      <c r="H50" s="116" t="n">
        <v>1.02492</v>
      </c>
      <c r="I50" s="10" t="s">
        <v>2061</v>
      </c>
      <c r="J50" s="10" t="s">
        <v>1946</v>
      </c>
    </row>
    <row r="51" customFormat="false" ht="15" hidden="false" customHeight="false" outlineLevel="0" collapsed="false">
      <c r="A51" s="4" t="s">
        <v>2062</v>
      </c>
      <c r="B51" s="4" t="s">
        <v>2059</v>
      </c>
      <c r="C51" s="3" t="s">
        <v>2060</v>
      </c>
      <c r="D51" s="10" t="s">
        <v>2024</v>
      </c>
      <c r="E51" s="4" t="s">
        <v>1948</v>
      </c>
      <c r="F51" s="116" t="n">
        <v>0.404712</v>
      </c>
      <c r="G51" s="116" t="n">
        <v>0.672768</v>
      </c>
      <c r="H51" s="116" t="n">
        <v>1.02492</v>
      </c>
      <c r="I51" s="10" t="s">
        <v>2063</v>
      </c>
      <c r="J51" s="10" t="s">
        <v>1946</v>
      </c>
    </row>
    <row r="52" customFormat="false" ht="15" hidden="false" customHeight="false" outlineLevel="0" collapsed="false">
      <c r="A52" s="4" t="s">
        <v>2064</v>
      </c>
      <c r="B52" s="4" t="s">
        <v>2059</v>
      </c>
      <c r="C52" s="3" t="s">
        <v>2060</v>
      </c>
      <c r="D52" s="10" t="s">
        <v>2024</v>
      </c>
      <c r="E52" s="4" t="s">
        <v>1951</v>
      </c>
      <c r="F52" s="116" t="n">
        <v>0.404712</v>
      </c>
      <c r="G52" s="116" t="n">
        <v>0.672768</v>
      </c>
      <c r="H52" s="116" t="n">
        <v>1.02492</v>
      </c>
      <c r="I52" s="10" t="s">
        <v>2065</v>
      </c>
      <c r="J52" s="10" t="s">
        <v>1946</v>
      </c>
    </row>
    <row r="53" customFormat="false" ht="15" hidden="false" customHeight="false" outlineLevel="0" collapsed="false">
      <c r="A53" s="4" t="s">
        <v>2066</v>
      </c>
      <c r="B53" s="4" t="s">
        <v>2059</v>
      </c>
      <c r="C53" s="3" t="s">
        <v>2060</v>
      </c>
      <c r="D53" s="10" t="s">
        <v>2024</v>
      </c>
      <c r="E53" s="4" t="s">
        <v>1954</v>
      </c>
      <c r="F53" s="116" t="n">
        <v>0.404712</v>
      </c>
      <c r="G53" s="116" t="n">
        <v>0.672768</v>
      </c>
      <c r="H53" s="116" t="n">
        <v>1.02492</v>
      </c>
      <c r="I53" s="10" t="s">
        <v>2067</v>
      </c>
      <c r="J53" s="10" t="s">
        <v>1946</v>
      </c>
    </row>
    <row r="54" customFormat="false" ht="15" hidden="false" customHeight="false" outlineLevel="0" collapsed="false">
      <c r="A54" s="4" t="s">
        <v>2068</v>
      </c>
      <c r="B54" s="4" t="s">
        <v>2059</v>
      </c>
      <c r="C54" s="3" t="s">
        <v>2060</v>
      </c>
      <c r="D54" s="10" t="s">
        <v>2024</v>
      </c>
      <c r="E54" s="4" t="s">
        <v>1957</v>
      </c>
      <c r="F54" s="116" t="n">
        <v>0.404712</v>
      </c>
      <c r="G54" s="116" t="n">
        <v>0.672768</v>
      </c>
      <c r="H54" s="116" t="n">
        <v>1.02492</v>
      </c>
      <c r="I54" s="10" t="s">
        <v>2069</v>
      </c>
      <c r="J54" s="10" t="s">
        <v>1946</v>
      </c>
    </row>
    <row r="55" customFormat="false" ht="15" hidden="false" customHeight="false" outlineLevel="0" collapsed="false">
      <c r="A55" s="4" t="s">
        <v>2070</v>
      </c>
      <c r="B55" s="4" t="s">
        <v>2071</v>
      </c>
      <c r="C55" s="3" t="s">
        <v>2072</v>
      </c>
      <c r="D55" s="10" t="s">
        <v>42</v>
      </c>
      <c r="E55" s="4" t="s">
        <v>1020</v>
      </c>
      <c r="F55" s="76"/>
      <c r="G55" s="23" t="n">
        <v>0.6</v>
      </c>
      <c r="H55" s="76"/>
      <c r="I55" s="10" t="s">
        <v>2073</v>
      </c>
      <c r="J55" s="10" t="s">
        <v>1946</v>
      </c>
    </row>
    <row r="56" customFormat="false" ht="15" hidden="false" customHeight="false" outlineLevel="0" collapsed="false">
      <c r="A56" s="4" t="s">
        <v>2074</v>
      </c>
      <c r="B56" s="4" t="s">
        <v>2075</v>
      </c>
      <c r="C56" s="3" t="s">
        <v>2076</v>
      </c>
      <c r="D56" s="10" t="s">
        <v>2077</v>
      </c>
      <c r="E56" s="4" t="s">
        <v>1020</v>
      </c>
      <c r="F56" s="116" t="n">
        <v>10.212</v>
      </c>
      <c r="G56" s="116" t="n">
        <v>12.67</v>
      </c>
      <c r="H56" s="116" t="n">
        <v>16.186</v>
      </c>
      <c r="I56" s="10" t="s">
        <v>2078</v>
      </c>
      <c r="J56" s="10" t="s">
        <v>1946</v>
      </c>
    </row>
    <row r="57" customFormat="false" ht="15" hidden="false" customHeight="false" outlineLevel="0" collapsed="false">
      <c r="A57" s="4" t="s">
        <v>2079</v>
      </c>
      <c r="B57" s="4" t="s">
        <v>2080</v>
      </c>
      <c r="C57" s="3" t="s">
        <v>2081</v>
      </c>
      <c r="D57" s="10" t="s">
        <v>2048</v>
      </c>
      <c r="E57" s="4" t="s">
        <v>1020</v>
      </c>
      <c r="F57" s="116" t="n">
        <v>1.50422814430785</v>
      </c>
      <c r="G57" s="116" t="n">
        <v>2.00846099652078</v>
      </c>
      <c r="H57" s="116" t="n">
        <v>3.25756227849869</v>
      </c>
      <c r="I57" s="10" t="s">
        <v>2082</v>
      </c>
      <c r="J57" s="10" t="s">
        <v>1946</v>
      </c>
    </row>
    <row r="58" customFormat="false" ht="15" hidden="false" customHeight="false" outlineLevel="0" collapsed="false">
      <c r="A58" s="4" t="s">
        <v>2083</v>
      </c>
      <c r="B58" s="4" t="s">
        <v>2084</v>
      </c>
      <c r="C58" s="3" t="s">
        <v>2085</v>
      </c>
      <c r="D58" s="10" t="s">
        <v>2048</v>
      </c>
      <c r="E58" s="4" t="s">
        <v>1020</v>
      </c>
      <c r="F58" s="116" t="n">
        <v>1.97574392204647</v>
      </c>
      <c r="G58" s="116" t="n">
        <v>2.55178761329595</v>
      </c>
      <c r="H58" s="116" t="n">
        <v>4.34454282544458</v>
      </c>
      <c r="I58" s="10" t="s">
        <v>2086</v>
      </c>
      <c r="J58" s="10" t="s">
        <v>1946</v>
      </c>
    </row>
    <row r="59" customFormat="false" ht="15" hidden="false" customHeight="false" outlineLevel="0" collapsed="false">
      <c r="A59" s="4" t="s">
        <v>2087</v>
      </c>
      <c r="B59" s="4" t="s">
        <v>2088</v>
      </c>
      <c r="C59" s="4" t="s">
        <v>2089</v>
      </c>
      <c r="D59" s="10" t="s">
        <v>2090</v>
      </c>
      <c r="E59" s="4" t="s">
        <v>1020</v>
      </c>
      <c r="F59" s="116" t="n">
        <v>43.9752259847248</v>
      </c>
      <c r="G59" s="116" t="n">
        <v>65.9628389770872</v>
      </c>
      <c r="H59" s="116" t="n">
        <v>87.9504519694495</v>
      </c>
      <c r="I59" s="10" t="s">
        <v>2091</v>
      </c>
      <c r="J59" s="10" t="s">
        <v>1946</v>
      </c>
    </row>
    <row r="60" customFormat="false" ht="15" hidden="false" customHeight="false" outlineLevel="0" collapsed="false">
      <c r="A60" s="4" t="s">
        <v>2092</v>
      </c>
      <c r="B60" s="4" t="s">
        <v>2093</v>
      </c>
      <c r="C60" s="4" t="s">
        <v>2094</v>
      </c>
      <c r="D60" s="5" t="s">
        <v>244</v>
      </c>
      <c r="E60" s="4" t="s">
        <v>1944</v>
      </c>
      <c r="F60" s="116" t="n">
        <v>6</v>
      </c>
      <c r="G60" s="116" t="n">
        <v>6</v>
      </c>
      <c r="H60" s="116" t="n">
        <v>4</v>
      </c>
      <c r="I60" s="10" t="s">
        <v>2095</v>
      </c>
      <c r="J60" s="10" t="s">
        <v>1946</v>
      </c>
    </row>
    <row r="61" customFormat="false" ht="15" hidden="false" customHeight="false" outlineLevel="0" collapsed="false">
      <c r="A61" s="4" t="s">
        <v>2096</v>
      </c>
      <c r="B61" s="4" t="s">
        <v>2093</v>
      </c>
      <c r="C61" s="4" t="s">
        <v>2094</v>
      </c>
      <c r="D61" s="5" t="s">
        <v>244</v>
      </c>
      <c r="E61" s="4" t="s">
        <v>1948</v>
      </c>
      <c r="F61" s="116" t="n">
        <v>6</v>
      </c>
      <c r="G61" s="116" t="n">
        <v>6</v>
      </c>
      <c r="H61" s="116" t="n">
        <v>4</v>
      </c>
      <c r="I61" s="10" t="s">
        <v>2097</v>
      </c>
      <c r="J61" s="10" t="s">
        <v>1946</v>
      </c>
    </row>
    <row r="62" customFormat="false" ht="15" hidden="false" customHeight="false" outlineLevel="0" collapsed="false">
      <c r="A62" s="4" t="s">
        <v>2098</v>
      </c>
      <c r="B62" s="4" t="s">
        <v>2093</v>
      </c>
      <c r="C62" s="4" t="s">
        <v>2094</v>
      </c>
      <c r="D62" s="5" t="s">
        <v>244</v>
      </c>
      <c r="E62" s="4" t="s">
        <v>1951</v>
      </c>
      <c r="F62" s="116" t="n">
        <v>6</v>
      </c>
      <c r="G62" s="116" t="n">
        <v>6</v>
      </c>
      <c r="H62" s="116" t="n">
        <v>4</v>
      </c>
      <c r="I62" s="10" t="s">
        <v>2099</v>
      </c>
      <c r="J62" s="10" t="s">
        <v>1946</v>
      </c>
    </row>
    <row r="63" customFormat="false" ht="15" hidden="false" customHeight="false" outlineLevel="0" collapsed="false">
      <c r="A63" s="4" t="s">
        <v>2100</v>
      </c>
      <c r="B63" s="4" t="s">
        <v>2093</v>
      </c>
      <c r="C63" s="4" t="s">
        <v>2094</v>
      </c>
      <c r="D63" s="5" t="s">
        <v>244</v>
      </c>
      <c r="E63" s="4" t="s">
        <v>1954</v>
      </c>
      <c r="F63" s="116" t="n">
        <v>6</v>
      </c>
      <c r="G63" s="116" t="n">
        <v>6</v>
      </c>
      <c r="H63" s="116" t="n">
        <v>4</v>
      </c>
      <c r="I63" s="10" t="s">
        <v>2101</v>
      </c>
      <c r="J63" s="10" t="s">
        <v>1946</v>
      </c>
    </row>
    <row r="64" customFormat="false" ht="15" hidden="false" customHeight="false" outlineLevel="0" collapsed="false">
      <c r="A64" s="4" t="s">
        <v>2102</v>
      </c>
      <c r="B64" s="4" t="s">
        <v>2093</v>
      </c>
      <c r="C64" s="4" t="s">
        <v>2094</v>
      </c>
      <c r="D64" s="5" t="s">
        <v>244</v>
      </c>
      <c r="E64" s="4" t="s">
        <v>1957</v>
      </c>
      <c r="F64" s="116" t="n">
        <v>6</v>
      </c>
      <c r="G64" s="116" t="n">
        <v>6</v>
      </c>
      <c r="H64" s="116" t="n">
        <v>4</v>
      </c>
      <c r="I64" s="10" t="s">
        <v>2103</v>
      </c>
      <c r="J64" s="10" t="s">
        <v>1946</v>
      </c>
    </row>
    <row r="65" customFormat="false" ht="15" hidden="false" customHeight="false" outlineLevel="0" collapsed="false">
      <c r="A65" s="4" t="s">
        <v>2104</v>
      </c>
      <c r="B65" s="4" t="s">
        <v>2105</v>
      </c>
      <c r="C65" s="3" t="s">
        <v>2106</v>
      </c>
      <c r="D65" s="10" t="s">
        <v>2024</v>
      </c>
      <c r="E65" s="4" t="s">
        <v>1944</v>
      </c>
      <c r="F65" s="116" t="n">
        <v>3.5700449</v>
      </c>
      <c r="G65" s="116" t="n">
        <v>4.58503566666667</v>
      </c>
      <c r="H65" s="116" t="n">
        <v>8.53018585</v>
      </c>
      <c r="I65" s="10" t="s">
        <v>2107</v>
      </c>
      <c r="J65" s="10" t="s">
        <v>1946</v>
      </c>
    </row>
    <row r="66" customFormat="false" ht="15" hidden="false" customHeight="false" outlineLevel="0" collapsed="false">
      <c r="A66" s="4" t="s">
        <v>2108</v>
      </c>
      <c r="B66" s="4" t="s">
        <v>2105</v>
      </c>
      <c r="C66" s="3" t="s">
        <v>2106</v>
      </c>
      <c r="D66" s="10" t="s">
        <v>2024</v>
      </c>
      <c r="E66" s="4" t="s">
        <v>1948</v>
      </c>
      <c r="F66" s="116" t="n">
        <v>3.4398984</v>
      </c>
      <c r="G66" s="116" t="n">
        <v>4.002529</v>
      </c>
      <c r="H66" s="116" t="n">
        <v>6.9125511</v>
      </c>
      <c r="I66" s="10" t="s">
        <v>2109</v>
      </c>
      <c r="J66" s="10" t="s">
        <v>1946</v>
      </c>
    </row>
    <row r="67" customFormat="false" ht="15" hidden="false" customHeight="false" outlineLevel="0" collapsed="false">
      <c r="A67" s="4" t="s">
        <v>2110</v>
      </c>
      <c r="B67" s="4" t="s">
        <v>2105</v>
      </c>
      <c r="C67" s="3" t="s">
        <v>2106</v>
      </c>
      <c r="D67" s="10" t="s">
        <v>2024</v>
      </c>
      <c r="E67" s="4" t="s">
        <v>1951</v>
      </c>
      <c r="F67" s="116" t="n">
        <v>4.7591504</v>
      </c>
      <c r="G67" s="116" t="n">
        <v>5.37287066666667</v>
      </c>
      <c r="H67" s="116" t="n">
        <v>9.8206516</v>
      </c>
      <c r="I67" s="10" t="s">
        <v>2111</v>
      </c>
      <c r="J67" s="10" t="s">
        <v>1946</v>
      </c>
    </row>
    <row r="68" customFormat="false" ht="15" hidden="false" customHeight="false" outlineLevel="0" collapsed="false">
      <c r="A68" s="4" t="s">
        <v>2112</v>
      </c>
      <c r="B68" s="4" t="s">
        <v>2105</v>
      </c>
      <c r="C68" s="3" t="s">
        <v>2106</v>
      </c>
      <c r="D68" s="10" t="s">
        <v>2024</v>
      </c>
      <c r="E68" s="4" t="s">
        <v>1954</v>
      </c>
      <c r="F68" s="116" t="n">
        <v>5.5455672</v>
      </c>
      <c r="G68" s="116" t="n">
        <v>6.264392</v>
      </c>
      <c r="H68" s="116" t="n">
        <v>10.6593938</v>
      </c>
      <c r="I68" s="10" t="s">
        <v>2113</v>
      </c>
      <c r="J68" s="10" t="s">
        <v>1946</v>
      </c>
    </row>
    <row r="69" customFormat="false" ht="15" hidden="false" customHeight="false" outlineLevel="0" collapsed="false">
      <c r="A69" s="4" t="s">
        <v>2114</v>
      </c>
      <c r="B69" s="4" t="s">
        <v>2105</v>
      </c>
      <c r="C69" s="3" t="s">
        <v>2106</v>
      </c>
      <c r="D69" s="10" t="s">
        <v>2024</v>
      </c>
      <c r="E69" s="4" t="s">
        <v>1957</v>
      </c>
      <c r="F69" s="116" t="n">
        <v>5.974263</v>
      </c>
      <c r="G69" s="116" t="n">
        <v>8.34763</v>
      </c>
      <c r="H69" s="116" t="n">
        <v>16.3703895</v>
      </c>
      <c r="I69" s="10" t="s">
        <v>2115</v>
      </c>
      <c r="J69" s="10" t="s">
        <v>1946</v>
      </c>
    </row>
    <row r="70" customFormat="false" ht="15" hidden="false" customHeight="false" outlineLevel="0" collapsed="false">
      <c r="A70" s="4" t="s">
        <v>2116</v>
      </c>
      <c r="B70" s="4" t="s">
        <v>2117</v>
      </c>
      <c r="C70" s="3" t="s">
        <v>2118</v>
      </c>
      <c r="D70" s="10" t="s">
        <v>2024</v>
      </c>
      <c r="E70" s="4" t="s">
        <v>1944</v>
      </c>
      <c r="F70" s="116" t="n">
        <v>0.507733333333333</v>
      </c>
      <c r="G70" s="116" t="n">
        <v>0.634416666666667</v>
      </c>
      <c r="H70" s="116" t="n">
        <v>0.812233333333334</v>
      </c>
      <c r="I70" s="10" t="s">
        <v>2119</v>
      </c>
      <c r="J70" s="10" t="s">
        <v>1946</v>
      </c>
    </row>
    <row r="71" customFormat="false" ht="15" hidden="false" customHeight="false" outlineLevel="0" collapsed="false">
      <c r="A71" s="4" t="s">
        <v>2120</v>
      </c>
      <c r="B71" s="4" t="s">
        <v>2117</v>
      </c>
      <c r="C71" s="3" t="s">
        <v>2118</v>
      </c>
      <c r="D71" s="10" t="s">
        <v>2024</v>
      </c>
      <c r="E71" s="4" t="s">
        <v>1948</v>
      </c>
      <c r="F71" s="116" t="n">
        <v>0.507733333333333</v>
      </c>
      <c r="G71" s="116" t="n">
        <v>0.634416666666667</v>
      </c>
      <c r="H71" s="116" t="n">
        <v>0.812233333333334</v>
      </c>
      <c r="I71" s="10" t="s">
        <v>2121</v>
      </c>
      <c r="J71" s="10" t="s">
        <v>1946</v>
      </c>
    </row>
    <row r="72" customFormat="false" ht="15" hidden="false" customHeight="false" outlineLevel="0" collapsed="false">
      <c r="A72" s="4" t="s">
        <v>2122</v>
      </c>
      <c r="B72" s="4" t="s">
        <v>2117</v>
      </c>
      <c r="C72" s="3" t="s">
        <v>2118</v>
      </c>
      <c r="D72" s="10" t="s">
        <v>2024</v>
      </c>
      <c r="E72" s="4" t="s">
        <v>1951</v>
      </c>
      <c r="F72" s="116" t="n">
        <v>0.507733333333333</v>
      </c>
      <c r="G72" s="116" t="n">
        <v>0.634416666666667</v>
      </c>
      <c r="H72" s="116" t="n">
        <v>0.812233333333334</v>
      </c>
      <c r="I72" s="10" t="s">
        <v>2123</v>
      </c>
      <c r="J72" s="10" t="s">
        <v>1946</v>
      </c>
    </row>
    <row r="73" customFormat="false" ht="15" hidden="false" customHeight="false" outlineLevel="0" collapsed="false">
      <c r="A73" s="4" t="s">
        <v>2124</v>
      </c>
      <c r="B73" s="4" t="s">
        <v>2117</v>
      </c>
      <c r="C73" s="3" t="s">
        <v>2118</v>
      </c>
      <c r="D73" s="10" t="s">
        <v>2024</v>
      </c>
      <c r="E73" s="4" t="s">
        <v>1954</v>
      </c>
      <c r="F73" s="116" t="n">
        <v>0.507733333333333</v>
      </c>
      <c r="G73" s="116" t="n">
        <v>0.634416666666667</v>
      </c>
      <c r="H73" s="116" t="n">
        <v>0.812233333333334</v>
      </c>
      <c r="I73" s="10" t="s">
        <v>2125</v>
      </c>
      <c r="J73" s="10" t="s">
        <v>1946</v>
      </c>
    </row>
    <row r="74" customFormat="false" ht="15" hidden="false" customHeight="false" outlineLevel="0" collapsed="false">
      <c r="A74" s="4" t="s">
        <v>2126</v>
      </c>
      <c r="B74" s="4" t="s">
        <v>2117</v>
      </c>
      <c r="C74" s="3" t="s">
        <v>2118</v>
      </c>
      <c r="D74" s="10" t="s">
        <v>2024</v>
      </c>
      <c r="E74" s="4" t="s">
        <v>1957</v>
      </c>
      <c r="F74" s="116" t="n">
        <v>0.507733333333333</v>
      </c>
      <c r="G74" s="116" t="n">
        <v>0.634416666666667</v>
      </c>
      <c r="H74" s="116" t="n">
        <v>0.812233333333334</v>
      </c>
      <c r="I74" s="10" t="s">
        <v>2127</v>
      </c>
      <c r="J74" s="10" t="s">
        <v>1946</v>
      </c>
    </row>
    <row r="75" customFormat="false" ht="15" hidden="false" customHeight="false" outlineLevel="0" collapsed="false">
      <c r="A75" s="4" t="s">
        <v>2128</v>
      </c>
      <c r="B75" s="4" t="s">
        <v>2129</v>
      </c>
      <c r="C75" s="3" t="s">
        <v>2130</v>
      </c>
      <c r="D75" s="10" t="s">
        <v>42</v>
      </c>
      <c r="E75" s="4" t="s">
        <v>1944</v>
      </c>
      <c r="F75" s="23" t="n">
        <v>0.7</v>
      </c>
      <c r="G75" s="23" t="n">
        <v>0.8</v>
      </c>
      <c r="H75" s="23" t="n">
        <v>0.9</v>
      </c>
      <c r="I75" s="10" t="s">
        <v>2131</v>
      </c>
      <c r="J75" s="10" t="s">
        <v>1946</v>
      </c>
    </row>
    <row r="76" customFormat="false" ht="15" hidden="false" customHeight="false" outlineLevel="0" collapsed="false">
      <c r="A76" s="4" t="s">
        <v>2132</v>
      </c>
      <c r="B76" s="4" t="s">
        <v>2129</v>
      </c>
      <c r="C76" s="3" t="s">
        <v>2130</v>
      </c>
      <c r="D76" s="10" t="s">
        <v>42</v>
      </c>
      <c r="E76" s="4" t="s">
        <v>1948</v>
      </c>
      <c r="F76" s="23" t="n">
        <v>0.7</v>
      </c>
      <c r="G76" s="23" t="n">
        <v>0.8</v>
      </c>
      <c r="H76" s="23" t="n">
        <v>0.9</v>
      </c>
      <c r="I76" s="10" t="s">
        <v>2133</v>
      </c>
      <c r="J76" s="10" t="s">
        <v>1946</v>
      </c>
    </row>
    <row r="77" customFormat="false" ht="15" hidden="false" customHeight="false" outlineLevel="0" collapsed="false">
      <c r="A77" s="4" t="s">
        <v>2134</v>
      </c>
      <c r="B77" s="4" t="s">
        <v>2129</v>
      </c>
      <c r="C77" s="3" t="s">
        <v>2130</v>
      </c>
      <c r="D77" s="10" t="s">
        <v>42</v>
      </c>
      <c r="E77" s="4" t="s">
        <v>1951</v>
      </c>
      <c r="F77" s="23" t="n">
        <v>0.7</v>
      </c>
      <c r="G77" s="23" t="n">
        <v>0.8</v>
      </c>
      <c r="H77" s="23" t="n">
        <v>0.9</v>
      </c>
      <c r="I77" s="10" t="s">
        <v>2135</v>
      </c>
      <c r="J77" s="10" t="s">
        <v>1946</v>
      </c>
    </row>
    <row r="78" customFormat="false" ht="15" hidden="false" customHeight="false" outlineLevel="0" collapsed="false">
      <c r="A78" s="4" t="s">
        <v>2136</v>
      </c>
      <c r="B78" s="4" t="s">
        <v>2129</v>
      </c>
      <c r="C78" s="3" t="s">
        <v>2130</v>
      </c>
      <c r="D78" s="10" t="s">
        <v>42</v>
      </c>
      <c r="E78" s="4" t="s">
        <v>1954</v>
      </c>
      <c r="F78" s="23" t="n">
        <v>0.7</v>
      </c>
      <c r="G78" s="23" t="n">
        <v>0.8</v>
      </c>
      <c r="H78" s="23" t="n">
        <v>0.9</v>
      </c>
      <c r="I78" s="10" t="s">
        <v>2137</v>
      </c>
      <c r="J78" s="10" t="s">
        <v>1946</v>
      </c>
    </row>
    <row r="79" customFormat="false" ht="15" hidden="false" customHeight="false" outlineLevel="0" collapsed="false">
      <c r="A79" s="4" t="s">
        <v>2138</v>
      </c>
      <c r="B79" s="4" t="s">
        <v>2129</v>
      </c>
      <c r="C79" s="3" t="s">
        <v>2130</v>
      </c>
      <c r="D79" s="10" t="s">
        <v>42</v>
      </c>
      <c r="E79" s="4" t="s">
        <v>1957</v>
      </c>
      <c r="F79" s="23" t="n">
        <v>0.7</v>
      </c>
      <c r="G79" s="23" t="n">
        <v>0.8</v>
      </c>
      <c r="H79" s="23" t="n">
        <v>0.9</v>
      </c>
      <c r="I79" s="10" t="s">
        <v>2139</v>
      </c>
      <c r="J79" s="10" t="s">
        <v>1946</v>
      </c>
    </row>
    <row r="80" customFormat="false" ht="15" hidden="false" customHeight="false" outlineLevel="0" collapsed="false">
      <c r="A80" s="4" t="s">
        <v>2140</v>
      </c>
      <c r="B80" s="4" t="s">
        <v>2141</v>
      </c>
      <c r="C80" s="3" t="s">
        <v>230</v>
      </c>
      <c r="D80" s="10" t="s">
        <v>2142</v>
      </c>
      <c r="E80" s="4" t="s">
        <v>1944</v>
      </c>
      <c r="F80" s="116" t="n">
        <v>0.06</v>
      </c>
      <c r="G80" s="116" t="n">
        <v>0.08</v>
      </c>
      <c r="H80" s="116" t="n">
        <v>0.1</v>
      </c>
      <c r="I80" s="10" t="s">
        <v>2143</v>
      </c>
      <c r="J80" s="10" t="s">
        <v>1946</v>
      </c>
    </row>
    <row r="81" customFormat="false" ht="15" hidden="false" customHeight="false" outlineLevel="0" collapsed="false">
      <c r="A81" s="4" t="s">
        <v>2144</v>
      </c>
      <c r="B81" s="4" t="s">
        <v>2141</v>
      </c>
      <c r="C81" s="3" t="s">
        <v>230</v>
      </c>
      <c r="D81" s="10" t="s">
        <v>2142</v>
      </c>
      <c r="E81" s="4" t="s">
        <v>1948</v>
      </c>
      <c r="F81" s="116" t="n">
        <v>0.06</v>
      </c>
      <c r="G81" s="116" t="n">
        <v>0.08</v>
      </c>
      <c r="H81" s="116" t="n">
        <v>0.1</v>
      </c>
      <c r="I81" s="10" t="s">
        <v>2145</v>
      </c>
      <c r="J81" s="10" t="s">
        <v>1946</v>
      </c>
    </row>
    <row r="82" customFormat="false" ht="15" hidden="false" customHeight="false" outlineLevel="0" collapsed="false">
      <c r="A82" s="4" t="s">
        <v>2146</v>
      </c>
      <c r="B82" s="4" t="s">
        <v>2141</v>
      </c>
      <c r="C82" s="3" t="s">
        <v>230</v>
      </c>
      <c r="D82" s="10" t="s">
        <v>2142</v>
      </c>
      <c r="E82" s="4" t="s">
        <v>1951</v>
      </c>
      <c r="F82" s="116" t="n">
        <v>0.06</v>
      </c>
      <c r="G82" s="116" t="n">
        <v>0.08</v>
      </c>
      <c r="H82" s="116" t="n">
        <v>0.1</v>
      </c>
      <c r="I82" s="10" t="s">
        <v>2147</v>
      </c>
      <c r="J82" s="10" t="s">
        <v>1946</v>
      </c>
    </row>
    <row r="83" customFormat="false" ht="15" hidden="false" customHeight="false" outlineLevel="0" collapsed="false">
      <c r="A83" s="4" t="s">
        <v>2148</v>
      </c>
      <c r="B83" s="4" t="s">
        <v>2141</v>
      </c>
      <c r="C83" s="3" t="s">
        <v>230</v>
      </c>
      <c r="D83" s="10" t="s">
        <v>2142</v>
      </c>
      <c r="E83" s="4" t="s">
        <v>1954</v>
      </c>
      <c r="F83" s="116" t="n">
        <v>0.06</v>
      </c>
      <c r="G83" s="116" t="n">
        <v>0.08</v>
      </c>
      <c r="H83" s="116" t="n">
        <v>0.1</v>
      </c>
      <c r="I83" s="10" t="s">
        <v>2149</v>
      </c>
      <c r="J83" s="10" t="s">
        <v>1946</v>
      </c>
    </row>
    <row r="84" customFormat="false" ht="15" hidden="false" customHeight="false" outlineLevel="0" collapsed="false">
      <c r="A84" s="4" t="s">
        <v>2150</v>
      </c>
      <c r="B84" s="4" t="s">
        <v>2141</v>
      </c>
      <c r="C84" s="3" t="s">
        <v>230</v>
      </c>
      <c r="D84" s="10" t="s">
        <v>2142</v>
      </c>
      <c r="E84" s="4" t="s">
        <v>1957</v>
      </c>
      <c r="F84" s="116" t="n">
        <v>0.06</v>
      </c>
      <c r="G84" s="116" t="n">
        <v>0.08</v>
      </c>
      <c r="H84" s="116" t="n">
        <v>0.1</v>
      </c>
      <c r="I84" s="10" t="s">
        <v>2151</v>
      </c>
      <c r="J84" s="10" t="s">
        <v>1946</v>
      </c>
    </row>
    <row r="85" customFormat="false" ht="15" hidden="false" customHeight="false" outlineLevel="0" collapsed="false">
      <c r="A85" s="4" t="s">
        <v>2152</v>
      </c>
      <c r="B85" s="4" t="s">
        <v>2153</v>
      </c>
      <c r="C85" s="3" t="s">
        <v>2154</v>
      </c>
      <c r="D85" s="10" t="s">
        <v>2024</v>
      </c>
      <c r="E85" s="4" t="s">
        <v>1944</v>
      </c>
      <c r="F85" s="116" t="n">
        <v>0.219436730882534</v>
      </c>
      <c r="G85" s="116" t="n">
        <v>0.43259841019734</v>
      </c>
      <c r="H85" s="116" t="n">
        <v>0.6226274060112</v>
      </c>
      <c r="I85" s="10" t="s">
        <v>2155</v>
      </c>
      <c r="J85" s="10" t="s">
        <v>1946</v>
      </c>
    </row>
    <row r="86" customFormat="false" ht="15" hidden="false" customHeight="false" outlineLevel="0" collapsed="false">
      <c r="A86" s="4" t="s">
        <v>2156</v>
      </c>
      <c r="B86" s="4" t="s">
        <v>2153</v>
      </c>
      <c r="C86" s="3" t="s">
        <v>2154</v>
      </c>
      <c r="D86" s="10" t="s">
        <v>2024</v>
      </c>
      <c r="E86" s="4" t="s">
        <v>1948</v>
      </c>
      <c r="F86" s="116" t="n">
        <v>0.211437133315623</v>
      </c>
      <c r="G86" s="116" t="n">
        <v>0.377638868712999</v>
      </c>
      <c r="H86" s="116" t="n">
        <v>0.504554512175472</v>
      </c>
      <c r="I86" s="10" t="s">
        <v>2157</v>
      </c>
      <c r="J86" s="10" t="s">
        <v>1946</v>
      </c>
    </row>
    <row r="87" customFormat="false" ht="15" hidden="false" customHeight="false" outlineLevel="0" collapsed="false">
      <c r="A87" s="4" t="s">
        <v>2158</v>
      </c>
      <c r="B87" s="4" t="s">
        <v>2153</v>
      </c>
      <c r="C87" s="3" t="s">
        <v>2154</v>
      </c>
      <c r="D87" s="10" t="s">
        <v>2024</v>
      </c>
      <c r="E87" s="4" t="s">
        <v>1951</v>
      </c>
      <c r="F87" s="116" t="n">
        <v>0.292526406475813</v>
      </c>
      <c r="G87" s="116" t="n">
        <v>0.506930693144573</v>
      </c>
      <c r="H87" s="116" t="n">
        <v>0.716819883947515</v>
      </c>
      <c r="I87" s="10" t="s">
        <v>2159</v>
      </c>
      <c r="J87" s="10" t="s">
        <v>1946</v>
      </c>
    </row>
    <row r="88" customFormat="false" ht="15" hidden="false" customHeight="false" outlineLevel="0" collapsed="false">
      <c r="A88" s="4" t="s">
        <v>2160</v>
      </c>
      <c r="B88" s="4" t="s">
        <v>2153</v>
      </c>
      <c r="C88" s="3" t="s">
        <v>2154</v>
      </c>
      <c r="D88" s="10" t="s">
        <v>2024</v>
      </c>
      <c r="E88" s="4" t="s">
        <v>1954</v>
      </c>
      <c r="F88" s="116" t="n">
        <v>0.340864378836638</v>
      </c>
      <c r="G88" s="116" t="n">
        <v>0.591045788314028</v>
      </c>
      <c r="H88" s="116" t="n">
        <v>0.778040575909124</v>
      </c>
      <c r="I88" s="10" t="s">
        <v>2161</v>
      </c>
      <c r="J88" s="10" t="s">
        <v>1946</v>
      </c>
    </row>
    <row r="89" customFormat="false" ht="15" hidden="false" customHeight="false" outlineLevel="0" collapsed="false">
      <c r="A89" s="4" t="s">
        <v>2162</v>
      </c>
      <c r="B89" s="4" t="s">
        <v>2153</v>
      </c>
      <c r="C89" s="3" t="s">
        <v>2154</v>
      </c>
      <c r="D89" s="10" t="s">
        <v>2024</v>
      </c>
      <c r="E89" s="4" t="s">
        <v>1957</v>
      </c>
      <c r="F89" s="116" t="n">
        <v>0.367214637035091</v>
      </c>
      <c r="G89" s="116" t="n">
        <v>0.787599427670528</v>
      </c>
      <c r="H89" s="116" t="n">
        <v>1.19489227186978</v>
      </c>
      <c r="I89" s="10" t="s">
        <v>2163</v>
      </c>
      <c r="J89" s="10" t="s">
        <v>1946</v>
      </c>
    </row>
    <row r="90" customFormat="false" ht="15" hidden="false" customHeight="false" outlineLevel="0" collapsed="false">
      <c r="A90" s="4" t="s">
        <v>2164</v>
      </c>
      <c r="B90" s="4" t="s">
        <v>2165</v>
      </c>
      <c r="C90" s="3" t="s">
        <v>2166</v>
      </c>
      <c r="D90" s="10" t="s">
        <v>2024</v>
      </c>
      <c r="E90" s="4" t="s">
        <v>1944</v>
      </c>
      <c r="F90" s="116" t="n">
        <v>0.15318</v>
      </c>
      <c r="G90" s="116" t="n">
        <v>0.2534</v>
      </c>
      <c r="H90" s="116" t="n">
        <v>0.40465</v>
      </c>
      <c r="I90" s="10" t="s">
        <v>2167</v>
      </c>
      <c r="J90" s="10" t="s">
        <v>1946</v>
      </c>
    </row>
    <row r="91" customFormat="false" ht="15" hidden="false" customHeight="false" outlineLevel="0" collapsed="false">
      <c r="A91" s="4" t="s">
        <v>2168</v>
      </c>
      <c r="B91" s="4" t="s">
        <v>2165</v>
      </c>
      <c r="C91" s="3" t="s">
        <v>2166</v>
      </c>
      <c r="D91" s="10" t="s">
        <v>2024</v>
      </c>
      <c r="E91" s="4" t="s">
        <v>1948</v>
      </c>
      <c r="F91" s="116" t="n">
        <v>0.15318</v>
      </c>
      <c r="G91" s="116" t="n">
        <v>0.2534</v>
      </c>
      <c r="H91" s="116" t="n">
        <v>0.40465</v>
      </c>
      <c r="I91" s="10" t="s">
        <v>2169</v>
      </c>
      <c r="J91" s="10" t="s">
        <v>1946</v>
      </c>
    </row>
    <row r="92" customFormat="false" ht="15" hidden="false" customHeight="false" outlineLevel="0" collapsed="false">
      <c r="A92" s="4" t="s">
        <v>2170</v>
      </c>
      <c r="B92" s="4" t="s">
        <v>2165</v>
      </c>
      <c r="C92" s="3" t="s">
        <v>2166</v>
      </c>
      <c r="D92" s="10" t="s">
        <v>2024</v>
      </c>
      <c r="E92" s="4" t="s">
        <v>1951</v>
      </c>
      <c r="F92" s="116" t="n">
        <v>0.15318</v>
      </c>
      <c r="G92" s="116" t="n">
        <v>0.2534</v>
      </c>
      <c r="H92" s="116" t="n">
        <v>0.40465</v>
      </c>
      <c r="I92" s="10" t="s">
        <v>2171</v>
      </c>
      <c r="J92" s="10" t="s">
        <v>1946</v>
      </c>
    </row>
    <row r="93" customFormat="false" ht="15" hidden="false" customHeight="false" outlineLevel="0" collapsed="false">
      <c r="A93" s="4" t="s">
        <v>2172</v>
      </c>
      <c r="B93" s="4" t="s">
        <v>2165</v>
      </c>
      <c r="C93" s="3" t="s">
        <v>2166</v>
      </c>
      <c r="D93" s="10" t="s">
        <v>2024</v>
      </c>
      <c r="E93" s="4" t="s">
        <v>1954</v>
      </c>
      <c r="F93" s="116" t="n">
        <v>0.15318</v>
      </c>
      <c r="G93" s="116" t="n">
        <v>0.2534</v>
      </c>
      <c r="H93" s="116" t="n">
        <v>0.40465</v>
      </c>
      <c r="I93" s="10" t="s">
        <v>2173</v>
      </c>
      <c r="J93" s="10" t="s">
        <v>1946</v>
      </c>
    </row>
    <row r="94" customFormat="false" ht="15" hidden="false" customHeight="false" outlineLevel="0" collapsed="false">
      <c r="A94" s="4" t="s">
        <v>2174</v>
      </c>
      <c r="B94" s="4" t="s">
        <v>2165</v>
      </c>
      <c r="C94" s="3" t="s">
        <v>2166</v>
      </c>
      <c r="D94" s="10" t="s">
        <v>2024</v>
      </c>
      <c r="E94" s="4" t="s">
        <v>1957</v>
      </c>
      <c r="F94" s="116" t="n">
        <v>0.15318</v>
      </c>
      <c r="G94" s="116" t="n">
        <v>0.2534</v>
      </c>
      <c r="H94" s="116" t="n">
        <v>0.40465</v>
      </c>
      <c r="I94" s="10" t="s">
        <v>2175</v>
      </c>
      <c r="J94" s="10" t="s">
        <v>1946</v>
      </c>
    </row>
    <row r="95" customFormat="false" ht="15" hidden="false" customHeight="false" outlineLevel="0" collapsed="false">
      <c r="A95" s="4" t="s">
        <v>2176</v>
      </c>
      <c r="B95" s="4" t="s">
        <v>2177</v>
      </c>
      <c r="C95" s="3" t="s">
        <v>2178</v>
      </c>
      <c r="D95" s="10" t="s">
        <v>2024</v>
      </c>
      <c r="E95" s="4" t="s">
        <v>1944</v>
      </c>
      <c r="F95" s="116" t="n">
        <v>0.24</v>
      </c>
      <c r="G95" s="116" t="n">
        <v>0.325</v>
      </c>
      <c r="H95" s="116" t="n">
        <v>0.41</v>
      </c>
      <c r="I95" s="10" t="s">
        <v>2179</v>
      </c>
      <c r="J95" s="10" t="s">
        <v>1946</v>
      </c>
    </row>
    <row r="96" customFormat="false" ht="15" hidden="false" customHeight="false" outlineLevel="0" collapsed="false">
      <c r="A96" s="4" t="s">
        <v>2180</v>
      </c>
      <c r="B96" s="4" t="s">
        <v>2177</v>
      </c>
      <c r="C96" s="3" t="s">
        <v>2178</v>
      </c>
      <c r="D96" s="10" t="s">
        <v>2024</v>
      </c>
      <c r="E96" s="4" t="s">
        <v>1948</v>
      </c>
      <c r="F96" s="116" t="n">
        <v>0.24</v>
      </c>
      <c r="G96" s="116" t="n">
        <v>0.325</v>
      </c>
      <c r="H96" s="116" t="n">
        <v>0.41</v>
      </c>
      <c r="I96" s="10" t="s">
        <v>2181</v>
      </c>
      <c r="J96" s="10" t="s">
        <v>1946</v>
      </c>
    </row>
    <row r="97" customFormat="false" ht="15" hidden="false" customHeight="false" outlineLevel="0" collapsed="false">
      <c r="A97" s="4" t="s">
        <v>2182</v>
      </c>
      <c r="B97" s="4" t="s">
        <v>2177</v>
      </c>
      <c r="C97" s="3" t="s">
        <v>2178</v>
      </c>
      <c r="D97" s="10" t="s">
        <v>2024</v>
      </c>
      <c r="E97" s="4" t="s">
        <v>1951</v>
      </c>
      <c r="F97" s="116" t="n">
        <v>0.24</v>
      </c>
      <c r="G97" s="116" t="n">
        <v>0.325</v>
      </c>
      <c r="H97" s="116" t="n">
        <v>0.41</v>
      </c>
      <c r="I97" s="10" t="s">
        <v>2183</v>
      </c>
      <c r="J97" s="10" t="s">
        <v>1946</v>
      </c>
    </row>
    <row r="98" customFormat="false" ht="15" hidden="false" customHeight="false" outlineLevel="0" collapsed="false">
      <c r="A98" s="4" t="s">
        <v>2184</v>
      </c>
      <c r="B98" s="4" t="s">
        <v>2177</v>
      </c>
      <c r="C98" s="3" t="s">
        <v>2178</v>
      </c>
      <c r="D98" s="10" t="s">
        <v>2024</v>
      </c>
      <c r="E98" s="4" t="s">
        <v>1954</v>
      </c>
      <c r="F98" s="116" t="n">
        <v>0.24</v>
      </c>
      <c r="G98" s="116" t="n">
        <v>0.325</v>
      </c>
      <c r="H98" s="116" t="n">
        <v>0.41</v>
      </c>
      <c r="I98" s="10" t="s">
        <v>2185</v>
      </c>
      <c r="J98" s="10" t="s">
        <v>1946</v>
      </c>
    </row>
    <row r="99" customFormat="false" ht="15" hidden="false" customHeight="false" outlineLevel="0" collapsed="false">
      <c r="A99" s="4" t="s">
        <v>2186</v>
      </c>
      <c r="B99" s="4" t="s">
        <v>2177</v>
      </c>
      <c r="C99" s="3" t="s">
        <v>2178</v>
      </c>
      <c r="D99" s="10" t="s">
        <v>2024</v>
      </c>
      <c r="E99" s="4" t="s">
        <v>1957</v>
      </c>
      <c r="F99" s="116" t="n">
        <v>0.24</v>
      </c>
      <c r="G99" s="116" t="n">
        <v>0.325</v>
      </c>
      <c r="H99" s="116" t="n">
        <v>0.41</v>
      </c>
      <c r="I99" s="10" t="s">
        <v>2187</v>
      </c>
      <c r="J99" s="10" t="s">
        <v>1946</v>
      </c>
    </row>
    <row r="100" customFormat="false" ht="15" hidden="false" customHeight="false" outlineLevel="0" collapsed="false">
      <c r="A100" s="4" t="s">
        <v>2188</v>
      </c>
      <c r="B100" s="4" t="s">
        <v>2189</v>
      </c>
      <c r="C100" s="3" t="s">
        <v>2190</v>
      </c>
      <c r="D100" s="10" t="s">
        <v>2024</v>
      </c>
      <c r="E100" s="4" t="s">
        <v>1944</v>
      </c>
      <c r="F100" s="116" t="n">
        <v>0.0948968082</v>
      </c>
      <c r="G100" s="116" t="n">
        <v>0.20090107</v>
      </c>
      <c r="H100" s="116" t="n">
        <v>0.4024539472</v>
      </c>
      <c r="I100" s="10" t="s">
        <v>2191</v>
      </c>
      <c r="J100" s="10" t="s">
        <v>1946</v>
      </c>
    </row>
    <row r="101" customFormat="false" ht="15" hidden="false" customHeight="false" outlineLevel="0" collapsed="false">
      <c r="A101" s="4" t="s">
        <v>2192</v>
      </c>
      <c r="B101" s="4" t="s">
        <v>2189</v>
      </c>
      <c r="C101" s="3" t="s">
        <v>2190</v>
      </c>
      <c r="D101" s="10" t="s">
        <v>2024</v>
      </c>
      <c r="E101" s="4" t="s">
        <v>1948</v>
      </c>
      <c r="F101" s="116" t="n">
        <v>0.0925541712</v>
      </c>
      <c r="G101" s="116" t="n">
        <v>0.18342587</v>
      </c>
      <c r="H101" s="116" t="n">
        <v>0.3506896352</v>
      </c>
      <c r="I101" s="10" t="s">
        <v>2193</v>
      </c>
      <c r="J101" s="10" t="s">
        <v>1946</v>
      </c>
    </row>
    <row r="102" customFormat="false" ht="15" hidden="false" customHeight="false" outlineLevel="0" collapsed="false">
      <c r="A102" s="4" t="s">
        <v>2194</v>
      </c>
      <c r="B102" s="4" t="s">
        <v>2189</v>
      </c>
      <c r="C102" s="3" t="s">
        <v>2190</v>
      </c>
      <c r="D102" s="10" t="s">
        <v>2024</v>
      </c>
      <c r="E102" s="4" t="s">
        <v>1951</v>
      </c>
      <c r="F102" s="116" t="n">
        <v>0.1163007072</v>
      </c>
      <c r="G102" s="116" t="n">
        <v>0.22453612</v>
      </c>
      <c r="H102" s="116" t="n">
        <v>0.4437488512</v>
      </c>
      <c r="I102" s="10" t="s">
        <v>2195</v>
      </c>
      <c r="J102" s="10" t="s">
        <v>1946</v>
      </c>
    </row>
    <row r="103" customFormat="false" ht="15" hidden="false" customHeight="false" outlineLevel="0" collapsed="false">
      <c r="A103" s="4" t="s">
        <v>2196</v>
      </c>
      <c r="B103" s="4" t="s">
        <v>2189</v>
      </c>
      <c r="C103" s="3" t="s">
        <v>2190</v>
      </c>
      <c r="D103" s="10" t="s">
        <v>2024</v>
      </c>
      <c r="E103" s="4" t="s">
        <v>1954</v>
      </c>
      <c r="F103" s="116" t="n">
        <v>0.1304562096</v>
      </c>
      <c r="G103" s="116" t="n">
        <v>0.25128176</v>
      </c>
      <c r="H103" s="116" t="n">
        <v>0.4705886016</v>
      </c>
      <c r="I103" s="10" t="s">
        <v>2197</v>
      </c>
      <c r="J103" s="10" t="s">
        <v>1946</v>
      </c>
    </row>
    <row r="104" customFormat="false" ht="15" hidden="false" customHeight="false" outlineLevel="0" collapsed="false">
      <c r="A104" s="4" t="s">
        <v>2198</v>
      </c>
      <c r="B104" s="4" t="s">
        <v>2189</v>
      </c>
      <c r="C104" s="3" t="s">
        <v>2190</v>
      </c>
      <c r="D104" s="10" t="s">
        <v>2024</v>
      </c>
      <c r="E104" s="4" t="s">
        <v>1957</v>
      </c>
      <c r="F104" s="116" t="n">
        <v>0.138172734</v>
      </c>
      <c r="G104" s="116" t="n">
        <v>0.3137789</v>
      </c>
      <c r="H104" s="116" t="n">
        <v>0.653340464</v>
      </c>
      <c r="I104" s="10" t="s">
        <v>2199</v>
      </c>
      <c r="J104" s="10" t="s">
        <v>1946</v>
      </c>
    </row>
    <row r="105" customFormat="false" ht="15" hidden="false" customHeight="false" outlineLevel="0" collapsed="false">
      <c r="A105" s="4" t="s">
        <v>2200</v>
      </c>
      <c r="B105" s="4" t="s">
        <v>2201</v>
      </c>
      <c r="C105" s="3" t="s">
        <v>2202</v>
      </c>
      <c r="D105" s="10" t="s">
        <v>2024</v>
      </c>
      <c r="E105" s="4" t="s">
        <v>1944</v>
      </c>
      <c r="F105" s="116" t="n">
        <v>1.11222553908253</v>
      </c>
      <c r="G105" s="116" t="n">
        <v>1.88466748019734</v>
      </c>
      <c r="H105" s="116" t="n">
        <v>2.8646513532112</v>
      </c>
      <c r="I105" s="10" t="s">
        <v>2203</v>
      </c>
      <c r="J105" s="10" t="s">
        <v>1946</v>
      </c>
    </row>
    <row r="106" customFormat="false" ht="15" hidden="false" customHeight="false" outlineLevel="0" collapsed="false">
      <c r="A106" s="4" t="s">
        <v>2204</v>
      </c>
      <c r="B106" s="4" t="s">
        <v>2201</v>
      </c>
      <c r="C106" s="3" t="s">
        <v>2202</v>
      </c>
      <c r="D106" s="10" t="s">
        <v>2024</v>
      </c>
      <c r="E106" s="4" t="s">
        <v>1948</v>
      </c>
      <c r="F106" s="116" t="n">
        <v>1.10188330451562</v>
      </c>
      <c r="G106" s="116" t="n">
        <v>1.812232738713</v>
      </c>
      <c r="H106" s="116" t="n">
        <v>2.69481414737547</v>
      </c>
      <c r="I106" s="10" t="s">
        <v>2205</v>
      </c>
      <c r="J106" s="10" t="s">
        <v>1946</v>
      </c>
    </row>
    <row r="107" customFormat="false" ht="15" hidden="false" customHeight="false" outlineLevel="0" collapsed="false">
      <c r="A107" s="4" t="s">
        <v>2206</v>
      </c>
      <c r="B107" s="4" t="s">
        <v>2201</v>
      </c>
      <c r="C107" s="3" t="s">
        <v>2202</v>
      </c>
      <c r="D107" s="10" t="s">
        <v>2024</v>
      </c>
      <c r="E107" s="4" t="s">
        <v>1951</v>
      </c>
      <c r="F107" s="116" t="n">
        <v>1.20671911367581</v>
      </c>
      <c r="G107" s="116" t="n">
        <v>1.98263481314457</v>
      </c>
      <c r="H107" s="116" t="n">
        <v>3.00013873514752</v>
      </c>
      <c r="I107" s="10" t="s">
        <v>2207</v>
      </c>
      <c r="J107" s="10" t="s">
        <v>1946</v>
      </c>
    </row>
    <row r="108" customFormat="false" ht="15" hidden="false" customHeight="false" outlineLevel="0" collapsed="false">
      <c r="A108" s="4" t="s">
        <v>2208</v>
      </c>
      <c r="B108" s="4" t="s">
        <v>2201</v>
      </c>
      <c r="C108" s="3" t="s">
        <v>2202</v>
      </c>
      <c r="D108" s="10" t="s">
        <v>2024</v>
      </c>
      <c r="E108" s="4" t="s">
        <v>1954</v>
      </c>
      <c r="F108" s="116" t="n">
        <v>1.26921258843664</v>
      </c>
      <c r="G108" s="116" t="n">
        <v>2.09349554831403</v>
      </c>
      <c r="H108" s="116" t="n">
        <v>3.08819917750912</v>
      </c>
      <c r="I108" s="10" t="s">
        <v>2209</v>
      </c>
      <c r="J108" s="10" t="s">
        <v>1946</v>
      </c>
    </row>
    <row r="109" customFormat="false" ht="15" hidden="false" customHeight="false" outlineLevel="0" collapsed="false">
      <c r="A109" s="4" t="s">
        <v>2210</v>
      </c>
      <c r="B109" s="4" t="s">
        <v>2201</v>
      </c>
      <c r="C109" s="3" t="s">
        <v>2202</v>
      </c>
      <c r="D109" s="10" t="s">
        <v>2024</v>
      </c>
      <c r="E109" s="4" t="s">
        <v>1957</v>
      </c>
      <c r="F109" s="116" t="n">
        <v>1.30327937103509</v>
      </c>
      <c r="G109" s="116" t="n">
        <v>2.35254632767053</v>
      </c>
      <c r="H109" s="116" t="n">
        <v>3.68780273586978</v>
      </c>
      <c r="I109" s="10" t="s">
        <v>2211</v>
      </c>
      <c r="J109" s="10" t="s">
        <v>1946</v>
      </c>
    </row>
    <row r="110" customFormat="false" ht="15" hidden="false" customHeight="false" outlineLevel="0" collapsed="false">
      <c r="A110" s="4" t="s">
        <v>2212</v>
      </c>
      <c r="B110" s="4" t="s">
        <v>1091</v>
      </c>
      <c r="C110" s="3" t="s">
        <v>2213</v>
      </c>
      <c r="D110" s="10" t="s">
        <v>2024</v>
      </c>
      <c r="E110" s="4" t="s">
        <v>1944</v>
      </c>
      <c r="F110" s="116" t="n">
        <v>6.68304023377571</v>
      </c>
      <c r="G110" s="116" t="n">
        <v>6.68304023377571</v>
      </c>
      <c r="H110" s="116" t="n">
        <v>6.68304023377571</v>
      </c>
      <c r="I110" s="10" t="s">
        <v>2214</v>
      </c>
      <c r="J110" s="10" t="s">
        <v>1946</v>
      </c>
    </row>
    <row r="111" customFormat="false" ht="15" hidden="false" customHeight="false" outlineLevel="0" collapsed="false">
      <c r="A111" s="4" t="s">
        <v>2215</v>
      </c>
      <c r="B111" s="4" t="s">
        <v>1091</v>
      </c>
      <c r="C111" s="3" t="s">
        <v>2213</v>
      </c>
      <c r="D111" s="10" t="s">
        <v>2024</v>
      </c>
      <c r="E111" s="4" t="s">
        <v>1948</v>
      </c>
      <c r="F111" s="116" t="n">
        <v>32.8855044002063</v>
      </c>
      <c r="G111" s="116" t="n">
        <v>32.8855044002063</v>
      </c>
      <c r="H111" s="116" t="n">
        <v>32.8855044002063</v>
      </c>
      <c r="I111" s="10" t="s">
        <v>2216</v>
      </c>
      <c r="J111" s="10" t="s">
        <v>1946</v>
      </c>
    </row>
    <row r="112" customFormat="false" ht="15" hidden="false" customHeight="false" outlineLevel="0" collapsed="false">
      <c r="A112" s="4" t="s">
        <v>2217</v>
      </c>
      <c r="B112" s="4" t="s">
        <v>1091</v>
      </c>
      <c r="C112" s="3" t="s">
        <v>2213</v>
      </c>
      <c r="D112" s="10" t="s">
        <v>2024</v>
      </c>
      <c r="E112" s="4" t="s">
        <v>1951</v>
      </c>
      <c r="F112" s="116" t="n">
        <v>40.1114652107936</v>
      </c>
      <c r="G112" s="116" t="n">
        <v>40.1114652107936</v>
      </c>
      <c r="H112" s="116" t="n">
        <v>40.1114652107936</v>
      </c>
      <c r="I112" s="10" t="s">
        <v>2218</v>
      </c>
      <c r="J112" s="10" t="s">
        <v>1946</v>
      </c>
    </row>
    <row r="113" customFormat="false" ht="15" hidden="false" customHeight="false" outlineLevel="0" collapsed="false">
      <c r="A113" s="4" t="s">
        <v>2219</v>
      </c>
      <c r="B113" s="4" t="s">
        <v>1091</v>
      </c>
      <c r="C113" s="3" t="s">
        <v>2213</v>
      </c>
      <c r="D113" s="10" t="s">
        <v>2024</v>
      </c>
      <c r="E113" s="4" t="s">
        <v>1954</v>
      </c>
      <c r="F113" s="116" t="n">
        <v>65.9628389770872</v>
      </c>
      <c r="G113" s="116" t="n">
        <v>65.9628389770872</v>
      </c>
      <c r="H113" s="116" t="n">
        <v>65.9628389770872</v>
      </c>
      <c r="I113" s="10" t="s">
        <v>2220</v>
      </c>
      <c r="J113" s="10" t="s">
        <v>1946</v>
      </c>
    </row>
    <row r="114" customFormat="false" ht="15" hidden="false" customHeight="false" outlineLevel="0" collapsed="false">
      <c r="A114" s="4" t="s">
        <v>2221</v>
      </c>
      <c r="B114" s="4" t="s">
        <v>1091</v>
      </c>
      <c r="C114" s="3" t="s">
        <v>2213</v>
      </c>
      <c r="D114" s="10" t="s">
        <v>2024</v>
      </c>
      <c r="E114" s="4" t="s">
        <v>1957</v>
      </c>
      <c r="F114" s="116" t="n">
        <v>91.6051270761894</v>
      </c>
      <c r="G114" s="116" t="n">
        <v>91.6051270761894</v>
      </c>
      <c r="H114" s="116" t="n">
        <v>91.6051270761894</v>
      </c>
      <c r="I114" s="10" t="s">
        <v>2222</v>
      </c>
      <c r="J114" s="10" t="s">
        <v>1946</v>
      </c>
    </row>
    <row r="115" customFormat="false" ht="15" hidden="false" customHeight="false" outlineLevel="0" collapsed="false">
      <c r="A115" s="4" t="s">
        <v>2223</v>
      </c>
      <c r="B115" s="4" t="s">
        <v>2224</v>
      </c>
      <c r="C115" s="3" t="s">
        <v>2225</v>
      </c>
      <c r="D115" s="10" t="s">
        <v>2024</v>
      </c>
      <c r="E115" s="4" t="s">
        <v>1944</v>
      </c>
      <c r="F115" s="116" t="n">
        <v>11.1384003896262</v>
      </c>
      <c r="G115" s="116" t="n">
        <v>11.1384003896262</v>
      </c>
      <c r="H115" s="116" t="n">
        <v>11.1384003896262</v>
      </c>
      <c r="I115" s="10" t="s">
        <v>2226</v>
      </c>
      <c r="J115" s="10" t="s">
        <v>1946</v>
      </c>
    </row>
    <row r="116" customFormat="false" ht="15" hidden="false" customHeight="false" outlineLevel="0" collapsed="false">
      <c r="A116" s="4" t="s">
        <v>2227</v>
      </c>
      <c r="B116" s="4" t="s">
        <v>2224</v>
      </c>
      <c r="C116" s="3" t="s">
        <v>2225</v>
      </c>
      <c r="D116" s="10" t="s">
        <v>2024</v>
      </c>
      <c r="E116" s="4" t="s">
        <v>1948</v>
      </c>
      <c r="F116" s="116" t="n">
        <v>54.8091740003439</v>
      </c>
      <c r="G116" s="116" t="n">
        <v>54.8091740003439</v>
      </c>
      <c r="H116" s="116" t="n">
        <v>54.8091740003439</v>
      </c>
      <c r="I116" s="10" t="s">
        <v>2228</v>
      </c>
      <c r="J116" s="10" t="s">
        <v>1946</v>
      </c>
    </row>
    <row r="117" customFormat="false" ht="15" hidden="false" customHeight="false" outlineLevel="0" collapsed="false">
      <c r="A117" s="4" t="s">
        <v>2229</v>
      </c>
      <c r="B117" s="4" t="s">
        <v>2224</v>
      </c>
      <c r="C117" s="3" t="s">
        <v>2225</v>
      </c>
      <c r="D117" s="10" t="s">
        <v>2024</v>
      </c>
      <c r="E117" s="4" t="s">
        <v>1951</v>
      </c>
      <c r="F117" s="116" t="n">
        <v>66.8524420179894</v>
      </c>
      <c r="G117" s="116" t="n">
        <v>66.8524420179894</v>
      </c>
      <c r="H117" s="116" t="n">
        <v>66.8524420179894</v>
      </c>
      <c r="I117" s="10" t="s">
        <v>2230</v>
      </c>
      <c r="J117" s="10" t="s">
        <v>1946</v>
      </c>
    </row>
    <row r="118" customFormat="false" ht="15" hidden="false" customHeight="false" outlineLevel="0" collapsed="false">
      <c r="A118" s="4" t="s">
        <v>2231</v>
      </c>
      <c r="B118" s="4" t="s">
        <v>2224</v>
      </c>
      <c r="C118" s="3" t="s">
        <v>2225</v>
      </c>
      <c r="D118" s="10" t="s">
        <v>2024</v>
      </c>
      <c r="E118" s="4" t="s">
        <v>1954</v>
      </c>
      <c r="F118" s="116" t="n">
        <v>109.938064961812</v>
      </c>
      <c r="G118" s="116" t="n">
        <v>109.938064961812</v>
      </c>
      <c r="H118" s="116" t="n">
        <v>109.938064961812</v>
      </c>
      <c r="I118" s="10" t="s">
        <v>2232</v>
      </c>
      <c r="J118" s="10" t="s">
        <v>1946</v>
      </c>
    </row>
    <row r="119" customFormat="false" ht="15" hidden="false" customHeight="false" outlineLevel="0" collapsed="false">
      <c r="A119" s="4" t="s">
        <v>2233</v>
      </c>
      <c r="B119" s="4" t="s">
        <v>2224</v>
      </c>
      <c r="C119" s="3" t="s">
        <v>2225</v>
      </c>
      <c r="D119" s="10" t="s">
        <v>2024</v>
      </c>
      <c r="E119" s="4" t="s">
        <v>1957</v>
      </c>
      <c r="F119" s="116" t="n">
        <v>152.675211793649</v>
      </c>
      <c r="G119" s="116" t="n">
        <v>152.675211793649</v>
      </c>
      <c r="H119" s="116" t="n">
        <v>152.675211793649</v>
      </c>
      <c r="I119" s="10" t="s">
        <v>2234</v>
      </c>
      <c r="J119" s="10" t="s">
        <v>1946</v>
      </c>
    </row>
    <row r="120" customFormat="false" ht="15" hidden="false" customHeight="false" outlineLevel="0" collapsed="false">
      <c r="A120" s="4" t="s">
        <v>2235</v>
      </c>
      <c r="B120" s="4" t="s">
        <v>2236</v>
      </c>
      <c r="C120" s="3" t="s">
        <v>2237</v>
      </c>
      <c r="D120" s="10" t="s">
        <v>2024</v>
      </c>
      <c r="E120" s="4" t="s">
        <v>1944</v>
      </c>
      <c r="F120" s="116" t="n">
        <v>6.68304023377571</v>
      </c>
      <c r="G120" s="116" t="n">
        <v>6.68304023377571</v>
      </c>
      <c r="H120" s="116" t="n">
        <v>6.68304023377571</v>
      </c>
      <c r="I120" s="10" t="s">
        <v>2238</v>
      </c>
      <c r="J120" s="10" t="s">
        <v>1946</v>
      </c>
    </row>
    <row r="121" customFormat="false" ht="15" hidden="false" customHeight="false" outlineLevel="0" collapsed="false">
      <c r="A121" s="4" t="s">
        <v>2239</v>
      </c>
      <c r="B121" s="4" t="s">
        <v>2236</v>
      </c>
      <c r="C121" s="3" t="s">
        <v>2237</v>
      </c>
      <c r="D121" s="10" t="s">
        <v>2024</v>
      </c>
      <c r="E121" s="4" t="s">
        <v>1948</v>
      </c>
      <c r="F121" s="116" t="n">
        <v>32.8855044002063</v>
      </c>
      <c r="G121" s="116" t="n">
        <v>32.8855044002063</v>
      </c>
      <c r="H121" s="116" t="n">
        <v>32.8855044002063</v>
      </c>
      <c r="I121" s="10" t="s">
        <v>2240</v>
      </c>
      <c r="J121" s="10" t="s">
        <v>1946</v>
      </c>
    </row>
    <row r="122" customFormat="false" ht="15" hidden="false" customHeight="false" outlineLevel="0" collapsed="false">
      <c r="A122" s="4" t="s">
        <v>2241</v>
      </c>
      <c r="B122" s="4" t="s">
        <v>2236</v>
      </c>
      <c r="C122" s="3" t="s">
        <v>2237</v>
      </c>
      <c r="D122" s="10" t="s">
        <v>2024</v>
      </c>
      <c r="E122" s="4" t="s">
        <v>1951</v>
      </c>
      <c r="F122" s="116" t="n">
        <v>40.1114652107936</v>
      </c>
      <c r="G122" s="116" t="n">
        <v>40.1114652107936</v>
      </c>
      <c r="H122" s="116" t="n">
        <v>40.1114652107936</v>
      </c>
      <c r="I122" s="10" t="s">
        <v>2242</v>
      </c>
      <c r="J122" s="10" t="s">
        <v>1946</v>
      </c>
    </row>
    <row r="123" customFormat="false" ht="15" hidden="false" customHeight="false" outlineLevel="0" collapsed="false">
      <c r="A123" s="4" t="s">
        <v>2243</v>
      </c>
      <c r="B123" s="4" t="s">
        <v>2236</v>
      </c>
      <c r="C123" s="3" t="s">
        <v>2237</v>
      </c>
      <c r="D123" s="10" t="s">
        <v>2024</v>
      </c>
      <c r="E123" s="4" t="s">
        <v>1954</v>
      </c>
      <c r="F123" s="116" t="n">
        <v>65.9628389770872</v>
      </c>
      <c r="G123" s="116" t="n">
        <v>65.9628389770872</v>
      </c>
      <c r="H123" s="116" t="n">
        <v>65.9628389770872</v>
      </c>
      <c r="I123" s="10" t="s">
        <v>2244</v>
      </c>
      <c r="J123" s="10" t="s">
        <v>1946</v>
      </c>
    </row>
    <row r="124" customFormat="false" ht="15" hidden="false" customHeight="false" outlineLevel="0" collapsed="false">
      <c r="A124" s="4" t="s">
        <v>2245</v>
      </c>
      <c r="B124" s="4" t="s">
        <v>2236</v>
      </c>
      <c r="C124" s="3" t="s">
        <v>2237</v>
      </c>
      <c r="D124" s="10" t="s">
        <v>2024</v>
      </c>
      <c r="E124" s="4" t="s">
        <v>1957</v>
      </c>
      <c r="F124" s="116" t="n">
        <v>91.6051270761894</v>
      </c>
      <c r="G124" s="116" t="n">
        <v>91.6051270761894</v>
      </c>
      <c r="H124" s="116" t="n">
        <v>91.6051270761894</v>
      </c>
      <c r="I124" s="10" t="s">
        <v>2246</v>
      </c>
      <c r="J124" s="10" t="s">
        <v>1946</v>
      </c>
    </row>
    <row r="125" customFormat="false" ht="15" hidden="false" customHeight="false" outlineLevel="0" collapsed="false">
      <c r="A125" s="4" t="s">
        <v>2247</v>
      </c>
      <c r="B125" s="4" t="s">
        <v>2248</v>
      </c>
      <c r="C125" s="3" t="s">
        <v>2249</v>
      </c>
      <c r="D125" s="10" t="s">
        <v>2024</v>
      </c>
      <c r="E125" s="4" t="s">
        <v>1944</v>
      </c>
      <c r="F125" s="116" t="n">
        <v>5.01848956376868</v>
      </c>
      <c r="G125" s="116" t="n">
        <v>5.01848956376868</v>
      </c>
      <c r="H125" s="116" t="n">
        <v>5.01848956376868</v>
      </c>
      <c r="I125" s="10" t="s">
        <v>2250</v>
      </c>
      <c r="J125" s="10" t="s">
        <v>1946</v>
      </c>
    </row>
    <row r="126" customFormat="false" ht="15" hidden="false" customHeight="false" outlineLevel="0" collapsed="false">
      <c r="A126" s="4" t="s">
        <v>2251</v>
      </c>
      <c r="B126" s="4" t="s">
        <v>2248</v>
      </c>
      <c r="C126" s="3" t="s">
        <v>2249</v>
      </c>
      <c r="D126" s="10" t="s">
        <v>2024</v>
      </c>
      <c r="E126" s="4" t="s">
        <v>1948</v>
      </c>
      <c r="F126" s="116" t="n">
        <v>26.277375674595</v>
      </c>
      <c r="G126" s="116" t="n">
        <v>26.277375674595</v>
      </c>
      <c r="H126" s="116" t="n">
        <v>26.277375674595</v>
      </c>
      <c r="I126" s="10" t="s">
        <v>2252</v>
      </c>
      <c r="J126" s="10" t="s">
        <v>1946</v>
      </c>
    </row>
    <row r="127" customFormat="false" ht="15" hidden="false" customHeight="false" outlineLevel="0" collapsed="false">
      <c r="A127" s="4" t="s">
        <v>2253</v>
      </c>
      <c r="B127" s="4" t="s">
        <v>2248</v>
      </c>
      <c r="C127" s="3" t="s">
        <v>2249</v>
      </c>
      <c r="D127" s="10" t="s">
        <v>2024</v>
      </c>
      <c r="E127" s="4" t="s">
        <v>1951</v>
      </c>
      <c r="F127" s="116" t="n">
        <v>31.7743161074204</v>
      </c>
      <c r="G127" s="116" t="n">
        <v>31.7743161074204</v>
      </c>
      <c r="H127" s="116" t="n">
        <v>31.7743161074204</v>
      </c>
      <c r="I127" s="10" t="s">
        <v>2254</v>
      </c>
      <c r="J127" s="10" t="s">
        <v>1946</v>
      </c>
    </row>
    <row r="128" customFormat="false" ht="15" hidden="false" customHeight="false" outlineLevel="0" collapsed="false">
      <c r="A128" s="4" t="s">
        <v>2255</v>
      </c>
      <c r="B128" s="4" t="s">
        <v>2248</v>
      </c>
      <c r="C128" s="3" t="s">
        <v>2249</v>
      </c>
      <c r="D128" s="10" t="s">
        <v>2024</v>
      </c>
      <c r="E128" s="4" t="s">
        <v>1954</v>
      </c>
      <c r="F128" s="116" t="n">
        <v>53.1540686485926</v>
      </c>
      <c r="G128" s="116" t="n">
        <v>53.1540686485926</v>
      </c>
      <c r="H128" s="116" t="n">
        <v>53.1540686485926</v>
      </c>
      <c r="I128" s="10" t="s">
        <v>2256</v>
      </c>
      <c r="J128" s="10" t="s">
        <v>1946</v>
      </c>
    </row>
    <row r="129" customFormat="false" ht="15" hidden="false" customHeight="false" outlineLevel="0" collapsed="false">
      <c r="A129" s="4" t="s">
        <v>2257</v>
      </c>
      <c r="B129" s="4" t="s">
        <v>2248</v>
      </c>
      <c r="C129" s="3" t="s">
        <v>2249</v>
      </c>
      <c r="D129" s="10" t="s">
        <v>2024</v>
      </c>
      <c r="E129" s="4" t="s">
        <v>1957</v>
      </c>
      <c r="F129" s="116" t="n">
        <v>74.0683951910804</v>
      </c>
      <c r="G129" s="116" t="n">
        <v>74.0683951910804</v>
      </c>
      <c r="H129" s="116" t="n">
        <v>74.0683951910804</v>
      </c>
      <c r="I129" s="10" t="s">
        <v>2258</v>
      </c>
      <c r="J129" s="10" t="s">
        <v>1946</v>
      </c>
    </row>
    <row r="130" customFormat="false" ht="15" hidden="false" customHeight="false" outlineLevel="0" collapsed="false">
      <c r="A130" s="4" t="s">
        <v>2259</v>
      </c>
      <c r="B130" s="4" t="s">
        <v>2260</v>
      </c>
      <c r="C130" s="3" t="s">
        <v>2261</v>
      </c>
      <c r="D130" s="10" t="s">
        <v>2024</v>
      </c>
      <c r="E130" s="4" t="s">
        <v>1944</v>
      </c>
      <c r="F130" s="116" t="n">
        <v>5.01848956376868</v>
      </c>
      <c r="G130" s="116" t="n">
        <v>5.01848956376868</v>
      </c>
      <c r="H130" s="116" t="n">
        <v>5.01848956376868</v>
      </c>
      <c r="I130" s="10" t="s">
        <v>2262</v>
      </c>
      <c r="J130" s="10" t="s">
        <v>1946</v>
      </c>
    </row>
    <row r="131" customFormat="false" ht="15" hidden="false" customHeight="false" outlineLevel="0" collapsed="false">
      <c r="A131" s="4" t="s">
        <v>2263</v>
      </c>
      <c r="B131" s="4" t="s">
        <v>2260</v>
      </c>
      <c r="C131" s="3" t="s">
        <v>2261</v>
      </c>
      <c r="D131" s="10" t="s">
        <v>2024</v>
      </c>
      <c r="E131" s="4" t="s">
        <v>1948</v>
      </c>
      <c r="F131" s="116" t="n">
        <v>26.277375674595</v>
      </c>
      <c r="G131" s="116" t="n">
        <v>26.277375674595</v>
      </c>
      <c r="H131" s="116" t="n">
        <v>26.277375674595</v>
      </c>
      <c r="I131" s="10" t="s">
        <v>2264</v>
      </c>
      <c r="J131" s="10" t="s">
        <v>1946</v>
      </c>
    </row>
    <row r="132" customFormat="false" ht="15" hidden="false" customHeight="false" outlineLevel="0" collapsed="false">
      <c r="A132" s="4" t="s">
        <v>2265</v>
      </c>
      <c r="B132" s="4" t="s">
        <v>2260</v>
      </c>
      <c r="C132" s="3" t="s">
        <v>2261</v>
      </c>
      <c r="D132" s="10" t="s">
        <v>2024</v>
      </c>
      <c r="E132" s="4" t="s">
        <v>1951</v>
      </c>
      <c r="F132" s="116" t="n">
        <v>31.7743161074204</v>
      </c>
      <c r="G132" s="116" t="n">
        <v>31.7743161074204</v>
      </c>
      <c r="H132" s="116" t="n">
        <v>31.7743161074204</v>
      </c>
      <c r="I132" s="10" t="s">
        <v>2266</v>
      </c>
      <c r="J132" s="10" t="s">
        <v>1946</v>
      </c>
    </row>
    <row r="133" customFormat="false" ht="15" hidden="false" customHeight="false" outlineLevel="0" collapsed="false">
      <c r="A133" s="4" t="s">
        <v>2267</v>
      </c>
      <c r="B133" s="4" t="s">
        <v>2260</v>
      </c>
      <c r="C133" s="3" t="s">
        <v>2261</v>
      </c>
      <c r="D133" s="10" t="s">
        <v>2024</v>
      </c>
      <c r="E133" s="4" t="s">
        <v>1954</v>
      </c>
      <c r="F133" s="116" t="n">
        <v>53.1540686485926</v>
      </c>
      <c r="G133" s="116" t="n">
        <v>53.1540686485926</v>
      </c>
      <c r="H133" s="116" t="n">
        <v>53.1540686485926</v>
      </c>
      <c r="I133" s="10" t="s">
        <v>2268</v>
      </c>
      <c r="J133" s="10" t="s">
        <v>1946</v>
      </c>
    </row>
    <row r="134" customFormat="false" ht="15" hidden="false" customHeight="false" outlineLevel="0" collapsed="false">
      <c r="A134" s="4" t="s">
        <v>2269</v>
      </c>
      <c r="B134" s="4" t="s">
        <v>2260</v>
      </c>
      <c r="C134" s="3" t="s">
        <v>2261</v>
      </c>
      <c r="D134" s="10" t="s">
        <v>2024</v>
      </c>
      <c r="E134" s="4" t="s">
        <v>1957</v>
      </c>
      <c r="F134" s="116" t="n">
        <v>74.0683951910804</v>
      </c>
      <c r="G134" s="116" t="n">
        <v>74.0683951910804</v>
      </c>
      <c r="H134" s="116" t="n">
        <v>74.0683951910804</v>
      </c>
      <c r="I134" s="10" t="s">
        <v>2270</v>
      </c>
      <c r="J134" s="10" t="s">
        <v>1946</v>
      </c>
    </row>
    <row r="135" customFormat="false" ht="15" hidden="false" customHeight="false" outlineLevel="0" collapsed="false">
      <c r="A135" s="4" t="s">
        <v>2271</v>
      </c>
      <c r="B135" s="4" t="s">
        <v>2272</v>
      </c>
      <c r="C135" s="3" t="s">
        <v>2273</v>
      </c>
      <c r="D135" s="10" t="s">
        <v>2274</v>
      </c>
      <c r="E135" s="4" t="s">
        <v>1020</v>
      </c>
      <c r="F135" s="116" t="n">
        <v>6.79107465326444</v>
      </c>
      <c r="G135" s="116" t="n">
        <v>9.70308728611469</v>
      </c>
      <c r="H135" s="116" t="n">
        <v>16.6637697337026</v>
      </c>
      <c r="I135" s="10" t="s">
        <v>2275</v>
      </c>
      <c r="J135" s="10" t="s">
        <v>1946</v>
      </c>
    </row>
    <row r="136" customFormat="false" ht="15" hidden="false" customHeight="false" outlineLevel="0" collapsed="false">
      <c r="A136" s="4" t="s">
        <v>2276</v>
      </c>
      <c r="B136" s="4" t="s">
        <v>2277</v>
      </c>
      <c r="C136" s="3" t="s">
        <v>2278</v>
      </c>
      <c r="D136" s="10" t="s">
        <v>2274</v>
      </c>
      <c r="E136" s="4" t="s">
        <v>1020</v>
      </c>
      <c r="F136" s="116" t="n">
        <v>6.6118162762144</v>
      </c>
      <c r="G136" s="116" t="n">
        <v>8.82816556596761</v>
      </c>
      <c r="H136" s="116" t="n">
        <v>14.3185748619737</v>
      </c>
      <c r="I136" s="10" t="s">
        <v>2279</v>
      </c>
      <c r="J136" s="10" t="s">
        <v>1946</v>
      </c>
    </row>
    <row r="137" customFormat="false" ht="15" hidden="false" customHeight="false" outlineLevel="0" collapsed="false">
      <c r="A137" s="4" t="s">
        <v>2280</v>
      </c>
      <c r="B137" s="4" t="s">
        <v>2281</v>
      </c>
      <c r="C137" s="3" t="s">
        <v>2282</v>
      </c>
      <c r="D137" s="10" t="s">
        <v>2274</v>
      </c>
      <c r="E137" s="4" t="s">
        <v>1020</v>
      </c>
      <c r="F137" s="116" t="n">
        <v>8.42889912085495</v>
      </c>
      <c r="G137" s="116" t="n">
        <v>10.8864110021101</v>
      </c>
      <c r="H137" s="116" t="n">
        <v>18.5346455040469</v>
      </c>
      <c r="I137" s="10" t="s">
        <v>2283</v>
      </c>
      <c r="J137" s="10" t="s">
        <v>1946</v>
      </c>
    </row>
    <row r="138" customFormat="false" ht="15" hidden="false" customHeight="false" outlineLevel="0" collapsed="false">
      <c r="A138" s="4" t="s">
        <v>2284</v>
      </c>
      <c r="B138" s="4" t="s">
        <v>2285</v>
      </c>
      <c r="C138" s="3" t="s">
        <v>2286</v>
      </c>
      <c r="D138" s="10" t="s">
        <v>2274</v>
      </c>
      <c r="E138" s="4" t="s">
        <v>1020</v>
      </c>
      <c r="F138" s="116" t="n">
        <v>9.51207691858967</v>
      </c>
      <c r="G138" s="116" t="n">
        <v>12.2254710045841</v>
      </c>
      <c r="H138" s="116" t="n">
        <v>19.7506269894487</v>
      </c>
      <c r="I138" s="10" t="s">
        <v>2287</v>
      </c>
      <c r="J138" s="10" t="s">
        <v>1946</v>
      </c>
    </row>
    <row r="139" customFormat="false" ht="15" hidden="false" customHeight="false" outlineLevel="0" collapsed="false">
      <c r="A139" s="4" t="s">
        <v>2288</v>
      </c>
      <c r="B139" s="4" t="s">
        <v>2289</v>
      </c>
      <c r="C139" s="3" t="s">
        <v>2290</v>
      </c>
      <c r="D139" s="10" t="s">
        <v>102</v>
      </c>
      <c r="E139" s="4" t="s">
        <v>1020</v>
      </c>
      <c r="F139" s="116" t="n">
        <v>0.823341041860226</v>
      </c>
      <c r="G139" s="116" t="n">
        <v>1.50227667238619</v>
      </c>
      <c r="H139" s="116" t="n">
        <v>2.07173470422836</v>
      </c>
      <c r="I139" s="10" t="s">
        <v>2291</v>
      </c>
      <c r="J139" s="10" t="s">
        <v>1946</v>
      </c>
    </row>
    <row r="140" customFormat="false" ht="15" hidden="false" customHeight="false" outlineLevel="0" collapsed="false">
      <c r="A140" s="4" t="s">
        <v>2292</v>
      </c>
      <c r="B140" s="4" t="s">
        <v>2293</v>
      </c>
      <c r="C140" s="3" t="s">
        <v>2290</v>
      </c>
      <c r="D140" s="10" t="s">
        <v>102</v>
      </c>
      <c r="E140" s="4" t="s">
        <v>1020</v>
      </c>
      <c r="F140" s="116" t="n">
        <v>0.823341041860226</v>
      </c>
      <c r="G140" s="116" t="n">
        <v>0.823341041860226</v>
      </c>
      <c r="H140" s="116" t="n">
        <v>2.07173470422836</v>
      </c>
      <c r="I140" s="10" t="s">
        <v>2294</v>
      </c>
      <c r="J140" s="10" t="s">
        <v>1946</v>
      </c>
    </row>
    <row r="141" customFormat="false" ht="15" hidden="false" customHeight="false" outlineLevel="0" collapsed="false">
      <c r="A141" s="4" t="s">
        <v>2295</v>
      </c>
      <c r="B141" s="4" t="s">
        <v>2296</v>
      </c>
      <c r="C141" s="3" t="s">
        <v>2290</v>
      </c>
      <c r="D141" s="10" t="s">
        <v>102</v>
      </c>
      <c r="E141" s="4" t="s">
        <v>1020</v>
      </c>
      <c r="F141" s="116" t="n">
        <v>0.823341041860226</v>
      </c>
      <c r="G141" s="116" t="n">
        <v>2.07173470422836</v>
      </c>
      <c r="H141" s="116" t="n">
        <v>2.07173470422836</v>
      </c>
      <c r="I141" s="10" t="s">
        <v>2297</v>
      </c>
      <c r="J141" s="10" t="s">
        <v>1946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2026-10-21T14:19:41Z</dcterms:created>
  <dc:creator>openpyxl</dc:creator>
  <dc:description/>
  <dc:language>en-US</dc:language>
  <cp:lastModifiedBy/>
  <dcterms:modified xsi:type="dcterms:W3CDTF">2026-10-21T14:19:41Z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