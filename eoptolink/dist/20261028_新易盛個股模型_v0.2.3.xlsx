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eps_in" vbProcedure="false">In!$E$66</definedName>
    <definedName function="false" hidden="false" name="a25_gm_in" vbProcedure="false">In!$E$64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In!$E$65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In!$E$63</definedName>
    <definedName function="false" hidden="false" name="a25_sh" vbProcedure="false">Q!$B$12</definedName>
    <definedName function="false" hidden="false" name="a25_sh_in" vbProcedure="false">In!$E$67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In!$E$59</definedName>
    <definedName function="false" hidden="false" name="attr_hi" vbProcedure="false">In!$F$59</definedName>
    <definedName function="false" hidden="false" name="attr_lo" vbProcedure="false">In!$D$59</definedName>
    <definedName function="false" hidden="false" name="cons_eps26" vbProcedure="false">In!$E$76</definedName>
    <definedName function="false" hidden="false" name="cons_eps27" vbProcedure="false">In!$E$79</definedName>
    <definedName function="false" hidden="false" name="cons_eps28" vbProcedure="false">In!$E$82</definedName>
    <definedName function="false" hidden="false" name="cons_feps" vbProcedure="false">In!$E$109</definedName>
    <definedName function="false" hidden="false" name="cons_ni26" vbProcedure="false">In!$E$75</definedName>
    <definedName function="false" hidden="false" name="cons_ni27" vbProcedure="false">In!$E$78</definedName>
    <definedName function="false" hidden="false" name="cons_ni28" vbProcedure="false">In!$E$81</definedName>
    <definedName function="false" hidden="false" name="cons_rev26" vbProcedure="false">In!$E$74</definedName>
    <definedName function="false" hidden="false" name="cons_rev27" vbProcedure="false">In!$E$77</definedName>
    <definedName function="false" hidden="false" name="cons_rev28" vbProcedure="false">In!$E$80</definedName>
    <definedName function="false" hidden="false" name="cons_tp" vbProcedure="false">In!$E$108</definedName>
    <definedName function="false" hidden="false" name="CPHI_27" vbProcedure="false">In!$F$35</definedName>
    <definedName function="false" hidden="false" name="CPHI_28" vbProcedure="false">In!$F$36</definedName>
    <definedName function="false" hidden="false" name="CPHI_29" vbProcedure="false">In!$F$37</definedName>
    <definedName function="false" hidden="false" name="CPLO_27" vbProcedure="false">In!$D$35</definedName>
    <definedName function="false" hidden="false" name="CPLO_28" vbProcedure="false">In!$D$36</definedName>
    <definedName function="false" hidden="false" name="CPLO_29" vbProcedure="false">In!$D$37</definedName>
    <definedName function="false" hidden="false" name="cpo_27" vbProcedure="false">In!$E$35</definedName>
    <definedName function="false" hidden="false" name="cpo_27_hi" vbProcedure="false">In!$F$35</definedName>
    <definedName function="false" hidden="false" name="cpo_27_lo" vbProcedure="false">In!$D$35</definedName>
    <definedName function="false" hidden="false" name="cpo_28" vbProcedure="false">In!$E$36</definedName>
    <definedName function="false" hidden="false" name="cpo_28_hi" vbProcedure="false">In!$F$36</definedName>
    <definedName function="false" hidden="false" name="cpo_28_lo" vbProcedure="false">In!$D$36</definedName>
    <definedName function="false" hidden="false" name="cpo_29" vbProcedure="false">In!$E$37</definedName>
    <definedName function="false" hidden="false" name="cpo_29_hi" vbProcedure="false">In!$F$37</definedName>
    <definedName function="false" hidden="false" name="cpo_29_lo" vbProcedure="false">In!$D$37</definedName>
    <definedName function="false" hidden="false" name="fade_gA" vbProcedure="false">In!$E$102</definedName>
    <definedName function="false" hidden="false" name="fade_gB" vbProcedure="false">In!$E$103</definedName>
    <definedName function="false" hidden="false" name="fade_gC" vbProcedure="false">In!$E$104</definedName>
    <definedName function="false" hidden="false" name="fade_mA" vbProcedure="false">In!$E$105</definedName>
    <definedName function="false" hidden="false" name="fade_mB" vbProcedure="false">In!$E$106</definedName>
    <definedName function="false" hidden="false" name="fade_mC" vbProcedure="false">In!$E$107</definedName>
    <definedName function="false" hidden="false" name="fx" vbProcedure="false">In!$E$41</definedName>
    <definedName function="false" hidden="false" name="fx_hi" vbProcedure="false">In!$F$41</definedName>
    <definedName function="false" hidden="false" name="fx_lo" vbProcedure="false">In!$D$41</definedName>
    <definedName function="false" hidden="false" name="GMHI_27" vbProcedure="false">In!$F$47</definedName>
    <definedName function="false" hidden="false" name="GMHI_28" vbProcedure="false">In!$F$48</definedName>
    <definedName function="false" hidden="false" name="GMHI_29" vbProcedure="false">In!$F$49</definedName>
    <definedName function="false" hidden="false" name="GMLO_27" vbProcedure="false">In!$D$47</definedName>
    <definedName function="false" hidden="false" name="GMLO_28" vbProcedure="false">In!$D$48</definedName>
    <definedName function="false" hidden="false" name="GMLO_29" vbProcedure="false">In!$D$49</definedName>
    <definedName function="false" hidden="false" name="gm_27" vbProcedure="false">In!$E$47</definedName>
    <definedName function="false" hidden="false" name="gm_27_hi" vbProcedure="false">In!$F$47</definedName>
    <definedName function="false" hidden="false" name="gm_27_lo" vbProcedure="false">In!$D$47</definedName>
    <definedName function="false" hidden="false" name="gm_28" vbProcedure="false">In!$E$48</definedName>
    <definedName function="false" hidden="false" name="gm_28_hi" vbProcedure="false">In!$F$48</definedName>
    <definedName function="false" hidden="false" name="gm_28_lo" vbProcedure="false">In!$D$48</definedName>
    <definedName function="false" hidden="false" name="gm_29" vbProcedure="false">In!$E$49</definedName>
    <definedName function="false" hidden="false" name="gm_29_hi" vbProcedure="false">In!$F$49</definedName>
    <definedName function="false" hidden="false" name="gm_29_lo" vbProcedure="false">In!$D$49</definedName>
    <definedName function="false" hidden="false" name="gm_h2" vbProcedure="false">In!$E$46</definedName>
    <definedName function="false" hidden="false" name="gm_h2_hi" vbProcedure="false">In!$F$46</definedName>
    <definedName function="false" hidden="false" name="gm_h2_lo" vbProcedure="false">In!$D$46</definedName>
    <definedName function="false" hidden="false" name="gs_ni26" vbProcedure="false">In!$E$83</definedName>
    <definedName function="false" hidden="false" name="gs_ni27" vbProcedure="false">In!$E$84</definedName>
    <definedName function="false" hidden="false" name="gs_ni28" vbProcedure="false">In!$E$85</definedName>
    <definedName function="false" hidden="false" name="gs_tp" vbProcedure="false">In!$E$86</definedName>
    <definedName function="false" hidden="false" name="g_oth" vbProcedure="false">In!$E$44</definedName>
    <definedName function="false" hidden="false" name="g_oth_hi" vbProcedure="false">In!$F$44</definedName>
    <definedName function="false" hidden="false" name="g_oth_lo" vbProcedure="false">In!$D$44</definedName>
    <definedName function="false" hidden="false" name="h1_eps" vbProcedure="false">In!$E$54</definedName>
    <definedName function="false" hidden="false" name="h1_gm" vbProcedure="false">In!$E$52</definedName>
    <definedName function="false" hidden="false" name="h1_ni" vbProcedure="false">In!$E$53</definedName>
    <definedName function="false" hidden="false" name="h1_rev" vbProcedure="false">In!$E$51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l_aiu26" vbProcedure="false">In!$E$21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In!$E$88</definedName>
    <definedName function="false" hidden="false" name="mcpB_26" vbProcedure="false">In!$E$120</definedName>
    <definedName function="false" hidden="false" name="mcpB_27" vbProcedure="false">In!$E$121</definedName>
    <definedName function="false" hidden="false" name="mcpB_28" vbProcedure="false">In!$E$122</definedName>
    <definedName function="false" hidden="false" name="mcpB_29" vbProcedure="false">In!$E$123</definedName>
    <definedName function="false" hidden="false" name="mcpC_26" vbProcedure="false">In!$E$124</definedName>
    <definedName function="false" hidden="false" name="mcpC_27" vbProcedure="false">In!$E$125</definedName>
    <definedName function="false" hidden="false" name="mcpC_28" vbProcedure="false">In!$E$126</definedName>
    <definedName function="false" hidden="false" name="mcpC_29" vbProcedure="false">In!$E$127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In!$E$72</definedName>
    <definedName function="false" hidden="false" name="mf_hi" vbProcedure="false">In!$F$72</definedName>
    <definedName function="false" hidden="false" name="mf_lo" vbProcedure="false">In!$D$72</definedName>
    <definedName function="false" hidden="false" name="mplB_26" vbProcedure="false">In!$E$112</definedName>
    <definedName function="false" hidden="false" name="mplB_27" vbProcedure="false">In!$E$113</definedName>
    <definedName function="false" hidden="false" name="mplB_28" vbProcedure="false">In!$E$114</definedName>
    <definedName function="false" hidden="false" name="mplB_29" vbProcedure="false">In!$E$115</definedName>
    <definedName function="false" hidden="false" name="mplC_26" vbProcedure="false">In!$E$116</definedName>
    <definedName function="false" hidden="false" name="mplC_27" vbProcedure="false">In!$E$117</definedName>
    <definedName function="false" hidden="false" name="mplC_28" vbProcedure="false">In!$E$118</definedName>
    <definedName function="false" hidden="false" name="mplC_29" vbProcedure="false">In!$E$119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In!$E$70</definedName>
    <definedName function="false" hidden="false" name="opx_adj_hi" vbProcedure="false">In!$F$70</definedName>
    <definedName function="false" hidden="false" name="opx_adj_lo" vbProcedure="false">In!$D$70</definedName>
    <definedName function="false" hidden="false" name="opx_h2" vbProcedure="false">In!$E$57</definedName>
    <definedName function="false" hidden="false" name="opx_h2_hi" vbProcedure="false">In!$F$57</definedName>
    <definedName function="false" hidden="false" name="opx_h2_lo" vbProcedure="false">In!$D$57</definedName>
    <definedName function="false" hidden="false" name="oth_s" vbProcedure="false">In!$E$43</definedName>
    <definedName function="false" hidden="false" name="oth_s_hi" vbProcedure="false">In!$F$43</definedName>
    <definedName function="false" hidden="false" name="oth_s_lo" vbProcedure="false">In!$D$43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In!$E$69</definedName>
    <definedName function="false" hidden="false" name="phi_hi" vbProcedure="false">In!$F$69</definedName>
    <definedName function="false" hidden="false" name="phi_lo" vbProcedure="false">In!$D$69</definedName>
    <definedName function="false" hidden="false" name="px" vbProcedure="false">In!$E$91</definedName>
    <definedName function="false" hidden="false" name="PXLO_27" vbProcedure="false">In!$D$38</definedName>
    <definedName function="false" hidden="false" name="PXLO_28" vbProcedure="false">In!$D$39</definedName>
    <definedName function="false" hidden="false" name="PXLO_29" vbProcedure="false">In!$D$40</definedName>
    <definedName function="false" hidden="false" name="pxr_27" vbProcedure="false">In!$E$38</definedName>
    <definedName function="false" hidden="false" name="pxr_27_hi" vbProcedure="false">In!$F$38</definedName>
    <definedName function="false" hidden="false" name="pxr_27_lo" vbProcedure="false">In!$D$38</definedName>
    <definedName function="false" hidden="false" name="pxr_28" vbProcedure="false">In!$E$39</definedName>
    <definedName function="false" hidden="false" name="pxr_28_hi" vbProcedure="false">In!$F$39</definedName>
    <definedName function="false" hidden="false" name="pxr_28_lo" vbProcedure="false">In!$D$39</definedName>
    <definedName function="false" hidden="false" name="pxr_29" vbProcedure="false">In!$E$40</definedName>
    <definedName function="false" hidden="false" name="pxr_29_hi" vbProcedure="false">In!$F$40</definedName>
    <definedName function="false" hidden="false" name="pxr_29_lo" vbProcedure="false">In!$D$40</definedName>
    <definedName function="false" hidden="false" name="px_0930" vbProcedure="false">In!$E$93</definedName>
    <definedName function="false" hidden="false" name="px_hi" vbProcedure="false">In!$E$92</definedName>
    <definedName function="false" hidden="false" name="q1_rev" vbProcedure="false">In!$E$55</definedName>
    <definedName function="false" hidden="false" name="q3_cons_rev" vbProcedure="false">In!$E$87</definedName>
    <definedName function="false" hidden="false" name="q_g" vbProcedure="false">In!$E$56</definedName>
    <definedName function="false" hidden="false" name="q_g_hi" vbProcedure="false">In!$F$56</definedName>
    <definedName function="false" hidden="false" name="q_g_lo" vbProcedure="false">In!$D$56</definedName>
    <definedName function="false" hidden="false" name="q_sh_h1" vbProcedure="false">In!$E$61</definedName>
    <definedName function="false" hidden="false" name="rel_27" vbProcedure="false">In!$E$29</definedName>
    <definedName function="false" hidden="false" name="rel_27_hi" vbProcedure="false">In!$F$29</definedName>
    <definedName function="false" hidden="false" name="rel_27_lo" vbProcedure="false">In!$D$29</definedName>
    <definedName function="false" hidden="false" name="rel_28" vbProcedure="false">In!$E$30</definedName>
    <definedName function="false" hidden="false" name="rel_28_hi" vbProcedure="false">In!$F$30</definedName>
    <definedName function="false" hidden="false" name="rel_28_lo" vbProcedure="false">In!$D$30</definedName>
    <definedName function="false" hidden="false" name="rel_29" vbProcedure="false">In!$E$31</definedName>
    <definedName function="false" hidden="false" name="rel_29_hi" vbProcedure="false">In!$F$31</definedName>
    <definedName function="false" hidden="false" name="rel_29_lo" vbProcedure="false">In!$D$31</definedName>
    <definedName function="false" hidden="false" name="RHI_27" vbProcedure="false">In!$F$29</definedName>
    <definedName function="false" hidden="false" name="RHI_28" vbProcedure="false">In!$F$30</definedName>
    <definedName function="false" hidden="false" name="RHI_29" vbProcedure="false">In!$F$31</definedName>
    <definedName function="false" hidden="false" name="RLO_27" vbProcedure="false">In!$D$29</definedName>
    <definedName function="false" hidden="false" name="RLO_28" vbProcedure="false">In!$D$30</definedName>
    <definedName function="false" hidden="false" name="RLO_29" vbProcedure="false">In!$D$31</definedName>
    <definedName function="false" hidden="false" name="rm_factor" vbProcedure="false">Val!$B$146</definedName>
    <definedName function="false" hidden="false" name="sh_g" vbProcedure="false">In!$E$71</definedName>
    <definedName function="false" hidden="false" name="sh_g_hi" vbProcedure="false">In!$F$71</definedName>
    <definedName function="false" hidden="false" name="sh_g_lo" vbProcedure="false">In!$D$71</definedName>
    <definedName function="false" hidden="false" name="sh_post" vbProcedure="false">In!$E$60</definedName>
    <definedName function="false" hidden="false" name="tp_avg90" vbProcedure="false">In!$E$89</definedName>
    <definedName function="false" hidden="false" name="tp_comp_adj" vbProcedure="false">Val!$B$147</definedName>
    <definedName function="false" hidden="false" name="tp_g" vbProcedure="false">In!$E$99</definedName>
    <definedName function="false" hidden="false" name="tp_r" vbProcedure="false">In!$E$98</definedName>
    <definedName function="false" hidden="false" name="tp_roe" vbProcedure="false">In!$E$100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tp_w_dcf" vbProcedure="false">In!$E$101</definedName>
    <definedName function="false" hidden="false" name="tx" vbProcedure="false">In!$E$58</definedName>
    <definedName function="false" hidden="false" name="tx_hi" vbProcedure="false">In!$F$58</definedName>
    <definedName function="false" hidden="false" name="tx_lo" vbProcedure="false">In!$D$58</definedName>
    <definedName function="false" hidden="false" name="um28_A" vbProcedure="false">In!$E$22</definedName>
    <definedName function="false" hidden="false" name="um28_B" vbProcedure="false">In!$E$24</definedName>
    <definedName function="false" hidden="false" name="um28_C" vbProcedure="false">In!$E$26</definedName>
    <definedName function="false" hidden="false" name="um29_A" vbProcedure="false">In!$E$23</definedName>
    <definedName function="false" hidden="false" name="um29_B" vbProcedure="false">In!$E$25</definedName>
    <definedName function="false" hidden="false" name="um29_C" vbProcedure="false">In!$E$27</definedName>
    <definedName function="false" hidden="false" name="us_27" vbProcedure="false">In!$E$32</definedName>
    <definedName function="false" hidden="false" name="us_28" vbProcedure="false">In!$E$33</definedName>
    <definedName function="false" hidden="false" name="us_29" vbProcedure="false">In!$E$34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<sst xmlns="http://schemas.openxmlformats.org/spreadsheetml/2006/main" count="2445" uniqueCount="907">
  <si>
    <r>
      <rPr>
        <b val="true"/>
        <sz val="11"/>
        <rFont val="Noto Sans CJK SC"/>
        <family val="2"/>
      </rPr>
      <t xml:space="preserve">新易盛（</t>
    </r>
    <r>
      <rPr>
        <b val="true"/>
        <sz val="11"/>
        <rFont val="Cambria"/>
        <family val="0"/>
        <charset val="1"/>
      </rPr>
      <t xml:space="preserve">300502.SZ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</si>
  <si>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初版）。新易盛在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條）；中際旭創份額讀 </t>
    </r>
    <r>
      <rPr>
        <sz val="11"/>
        <rFont val="Cambria"/>
        <family val="0"/>
        <charset val="1"/>
      </rPr>
      <t xml:space="preserve">innolight </t>
    </r>
    <r>
      <rPr>
        <sz val="11"/>
        <rFont val="Noto Sans CJK SC"/>
        <family val="2"/>
      </rPr>
      <t xml:space="preserve">成品，兩家合計在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</si>
  <si>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模型命題：新易盛的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份額；其他營收另依成長率推。股價 </t>
    </r>
    <r>
      <rPr>
        <sz val="11"/>
        <rFont val="Cambria"/>
        <family val="0"/>
        <charset val="1"/>
      </rPr>
      <t xml:space="preserve">261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10-23</t>
    </r>
    <r>
      <rPr>
        <sz val="11"/>
        <rFont val="Noto Sans CJK SC"/>
        <family val="2"/>
      </rPr>
      <t xml:space="preserve">）自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月底下跌約三成、只約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年就是獲利高點，或份額與美國限制風險遠大於模型。</t>
    </r>
  </si>
  <si>
    <r>
      <rPr>
        <sz val="11"/>
        <rFont val="Noto Sans CJK SC"/>
        <family val="2"/>
      </rPr>
      <t xml:space="preserve">核心問題：以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倍看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，現價隱含的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約等於模型情境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、比情境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低四成——要成立，份額（主要客戶轉單、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落後）、美國限制、單價三條路徑各要不利到什麼程度？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</si>
  <si>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為收斂法。口徑：中國會計準則；淨利＝歸母淨利；股數與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全部以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轉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後表示（</t>
    </r>
    <r>
      <rPr>
        <sz val="11"/>
        <rFont val="Cambria"/>
        <family val="0"/>
        <charset val="1"/>
      </rPr>
      <t xml:space="preserve">FY2025 EPS 9.61 ÷ 1.4 </t>
    </r>
    <r>
      <rPr>
        <sz val="11"/>
        <rFont val="Noto Sans CJK SC"/>
        <family val="2"/>
      </rPr>
      <t xml:space="preserve">重述）。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</si>
  <si>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</si>
  <si>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</si>
  <si>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：中際旭創）。稅率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）、歸母比例 </t>
    </r>
    <r>
      <rPr>
        <sz val="11"/>
        <rFont val="Cambria"/>
        <family val="0"/>
        <charset val="1"/>
      </rPr>
      <t xml:space="preserve">0.998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</si>
  <si>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20.91</t>
    </r>
    <r>
      <rPr>
        <sz val="11"/>
        <rFont val="Noto Sans CJK SC"/>
        <family val="2"/>
      </rPr>
      <t xml:space="preserve">、綜合毛利率 </t>
    </r>
    <r>
      <rPr>
        <sz val="11"/>
        <rFont val="Cambria"/>
        <family val="0"/>
        <charset val="1"/>
      </rPr>
      <t xml:space="preserve">48.44%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7.53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48%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公布，本版未納入。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</si>
  <si>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2016–2025</t>
    </r>
    <r>
      <rPr>
        <sz val="11"/>
        <rFont val="Noto Sans CJK SC"/>
        <family val="2"/>
      </rPr>
      <t xml:space="preserve">，兩個資料商）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</si>
  <si>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未使用。公司原文經財經媒體轉載；客戶名稱、客戶集中度與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份額未找到第一手來源。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</si>
  <si>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兩個來源差距大，且含低基期與高成長期溢價，規則值偏高；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稅率與泰國子公司獲利占比未找到；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主要客戶與美國限制風險只有次級來源；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</si>
  <si>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</si>
  <si>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</si>
  <si>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：最敏感的是美國限制與份額：美國限制案例 </t>
    </r>
    <r>
      <rPr>
        <sz val="11"/>
        <color theme="1"/>
        <rFont val="Calibri"/>
        <family val="2"/>
        <charset val="1"/>
      </rPr>
      <t xml:space="preserve">FY2028 EPS −45.0%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33.9%</t>
    </r>
    <r>
      <rPr>
        <sz val="11"/>
        <color theme="1"/>
        <rFont val="Noto Sans CJK SC"/>
        <family val="2"/>
      </rPr>
      <t xml:space="preserve">、降價快於模型 −</t>
    </r>
    <r>
      <rPr>
        <sz val="11"/>
        <color theme="1"/>
        <rFont val="Calibri"/>
        <family val="2"/>
        <charset val="1"/>
      </rPr>
      <t xml:space="preserve">19.2%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16.93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28.11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39.8%</t>
    </r>
    <r>
      <rPr>
        <sz val="11"/>
        <color theme="1"/>
        <rFont val="Noto Sans CJK SC"/>
        <family val="2"/>
      </rPr>
      <t xml:space="preserve">。股價自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週高點下跌 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、自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月底下跌 </t>
    </r>
    <r>
      <rPr>
        <sz val="11"/>
        <color theme="1"/>
        <rFont val="Calibri"/>
        <family val="2"/>
        <charset val="1"/>
      </rPr>
      <t xml:space="preserve">32.9%</t>
    </r>
    <r>
      <rPr>
        <sz val="11"/>
        <color theme="1"/>
        <rFont val="Noto Sans CJK SC"/>
        <family val="2"/>
      </rPr>
      <t xml:space="preserve">，現價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15.4 </t>
    </r>
    <r>
      <rPr>
        <sz val="11"/>
        <color theme="1"/>
        <rFont val="Noto Sans CJK SC"/>
        <family val="2"/>
      </rPr>
      <t xml:space="preserve">倍，市場定價接近情境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</si>
  <si>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）：本版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為假設；客戶名稱與集中度未找到第一手來源。網通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快對新易盛是減分，情境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28.99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28.11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16.72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16.93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−4.4%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</si>
  <si>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年報產品別：光互聯產品（約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）、其他（差額）與核對列「分部合計 − 合併營收」；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營收屬光互聯產品，推估年仍以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／其他拆分。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</si>
  <si>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</si>
  <si>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</si>
  <si>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</si>
  <si>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未使用。公司原文＝深交所定期報告與公告（經財經媒體轉載）；公司不給營收指引；客戶名稱、客戶集中度、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份額：未找到第一手來源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</si>
  <si>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</si>
  <si>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</si>
  <si>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</si>
  <si>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</si>
  <si>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</si>
  <si>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</si>
  <si>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</si>
  <si>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</si>
  <si>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</si>
  <si>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依顆數係數縮放）與中際旭創份額（讀 </t>
    </r>
    <r>
      <rPr>
        <b val="true"/>
        <sz val="11"/>
        <rFont val="Cambria"/>
        <family val="0"/>
        <charset val="1"/>
      </rPr>
      <t xml:space="preserve">innolight </t>
    </r>
    <r>
      <rPr>
        <b val="true"/>
        <sz val="11"/>
        <rFont val="Noto Sans CJK SC"/>
        <family val="2"/>
      </rPr>
      <t xml:space="preserve">成品）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</si>
  <si>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</si>
  <si>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</si>
  <si>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</si>
  <si>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</si>
  <si>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</si>
  <si>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</si>
  <si>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</si>
  <si>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</si>
  <si>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</si>
  <si>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</si>
  <si>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</si>
  <si>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</si>
  <si>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</si>
  <si>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</si>
  <si>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</si>
  <si>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</si>
  <si>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</si>
  <si>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</si>
  <si>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</si>
  <si>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</si>
  <si>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</si>
  <si>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</si>
  <si>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</si>
  <si>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</si>
  <si>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</si>
  <si>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</si>
  <si>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</si>
  <si>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</si>
  <si>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</si>
  <si>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</si>
  <si>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</si>
  <si>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</si>
  <si>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</si>
  <si>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</si>
  <si>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</si>
  <si>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</si>
  <si>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innolight/dist/20261028_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</si>
  <si>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中際旭創份額的權威在 </t>
    </r>
    <r>
      <rPr>
        <sz val="11"/>
        <color theme="1"/>
        <rFont val="Calibri"/>
        <family val="2"/>
        <charset val="1"/>
      </rPr>
      <t xml:space="preserve">innolight/ Units </t>
    </r>
    <r>
      <rPr>
        <sz val="11"/>
        <color theme="1"/>
        <rFont val="Noto Sans CJK SC"/>
        <family val="2"/>
      </rPr>
      <t xml:space="preserve">頁；本模型只用來檢查兩家合計是否合理（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</si>
  <si>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</si>
  <si>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</si>
  <si>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</si>
  <si>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</si>
  <si>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</si>
  <si>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</si>
  <si>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inl_aiu26</t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</si>
  <si>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</si>
  <si>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innolight/dist/20261028_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</si>
  <si>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</si>
  <si>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</si>
  <si>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</si>
  <si>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</si>
  <si>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</si>
  <si>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</si>
  <si>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</si>
  <si>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</si>
  <si>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</si>
  <si>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</si>
  <si>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</si>
  <si>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</si>
  <si>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</si>
  <si>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</si>
  <si>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</si>
  <si>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</si>
  <si>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</si>
  <si>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</si>
  <si>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</si>
  <si>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</si>
  <si>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</si>
  <si>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</si>
  <si>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新易盛份額與單價（本專案為權威：新易盛在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光模組的份額，規則第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</si>
  <si>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</si>
  <si>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</si>
  <si>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</si>
  <si>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中際旭創模型同年相對值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（讓出份額給新易盛、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）；新易盛持平時兩家合計仍在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左右（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</si>
  <si>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</si>
  <si>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</si>
  <si>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份額仍在爬坡（西南證券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</si>
  <si>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主要客戶轉單或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落後為低值；美國限制另列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</si>
  <si>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</si>
  <si>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</si>
  <si>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比重上升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</si>
  <si>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</si>
  <si>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</si>
  <si>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</si>
  <si>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</si>
  <si>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新易盛境外營收占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，西南證券轉引公司）；泰國產能不必然豁免（美國價值含量門檻）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</si>
  <si>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</si>
  <si>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</si>
  <si>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同上；與中際旭創模型相同</t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</si>
  <si>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</si>
  <si>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</si>
  <si>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</si>
  <si>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</si>
  <si>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</si>
  <si>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</si>
  <si>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</si>
  <si>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</si>
  <si>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</si>
  <si>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</si>
  <si>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</si>
  <si>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</si>
  <si>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</si>
  <si>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與中際旭創模型相同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</si>
  <si>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</si>
  <si>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</si>
  <si>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</si>
  <si>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</si>
  <si>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</si>
  <si>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</si>
  <si>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</si>
  <si>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t xml:space="preserve">Verified</t>
  </si>
  <si>
    <r>
      <rPr>
        <sz val="11"/>
        <color theme="1"/>
        <rFont val="Calibri"/>
        <family val="2"/>
        <charset val="1"/>
      </rPr>
      <t xml:space="preserve">Siliconomics SIF_fx_rmb</t>
    </r>
    <r>
      <rPr>
        <sz val="11"/>
        <color theme="1"/>
        <rFont val="Noto Sans CJK SC"/>
        <family val="2"/>
      </rPr>
      <t xml:space="preserve">（中國經濟網 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</si>
  <si>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億元，主因匯兌損失（每日經濟新聞轉載公司一季報）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</si>
  <si>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數通；網通模型未涵蓋）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</si>
  <si>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</si>
  <si>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</si>
  <si>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）：境外收入占比約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</si>
  <si>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光互聯產品占營收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1H26 208.83 ÷ 209.10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部分比重：未找到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</si>
  <si>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</si>
  <si>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</si>
  <si>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</si>
  <si>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</si>
  <si>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</si>
  <si>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https://m.gelonghui.com/news/5306856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（季減 </t>
    </r>
    <r>
      <rPr>
        <sz val="11"/>
        <color theme="1"/>
        <rFont val="Calibri"/>
        <family val="2"/>
        <charset val="1"/>
      </rPr>
      <t xml:space="preserve">1.20pt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49.16%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</si>
  <si>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</si>
  <si>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</si>
  <si>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</si>
  <si>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光互聯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47.81%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</si>
  <si>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開源證券 </t>
    </r>
    <r>
      <rPr>
        <sz val="11"/>
        <color theme="1"/>
        <rFont val="Calibri"/>
        <family val="2"/>
        <charset val="1"/>
      </rPr>
      <t xml:space="preserve">2026E–2028E 47.0%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</si>
  <si>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</si>
  <si>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</si>
  <si>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t xml:space="preserve">同上；與中際旭創模型路徑相同</t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</si>
  <si>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</si>
  <si>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</si>
  <si>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</si>
  <si>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</si>
  <si>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</si>
  <si>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</si>
  <si>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+100.34%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</si>
  <si>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：同值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</si>
  <si>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</si>
  <si>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</si>
  <si>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（西南證券轉引公司半年報）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</si>
  <si>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：光互聯產品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（占營收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）</t>
    </r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</si>
  <si>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</si>
  <si>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</si>
  <si>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75.29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+90.98%</t>
    </r>
    <r>
      <rPr>
        <sz val="11"/>
        <color theme="1"/>
        <rFont val="Noto Sans CJK SC"/>
        <family val="2"/>
      </rPr>
      <t xml:space="preserve">）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</si>
  <si>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</si>
  <si>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（轉增後）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</si>
  <si>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+90.49%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</si>
  <si>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https://quartr.com/events/eoptolink-technology-inc-ltd-300502-q2-2026_FgrWDhx6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2.84</t>
    </r>
    <r>
      <rPr>
        <sz val="11"/>
        <color theme="1"/>
        <rFont val="Noto Sans CJK SC"/>
        <family val="2"/>
      </rPr>
      <t xml:space="preserve">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</si>
  <si>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</si>
  <si>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</si>
  <si>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83.4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+105.76%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</si>
  <si>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1H26 209.10 − 2Q26 125.72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83.38</t>
    </r>
    <r>
      <rPr>
        <sz val="11"/>
        <color theme="1"/>
        <rFont val="Noto Sans CJK SC"/>
        <family val="2"/>
      </rPr>
      <t xml:space="preserve">（長江證券轉引公司）</t>
    </r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</si>
  <si>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</si>
  <si>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</si>
  <si>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+50.8%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下半年放量節奏加快（公司說法，同花順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</si>
  <si>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177.6 </t>
    </r>
    <r>
      <rPr>
        <sz val="11"/>
        <color theme="1"/>
        <rFont val="Noto Sans CJK SC"/>
        <family val="2"/>
      </rPr>
      <t xml:space="preserve">億元（隱含季增約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</t>
    </r>
  </si>
  <si>
    <t xml:space="preserve">opx_h2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</si>
  <si>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</si>
  <si>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殘差約 </t>
    </r>
    <r>
      <rPr>
        <sz val="11"/>
        <color theme="1"/>
        <rFont val="Calibri"/>
        <family val="2"/>
        <charset val="1"/>
      </rPr>
      <t xml:space="preserve">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含匯兌損失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億元，約 </t>
    </r>
    <r>
      <rPr>
        <sz val="11"/>
        <color theme="1"/>
        <rFont val="Calibri"/>
        <family val="2"/>
        <charset val="1"/>
      </rPr>
      <t xml:space="preserve">9.8%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</si>
  <si>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銷售 </t>
    </r>
    <r>
      <rPr>
        <sz val="11"/>
        <color theme="1"/>
        <rFont val="Calibri"/>
        <family val="2"/>
        <charset val="1"/>
      </rPr>
      <t xml:space="preserve">0.48%</t>
    </r>
    <r>
      <rPr>
        <sz val="11"/>
        <color theme="1"/>
        <rFont val="Noto Sans CJK SC"/>
        <family val="2"/>
      </rPr>
      <t xml:space="preserve">、管理 </t>
    </r>
    <r>
      <rPr>
        <sz val="11"/>
        <color theme="1"/>
        <rFont val="Calibri"/>
        <family val="2"/>
        <charset val="1"/>
      </rPr>
      <t xml:space="preserve">0.62%</t>
    </r>
    <r>
      <rPr>
        <sz val="11"/>
        <color theme="1"/>
        <rFont val="Noto Sans CJK SC"/>
        <family val="2"/>
      </rPr>
      <t xml:space="preserve">、研發 </t>
    </r>
    <r>
      <rPr>
        <sz val="11"/>
        <color theme="1"/>
        <rFont val="Calibri"/>
        <family val="2"/>
        <charset val="1"/>
      </rPr>
      <t xml:space="preserve">2.1%</t>
    </r>
    <r>
      <rPr>
        <sz val="11"/>
        <color theme="1"/>
        <rFont val="Noto Sans CJK SC"/>
        <family val="2"/>
      </rPr>
      <t xml:space="preserve">（開源證券）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</si>
  <si>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</si>
  <si>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</si>
  <si>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成都母公司高新技術企業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；泰國子公司稅率與獲利占比：未找到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</si>
  <si>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的依據：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若用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，殘差營業費用（</t>
    </r>
    <r>
      <rPr>
        <sz val="11"/>
        <color theme="1"/>
        <rFont val="Calibri"/>
        <family val="2"/>
        <charset val="1"/>
      </rPr>
      <t xml:space="preserve">2.6%</t>
    </r>
    <r>
      <rPr>
        <sz val="11"/>
        <color theme="1"/>
        <rFont val="Noto Sans CJK SC"/>
        <family val="2"/>
      </rPr>
      <t xml:space="preserve">）低於研發費用率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，不合理（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</si>
  <si>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</si>
  <si>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</si>
  <si>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少數股東損益 </t>
    </r>
    <r>
      <rPr>
        <sz val="11"/>
        <color theme="1"/>
        <rFont val="Calibri"/>
        <family val="2"/>
        <charset val="1"/>
      </rPr>
      <t xml:space="preserve">0.21 </t>
    </r>
    <r>
      <rPr>
        <sz val="11"/>
        <color theme="1"/>
        <rFont val="Noto Sans CJK SC"/>
        <family val="2"/>
      </rPr>
      <t xml:space="preserve">億元（開源證券財務摘要）</t>
    </r>
  </si>
  <si>
    <r>
      <rPr>
        <sz val="11"/>
        <color theme="1"/>
        <rFont val="Noto Sans CJK SC"/>
        <family val="2"/>
      </rPr>
      <t xml:space="preserve">歸母 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億元（公司）</t>
    </r>
  </si>
  <si>
    <t xml:space="preserve">sh_post</t>
  </si>
  <si>
    <t xml:space="preserve">轉增後總股數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</si>
  <si>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</si>
  <si>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億股（開源證券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</si>
  <si>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基數約 </t>
    </r>
    <r>
      <rPr>
        <sz val="11"/>
        <color theme="1"/>
        <rFont val="Calibri"/>
        <family val="2"/>
        <charset val="1"/>
      </rPr>
      <t xml:space="preserve">9.94 </t>
    </r>
    <r>
      <rPr>
        <sz val="11"/>
        <color theme="1"/>
        <rFont val="Noto Sans CJK SC"/>
        <family val="2"/>
      </rPr>
      <t xml:space="preserve">億股（每日經濟新聞）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</si>
  <si>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</si>
  <si>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</si>
  <si>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</si>
  <si>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</si>
  <si>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</si>
  <si>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</si>
  <si>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248.42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+187.29%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</si>
  <si>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248.4 </t>
    </r>
    <r>
      <rPr>
        <sz val="11"/>
        <color theme="1"/>
        <rFont val="Noto Sans CJK SC"/>
        <family val="2"/>
      </rPr>
      <t xml:space="preserve">億元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</si>
  <si>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</si>
  <si>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毛利率（光互聯產品代用，占營收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</si>
  <si>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每日經濟新聞轉載公司年報（網址見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）：光互聯產品毛利率 </t>
    </r>
    <r>
      <rPr>
        <sz val="11"/>
        <color theme="1"/>
        <rFont val="Calibri"/>
        <family val="2"/>
        <charset val="1"/>
      </rPr>
      <t xml:space="preserve">47.81%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</si>
  <si>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虎嗅（網址見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）：同值；全公司毛利率：未找到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</si>
  <si>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</si>
  <si>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</si>
  <si>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+235.89%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</si>
  <si>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：同值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</si>
  <si>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</si>
  <si>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（轉增前）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</si>
  <si>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9.61 </t>
    </r>
    <r>
      <rPr>
        <sz val="11"/>
        <color theme="1"/>
        <rFont val="Noto Sans CJK SC"/>
        <family val="2"/>
      </rPr>
      <t xml:space="preserve">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</si>
  <si>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</si>
  <si>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股數（轉增後重述）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</si>
  <si>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÷ 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年度分配）</t>
    </r>
  </si>
  <si>
    <r>
      <rPr>
        <sz val="11"/>
        <color theme="1"/>
        <rFont val="Noto Sans CJK SC"/>
        <family val="2"/>
      </rPr>
      <t xml:space="preserve">重述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9.61 ÷ 1.4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6.86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</si>
  <si>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</si>
  <si>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</si>
  <si>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</si>
  <si>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t xml:space="preserve">Analogy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</si>
  <si>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0.61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）；本公司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推導值（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匯兌損失失真，不採用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</si>
  <si>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7.02 </t>
    </r>
    <r>
      <rPr>
        <sz val="11"/>
        <color theme="1"/>
        <rFont val="Noto Sans CJK SC"/>
        <family val="2"/>
      </rPr>
      <t xml:space="preserve">億元、占營收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</si>
  <si>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</si>
  <si>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</si>
  <si>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</si>
  <si>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</si>
  <si>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</si>
  <si>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</si>
  <si>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</si>
  <si>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https://stock.10jqka.com.cn/20260820/c679144690.shtml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 </t>
    </r>
    <r>
      <rPr>
        <sz val="11"/>
        <color theme="1"/>
        <rFont val="Calibri"/>
        <family val="2"/>
        <charset val="1"/>
      </rPr>
      <t xml:space="preserve">648.12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0.46%</t>
    </r>
    <r>
      <rPr>
        <sz val="11"/>
        <color theme="1"/>
        <rFont val="Noto Sans CJK SC"/>
        <family val="2"/>
      </rPr>
      <t xml:space="preserve">），授予價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</si>
  <si>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考核：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 ≥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2,900 </t>
    </r>
    <r>
      <rPr>
        <sz val="11"/>
        <color theme="1"/>
        <rFont val="Noto Sans CJK SC"/>
        <family val="2"/>
      </rPr>
      <t xml:space="preserve">億（公司公告，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</si>
  <si>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</si>
  <si>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</si>
  <si>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</si>
  <si>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</si>
  <si>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</si>
  <si>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</si>
  <si>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</si>
  <si>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</si>
  <si>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</si>
  <si>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</si>
  <si>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</si>
  <si>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</si>
  <si>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</si>
  <si>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天風（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）、國金（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）兩家特別高，拉高均值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</si>
  <si>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</si>
  <si>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</si>
  <si>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</si>
  <si>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</si>
  <si>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</si>
  <si>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</si>
  <si>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</si>
  <si>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</si>
  <si>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</si>
  <si>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</si>
  <si>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</si>
  <si>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</si>
  <si>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</si>
  <si>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</si>
  <si>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gs_ni26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</si>
  <si>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</si>
  <si>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206.83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345.76 </t>
    </r>
    <r>
      <rPr>
        <sz val="11"/>
        <color theme="1"/>
        <rFont val="Noto Sans CJK SC"/>
        <family val="2"/>
      </rPr>
      <t xml:space="preserve">億元；目標價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29.3x 2027 </t>
    </r>
    <r>
      <rPr>
        <sz val="11"/>
        <color theme="1"/>
        <rFont val="Noto Sans CJK SC"/>
        <family val="2"/>
      </rPr>
      <t xml:space="preserve">年獲利）</t>
    </r>
  </si>
  <si>
    <r>
      <rPr>
        <sz val="11"/>
        <color theme="1"/>
        <rFont val="Noto Sans CJK SC"/>
        <family val="2"/>
      </rPr>
      <t xml:space="preserve">共識均值明顯高於高盛（</t>
    </r>
    <r>
      <rPr>
        <sz val="11"/>
        <color theme="1"/>
        <rFont val="Calibri"/>
        <family val="2"/>
        <charset val="1"/>
      </rPr>
      <t xml:space="preserve">FY2027 +21%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+55%</t>
    </r>
    <r>
      <rPr>
        <sz val="11"/>
        <color theme="1"/>
        <rFont val="Noto Sans CJK SC"/>
        <family val="2"/>
      </rPr>
      <t xml:space="preserve">）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</si>
  <si>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</si>
  <si>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</si>
  <si>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gs_ni28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</si>
  <si>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</si>
  <si>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gs_tp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</si>
  <si>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</si>
  <si>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600.71 → 633.0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</si>
  <si>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https://www.itiger.com/news/1150980067</t>
    </r>
    <r>
      <rPr>
        <sz val="11"/>
        <color theme="1"/>
        <rFont val="Noto Sans CJK SC"/>
        <family val="2"/>
      </rPr>
      <t xml:space="preserve">：高盛稱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</si>
  <si>
    <t xml:space="preserve">q3_cons_rev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</si>
  <si>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</si>
  <si>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17.76bn</t>
    </r>
    <r>
      <rPr>
        <sz val="11"/>
        <color theme="1"/>
        <rFont val="Noto Sans CJK SC"/>
        <family val="2"/>
      </rPr>
      <t xml:space="preserve">（季報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</t>
    </r>
  </si>
  <si>
    <t xml:space="preserve">lc_eo25</t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</si>
  <si>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新易盛光模組營收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</si>
  <si>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，排名第二）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</si>
  <si>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US$5.3B</t>
    </r>
  </si>
  <si>
    <t xml:space="preserve">tp_avg90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</si>
  <si>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</si>
  <si>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家（買入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、增持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），目標均價 </t>
    </r>
    <r>
      <rPr>
        <sz val="11"/>
        <color theme="1"/>
        <rFont val="Calibri"/>
        <family val="2"/>
        <charset val="1"/>
      </rPr>
      <t xml:space="preserve">460.89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</si>
  <si>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月前股價較高時給出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</si>
  <si>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</si>
  <si>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</si>
  <si>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</si>
  <si>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261.00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+1.16%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258.01</t>
    </r>
    <r>
      <rPr>
        <sz val="11"/>
        <color theme="1"/>
        <rFont val="Noto Sans CJK SC"/>
        <family val="2"/>
      </rPr>
      <t xml:space="preserve">；當日 </t>
    </r>
    <r>
      <rPr>
        <sz val="11"/>
        <color theme="1"/>
        <rFont val="Calibri"/>
        <family val="2"/>
        <charset val="1"/>
      </rPr>
      <t xml:space="preserve">236.10–263.54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</si>
  <si>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：同值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</si>
  <si>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</si>
  <si>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</si>
  <si>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週區間上緣 </t>
    </r>
    <r>
      <rPr>
        <sz val="11"/>
        <color theme="1"/>
        <rFont val="Calibri"/>
        <family val="2"/>
        <charset val="1"/>
      </rPr>
      <t xml:space="preserve">818.38</t>
    </r>
  </si>
  <si>
    <r>
      <rPr>
        <sz val="11"/>
        <color theme="1"/>
        <rFont val="Calibri"/>
        <family val="2"/>
        <charset val="1"/>
      </rPr>
      <t xml:space="preserve">https://www.google.com/finance/quote/300502:SHE?hl=zh</t>
    </r>
    <r>
      <rPr>
        <sz val="11"/>
        <color theme="1"/>
        <rFont val="Noto Sans CJK SC"/>
        <family val="2"/>
      </rPr>
      <t xml:space="preserve">：另一資料商顯示 </t>
    </r>
    <r>
      <rPr>
        <sz val="11"/>
        <color theme="1"/>
        <rFont val="Calibri"/>
        <family val="2"/>
        <charset val="1"/>
      </rPr>
      <t xml:space="preserve">618.87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9-30</t>
    </r>
    <r>
      <rPr>
        <sz val="11"/>
        <color theme="1"/>
        <rFont val="Noto Sans CJK SC"/>
        <family val="2"/>
      </rPr>
      <t xml:space="preserve">），兩者不一致：未核實；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772.50</t>
    </r>
    <r>
      <rPr>
        <sz val="11"/>
        <color theme="1"/>
        <rFont val="Noto Sans CJK SC"/>
        <family val="2"/>
      </rPr>
      <t xml:space="preserve">（融中財經）</t>
    </r>
  </si>
  <si>
    <t xml:space="preserve">px_0930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</si>
  <si>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</si>
  <si>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389.00</t>
    </r>
  </si>
  <si>
    <t xml:space="preserve">近一個月跌幅原因：未找到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</si>
  <si>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</si>
  <si>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</si>
  <si>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</si>
  <si>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</si>
  <si>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</si>
  <si>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</si>
  <si>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</si>
  <si>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</si>
  <si>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</si>
  <si>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</si>
  <si>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</si>
  <si>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</si>
  <si>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</si>
  <si>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</si>
  <si>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</si>
  <si>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</si>
  <si>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</si>
  <si>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</si>
  <si>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13.37%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41.14%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72.39%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</si>
  <si>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72.08%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</si>
  <si>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</si>
  <si>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</si>
  <si>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</si>
  <si>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</si>
  <si>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</si>
  <si>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</si>
  <si>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</si>
  <si>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</si>
  <si>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</si>
  <si>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</si>
  <si>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</si>
  <si>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</si>
  <si>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</si>
  <si>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</si>
  <si>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</si>
  <si>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</si>
  <si>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</si>
  <si>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</si>
  <si>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</si>
  <si>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</si>
  <si>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</si>
  <si>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</si>
  <si>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</si>
  <si>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後口徑）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</si>
  <si>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預測頁平均 </t>
    </r>
    <r>
      <rPr>
        <sz val="11"/>
        <color theme="1"/>
        <rFont val="Calibri"/>
        <family val="2"/>
        <charset val="1"/>
      </rPr>
      <t xml:space="preserve">652.48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位；口徑疑為轉增前，不採）；多數目標價訂於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</si>
  <si>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</si>
  <si>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</si>
  <si>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</si>
  <si>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</si>
  <si>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</si>
  <si>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</si>
  <si>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</si>
  <si>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</si>
  <si>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</si>
  <si>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</si>
  <si>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</si>
  <si>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</si>
  <si>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</si>
  <si>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</si>
  <si>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</si>
  <si>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</si>
  <si>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</si>
  <si>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</si>
  <si>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</si>
  <si>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</si>
  <si>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</si>
  <si>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</si>
  <si>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</si>
  <si>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</si>
  <si>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</si>
  <si>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</si>
  <si>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</si>
  <si>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</si>
  <si>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</si>
  <si>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</si>
  <si>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</si>
  <si>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</si>
  <si>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</si>
  <si>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</si>
  <si>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</si>
  <si>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</si>
  <si>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</si>
  <si>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</si>
  <si>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</si>
  <si>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</si>
  <si>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</si>
  <si>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</si>
  <si>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</si>
  <si>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為人民幣；股數為十億股，轉增後）。藍字＝輸入；黑字＝公式。口徑：歸母淨利；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毛利率以光互聯產品（占營收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</si>
  <si>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opx_h2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10-25 </t>
    </r>
    <r>
      <rPr>
        <sz val="11"/>
        <color theme="1"/>
        <rFont val="Noto Sans CJK SC"/>
        <family val="2"/>
      </rPr>
      <t xml:space="preserve">尚未公布），公布後以實績取代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</si>
  <si>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</si>
  <si>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</si>
  <si>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</si>
  <si>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</si>
  <si>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</si>
  <si>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</si>
  <si>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</si>
  <si>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</si>
  <si>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</si>
  <si>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125.72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</si>
  <si>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</si>
  <si>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</si>
  <si>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</si>
  <si>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</si>
  <si>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</si>
  <si>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</si>
  <si>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殘差含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匯兌損失（財務費用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億元）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</si>
  <si>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</si>
  <si>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</si>
  <si>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</si>
  <si>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</si>
  <si>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股數（十億股，轉增後）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</si>
  <si>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期末股數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</si>
  <si>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</si>
  <si>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轉增後重述 ＝ </t>
    </r>
    <r>
      <rPr>
        <sz val="11"/>
        <color theme="1"/>
        <rFont val="Calibri"/>
        <family val="2"/>
        <charset val="1"/>
      </rPr>
      <t xml:space="preserve">9.61 ÷ 1.4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</si>
  <si>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</si>
  <si>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</si>
  <si>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</si>
  <si>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t xml:space="preserve">季度拆分（推導）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</si>
  <si>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47.49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</si>
  <si>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49.16%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27.80 </t>
    </r>
    <r>
      <rPr>
        <sz val="11"/>
        <color theme="1"/>
        <rFont val="Noto Sans CJK SC"/>
        <family val="2"/>
      </rPr>
      <t xml:space="preserve">億元）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</si>
  <si>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</si>
  <si>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</si>
  <si>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</si>
  <si>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</si>
  <si>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</si>
  <si>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營收年增；受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匯兌損失影響，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不採用）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</si>
  <si>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</si>
  <si>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股權激勵第一期考核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÷ 50 − 1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</si>
  <si>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官方報告產品別（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</si>
  <si>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光互聯產品營收（含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與國內、電信）</t>
    </r>
  </si>
  <si>
    <r>
      <rPr>
        <sz val="11"/>
        <color theme="1"/>
        <rFont val="Noto Sans CJK SC"/>
        <family val="2"/>
      </rPr>
      <t xml:space="preserve">每日經濟新聞轉載公司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年報：光互聯產品占營收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（金額為推得）</t>
    </r>
  </si>
  <si>
    <t xml:space="preserve">其他產品營收（差額）</t>
  </si>
  <si>
    <t xml:space="preserve">合併營收 − 光互聯產品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</si>
  <si>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</si>
  <si>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營收屬光互聯產品，推估年以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／其他拆分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</si>
  <si>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新易盛在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每顆光學內容；美元）；中際旭創份額取自 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成品（唯讀）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</si>
  <si>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</si>
  <si>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</si>
  <si>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</si>
  <si>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</si>
  <si>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</si>
  <si>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</si>
  <si>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</si>
  <si>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新易盛可插拔有效份額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</si>
  <si>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</si>
  <si>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</si>
  <si>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唯讀；中際旭創份額的權威在 </t>
    </r>
    <r>
      <rPr>
        <sz val="11"/>
        <color theme="1"/>
        <rFont val="Calibri"/>
        <family val="2"/>
        <charset val="1"/>
      </rPr>
      <t xml:space="preserve">innolight/</t>
    </r>
  </si>
  <si>
    <t xml:space="preserve">兩家合計可插拔份額</t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</si>
  <si>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、光迅、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、華工等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</si>
  <si>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</si>
  <si>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兩家合計份額）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</si>
  <si>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CPO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</si>
  <si>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</si>
  <si>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</si>
  <si>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有效份額由 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假設校準；與中際旭創合計約三分之二，其餘由 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等分食。份額相對值與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</si>
  <si>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新易盛損益（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起三情境讀不同的網通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</si>
  <si>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</si>
  <si>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</si>
  <si>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</si>
  <si>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</si>
  <si>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</si>
  <si>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</si>
  <si>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</si>
  <si>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</si>
  <si>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</si>
  <si>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</si>
  <si>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</si>
  <si>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</si>
  <si>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</si>
  <si>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</si>
  <si>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</si>
  <si>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</si>
  <si>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</si>
  <si>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</si>
  <si>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</si>
  <si>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</si>
  <si>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</si>
  <si>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</si>
  <si>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</si>
  <si>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</si>
  <si>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</si>
  <si>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</si>
  <si>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</si>
  <si>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新易盛可插拔有效份額（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</si>
  <si>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</si>
  <si>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</si>
  <si>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</si>
  <si>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</si>
  <si>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</si>
  <si>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</si>
  <si>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</si>
  <si>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</si>
  <si>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</si>
  <si>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</si>
  <si>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</si>
  <si>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</si>
  <si>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</si>
  <si>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</si>
  <si>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</si>
  <si>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</si>
  <si>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</si>
  <si>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股數（轉增後）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</si>
  <si>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</si>
  <si>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</si>
  <si>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</si>
  <si>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（兩個資料商來源）</t>
    </r>
  </si>
  <si>
    <r>
      <rPr>
        <sz val="11"/>
        <color theme="1"/>
        <rFont val="Noto Sans CJK SC"/>
        <family val="2"/>
      </rPr>
      <t xml:space="preserve">循環位置：新易盛不是設備股，不套設備市場見頂年；以本模型營收最高的會計年度為見頂年（比照中際旭創、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</si>
  <si>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</si>
  <si>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</si>
  <si>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</si>
  <si>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</si>
  <si>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</si>
  <si>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</si>
  <si>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</si>
  <si>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</si>
  <si>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</si>
  <si>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</si>
  <si>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</si>
  <si>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</si>
  <si>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</si>
  <si>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</si>
  <si>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</si>
  <si>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</si>
  <si>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</si>
  <si>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</si>
  <si>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</si>
  <si>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</si>
  <si>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</si>
  <si>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</si>
  <si>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</si>
  <si>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</si>
  <si>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</si>
  <si>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</si>
  <si>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</si>
  <si>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中際旭創（</t>
    </r>
    <r>
      <rPr>
        <sz val="11"/>
        <color theme="1"/>
        <rFont val="Calibri"/>
        <family val="2"/>
        <charset val="1"/>
      </rPr>
      <t xml:space="preserve">Innolight</t>
    </r>
    <r>
      <rPr>
        <sz val="11"/>
        <color theme="1"/>
        <rFont val="Noto Sans CJK SC"/>
        <family val="2"/>
      </rPr>
      <t xml:space="preserve">）</t>
    </r>
  </si>
  <si>
    <t xml:space="preserve">300308.SZ</t>
  </si>
  <si>
    <t xml:space="preserve">2026-10-12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</si>
  <si>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</si>
  <si>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</si>
  <si>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</si>
  <si>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</si>
  <si>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</si>
  <si>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</si>
  <si>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</si>
  <si>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</si>
  <si>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</si>
  <si>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</si>
  <si>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</si>
  <si>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</si>
  <si>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</si>
  <si>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</si>
  <si>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</si>
  <si>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</si>
  <si>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</si>
  <si>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</si>
  <si>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</si>
  <si>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</si>
  <si>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</si>
  <si>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</si>
  <si>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</si>
  <si>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</si>
  <si>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</si>
  <si>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</si>
  <si>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 </t>
    </r>
    <r>
      <rPr>
        <sz val="11"/>
        <color theme="1"/>
        <rFont val="Calibri"/>
        <family val="2"/>
        <charset val="1"/>
      </rPr>
      <t xml:space="preserve">460.89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）；多數訂於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</si>
  <si>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</si>
  <si>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</si>
  <si>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</si>
  <si>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</si>
  <si>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</si>
  <si>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</si>
  <si>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</si>
  <si>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</si>
  <si>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</si>
  <si>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</si>
  <si>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</si>
  <si>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月，而中際旭創只有約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替代快），顆數差異從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</si>
  <si>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</si>
  <si>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</si>
  <si>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</si>
  <si>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</si>
  <si>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</si>
  <si>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</si>
  <si>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</si>
  <si>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</si>
  <si>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</si>
  <si>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</si>
  <si>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</si>
  <si>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</si>
  <si>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</si>
  <si>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</si>
  <si>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依循環位置取分位（本模型營收最高年判定：營收到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仍增加者為中段＝中位數，見頂＝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年小型股低獲利基期與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年高成長期的落後高倍數，偏誤方向為高估；隱含價約為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個月目標價時偏高。對照：高盛以 </t>
    </r>
    <r>
      <rPr>
        <sz val="11"/>
        <color theme="1"/>
        <rFont val="Calibri"/>
        <family val="2"/>
        <charset val="1"/>
      </rPr>
      <t xml:space="preserve">29.3x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給目標價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</si>
  <si>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</si>
  <si>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</si>
  <si>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</si>
  <si>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</si>
  <si>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</si>
  <si>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</si>
  <si>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</si>
  <si>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</si>
  <si>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</si>
  <si>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</si>
  <si>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</si>
  <si>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</si>
  <si>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週高點兩個資料商不一致（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</si>
  <si>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</si>
  <si>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90.98%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</si>
  <si>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2026-09-30 </t>
    </r>
    <r>
      <rPr>
        <sz val="11"/>
        <color theme="1"/>
        <rFont val="Noto Sans CJK SC"/>
        <family val="2"/>
      </rPr>
      <t xml:space="preserve">收盤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</si>
  <si>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</si>
  <si>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</si>
  <si>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</si>
  <si>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</si>
  <si>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</si>
  <si>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</si>
  <si>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</si>
  <si>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</si>
  <si>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</si>
  <si>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</si>
  <si>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</si>
  <si>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</si>
  <si>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</si>
  <si>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</si>
  <si>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</si>
  <si>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</si>
  <si>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</si>
  <si>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</si>
  <si>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</si>
  <si>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</si>
  <si>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讀法：第五列＝十年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分位（見頂倍數）。現價以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倍看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低一成；以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倍看則約等於情境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）——要成立，需要份額、單價、美國限制其中至少一項大幅不利（見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），或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光模組需求明顯下修。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</si>
  <si>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</si>
  <si>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</si>
  <si>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依循環位置取分位，兩個來源各取分位再平均。兩來源差距大（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系統性較高；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年為小型股、獲利低基期的高倍數，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；規則值很可能高估成長放緩後的倍數（高盛稱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</si>
  <si>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</si>
  <si>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</si>
  <si>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</si>
  <si>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</si>
  <si>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</si>
  <si>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</si>
  <si>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</si>
  <si>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</si>
  <si>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</si>
  <si>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</si>
  <si>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</si>
  <si>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</si>
  <si>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</si>
  <si>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</si>
  <si>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</si>
  <si>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</si>
  <si>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</si>
  <si>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</si>
  <si>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</si>
  <si>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</si>
  <si>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</si>
  <si>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</si>
  <si>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</si>
  <si>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</si>
  <si>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</si>
  <si>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</si>
  <si>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</si>
  <si>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</si>
  <si>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</si>
  <si>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</si>
  <si>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</si>
  <si>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</si>
  <si>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</si>
  <si>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</si>
  <si>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</si>
  <si>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</si>
  <si>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</si>
  <si>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</si>
  <si>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</si>
  <si>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</si>
  <si>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</si>
  <si>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</si>
  <si>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</si>
  <si>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</si>
  <si>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</si>
  <si>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</si>
  <si>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</si>
  <si>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</si>
  <si>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</si>
  <si>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</si>
  <si>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</si>
  <si>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</si>
  <si>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</si>
  <si>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</si>
  <si>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</si>
  <si>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</si>
  <si>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</si>
  <si>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新易盛</t>
  </si>
  <si>
    <t xml:space="preserve">300502.SZ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</si>
  <si>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</si>
  <si>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300502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</si>
  <si>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</si>
  <si>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300308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</si>
  <si>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300394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</si>
  <si>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002281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</si>
  <si>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000988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</si>
  <si>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603083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</si>
  <si>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</si>
  <si>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</si>
  <si>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</si>
  <si>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</si>
  <si>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</si>
  <si>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</si>
  <si>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</si>
  <si>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</si>
  <si>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</si>
  <si>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</si>
  <si>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</si>
  <si>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</si>
  <si>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</si>
  <si>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</si>
  <si>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共識、券商、研調。只作事後對照，不為對上數字而調參數。共識（同花順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家）區間很寬（</t>
    </r>
    <r>
      <rPr>
        <sz val="11"/>
        <color theme="1"/>
        <rFont val="Calibri"/>
        <family val="2"/>
        <charset val="1"/>
      </rPr>
      <t xml:space="preserve">FY2027 EPS 16.29–54.49</t>
    </r>
    <r>
      <rPr>
        <sz val="11"/>
        <color theme="1"/>
        <rFont val="Noto Sans CJK SC"/>
        <family val="2"/>
      </rPr>
      <t xml:space="preserve">），均值明顯高於高盛（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）：天風、國金兩家特別高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</si>
  <si>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</si>
  <si>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</si>
  <si>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</si>
  <si>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</si>
  <si>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</si>
  <si>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</si>
  <si>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</si>
  <si>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</si>
  <si>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</si>
  <si>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</si>
  <si>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440.5–684.8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</si>
  <si>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</si>
  <si>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</si>
  <si>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126.9–272.9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</si>
  <si>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</si>
  <si>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Noto Sans CJK SC"/>
        <family val="2"/>
      </rPr>
      <t xml:space="preserve">華爾街見聞轉引高盛（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</si>
  <si>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</si>
  <si>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570.5–1,566.6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</si>
  <si>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</si>
  <si>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227.1–541.6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</si>
  <si>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</si>
  <si>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t xml:space="preserve">高盛低於共識均值約兩成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</si>
  <si>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</si>
  <si>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16.29–54.49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</si>
  <si>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</si>
  <si>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711.4–2,371.1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</si>
  <si>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</si>
  <si>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</si>
  <si>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21.94–65.32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</si>
  <si>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</si>
  <si>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investing.com</t>
  </si>
  <si>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公布後取代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</si>
  <si>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</si>
  <si>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2025 </t>
    </r>
    <r>
      <rPr>
        <sz val="11"/>
        <color theme="1"/>
        <rFont val="Noto Sans CJK SC"/>
        <family val="2"/>
      </rPr>
      <t xml:space="preserve">新易盛光模組營收</t>
    </r>
  </si>
  <si>
    <t xml:space="preserve">LightCounting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</si>
  <si>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含全部光模組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</si>
  <si>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可插拔有效份額＋中際旭創份額（兩家合計）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</si>
  <si>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</si>
  <si>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合計應明顯低於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（另有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</si>
  <si>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兩家合計可插拔份額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</si>
  <si>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</si>
  <si>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</si>
  <si>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</si>
  <si>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西南證券：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營收約為中際旭創的 </t>
    </r>
    <r>
      <rPr>
        <sz val="11"/>
        <color theme="1"/>
        <rFont val="Calibri"/>
        <family val="2"/>
        <charset val="1"/>
      </rPr>
      <t xml:space="preserve">50.1%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</si>
  <si>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</si>
  <si>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</si>
  <si>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</si>
  <si>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校準與價格</t>
    </r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</si>
  <si>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</si>
  <si>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</si>
  <si>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</si>
  <si>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高盛目標價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</si>
  <si>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</si>
  <si>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本模型用十年落後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，高盛用前瞻 </t>
    </r>
    <r>
      <rPr>
        <sz val="11"/>
        <color theme="1"/>
        <rFont val="Calibri"/>
        <family val="2"/>
        <charset val="1"/>
      </rPr>
      <t xml:space="preserve">29.3x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</si>
  <si>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</si>
  <si>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</si>
  <si>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</si>
  <si>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</si>
  <si>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</si>
  <si>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季報（預計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</si>
  <si>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</si>
  <si>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</si>
  <si>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</si>
  <si>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</si>
  <si>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</si>
  <si>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</si>
  <si>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</si>
  <si>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</si>
  <si>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</si>
  <si>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</si>
  <si>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</si>
  <si>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</si>
  <si>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</si>
  <si>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</si>
  <si>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</si>
  <si>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（主要客戶轉單、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</si>
  <si>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</si>
  <si>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1.20</t>
    </r>
    <r>
      <rPr>
        <sz val="11"/>
        <color theme="1"/>
        <rFont val="Noto Sans CJK SC"/>
        <family val="2"/>
      </rPr>
      <t xml:space="preserve">（搶中際旭創、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份額）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</si>
  <si>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</si>
  <si>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</si>
  <si>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</si>
  <si>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</si>
  <si>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</si>
  <si>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</si>
  <si>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</si>
  <si>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</si>
  <si>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</si>
  <si>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新易盛不參與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</si>
  <si>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</si>
  <si>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</si>
  <si>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</si>
  <si>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</si>
  <si>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</si>
  <si>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</si>
  <si>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</si>
  <si>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</si>
  <si>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</si>
  <si>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</si>
  <si>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</si>
  <si>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</si>
  <si>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</si>
  <si>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（費用與營收同步成長）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</si>
  <si>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</si>
  <si>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</si>
  <si>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</si>
  <si>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</si>
  <si>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起。「美國限制」「份額流失」「降價」「毛利率」四案例對應市場隱含衰退的路徑；新易盛境外營收占九成七以上，美國限制與主要客戶轉單是最大的單一風險。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</si>
  <si>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</si>
  <si>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</si>
  <si>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</si>
  <si>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</si>
  <si>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</si>
  <si>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</si>
  <si>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</si>
  <si>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</si>
  <si>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</si>
  <si>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</si>
  <si>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</si>
  <si>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</si>
  <si>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</si>
  <si>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</si>
  <si>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</si>
  <si>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</si>
  <si>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</si>
  <si>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</si>
  <si>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</si>
  <si>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</si>
  <si>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</si>
  <si>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</si>
  <si>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</si>
  <si>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</si>
  <si>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</si>
  <si>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</si>
  <si>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</si>
  <si>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</si>
  <si>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</si>
  <si>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</si>
  <si>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</si>
  <si>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</si>
  <si>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（東方財富／中證網）</t>
    </r>
  </si>
  <si>
    <t xml:space="preserve">https://finance.eastmoney.com/a/202604243717729349.html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</si>
  <si>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光互聯毛利率、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實績與匯兌損失（每日經濟新聞）</t>
    </r>
  </si>
  <si>
    <t xml:space="preserve">https://www.nbd.com.cn/articles/2026-04-24/4356482.html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</si>
  <si>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存貨、減值、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季減（虎嗅）</t>
    </r>
  </si>
  <si>
    <t xml:space="preserve">https://www.huxiu.com/article/4853326.html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</si>
  <si>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實績、光互聯毛利率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、境外收入、研發（</t>
    </r>
    <r>
      <rPr>
        <sz val="11"/>
        <color theme="1"/>
        <rFont val="Calibri"/>
        <family val="2"/>
        <charset val="1"/>
      </rPr>
      <t xml:space="preserve">C114</t>
    </r>
    <r>
      <rPr>
        <sz val="11"/>
        <color theme="1"/>
        <rFont val="Noto Sans CJK SC"/>
        <family val="2"/>
      </rPr>
      <t xml:space="preserve">）</t>
    </r>
  </si>
  <si>
    <t xml:space="preserve">https://m.c114.com.cn/w123-1316262.html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</si>
  <si>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5.41</t>
    </r>
    <r>
      <rPr>
        <sz val="11"/>
        <color theme="1"/>
        <rFont val="Noto Sans CJK SC"/>
        <family val="2"/>
      </rPr>
      <t xml:space="preserve">（東方財富）</t>
    </r>
  </si>
  <si>
    <t xml:space="preserve">https://finance.eastmoney.com/a/202608243851382445.html</t>
  </si>
  <si>
    <r>
      <rPr>
        <sz val="11"/>
        <color theme="1"/>
        <rFont val="Noto Sans CJK SC"/>
        <family val="2"/>
      </rPr>
      <t xml:space="preserve">券商：西南證券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、境外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、與中際旭創比較）</t>
    </r>
  </si>
  <si>
    <t xml:space="preserve">https://stock.10jqka.com.cn/20260915/c679905127.shtml</t>
  </si>
  <si>
    <r>
      <rPr>
        <sz val="11"/>
        <color theme="1"/>
        <rFont val="Noto Sans CJK SC"/>
        <family val="2"/>
      </rPr>
      <t xml:space="preserve">券商：長江證券（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、淨利率 </t>
    </r>
    <r>
      <rPr>
        <sz val="11"/>
        <color theme="1"/>
        <rFont val="Calibri"/>
        <family val="2"/>
        <charset val="1"/>
      </rPr>
      <t xml:space="preserve">37.77%</t>
    </r>
    <r>
      <rPr>
        <sz val="11"/>
        <color theme="1"/>
        <rFont val="Noto Sans CJK SC"/>
        <family val="2"/>
      </rPr>
      <t xml:space="preserve">）</t>
    </r>
  </si>
  <si>
    <t xml:space="preserve">https://m.gelonghui.com/news/5306856</t>
  </si>
  <si>
    <r>
      <rPr>
        <sz val="11"/>
        <color theme="1"/>
        <rFont val="Noto Sans CJK SC"/>
        <family val="2"/>
      </rPr>
      <t xml:space="preserve">券商：開源證券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（總股本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億、少數股東損益、費用率）</t>
    </r>
  </si>
  <si>
    <t xml:space="preserve">https://pdf.dfcfw.com/pdf/H3_AP202608251828397684_1.pdf</t>
  </si>
  <si>
    <r>
      <rPr>
        <sz val="11"/>
        <color theme="1"/>
        <rFont val="Noto Sans CJK SC"/>
        <family val="2"/>
      </rPr>
      <t xml:space="preserve">券商：天風證券 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、產能、盈利預測）</t>
    </r>
  </si>
  <si>
    <t xml:space="preserve">https://stock.10jqka.com.cn/20261010/c680549851.shtml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</si>
  <si>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年限制性股票激勵（同花順）</t>
    </r>
  </si>
  <si>
    <t xml:space="preserve">https://stock.10jqka.com.cn/20260820/c679144690.shtml</t>
  </si>
  <si>
    <r>
      <rPr>
        <sz val="11"/>
        <color theme="1"/>
        <rFont val="Noto Sans CJK SC"/>
        <family val="2"/>
      </rPr>
      <t xml:space="preserve">公司說法（轉載）：</t>
    </r>
    <r>
      <rPr>
        <sz val="11"/>
        <color theme="1"/>
        <rFont val="Calibri"/>
        <family val="2"/>
        <charset val="1"/>
      </rPr>
      <t xml:space="preserve">NPO 2027 </t>
    </r>
    <r>
      <rPr>
        <sz val="11"/>
        <color theme="1"/>
        <rFont val="Noto Sans CJK SC"/>
        <family val="2"/>
      </rPr>
      <t xml:space="preserve">批量、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下半年放量（同花順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</si>
  <si>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t xml:space="preserve">https://stock.10jqka.com.cn/20260928/c680329640.shtml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</si>
  <si>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</si>
  <si>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https://basic.10jqka.com.cn/300502/worth.html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</si>
  <si>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（盈利預測、目標價 </t>
    </r>
    <r>
      <rPr>
        <sz val="11"/>
        <color theme="1"/>
        <rFont val="Calibri"/>
        <family val="2"/>
        <charset val="1"/>
      </rPr>
      <t xml:space="preserve">633</t>
    </r>
    <r>
      <rPr>
        <sz val="11"/>
        <color theme="1"/>
        <rFont val="Noto Sans CJK SC"/>
        <family val="2"/>
      </rPr>
      <t xml:space="preserve">）（華爾街見聞）</t>
    </r>
  </si>
  <si>
    <t xml:space="preserve">https://wallstreetcn.com/articles/3777393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</si>
  <si>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歷史平均約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）（老虎證券）</t>
    </r>
  </si>
  <si>
    <t xml:space="preserve">https://www.itiger.com/news/1150980067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</si>
  <si>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</si>
  <si>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</si>
  <si>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</si>
  <si>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</si>
  <si>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價格：中財網（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（同值、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收盤）</t>
    </r>
  </si>
  <si>
    <t xml:space="preserve">https://quote.cfi.cn/300502.html</t>
  </si>
  <si>
    <r>
      <rPr>
        <sz val="11"/>
        <color theme="1"/>
        <rFont val="Noto Sans CJK SC"/>
        <family val="2"/>
      </rPr>
      <t xml:space="preserve">財報日：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2026-10-30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共識）</t>
    </r>
  </si>
  <si>
    <t xml:space="preserve">https://pl.investing.com/equities/eoptolink-tech-earnings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</si>
  <si>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</si>
  <si>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https://companiesmarketcap.com/eoptolink-technology/pe-ratio/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</si>
  <si>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</si>
  <si>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https://stockanalysis.com/quote/she/300502/financials/ratios/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</si>
  <si>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</si>
  <si>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10-30</t>
    </r>
    <r>
      <rPr>
        <sz val="11"/>
        <color theme="1"/>
        <rFont val="Noto Sans CJK SC"/>
        <family val="2"/>
      </rPr>
      <t xml:space="preserve">）；全公司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毛利率；客戶名稱與集中度；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份額第一手來源；泰國子公司稅率；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週高點（資料商不一致）；近一個月跌幅原因；前瞻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</si>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</sst>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#,##0.000"/>
    <numFmt numFmtId="167" formatCode="0.000"/>
    <numFmt numFmtId="168" formatCode="0.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@"/>
    <numFmt numFmtId="175" formatCode="0%"/>
    <numFmt numFmtId="176" formatCode="#,##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0" t="str">
        <f aca="false">"重點觀察 1：目標價 ¥"&amp;TEXT(Val!$B$39,"#,##0.00")&amp;"（DCF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相對倍數調整前撰寫的說明，其中數字為調整前：主因是倍數不是 EPS：本模型 12 個月後前瞻 EPS 23.74 比共識前瞻 EPS 37.82 低 37.2%，但 A 股光通訊同業前瞻 P/E 中位數 45.1 倍，現價只隱含 10.3 倍（共識未來 12 月 EPS）、共識目標價 460.89 隱含 12.2 倍；Comparable 未扣同業溢價與客戶集中、美國"&amp;"限制風險。DCF 單獨也有 +96.4%（ROE 42.3%，現價只有 FY2027 EPS 的 10.0–10.2 倍）。"</f>
        <v>重點觀察 1：目標價 ¥705.63（DCF 510.23、Comparable（相對倍數調整後）901.04；DCF 權重 50%），比現價 261.00（2026-10-23）高 170.4%，級距 大於 50%、投資建議 強力買進。相對倍數調整係數 0.84（本公司 10 年前瞻倍數中位數 ÷ 同業的中位數，夾在 0.5–2.0；Val 第 0.5 節），調整前加權上檔空間 +202.5%；Comparable 單獨（市場主流同業法、未調整）為 +309.6%。以下為 2026-10-29 相對倍數調整前撰寫的說明，其中數字為調整前：主因是倍數不是 EPS：本模型 12 個月後前瞻 EPS 23.74 比共識前瞻 EPS 37.82 低 37.2%，但 A 股光通訊同業前瞻 P/E 中位數 45.1 倍，現價只隱含 10.3 倍（共識未來 12 月 EPS）、共識目標價 460.89 隱含 12.2 倍；Comparable 未扣同業溢價與客戶集中、美國限制風險。DCF 單獨也有 +96.4%（ROE 42.3%，現價只有 FY2027 EPS 的 10.0–10.2 倍）。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0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29.753262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53.560715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57.9915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72.9348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0" t="s">
        <v>33</v>
      </c>
      <c r="E9" s="7" t="n">
        <v>0.300538</v>
      </c>
      <c r="G9" s="8" t="s">
        <v>34</v>
      </c>
      <c r="H9" s="8" t="s">
        <v>46</v>
      </c>
      <c r="I9" s="4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0" t="s">
        <v>33</v>
      </c>
      <c r="E10" s="7" t="n">
        <v>2.818985</v>
      </c>
      <c r="G10" s="8" t="s">
        <v>34</v>
      </c>
      <c r="H10" s="8" t="s">
        <v>46</v>
      </c>
      <c r="I10" s="4" t="s">
        <v>39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33</v>
      </c>
      <c r="E11" s="7" t="n">
        <v>6.4435</v>
      </c>
      <c r="G11" s="8" t="s">
        <v>34</v>
      </c>
      <c r="H11" s="8" t="s">
        <v>46</v>
      </c>
      <c r="I11" s="4" t="s">
        <v>39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33</v>
      </c>
      <c r="E12" s="7" t="n">
        <v>11.74736</v>
      </c>
      <c r="G12" s="8" t="s">
        <v>34</v>
      </c>
      <c r="H12" s="8" t="s">
        <v>46</v>
      </c>
      <c r="I12" s="4" t="s">
        <v>39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0" t="s">
        <v>33</v>
      </c>
      <c r="E13" s="7" t="n">
        <v>781.872916666666</v>
      </c>
      <c r="G13" s="8" t="s">
        <v>34</v>
      </c>
      <c r="H13" s="8" t="s">
        <v>56</v>
      </c>
      <c r="I13" s="8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0" t="s">
        <v>33</v>
      </c>
      <c r="E14" s="7" t="n">
        <v>1565.35</v>
      </c>
      <c r="G14" s="8" t="s">
        <v>34</v>
      </c>
      <c r="H14" s="8" t="s">
        <v>56</v>
      </c>
      <c r="I14" s="4" t="s">
        <v>39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0" t="s">
        <v>33</v>
      </c>
      <c r="E15" s="7" t="n">
        <v>1984.26388888889</v>
      </c>
      <c r="G15" s="8" t="s">
        <v>34</v>
      </c>
      <c r="H15" s="8" t="s">
        <v>56</v>
      </c>
      <c r="I15" s="4" t="s">
        <v>39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33</v>
      </c>
      <c r="E16" s="7" t="n">
        <v>2260.39027777778</v>
      </c>
      <c r="G16" s="8" t="s">
        <v>34</v>
      </c>
      <c r="H16" s="8" t="s">
        <v>56</v>
      </c>
      <c r="I16" s="4" t="s">
        <v>39</v>
      </c>
    </row>
    <row r="17" customFormat="false" ht="17.15" hidden="false" customHeight="false" outlineLevel="0" collapsed="false">
      <c r="A17" s="0" t="s">
        <v>64</v>
      </c>
      <c r="B17" s="4" t="s">
        <v>65</v>
      </c>
      <c r="C17" s="0" t="s">
        <v>66</v>
      </c>
      <c r="E17" s="7" t="n">
        <v>0.445687059095763</v>
      </c>
      <c r="G17" s="8" t="s">
        <v>34</v>
      </c>
      <c r="H17" s="8" t="s">
        <v>67</v>
      </c>
      <c r="I17" s="4" t="s">
        <v>68</v>
      </c>
    </row>
    <row r="18" customFormat="false" ht="17.15" hidden="false" customHeight="false" outlineLevel="0" collapsed="false">
      <c r="A18" s="0" t="s">
        <v>69</v>
      </c>
      <c r="B18" s="4" t="s">
        <v>70</v>
      </c>
      <c r="C18" s="0" t="s">
        <v>66</v>
      </c>
      <c r="E18" s="7" t="n">
        <v>0.423402706140975</v>
      </c>
      <c r="G18" s="8" t="s">
        <v>34</v>
      </c>
      <c r="H18" s="8" t="s">
        <v>67</v>
      </c>
      <c r="I18" s="4" t="s">
        <v>39</v>
      </c>
    </row>
    <row r="19" customFormat="false" ht="17.15" hidden="false" customHeight="false" outlineLevel="0" collapsed="false">
      <c r="A19" s="0" t="s">
        <v>71</v>
      </c>
      <c r="B19" s="4" t="s">
        <v>72</v>
      </c>
      <c r="C19" s="0" t="s">
        <v>66</v>
      </c>
      <c r="E19" s="7" t="n">
        <v>0.401118353186187</v>
      </c>
      <c r="G19" s="8" t="s">
        <v>34</v>
      </c>
      <c r="H19" s="8" t="s">
        <v>67</v>
      </c>
      <c r="I19" s="4" t="s">
        <v>39</v>
      </c>
    </row>
    <row r="20" customFormat="false" ht="17.15" hidden="false" customHeight="false" outlineLevel="0" collapsed="false">
      <c r="A20" s="0" t="s">
        <v>73</v>
      </c>
      <c r="B20" s="4" t="s">
        <v>74</v>
      </c>
      <c r="C20" s="0" t="s">
        <v>66</v>
      </c>
      <c r="E20" s="7" t="n">
        <v>0.378834000231398</v>
      </c>
      <c r="G20" s="8" t="s">
        <v>34</v>
      </c>
      <c r="H20" s="8" t="s">
        <v>67</v>
      </c>
      <c r="I20" s="4" t="s">
        <v>39</v>
      </c>
    </row>
    <row r="21" customFormat="false" ht="17.15" hidden="false" customHeight="false" outlineLevel="0" collapsed="false">
      <c r="A21" s="0" t="s">
        <v>75</v>
      </c>
      <c r="B21" s="4" t="s">
        <v>76</v>
      </c>
      <c r="C21" s="0" t="s">
        <v>33</v>
      </c>
      <c r="E21" s="7" t="n">
        <v>13.2606438392857</v>
      </c>
      <c r="G21" s="8" t="s">
        <v>34</v>
      </c>
      <c r="H21" s="8" t="s">
        <v>77</v>
      </c>
      <c r="I21" s="8" t="s">
        <v>78</v>
      </c>
    </row>
    <row r="22" customFormat="false" ht="17.15" hidden="false" customHeight="false" outlineLevel="0" collapsed="false">
      <c r="A22" s="0" t="s">
        <v>79</v>
      </c>
      <c r="B22" s="4" t="s">
        <v>80</v>
      </c>
      <c r="C22" s="0" t="s">
        <v>81</v>
      </c>
      <c r="E22" s="7" t="n">
        <v>1</v>
      </c>
      <c r="G22" s="8" t="s">
        <v>82</v>
      </c>
      <c r="H22" s="8" t="s">
        <v>83</v>
      </c>
      <c r="I22" s="8" t="s">
        <v>84</v>
      </c>
    </row>
    <row r="23" customFormat="false" ht="17.15" hidden="false" customHeight="false" outlineLevel="0" collapsed="false">
      <c r="A23" s="0" t="s">
        <v>85</v>
      </c>
      <c r="B23" s="4" t="s">
        <v>86</v>
      </c>
      <c r="C23" s="0" t="s">
        <v>81</v>
      </c>
      <c r="E23" s="7" t="n">
        <v>1</v>
      </c>
      <c r="G23" s="8" t="s">
        <v>82</v>
      </c>
      <c r="H23" s="8" t="s">
        <v>87</v>
      </c>
      <c r="I23" s="4" t="s">
        <v>39</v>
      </c>
    </row>
    <row r="24" customFormat="false" ht="17.15" hidden="false" customHeight="false" outlineLevel="0" collapsed="false">
      <c r="A24" s="0" t="s">
        <v>88</v>
      </c>
      <c r="B24" s="4" t="s">
        <v>89</v>
      </c>
      <c r="C24" s="0" t="s">
        <v>81</v>
      </c>
      <c r="E24" s="7" t="n">
        <v>0.8</v>
      </c>
      <c r="G24" s="8" t="s">
        <v>82</v>
      </c>
      <c r="H24" s="8" t="s">
        <v>90</v>
      </c>
      <c r="I24" s="8" t="s">
        <v>84</v>
      </c>
    </row>
    <row r="25" customFormat="false" ht="17.15" hidden="false" customHeight="false" outlineLevel="0" collapsed="false">
      <c r="A25" s="0" t="s">
        <v>91</v>
      </c>
      <c r="B25" s="4" t="s">
        <v>92</v>
      </c>
      <c r="C25" s="0" t="s">
        <v>81</v>
      </c>
      <c r="E25" s="7" t="n">
        <v>0.85</v>
      </c>
      <c r="G25" s="8" t="s">
        <v>82</v>
      </c>
      <c r="H25" s="8" t="s">
        <v>93</v>
      </c>
      <c r="I25" s="4" t="s">
        <v>39</v>
      </c>
    </row>
    <row r="26" customFormat="false" ht="17.15" hidden="false" customHeight="false" outlineLevel="0" collapsed="false">
      <c r="A26" s="0" t="s">
        <v>94</v>
      </c>
      <c r="B26" s="4" t="s">
        <v>95</v>
      </c>
      <c r="C26" s="0" t="s">
        <v>81</v>
      </c>
      <c r="E26" s="7" t="n">
        <v>0.6</v>
      </c>
      <c r="G26" s="8" t="s">
        <v>82</v>
      </c>
      <c r="H26" s="8" t="s">
        <v>96</v>
      </c>
      <c r="I26" s="8" t="s">
        <v>84</v>
      </c>
    </row>
    <row r="27" customFormat="false" ht="17.15" hidden="false" customHeight="false" outlineLevel="0" collapsed="false">
      <c r="A27" s="0" t="s">
        <v>97</v>
      </c>
      <c r="B27" s="4" t="s">
        <v>98</v>
      </c>
      <c r="C27" s="0" t="s">
        <v>81</v>
      </c>
      <c r="E27" s="7" t="n">
        <v>0.6</v>
      </c>
      <c r="G27" s="8" t="s">
        <v>82</v>
      </c>
      <c r="H27" s="8" t="s">
        <v>99</v>
      </c>
      <c r="I27" s="4" t="s">
        <v>39</v>
      </c>
    </row>
    <row r="28" customFormat="false" ht="17.15" hidden="false" customHeight="false" outlineLevel="0" collapsed="false">
      <c r="A28" s="6" t="s">
        <v>100</v>
      </c>
    </row>
    <row r="29" customFormat="false" ht="17.15" hidden="false" customHeight="false" outlineLevel="0" collapsed="false">
      <c r="A29" s="0" t="s">
        <v>101</v>
      </c>
      <c r="B29" s="4" t="s">
        <v>102</v>
      </c>
      <c r="C29" s="0" t="s">
        <v>81</v>
      </c>
      <c r="D29" s="7" t="n">
        <v>0.8</v>
      </c>
      <c r="E29" s="7" t="n">
        <v>1</v>
      </c>
      <c r="F29" s="7" t="n">
        <v>1.15</v>
      </c>
      <c r="G29" s="8" t="s">
        <v>82</v>
      </c>
      <c r="H29" s="8" t="s">
        <v>103</v>
      </c>
      <c r="I29" s="4" t="s">
        <v>104</v>
      </c>
    </row>
    <row r="30" customFormat="false" ht="17.15" hidden="false" customHeight="false" outlineLevel="0" collapsed="false">
      <c r="A30" s="0" t="s">
        <v>105</v>
      </c>
      <c r="B30" s="4" t="s">
        <v>106</v>
      </c>
      <c r="C30" s="0" t="s">
        <v>81</v>
      </c>
      <c r="D30" s="7" t="n">
        <v>0.65</v>
      </c>
      <c r="E30" s="7" t="n">
        <v>1</v>
      </c>
      <c r="F30" s="7" t="n">
        <v>1.2</v>
      </c>
      <c r="G30" s="8" t="s">
        <v>82</v>
      </c>
      <c r="H30" s="4" t="s">
        <v>107</v>
      </c>
      <c r="I30" s="4" t="s">
        <v>108</v>
      </c>
    </row>
    <row r="31" customFormat="false" ht="17.15" hidden="false" customHeight="false" outlineLevel="0" collapsed="false">
      <c r="A31" s="0" t="s">
        <v>109</v>
      </c>
      <c r="B31" s="4" t="s">
        <v>110</v>
      </c>
      <c r="C31" s="0" t="s">
        <v>81</v>
      </c>
      <c r="D31" s="7" t="n">
        <v>0.55</v>
      </c>
      <c r="E31" s="7" t="n">
        <v>0.95</v>
      </c>
      <c r="F31" s="7" t="n">
        <v>1.2</v>
      </c>
      <c r="G31" s="8" t="s">
        <v>82</v>
      </c>
      <c r="H31" s="4" t="s">
        <v>111</v>
      </c>
      <c r="I31" s="8" t="s">
        <v>112</v>
      </c>
    </row>
    <row r="32" customFormat="false" ht="17.15" hidden="false" customHeight="false" outlineLevel="0" collapsed="false">
      <c r="A32" s="0" t="s">
        <v>113</v>
      </c>
      <c r="B32" s="4" t="s">
        <v>114</v>
      </c>
      <c r="C32" s="0" t="s">
        <v>81</v>
      </c>
      <c r="E32" s="7" t="n">
        <v>0.9</v>
      </c>
      <c r="G32" s="8" t="s">
        <v>82</v>
      </c>
      <c r="H32" s="8" t="s">
        <v>115</v>
      </c>
      <c r="I32" s="4" t="s">
        <v>116</v>
      </c>
    </row>
    <row r="33" customFormat="false" ht="17.15" hidden="false" customHeight="false" outlineLevel="0" collapsed="false">
      <c r="A33" s="0" t="s">
        <v>117</v>
      </c>
      <c r="B33" s="4" t="s">
        <v>118</v>
      </c>
      <c r="C33" s="0" t="s">
        <v>81</v>
      </c>
      <c r="E33" s="7" t="n">
        <v>0.55</v>
      </c>
      <c r="G33" s="8" t="s">
        <v>82</v>
      </c>
      <c r="H33" s="4" t="s">
        <v>119</v>
      </c>
      <c r="I33" s="8" t="s">
        <v>112</v>
      </c>
    </row>
    <row r="34" customFormat="false" ht="17.15" hidden="false" customHeight="false" outlineLevel="0" collapsed="false">
      <c r="A34" s="0" t="s">
        <v>120</v>
      </c>
      <c r="B34" s="4" t="s">
        <v>121</v>
      </c>
      <c r="C34" s="0" t="s">
        <v>81</v>
      </c>
      <c r="E34" s="7" t="n">
        <v>0.5</v>
      </c>
      <c r="G34" s="8" t="s">
        <v>82</v>
      </c>
      <c r="H34" s="4" t="s">
        <v>39</v>
      </c>
      <c r="I34" s="8" t="s">
        <v>112</v>
      </c>
    </row>
    <row r="35" customFormat="false" ht="17.15" hidden="false" customHeight="false" outlineLevel="0" collapsed="false">
      <c r="A35" s="0" t="s">
        <v>122</v>
      </c>
      <c r="B35" s="4" t="s">
        <v>123</v>
      </c>
      <c r="C35" s="0" t="s">
        <v>66</v>
      </c>
      <c r="D35" s="7" t="n">
        <v>0</v>
      </c>
      <c r="E35" s="7" t="n">
        <v>0.05</v>
      </c>
      <c r="F35" s="7" t="n">
        <v>0.2</v>
      </c>
      <c r="G35" s="8" t="s">
        <v>82</v>
      </c>
      <c r="H35" s="8" t="s">
        <v>124</v>
      </c>
      <c r="I35" s="4" t="s">
        <v>125</v>
      </c>
    </row>
    <row r="36" customFormat="false" ht="17.15" hidden="false" customHeight="false" outlineLevel="0" collapsed="false">
      <c r="A36" s="0" t="s">
        <v>126</v>
      </c>
      <c r="B36" s="4" t="s">
        <v>127</v>
      </c>
      <c r="C36" s="0" t="s">
        <v>66</v>
      </c>
      <c r="D36" s="7" t="n">
        <v>0</v>
      </c>
      <c r="E36" s="7" t="n">
        <v>0.1</v>
      </c>
      <c r="F36" s="7" t="n">
        <v>0.25</v>
      </c>
      <c r="G36" s="8" t="s">
        <v>82</v>
      </c>
      <c r="H36" s="4" t="s">
        <v>39</v>
      </c>
      <c r="I36" s="8" t="s">
        <v>112</v>
      </c>
    </row>
    <row r="37" customFormat="false" ht="17.15" hidden="false" customHeight="false" outlineLevel="0" collapsed="false">
      <c r="A37" s="0" t="s">
        <v>128</v>
      </c>
      <c r="B37" s="4" t="s">
        <v>129</v>
      </c>
      <c r="C37" s="0" t="s">
        <v>66</v>
      </c>
      <c r="D37" s="7" t="n">
        <v>0</v>
      </c>
      <c r="E37" s="7" t="n">
        <v>0.15</v>
      </c>
      <c r="F37" s="7" t="n">
        <v>0.3</v>
      </c>
      <c r="G37" s="8" t="s">
        <v>82</v>
      </c>
      <c r="H37" s="4" t="s">
        <v>39</v>
      </c>
      <c r="I37" s="8" t="s">
        <v>112</v>
      </c>
    </row>
    <row r="38" customFormat="false" ht="17.15" hidden="false" customHeight="false" outlineLevel="0" collapsed="false">
      <c r="A38" s="0" t="s">
        <v>130</v>
      </c>
      <c r="B38" s="4" t="s">
        <v>131</v>
      </c>
      <c r="C38" s="0" t="s">
        <v>81</v>
      </c>
      <c r="D38" s="7" t="n">
        <v>0.9</v>
      </c>
      <c r="E38" s="7" t="n">
        <v>1</v>
      </c>
      <c r="F38" s="7" t="n">
        <v>1.05</v>
      </c>
      <c r="G38" s="8" t="s">
        <v>82</v>
      </c>
      <c r="H38" s="4" t="s">
        <v>132</v>
      </c>
      <c r="I38" s="4" t="s">
        <v>133</v>
      </c>
    </row>
    <row r="39" customFormat="false" ht="17.15" hidden="false" customHeight="false" outlineLevel="0" collapsed="false">
      <c r="A39" s="0" t="s">
        <v>134</v>
      </c>
      <c r="B39" s="4" t="s">
        <v>135</v>
      </c>
      <c r="C39" s="0" t="s">
        <v>81</v>
      </c>
      <c r="D39" s="7" t="n">
        <v>0.8</v>
      </c>
      <c r="E39" s="7" t="n">
        <v>1</v>
      </c>
      <c r="F39" s="7" t="n">
        <v>1.05</v>
      </c>
      <c r="G39" s="8" t="s">
        <v>82</v>
      </c>
      <c r="H39" s="4" t="s">
        <v>39</v>
      </c>
      <c r="I39" s="8" t="s">
        <v>112</v>
      </c>
    </row>
    <row r="40" customFormat="false" ht="17.15" hidden="false" customHeight="false" outlineLevel="0" collapsed="false">
      <c r="A40" s="0" t="s">
        <v>136</v>
      </c>
      <c r="B40" s="4" t="s">
        <v>137</v>
      </c>
      <c r="C40" s="0" t="s">
        <v>81</v>
      </c>
      <c r="D40" s="7" t="n">
        <v>0.72</v>
      </c>
      <c r="E40" s="7" t="n">
        <v>1</v>
      </c>
      <c r="F40" s="7" t="n">
        <v>1.05</v>
      </c>
      <c r="G40" s="8" t="s">
        <v>82</v>
      </c>
      <c r="H40" s="4" t="s">
        <v>39</v>
      </c>
      <c r="I40" s="8" t="s">
        <v>112</v>
      </c>
    </row>
    <row r="41" customFormat="false" ht="17.15" hidden="false" customHeight="false" outlineLevel="0" collapsed="false">
      <c r="A41" s="0" t="s">
        <v>138</v>
      </c>
      <c r="B41" s="4" t="s">
        <v>139</v>
      </c>
      <c r="C41" s="0" t="s">
        <v>140</v>
      </c>
      <c r="D41" s="7" t="n">
        <v>6.5</v>
      </c>
      <c r="E41" s="7" t="n">
        <v>6.72</v>
      </c>
      <c r="F41" s="7" t="n">
        <v>7</v>
      </c>
      <c r="G41" s="8" t="s">
        <v>141</v>
      </c>
      <c r="H41" s="8" t="s">
        <v>142</v>
      </c>
      <c r="I41" s="8" t="s">
        <v>143</v>
      </c>
    </row>
    <row r="42" customFormat="false" ht="17.15" hidden="false" customHeight="false" outlineLevel="0" collapsed="false">
      <c r="A42" s="6" t="s">
        <v>144</v>
      </c>
    </row>
    <row r="43" customFormat="false" ht="17.15" hidden="false" customHeight="false" outlineLevel="0" collapsed="false">
      <c r="A43" s="0" t="s">
        <v>145</v>
      </c>
      <c r="B43" s="4" t="s">
        <v>146</v>
      </c>
      <c r="C43" s="0" t="s">
        <v>66</v>
      </c>
      <c r="D43" s="7" t="n">
        <v>0.03</v>
      </c>
      <c r="E43" s="7" t="n">
        <v>0.05</v>
      </c>
      <c r="F43" s="7" t="n">
        <v>0.1</v>
      </c>
      <c r="G43" s="8" t="s">
        <v>82</v>
      </c>
      <c r="H43" s="4" t="s">
        <v>147</v>
      </c>
      <c r="I43" s="4" t="s">
        <v>148</v>
      </c>
    </row>
    <row r="44" customFormat="false" ht="17.15" hidden="false" customHeight="false" outlineLevel="0" collapsed="false">
      <c r="A44" s="0" t="s">
        <v>149</v>
      </c>
      <c r="B44" s="4" t="s">
        <v>150</v>
      </c>
      <c r="C44" s="0" t="s">
        <v>66</v>
      </c>
      <c r="D44" s="7" t="n">
        <v>0</v>
      </c>
      <c r="E44" s="7" t="n">
        <v>0.1</v>
      </c>
      <c r="F44" s="7" t="n">
        <v>0.2</v>
      </c>
      <c r="G44" s="8" t="s">
        <v>82</v>
      </c>
      <c r="H44" s="4" t="s">
        <v>133</v>
      </c>
      <c r="I44" s="8" t="s">
        <v>112</v>
      </c>
    </row>
    <row r="45" customFormat="false" ht="17.15" hidden="false" customHeight="false" outlineLevel="0" collapsed="false">
      <c r="A45" s="6" t="s">
        <v>151</v>
      </c>
    </row>
    <row r="46" customFormat="false" ht="17.15" hidden="false" customHeight="false" outlineLevel="0" collapsed="false">
      <c r="A46" s="0" t="s">
        <v>152</v>
      </c>
      <c r="B46" s="0" t="s">
        <v>153</v>
      </c>
      <c r="C46" s="0" t="s">
        <v>66</v>
      </c>
      <c r="D46" s="7" t="n">
        <v>0.45</v>
      </c>
      <c r="E46" s="7" t="n">
        <v>0.48</v>
      </c>
      <c r="F46" s="7" t="n">
        <v>0.5</v>
      </c>
      <c r="G46" s="8" t="s">
        <v>82</v>
      </c>
      <c r="H46" s="8" t="s">
        <v>154</v>
      </c>
      <c r="I46" s="8" t="s">
        <v>155</v>
      </c>
    </row>
    <row r="47" customFormat="false" ht="17.15" hidden="false" customHeight="false" outlineLevel="0" collapsed="false">
      <c r="A47" s="0" t="s">
        <v>156</v>
      </c>
      <c r="B47" s="4" t="s">
        <v>157</v>
      </c>
      <c r="C47" s="0" t="s">
        <v>66</v>
      </c>
      <c r="D47" s="7" t="n">
        <v>0.43</v>
      </c>
      <c r="E47" s="7" t="n">
        <v>0.47</v>
      </c>
      <c r="F47" s="7" t="n">
        <v>0.49</v>
      </c>
      <c r="G47" s="8" t="s">
        <v>82</v>
      </c>
      <c r="H47" s="8" t="s">
        <v>158</v>
      </c>
      <c r="I47" s="4" t="s">
        <v>159</v>
      </c>
    </row>
    <row r="48" customFormat="false" ht="17.15" hidden="false" customHeight="false" outlineLevel="0" collapsed="false">
      <c r="A48" s="0" t="s">
        <v>160</v>
      </c>
      <c r="B48" s="4" t="s">
        <v>161</v>
      </c>
      <c r="C48" s="0" t="s">
        <v>66</v>
      </c>
      <c r="D48" s="7" t="n">
        <v>0.4</v>
      </c>
      <c r="E48" s="7" t="n">
        <v>0.46</v>
      </c>
      <c r="F48" s="7" t="n">
        <v>0.48</v>
      </c>
      <c r="G48" s="8" t="s">
        <v>82</v>
      </c>
      <c r="H48" s="4" t="s">
        <v>162</v>
      </c>
      <c r="I48" s="8" t="s">
        <v>112</v>
      </c>
    </row>
    <row r="49" customFormat="false" ht="17.15" hidden="false" customHeight="false" outlineLevel="0" collapsed="false">
      <c r="A49" s="0" t="s">
        <v>163</v>
      </c>
      <c r="B49" s="4" t="s">
        <v>164</v>
      </c>
      <c r="C49" s="0" t="s">
        <v>66</v>
      </c>
      <c r="D49" s="7" t="n">
        <v>0.36</v>
      </c>
      <c r="E49" s="7" t="n">
        <v>0.45</v>
      </c>
      <c r="F49" s="7" t="n">
        <v>0.47</v>
      </c>
      <c r="G49" s="8" t="s">
        <v>82</v>
      </c>
      <c r="H49" s="4" t="s">
        <v>39</v>
      </c>
      <c r="I49" s="8" t="s">
        <v>112</v>
      </c>
    </row>
    <row r="50" customFormat="false" ht="17.15" hidden="false" customHeight="false" outlineLevel="0" collapsed="false">
      <c r="A50" s="6" t="s">
        <v>165</v>
      </c>
    </row>
    <row r="51" customFormat="false" ht="17.15" hidden="false" customHeight="false" outlineLevel="0" collapsed="false">
      <c r="A51" s="0" t="s">
        <v>166</v>
      </c>
      <c r="B51" s="0" t="s">
        <v>167</v>
      </c>
      <c r="C51" s="0" t="s">
        <v>168</v>
      </c>
      <c r="E51" s="7" t="n">
        <v>20.91</v>
      </c>
      <c r="G51" s="8" t="s">
        <v>141</v>
      </c>
      <c r="H51" s="8" t="s">
        <v>169</v>
      </c>
      <c r="I51" s="8" t="s">
        <v>170</v>
      </c>
    </row>
    <row r="52" customFormat="false" ht="17.15" hidden="false" customHeight="false" outlineLevel="0" collapsed="false">
      <c r="A52" s="0" t="s">
        <v>171</v>
      </c>
      <c r="B52" s="0" t="s">
        <v>172</v>
      </c>
      <c r="C52" s="0" t="s">
        <v>66</v>
      </c>
      <c r="E52" s="7" t="n">
        <v>0.4844</v>
      </c>
      <c r="G52" s="8" t="s">
        <v>141</v>
      </c>
      <c r="H52" s="8" t="s">
        <v>173</v>
      </c>
      <c r="I52" s="8" t="s">
        <v>174</v>
      </c>
    </row>
    <row r="53" customFormat="false" ht="17.15" hidden="false" customHeight="false" outlineLevel="0" collapsed="false">
      <c r="A53" s="0" t="s">
        <v>175</v>
      </c>
      <c r="B53" s="0" t="s">
        <v>176</v>
      </c>
      <c r="C53" s="0" t="s">
        <v>168</v>
      </c>
      <c r="E53" s="7" t="n">
        <v>7.529</v>
      </c>
      <c r="G53" s="8" t="s">
        <v>141</v>
      </c>
      <c r="H53" s="8" t="s">
        <v>177</v>
      </c>
      <c r="I53" s="8" t="s">
        <v>170</v>
      </c>
    </row>
    <row r="54" customFormat="false" ht="17.15" hidden="false" customHeight="false" outlineLevel="0" collapsed="false">
      <c r="A54" s="0" t="s">
        <v>178</v>
      </c>
      <c r="B54" s="0" t="s">
        <v>179</v>
      </c>
      <c r="C54" s="0" t="s">
        <v>140</v>
      </c>
      <c r="E54" s="7" t="n">
        <v>5.41</v>
      </c>
      <c r="G54" s="8" t="s">
        <v>141</v>
      </c>
      <c r="H54" s="8" t="s">
        <v>180</v>
      </c>
      <c r="I54" s="8" t="s">
        <v>181</v>
      </c>
    </row>
    <row r="55" customFormat="false" ht="17.15" hidden="false" customHeight="false" outlineLevel="0" collapsed="false">
      <c r="A55" s="0" t="s">
        <v>182</v>
      </c>
      <c r="B55" s="0" t="s">
        <v>183</v>
      </c>
      <c r="C55" s="0" t="s">
        <v>168</v>
      </c>
      <c r="E55" s="7" t="n">
        <v>8.338</v>
      </c>
      <c r="G55" s="8" t="s">
        <v>141</v>
      </c>
      <c r="H55" s="8" t="s">
        <v>184</v>
      </c>
      <c r="I55" s="8" t="s">
        <v>185</v>
      </c>
    </row>
    <row r="56" customFormat="false" ht="17.15" hidden="false" customHeight="false" outlineLevel="0" collapsed="false">
      <c r="A56" s="0" t="s">
        <v>186</v>
      </c>
      <c r="B56" s="0" t="s">
        <v>187</v>
      </c>
      <c r="C56" s="0" t="s">
        <v>66</v>
      </c>
      <c r="D56" s="7" t="n">
        <v>0.1</v>
      </c>
      <c r="E56" s="7" t="n">
        <v>0.2</v>
      </c>
      <c r="F56" s="7" t="n">
        <v>0.4</v>
      </c>
      <c r="G56" s="8" t="s">
        <v>82</v>
      </c>
      <c r="H56" s="8" t="s">
        <v>188</v>
      </c>
      <c r="I56" s="8" t="s">
        <v>189</v>
      </c>
    </row>
    <row r="57" customFormat="false" ht="17.15" hidden="false" customHeight="false" outlineLevel="0" collapsed="false">
      <c r="A57" s="0" t="s">
        <v>190</v>
      </c>
      <c r="B57" s="0" t="s">
        <v>191</v>
      </c>
      <c r="C57" s="0" t="s">
        <v>66</v>
      </c>
      <c r="D57" s="7" t="n">
        <v>0.04</v>
      </c>
      <c r="E57" s="7" t="n">
        <v>0.05</v>
      </c>
      <c r="F57" s="7" t="n">
        <v>0.07</v>
      </c>
      <c r="G57" s="8" t="s">
        <v>82</v>
      </c>
      <c r="H57" s="8" t="s">
        <v>192</v>
      </c>
      <c r="I57" s="8" t="s">
        <v>193</v>
      </c>
    </row>
    <row r="58" customFormat="false" ht="17.15" hidden="false" customHeight="false" outlineLevel="0" collapsed="false">
      <c r="A58" s="0" t="s">
        <v>194</v>
      </c>
      <c r="B58" s="4" t="s">
        <v>195</v>
      </c>
      <c r="C58" s="0" t="s">
        <v>66</v>
      </c>
      <c r="D58" s="7" t="n">
        <v>0.08</v>
      </c>
      <c r="E58" s="7" t="n">
        <v>0.12</v>
      </c>
      <c r="F58" s="7" t="n">
        <v>0.15</v>
      </c>
      <c r="G58" s="8" t="s">
        <v>82</v>
      </c>
      <c r="H58" s="4" t="s">
        <v>196</v>
      </c>
      <c r="I58" s="4" t="s">
        <v>197</v>
      </c>
    </row>
    <row r="59" customFormat="false" ht="17.15" hidden="false" customHeight="false" outlineLevel="0" collapsed="false">
      <c r="A59" s="0" t="s">
        <v>198</v>
      </c>
      <c r="B59" s="4" t="s">
        <v>199</v>
      </c>
      <c r="C59" s="0" t="s">
        <v>81</v>
      </c>
      <c r="D59" s="7" t="n">
        <v>0.99</v>
      </c>
      <c r="E59" s="8" t="n">
        <f aca="false">9.532/(9.532+0.021)</f>
        <v>0.997801737674029</v>
      </c>
      <c r="F59" s="7" t="n">
        <v>1</v>
      </c>
      <c r="G59" s="8" t="s">
        <v>34</v>
      </c>
      <c r="H59" s="8" t="s">
        <v>200</v>
      </c>
      <c r="I59" s="4" t="s">
        <v>201</v>
      </c>
    </row>
    <row r="60" customFormat="false" ht="17.15" hidden="false" customHeight="false" outlineLevel="0" collapsed="false">
      <c r="A60" s="0" t="s">
        <v>202</v>
      </c>
      <c r="B60" s="4" t="s">
        <v>203</v>
      </c>
      <c r="C60" s="4" t="s">
        <v>204</v>
      </c>
      <c r="E60" s="7" t="n">
        <v>1.394</v>
      </c>
      <c r="G60" s="8" t="s">
        <v>141</v>
      </c>
      <c r="H60" s="8" t="s">
        <v>205</v>
      </c>
      <c r="I60" s="8" t="s">
        <v>206</v>
      </c>
    </row>
    <row r="61" customFormat="false" ht="17.15" hidden="false" customHeight="false" outlineLevel="0" collapsed="false">
      <c r="A61" s="0" t="s">
        <v>207</v>
      </c>
      <c r="B61" s="0" t="s">
        <v>208</v>
      </c>
      <c r="C61" s="4" t="s">
        <v>204</v>
      </c>
      <c r="E61" s="0" t="n">
        <f aca="false">h1_ni/h1_eps</f>
        <v>1.3916820702403</v>
      </c>
      <c r="G61" s="0" t="s">
        <v>34</v>
      </c>
      <c r="H61" s="4" t="s">
        <v>209</v>
      </c>
      <c r="I61" s="0" t="s">
        <v>112</v>
      </c>
    </row>
    <row r="62" customFormat="false" ht="17.15" hidden="false" customHeight="false" outlineLevel="0" collapsed="false">
      <c r="A62" s="6" t="s">
        <v>210</v>
      </c>
    </row>
    <row r="63" customFormat="false" ht="17.15" hidden="false" customHeight="false" outlineLevel="0" collapsed="false">
      <c r="A63" s="0" t="s">
        <v>211</v>
      </c>
      <c r="B63" s="0" t="s">
        <v>212</v>
      </c>
      <c r="C63" s="0" t="s">
        <v>168</v>
      </c>
      <c r="E63" s="7" t="n">
        <v>24.842</v>
      </c>
      <c r="G63" s="8" t="s">
        <v>141</v>
      </c>
      <c r="H63" s="8" t="s">
        <v>213</v>
      </c>
      <c r="I63" s="8" t="s">
        <v>214</v>
      </c>
    </row>
    <row r="64" customFormat="false" ht="17.15" hidden="false" customHeight="false" outlineLevel="0" collapsed="false">
      <c r="A64" s="0" t="s">
        <v>215</v>
      </c>
      <c r="B64" s="0" t="s">
        <v>216</v>
      </c>
      <c r="C64" s="0" t="s">
        <v>66</v>
      </c>
      <c r="E64" s="7" t="n">
        <v>0.4781</v>
      </c>
      <c r="G64" s="8" t="s">
        <v>141</v>
      </c>
      <c r="H64" s="4" t="s">
        <v>217</v>
      </c>
      <c r="I64" s="4" t="s">
        <v>218</v>
      </c>
    </row>
    <row r="65" customFormat="false" ht="17.15" hidden="false" customHeight="false" outlineLevel="0" collapsed="false">
      <c r="A65" s="0" t="s">
        <v>219</v>
      </c>
      <c r="B65" s="0" t="s">
        <v>220</v>
      </c>
      <c r="C65" s="0" t="s">
        <v>168</v>
      </c>
      <c r="E65" s="7" t="n">
        <v>9.532</v>
      </c>
      <c r="G65" s="8" t="s">
        <v>141</v>
      </c>
      <c r="H65" s="8" t="s">
        <v>221</v>
      </c>
      <c r="I65" s="8" t="s">
        <v>222</v>
      </c>
    </row>
    <row r="66" customFormat="false" ht="17.15" hidden="false" customHeight="false" outlineLevel="0" collapsed="false">
      <c r="A66" s="0" t="s">
        <v>223</v>
      </c>
      <c r="B66" s="0" t="s">
        <v>224</v>
      </c>
      <c r="C66" s="0" t="s">
        <v>140</v>
      </c>
      <c r="E66" s="7" t="n">
        <v>9.61</v>
      </c>
      <c r="G66" s="8" t="s">
        <v>141</v>
      </c>
      <c r="H66" s="8" t="s">
        <v>225</v>
      </c>
      <c r="I66" s="8" t="s">
        <v>222</v>
      </c>
    </row>
    <row r="67" customFormat="false" ht="17.15" hidden="false" customHeight="false" outlineLevel="0" collapsed="false">
      <c r="A67" s="0" t="s">
        <v>226</v>
      </c>
      <c r="B67" s="0" t="s">
        <v>227</v>
      </c>
      <c r="C67" s="4" t="s">
        <v>204</v>
      </c>
      <c r="E67" s="0" t="n">
        <f aca="false">a25_ni_in/(a25_eps_in/1.4)</f>
        <v>1.38863683662851</v>
      </c>
      <c r="G67" s="0" t="s">
        <v>34</v>
      </c>
      <c r="H67" s="4" t="s">
        <v>228</v>
      </c>
      <c r="I67" s="4" t="s">
        <v>229</v>
      </c>
    </row>
    <row r="68" customFormat="false" ht="17.15" hidden="false" customHeight="false" outlineLevel="0" collapsed="false">
      <c r="A68" s="6" t="s">
        <v>230</v>
      </c>
    </row>
    <row r="69" customFormat="false" ht="17.15" hidden="false" customHeight="false" outlineLevel="0" collapsed="false">
      <c r="A69" s="0" t="s">
        <v>231</v>
      </c>
      <c r="B69" s="4" t="s">
        <v>232</v>
      </c>
      <c r="C69" s="0" t="s">
        <v>81</v>
      </c>
      <c r="D69" s="7" t="n">
        <v>0.3</v>
      </c>
      <c r="E69" s="7" t="n">
        <v>0.6</v>
      </c>
      <c r="F69" s="7" t="n">
        <v>1</v>
      </c>
      <c r="G69" s="8" t="s">
        <v>233</v>
      </c>
      <c r="H69" s="4" t="s">
        <v>234</v>
      </c>
      <c r="I69" s="8" t="s">
        <v>235</v>
      </c>
    </row>
    <row r="70" customFormat="false" ht="17.15" hidden="false" customHeight="false" outlineLevel="0" collapsed="false">
      <c r="A70" s="0" t="s">
        <v>236</v>
      </c>
      <c r="B70" s="4" t="s">
        <v>237</v>
      </c>
      <c r="C70" s="0" t="s">
        <v>238</v>
      </c>
      <c r="D70" s="7" t="n">
        <v>-0.01</v>
      </c>
      <c r="E70" s="7" t="n">
        <v>0</v>
      </c>
      <c r="F70" s="7" t="n">
        <v>0.02</v>
      </c>
      <c r="G70" s="8" t="s">
        <v>82</v>
      </c>
      <c r="H70" s="4" t="s">
        <v>239</v>
      </c>
      <c r="I70" s="8" t="s">
        <v>240</v>
      </c>
    </row>
    <row r="71" customFormat="false" ht="17.15" hidden="false" customHeight="false" outlineLevel="0" collapsed="false">
      <c r="A71" s="0" t="s">
        <v>241</v>
      </c>
      <c r="B71" s="4" t="s">
        <v>242</v>
      </c>
      <c r="C71" s="0" t="s">
        <v>66</v>
      </c>
      <c r="D71" s="7" t="n">
        <v>-0.005</v>
      </c>
      <c r="E71" s="7" t="n">
        <v>0</v>
      </c>
      <c r="F71" s="7" t="n">
        <v>0.01</v>
      </c>
      <c r="G71" s="8" t="s">
        <v>82</v>
      </c>
      <c r="H71" s="8" t="s">
        <v>243</v>
      </c>
      <c r="I71" s="4" t="s">
        <v>244</v>
      </c>
    </row>
    <row r="72" customFormat="false" ht="17.15" hidden="false" customHeight="false" outlineLevel="0" collapsed="false">
      <c r="A72" s="0" t="s">
        <v>245</v>
      </c>
      <c r="B72" s="0" t="s">
        <v>246</v>
      </c>
      <c r="C72" s="0" t="s">
        <v>81</v>
      </c>
      <c r="D72" s="7" t="n">
        <v>0.8</v>
      </c>
      <c r="E72" s="7" t="n">
        <v>1</v>
      </c>
      <c r="F72" s="7" t="n">
        <v>1.2</v>
      </c>
      <c r="G72" s="8" t="s">
        <v>82</v>
      </c>
      <c r="H72" s="4" t="s">
        <v>247</v>
      </c>
      <c r="I72" s="8" t="s">
        <v>248</v>
      </c>
    </row>
    <row r="73" customFormat="false" ht="17.15" hidden="false" customHeight="false" outlineLevel="0" collapsed="false">
      <c r="A73" s="6" t="s">
        <v>249</v>
      </c>
    </row>
    <row r="74" customFormat="false" ht="17.15" hidden="false" customHeight="false" outlineLevel="0" collapsed="false">
      <c r="A74" s="0" t="s">
        <v>250</v>
      </c>
      <c r="B74" s="4" t="s">
        <v>251</v>
      </c>
      <c r="C74" s="0" t="s">
        <v>168</v>
      </c>
      <c r="E74" s="7" t="n">
        <v>55.189</v>
      </c>
      <c r="G74" s="8" t="s">
        <v>252</v>
      </c>
      <c r="H74" s="8" t="s">
        <v>253</v>
      </c>
      <c r="I74" s="4" t="s">
        <v>254</v>
      </c>
    </row>
    <row r="75" customFormat="false" ht="17.15" hidden="false" customHeight="false" outlineLevel="0" collapsed="false">
      <c r="A75" s="0" t="s">
        <v>255</v>
      </c>
      <c r="B75" s="4" t="s">
        <v>256</v>
      </c>
      <c r="C75" s="0" t="s">
        <v>168</v>
      </c>
      <c r="E75" s="7" t="n">
        <v>20.135</v>
      </c>
      <c r="G75" s="8" t="s">
        <v>252</v>
      </c>
      <c r="H75" s="8" t="s">
        <v>257</v>
      </c>
      <c r="I75" s="4" t="s">
        <v>258</v>
      </c>
    </row>
    <row r="76" customFormat="false" ht="17.15" hidden="false" customHeight="false" outlineLevel="0" collapsed="false">
      <c r="A76" s="0" t="s">
        <v>259</v>
      </c>
      <c r="B76" s="4" t="s">
        <v>260</v>
      </c>
      <c r="C76" s="0" t="s">
        <v>140</v>
      </c>
      <c r="E76" s="7" t="n">
        <v>15.05</v>
      </c>
      <c r="G76" s="8" t="s">
        <v>252</v>
      </c>
      <c r="H76" s="8" t="s">
        <v>257</v>
      </c>
      <c r="I76" s="8" t="s">
        <v>112</v>
      </c>
    </row>
    <row r="77" customFormat="false" ht="17.15" hidden="false" customHeight="false" outlineLevel="0" collapsed="false">
      <c r="A77" s="0" t="s">
        <v>261</v>
      </c>
      <c r="B77" s="4" t="s">
        <v>262</v>
      </c>
      <c r="C77" s="0" t="s">
        <v>168</v>
      </c>
      <c r="E77" s="7" t="n">
        <v>99.385</v>
      </c>
      <c r="G77" s="8" t="s">
        <v>252</v>
      </c>
      <c r="H77" s="8" t="s">
        <v>253</v>
      </c>
      <c r="I77" s="4" t="s">
        <v>254</v>
      </c>
    </row>
    <row r="78" customFormat="false" ht="17.15" hidden="false" customHeight="false" outlineLevel="0" collapsed="false">
      <c r="A78" s="0" t="s">
        <v>263</v>
      </c>
      <c r="B78" s="4" t="s">
        <v>264</v>
      </c>
      <c r="C78" s="0" t="s">
        <v>168</v>
      </c>
      <c r="E78" s="7" t="n">
        <v>36.358</v>
      </c>
      <c r="G78" s="8" t="s">
        <v>252</v>
      </c>
      <c r="H78" s="8" t="s">
        <v>257</v>
      </c>
      <c r="I78" s="4" t="s">
        <v>258</v>
      </c>
    </row>
    <row r="79" customFormat="false" ht="17.15" hidden="false" customHeight="false" outlineLevel="0" collapsed="false">
      <c r="A79" s="0" t="s">
        <v>265</v>
      </c>
      <c r="B79" s="4" t="s">
        <v>266</v>
      </c>
      <c r="C79" s="0" t="s">
        <v>140</v>
      </c>
      <c r="E79" s="7" t="n">
        <v>27.29</v>
      </c>
      <c r="G79" s="8" t="s">
        <v>252</v>
      </c>
      <c r="H79" s="8" t="s">
        <v>257</v>
      </c>
      <c r="I79" s="8" t="s">
        <v>112</v>
      </c>
    </row>
    <row r="80" customFormat="false" ht="17.15" hidden="false" customHeight="false" outlineLevel="0" collapsed="false">
      <c r="A80" s="0" t="s">
        <v>267</v>
      </c>
      <c r="B80" s="4" t="s">
        <v>268</v>
      </c>
      <c r="C80" s="0" t="s">
        <v>168</v>
      </c>
      <c r="E80" s="7" t="n">
        <v>143.815</v>
      </c>
      <c r="G80" s="8" t="s">
        <v>252</v>
      </c>
      <c r="H80" s="8" t="s">
        <v>253</v>
      </c>
      <c r="I80" s="4" t="s">
        <v>254</v>
      </c>
    </row>
    <row r="81" customFormat="false" ht="17.15" hidden="false" customHeight="false" outlineLevel="0" collapsed="false">
      <c r="A81" s="0" t="s">
        <v>269</v>
      </c>
      <c r="B81" s="4" t="s">
        <v>270</v>
      </c>
      <c r="C81" s="0" t="s">
        <v>168</v>
      </c>
      <c r="E81" s="7" t="n">
        <v>53.635</v>
      </c>
      <c r="G81" s="8" t="s">
        <v>252</v>
      </c>
      <c r="H81" s="8" t="s">
        <v>257</v>
      </c>
      <c r="I81" s="4" t="s">
        <v>258</v>
      </c>
    </row>
    <row r="82" customFormat="false" ht="17.15" hidden="false" customHeight="false" outlineLevel="0" collapsed="false">
      <c r="A82" s="0" t="s">
        <v>271</v>
      </c>
      <c r="B82" s="4" t="s">
        <v>272</v>
      </c>
      <c r="C82" s="0" t="s">
        <v>140</v>
      </c>
      <c r="E82" s="7" t="n">
        <v>39.93</v>
      </c>
      <c r="G82" s="8" t="s">
        <v>252</v>
      </c>
      <c r="H82" s="8" t="s">
        <v>257</v>
      </c>
      <c r="I82" s="8" t="s">
        <v>112</v>
      </c>
    </row>
    <row r="83" customFormat="false" ht="17.15" hidden="false" customHeight="false" outlineLevel="0" collapsed="false">
      <c r="A83" s="0" t="s">
        <v>273</v>
      </c>
      <c r="B83" s="4" t="s">
        <v>274</v>
      </c>
      <c r="C83" s="0" t="s">
        <v>168</v>
      </c>
      <c r="E83" s="7" t="n">
        <v>20.683</v>
      </c>
      <c r="G83" s="8" t="s">
        <v>252</v>
      </c>
      <c r="H83" s="8" t="s">
        <v>275</v>
      </c>
      <c r="I83" s="4" t="s">
        <v>276</v>
      </c>
    </row>
    <row r="84" customFormat="false" ht="17.15" hidden="false" customHeight="false" outlineLevel="0" collapsed="false">
      <c r="A84" s="0" t="s">
        <v>277</v>
      </c>
      <c r="B84" s="4" t="s">
        <v>278</v>
      </c>
      <c r="C84" s="0" t="s">
        <v>168</v>
      </c>
      <c r="E84" s="7" t="n">
        <v>30.08</v>
      </c>
      <c r="G84" s="8" t="s">
        <v>252</v>
      </c>
      <c r="H84" s="8" t="s">
        <v>275</v>
      </c>
      <c r="I84" s="4" t="s">
        <v>276</v>
      </c>
    </row>
    <row r="85" customFormat="false" ht="17.15" hidden="false" customHeight="false" outlineLevel="0" collapsed="false">
      <c r="A85" s="0" t="s">
        <v>279</v>
      </c>
      <c r="B85" s="4" t="s">
        <v>280</v>
      </c>
      <c r="C85" s="0" t="s">
        <v>168</v>
      </c>
      <c r="E85" s="7" t="n">
        <v>34.576</v>
      </c>
      <c r="G85" s="8" t="s">
        <v>252</v>
      </c>
      <c r="H85" s="8" t="s">
        <v>275</v>
      </c>
      <c r="I85" s="4" t="s">
        <v>276</v>
      </c>
    </row>
    <row r="86" customFormat="false" ht="17.15" hidden="false" customHeight="false" outlineLevel="0" collapsed="false">
      <c r="A86" s="0" t="s">
        <v>281</v>
      </c>
      <c r="B86" s="4" t="s">
        <v>282</v>
      </c>
      <c r="C86" s="0" t="s">
        <v>140</v>
      </c>
      <c r="E86" s="7" t="n">
        <v>633</v>
      </c>
      <c r="G86" s="8" t="s">
        <v>252</v>
      </c>
      <c r="H86" s="8" t="s">
        <v>283</v>
      </c>
      <c r="I86" s="8" t="s">
        <v>284</v>
      </c>
    </row>
    <row r="87" customFormat="false" ht="17.15" hidden="false" customHeight="false" outlineLevel="0" collapsed="false">
      <c r="A87" s="0" t="s">
        <v>285</v>
      </c>
      <c r="B87" s="0" t="s">
        <v>286</v>
      </c>
      <c r="C87" s="0" t="s">
        <v>168</v>
      </c>
      <c r="E87" s="7" t="n">
        <v>17.76</v>
      </c>
      <c r="G87" s="8" t="s">
        <v>252</v>
      </c>
      <c r="H87" s="8" t="s">
        <v>287</v>
      </c>
      <c r="I87" s="8" t="s">
        <v>112</v>
      </c>
    </row>
    <row r="88" customFormat="false" ht="17.15" hidden="false" customHeight="false" outlineLevel="0" collapsed="false">
      <c r="A88" s="0" t="s">
        <v>288</v>
      </c>
      <c r="B88" s="0" t="s">
        <v>289</v>
      </c>
      <c r="C88" s="0" t="s">
        <v>33</v>
      </c>
      <c r="E88" s="7" t="n">
        <v>3.5</v>
      </c>
      <c r="G88" s="8" t="s">
        <v>252</v>
      </c>
      <c r="H88" s="8" t="s">
        <v>290</v>
      </c>
      <c r="I88" s="4" t="s">
        <v>291</v>
      </c>
    </row>
    <row r="89" customFormat="false" ht="17.15" hidden="false" customHeight="false" outlineLevel="0" collapsed="false">
      <c r="A89" s="9" t="s">
        <v>292</v>
      </c>
      <c r="B89" s="10" t="s">
        <v>293</v>
      </c>
      <c r="C89" s="9" t="s">
        <v>140</v>
      </c>
      <c r="D89" s="9"/>
      <c r="E89" s="11" t="n">
        <v>460.89</v>
      </c>
      <c r="F89" s="9"/>
      <c r="G89" s="9" t="s">
        <v>252</v>
      </c>
      <c r="H89" s="9" t="s">
        <v>294</v>
      </c>
      <c r="I89" s="10" t="s">
        <v>295</v>
      </c>
    </row>
    <row r="90" customFormat="false" ht="17.15" hidden="false" customHeight="false" outlineLevel="0" collapsed="false">
      <c r="A90" s="6" t="s">
        <v>296</v>
      </c>
    </row>
    <row r="91" customFormat="false" ht="17.15" hidden="false" customHeight="false" outlineLevel="0" collapsed="false">
      <c r="A91" s="0" t="s">
        <v>297</v>
      </c>
      <c r="B91" s="4" t="s">
        <v>298</v>
      </c>
      <c r="C91" s="0" t="s">
        <v>140</v>
      </c>
      <c r="E91" s="7" t="n">
        <v>261</v>
      </c>
      <c r="G91" s="8" t="s">
        <v>252</v>
      </c>
      <c r="H91" s="8" t="s">
        <v>299</v>
      </c>
      <c r="I91" s="8" t="s">
        <v>300</v>
      </c>
    </row>
    <row r="92" customFormat="false" ht="17.15" hidden="false" customHeight="false" outlineLevel="0" collapsed="false">
      <c r="A92" s="0" t="s">
        <v>301</v>
      </c>
      <c r="B92" s="0" t="s">
        <v>302</v>
      </c>
      <c r="C92" s="0" t="s">
        <v>140</v>
      </c>
      <c r="E92" s="7" t="n">
        <v>818.38</v>
      </c>
      <c r="G92" s="8" t="s">
        <v>252</v>
      </c>
      <c r="H92" s="8" t="s">
        <v>303</v>
      </c>
      <c r="I92" s="8" t="s">
        <v>304</v>
      </c>
    </row>
    <row r="93" customFormat="false" ht="17.15" hidden="false" customHeight="false" outlineLevel="0" collapsed="false">
      <c r="A93" s="0" t="s">
        <v>305</v>
      </c>
      <c r="B93" s="4" t="s">
        <v>306</v>
      </c>
      <c r="C93" s="0" t="s">
        <v>140</v>
      </c>
      <c r="E93" s="7" t="n">
        <v>389</v>
      </c>
      <c r="G93" s="8" t="s">
        <v>252</v>
      </c>
      <c r="H93" s="8" t="s">
        <v>307</v>
      </c>
      <c r="I93" s="4" t="s">
        <v>308</v>
      </c>
    </row>
    <row r="94" customFormat="false" ht="17.15" hidden="false" customHeight="false" outlineLevel="0" collapsed="false">
      <c r="A94" s="9" t="s">
        <v>309</v>
      </c>
      <c r="B94" s="10" t="s">
        <v>310</v>
      </c>
      <c r="C94" s="9" t="s">
        <v>66</v>
      </c>
      <c r="D94" s="9"/>
      <c r="E94" s="11" t="n">
        <v>0.3</v>
      </c>
      <c r="F94" s="9"/>
      <c r="G94" s="9" t="s">
        <v>82</v>
      </c>
      <c r="H94" s="9" t="s">
        <v>311</v>
      </c>
      <c r="I94" s="10" t="s">
        <v>312</v>
      </c>
    </row>
    <row r="95" customFormat="false" ht="17.15" hidden="false" customHeight="false" outlineLevel="0" collapsed="false">
      <c r="A95" s="9" t="s">
        <v>313</v>
      </c>
      <c r="B95" s="10" t="s">
        <v>314</v>
      </c>
      <c r="C95" s="9" t="s">
        <v>66</v>
      </c>
      <c r="D95" s="9"/>
      <c r="E95" s="11" t="n">
        <v>0.5</v>
      </c>
      <c r="F95" s="9"/>
      <c r="G95" s="9" t="s">
        <v>82</v>
      </c>
      <c r="H95" s="9" t="s">
        <v>311</v>
      </c>
      <c r="I95" s="10" t="s">
        <v>312</v>
      </c>
    </row>
    <row r="96" customFormat="false" ht="17.15" hidden="false" customHeight="false" outlineLevel="0" collapsed="false">
      <c r="A96" s="9" t="s">
        <v>315</v>
      </c>
      <c r="B96" s="10" t="s">
        <v>316</v>
      </c>
      <c r="C96" s="9" t="s">
        <v>66</v>
      </c>
      <c r="D96" s="9"/>
      <c r="E96" s="11" t="n">
        <v>0.2</v>
      </c>
      <c r="F96" s="9"/>
      <c r="G96" s="9" t="s">
        <v>82</v>
      </c>
      <c r="H96" s="9" t="s">
        <v>311</v>
      </c>
      <c r="I96" s="10" t="s">
        <v>312</v>
      </c>
    </row>
    <row r="97" customFormat="false" ht="17.15" hidden="false" customHeight="false" outlineLevel="0" collapsed="false">
      <c r="A97" s="6" t="s">
        <v>317</v>
      </c>
    </row>
    <row r="98" customFormat="false" ht="17.15" hidden="false" customHeight="false" outlineLevel="0" collapsed="false">
      <c r="A98" s="9" t="s">
        <v>318</v>
      </c>
      <c r="B98" s="10" t="s">
        <v>319</v>
      </c>
      <c r="C98" s="9" t="s">
        <v>66</v>
      </c>
      <c r="D98" s="9"/>
      <c r="E98" s="11" t="n">
        <v>0.1</v>
      </c>
      <c r="F98" s="9"/>
      <c r="G98" s="9" t="s">
        <v>82</v>
      </c>
      <c r="H98" s="9" t="s">
        <v>320</v>
      </c>
      <c r="I98" s="9" t="s">
        <v>321</v>
      </c>
    </row>
    <row r="99" customFormat="false" ht="17.15" hidden="false" customHeight="false" outlineLevel="0" collapsed="false">
      <c r="A99" s="9" t="s">
        <v>322</v>
      </c>
      <c r="B99" s="10" t="s">
        <v>323</v>
      </c>
      <c r="C99" s="9" t="s">
        <v>66</v>
      </c>
      <c r="D99" s="9"/>
      <c r="E99" s="11" t="n">
        <v>0.04</v>
      </c>
      <c r="F99" s="9"/>
      <c r="G99" s="9" t="s">
        <v>82</v>
      </c>
      <c r="H99" s="9" t="s">
        <v>324</v>
      </c>
      <c r="I99" s="9" t="s">
        <v>112</v>
      </c>
    </row>
    <row r="100" customFormat="false" ht="17.15" hidden="false" customHeight="false" outlineLevel="0" collapsed="false">
      <c r="A100" s="9" t="s">
        <v>325</v>
      </c>
      <c r="B100" s="9" t="s">
        <v>326</v>
      </c>
      <c r="C100" s="9" t="s">
        <v>66</v>
      </c>
      <c r="D100" s="9"/>
      <c r="E100" s="9" t="n">
        <f aca="false">AVERAGE(0.1337,0.4114,0.7239)</f>
        <v>0.423</v>
      </c>
      <c r="F100" s="9"/>
      <c r="G100" s="9" t="s">
        <v>34</v>
      </c>
      <c r="H100" s="9" t="s">
        <v>327</v>
      </c>
      <c r="I100" s="10" t="s">
        <v>328</v>
      </c>
    </row>
    <row r="101" customFormat="false" ht="17.15" hidden="false" customHeight="false" outlineLevel="0" collapsed="false">
      <c r="A101" s="9" t="s">
        <v>329</v>
      </c>
      <c r="B101" s="10" t="s">
        <v>330</v>
      </c>
      <c r="C101" s="9" t="s">
        <v>66</v>
      </c>
      <c r="D101" s="9"/>
      <c r="E101" s="11" t="n">
        <v>0.5</v>
      </c>
      <c r="F101" s="9"/>
      <c r="G101" s="9" t="s">
        <v>82</v>
      </c>
      <c r="H101" s="9" t="s">
        <v>331</v>
      </c>
      <c r="I101" s="9" t="s">
        <v>112</v>
      </c>
    </row>
    <row r="102" customFormat="false" ht="17.15" hidden="false" customHeight="false" outlineLevel="0" collapsed="false">
      <c r="A102" s="9" t="s">
        <v>332</v>
      </c>
      <c r="B102" s="10" t="s">
        <v>333</v>
      </c>
      <c r="C102" s="9" t="s">
        <v>66</v>
      </c>
      <c r="D102" s="9"/>
      <c r="E102" s="9" t="n">
        <f aca="false">tp_g+0.02</f>
        <v>0.06</v>
      </c>
      <c r="F102" s="9"/>
      <c r="G102" s="9" t="s">
        <v>82</v>
      </c>
      <c r="H102" s="10" t="s">
        <v>334</v>
      </c>
      <c r="I102" s="9" t="s">
        <v>335</v>
      </c>
    </row>
    <row r="103" customFormat="false" ht="17.15" hidden="false" customHeight="false" outlineLevel="0" collapsed="false">
      <c r="A103" s="9" t="s">
        <v>336</v>
      </c>
      <c r="B103" s="10" t="s">
        <v>337</v>
      </c>
      <c r="C103" s="9" t="s">
        <v>66</v>
      </c>
      <c r="D103" s="9"/>
      <c r="E103" s="9" t="n">
        <f aca="false">tp_g</f>
        <v>0.04</v>
      </c>
      <c r="F103" s="9"/>
      <c r="G103" s="9" t="s">
        <v>82</v>
      </c>
      <c r="H103" s="10" t="s">
        <v>39</v>
      </c>
      <c r="I103" s="9" t="s">
        <v>112</v>
      </c>
    </row>
    <row r="104" customFormat="false" ht="17.15" hidden="false" customHeight="false" outlineLevel="0" collapsed="false">
      <c r="A104" s="9" t="s">
        <v>338</v>
      </c>
      <c r="B104" s="10" t="s">
        <v>339</v>
      </c>
      <c r="C104" s="9" t="s">
        <v>66</v>
      </c>
      <c r="D104" s="9"/>
      <c r="E104" s="9" t="n">
        <f aca="false">tp_g-0.02</f>
        <v>0.02</v>
      </c>
      <c r="F104" s="9"/>
      <c r="G104" s="9" t="s">
        <v>82</v>
      </c>
      <c r="H104" s="10" t="s">
        <v>39</v>
      </c>
      <c r="I104" s="9" t="s">
        <v>112</v>
      </c>
    </row>
    <row r="105" customFormat="false" ht="17.15" hidden="false" customHeight="false" outlineLevel="0" collapsed="false">
      <c r="A105" s="9" t="s">
        <v>340</v>
      </c>
      <c r="B105" s="10" t="s">
        <v>341</v>
      </c>
      <c r="C105" s="9" t="s">
        <v>66</v>
      </c>
      <c r="D105" s="9"/>
      <c r="E105" s="12" t="n">
        <f aca="false">PL!$G$86</f>
        <v>0.357272890206738</v>
      </c>
      <c r="F105" s="9"/>
      <c r="G105" s="9" t="s">
        <v>34</v>
      </c>
      <c r="H105" s="9" t="s">
        <v>342</v>
      </c>
      <c r="I105" s="9" t="s">
        <v>112</v>
      </c>
    </row>
    <row r="106" customFormat="false" ht="17.15" hidden="false" customHeight="false" outlineLevel="0" collapsed="false">
      <c r="A106" s="9" t="s">
        <v>343</v>
      </c>
      <c r="B106" s="10" t="s">
        <v>344</v>
      </c>
      <c r="C106" s="9" t="s">
        <v>66</v>
      </c>
      <c r="D106" s="9"/>
      <c r="E106" s="9" t="n">
        <f aca="false">(PL!$G$118+PL!$G$118*0.8)/2</f>
        <v>0.317584455864627</v>
      </c>
      <c r="F106" s="9"/>
      <c r="G106" s="9" t="s">
        <v>82</v>
      </c>
      <c r="H106" s="10" t="s">
        <v>345</v>
      </c>
      <c r="I106" s="9" t="s">
        <v>346</v>
      </c>
    </row>
    <row r="107" customFormat="false" ht="17.15" hidden="false" customHeight="false" outlineLevel="0" collapsed="false">
      <c r="A107" s="9" t="s">
        <v>347</v>
      </c>
      <c r="B107" s="10" t="s">
        <v>348</v>
      </c>
      <c r="C107" s="9" t="s">
        <v>66</v>
      </c>
      <c r="D107" s="9"/>
      <c r="E107" s="9" t="n">
        <f aca="false">PL!$G$150*0.8</f>
        <v>0.270888764424369</v>
      </c>
      <c r="F107" s="9"/>
      <c r="G107" s="9" t="s">
        <v>82</v>
      </c>
      <c r="H107" s="10" t="s">
        <v>349</v>
      </c>
      <c r="I107" s="9" t="s">
        <v>346</v>
      </c>
    </row>
    <row r="108" customFormat="false" ht="17.15" hidden="false" customHeight="false" outlineLevel="0" collapsed="false">
      <c r="A108" s="9" t="s">
        <v>350</v>
      </c>
      <c r="B108" s="10" t="s">
        <v>351</v>
      </c>
      <c r="C108" s="9" t="s">
        <v>140</v>
      </c>
      <c r="D108" s="9"/>
      <c r="E108" s="9" t="n">
        <f aca="false">tp_avg90</f>
        <v>460.89</v>
      </c>
      <c r="F108" s="9"/>
      <c r="G108" s="9" t="s">
        <v>252</v>
      </c>
      <c r="H108" s="10" t="s">
        <v>352</v>
      </c>
      <c r="I108" s="9" t="s">
        <v>353</v>
      </c>
    </row>
    <row r="109" customFormat="false" ht="17.15" hidden="false" customHeight="false" outlineLevel="0" collapsed="false">
      <c r="A109" s="9" t="s">
        <v>354</v>
      </c>
      <c r="B109" s="10" t="s">
        <v>355</v>
      </c>
      <c r="C109" s="9" t="s">
        <v>140</v>
      </c>
      <c r="D109" s="9"/>
      <c r="E109" s="9" t="n">
        <f aca="false">2/12*cons_eps27+10/12*cons_eps28</f>
        <v>37.8233333333333</v>
      </c>
      <c r="F109" s="9"/>
      <c r="G109" s="9" t="s">
        <v>34</v>
      </c>
      <c r="H109" s="9" t="s">
        <v>356</v>
      </c>
      <c r="I109" s="10" t="s">
        <v>357</v>
      </c>
    </row>
    <row r="111" customFormat="false" ht="17.15" hidden="false" customHeight="false" outlineLevel="0" collapsed="false">
      <c r="A111" s="1" t="s">
        <v>358</v>
      </c>
    </row>
    <row r="112" customFormat="false" ht="17.15" hidden="false" customHeight="false" outlineLevel="0" collapsed="false">
      <c r="A112" s="0" t="s">
        <v>359</v>
      </c>
      <c r="B112" s="4" t="s">
        <v>360</v>
      </c>
      <c r="C112" s="0" t="s">
        <v>33</v>
      </c>
      <c r="E112" s="7" t="n">
        <v>29.753262</v>
      </c>
      <c r="G112" s="8" t="s">
        <v>34</v>
      </c>
      <c r="H112" s="8" t="s">
        <v>361</v>
      </c>
      <c r="I112" s="4" t="s">
        <v>362</v>
      </c>
    </row>
    <row r="113" customFormat="false" ht="17.15" hidden="false" customHeight="false" outlineLevel="0" collapsed="false">
      <c r="A113" s="0" t="s">
        <v>363</v>
      </c>
      <c r="B113" s="4" t="s">
        <v>364</v>
      </c>
      <c r="C113" s="0" t="s">
        <v>33</v>
      </c>
      <c r="E113" s="7" t="n">
        <v>54.688309</v>
      </c>
      <c r="G113" s="8" t="s">
        <v>34</v>
      </c>
      <c r="H113" s="8" t="s">
        <v>361</v>
      </c>
      <c r="I113" s="4" t="s">
        <v>39</v>
      </c>
    </row>
    <row r="114" customFormat="false" ht="17.15" hidden="false" customHeight="false" outlineLevel="0" collapsed="false">
      <c r="A114" s="0" t="s">
        <v>365</v>
      </c>
      <c r="B114" s="4" t="s">
        <v>366</v>
      </c>
      <c r="C114" s="0" t="s">
        <v>33</v>
      </c>
      <c r="E114" s="7" t="n">
        <v>61.21325</v>
      </c>
      <c r="G114" s="8" t="s">
        <v>34</v>
      </c>
      <c r="H114" s="8" t="s">
        <v>361</v>
      </c>
      <c r="I114" s="4" t="s">
        <v>39</v>
      </c>
    </row>
    <row r="115" customFormat="false" ht="17.15" hidden="false" customHeight="false" outlineLevel="0" collapsed="false">
      <c r="A115" s="0" t="s">
        <v>367</v>
      </c>
      <c r="B115" s="4" t="s">
        <v>368</v>
      </c>
      <c r="C115" s="0" t="s">
        <v>33</v>
      </c>
      <c r="E115" s="7" t="n">
        <v>78.80848</v>
      </c>
      <c r="G115" s="8" t="s">
        <v>34</v>
      </c>
      <c r="H115" s="8" t="s">
        <v>361</v>
      </c>
      <c r="I115" s="4" t="s">
        <v>39</v>
      </c>
    </row>
    <row r="116" customFormat="false" ht="17.15" hidden="false" customHeight="false" outlineLevel="0" collapsed="false">
      <c r="A116" s="0" t="s">
        <v>369</v>
      </c>
      <c r="B116" s="4" t="s">
        <v>370</v>
      </c>
      <c r="C116" s="0" t="s">
        <v>33</v>
      </c>
      <c r="E116" s="7" t="n">
        <v>29.753262</v>
      </c>
      <c r="G116" s="8" t="s">
        <v>34</v>
      </c>
      <c r="H116" s="8" t="s">
        <v>371</v>
      </c>
      <c r="I116" s="4" t="s">
        <v>372</v>
      </c>
    </row>
    <row r="117" customFormat="false" ht="17.15" hidden="false" customHeight="false" outlineLevel="0" collapsed="false">
      <c r="A117" s="0" t="s">
        <v>373</v>
      </c>
      <c r="B117" s="4" t="s">
        <v>374</v>
      </c>
      <c r="C117" s="0" t="s">
        <v>33</v>
      </c>
      <c r="E117" s="7" t="n">
        <v>55.252106</v>
      </c>
      <c r="G117" s="8" t="s">
        <v>34</v>
      </c>
      <c r="H117" s="8" t="s">
        <v>371</v>
      </c>
      <c r="I117" s="4" t="s">
        <v>39</v>
      </c>
    </row>
    <row r="118" customFormat="false" ht="17.15" hidden="false" customHeight="false" outlineLevel="0" collapsed="false">
      <c r="A118" s="0" t="s">
        <v>375</v>
      </c>
      <c r="B118" s="4" t="s">
        <v>376</v>
      </c>
      <c r="C118" s="0" t="s">
        <v>33</v>
      </c>
      <c r="E118" s="7" t="n">
        <v>62.50195</v>
      </c>
      <c r="G118" s="8" t="s">
        <v>34</v>
      </c>
      <c r="H118" s="8" t="s">
        <v>371</v>
      </c>
      <c r="I118" s="4" t="s">
        <v>39</v>
      </c>
    </row>
    <row r="119" customFormat="false" ht="17.15" hidden="false" customHeight="false" outlineLevel="0" collapsed="false">
      <c r="A119" s="0" t="s">
        <v>377</v>
      </c>
      <c r="B119" s="4" t="s">
        <v>378</v>
      </c>
      <c r="C119" s="0" t="s">
        <v>33</v>
      </c>
      <c r="E119" s="7" t="n">
        <v>81.01111</v>
      </c>
      <c r="G119" s="8" t="s">
        <v>34</v>
      </c>
      <c r="H119" s="8" t="s">
        <v>371</v>
      </c>
      <c r="I119" s="4" t="s">
        <v>39</v>
      </c>
    </row>
    <row r="120" customFormat="false" ht="17.15" hidden="false" customHeight="false" outlineLevel="0" collapsed="false">
      <c r="A120" s="0" t="s">
        <v>379</v>
      </c>
      <c r="B120" s="4" t="s">
        <v>380</v>
      </c>
      <c r="C120" s="0" t="s">
        <v>33</v>
      </c>
      <c r="E120" s="7" t="n">
        <v>0.300538</v>
      </c>
      <c r="G120" s="8" t="s">
        <v>34</v>
      </c>
      <c r="H120" s="8" t="s">
        <v>381</v>
      </c>
      <c r="I120" s="4" t="s">
        <v>362</v>
      </c>
    </row>
    <row r="121" customFormat="false" ht="17.15" hidden="false" customHeight="false" outlineLevel="0" collapsed="false">
      <c r="A121" s="0" t="s">
        <v>382</v>
      </c>
      <c r="B121" s="4" t="s">
        <v>383</v>
      </c>
      <c r="C121" s="0" t="s">
        <v>33</v>
      </c>
      <c r="E121" s="7" t="n">
        <v>1.691391</v>
      </c>
      <c r="G121" s="8" t="s">
        <v>34</v>
      </c>
      <c r="H121" s="8" t="s">
        <v>381</v>
      </c>
      <c r="I121" s="4" t="s">
        <v>39</v>
      </c>
    </row>
    <row r="122" customFormat="false" ht="17.15" hidden="false" customHeight="false" outlineLevel="0" collapsed="false">
      <c r="A122" s="0" t="s">
        <v>384</v>
      </c>
      <c r="B122" s="4" t="s">
        <v>385</v>
      </c>
      <c r="C122" s="0" t="s">
        <v>33</v>
      </c>
      <c r="E122" s="7" t="n">
        <v>3.22175</v>
      </c>
      <c r="G122" s="8" t="s">
        <v>34</v>
      </c>
      <c r="H122" s="8" t="s">
        <v>381</v>
      </c>
      <c r="I122" s="4" t="s">
        <v>39</v>
      </c>
    </row>
    <row r="123" customFormat="false" ht="17.15" hidden="false" customHeight="false" outlineLevel="0" collapsed="false">
      <c r="A123" s="0" t="s">
        <v>386</v>
      </c>
      <c r="B123" s="4" t="s">
        <v>387</v>
      </c>
      <c r="C123" s="0" t="s">
        <v>33</v>
      </c>
      <c r="E123" s="7" t="n">
        <v>5.87368</v>
      </c>
      <c r="G123" s="8" t="s">
        <v>34</v>
      </c>
      <c r="H123" s="8" t="s">
        <v>381</v>
      </c>
      <c r="I123" s="4" t="s">
        <v>39</v>
      </c>
    </row>
    <row r="124" customFormat="false" ht="17.15" hidden="false" customHeight="false" outlineLevel="0" collapsed="false">
      <c r="A124" s="0" t="s">
        <v>388</v>
      </c>
      <c r="B124" s="4" t="s">
        <v>389</v>
      </c>
      <c r="C124" s="0" t="s">
        <v>33</v>
      </c>
      <c r="E124" s="7" t="n">
        <v>0.300538</v>
      </c>
      <c r="G124" s="8" t="s">
        <v>34</v>
      </c>
      <c r="H124" s="8" t="s">
        <v>390</v>
      </c>
      <c r="I124" s="4" t="s">
        <v>372</v>
      </c>
    </row>
    <row r="125" customFormat="false" ht="17.15" hidden="false" customHeight="false" outlineLevel="0" collapsed="false">
      <c r="A125" s="0" t="s">
        <v>391</v>
      </c>
      <c r="B125" s="4" t="s">
        <v>392</v>
      </c>
      <c r="C125" s="0" t="s">
        <v>33</v>
      </c>
      <c r="E125" s="7" t="n">
        <v>1.127594</v>
      </c>
      <c r="G125" s="8" t="s">
        <v>34</v>
      </c>
      <c r="H125" s="8" t="s">
        <v>390</v>
      </c>
      <c r="I125" s="4" t="s">
        <v>39</v>
      </c>
    </row>
    <row r="126" customFormat="false" ht="17.15" hidden="false" customHeight="false" outlineLevel="0" collapsed="false">
      <c r="A126" s="0" t="s">
        <v>393</v>
      </c>
      <c r="B126" s="4" t="s">
        <v>394</v>
      </c>
      <c r="C126" s="0" t="s">
        <v>33</v>
      </c>
      <c r="E126" s="7" t="n">
        <v>1.93305</v>
      </c>
      <c r="G126" s="8" t="s">
        <v>34</v>
      </c>
      <c r="H126" s="8" t="s">
        <v>390</v>
      </c>
      <c r="I126" s="4" t="s">
        <v>39</v>
      </c>
    </row>
    <row r="127" customFormat="false" ht="17.15" hidden="false" customHeight="false" outlineLevel="0" collapsed="false">
      <c r="A127" s="0" t="s">
        <v>395</v>
      </c>
      <c r="B127" s="4" t="s">
        <v>396</v>
      </c>
      <c r="C127" s="0" t="s">
        <v>33</v>
      </c>
      <c r="E127" s="7" t="n">
        <v>3.67105</v>
      </c>
      <c r="G127" s="8" t="s">
        <v>34</v>
      </c>
      <c r="H127" s="8" t="s">
        <v>390</v>
      </c>
      <c r="I127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397</v>
      </c>
    </row>
    <row r="2" customFormat="false" ht="17.15" hidden="false" customHeight="false" outlineLevel="0" collapsed="false">
      <c r="A2" s="0" t="s">
        <v>398</v>
      </c>
    </row>
    <row r="3" customFormat="false" ht="17.15" hidden="false" customHeight="false" outlineLevel="0" collapsed="false">
      <c r="A3" s="5" t="s">
        <v>22</v>
      </c>
      <c r="B3" s="13" t="s">
        <v>399</v>
      </c>
      <c r="C3" s="13" t="s">
        <v>400</v>
      </c>
      <c r="D3" s="13" t="s">
        <v>401</v>
      </c>
      <c r="E3" s="13" t="s">
        <v>402</v>
      </c>
      <c r="F3" s="13" t="s">
        <v>403</v>
      </c>
      <c r="G3" s="13" t="s">
        <v>404</v>
      </c>
      <c r="H3" s="5" t="s">
        <v>27</v>
      </c>
      <c r="I3" s="5" t="s">
        <v>405</v>
      </c>
    </row>
    <row r="4" customFormat="false" ht="17.15" hidden="false" customHeight="false" outlineLevel="0" collapsed="false">
      <c r="A4" s="4" t="s">
        <v>406</v>
      </c>
      <c r="B4" s="14" t="n">
        <f aca="false">a25_rev_in</f>
        <v>24.842</v>
      </c>
      <c r="C4" s="14" t="n">
        <f aca="false">h1_rev</f>
        <v>20.91</v>
      </c>
      <c r="D4" s="14" t="n">
        <f aca="false">(h1_rev-q1_rev)*(1+q_g)</f>
        <v>15.0864</v>
      </c>
      <c r="E4" s="14" t="n">
        <f aca="false">D4*(1+q_g)</f>
        <v>18.10368</v>
      </c>
      <c r="F4" s="14" t="n">
        <f aca="false">D4+E4</f>
        <v>33.19008</v>
      </c>
      <c r="G4" s="14" t="n">
        <f aca="false">C4+F4</f>
        <v>54.10008</v>
      </c>
      <c r="H4" s="8" t="s">
        <v>407</v>
      </c>
      <c r="I4" s="8" t="s">
        <v>408</v>
      </c>
    </row>
    <row r="5" customFormat="false" ht="15" hidden="false" customHeight="false" outlineLevel="0" collapsed="false">
      <c r="A5" s="4" t="s">
        <v>409</v>
      </c>
      <c r="B5" s="14" t="n">
        <f aca="false">B4*a25_gm_in</f>
        <v>11.8769602</v>
      </c>
      <c r="C5" s="14" t="n">
        <f aca="false">C4*h1_gm</f>
        <v>10.128804</v>
      </c>
      <c r="D5" s="14" t="n">
        <f aca="false">D4*gm_h2</f>
        <v>7.241472</v>
      </c>
      <c r="E5" s="14" t="n">
        <f aca="false">E4*gm_h2</f>
        <v>8.6897664</v>
      </c>
      <c r="F5" s="14" t="n">
        <f aca="false">D5+E5</f>
        <v>15.9312384</v>
      </c>
      <c r="G5" s="14" t="n">
        <f aca="false">C5+F5</f>
        <v>26.0600424</v>
      </c>
      <c r="H5" s="8" t="s">
        <v>34</v>
      </c>
    </row>
    <row r="6" customFormat="false" ht="15" hidden="false" customHeight="false" outlineLevel="0" collapsed="false">
      <c r="A6" s="4" t="s">
        <v>410</v>
      </c>
      <c r="B6" s="15" t="n">
        <f aca="false">B5/B4</f>
        <v>0.4781</v>
      </c>
      <c r="C6" s="15" t="n">
        <f aca="false">C5/C4</f>
        <v>0.4844</v>
      </c>
      <c r="D6" s="15" t="n">
        <f aca="false">D5/D4</f>
        <v>0.48</v>
      </c>
      <c r="E6" s="15" t="n">
        <f aca="false">E5/E4</f>
        <v>0.48</v>
      </c>
      <c r="F6" s="15" t="n">
        <f aca="false">F5/F4</f>
        <v>0.48</v>
      </c>
      <c r="G6" s="15" t="n">
        <f aca="false">G5/G4</f>
        <v>0.481700625951015</v>
      </c>
      <c r="H6" s="8" t="s">
        <v>34</v>
      </c>
    </row>
    <row r="7" customFormat="false" ht="17.15" hidden="false" customHeight="false" outlineLevel="0" collapsed="false">
      <c r="A7" s="4" t="s">
        <v>411</v>
      </c>
      <c r="B7" s="16" t="n">
        <f aca="false">(1-tx)*attr</f>
        <v>0.878065529153146</v>
      </c>
      <c r="C7" s="16" t="n">
        <f aca="false">(1-tx)*attr</f>
        <v>0.878065529153146</v>
      </c>
      <c r="D7" s="16" t="n">
        <f aca="false">(1-tx)*attr</f>
        <v>0.878065529153146</v>
      </c>
      <c r="E7" s="16" t="n">
        <f aca="false">(1-tx)*attr</f>
        <v>0.878065529153146</v>
      </c>
      <c r="H7" s="8" t="s">
        <v>412</v>
      </c>
    </row>
    <row r="8" customFormat="false" ht="17.15" hidden="false" customHeight="false" outlineLevel="0" collapsed="false">
      <c r="A8" s="4" t="s">
        <v>413</v>
      </c>
      <c r="B8" s="14" t="n">
        <f aca="false">B5-B10/B7</f>
        <v>1.02127838181818</v>
      </c>
      <c r="C8" s="14" t="n">
        <f aca="false">C5-C10/C7</f>
        <v>1.55427311360775</v>
      </c>
      <c r="D8" s="14" t="n">
        <f aca="false">D4*opx_h2</f>
        <v>0.75432</v>
      </c>
      <c r="E8" s="14" t="n">
        <f aca="false">E4*opx_h2</f>
        <v>0.905184</v>
      </c>
      <c r="F8" s="14" t="n">
        <f aca="false">D8+E8</f>
        <v>1.659504</v>
      </c>
      <c r="G8" s="14" t="n">
        <f aca="false">C8+F8</f>
        <v>3.21377711360775</v>
      </c>
      <c r="H8" s="8" t="s">
        <v>414</v>
      </c>
      <c r="I8" s="8" t="s">
        <v>415</v>
      </c>
    </row>
    <row r="9" customFormat="false" ht="15" hidden="false" customHeight="false" outlineLevel="0" collapsed="false">
      <c r="A9" s="4" t="s">
        <v>416</v>
      </c>
      <c r="B9" s="15" t="n">
        <f aca="false">B8/B4</f>
        <v>0.0411109565179204</v>
      </c>
      <c r="C9" s="15" t="n">
        <f aca="false">C8/C4</f>
        <v>0.0743315692782282</v>
      </c>
      <c r="D9" s="15" t="n">
        <f aca="false">D8/D4</f>
        <v>0.05</v>
      </c>
      <c r="E9" s="15" t="n">
        <f aca="false">E8/E4</f>
        <v>0.05</v>
      </c>
      <c r="F9" s="15" t="n">
        <f aca="false">F8/F4</f>
        <v>0.05</v>
      </c>
      <c r="G9" s="15" t="n">
        <f aca="false">G8/G4</f>
        <v>0.059404295032609</v>
      </c>
      <c r="H9" s="8" t="s">
        <v>34</v>
      </c>
    </row>
    <row r="10" customFormat="false" ht="17.15" hidden="false" customHeight="false" outlineLevel="0" collapsed="false">
      <c r="A10" s="4" t="s">
        <v>417</v>
      </c>
      <c r="B10" s="14" t="n">
        <f aca="false">a25_ni_in</f>
        <v>9.532</v>
      </c>
      <c r="C10" s="14" t="n">
        <f aca="false">h1_ni</f>
        <v>7.529</v>
      </c>
      <c r="D10" s="14" t="n">
        <f aca="false">(D5-D8)*D7</f>
        <v>5.69614455357689</v>
      </c>
      <c r="E10" s="14" t="n">
        <f aca="false">(E5-E8)*E7</f>
        <v>6.83537346429226</v>
      </c>
      <c r="F10" s="14" t="n">
        <f aca="false">D10+E10</f>
        <v>12.5315180178692</v>
      </c>
      <c r="G10" s="14" t="n">
        <f aca="false">C10+F10</f>
        <v>20.0605180178692</v>
      </c>
      <c r="H10" s="8" t="s">
        <v>418</v>
      </c>
    </row>
    <row r="11" customFormat="false" ht="15" hidden="false" customHeight="false" outlineLevel="0" collapsed="false">
      <c r="A11" s="4" t="s">
        <v>419</v>
      </c>
      <c r="B11" s="15" t="n">
        <f aca="false">B10/B4</f>
        <v>0.383705015699219</v>
      </c>
      <c r="C11" s="15" t="n">
        <f aca="false">C10/C4</f>
        <v>0.360066953610713</v>
      </c>
      <c r="D11" s="15" t="n">
        <f aca="false">D10/D4</f>
        <v>0.377568177535853</v>
      </c>
      <c r="E11" s="15" t="n">
        <f aca="false">E10/E4</f>
        <v>0.377568177535853</v>
      </c>
      <c r="F11" s="15" t="n">
        <f aca="false">F10/F4</f>
        <v>0.377568177535853</v>
      </c>
      <c r="G11" s="15" t="n">
        <f aca="false">G10/G4</f>
        <v>0.370803851267302</v>
      </c>
      <c r="H11" s="8" t="s">
        <v>34</v>
      </c>
    </row>
    <row r="12" customFormat="false" ht="17.15" hidden="false" customHeight="false" outlineLevel="0" collapsed="false">
      <c r="A12" s="4" t="s">
        <v>420</v>
      </c>
      <c r="B12" s="14" t="n">
        <f aca="false">a25_sh_in</f>
        <v>1.38863683662851</v>
      </c>
      <c r="C12" s="14" t="n">
        <f aca="false">q_sh_h1</f>
        <v>1.3916820702403</v>
      </c>
      <c r="D12" s="14" t="n">
        <f aca="false">sh_post</f>
        <v>1.394</v>
      </c>
      <c r="E12" s="14" t="n">
        <f aca="false">sh_post</f>
        <v>1.394</v>
      </c>
      <c r="G12" s="14" t="n">
        <f aca="false">(C12*2+D12+E12)/4</f>
        <v>1.39284103512015</v>
      </c>
      <c r="H12" s="8" t="s">
        <v>34</v>
      </c>
      <c r="I12" s="8" t="s">
        <v>421</v>
      </c>
    </row>
    <row r="13" customFormat="false" ht="17.15" hidden="false" customHeight="false" outlineLevel="0" collapsed="false">
      <c r="A13" s="0" t="s">
        <v>422</v>
      </c>
      <c r="B13" s="17" t="n">
        <f aca="false">B10/B12</f>
        <v>6.86428571428571</v>
      </c>
      <c r="C13" s="17" t="n">
        <f aca="false">C10/C12</f>
        <v>5.41</v>
      </c>
      <c r="D13" s="17" t="n">
        <f aca="false">D10/D12</f>
        <v>4.08618691074382</v>
      </c>
      <c r="E13" s="17" t="n">
        <f aca="false">E10/E12</f>
        <v>4.90342429289259</v>
      </c>
      <c r="G13" s="17" t="n">
        <f aca="false">G10/G12</f>
        <v>14.402589751485</v>
      </c>
      <c r="H13" s="8" t="s">
        <v>34</v>
      </c>
      <c r="I13" s="8" t="s">
        <v>423</v>
      </c>
    </row>
    <row r="14" customFormat="false" ht="17.15" hidden="false" customHeight="false" outlineLevel="0" collapsed="false">
      <c r="A14" s="4" t="s">
        <v>424</v>
      </c>
      <c r="B14" s="14" t="n">
        <f aca="false">B4*oth_s</f>
        <v>1.2421</v>
      </c>
      <c r="G14" s="14" t="n">
        <f aca="false">G4*oth_s</f>
        <v>2.705004</v>
      </c>
      <c r="H14" s="8" t="s">
        <v>82</v>
      </c>
    </row>
    <row r="15" customFormat="false" ht="17.15" hidden="false" customHeight="false" outlineLevel="0" collapsed="false">
      <c r="A15" s="0" t="s">
        <v>425</v>
      </c>
      <c r="B15" s="14" t="n">
        <f aca="false">B4-B14</f>
        <v>23.5999</v>
      </c>
      <c r="G15" s="14" t="n">
        <f aca="false">G4-G14</f>
        <v>51.395076</v>
      </c>
      <c r="H15" s="8" t="s">
        <v>34</v>
      </c>
    </row>
    <row r="16" customFormat="false" ht="17.15" hidden="false" customHeight="false" outlineLevel="0" collapsed="false">
      <c r="A16" s="0" t="s">
        <v>426</v>
      </c>
      <c r="B16" s="14" t="n">
        <f aca="false">B15/fx</f>
        <v>3.51188988095238</v>
      </c>
      <c r="G16" s="14" t="n">
        <f aca="false">G15/fx</f>
        <v>7.64807678571429</v>
      </c>
      <c r="H16" s="8" t="s">
        <v>34</v>
      </c>
    </row>
    <row r="18" customFormat="false" ht="15" hidden="false" customHeight="false" outlineLevel="0" collapsed="false">
      <c r="A18" s="1" t="s">
        <v>427</v>
      </c>
    </row>
    <row r="19" customFormat="false" ht="17.15" hidden="false" customHeight="false" outlineLevel="0" collapsed="false">
      <c r="A19" s="0" t="s">
        <v>428</v>
      </c>
      <c r="B19" s="15" t="n">
        <f aca="false">(12.572*0.4796-4.749/((1-tx)*attr))/12.572</f>
        <v>0.0493995412596716</v>
      </c>
    </row>
    <row r="20" customFormat="false" ht="17.15" hidden="false" customHeight="false" outlineLevel="0" collapsed="false">
      <c r="A20" s="0" t="s">
        <v>429</v>
      </c>
      <c r="B20" s="15" t="n">
        <f aca="false">(q1_rev*0.4916-(h1_ni-4.749)/((1-tx)*attr))/q1_rev</f>
        <v>0.111886553237126</v>
      </c>
    </row>
    <row r="21" customFormat="false" ht="17.15" hidden="false" customHeight="false" outlineLevel="0" collapsed="false">
      <c r="A21" s="6" t="s">
        <v>430</v>
      </c>
    </row>
    <row r="22" customFormat="false" ht="17.15" hidden="false" customHeight="false" outlineLevel="0" collapsed="false">
      <c r="A22" s="0" t="s">
        <v>431</v>
      </c>
      <c r="B22" s="15" t="n">
        <f aca="false">G4/cons_rev26-1</f>
        <v>-0.0197307434452517</v>
      </c>
    </row>
    <row r="23" customFormat="false" ht="17.15" hidden="false" customHeight="false" outlineLevel="0" collapsed="false">
      <c r="A23" s="0" t="s">
        <v>432</v>
      </c>
      <c r="B23" s="15" t="n">
        <f aca="false">G10/cons_ni26-1</f>
        <v>-0.00369912997918309</v>
      </c>
    </row>
    <row r="24" customFormat="false" ht="17.15" hidden="false" customHeight="false" outlineLevel="0" collapsed="false">
      <c r="A24" s="0" t="s">
        <v>433</v>
      </c>
      <c r="B24" s="15" t="n">
        <f aca="false">G4/B4-1</f>
        <v>1.17776668545206</v>
      </c>
    </row>
    <row r="25" customFormat="false" ht="17.15" hidden="false" customHeight="false" outlineLevel="0" collapsed="false">
      <c r="A25" s="0" t="s">
        <v>434</v>
      </c>
      <c r="B25" s="15" t="n">
        <f aca="false">G8/B8-1</f>
        <v>2.1468179203855</v>
      </c>
    </row>
    <row r="26" customFormat="false" ht="17.15" hidden="false" customHeight="false" outlineLevel="0" collapsed="false">
      <c r="A26" s="4" t="s">
        <v>435</v>
      </c>
      <c r="B26" s="17" t="n">
        <f aca="false">B25/B24</f>
        <v>1.82278709943429</v>
      </c>
    </row>
    <row r="27" customFormat="false" ht="17.15" hidden="false" customHeight="false" outlineLevel="0" collapsed="false">
      <c r="A27" s="0" t="s">
        <v>436</v>
      </c>
      <c r="B27" s="15" t="n">
        <f aca="false">C13/h1_eps-1</f>
        <v>0</v>
      </c>
    </row>
    <row r="28" customFormat="false" ht="17.15" hidden="false" customHeight="false" outlineLevel="0" collapsed="false">
      <c r="A28" s="0" t="s">
        <v>437</v>
      </c>
      <c r="B28" s="15" t="n">
        <f aca="false">G4/50-1</f>
        <v>0.0820016000000001</v>
      </c>
    </row>
    <row r="30" customFormat="false" ht="17.15" hidden="false" customHeight="false" outlineLevel="0" collapsed="false">
      <c r="A30" s="1" t="s">
        <v>438</v>
      </c>
    </row>
    <row r="31" customFormat="false" ht="17.15" hidden="false" customHeight="false" outlineLevel="0" collapsed="false">
      <c r="A31" s="4" t="s">
        <v>439</v>
      </c>
      <c r="B31" s="14" t="n">
        <f aca="false">B4*0.997</f>
        <v>24.767474</v>
      </c>
      <c r="H31" s="8" t="s">
        <v>141</v>
      </c>
      <c r="I31" s="4" t="s">
        <v>440</v>
      </c>
    </row>
    <row r="32" customFormat="false" ht="15" hidden="false" customHeight="false" outlineLevel="0" collapsed="false">
      <c r="A32" s="4" t="s">
        <v>441</v>
      </c>
      <c r="B32" s="14" t="n">
        <f aca="false">B4-B31</f>
        <v>0.0745259999999988</v>
      </c>
      <c r="H32" s="8" t="s">
        <v>34</v>
      </c>
      <c r="I32" s="4" t="s">
        <v>442</v>
      </c>
    </row>
    <row r="33" customFormat="false" ht="17.15" hidden="false" customHeight="false" outlineLevel="0" collapsed="false">
      <c r="A33" s="4" t="s">
        <v>443</v>
      </c>
      <c r="B33" s="14" t="n">
        <f aca="false">ROUND(B31+B32-B4,6)</f>
        <v>0</v>
      </c>
      <c r="H33" s="8" t="s">
        <v>34</v>
      </c>
      <c r="I33" s="4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445</v>
      </c>
    </row>
    <row r="3" customFormat="false" ht="15" hidden="false" customHeight="false" outlineLevel="0" collapsed="false">
      <c r="A3" s="5" t="s">
        <v>22</v>
      </c>
      <c r="B3" s="5" t="s">
        <v>23</v>
      </c>
      <c r="C3" s="13" t="s">
        <v>446</v>
      </c>
      <c r="D3" s="13" t="s">
        <v>447</v>
      </c>
      <c r="E3" s="13" t="s">
        <v>448</v>
      </c>
      <c r="F3" s="13" t="s">
        <v>449</v>
      </c>
      <c r="G3" s="5" t="s">
        <v>405</v>
      </c>
    </row>
    <row r="4" customFormat="false" ht="17.15" hidden="false" customHeight="false" outlineLevel="0" collapsed="false">
      <c r="A4" s="0" t="s">
        <v>450</v>
      </c>
      <c r="B4" s="0" t="s">
        <v>33</v>
      </c>
      <c r="C4" s="18" t="n">
        <f aca="false">PL!D63</f>
        <v>29.753262</v>
      </c>
      <c r="D4" s="18" t="n">
        <f aca="false">PL!E63</f>
        <v>53.560715</v>
      </c>
      <c r="E4" s="18" t="n">
        <f aca="false">PL!F63</f>
        <v>57.9915</v>
      </c>
      <c r="F4" s="18" t="n">
        <f aca="false">PL!G63</f>
        <v>72.9348</v>
      </c>
      <c r="G4" s="8" t="s">
        <v>451</v>
      </c>
    </row>
    <row r="5" customFormat="false" ht="17.15" hidden="false" customHeight="false" outlineLevel="0" collapsed="false">
      <c r="A5" s="0" t="s">
        <v>452</v>
      </c>
      <c r="B5" s="0" t="s">
        <v>33</v>
      </c>
      <c r="C5" s="18" t="n">
        <f aca="false">PL!D64</f>
        <v>0.300538</v>
      </c>
      <c r="D5" s="18" t="n">
        <f aca="false">PL!E64</f>
        <v>2.818985</v>
      </c>
      <c r="E5" s="18" t="n">
        <f aca="false">PL!F64</f>
        <v>6.4435</v>
      </c>
      <c r="F5" s="18" t="n">
        <f aca="false">PL!G64</f>
        <v>11.74736</v>
      </c>
      <c r="G5" s="4" t="s">
        <v>39</v>
      </c>
    </row>
    <row r="6" customFormat="false" ht="17.15" hidden="false" customHeight="false" outlineLevel="0" collapsed="false">
      <c r="A6" s="4" t="s">
        <v>453</v>
      </c>
      <c r="B6" s="0" t="s">
        <v>66</v>
      </c>
      <c r="C6" s="15" t="n">
        <f aca="false">PL!D68</f>
        <v>0.257050026505137</v>
      </c>
      <c r="D6" s="15" t="n">
        <f aca="false">PL!E68</f>
        <v>0.257050026505137</v>
      </c>
      <c r="E6" s="15" t="n">
        <f aca="false">PL!F68</f>
        <v>0.257050026505137</v>
      </c>
      <c r="F6" s="15" t="n">
        <f aca="false">PL!G68</f>
        <v>0.24419752517988</v>
      </c>
      <c r="G6" s="8" t="s">
        <v>454</v>
      </c>
    </row>
    <row r="7" customFormat="false" ht="17.15" hidden="false" customHeight="false" outlineLevel="0" collapsed="false">
      <c r="A7" s="4" t="s">
        <v>455</v>
      </c>
      <c r="B7" s="0" t="s">
        <v>66</v>
      </c>
      <c r="C7" s="15" t="n">
        <f aca="false">inl_26</f>
        <v>0.445687059095763</v>
      </c>
      <c r="D7" s="15" t="n">
        <f aca="false">inl_27</f>
        <v>0.423402706140975</v>
      </c>
      <c r="E7" s="15" t="n">
        <f aca="false">inl_28</f>
        <v>0.401118353186187</v>
      </c>
      <c r="F7" s="15" t="n">
        <f aca="false">inl_29</f>
        <v>0.378834000231398</v>
      </c>
      <c r="G7" s="4" t="s">
        <v>456</v>
      </c>
    </row>
    <row r="8" customFormat="false" ht="17.15" hidden="false" customHeight="false" outlineLevel="0" collapsed="false">
      <c r="A8" s="4" t="s">
        <v>457</v>
      </c>
      <c r="B8" s="0" t="s">
        <v>66</v>
      </c>
      <c r="C8" s="15" t="n">
        <f aca="false">C6+C7</f>
        <v>0.7027370856009</v>
      </c>
      <c r="D8" s="15" t="n">
        <f aca="false">D6+D7</f>
        <v>0.680452732646112</v>
      </c>
      <c r="E8" s="15" t="n">
        <f aca="false">E6+E7</f>
        <v>0.658168379691324</v>
      </c>
      <c r="F8" s="15" t="n">
        <f aca="false">F6+F7</f>
        <v>0.623031525411278</v>
      </c>
      <c r="G8" s="4" t="s">
        <v>458</v>
      </c>
    </row>
    <row r="9" customFormat="false" ht="17.15" hidden="false" customHeight="false" outlineLevel="0" collapsed="false">
      <c r="A9" s="4" t="s">
        <v>459</v>
      </c>
      <c r="B9" s="0" t="s">
        <v>33</v>
      </c>
      <c r="C9" s="19" t="n">
        <f aca="false">PL!D71</f>
        <v>7.64807678571429</v>
      </c>
      <c r="D9" s="19" t="n">
        <f aca="false">PL!E71</f>
        <v>13.9087324603841</v>
      </c>
      <c r="E9" s="19" t="n">
        <f aca="false">PL!F71</f>
        <v>15.5510666120727</v>
      </c>
      <c r="F9" s="19" t="n">
        <f aca="false">PL!G71</f>
        <v>19.5726016594895</v>
      </c>
    </row>
    <row r="10" customFormat="false" ht="17.15" hidden="false" customHeight="false" outlineLevel="0" collapsed="false">
      <c r="A10" s="4" t="s">
        <v>460</v>
      </c>
      <c r="B10" s="0" t="s">
        <v>33</v>
      </c>
      <c r="C10" s="18" t="n">
        <f aca="false">C4*(1-C8)</f>
        <v>8.84454137499999</v>
      </c>
      <c r="D10" s="18" t="n">
        <f aca="false">D4*(1-D8)</f>
        <v>17.1151801157704</v>
      </c>
      <c r="E10" s="18" t="n">
        <f aca="false">E4*(1-E8)</f>
        <v>19.8233284091306</v>
      </c>
      <c r="F10" s="18" t="n">
        <f aca="false">F4*(1-F8)</f>
        <v>27.4941203004335</v>
      </c>
      <c r="G10" s="4" t="s">
        <v>461</v>
      </c>
    </row>
    <row r="11" customFormat="false" ht="17.15" hidden="false" customHeight="false" outlineLevel="0" collapsed="false">
      <c r="A11" s="4" t="s">
        <v>462</v>
      </c>
      <c r="B11" s="0" t="s">
        <v>66</v>
      </c>
      <c r="C11" s="20" t="n">
        <f aca="false">PL!D71/itc_26</f>
        <v>0.00978173897916824</v>
      </c>
      <c r="D11" s="20" t="n">
        <f aca="false">PL!E71/itc_27</f>
        <v>0.00888538183817299</v>
      </c>
      <c r="E11" s="20" t="n">
        <f aca="false">PL!F71/itc_28</f>
        <v>0.00783719680590501</v>
      </c>
      <c r="F11" s="20" t="n">
        <f aca="false">PL!G71/itc_29</f>
        <v>0.00865894790466521</v>
      </c>
      <c r="G11" s="8" t="s">
        <v>463</v>
      </c>
    </row>
    <row r="13" customFormat="false" ht="17.15" hidden="false" customHeight="false" outlineLevel="0" collapsed="false">
      <c r="A13" s="1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465</v>
      </c>
    </row>
    <row r="2" customFormat="false" ht="17.15" hidden="false" customHeight="false" outlineLevel="0" collapsed="false">
      <c r="A2" s="4" t="s">
        <v>466</v>
      </c>
    </row>
    <row r="3" customFormat="false" ht="17.15" hidden="false" customHeight="false" outlineLevel="0" collapsed="false">
      <c r="A3" s="5" t="s">
        <v>467</v>
      </c>
      <c r="B3" s="5" t="s">
        <v>23</v>
      </c>
      <c r="C3" s="13" t="s">
        <v>399</v>
      </c>
      <c r="D3" s="13" t="s">
        <v>468</v>
      </c>
      <c r="E3" s="13" t="s">
        <v>469</v>
      </c>
      <c r="F3" s="13" t="s">
        <v>470</v>
      </c>
      <c r="G3" s="13" t="s">
        <v>471</v>
      </c>
      <c r="H3" s="13" t="s">
        <v>472</v>
      </c>
      <c r="I3" s="13" t="s">
        <v>473</v>
      </c>
      <c r="J3" s="13" t="s">
        <v>474</v>
      </c>
      <c r="K3" s="5" t="s">
        <v>405</v>
      </c>
    </row>
    <row r="4" customFormat="false" ht="17.15" hidden="false" customHeight="false" outlineLevel="0" collapsed="false">
      <c r="A4" s="1" t="s">
        <v>475</v>
      </c>
    </row>
    <row r="5" customFormat="false" ht="15" hidden="false" customHeight="false" outlineLevel="0" collapsed="false">
      <c r="A5" s="4" t="s">
        <v>406</v>
      </c>
      <c r="B5" s="0" t="s">
        <v>168</v>
      </c>
      <c r="C5" s="18" t="n">
        <f aca="false">C75</f>
        <v>24.842</v>
      </c>
      <c r="D5" s="18" t="n">
        <f aca="false">D75</f>
        <v>54.10008</v>
      </c>
      <c r="E5" s="18" t="n">
        <f aca="false">E75</f>
        <v>96.4421865337811</v>
      </c>
      <c r="F5" s="18" t="n">
        <f aca="false">F75</f>
        <v>107.776222473128</v>
      </c>
      <c r="G5" s="18" t="n">
        <f aca="false">G75</f>
        <v>135.12824347577</v>
      </c>
      <c r="H5" s="21" t="n">
        <f aca="false">H75</f>
        <v>160.693182925917</v>
      </c>
      <c r="I5" s="21" t="n">
        <f aca="false">I75</f>
        <v>180.714766146457</v>
      </c>
      <c r="J5" s="21" t="n">
        <f aca="false">J75</f>
        <v>191.557652115245</v>
      </c>
    </row>
    <row r="6" customFormat="false" ht="15" hidden="false" customHeight="false" outlineLevel="0" collapsed="false">
      <c r="A6" s="4" t="s">
        <v>476</v>
      </c>
      <c r="B6" s="0" t="s">
        <v>66</v>
      </c>
      <c r="D6" s="15" t="n">
        <f aca="false">D76</f>
        <v>1.17776668545206</v>
      </c>
      <c r="E6" s="15" t="n">
        <f aca="false">E76</f>
        <v>0.782662549367415</v>
      </c>
      <c r="F6" s="15" t="n">
        <f aca="false">F76</f>
        <v>0.117521557180551</v>
      </c>
      <c r="G6" s="15" t="n">
        <f aca="false">G76</f>
        <v>0.253785300458652</v>
      </c>
      <c r="H6" s="22" t="n">
        <f aca="false">H76</f>
        <v>0.189190200305768</v>
      </c>
      <c r="I6" s="22" t="n">
        <f aca="false">I76</f>
        <v>0.124595100152884</v>
      </c>
      <c r="J6" s="22" t="n">
        <f aca="false">J76</f>
        <v>0.06</v>
      </c>
    </row>
    <row r="7" customFormat="false" ht="17.15" hidden="false" customHeight="false" outlineLevel="0" collapsed="false">
      <c r="A7" s="0" t="s">
        <v>477</v>
      </c>
      <c r="B7" s="0" t="s">
        <v>168</v>
      </c>
      <c r="C7" s="18" t="n">
        <f aca="false">C72</f>
        <v>23.5999</v>
      </c>
      <c r="D7" s="18" t="n">
        <f aca="false">D72</f>
        <v>51.395076</v>
      </c>
      <c r="E7" s="18" t="n">
        <f aca="false">E72</f>
        <v>93.4666821337811</v>
      </c>
      <c r="F7" s="18" t="n">
        <f aca="false">F72</f>
        <v>104.503167633128</v>
      </c>
      <c r="G7" s="18" t="n">
        <f aca="false">G72</f>
        <v>131.52788315177</v>
      </c>
    </row>
    <row r="8" customFormat="false" ht="15" hidden="false" customHeight="false" outlineLevel="0" collapsed="false">
      <c r="A8" s="4" t="s">
        <v>478</v>
      </c>
      <c r="B8" s="0" t="s">
        <v>168</v>
      </c>
      <c r="C8" s="18" t="n">
        <f aca="false">C74</f>
        <v>1.2421</v>
      </c>
      <c r="D8" s="18" t="n">
        <f aca="false">D74</f>
        <v>2.705004</v>
      </c>
      <c r="E8" s="18" t="n">
        <f aca="false">E74</f>
        <v>2.9755044</v>
      </c>
      <c r="F8" s="18" t="n">
        <f aca="false">F74</f>
        <v>3.27305484</v>
      </c>
      <c r="G8" s="18" t="n">
        <f aca="false">G74</f>
        <v>3.600360324</v>
      </c>
    </row>
    <row r="9" customFormat="false" ht="17.15" hidden="false" customHeight="false" outlineLevel="0" collapsed="false">
      <c r="A9" s="0" t="s">
        <v>479</v>
      </c>
      <c r="B9" s="0" t="s">
        <v>66</v>
      </c>
      <c r="C9" s="15" t="n">
        <f aca="false">C77</f>
        <v>0.95</v>
      </c>
      <c r="D9" s="15" t="n">
        <f aca="false">D77</f>
        <v>0.95</v>
      </c>
      <c r="E9" s="15" t="n">
        <f aca="false">E77</f>
        <v>0.969147273543433</v>
      </c>
      <c r="F9" s="15" t="n">
        <f aca="false">F77</f>
        <v>0.969631011693548</v>
      </c>
      <c r="G9" s="15" t="n">
        <f aca="false">G77</f>
        <v>0.973355974802961</v>
      </c>
    </row>
    <row r="10" customFormat="false" ht="15" hidden="false" customHeight="false" outlineLevel="0" collapsed="false">
      <c r="A10" s="4" t="s">
        <v>410</v>
      </c>
      <c r="B10" s="0" t="s">
        <v>66</v>
      </c>
      <c r="C10" s="15" t="n">
        <f aca="false">C79</f>
        <v>0.4781</v>
      </c>
      <c r="D10" s="15" t="n">
        <f aca="false">D79</f>
        <v>0.481700625951015</v>
      </c>
      <c r="E10" s="15" t="n">
        <f aca="false">E79</f>
        <v>0.47</v>
      </c>
      <c r="F10" s="15" t="n">
        <f aca="false">F79</f>
        <v>0.46</v>
      </c>
      <c r="G10" s="15" t="n">
        <f aca="false">G79</f>
        <v>0.45</v>
      </c>
    </row>
    <row r="11" customFormat="false" ht="15" hidden="false" customHeight="false" outlineLevel="0" collapsed="false">
      <c r="A11" s="4" t="s">
        <v>419</v>
      </c>
      <c r="B11" s="0" t="s">
        <v>66</v>
      </c>
      <c r="C11" s="15" t="n">
        <f aca="false">C86</f>
        <v>0.383705015699219</v>
      </c>
      <c r="D11" s="15" t="n">
        <f aca="false">D86</f>
        <v>0.370803851267302</v>
      </c>
      <c r="E11" s="15" t="n">
        <f aca="false">E86</f>
        <v>0.369690245097662</v>
      </c>
      <c r="F11" s="15" t="n">
        <f aca="false">F86</f>
        <v>0.36271841111673</v>
      </c>
      <c r="G11" s="15" t="n">
        <f aca="false">G86</f>
        <v>0.357272890206738</v>
      </c>
      <c r="H11" s="22" t="n">
        <f aca="false">H86</f>
        <v>0.357272890206738</v>
      </c>
      <c r="I11" s="22" t="n">
        <f aca="false">I86</f>
        <v>0.357272890206738</v>
      </c>
      <c r="J11" s="22" t="n">
        <f aca="false">J86</f>
        <v>0.357272890206738</v>
      </c>
    </row>
    <row r="12" customFormat="false" ht="15" hidden="false" customHeight="false" outlineLevel="0" collapsed="false">
      <c r="A12" s="4" t="s">
        <v>417</v>
      </c>
      <c r="B12" s="0" t="s">
        <v>168</v>
      </c>
      <c r="C12" s="18" t="n">
        <f aca="false">C85</f>
        <v>9.532</v>
      </c>
      <c r="D12" s="18" t="n">
        <f aca="false">D85</f>
        <v>20.0605180178692</v>
      </c>
      <c r="E12" s="18" t="n">
        <f aca="false">E85</f>
        <v>35.653735577428</v>
      </c>
      <c r="F12" s="18" t="n">
        <f aca="false">F85</f>
        <v>39.0924201716162</v>
      </c>
      <c r="G12" s="18" t="n">
        <f aca="false">G85</f>
        <v>48.277658095148</v>
      </c>
      <c r="H12" s="21" t="n">
        <f aca="false">H85</f>
        <v>57.4113179004625</v>
      </c>
      <c r="I12" s="21" t="n">
        <f aca="false">I85</f>
        <v>64.5644868041797</v>
      </c>
      <c r="J12" s="21" t="n">
        <f aca="false">J85</f>
        <v>68.4383560124305</v>
      </c>
    </row>
    <row r="13" customFormat="false" ht="15" hidden="false" customHeight="false" outlineLevel="0" collapsed="false">
      <c r="A13" s="0" t="s">
        <v>422</v>
      </c>
      <c r="B13" s="0" t="s">
        <v>140</v>
      </c>
      <c r="C13" s="17" t="n">
        <f aca="false">C88</f>
        <v>6.86428571428571</v>
      </c>
      <c r="D13" s="17" t="n">
        <f aca="false">D88</f>
        <v>14.402589751485</v>
      </c>
      <c r="E13" s="17" t="n">
        <f aca="false">E88</f>
        <v>25.5765678460746</v>
      </c>
      <c r="F13" s="17" t="n">
        <f aca="false">F88</f>
        <v>28.0433430212455</v>
      </c>
      <c r="G13" s="17" t="n">
        <f aca="false">G88</f>
        <v>34.63246635233</v>
      </c>
      <c r="H13" s="23" t="n">
        <f aca="false">H88</f>
        <v>41.1845895986101</v>
      </c>
      <c r="I13" s="23" t="n">
        <f aca="false">I88</f>
        <v>46.3159876644044</v>
      </c>
      <c r="J13" s="23" t="n">
        <f aca="false">J88</f>
        <v>49.0949469242686</v>
      </c>
    </row>
    <row r="14" customFormat="false" ht="17.15" hidden="false" customHeight="false" outlineLevel="0" collapsed="false">
      <c r="A14" s="0" t="s">
        <v>480</v>
      </c>
      <c r="B14" s="0" t="s">
        <v>66</v>
      </c>
      <c r="D14" s="15" t="n">
        <f aca="false">D89</f>
        <v>1.09819205536722</v>
      </c>
      <c r="E14" s="15" t="n">
        <f aca="false">E89</f>
        <v>0.775831172545725</v>
      </c>
      <c r="F14" s="15" t="n">
        <f aca="false">F89</f>
        <v>0.0964466847161245</v>
      </c>
      <c r="G14" s="15" t="n">
        <f aca="false">G89</f>
        <v>0.23496212010432</v>
      </c>
      <c r="H14" s="22" t="n">
        <f aca="false">H89</f>
        <v>0.189190200305768</v>
      </c>
      <c r="I14" s="22" t="n">
        <f aca="false">I89</f>
        <v>0.124595100152884</v>
      </c>
      <c r="J14" s="22" t="n">
        <f aca="false">J89</f>
        <v>0.0600000000000001</v>
      </c>
    </row>
    <row r="16" customFormat="false" ht="17.15" hidden="false" customHeight="false" outlineLevel="0" collapsed="false">
      <c r="A16" s="1" t="s">
        <v>481</v>
      </c>
    </row>
    <row r="17" customFormat="false" ht="15" hidden="false" customHeight="false" outlineLevel="0" collapsed="false">
      <c r="A17" s="4" t="s">
        <v>406</v>
      </c>
      <c r="B17" s="0" t="s">
        <v>168</v>
      </c>
      <c r="C17" s="18" t="n">
        <f aca="false">C107</f>
        <v>24.842</v>
      </c>
      <c r="D17" s="18" t="n">
        <f aca="false">D107</f>
        <v>54.10008</v>
      </c>
      <c r="E17" s="18" t="n">
        <f aca="false">E107</f>
        <v>98.0110939639659</v>
      </c>
      <c r="F17" s="18" t="n">
        <f aca="false">F107</f>
        <v>89.595715507975</v>
      </c>
      <c r="G17" s="18" t="n">
        <f aca="false">G107</f>
        <v>118.559431318722</v>
      </c>
      <c r="H17" s="21" t="n">
        <f aca="false">H107</f>
        <v>145.691458010773</v>
      </c>
      <c r="I17" s="21" t="n">
        <f aca="false">I107</f>
        <v>165.275848439647</v>
      </c>
      <c r="J17" s="21" t="n">
        <f aca="false">J107</f>
        <v>171.886882377233</v>
      </c>
    </row>
    <row r="18" customFormat="false" ht="15" hidden="false" customHeight="false" outlineLevel="0" collapsed="false">
      <c r="A18" s="4" t="s">
        <v>476</v>
      </c>
      <c r="B18" s="0" t="s">
        <v>66</v>
      </c>
      <c r="D18" s="15" t="n">
        <f aca="false">D108</f>
        <v>1.17776668545206</v>
      </c>
      <c r="E18" s="15" t="n">
        <f aca="false">E108</f>
        <v>0.811662643825405</v>
      </c>
      <c r="F18" s="15" t="n">
        <f aca="false">F108</f>
        <v>-0.0858614888951746</v>
      </c>
      <c r="G18" s="15" t="n">
        <f aca="false">G108</f>
        <v>0.32327121499654</v>
      </c>
      <c r="H18" s="22" t="n">
        <f aca="false">H108</f>
        <v>0.22884747666436</v>
      </c>
      <c r="I18" s="22" t="n">
        <f aca="false">I108</f>
        <v>0.13442373833218</v>
      </c>
      <c r="J18" s="22" t="n">
        <f aca="false">J108</f>
        <v>0.04</v>
      </c>
    </row>
    <row r="19" customFormat="false" ht="17.15" hidden="false" customHeight="false" outlineLevel="0" collapsed="false">
      <c r="A19" s="0" t="s">
        <v>477</v>
      </c>
      <c r="B19" s="0" t="s">
        <v>168</v>
      </c>
      <c r="C19" s="18" t="n">
        <f aca="false">C104</f>
        <v>23.5999</v>
      </c>
      <c r="D19" s="18" t="n">
        <f aca="false">D104</f>
        <v>51.395076</v>
      </c>
      <c r="E19" s="18" t="n">
        <f aca="false">E104</f>
        <v>95.0355895639659</v>
      </c>
      <c r="F19" s="18" t="n">
        <f aca="false">F104</f>
        <v>86.322660667975</v>
      </c>
      <c r="G19" s="18" t="n">
        <f aca="false">G104</f>
        <v>114.959070994722</v>
      </c>
    </row>
    <row r="20" customFormat="false" ht="15" hidden="false" customHeight="false" outlineLevel="0" collapsed="false">
      <c r="A20" s="4" t="s">
        <v>478</v>
      </c>
      <c r="B20" s="0" t="s">
        <v>168</v>
      </c>
      <c r="C20" s="18" t="n">
        <f aca="false">C106</f>
        <v>1.2421</v>
      </c>
      <c r="D20" s="18" t="n">
        <f aca="false">D106</f>
        <v>2.705004</v>
      </c>
      <c r="E20" s="18" t="n">
        <f aca="false">E106</f>
        <v>2.9755044</v>
      </c>
      <c r="F20" s="18" t="n">
        <f aca="false">F106</f>
        <v>3.27305484</v>
      </c>
      <c r="G20" s="18" t="n">
        <f aca="false">G106</f>
        <v>3.600360324</v>
      </c>
    </row>
    <row r="21" customFormat="false" ht="17.15" hidden="false" customHeight="false" outlineLevel="0" collapsed="false">
      <c r="A21" s="0" t="s">
        <v>479</v>
      </c>
      <c r="B21" s="0" t="s">
        <v>66</v>
      </c>
      <c r="C21" s="15" t="n">
        <f aca="false">C109</f>
        <v>0.95</v>
      </c>
      <c r="D21" s="15" t="n">
        <f aca="false">D109</f>
        <v>0.95</v>
      </c>
      <c r="E21" s="15" t="n">
        <f aca="false">E109</f>
        <v>0.969641146938999</v>
      </c>
      <c r="F21" s="15" t="n">
        <f aca="false">F109</f>
        <v>0.963468623232227</v>
      </c>
      <c r="G21" s="15" t="n">
        <f aca="false">G109</f>
        <v>0.969632442700225</v>
      </c>
    </row>
    <row r="22" customFormat="false" ht="15" hidden="false" customHeight="false" outlineLevel="0" collapsed="false">
      <c r="A22" s="4" t="s">
        <v>410</v>
      </c>
      <c r="B22" s="0" t="s">
        <v>66</v>
      </c>
      <c r="C22" s="15" t="n">
        <f aca="false">C111</f>
        <v>0.4781</v>
      </c>
      <c r="D22" s="15" t="n">
        <f aca="false">D111</f>
        <v>0.481700625951015</v>
      </c>
      <c r="E22" s="15" t="n">
        <f aca="false">E111</f>
        <v>0.47</v>
      </c>
      <c r="F22" s="15" t="n">
        <f aca="false">F111</f>
        <v>0.46</v>
      </c>
      <c r="G22" s="15" t="n">
        <f aca="false">G111</f>
        <v>0.45</v>
      </c>
    </row>
    <row r="23" customFormat="false" ht="15" hidden="false" customHeight="false" outlineLevel="0" collapsed="false">
      <c r="A23" s="4" t="s">
        <v>419</v>
      </c>
      <c r="B23" s="0" t="s">
        <v>66</v>
      </c>
      <c r="C23" s="15" t="n">
        <f aca="false">C118</f>
        <v>0.383705015699219</v>
      </c>
      <c r="D23" s="15" t="n">
        <f aca="false">D118</f>
        <v>0.370803851267302</v>
      </c>
      <c r="E23" s="15" t="n">
        <f aca="false">E118</f>
        <v>0.36987759682782</v>
      </c>
      <c r="F23" s="15" t="n">
        <f aca="false">F118</f>
        <v>0.357075663346355</v>
      </c>
      <c r="G23" s="15" t="n">
        <f aca="false">G118</f>
        <v>0.352871617627363</v>
      </c>
      <c r="H23" s="22" t="n">
        <f aca="false">H118</f>
        <v>0.341109230373118</v>
      </c>
      <c r="I23" s="22" t="n">
        <f aca="false">I118</f>
        <v>0.329346843118872</v>
      </c>
      <c r="J23" s="22" t="n">
        <f aca="false">J118</f>
        <v>0.317584455864627</v>
      </c>
    </row>
    <row r="24" customFormat="false" ht="15" hidden="false" customHeight="false" outlineLevel="0" collapsed="false">
      <c r="A24" s="4" t="s">
        <v>417</v>
      </c>
      <c r="B24" s="0" t="s">
        <v>168</v>
      </c>
      <c r="C24" s="18" t="n">
        <f aca="false">C117</f>
        <v>9.532</v>
      </c>
      <c r="D24" s="18" t="n">
        <f aca="false">D117</f>
        <v>20.0605180178692</v>
      </c>
      <c r="E24" s="18" t="n">
        <f aca="false">E117</f>
        <v>36.2521078978574</v>
      </c>
      <c r="F24" s="18" t="n">
        <f aca="false">F117</f>
        <v>31.9924495480014</v>
      </c>
      <c r="G24" s="18" t="n">
        <f aca="false">G117</f>
        <v>41.8362583144178</v>
      </c>
      <c r="H24" s="21" t="n">
        <f aca="false">H117</f>
        <v>49.6967011139923</v>
      </c>
      <c r="I24" s="21" t="n">
        <f aca="false">I117</f>
        <v>54.4330789273911</v>
      </c>
      <c r="J24" s="21" t="n">
        <f aca="false">J117</f>
        <v>54.5886020100408</v>
      </c>
    </row>
    <row r="25" customFormat="false" ht="15" hidden="false" customHeight="false" outlineLevel="0" collapsed="false">
      <c r="A25" s="0" t="s">
        <v>422</v>
      </c>
      <c r="B25" s="0" t="s">
        <v>140</v>
      </c>
      <c r="C25" s="17" t="n">
        <f aca="false">C120</f>
        <v>6.86428571428571</v>
      </c>
      <c r="D25" s="17" t="n">
        <f aca="false">D120</f>
        <v>14.402589751485</v>
      </c>
      <c r="E25" s="17" t="n">
        <f aca="false">E120</f>
        <v>26.0058162825376</v>
      </c>
      <c r="F25" s="17" t="n">
        <f aca="false">F120</f>
        <v>22.9501072797715</v>
      </c>
      <c r="G25" s="17" t="n">
        <f aca="false">G120</f>
        <v>30.0116630662969</v>
      </c>
      <c r="H25" s="23" t="n">
        <f aca="false">H120</f>
        <v>35.6504312152025</v>
      </c>
      <c r="I25" s="23" t="n">
        <f aca="false">I120</f>
        <v>39.0481197470524</v>
      </c>
      <c r="J25" s="23" t="n">
        <f aca="false">J120</f>
        <v>39.1596858034726</v>
      </c>
    </row>
    <row r="26" customFormat="false" ht="17.15" hidden="false" customHeight="false" outlineLevel="0" collapsed="false">
      <c r="A26" s="0" t="s">
        <v>480</v>
      </c>
      <c r="B26" s="0" t="s">
        <v>66</v>
      </c>
      <c r="D26" s="15" t="n">
        <f aca="false">D121</f>
        <v>1.09819205536722</v>
      </c>
      <c r="E26" s="15" t="n">
        <f aca="false">E121</f>
        <v>0.805634731757619</v>
      </c>
      <c r="F26" s="15" t="n">
        <f aca="false">F121</f>
        <v>-0.11750098399403</v>
      </c>
      <c r="G26" s="15" t="n">
        <f aca="false">G121</f>
        <v>0.307691624289249</v>
      </c>
      <c r="H26" s="22" t="n">
        <f aca="false">H121</f>
        <v>0.187885894108881</v>
      </c>
      <c r="I26" s="22" t="n">
        <f aca="false">I121</f>
        <v>0.0953056783896908</v>
      </c>
      <c r="J26" s="22" t="n">
        <f aca="false">J121</f>
        <v>0.00285714285714289</v>
      </c>
    </row>
    <row r="28" customFormat="false" ht="17.15" hidden="false" customHeight="false" outlineLevel="0" collapsed="false">
      <c r="A28" s="1" t="s">
        <v>482</v>
      </c>
    </row>
    <row r="29" customFormat="false" ht="15" hidden="false" customHeight="false" outlineLevel="0" collapsed="false">
      <c r="A29" s="4" t="s">
        <v>406</v>
      </c>
      <c r="B29" s="0" t="s">
        <v>168</v>
      </c>
      <c r="C29" s="18" t="n">
        <f aca="false">C139</f>
        <v>24.842</v>
      </c>
      <c r="D29" s="18" t="n">
        <f aca="false">D139</f>
        <v>54.10008</v>
      </c>
      <c r="E29" s="18" t="n">
        <f aca="false">E139</f>
        <v>98.7955476790584</v>
      </c>
      <c r="F29" s="18" t="n">
        <f aca="false">F139</f>
        <v>68.8310883094229</v>
      </c>
      <c r="G29" s="18" t="n">
        <f aca="false">G139</f>
        <v>85.5845084626706</v>
      </c>
      <c r="H29" s="21" t="n">
        <f aca="false">H139</f>
        <v>100.042529434948</v>
      </c>
      <c r="I29" s="21" t="n">
        <f aca="false">I139</f>
        <v>109.493181380543</v>
      </c>
      <c r="J29" s="21" t="n">
        <f aca="false">J139</f>
        <v>111.683045008154</v>
      </c>
    </row>
    <row r="30" customFormat="false" ht="15" hidden="false" customHeight="false" outlineLevel="0" collapsed="false">
      <c r="A30" s="4" t="s">
        <v>476</v>
      </c>
      <c r="B30" s="0" t="s">
        <v>66</v>
      </c>
      <c r="D30" s="15" t="n">
        <f aca="false">D140</f>
        <v>1.17776668545206</v>
      </c>
      <c r="E30" s="15" t="n">
        <f aca="false">E140</f>
        <v>0.826162691054401</v>
      </c>
      <c r="F30" s="15" t="n">
        <f aca="false">F140</f>
        <v>-0.303297669516205</v>
      </c>
      <c r="G30" s="15" t="n">
        <f aca="false">G140</f>
        <v>0.243399030361606</v>
      </c>
      <c r="H30" s="22" t="n">
        <f aca="false">H140</f>
        <v>0.168932686907738</v>
      </c>
      <c r="I30" s="22" t="n">
        <f aca="false">I140</f>
        <v>0.0944663434538688</v>
      </c>
      <c r="J30" s="22" t="n">
        <f aca="false">J140</f>
        <v>0.02</v>
      </c>
    </row>
    <row r="31" customFormat="false" ht="17.15" hidden="false" customHeight="false" outlineLevel="0" collapsed="false">
      <c r="A31" s="0" t="s">
        <v>477</v>
      </c>
      <c r="B31" s="0" t="s">
        <v>168</v>
      </c>
      <c r="C31" s="18" t="n">
        <f aca="false">C136</f>
        <v>23.5999</v>
      </c>
      <c r="D31" s="18" t="n">
        <f aca="false">D136</f>
        <v>51.395076</v>
      </c>
      <c r="E31" s="18" t="n">
        <f aca="false">E136</f>
        <v>95.8200432790584</v>
      </c>
      <c r="F31" s="18" t="n">
        <f aca="false">F136</f>
        <v>65.5580334694229</v>
      </c>
      <c r="G31" s="18" t="n">
        <f aca="false">G136</f>
        <v>81.9841481386706</v>
      </c>
    </row>
    <row r="32" customFormat="false" ht="15" hidden="false" customHeight="false" outlineLevel="0" collapsed="false">
      <c r="A32" s="4" t="s">
        <v>478</v>
      </c>
      <c r="B32" s="0" t="s">
        <v>168</v>
      </c>
      <c r="C32" s="18" t="n">
        <f aca="false">C138</f>
        <v>1.2421</v>
      </c>
      <c r="D32" s="18" t="n">
        <f aca="false">D138</f>
        <v>2.705004</v>
      </c>
      <c r="E32" s="18" t="n">
        <f aca="false">E138</f>
        <v>2.9755044</v>
      </c>
      <c r="F32" s="18" t="n">
        <f aca="false">F138</f>
        <v>3.27305484</v>
      </c>
      <c r="G32" s="18" t="n">
        <f aca="false">G138</f>
        <v>3.600360324</v>
      </c>
    </row>
    <row r="33" customFormat="false" ht="17.15" hidden="false" customHeight="false" outlineLevel="0" collapsed="false">
      <c r="A33" s="0" t="s">
        <v>479</v>
      </c>
      <c r="B33" s="0" t="s">
        <v>66</v>
      </c>
      <c r="C33" s="15" t="n">
        <f aca="false">C141</f>
        <v>0.95</v>
      </c>
      <c r="D33" s="15" t="n">
        <f aca="false">D141</f>
        <v>0.95</v>
      </c>
      <c r="E33" s="15" t="n">
        <f aca="false">E141</f>
        <v>0.969882201476669</v>
      </c>
      <c r="F33" s="15" t="n">
        <f aca="false">F141</f>
        <v>0.952448015564038</v>
      </c>
      <c r="G33" s="15" t="n">
        <f aca="false">G141</f>
        <v>0.95793210256538</v>
      </c>
    </row>
    <row r="34" customFormat="false" ht="15" hidden="false" customHeight="false" outlineLevel="0" collapsed="false">
      <c r="A34" s="4" t="s">
        <v>410</v>
      </c>
      <c r="B34" s="0" t="s">
        <v>66</v>
      </c>
      <c r="C34" s="15" t="n">
        <f aca="false">C143</f>
        <v>0.4781</v>
      </c>
      <c r="D34" s="15" t="n">
        <f aca="false">D143</f>
        <v>0.481700625951015</v>
      </c>
      <c r="E34" s="15" t="n">
        <f aca="false">E143</f>
        <v>0.47</v>
      </c>
      <c r="F34" s="15" t="n">
        <f aca="false">F143</f>
        <v>0.46</v>
      </c>
      <c r="G34" s="15" t="n">
        <f aca="false">G143</f>
        <v>0.45</v>
      </c>
    </row>
    <row r="35" customFormat="false" ht="15" hidden="false" customHeight="false" outlineLevel="0" collapsed="false">
      <c r="A35" s="4" t="s">
        <v>419</v>
      </c>
      <c r="B35" s="0" t="s">
        <v>66</v>
      </c>
      <c r="C35" s="15" t="n">
        <f aca="false">C150</f>
        <v>0.383705015699219</v>
      </c>
      <c r="D35" s="15" t="n">
        <f aca="false">D150</f>
        <v>0.370803851267302</v>
      </c>
      <c r="E35" s="15" t="n">
        <f aca="false">E150</f>
        <v>0.369969041285247</v>
      </c>
      <c r="F35" s="15" t="n">
        <f aca="false">F150</f>
        <v>0.342590185736321</v>
      </c>
      <c r="G35" s="15" t="n">
        <f aca="false">G150</f>
        <v>0.338610955530462</v>
      </c>
      <c r="H35" s="22" t="n">
        <f aca="false">H150</f>
        <v>0.316036891828431</v>
      </c>
      <c r="I35" s="22" t="n">
        <f aca="false">I150</f>
        <v>0.2934628281264</v>
      </c>
      <c r="J35" s="22" t="n">
        <f aca="false">J150</f>
        <v>0.270888764424369</v>
      </c>
    </row>
    <row r="36" customFormat="false" ht="15" hidden="false" customHeight="false" outlineLevel="0" collapsed="false">
      <c r="A36" s="4" t="s">
        <v>417</v>
      </c>
      <c r="B36" s="0" t="s">
        <v>168</v>
      </c>
      <c r="C36" s="18" t="n">
        <f aca="false">C149</f>
        <v>9.532</v>
      </c>
      <c r="D36" s="18" t="n">
        <f aca="false">D149</f>
        <v>20.0605180178692</v>
      </c>
      <c r="E36" s="18" t="n">
        <f aca="false">E149</f>
        <v>36.5512940580721</v>
      </c>
      <c r="F36" s="18" t="n">
        <f aca="false">F149</f>
        <v>23.5808553283583</v>
      </c>
      <c r="G36" s="18" t="n">
        <f aca="false">G149</f>
        <v>28.9798521891498</v>
      </c>
      <c r="H36" s="21" t="n">
        <f aca="false">H149</f>
        <v>31.6171300532751</v>
      </c>
      <c r="I36" s="21" t="n">
        <f aca="false">I149</f>
        <v>32.1321786684911</v>
      </c>
      <c r="J36" s="21" t="n">
        <f aca="false">J149</f>
        <v>30.25368206941</v>
      </c>
    </row>
    <row r="37" customFormat="false" ht="15" hidden="false" customHeight="false" outlineLevel="0" collapsed="false">
      <c r="A37" s="0" t="s">
        <v>422</v>
      </c>
      <c r="B37" s="0" t="s">
        <v>140</v>
      </c>
      <c r="C37" s="17" t="n">
        <f aca="false">C152</f>
        <v>6.86428571428571</v>
      </c>
      <c r="D37" s="17" t="n">
        <f aca="false">D152</f>
        <v>14.402589751485</v>
      </c>
      <c r="E37" s="17" t="n">
        <f aca="false">E152</f>
        <v>26.2204405007691</v>
      </c>
      <c r="F37" s="17" t="n">
        <f aca="false">F152</f>
        <v>16.9159650849055</v>
      </c>
      <c r="G37" s="17" t="n">
        <f aca="false">G152</f>
        <v>20.7889900926469</v>
      </c>
      <c r="H37" s="23" t="n">
        <f aca="false">H152</f>
        <v>22.6808680439563</v>
      </c>
      <c r="I37" s="23" t="n">
        <f aca="false">I152</f>
        <v>23.0503433776837</v>
      </c>
      <c r="J37" s="23" t="n">
        <f aca="false">J152</f>
        <v>21.7027848417576</v>
      </c>
    </row>
    <row r="38" customFormat="false" ht="17.15" hidden="false" customHeight="false" outlineLevel="0" collapsed="false">
      <c r="A38" s="0" t="s">
        <v>480</v>
      </c>
      <c r="B38" s="0" t="s">
        <v>66</v>
      </c>
      <c r="D38" s="15" t="n">
        <f aca="false">D153</f>
        <v>1.09819205536722</v>
      </c>
      <c r="E38" s="15" t="n">
        <f aca="false">E153</f>
        <v>0.820536511363568</v>
      </c>
      <c r="F38" s="15" t="n">
        <f aca="false">F153</f>
        <v>-0.354855800976748</v>
      </c>
      <c r="G38" s="15" t="n">
        <f aca="false">G153</f>
        <v>0.228956786580113</v>
      </c>
      <c r="H38" s="22" t="n">
        <f aca="false">H153</f>
        <v>0.0910038411138887</v>
      </c>
      <c r="I38" s="22" t="n">
        <f aca="false">I153</f>
        <v>0.0162901760643066</v>
      </c>
      <c r="J38" s="22" t="n">
        <f aca="false">J153</f>
        <v>-0.0584615384615382</v>
      </c>
    </row>
    <row r="40" customFormat="false" ht="17.15" hidden="false" customHeight="false" outlineLevel="0" collapsed="false">
      <c r="A40" s="1" t="s">
        <v>483</v>
      </c>
    </row>
    <row r="41" customFormat="false" ht="17.15" hidden="false" customHeight="false" outlineLevel="0" collapsed="false">
      <c r="A41" s="4" t="s">
        <v>484</v>
      </c>
      <c r="D41" s="24" t="n">
        <f aca="false">D75-a26_rev</f>
        <v>0</v>
      </c>
    </row>
    <row r="42" customFormat="false" ht="17.15" hidden="false" customHeight="false" outlineLevel="0" collapsed="false">
      <c r="A42" s="4" t="s">
        <v>485</v>
      </c>
      <c r="D42" s="24" t="n">
        <f aca="false">D72-a26_ai</f>
        <v>0</v>
      </c>
    </row>
    <row r="43" customFormat="false" ht="17.15" hidden="false" customHeight="false" outlineLevel="0" collapsed="false">
      <c r="A43" s="4" t="s">
        <v>486</v>
      </c>
      <c r="D43" s="24" t="n">
        <f aca="false">D83*(1-tx)*attr-a26_ni</f>
        <v>0</v>
      </c>
    </row>
    <row r="60" customFormat="false" ht="17.15" hidden="false" customHeight="false" outlineLevel="0" collapsed="false">
      <c r="A60" s="1" t="s">
        <v>487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3" t="s">
        <v>399</v>
      </c>
      <c r="D61" s="13" t="s">
        <v>468</v>
      </c>
      <c r="E61" s="13" t="s">
        <v>469</v>
      </c>
      <c r="F61" s="13" t="s">
        <v>470</v>
      </c>
      <c r="G61" s="13" t="s">
        <v>471</v>
      </c>
      <c r="H61" s="13" t="s">
        <v>472</v>
      </c>
      <c r="I61" s="13" t="s">
        <v>473</v>
      </c>
      <c r="J61" s="13" t="s">
        <v>474</v>
      </c>
      <c r="K61" s="5" t="s">
        <v>405</v>
      </c>
    </row>
    <row r="62" customFormat="false" ht="17.15" hidden="false" customHeight="false" outlineLevel="0" collapsed="false">
      <c r="A62" s="6" t="s">
        <v>488</v>
      </c>
    </row>
    <row r="63" customFormat="false" ht="17.15" hidden="false" customHeight="false" outlineLevel="0" collapsed="false">
      <c r="A63" s="0" t="s">
        <v>489</v>
      </c>
      <c r="B63" s="0" t="s">
        <v>33</v>
      </c>
      <c r="D63" s="19" t="n">
        <f aca="false">mpl_26*1</f>
        <v>29.753262</v>
      </c>
      <c r="E63" s="19" t="n">
        <f aca="false">mpl_27*1*1</f>
        <v>53.560715</v>
      </c>
      <c r="F63" s="19" t="n">
        <f aca="false">mpl_28*um28_A*1</f>
        <v>57.9915</v>
      </c>
      <c r="G63" s="19" t="n">
        <f aca="false">mpl_29*um29_A*1</f>
        <v>72.9348</v>
      </c>
      <c r="H63" s="2"/>
    </row>
    <row r="64" customFormat="false" ht="17.15" hidden="false" customHeight="false" outlineLevel="0" collapsed="false">
      <c r="A64" s="0" t="s">
        <v>490</v>
      </c>
      <c r="B64" s="0" t="s">
        <v>33</v>
      </c>
      <c r="D64" s="19" t="n">
        <f aca="false">mcp_26*1</f>
        <v>0.300538</v>
      </c>
      <c r="E64" s="19" t="n">
        <f aca="false">mcp_27*1</f>
        <v>2.818985</v>
      </c>
      <c r="F64" s="19" t="n">
        <f aca="false">mcp_28*um28_A</f>
        <v>6.4435</v>
      </c>
      <c r="G64" s="19" t="n">
        <f aca="false">mcp_29*um29_A</f>
        <v>11.74736</v>
      </c>
      <c r="H64" s="2"/>
    </row>
    <row r="65" customFormat="false" ht="17.15" hidden="false" customHeight="false" outlineLevel="0" collapsed="false">
      <c r="A65" s="4" t="s">
        <v>491</v>
      </c>
      <c r="B65" s="0" t="s">
        <v>140</v>
      </c>
      <c r="D65" s="17" t="n">
        <f aca="false">fx</f>
        <v>6.72</v>
      </c>
      <c r="E65" s="17" t="n">
        <f aca="false">fx</f>
        <v>6.72</v>
      </c>
      <c r="F65" s="17" t="n">
        <f aca="false">fx</f>
        <v>6.72</v>
      </c>
      <c r="G65" s="17" t="n">
        <f aca="false">fx</f>
        <v>6.72</v>
      </c>
      <c r="H65" s="2"/>
      <c r="K65" s="8" t="s">
        <v>492</v>
      </c>
    </row>
    <row r="66" customFormat="false" ht="17.15" hidden="false" customHeight="false" outlineLevel="0" collapsed="false">
      <c r="A66" s="4" t="s">
        <v>493</v>
      </c>
      <c r="B66" s="0" t="s">
        <v>66</v>
      </c>
      <c r="D66" s="15" t="n">
        <f aca="false">a26_aiu/D63</f>
        <v>0.257050026505137</v>
      </c>
      <c r="H66" s="2"/>
      <c r="K66" s="8" t="s">
        <v>494</v>
      </c>
    </row>
    <row r="67" customFormat="false" ht="17.15" hidden="false" customHeight="false" outlineLevel="0" collapsed="false">
      <c r="A67" s="4" t="s">
        <v>495</v>
      </c>
      <c r="B67" s="0" t="s">
        <v>81</v>
      </c>
      <c r="D67" s="17" t="n">
        <f aca="false">1</f>
        <v>1</v>
      </c>
      <c r="E67" s="17" t="n">
        <f aca="false">rel_27</f>
        <v>1</v>
      </c>
      <c r="F67" s="17" t="n">
        <f aca="false">rel_28</f>
        <v>1</v>
      </c>
      <c r="G67" s="17" t="n">
        <f aca="false">rel_29</f>
        <v>0.95</v>
      </c>
      <c r="H67" s="2"/>
    </row>
    <row r="68" customFormat="false" ht="15" hidden="false" customHeight="false" outlineLevel="0" collapsed="false">
      <c r="A68" s="4" t="s">
        <v>496</v>
      </c>
      <c r="B68" s="0" t="s">
        <v>66</v>
      </c>
      <c r="D68" s="15" t="n">
        <f aca="false">$D$66*D67</f>
        <v>0.257050026505137</v>
      </c>
      <c r="E68" s="15" t="n">
        <f aca="false">$D$66*E67</f>
        <v>0.257050026505137</v>
      </c>
      <c r="F68" s="15" t="n">
        <f aca="false">$D$66*F67</f>
        <v>0.257050026505137</v>
      </c>
      <c r="G68" s="15" t="n">
        <f aca="false">$D$66*G67</f>
        <v>0.24419752517988</v>
      </c>
      <c r="H68" s="2"/>
    </row>
    <row r="69" customFormat="false" ht="15" hidden="false" customHeight="false" outlineLevel="0" collapsed="false">
      <c r="A69" s="4" t="s">
        <v>497</v>
      </c>
      <c r="B69" s="0" t="s">
        <v>81</v>
      </c>
      <c r="D69" s="17" t="n">
        <f aca="false">1</f>
        <v>1</v>
      </c>
      <c r="E69" s="17" t="n">
        <f aca="false">pxr_27</f>
        <v>1</v>
      </c>
      <c r="F69" s="17" t="n">
        <f aca="false">pxr_28</f>
        <v>1</v>
      </c>
      <c r="G69" s="17" t="n">
        <f aca="false">pxr_29</f>
        <v>1</v>
      </c>
      <c r="H69" s="2"/>
    </row>
    <row r="70" customFormat="false" ht="17.15" hidden="false" customHeight="false" outlineLevel="0" collapsed="false">
      <c r="A70" s="4" t="s">
        <v>498</v>
      </c>
      <c r="B70" s="0" t="s">
        <v>66</v>
      </c>
      <c r="D70" s="15" t="n">
        <f aca="false">0</f>
        <v>0</v>
      </c>
      <c r="E70" s="15" t="n">
        <f aca="false">cpo_27</f>
        <v>0.05</v>
      </c>
      <c r="F70" s="15" t="n">
        <f aca="false">cpo_28</f>
        <v>0.1</v>
      </c>
      <c r="G70" s="15" t="n">
        <f aca="false">cpo_29</f>
        <v>0.15</v>
      </c>
      <c r="H70" s="2"/>
    </row>
    <row r="71" customFormat="false" ht="17.15" hidden="false" customHeight="false" outlineLevel="0" collapsed="false">
      <c r="A71" s="0" t="s">
        <v>499</v>
      </c>
      <c r="B71" s="0" t="s">
        <v>33</v>
      </c>
      <c r="D71" s="19" t="n">
        <f aca="false">a26_aiu</f>
        <v>7.64807678571429</v>
      </c>
      <c r="E71" s="19" t="n">
        <f aca="false">E63*E68*E69+E64*E70</f>
        <v>13.9087324603841</v>
      </c>
      <c r="F71" s="19" t="n">
        <f aca="false">F63*F68*F69+F64*F70</f>
        <v>15.5510666120727</v>
      </c>
      <c r="G71" s="19" t="n">
        <f aca="false">G63*G68*G69+G64*G70</f>
        <v>19.5726016594895</v>
      </c>
      <c r="H71" s="2"/>
    </row>
    <row r="72" customFormat="false" ht="17.15" hidden="false" customHeight="false" outlineLevel="0" collapsed="false">
      <c r="A72" s="0" t="s">
        <v>500</v>
      </c>
      <c r="B72" s="0" t="s">
        <v>168</v>
      </c>
      <c r="C72" s="19" t="n">
        <f aca="false">a25_ai</f>
        <v>23.5999</v>
      </c>
      <c r="D72" s="19" t="n">
        <f aca="false">D71*D65</f>
        <v>51.395076</v>
      </c>
      <c r="E72" s="19" t="n">
        <f aca="false">E71*E65</f>
        <v>93.4666821337811</v>
      </c>
      <c r="F72" s="19" t="n">
        <f aca="false">F71*F65</f>
        <v>104.503167633128</v>
      </c>
      <c r="G72" s="19" t="n">
        <f aca="false">G71*G65</f>
        <v>131.52788315177</v>
      </c>
      <c r="H72" s="2"/>
    </row>
    <row r="73" customFormat="false" ht="17.15" hidden="false" customHeight="false" outlineLevel="0" collapsed="false">
      <c r="A73" s="6" t="s">
        <v>501</v>
      </c>
    </row>
    <row r="74" customFormat="false" ht="15" hidden="false" customHeight="false" outlineLevel="0" collapsed="false">
      <c r="A74" s="4" t="s">
        <v>502</v>
      </c>
      <c r="B74" s="0" t="s">
        <v>168</v>
      </c>
      <c r="C74" s="19" t="n">
        <f aca="false">a25_oth</f>
        <v>1.2421</v>
      </c>
      <c r="D74" s="19" t="n">
        <f aca="false">a26_oth</f>
        <v>2.705004</v>
      </c>
      <c r="E74" s="19" t="n">
        <f aca="false">D74*(1+g_oth)</f>
        <v>2.9755044</v>
      </c>
      <c r="F74" s="19" t="n">
        <f aca="false">E74*(1+g_oth)</f>
        <v>3.27305484</v>
      </c>
      <c r="G74" s="19" t="n">
        <f aca="false">F74*(1+g_oth)</f>
        <v>3.600360324</v>
      </c>
      <c r="H74" s="2"/>
    </row>
    <row r="75" customFormat="false" ht="15" hidden="false" customHeight="false" outlineLevel="0" collapsed="false">
      <c r="A75" s="4" t="s">
        <v>406</v>
      </c>
      <c r="B75" s="0" t="s">
        <v>168</v>
      </c>
      <c r="C75" s="19" t="n">
        <f aca="false">a25_rev</f>
        <v>24.842</v>
      </c>
      <c r="D75" s="19" t="n">
        <f aca="false">D72+D74</f>
        <v>54.10008</v>
      </c>
      <c r="E75" s="19" t="n">
        <f aca="false">E72+E74</f>
        <v>96.4421865337811</v>
      </c>
      <c r="F75" s="19" t="n">
        <f aca="false">F72+F74</f>
        <v>107.776222473128</v>
      </c>
      <c r="G75" s="19" t="n">
        <f aca="false">G72+G74</f>
        <v>135.12824347577</v>
      </c>
      <c r="H75" s="25" t="n">
        <f aca="false">G75*(1+H76)</f>
        <v>160.693182925917</v>
      </c>
      <c r="I75" s="26" t="n">
        <f aca="false">H75*(1+I76)</f>
        <v>180.714766146457</v>
      </c>
      <c r="J75" s="26" t="n">
        <f aca="false">I75*(1+J76)</f>
        <v>191.557652115245</v>
      </c>
    </row>
    <row r="76" customFormat="false" ht="15" hidden="false" customHeight="false" outlineLevel="0" collapsed="false">
      <c r="A76" s="4" t="s">
        <v>503</v>
      </c>
      <c r="B76" s="0" t="s">
        <v>66</v>
      </c>
      <c r="D76" s="15" t="n">
        <f aca="false">D75/C75-1</f>
        <v>1.17776668545206</v>
      </c>
      <c r="E76" s="15" t="n">
        <f aca="false">E75/D75-1</f>
        <v>0.782662549367415</v>
      </c>
      <c r="F76" s="15" t="n">
        <f aca="false">F75/E75-1</f>
        <v>0.117521557180551</v>
      </c>
      <c r="G76" s="15" t="n">
        <f aca="false">G75/F75-1</f>
        <v>0.253785300458652</v>
      </c>
      <c r="H76" s="27" t="n">
        <f aca="false">$G76+(fade_gA-$G76)*1/3</f>
        <v>0.189190200305768</v>
      </c>
      <c r="I76" s="22" t="n">
        <f aca="false">$G76+(fade_gA-$G76)*2/3</f>
        <v>0.124595100152884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504</v>
      </c>
      <c r="B77" s="0" t="s">
        <v>66</v>
      </c>
      <c r="C77" s="15" t="n">
        <f aca="false">C72/C75</f>
        <v>0.95</v>
      </c>
      <c r="D77" s="15" t="n">
        <f aca="false">D72/D75</f>
        <v>0.95</v>
      </c>
      <c r="E77" s="15" t="n">
        <f aca="false">E72/E75</f>
        <v>0.969147273543433</v>
      </c>
      <c r="F77" s="15" t="n">
        <f aca="false">F72/F75</f>
        <v>0.969631011693548</v>
      </c>
      <c r="G77" s="15" t="n">
        <f aca="false">G72/G75</f>
        <v>0.973355974802961</v>
      </c>
      <c r="H77" s="2"/>
    </row>
    <row r="78" customFormat="false" ht="17.15" hidden="false" customHeight="false" outlineLevel="0" collapsed="false">
      <c r="A78" s="6" t="s">
        <v>505</v>
      </c>
    </row>
    <row r="79" customFormat="false" ht="17.15" hidden="false" customHeight="false" outlineLevel="0" collapsed="false">
      <c r="A79" s="4" t="s">
        <v>410</v>
      </c>
      <c r="B79" s="0" t="s">
        <v>66</v>
      </c>
      <c r="C79" s="15" t="n">
        <f aca="false">a25_gp/a25_rev</f>
        <v>0.4781</v>
      </c>
      <c r="D79" s="15" t="n">
        <f aca="false">a26_gp/a26_rev</f>
        <v>0.481700625951015</v>
      </c>
      <c r="E79" s="15" t="n">
        <f aca="false">gm_27</f>
        <v>0.47</v>
      </c>
      <c r="F79" s="15" t="n">
        <f aca="false">gm_28</f>
        <v>0.46</v>
      </c>
      <c r="G79" s="15" t="n">
        <f aca="false">gm_29</f>
        <v>0.45</v>
      </c>
      <c r="H79" s="2"/>
      <c r="K79" s="8" t="s">
        <v>506</v>
      </c>
    </row>
    <row r="80" customFormat="false" ht="15" hidden="false" customHeight="false" outlineLevel="0" collapsed="false">
      <c r="A80" s="4" t="s">
        <v>409</v>
      </c>
      <c r="B80" s="0" t="s">
        <v>168</v>
      </c>
      <c r="C80" s="19" t="n">
        <f aca="false">C75*C79</f>
        <v>11.8769602</v>
      </c>
      <c r="D80" s="19" t="n">
        <f aca="false">D75*D79</f>
        <v>26.0600424</v>
      </c>
      <c r="E80" s="19" t="n">
        <f aca="false">E75*E79</f>
        <v>45.3278276708771</v>
      </c>
      <c r="F80" s="19" t="n">
        <f aca="false">F75*F79</f>
        <v>49.577062337639</v>
      </c>
      <c r="G80" s="19" t="n">
        <f aca="false">G75*G79</f>
        <v>60.8077095640963</v>
      </c>
      <c r="H80" s="2"/>
    </row>
    <row r="81" customFormat="false" ht="15" hidden="false" customHeight="false" outlineLevel="0" collapsed="false">
      <c r="A81" s="4" t="s">
        <v>507</v>
      </c>
      <c r="B81" s="0" t="s">
        <v>168</v>
      </c>
      <c r="C81" s="19" t="n">
        <f aca="false">a25_opx</f>
        <v>1.02127838181818</v>
      </c>
      <c r="D81" s="19" t="n">
        <f aca="false">a26_opx</f>
        <v>3.21377711360775</v>
      </c>
      <c r="E81" s="19" t="n">
        <f aca="false">D81*(1+MAX(0,phi*E76))</f>
        <v>4.72295890690869</v>
      </c>
      <c r="F81" s="19" t="n">
        <f aca="false">E81*(1+MAX(0,phi*F76))</f>
        <v>5.05598859805248</v>
      </c>
      <c r="G81" s="19" t="n">
        <f aca="false">F81*(1+MAX(0,phi*G76))</f>
        <v>5.82586994933585</v>
      </c>
      <c r="H81" s="2"/>
    </row>
    <row r="82" customFormat="false" ht="15" hidden="false" customHeight="false" outlineLevel="0" collapsed="false">
      <c r="A82" s="4" t="s">
        <v>508</v>
      </c>
      <c r="B82" s="0" t="s">
        <v>168</v>
      </c>
      <c r="C82" s="19" t="n">
        <f aca="false">C81</f>
        <v>1.02127838181818</v>
      </c>
      <c r="D82" s="19" t="n">
        <f aca="false">D81</f>
        <v>3.21377711360775</v>
      </c>
      <c r="E82" s="19" t="n">
        <f aca="false">E81+0*E75</f>
        <v>4.72295890690869</v>
      </c>
      <c r="F82" s="19" t="n">
        <f aca="false">F81+0*F75</f>
        <v>5.05598859805248</v>
      </c>
      <c r="G82" s="19" t="n">
        <f aca="false">G81+0*G75</f>
        <v>5.82586994933585</v>
      </c>
      <c r="H82" s="2"/>
    </row>
    <row r="83" customFormat="false" ht="15" hidden="false" customHeight="false" outlineLevel="0" collapsed="false">
      <c r="A83" s="4" t="s">
        <v>509</v>
      </c>
      <c r="B83" s="0" t="s">
        <v>168</v>
      </c>
      <c r="C83" s="19" t="n">
        <f aca="false">C80-C82</f>
        <v>10.8556818181818</v>
      </c>
      <c r="D83" s="19" t="n">
        <f aca="false">D80-D82</f>
        <v>22.8462652863923</v>
      </c>
      <c r="E83" s="19" t="n">
        <f aca="false">E80-E82</f>
        <v>40.6048687639684</v>
      </c>
      <c r="F83" s="19" t="n">
        <f aca="false">F80-F82</f>
        <v>44.5210737395865</v>
      </c>
      <c r="G83" s="19" t="n">
        <f aca="false">G80-G82</f>
        <v>54.9818396147605</v>
      </c>
      <c r="H83" s="2"/>
    </row>
    <row r="84" customFormat="false" ht="15" hidden="false" customHeight="false" outlineLevel="0" collapsed="false">
      <c r="A84" s="4" t="s">
        <v>510</v>
      </c>
      <c r="B84" s="0" t="s">
        <v>66</v>
      </c>
      <c r="C84" s="15" t="n">
        <f aca="false">C83/C75</f>
        <v>0.43698904348208</v>
      </c>
      <c r="D84" s="15" t="n">
        <f aca="false">D83/D75</f>
        <v>0.422296330918406</v>
      </c>
      <c r="E84" s="15" t="n">
        <f aca="false">E83/E75</f>
        <v>0.421028081416898</v>
      </c>
      <c r="F84" s="15" t="n">
        <f aca="false">F83/F75</f>
        <v>0.413088088615157</v>
      </c>
      <c r="G84" s="15" t="n">
        <f aca="false">G83/G75</f>
        <v>0.406886363653647</v>
      </c>
      <c r="H84" s="2"/>
    </row>
    <row r="85" customFormat="false" ht="15" hidden="false" customHeight="false" outlineLevel="0" collapsed="false">
      <c r="A85" s="4" t="s">
        <v>417</v>
      </c>
      <c r="B85" s="0" t="s">
        <v>168</v>
      </c>
      <c r="C85" s="19" t="n">
        <f aca="false">a25_ni</f>
        <v>9.532</v>
      </c>
      <c r="D85" s="19" t="n">
        <f aca="false">a26_ni</f>
        <v>20.0605180178692</v>
      </c>
      <c r="E85" s="19" t="n">
        <f aca="false">E83*(1-tx)*attr</f>
        <v>35.653735577428</v>
      </c>
      <c r="F85" s="19" t="n">
        <f aca="false">F83*(1-tx)*attr</f>
        <v>39.0924201716162</v>
      </c>
      <c r="G85" s="19" t="n">
        <f aca="false">G83*(1-tx)*attr</f>
        <v>48.277658095148</v>
      </c>
      <c r="H85" s="25" t="n">
        <f aca="false">H75*H86</f>
        <v>57.4113179004625</v>
      </c>
      <c r="I85" s="26" t="n">
        <f aca="false">I75*I86</f>
        <v>64.5644868041797</v>
      </c>
      <c r="J85" s="26" t="n">
        <f aca="false">J75*J86</f>
        <v>68.4383560124305</v>
      </c>
    </row>
    <row r="86" customFormat="false" ht="15" hidden="false" customHeight="false" outlineLevel="0" collapsed="false">
      <c r="A86" s="4" t="s">
        <v>419</v>
      </c>
      <c r="B86" s="0" t="s">
        <v>66</v>
      </c>
      <c r="C86" s="15" t="n">
        <f aca="false">C85/C75</f>
        <v>0.383705015699219</v>
      </c>
      <c r="D86" s="15" t="n">
        <f aca="false">D85/D75</f>
        <v>0.370803851267302</v>
      </c>
      <c r="E86" s="15" t="n">
        <f aca="false">E85/E75</f>
        <v>0.369690245097662</v>
      </c>
      <c r="F86" s="15" t="n">
        <f aca="false">F85/F75</f>
        <v>0.36271841111673</v>
      </c>
      <c r="G86" s="15" t="n">
        <f aca="false">G85/G75</f>
        <v>0.357272890206738</v>
      </c>
      <c r="H86" s="27" t="n">
        <f aca="false">$G86+(fade_mA-$G86)*1/3</f>
        <v>0.357272890206738</v>
      </c>
      <c r="I86" s="22" t="n">
        <f aca="false">$G86+(fade_mA-$G86)*2/3</f>
        <v>0.357272890206738</v>
      </c>
      <c r="J86" s="22" t="n">
        <f aca="false">$G86+(fade_mA-$G86)*3/3</f>
        <v>0.357272890206738</v>
      </c>
    </row>
    <row r="87" customFormat="false" ht="15" hidden="false" customHeight="false" outlineLevel="0" collapsed="false">
      <c r="A87" s="4" t="s">
        <v>511</v>
      </c>
      <c r="B87" s="4" t="s">
        <v>204</v>
      </c>
      <c r="C87" s="16" t="n">
        <f aca="false">a25_sh</f>
        <v>1.38863683662851</v>
      </c>
      <c r="D87" s="16" t="n">
        <f aca="false">a26_sh</f>
        <v>1.39284103512015</v>
      </c>
      <c r="E87" s="16" t="n">
        <f aca="false">sh_post*(1+sh_g)</f>
        <v>1.394</v>
      </c>
      <c r="F87" s="16" t="n">
        <f aca="false">E87*(1+sh_g)</f>
        <v>1.394</v>
      </c>
      <c r="G87" s="16" t="n">
        <f aca="false">F87*(1+sh_g)</f>
        <v>1.394</v>
      </c>
      <c r="H87" s="28" t="n">
        <f aca="false">G87*(1+sh_g)</f>
        <v>1.394</v>
      </c>
      <c r="I87" s="29" t="n">
        <f aca="false">H87*(1+sh_g)</f>
        <v>1.394</v>
      </c>
      <c r="J87" s="29" t="n">
        <f aca="false">I87*(1+sh_g)</f>
        <v>1.394</v>
      </c>
    </row>
    <row r="88" customFormat="false" ht="15" hidden="false" customHeight="false" outlineLevel="0" collapsed="false">
      <c r="A88" s="0" t="s">
        <v>422</v>
      </c>
      <c r="B88" s="0" t="s">
        <v>140</v>
      </c>
      <c r="C88" s="19" t="n">
        <f aca="false">C85/C87</f>
        <v>6.86428571428571</v>
      </c>
      <c r="D88" s="19" t="n">
        <f aca="false">D85/D87</f>
        <v>14.402589751485</v>
      </c>
      <c r="E88" s="19" t="n">
        <f aca="false">E85/E87</f>
        <v>25.5765678460746</v>
      </c>
      <c r="F88" s="19" t="n">
        <f aca="false">F85/F87</f>
        <v>28.0433430212455</v>
      </c>
      <c r="G88" s="19" t="n">
        <f aca="false">G85/G87</f>
        <v>34.63246635233</v>
      </c>
      <c r="H88" s="25" t="n">
        <f aca="false">H85/H87</f>
        <v>41.1845895986101</v>
      </c>
      <c r="I88" s="26" t="n">
        <f aca="false">I85/I87</f>
        <v>46.3159876644044</v>
      </c>
      <c r="J88" s="26" t="n">
        <f aca="false">J85/J87</f>
        <v>49.0949469242686</v>
      </c>
    </row>
    <row r="89" customFormat="false" ht="17.15" hidden="false" customHeight="false" outlineLevel="0" collapsed="false">
      <c r="A89" s="0" t="s">
        <v>512</v>
      </c>
      <c r="B89" s="0" t="s">
        <v>66</v>
      </c>
      <c r="D89" s="15" t="n">
        <f aca="false">D88/C88-1</f>
        <v>1.09819205536722</v>
      </c>
      <c r="E89" s="15" t="n">
        <f aca="false">E88/D88-1</f>
        <v>0.775831172545725</v>
      </c>
      <c r="F89" s="15" t="n">
        <f aca="false">F88/E88-1</f>
        <v>0.0964466847161245</v>
      </c>
      <c r="G89" s="15" t="n">
        <f aca="false">G88/F88-1</f>
        <v>0.23496212010432</v>
      </c>
      <c r="H89" s="27" t="n">
        <f aca="false">H88/G88-1</f>
        <v>0.189190200305768</v>
      </c>
      <c r="I89" s="22" t="n">
        <f aca="false">I88/H88-1</f>
        <v>0.124595100152884</v>
      </c>
      <c r="J89" s="22" t="n">
        <f aca="false">J88/I88-1</f>
        <v>0.0600000000000001</v>
      </c>
    </row>
    <row r="92" customFormat="false" ht="17.15" hidden="false" customHeight="false" outlineLevel="0" collapsed="false">
      <c r="A92" s="1" t="s">
        <v>513</v>
      </c>
    </row>
    <row r="93" customFormat="false" ht="17.15" hidden="false" customHeight="false" outlineLevel="0" collapsed="false">
      <c r="A93" s="5" t="s">
        <v>22</v>
      </c>
      <c r="B93" s="5" t="s">
        <v>23</v>
      </c>
      <c r="C93" s="13" t="s">
        <v>399</v>
      </c>
      <c r="D93" s="13" t="s">
        <v>468</v>
      </c>
      <c r="E93" s="13" t="s">
        <v>469</v>
      </c>
      <c r="F93" s="13" t="s">
        <v>470</v>
      </c>
      <c r="G93" s="13" t="s">
        <v>471</v>
      </c>
      <c r="H93" s="13" t="s">
        <v>472</v>
      </c>
      <c r="I93" s="13" t="s">
        <v>473</v>
      </c>
      <c r="J93" s="13" t="s">
        <v>474</v>
      </c>
      <c r="K93" s="5" t="s">
        <v>405</v>
      </c>
    </row>
    <row r="94" customFormat="false" ht="17.15" hidden="false" customHeight="false" outlineLevel="0" collapsed="false">
      <c r="A94" s="6" t="s">
        <v>488</v>
      </c>
    </row>
    <row r="95" customFormat="false" ht="17.15" hidden="false" customHeight="false" outlineLevel="0" collapsed="false">
      <c r="A95" s="0" t="s">
        <v>489</v>
      </c>
      <c r="B95" s="0" t="s">
        <v>33</v>
      </c>
      <c r="D95" s="19" t="n">
        <f aca="false">mplB_26*1</f>
        <v>29.753262</v>
      </c>
      <c r="E95" s="19" t="n">
        <f aca="false">mplB_27*1*1</f>
        <v>54.688309</v>
      </c>
      <c r="F95" s="19" t="n">
        <f aca="false">mplB_28*um28_B*1</f>
        <v>48.9706</v>
      </c>
      <c r="G95" s="19" t="n">
        <f aca="false">mplB_29*um29_B*1</f>
        <v>66.987208</v>
      </c>
      <c r="H95" s="2"/>
    </row>
    <row r="96" customFormat="false" ht="17.15" hidden="false" customHeight="false" outlineLevel="0" collapsed="false">
      <c r="A96" s="0" t="s">
        <v>490</v>
      </c>
      <c r="B96" s="0" t="s">
        <v>33</v>
      </c>
      <c r="D96" s="19" t="n">
        <f aca="false">mcpB_26*1</f>
        <v>0.300538</v>
      </c>
      <c r="E96" s="19" t="n">
        <f aca="false">mcpB_27*1</f>
        <v>1.691391</v>
      </c>
      <c r="F96" s="19" t="n">
        <f aca="false">mcpB_28*um28_B</f>
        <v>2.5774</v>
      </c>
      <c r="G96" s="19" t="n">
        <f aca="false">mcpB_29*um29_B</f>
        <v>4.992628</v>
      </c>
      <c r="H96" s="2"/>
    </row>
    <row r="97" customFormat="false" ht="17.15" hidden="false" customHeight="false" outlineLevel="0" collapsed="false">
      <c r="A97" s="4" t="s">
        <v>491</v>
      </c>
      <c r="B97" s="0" t="s">
        <v>140</v>
      </c>
      <c r="D97" s="17" t="n">
        <f aca="false">fx</f>
        <v>6.72</v>
      </c>
      <c r="E97" s="17" t="n">
        <f aca="false">fx</f>
        <v>6.72</v>
      </c>
      <c r="F97" s="17" t="n">
        <f aca="false">fx</f>
        <v>6.72</v>
      </c>
      <c r="G97" s="17" t="n">
        <f aca="false">fx</f>
        <v>6.72</v>
      </c>
      <c r="H97" s="2"/>
      <c r="K97" s="8" t="s">
        <v>492</v>
      </c>
    </row>
    <row r="98" customFormat="false" ht="17.15" hidden="false" customHeight="false" outlineLevel="0" collapsed="false">
      <c r="A98" s="4" t="s">
        <v>493</v>
      </c>
      <c r="B98" s="0" t="s">
        <v>66</v>
      </c>
      <c r="D98" s="15" t="n">
        <f aca="false">a26_aiu/D95</f>
        <v>0.257050026505137</v>
      </c>
      <c r="H98" s="2"/>
      <c r="K98" s="8" t="s">
        <v>494</v>
      </c>
    </row>
    <row r="99" customFormat="false" ht="17.15" hidden="false" customHeight="false" outlineLevel="0" collapsed="false">
      <c r="A99" s="4" t="s">
        <v>495</v>
      </c>
      <c r="B99" s="0" t="s">
        <v>81</v>
      </c>
      <c r="D99" s="17" t="n">
        <f aca="false">1</f>
        <v>1</v>
      </c>
      <c r="E99" s="17" t="n">
        <f aca="false">rel_27</f>
        <v>1</v>
      </c>
      <c r="F99" s="17" t="n">
        <f aca="false">rel_28</f>
        <v>1</v>
      </c>
      <c r="G99" s="17" t="n">
        <f aca="false">rel_29</f>
        <v>0.95</v>
      </c>
      <c r="H99" s="2"/>
    </row>
    <row r="100" customFormat="false" ht="15" hidden="false" customHeight="false" outlineLevel="0" collapsed="false">
      <c r="A100" s="4" t="s">
        <v>496</v>
      </c>
      <c r="B100" s="0" t="s">
        <v>66</v>
      </c>
      <c r="D100" s="15" t="n">
        <f aca="false">$D$98*D99</f>
        <v>0.257050026505137</v>
      </c>
      <c r="E100" s="15" t="n">
        <f aca="false">$D$98*E99</f>
        <v>0.257050026505137</v>
      </c>
      <c r="F100" s="15" t="n">
        <f aca="false">$D$98*F99</f>
        <v>0.257050026505137</v>
      </c>
      <c r="G100" s="15" t="n">
        <f aca="false">$D$98*G99</f>
        <v>0.24419752517988</v>
      </c>
      <c r="H100" s="2"/>
    </row>
    <row r="101" customFormat="false" ht="15" hidden="false" customHeight="false" outlineLevel="0" collapsed="false">
      <c r="A101" s="4" t="s">
        <v>497</v>
      </c>
      <c r="B101" s="0" t="s">
        <v>81</v>
      </c>
      <c r="D101" s="17" t="n">
        <f aca="false">1</f>
        <v>1</v>
      </c>
      <c r="E101" s="17" t="n">
        <f aca="false">pxr_27</f>
        <v>1</v>
      </c>
      <c r="F101" s="17" t="n">
        <f aca="false">pxr_28</f>
        <v>1</v>
      </c>
      <c r="G101" s="17" t="n">
        <f aca="false">pxr_29</f>
        <v>1</v>
      </c>
      <c r="H101" s="2"/>
    </row>
    <row r="102" customFormat="false" ht="17.15" hidden="false" customHeight="false" outlineLevel="0" collapsed="false">
      <c r="A102" s="4" t="s">
        <v>498</v>
      </c>
      <c r="B102" s="0" t="s">
        <v>66</v>
      </c>
      <c r="D102" s="15" t="n">
        <f aca="false">0</f>
        <v>0</v>
      </c>
      <c r="E102" s="15" t="n">
        <f aca="false">cpo_27</f>
        <v>0.05</v>
      </c>
      <c r="F102" s="15" t="n">
        <f aca="false">cpo_28</f>
        <v>0.1</v>
      </c>
      <c r="G102" s="15" t="n">
        <f aca="false">cpo_29</f>
        <v>0.15</v>
      </c>
      <c r="H102" s="2"/>
    </row>
    <row r="103" customFormat="false" ht="17.15" hidden="false" customHeight="false" outlineLevel="0" collapsed="false">
      <c r="A103" s="0" t="s">
        <v>499</v>
      </c>
      <c r="B103" s="0" t="s">
        <v>33</v>
      </c>
      <c r="D103" s="19" t="n">
        <f aca="false">a26_aiu</f>
        <v>7.64807678571429</v>
      </c>
      <c r="E103" s="19" t="n">
        <f aca="false">E95*E100*E101+E96*E102</f>
        <v>14.1422008279711</v>
      </c>
      <c r="F103" s="19" t="n">
        <f aca="false">F95*F100*F101+F96*F102</f>
        <v>12.8456340279725</v>
      </c>
      <c r="G103" s="19" t="n">
        <f aca="false">G95*G100*G101+G96*G102</f>
        <v>17.1070046123099</v>
      </c>
      <c r="H103" s="2"/>
    </row>
    <row r="104" customFormat="false" ht="17.15" hidden="false" customHeight="false" outlineLevel="0" collapsed="false">
      <c r="A104" s="0" t="s">
        <v>500</v>
      </c>
      <c r="B104" s="0" t="s">
        <v>168</v>
      </c>
      <c r="C104" s="19" t="n">
        <f aca="false">a25_ai</f>
        <v>23.5999</v>
      </c>
      <c r="D104" s="19" t="n">
        <f aca="false">D103*D97</f>
        <v>51.395076</v>
      </c>
      <c r="E104" s="19" t="n">
        <f aca="false">E103*E97</f>
        <v>95.0355895639659</v>
      </c>
      <c r="F104" s="19" t="n">
        <f aca="false">F103*F97</f>
        <v>86.322660667975</v>
      </c>
      <c r="G104" s="19" t="n">
        <f aca="false">G103*G97</f>
        <v>114.959070994722</v>
      </c>
      <c r="H104" s="2"/>
    </row>
    <row r="105" customFormat="false" ht="17.15" hidden="false" customHeight="false" outlineLevel="0" collapsed="false">
      <c r="A105" s="6" t="s">
        <v>501</v>
      </c>
    </row>
    <row r="106" customFormat="false" ht="15" hidden="false" customHeight="false" outlineLevel="0" collapsed="false">
      <c r="A106" s="4" t="s">
        <v>502</v>
      </c>
      <c r="B106" s="0" t="s">
        <v>168</v>
      </c>
      <c r="C106" s="19" t="n">
        <f aca="false">a25_oth</f>
        <v>1.2421</v>
      </c>
      <c r="D106" s="19" t="n">
        <f aca="false">a26_oth</f>
        <v>2.705004</v>
      </c>
      <c r="E106" s="19" t="n">
        <f aca="false">D106*(1+g_oth)</f>
        <v>2.9755044</v>
      </c>
      <c r="F106" s="19" t="n">
        <f aca="false">E106*(1+g_oth)</f>
        <v>3.27305484</v>
      </c>
      <c r="G106" s="19" t="n">
        <f aca="false">F106*(1+g_oth)</f>
        <v>3.600360324</v>
      </c>
      <c r="H106" s="2"/>
    </row>
    <row r="107" customFormat="false" ht="15" hidden="false" customHeight="false" outlineLevel="0" collapsed="false">
      <c r="A107" s="4" t="s">
        <v>406</v>
      </c>
      <c r="B107" s="0" t="s">
        <v>168</v>
      </c>
      <c r="C107" s="19" t="n">
        <f aca="false">a25_rev</f>
        <v>24.842</v>
      </c>
      <c r="D107" s="19" t="n">
        <f aca="false">D104+D106</f>
        <v>54.10008</v>
      </c>
      <c r="E107" s="19" t="n">
        <f aca="false">E104+E106</f>
        <v>98.0110939639659</v>
      </c>
      <c r="F107" s="19" t="n">
        <f aca="false">F104+F106</f>
        <v>89.595715507975</v>
      </c>
      <c r="G107" s="19" t="n">
        <f aca="false">G104+G106</f>
        <v>118.559431318722</v>
      </c>
      <c r="H107" s="25" t="n">
        <f aca="false">G107*(1+H108)</f>
        <v>145.691458010773</v>
      </c>
      <c r="I107" s="26" t="n">
        <f aca="false">H107*(1+I108)</f>
        <v>165.275848439647</v>
      </c>
      <c r="J107" s="26" t="n">
        <f aca="false">I107*(1+J108)</f>
        <v>171.886882377233</v>
      </c>
    </row>
    <row r="108" customFormat="false" ht="15" hidden="false" customHeight="false" outlineLevel="0" collapsed="false">
      <c r="A108" s="4" t="s">
        <v>503</v>
      </c>
      <c r="B108" s="0" t="s">
        <v>66</v>
      </c>
      <c r="D108" s="15" t="n">
        <f aca="false">D107/C107-1</f>
        <v>1.17776668545206</v>
      </c>
      <c r="E108" s="15" t="n">
        <f aca="false">E107/D107-1</f>
        <v>0.811662643825405</v>
      </c>
      <c r="F108" s="15" t="n">
        <f aca="false">F107/E107-1</f>
        <v>-0.0858614888951746</v>
      </c>
      <c r="G108" s="15" t="n">
        <f aca="false">G107/F107-1</f>
        <v>0.32327121499654</v>
      </c>
      <c r="H108" s="27" t="n">
        <f aca="false">$G108+(fade_gB-$G108)*1/3</f>
        <v>0.22884747666436</v>
      </c>
      <c r="I108" s="22" t="n">
        <f aca="false">$G108+(fade_gB-$G108)*2/3</f>
        <v>0.13442373833218</v>
      </c>
      <c r="J108" s="22" t="n">
        <f aca="false">$G108+(fade_gB-$G108)*3/3</f>
        <v>0.04</v>
      </c>
    </row>
    <row r="109" customFormat="false" ht="17.15" hidden="false" customHeight="false" outlineLevel="0" collapsed="false">
      <c r="A109" s="0" t="s">
        <v>504</v>
      </c>
      <c r="B109" s="0" t="s">
        <v>66</v>
      </c>
      <c r="C109" s="15" t="n">
        <f aca="false">C104/C107</f>
        <v>0.95</v>
      </c>
      <c r="D109" s="15" t="n">
        <f aca="false">D104/D107</f>
        <v>0.95</v>
      </c>
      <c r="E109" s="15" t="n">
        <f aca="false">E104/E107</f>
        <v>0.969641146938999</v>
      </c>
      <c r="F109" s="15" t="n">
        <f aca="false">F104/F107</f>
        <v>0.963468623232227</v>
      </c>
      <c r="G109" s="15" t="n">
        <f aca="false">G104/G107</f>
        <v>0.969632442700225</v>
      </c>
      <c r="H109" s="2"/>
    </row>
    <row r="110" customFormat="false" ht="17.15" hidden="false" customHeight="false" outlineLevel="0" collapsed="false">
      <c r="A110" s="6" t="s">
        <v>505</v>
      </c>
    </row>
    <row r="111" customFormat="false" ht="17.15" hidden="false" customHeight="false" outlineLevel="0" collapsed="false">
      <c r="A111" s="4" t="s">
        <v>410</v>
      </c>
      <c r="B111" s="0" t="s">
        <v>66</v>
      </c>
      <c r="C111" s="15" t="n">
        <f aca="false">a25_gp/a25_rev</f>
        <v>0.4781</v>
      </c>
      <c r="D111" s="15" t="n">
        <f aca="false">a26_gp/a26_rev</f>
        <v>0.481700625951015</v>
      </c>
      <c r="E111" s="15" t="n">
        <f aca="false">gm_27</f>
        <v>0.47</v>
      </c>
      <c r="F111" s="15" t="n">
        <f aca="false">gm_28</f>
        <v>0.46</v>
      </c>
      <c r="G111" s="15" t="n">
        <f aca="false">gm_29</f>
        <v>0.45</v>
      </c>
      <c r="H111" s="2"/>
      <c r="K111" s="8" t="s">
        <v>506</v>
      </c>
    </row>
    <row r="112" customFormat="false" ht="15" hidden="false" customHeight="false" outlineLevel="0" collapsed="false">
      <c r="A112" s="4" t="s">
        <v>409</v>
      </c>
      <c r="B112" s="0" t="s">
        <v>168</v>
      </c>
      <c r="C112" s="19" t="n">
        <f aca="false">C107*C111</f>
        <v>11.8769602</v>
      </c>
      <c r="D112" s="19" t="n">
        <f aca="false">D107*D111</f>
        <v>26.0600424</v>
      </c>
      <c r="E112" s="19" t="n">
        <f aca="false">E107*E111</f>
        <v>46.065214163064</v>
      </c>
      <c r="F112" s="19" t="n">
        <f aca="false">F107*F111</f>
        <v>41.2140291336685</v>
      </c>
      <c r="G112" s="19" t="n">
        <f aca="false">G107*G111</f>
        <v>53.3517440934251</v>
      </c>
      <c r="H112" s="2"/>
    </row>
    <row r="113" customFormat="false" ht="15" hidden="false" customHeight="false" outlineLevel="0" collapsed="false">
      <c r="A113" s="4" t="s">
        <v>507</v>
      </c>
      <c r="B113" s="0" t="s">
        <v>168</v>
      </c>
      <c r="C113" s="19" t="n">
        <f aca="false">a25_opx</f>
        <v>1.02127838181818</v>
      </c>
      <c r="D113" s="19" t="n">
        <f aca="false">a26_opx</f>
        <v>3.21377711360775</v>
      </c>
      <c r="E113" s="19" t="n">
        <f aca="false">D113*(1+MAX(0,phi*E108))</f>
        <v>4.77887881082562</v>
      </c>
      <c r="F113" s="19" t="n">
        <f aca="false">E113*(1+MAX(0,phi*F108))</f>
        <v>4.77887881082562</v>
      </c>
      <c r="G113" s="19" t="n">
        <f aca="false">F113*(1+MAX(0,phi*G108))</f>
        <v>5.70580318652371</v>
      </c>
      <c r="H113" s="2"/>
    </row>
    <row r="114" customFormat="false" ht="15" hidden="false" customHeight="false" outlineLevel="0" collapsed="false">
      <c r="A114" s="4" t="s">
        <v>508</v>
      </c>
      <c r="B114" s="0" t="s">
        <v>168</v>
      </c>
      <c r="C114" s="19" t="n">
        <f aca="false">C113</f>
        <v>1.02127838181818</v>
      </c>
      <c r="D114" s="19" t="n">
        <f aca="false">D113</f>
        <v>3.21377711360775</v>
      </c>
      <c r="E114" s="19" t="n">
        <f aca="false">E113+0*E107</f>
        <v>4.77887881082562</v>
      </c>
      <c r="F114" s="19" t="n">
        <f aca="false">F113+0*F107</f>
        <v>4.77887881082562</v>
      </c>
      <c r="G114" s="19" t="n">
        <f aca="false">G113+0*G107</f>
        <v>5.70580318652371</v>
      </c>
      <c r="H114" s="2"/>
    </row>
    <row r="115" customFormat="false" ht="15" hidden="false" customHeight="false" outlineLevel="0" collapsed="false">
      <c r="A115" s="4" t="s">
        <v>509</v>
      </c>
      <c r="B115" s="0" t="s">
        <v>168</v>
      </c>
      <c r="C115" s="19" t="n">
        <f aca="false">C112-C114</f>
        <v>10.8556818181818</v>
      </c>
      <c r="D115" s="19" t="n">
        <f aca="false">D112-D114</f>
        <v>22.8462652863923</v>
      </c>
      <c r="E115" s="19" t="n">
        <f aca="false">E112-E114</f>
        <v>41.2863353522384</v>
      </c>
      <c r="F115" s="19" t="n">
        <f aca="false">F112-F114</f>
        <v>36.4351503228429</v>
      </c>
      <c r="G115" s="19" t="n">
        <f aca="false">G112-G114</f>
        <v>47.6459409069013</v>
      </c>
      <c r="H115" s="2"/>
    </row>
    <row r="116" customFormat="false" ht="15" hidden="false" customHeight="false" outlineLevel="0" collapsed="false">
      <c r="A116" s="4" t="s">
        <v>510</v>
      </c>
      <c r="B116" s="0" t="s">
        <v>66</v>
      </c>
      <c r="C116" s="15" t="n">
        <f aca="false">C115/C107</f>
        <v>0.43698904348208</v>
      </c>
      <c r="D116" s="15" t="n">
        <f aca="false">D115/D107</f>
        <v>0.422296330918406</v>
      </c>
      <c r="E116" s="15" t="n">
        <f aca="false">E115/E107</f>
        <v>0.421241450150709</v>
      </c>
      <c r="F116" s="15" t="n">
        <f aca="false">F115/F107</f>
        <v>0.40666174845827</v>
      </c>
      <c r="G116" s="15" t="n">
        <f aca="false">G115/G107</f>
        <v>0.401873898828134</v>
      </c>
      <c r="H116" s="2"/>
    </row>
    <row r="117" customFormat="false" ht="15" hidden="false" customHeight="false" outlineLevel="0" collapsed="false">
      <c r="A117" s="4" t="s">
        <v>417</v>
      </c>
      <c r="B117" s="0" t="s">
        <v>168</v>
      </c>
      <c r="C117" s="19" t="n">
        <f aca="false">a25_ni</f>
        <v>9.532</v>
      </c>
      <c r="D117" s="19" t="n">
        <f aca="false">a26_ni</f>
        <v>20.0605180178692</v>
      </c>
      <c r="E117" s="19" t="n">
        <f aca="false">E115*(1-tx)*attr</f>
        <v>36.2521078978574</v>
      </c>
      <c r="F117" s="19" t="n">
        <f aca="false">F115*(1-tx)*attr</f>
        <v>31.9924495480014</v>
      </c>
      <c r="G117" s="19" t="n">
        <f aca="false">G115*(1-tx)*attr</f>
        <v>41.8362583144178</v>
      </c>
      <c r="H117" s="25" t="n">
        <f aca="false">H107*H118</f>
        <v>49.6967011139923</v>
      </c>
      <c r="I117" s="26" t="n">
        <f aca="false">I107*I118</f>
        <v>54.4330789273911</v>
      </c>
      <c r="J117" s="26" t="n">
        <f aca="false">J107*J118</f>
        <v>54.5886020100408</v>
      </c>
    </row>
    <row r="118" customFormat="false" ht="15" hidden="false" customHeight="false" outlineLevel="0" collapsed="false">
      <c r="A118" s="4" t="s">
        <v>419</v>
      </c>
      <c r="B118" s="0" t="s">
        <v>66</v>
      </c>
      <c r="C118" s="15" t="n">
        <f aca="false">C117/C107</f>
        <v>0.383705015699219</v>
      </c>
      <c r="D118" s="15" t="n">
        <f aca="false">D117/D107</f>
        <v>0.370803851267302</v>
      </c>
      <c r="E118" s="15" t="n">
        <f aca="false">E117/E107</f>
        <v>0.36987759682782</v>
      </c>
      <c r="F118" s="15" t="n">
        <f aca="false">F117/F107</f>
        <v>0.357075663346355</v>
      </c>
      <c r="G118" s="15" t="n">
        <f aca="false">G117/G107</f>
        <v>0.352871617627363</v>
      </c>
      <c r="H118" s="27" t="n">
        <f aca="false">$G118+(fade_mB-$G118)*1/3</f>
        <v>0.341109230373118</v>
      </c>
      <c r="I118" s="22" t="n">
        <f aca="false">$G118+(fade_mB-$G118)*2/3</f>
        <v>0.329346843118872</v>
      </c>
      <c r="J118" s="22" t="n">
        <f aca="false">$G118+(fade_mB-$G118)*3/3</f>
        <v>0.317584455864627</v>
      </c>
    </row>
    <row r="119" customFormat="false" ht="15" hidden="false" customHeight="false" outlineLevel="0" collapsed="false">
      <c r="A119" s="4" t="s">
        <v>511</v>
      </c>
      <c r="B119" s="4" t="s">
        <v>204</v>
      </c>
      <c r="C119" s="16" t="n">
        <f aca="false">a25_sh</f>
        <v>1.38863683662851</v>
      </c>
      <c r="D119" s="16" t="n">
        <f aca="false">a26_sh</f>
        <v>1.39284103512015</v>
      </c>
      <c r="E119" s="16" t="n">
        <f aca="false">sh_post*(1+sh_g)</f>
        <v>1.394</v>
      </c>
      <c r="F119" s="16" t="n">
        <f aca="false">E119*(1+sh_g)</f>
        <v>1.394</v>
      </c>
      <c r="G119" s="16" t="n">
        <f aca="false">F119*(1+sh_g)</f>
        <v>1.394</v>
      </c>
      <c r="H119" s="28" t="n">
        <f aca="false">G119*(1+sh_g)</f>
        <v>1.394</v>
      </c>
      <c r="I119" s="29" t="n">
        <f aca="false">H119*(1+sh_g)</f>
        <v>1.394</v>
      </c>
      <c r="J119" s="29" t="n">
        <f aca="false">I119*(1+sh_g)</f>
        <v>1.394</v>
      </c>
    </row>
    <row r="120" customFormat="false" ht="15" hidden="false" customHeight="false" outlineLevel="0" collapsed="false">
      <c r="A120" s="0" t="s">
        <v>422</v>
      </c>
      <c r="B120" s="0" t="s">
        <v>140</v>
      </c>
      <c r="C120" s="19" t="n">
        <f aca="false">C117/C119</f>
        <v>6.86428571428571</v>
      </c>
      <c r="D120" s="19" t="n">
        <f aca="false">D117/D119</f>
        <v>14.402589751485</v>
      </c>
      <c r="E120" s="19" t="n">
        <f aca="false">E117/E119</f>
        <v>26.0058162825376</v>
      </c>
      <c r="F120" s="19" t="n">
        <f aca="false">F117/F119</f>
        <v>22.9501072797715</v>
      </c>
      <c r="G120" s="19" t="n">
        <f aca="false">G117/G119</f>
        <v>30.0116630662969</v>
      </c>
      <c r="H120" s="25" t="n">
        <f aca="false">H117/H119</f>
        <v>35.6504312152025</v>
      </c>
      <c r="I120" s="26" t="n">
        <f aca="false">I117/I119</f>
        <v>39.0481197470524</v>
      </c>
      <c r="J120" s="26" t="n">
        <f aca="false">J117/J119</f>
        <v>39.1596858034726</v>
      </c>
    </row>
    <row r="121" customFormat="false" ht="17.15" hidden="false" customHeight="false" outlineLevel="0" collapsed="false">
      <c r="A121" s="0" t="s">
        <v>512</v>
      </c>
      <c r="B121" s="0" t="s">
        <v>66</v>
      </c>
      <c r="D121" s="15" t="n">
        <f aca="false">D120/C120-1</f>
        <v>1.09819205536722</v>
      </c>
      <c r="E121" s="15" t="n">
        <f aca="false">E120/D120-1</f>
        <v>0.805634731757619</v>
      </c>
      <c r="F121" s="15" t="n">
        <f aca="false">F120/E120-1</f>
        <v>-0.11750098399403</v>
      </c>
      <c r="G121" s="15" t="n">
        <f aca="false">G120/F120-1</f>
        <v>0.307691624289249</v>
      </c>
      <c r="H121" s="27" t="n">
        <f aca="false">H120/G120-1</f>
        <v>0.187885894108881</v>
      </c>
      <c r="I121" s="22" t="n">
        <f aca="false">I120/H120-1</f>
        <v>0.0953056783896908</v>
      </c>
      <c r="J121" s="22" t="n">
        <f aca="false">J120/I120-1</f>
        <v>0.00285714285714289</v>
      </c>
    </row>
    <row r="124" customFormat="false" ht="17.15" hidden="false" customHeight="false" outlineLevel="0" collapsed="false">
      <c r="A124" s="1" t="s">
        <v>514</v>
      </c>
    </row>
    <row r="125" customFormat="false" ht="17.15" hidden="false" customHeight="false" outlineLevel="0" collapsed="false">
      <c r="A125" s="5" t="s">
        <v>22</v>
      </c>
      <c r="B125" s="5" t="s">
        <v>23</v>
      </c>
      <c r="C125" s="13" t="s">
        <v>399</v>
      </c>
      <c r="D125" s="13" t="s">
        <v>468</v>
      </c>
      <c r="E125" s="13" t="s">
        <v>469</v>
      </c>
      <c r="F125" s="13" t="s">
        <v>470</v>
      </c>
      <c r="G125" s="13" t="s">
        <v>471</v>
      </c>
      <c r="H125" s="13" t="s">
        <v>472</v>
      </c>
      <c r="I125" s="13" t="s">
        <v>473</v>
      </c>
      <c r="J125" s="13" t="s">
        <v>474</v>
      </c>
      <c r="K125" s="5" t="s">
        <v>405</v>
      </c>
    </row>
    <row r="126" customFormat="false" ht="17.15" hidden="false" customHeight="false" outlineLevel="0" collapsed="false">
      <c r="A126" s="6" t="s">
        <v>488</v>
      </c>
    </row>
    <row r="127" customFormat="false" ht="17.15" hidden="false" customHeight="false" outlineLevel="0" collapsed="false">
      <c r="A127" s="0" t="s">
        <v>489</v>
      </c>
      <c r="B127" s="0" t="s">
        <v>33</v>
      </c>
      <c r="D127" s="19" t="n">
        <f aca="false">mplC_26*1</f>
        <v>29.753262</v>
      </c>
      <c r="E127" s="19" t="n">
        <f aca="false">mplC_27*1*1</f>
        <v>55.252106</v>
      </c>
      <c r="F127" s="19" t="n">
        <f aca="false">mplC_28*um28_C*1</f>
        <v>37.50117</v>
      </c>
      <c r="G127" s="19" t="n">
        <f aca="false">mplC_29*um29_C*1</f>
        <v>48.606666</v>
      </c>
      <c r="H127" s="2"/>
    </row>
    <row r="128" customFormat="false" ht="17.15" hidden="false" customHeight="false" outlineLevel="0" collapsed="false">
      <c r="A128" s="0" t="s">
        <v>490</v>
      </c>
      <c r="B128" s="0" t="s">
        <v>33</v>
      </c>
      <c r="D128" s="19" t="n">
        <f aca="false">mcpC_26*1</f>
        <v>0.300538</v>
      </c>
      <c r="E128" s="19" t="n">
        <f aca="false">mcpC_27*1</f>
        <v>1.127594</v>
      </c>
      <c r="F128" s="19" t="n">
        <f aca="false">mcpC_28*um28_C</f>
        <v>1.15983</v>
      </c>
      <c r="G128" s="19" t="n">
        <f aca="false">mcpC_29*um29_C</f>
        <v>2.20263</v>
      </c>
      <c r="H128" s="2"/>
    </row>
    <row r="129" customFormat="false" ht="17.15" hidden="false" customHeight="false" outlineLevel="0" collapsed="false">
      <c r="A129" s="4" t="s">
        <v>491</v>
      </c>
      <c r="B129" s="0" t="s">
        <v>140</v>
      </c>
      <c r="D129" s="17" t="n">
        <f aca="false">fx</f>
        <v>6.72</v>
      </c>
      <c r="E129" s="17" t="n">
        <f aca="false">fx</f>
        <v>6.72</v>
      </c>
      <c r="F129" s="17" t="n">
        <f aca="false">fx</f>
        <v>6.72</v>
      </c>
      <c r="G129" s="17" t="n">
        <f aca="false">fx</f>
        <v>6.72</v>
      </c>
      <c r="H129" s="2"/>
      <c r="K129" s="8" t="s">
        <v>492</v>
      </c>
    </row>
    <row r="130" customFormat="false" ht="17.15" hidden="false" customHeight="false" outlineLevel="0" collapsed="false">
      <c r="A130" s="4" t="s">
        <v>493</v>
      </c>
      <c r="B130" s="0" t="s">
        <v>66</v>
      </c>
      <c r="D130" s="15" t="n">
        <f aca="false">a26_aiu/D127</f>
        <v>0.257050026505137</v>
      </c>
      <c r="H130" s="2"/>
      <c r="K130" s="8" t="s">
        <v>494</v>
      </c>
    </row>
    <row r="131" customFormat="false" ht="17.15" hidden="false" customHeight="false" outlineLevel="0" collapsed="false">
      <c r="A131" s="4" t="s">
        <v>495</v>
      </c>
      <c r="B131" s="0" t="s">
        <v>81</v>
      </c>
      <c r="D131" s="17" t="n">
        <f aca="false">1</f>
        <v>1</v>
      </c>
      <c r="E131" s="17" t="n">
        <f aca="false">rel_27</f>
        <v>1</v>
      </c>
      <c r="F131" s="17" t="n">
        <f aca="false">rel_28</f>
        <v>1</v>
      </c>
      <c r="G131" s="17" t="n">
        <f aca="false">rel_29</f>
        <v>0.95</v>
      </c>
      <c r="H131" s="2"/>
    </row>
    <row r="132" customFormat="false" ht="15" hidden="false" customHeight="false" outlineLevel="0" collapsed="false">
      <c r="A132" s="4" t="s">
        <v>496</v>
      </c>
      <c r="B132" s="0" t="s">
        <v>66</v>
      </c>
      <c r="D132" s="15" t="n">
        <f aca="false">$D$130*D131</f>
        <v>0.257050026505137</v>
      </c>
      <c r="E132" s="15" t="n">
        <f aca="false">$D$130*E131</f>
        <v>0.257050026505137</v>
      </c>
      <c r="F132" s="15" t="n">
        <f aca="false">$D$130*F131</f>
        <v>0.257050026505137</v>
      </c>
      <c r="G132" s="15" t="n">
        <f aca="false">$D$130*G131</f>
        <v>0.24419752517988</v>
      </c>
      <c r="H132" s="2"/>
    </row>
    <row r="133" customFormat="false" ht="15" hidden="false" customHeight="false" outlineLevel="0" collapsed="false">
      <c r="A133" s="4" t="s">
        <v>497</v>
      </c>
      <c r="B133" s="0" t="s">
        <v>81</v>
      </c>
      <c r="D133" s="17" t="n">
        <f aca="false">1</f>
        <v>1</v>
      </c>
      <c r="E133" s="17" t="n">
        <f aca="false">pxr_27</f>
        <v>1</v>
      </c>
      <c r="F133" s="17" t="n">
        <f aca="false">pxr_28</f>
        <v>1</v>
      </c>
      <c r="G133" s="17" t="n">
        <f aca="false">pxr_29</f>
        <v>1</v>
      </c>
      <c r="H133" s="2"/>
    </row>
    <row r="134" customFormat="false" ht="17.15" hidden="false" customHeight="false" outlineLevel="0" collapsed="false">
      <c r="A134" s="4" t="s">
        <v>498</v>
      </c>
      <c r="B134" s="0" t="s">
        <v>66</v>
      </c>
      <c r="D134" s="15" t="n">
        <f aca="false">0</f>
        <v>0</v>
      </c>
      <c r="E134" s="15" t="n">
        <f aca="false">cpo_27</f>
        <v>0.05</v>
      </c>
      <c r="F134" s="15" t="n">
        <f aca="false">cpo_28</f>
        <v>0.1</v>
      </c>
      <c r="G134" s="15" t="n">
        <f aca="false">cpo_29</f>
        <v>0.15</v>
      </c>
      <c r="H134" s="2"/>
    </row>
    <row r="135" customFormat="false" ht="17.15" hidden="false" customHeight="false" outlineLevel="0" collapsed="false">
      <c r="A135" s="0" t="s">
        <v>499</v>
      </c>
      <c r="B135" s="0" t="s">
        <v>33</v>
      </c>
      <c r="D135" s="19" t="n">
        <f aca="false">a26_aiu</f>
        <v>7.64807678571429</v>
      </c>
      <c r="E135" s="19" t="n">
        <f aca="false">E127*E132*E133+E128*E134</f>
        <v>14.2589350117646</v>
      </c>
      <c r="F135" s="19" t="n">
        <f aca="false">F127*F132*F133+F128*F134</f>
        <v>9.75565974247365</v>
      </c>
      <c r="G135" s="19" t="n">
        <f aca="false">G127*G132*G133+G128*G134</f>
        <v>12.200022044445</v>
      </c>
      <c r="H135" s="2"/>
    </row>
    <row r="136" customFormat="false" ht="17.15" hidden="false" customHeight="false" outlineLevel="0" collapsed="false">
      <c r="A136" s="0" t="s">
        <v>500</v>
      </c>
      <c r="B136" s="0" t="s">
        <v>168</v>
      </c>
      <c r="C136" s="19" t="n">
        <f aca="false">a25_ai</f>
        <v>23.5999</v>
      </c>
      <c r="D136" s="19" t="n">
        <f aca="false">D135*D129</f>
        <v>51.395076</v>
      </c>
      <c r="E136" s="19" t="n">
        <f aca="false">E135*E129</f>
        <v>95.8200432790584</v>
      </c>
      <c r="F136" s="19" t="n">
        <f aca="false">F135*F129</f>
        <v>65.5580334694229</v>
      </c>
      <c r="G136" s="19" t="n">
        <f aca="false">G135*G129</f>
        <v>81.9841481386706</v>
      </c>
      <c r="H136" s="2"/>
    </row>
    <row r="137" customFormat="false" ht="17.15" hidden="false" customHeight="false" outlineLevel="0" collapsed="false">
      <c r="A137" s="6" t="s">
        <v>501</v>
      </c>
    </row>
    <row r="138" customFormat="false" ht="15" hidden="false" customHeight="false" outlineLevel="0" collapsed="false">
      <c r="A138" s="4" t="s">
        <v>502</v>
      </c>
      <c r="B138" s="0" t="s">
        <v>168</v>
      </c>
      <c r="C138" s="19" t="n">
        <f aca="false">a25_oth</f>
        <v>1.2421</v>
      </c>
      <c r="D138" s="19" t="n">
        <f aca="false">a26_oth</f>
        <v>2.705004</v>
      </c>
      <c r="E138" s="19" t="n">
        <f aca="false">D138*(1+g_oth)</f>
        <v>2.9755044</v>
      </c>
      <c r="F138" s="19" t="n">
        <f aca="false">E138*(1+g_oth)</f>
        <v>3.27305484</v>
      </c>
      <c r="G138" s="19" t="n">
        <f aca="false">F138*(1+g_oth)</f>
        <v>3.600360324</v>
      </c>
      <c r="H138" s="2"/>
    </row>
    <row r="139" customFormat="false" ht="15" hidden="false" customHeight="false" outlineLevel="0" collapsed="false">
      <c r="A139" s="4" t="s">
        <v>406</v>
      </c>
      <c r="B139" s="0" t="s">
        <v>168</v>
      </c>
      <c r="C139" s="19" t="n">
        <f aca="false">a25_rev</f>
        <v>24.842</v>
      </c>
      <c r="D139" s="19" t="n">
        <f aca="false">D136+D138</f>
        <v>54.10008</v>
      </c>
      <c r="E139" s="19" t="n">
        <f aca="false">E136+E138</f>
        <v>98.7955476790584</v>
      </c>
      <c r="F139" s="19" t="n">
        <f aca="false">F136+F138</f>
        <v>68.8310883094229</v>
      </c>
      <c r="G139" s="19" t="n">
        <f aca="false">G136+G138</f>
        <v>85.5845084626706</v>
      </c>
      <c r="H139" s="25" t="n">
        <f aca="false">G139*(1+H140)</f>
        <v>100.042529434948</v>
      </c>
      <c r="I139" s="26" t="n">
        <f aca="false">H139*(1+I140)</f>
        <v>109.493181380543</v>
      </c>
      <c r="J139" s="26" t="n">
        <f aca="false">I139*(1+J140)</f>
        <v>111.683045008154</v>
      </c>
    </row>
    <row r="140" customFormat="false" ht="15" hidden="false" customHeight="false" outlineLevel="0" collapsed="false">
      <c r="A140" s="4" t="s">
        <v>503</v>
      </c>
      <c r="B140" s="0" t="s">
        <v>66</v>
      </c>
      <c r="D140" s="15" t="n">
        <f aca="false">D139/C139-1</f>
        <v>1.17776668545206</v>
      </c>
      <c r="E140" s="15" t="n">
        <f aca="false">E139/D139-1</f>
        <v>0.826162691054401</v>
      </c>
      <c r="F140" s="15" t="n">
        <f aca="false">F139/E139-1</f>
        <v>-0.303297669516205</v>
      </c>
      <c r="G140" s="15" t="n">
        <f aca="false">G139/F139-1</f>
        <v>0.243399030361606</v>
      </c>
      <c r="H140" s="27" t="n">
        <f aca="false">$G140+(fade_gC-$G140)*1/3</f>
        <v>0.168932686907738</v>
      </c>
      <c r="I140" s="22" t="n">
        <f aca="false">$G140+(fade_gC-$G140)*2/3</f>
        <v>0.0944663434538688</v>
      </c>
      <c r="J140" s="22" t="n">
        <f aca="false">$G140+(fade_gC-$G140)*3/3</f>
        <v>0.02</v>
      </c>
    </row>
    <row r="141" customFormat="false" ht="17.15" hidden="false" customHeight="false" outlineLevel="0" collapsed="false">
      <c r="A141" s="0" t="s">
        <v>504</v>
      </c>
      <c r="B141" s="0" t="s">
        <v>66</v>
      </c>
      <c r="C141" s="15" t="n">
        <f aca="false">C136/C139</f>
        <v>0.95</v>
      </c>
      <c r="D141" s="15" t="n">
        <f aca="false">D136/D139</f>
        <v>0.95</v>
      </c>
      <c r="E141" s="15" t="n">
        <f aca="false">E136/E139</f>
        <v>0.969882201476669</v>
      </c>
      <c r="F141" s="15" t="n">
        <f aca="false">F136/F139</f>
        <v>0.952448015564038</v>
      </c>
      <c r="G141" s="15" t="n">
        <f aca="false">G136/G139</f>
        <v>0.95793210256538</v>
      </c>
      <c r="H141" s="2"/>
    </row>
    <row r="142" customFormat="false" ht="17.15" hidden="false" customHeight="false" outlineLevel="0" collapsed="false">
      <c r="A142" s="6" t="s">
        <v>505</v>
      </c>
    </row>
    <row r="143" customFormat="false" ht="17.15" hidden="false" customHeight="false" outlineLevel="0" collapsed="false">
      <c r="A143" s="4" t="s">
        <v>410</v>
      </c>
      <c r="B143" s="0" t="s">
        <v>66</v>
      </c>
      <c r="C143" s="15" t="n">
        <f aca="false">a25_gp/a25_rev</f>
        <v>0.4781</v>
      </c>
      <c r="D143" s="15" t="n">
        <f aca="false">a26_gp/a26_rev</f>
        <v>0.481700625951015</v>
      </c>
      <c r="E143" s="15" t="n">
        <f aca="false">gm_27</f>
        <v>0.47</v>
      </c>
      <c r="F143" s="15" t="n">
        <f aca="false">gm_28</f>
        <v>0.46</v>
      </c>
      <c r="G143" s="15" t="n">
        <f aca="false">gm_29</f>
        <v>0.45</v>
      </c>
      <c r="H143" s="2"/>
      <c r="K143" s="8" t="s">
        <v>506</v>
      </c>
    </row>
    <row r="144" customFormat="false" ht="15" hidden="false" customHeight="false" outlineLevel="0" collapsed="false">
      <c r="A144" s="4" t="s">
        <v>409</v>
      </c>
      <c r="B144" s="0" t="s">
        <v>168</v>
      </c>
      <c r="C144" s="19" t="n">
        <f aca="false">C139*C143</f>
        <v>11.8769602</v>
      </c>
      <c r="D144" s="19" t="n">
        <f aca="false">D139*D143</f>
        <v>26.0600424</v>
      </c>
      <c r="E144" s="19" t="n">
        <f aca="false">E139*E143</f>
        <v>46.4339074091575</v>
      </c>
      <c r="F144" s="19" t="n">
        <f aca="false">F139*F143</f>
        <v>31.6623006223345</v>
      </c>
      <c r="G144" s="19" t="n">
        <f aca="false">G139*G143</f>
        <v>38.5130288082018</v>
      </c>
      <c r="H144" s="2"/>
    </row>
    <row r="145" customFormat="false" ht="15" hidden="false" customHeight="false" outlineLevel="0" collapsed="false">
      <c r="A145" s="4" t="s">
        <v>507</v>
      </c>
      <c r="B145" s="0" t="s">
        <v>168</v>
      </c>
      <c r="C145" s="19" t="n">
        <f aca="false">a25_opx</f>
        <v>1.02127838181818</v>
      </c>
      <c r="D145" s="19" t="n">
        <f aca="false">a26_opx</f>
        <v>3.21377711360775</v>
      </c>
      <c r="E145" s="19" t="n">
        <f aca="false">D145*(1+MAX(0,phi*E140))</f>
        <v>4.80683876278409</v>
      </c>
      <c r="F145" s="19" t="n">
        <f aca="false">E145*(1+MAX(0,phi*F140))</f>
        <v>4.80683876278409</v>
      </c>
      <c r="G145" s="19" t="n">
        <f aca="false">F145*(1+MAX(0,phi*G140))</f>
        <v>5.50882669916383</v>
      </c>
      <c r="H145" s="2"/>
    </row>
    <row r="146" customFormat="false" ht="15" hidden="false" customHeight="false" outlineLevel="0" collapsed="false">
      <c r="A146" s="4" t="s">
        <v>508</v>
      </c>
      <c r="B146" s="0" t="s">
        <v>168</v>
      </c>
      <c r="C146" s="19" t="n">
        <f aca="false">C145</f>
        <v>1.02127838181818</v>
      </c>
      <c r="D146" s="19" t="n">
        <f aca="false">D145</f>
        <v>3.21377711360775</v>
      </c>
      <c r="E146" s="19" t="n">
        <f aca="false">E145+0*E139</f>
        <v>4.80683876278409</v>
      </c>
      <c r="F146" s="19" t="n">
        <f aca="false">F145+0*F139</f>
        <v>4.80683876278409</v>
      </c>
      <c r="G146" s="19" t="n">
        <f aca="false">G145+0*G139</f>
        <v>5.50882669916383</v>
      </c>
      <c r="H146" s="2"/>
    </row>
    <row r="147" customFormat="false" ht="15" hidden="false" customHeight="false" outlineLevel="0" collapsed="false">
      <c r="A147" s="4" t="s">
        <v>509</v>
      </c>
      <c r="B147" s="0" t="s">
        <v>168</v>
      </c>
      <c r="C147" s="19" t="n">
        <f aca="false">C144-C146</f>
        <v>10.8556818181818</v>
      </c>
      <c r="D147" s="19" t="n">
        <f aca="false">D144-D146</f>
        <v>22.8462652863923</v>
      </c>
      <c r="E147" s="19" t="n">
        <f aca="false">E144-E146</f>
        <v>41.6270686463734</v>
      </c>
      <c r="F147" s="19" t="n">
        <f aca="false">F144-F146</f>
        <v>26.8554618595505</v>
      </c>
      <c r="G147" s="19" t="n">
        <f aca="false">G144-G146</f>
        <v>33.0042021090379</v>
      </c>
      <c r="H147" s="2"/>
    </row>
    <row r="148" customFormat="false" ht="15" hidden="false" customHeight="false" outlineLevel="0" collapsed="false">
      <c r="A148" s="4" t="s">
        <v>510</v>
      </c>
      <c r="B148" s="0" t="s">
        <v>66</v>
      </c>
      <c r="C148" s="15" t="n">
        <f aca="false">C147/C139</f>
        <v>0.43698904348208</v>
      </c>
      <c r="D148" s="15" t="n">
        <f aca="false">D147/D139</f>
        <v>0.422296330918406</v>
      </c>
      <c r="E148" s="15" t="n">
        <f aca="false">E147/E139</f>
        <v>0.421345593240706</v>
      </c>
      <c r="F148" s="15" t="n">
        <f aca="false">F147/F139</f>
        <v>0.39016471363673</v>
      </c>
      <c r="G148" s="15" t="n">
        <f aca="false">G147/G139</f>
        <v>0.385632899012715</v>
      </c>
      <c r="H148" s="2"/>
    </row>
    <row r="149" customFormat="false" ht="15" hidden="false" customHeight="false" outlineLevel="0" collapsed="false">
      <c r="A149" s="4" t="s">
        <v>417</v>
      </c>
      <c r="B149" s="0" t="s">
        <v>168</v>
      </c>
      <c r="C149" s="19" t="n">
        <f aca="false">a25_ni</f>
        <v>9.532</v>
      </c>
      <c r="D149" s="19" t="n">
        <f aca="false">a26_ni</f>
        <v>20.0605180178692</v>
      </c>
      <c r="E149" s="19" t="n">
        <f aca="false">E147*(1-tx)*attr</f>
        <v>36.5512940580721</v>
      </c>
      <c r="F149" s="19" t="n">
        <f aca="false">F147*(1-tx)*attr</f>
        <v>23.5808553283583</v>
      </c>
      <c r="G149" s="19" t="n">
        <f aca="false">G147*(1-tx)*attr</f>
        <v>28.9798521891498</v>
      </c>
      <c r="H149" s="25" t="n">
        <f aca="false">H139*H150</f>
        <v>31.6171300532751</v>
      </c>
      <c r="I149" s="26" t="n">
        <f aca="false">I139*I150</f>
        <v>32.1321786684911</v>
      </c>
      <c r="J149" s="26" t="n">
        <f aca="false">J139*J150</f>
        <v>30.25368206941</v>
      </c>
    </row>
    <row r="150" customFormat="false" ht="15" hidden="false" customHeight="false" outlineLevel="0" collapsed="false">
      <c r="A150" s="4" t="s">
        <v>419</v>
      </c>
      <c r="B150" s="0" t="s">
        <v>66</v>
      </c>
      <c r="C150" s="15" t="n">
        <f aca="false">C149/C139</f>
        <v>0.383705015699219</v>
      </c>
      <c r="D150" s="15" t="n">
        <f aca="false">D149/D139</f>
        <v>0.370803851267302</v>
      </c>
      <c r="E150" s="15" t="n">
        <f aca="false">E149/E139</f>
        <v>0.369969041285247</v>
      </c>
      <c r="F150" s="15" t="n">
        <f aca="false">F149/F139</f>
        <v>0.342590185736321</v>
      </c>
      <c r="G150" s="15" t="n">
        <f aca="false">G149/G139</f>
        <v>0.338610955530462</v>
      </c>
      <c r="H150" s="27" t="n">
        <f aca="false">$G150+(fade_mC-$G150)*1/3</f>
        <v>0.316036891828431</v>
      </c>
      <c r="I150" s="22" t="n">
        <f aca="false">$G150+(fade_mC-$G150)*2/3</f>
        <v>0.2934628281264</v>
      </c>
      <c r="J150" s="22" t="n">
        <f aca="false">$G150+(fade_mC-$G150)*3/3</f>
        <v>0.270888764424369</v>
      </c>
    </row>
    <row r="151" customFormat="false" ht="15" hidden="false" customHeight="false" outlineLevel="0" collapsed="false">
      <c r="A151" s="4" t="s">
        <v>511</v>
      </c>
      <c r="B151" s="4" t="s">
        <v>204</v>
      </c>
      <c r="C151" s="16" t="n">
        <f aca="false">a25_sh</f>
        <v>1.38863683662851</v>
      </c>
      <c r="D151" s="16" t="n">
        <f aca="false">a26_sh</f>
        <v>1.39284103512015</v>
      </c>
      <c r="E151" s="16" t="n">
        <f aca="false">sh_post*(1+sh_g)</f>
        <v>1.394</v>
      </c>
      <c r="F151" s="16" t="n">
        <f aca="false">E151*(1+sh_g)</f>
        <v>1.394</v>
      </c>
      <c r="G151" s="16" t="n">
        <f aca="false">F151*(1+sh_g)</f>
        <v>1.394</v>
      </c>
      <c r="H151" s="28" t="n">
        <f aca="false">G151*(1+sh_g)</f>
        <v>1.394</v>
      </c>
      <c r="I151" s="29" t="n">
        <f aca="false">H151*(1+sh_g)</f>
        <v>1.394</v>
      </c>
      <c r="J151" s="29" t="n">
        <f aca="false">I151*(1+sh_g)</f>
        <v>1.394</v>
      </c>
    </row>
    <row r="152" customFormat="false" ht="15" hidden="false" customHeight="false" outlineLevel="0" collapsed="false">
      <c r="A152" s="0" t="s">
        <v>422</v>
      </c>
      <c r="B152" s="0" t="s">
        <v>140</v>
      </c>
      <c r="C152" s="19" t="n">
        <f aca="false">C149/C151</f>
        <v>6.86428571428571</v>
      </c>
      <c r="D152" s="19" t="n">
        <f aca="false">D149/D151</f>
        <v>14.402589751485</v>
      </c>
      <c r="E152" s="19" t="n">
        <f aca="false">E149/E151</f>
        <v>26.2204405007691</v>
      </c>
      <c r="F152" s="19" t="n">
        <f aca="false">F149/F151</f>
        <v>16.9159650849055</v>
      </c>
      <c r="G152" s="19" t="n">
        <f aca="false">G149/G151</f>
        <v>20.7889900926469</v>
      </c>
      <c r="H152" s="25" t="n">
        <f aca="false">H149/H151</f>
        <v>22.6808680439563</v>
      </c>
      <c r="I152" s="26" t="n">
        <f aca="false">I149/I151</f>
        <v>23.0503433776837</v>
      </c>
      <c r="J152" s="26" t="n">
        <f aca="false">J149/J151</f>
        <v>21.7027848417576</v>
      </c>
    </row>
    <row r="153" customFormat="false" ht="17.15" hidden="false" customHeight="false" outlineLevel="0" collapsed="false">
      <c r="A153" s="0" t="s">
        <v>512</v>
      </c>
      <c r="B153" s="0" t="s">
        <v>66</v>
      </c>
      <c r="D153" s="15" t="n">
        <f aca="false">D152/C152-1</f>
        <v>1.09819205536722</v>
      </c>
      <c r="E153" s="15" t="n">
        <f aca="false">E152/D152-1</f>
        <v>0.820536511363568</v>
      </c>
      <c r="F153" s="15" t="n">
        <f aca="false">F152/E152-1</f>
        <v>-0.354855800976748</v>
      </c>
      <c r="G153" s="15" t="n">
        <f aca="false">G152/F152-1</f>
        <v>0.228956786580113</v>
      </c>
      <c r="H153" s="27" t="n">
        <f aca="false">H152/G152-1</f>
        <v>0.0910038411138887</v>
      </c>
      <c r="I153" s="22" t="n">
        <f aca="false">I152/H152-1</f>
        <v>0.0162901760643066</v>
      </c>
      <c r="J153" s="22" t="n">
        <f aca="false">J152/I152-1</f>
        <v>-0.0584615384615382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515</v>
      </c>
    </row>
    <row r="2" customFormat="false" ht="17.15" hidden="false" customHeight="false" outlineLevel="0" collapsed="false">
      <c r="A2" s="4" t="s">
        <v>516</v>
      </c>
    </row>
    <row r="4" customFormat="false" ht="17.15" hidden="false" customHeight="false" outlineLevel="0" collapsed="false">
      <c r="A4" s="6" t="s">
        <v>517</v>
      </c>
    </row>
    <row r="5" customFormat="false" ht="17.15" hidden="false" customHeight="false" outlineLevel="0" collapsed="false">
      <c r="A5" s="6" t="s">
        <v>518</v>
      </c>
    </row>
    <row r="6" customFormat="false" ht="17.15" hidden="false" customHeight="false" outlineLevel="0" collapsed="false">
      <c r="A6" s="5" t="s">
        <v>22</v>
      </c>
      <c r="B6" s="13" t="s">
        <v>519</v>
      </c>
      <c r="C6" s="13" t="s">
        <v>520</v>
      </c>
      <c r="D6" s="13" t="s">
        <v>521</v>
      </c>
      <c r="E6" s="5" t="s">
        <v>405</v>
      </c>
    </row>
    <row r="7" customFormat="false" ht="17.15" hidden="false" customHeight="false" outlineLevel="0" collapsed="false">
      <c r="A7" s="4" t="s">
        <v>522</v>
      </c>
      <c r="E7" s="0" t="s">
        <v>523</v>
      </c>
    </row>
    <row r="8" customFormat="false" ht="15" hidden="false" customHeight="false" outlineLevel="0" collapsed="false">
      <c r="A8" s="0" t="s">
        <v>524</v>
      </c>
      <c r="B8" s="17" t="n">
        <f aca="false">PL!E13</f>
        <v>25.5765678460746</v>
      </c>
      <c r="C8" s="17" t="n">
        <f aca="false">PL!E25</f>
        <v>26.0058162825376</v>
      </c>
      <c r="D8" s="17" t="n">
        <f aca="false">PL!E37</f>
        <v>26.2204405007691</v>
      </c>
    </row>
    <row r="9" customFormat="false" ht="15" hidden="false" customHeight="false" outlineLevel="0" collapsed="false">
      <c r="A9" s="0" t="s">
        <v>525</v>
      </c>
      <c r="B9" s="17" t="n">
        <f aca="false">PL!F13</f>
        <v>28.0433430212455</v>
      </c>
      <c r="C9" s="17" t="n">
        <f aca="false">PL!F25</f>
        <v>22.9501072797715</v>
      </c>
      <c r="D9" s="17" t="n">
        <f aca="false">PL!F37</f>
        <v>16.9159650849055</v>
      </c>
    </row>
    <row r="10" customFormat="false" ht="15" hidden="false" customHeight="false" outlineLevel="0" collapsed="false">
      <c r="A10" s="0" t="s">
        <v>526</v>
      </c>
      <c r="B10" s="17" t="n">
        <f aca="false">PL!G13</f>
        <v>34.63246635233</v>
      </c>
      <c r="C10" s="17" t="n">
        <f aca="false">PL!G25</f>
        <v>30.0116630662969</v>
      </c>
      <c r="D10" s="17" t="n">
        <f aca="false">PL!G37</f>
        <v>20.7889900926469</v>
      </c>
    </row>
    <row r="11" customFormat="false" ht="15" hidden="false" customHeight="false" outlineLevel="0" collapsed="false">
      <c r="A11" s="0" t="s">
        <v>527</v>
      </c>
      <c r="B11" s="17" t="n">
        <f aca="false">PL!H13</f>
        <v>41.1845895986101</v>
      </c>
      <c r="C11" s="17" t="n">
        <f aca="false">PL!H25</f>
        <v>35.6504312152025</v>
      </c>
      <c r="D11" s="17" t="n">
        <f aca="false">PL!H37</f>
        <v>22.6808680439563</v>
      </c>
    </row>
    <row r="12" customFormat="false" ht="15" hidden="false" customHeight="false" outlineLevel="0" collapsed="false">
      <c r="A12" s="0" t="s">
        <v>528</v>
      </c>
      <c r="B12" s="17" t="n">
        <f aca="false">PL!I13</f>
        <v>46.3159876644044</v>
      </c>
      <c r="C12" s="17" t="n">
        <f aca="false">PL!I25</f>
        <v>39.0481197470524</v>
      </c>
      <c r="D12" s="17" t="n">
        <f aca="false">PL!I37</f>
        <v>23.0503433776837</v>
      </c>
    </row>
    <row r="13" customFormat="false" ht="15" hidden="false" customHeight="false" outlineLevel="0" collapsed="false">
      <c r="A13" s="0" t="s">
        <v>529</v>
      </c>
      <c r="B13" s="17" t="n">
        <f aca="false">PL!J13</f>
        <v>49.0949469242686</v>
      </c>
      <c r="C13" s="17" t="n">
        <f aca="false">PL!J25</f>
        <v>39.1596858034726</v>
      </c>
      <c r="D13" s="17" t="n">
        <f aca="false">PL!J37</f>
        <v>21.7027848417576</v>
      </c>
    </row>
    <row r="14" customFormat="false" ht="17.15" hidden="false" customHeight="false" outlineLevel="0" collapsed="false">
      <c r="A14" s="4" t="s">
        <v>530</v>
      </c>
    </row>
    <row r="15" customFormat="false" ht="17.15" hidden="false" customHeight="false" outlineLevel="0" collapsed="false">
      <c r="A15" s="4" t="s">
        <v>531</v>
      </c>
      <c r="B15" s="15" t="n">
        <f aca="false">IF(tp_roe&lt;=tp_g,0.8,MIN(tp_g/tp_roe,0.8))</f>
        <v>0.0945626477541371</v>
      </c>
      <c r="E15" s="8" t="s">
        <v>532</v>
      </c>
    </row>
    <row r="16" customFormat="false" ht="15" hidden="false" customHeight="false" outlineLevel="0" collapsed="false">
      <c r="A16" s="0" t="s">
        <v>524</v>
      </c>
      <c r="B16" s="17" t="n">
        <f aca="false">B8*(1-$B$15)</f>
        <v>23.1579798700864</v>
      </c>
      <c r="C16" s="17" t="n">
        <f aca="false">C8*(1-$B$15)</f>
        <v>23.5466374378532</v>
      </c>
      <c r="D16" s="17" t="n">
        <f aca="false">D8*(1-$B$15)</f>
        <v>23.7409662217366</v>
      </c>
    </row>
    <row r="17" customFormat="false" ht="15" hidden="false" customHeight="false" outlineLevel="0" collapsed="false">
      <c r="A17" s="0" t="s">
        <v>525</v>
      </c>
      <c r="B17" s="17" t="n">
        <f aca="false">B9*(1-$B$15)</f>
        <v>25.391490253279</v>
      </c>
      <c r="C17" s="17" t="n">
        <f aca="false">C9*(1-$B$15)</f>
        <v>20.7798843691548</v>
      </c>
      <c r="D17" s="17" t="n">
        <f aca="false">D9*(1-$B$15)</f>
        <v>15.3163466371603</v>
      </c>
    </row>
    <row r="18" customFormat="false" ht="15" hidden="false" customHeight="false" outlineLevel="0" collapsed="false">
      <c r="A18" s="0" t="s">
        <v>526</v>
      </c>
      <c r="B18" s="17" t="n">
        <f aca="false">B10*(1-$B$15)</f>
        <v>31.3575286357976</v>
      </c>
      <c r="C18" s="17" t="n">
        <f aca="false">C10*(1-$B$15)</f>
        <v>27.1736807432428</v>
      </c>
      <c r="D18" s="17" t="n">
        <f aca="false">D10*(1-$B$15)</f>
        <v>18.8231281453517</v>
      </c>
    </row>
    <row r="19" customFormat="false" ht="15" hidden="false" customHeight="false" outlineLevel="0" collapsed="false">
      <c r="A19" s="0" t="s">
        <v>527</v>
      </c>
      <c r="B19" s="17" t="n">
        <f aca="false">B11*(1-$B$15)</f>
        <v>37.290065759498</v>
      </c>
      <c r="C19" s="17" t="n">
        <f aca="false">C11*(1-$B$15)</f>
        <v>32.2792320459162</v>
      </c>
      <c r="D19" s="17" t="n">
        <f aca="false">D11*(1-$B$15)</f>
        <v>20.5361051083576</v>
      </c>
    </row>
    <row r="20" customFormat="false" ht="15" hidden="false" customHeight="false" outlineLevel="0" collapsed="false">
      <c r="A20" s="0" t="s">
        <v>528</v>
      </c>
      <c r="B20" s="17" t="n">
        <f aca="false">B12*(1-$B$15)</f>
        <v>41.9362252375103</v>
      </c>
      <c r="C20" s="17" t="n">
        <f aca="false">C12*(1-$B$15)</f>
        <v>35.3556261539505</v>
      </c>
      <c r="D20" s="17" t="n">
        <f aca="false">D12*(1-$B$15)</f>
        <v>20.8706418762479</v>
      </c>
    </row>
    <row r="21" customFormat="false" ht="15" hidden="false" customHeight="false" outlineLevel="0" collapsed="false">
      <c r="A21" s="0" t="s">
        <v>529</v>
      </c>
      <c r="B21" s="17" t="n">
        <f aca="false">B13*(1-$B$15)</f>
        <v>44.4523987517609</v>
      </c>
      <c r="C21" s="17" t="n">
        <f aca="false">C13*(1-$B$15)</f>
        <v>35.4566422286761</v>
      </c>
      <c r="D21" s="17" t="n">
        <f aca="false">D13*(1-$B$15)</f>
        <v>19.6505120434826</v>
      </c>
    </row>
    <row r="22" customFormat="false" ht="17.15" hidden="false" customHeight="false" outlineLevel="0" collapsed="false">
      <c r="A22" s="0" t="s">
        <v>533</v>
      </c>
      <c r="B22" s="19" t="n">
        <f aca="false">SUMPRODUCT(B16:B21,1/(1+tp_r)^{1;2;3;4;5;6})+B21*(1+tp_g)/(tp_r-tp_g)/(1+tp_r)^6</f>
        <v>577.129537603945</v>
      </c>
      <c r="C22" s="19" t="n">
        <f aca="false">SUMPRODUCT(C16:C21,1/(1+tp_r)^{1;2;3;4;5;6})+C21*(1+tp_g)/(tp_r-tp_g)/(1+tp_r)^6</f>
        <v>469.925446111163</v>
      </c>
      <c r="D22" s="19" t="n">
        <f aca="false">SUMPRODUCT(D16:D21,1/(1+tp_r)^{1;2;3;4;5;6})+D21*(1+tp_g)/(tp_r-tp_g)/(1+tp_r)^6</f>
        <v>278.725424013924</v>
      </c>
      <c r="E22" s="8" t="s">
        <v>534</v>
      </c>
    </row>
    <row r="23" customFormat="false" ht="17.15" hidden="false" customHeight="false" outlineLevel="0" collapsed="false">
      <c r="A23" s="0" t="s">
        <v>535</v>
      </c>
      <c r="B23" s="19" t="n">
        <f aca="false">B22*(1+tp_r)</f>
        <v>634.84249136434</v>
      </c>
      <c r="C23" s="19" t="n">
        <f aca="false">C22*(1+tp_r)</f>
        <v>516.91799072228</v>
      </c>
      <c r="D23" s="19" t="n">
        <f aca="false">D22*(1+tp_r)</f>
        <v>306.597966415317</v>
      </c>
    </row>
    <row r="24" customFormat="false" ht="17.15" hidden="false" customHeight="false" outlineLevel="0" collapsed="false">
      <c r="A24" s="0" t="s">
        <v>536</v>
      </c>
      <c r="B24" s="30" t="n">
        <f aca="false">tp_wA*B23+tp_wB*C23+tp_wC*D23</f>
        <v>510.231336053505</v>
      </c>
      <c r="E24" s="8" t="s">
        <v>537</v>
      </c>
    </row>
    <row r="26" customFormat="false" ht="17.15" hidden="false" customHeight="false" outlineLevel="0" collapsed="false">
      <c r="A26" s="6" t="s">
        <v>538</v>
      </c>
    </row>
    <row r="27" customFormat="false" ht="17.15" hidden="false" customHeight="false" outlineLevel="0" collapsed="false">
      <c r="A27" s="5" t="s">
        <v>539</v>
      </c>
      <c r="B27" s="5" t="s">
        <v>540</v>
      </c>
      <c r="C27" s="5" t="s">
        <v>541</v>
      </c>
      <c r="D27" s="5" t="s">
        <v>542</v>
      </c>
      <c r="E27" s="5" t="s">
        <v>543</v>
      </c>
      <c r="F27" s="5" t="s">
        <v>27</v>
      </c>
    </row>
    <row r="28" customFormat="false" ht="17.15" hidden="false" customHeight="false" outlineLevel="0" collapsed="false">
      <c r="A28" s="4" t="s">
        <v>544</v>
      </c>
      <c r="B28" s="0" t="s">
        <v>545</v>
      </c>
      <c r="C28" s="31" t="n">
        <v>14.11</v>
      </c>
      <c r="D28" s="8" t="s">
        <v>546</v>
      </c>
      <c r="E28" s="8" t="s">
        <v>547</v>
      </c>
      <c r="F28" s="8" t="s">
        <v>252</v>
      </c>
    </row>
    <row r="29" customFormat="false" ht="17.15" hidden="false" customHeight="false" outlineLevel="0" collapsed="false">
      <c r="A29" s="4" t="s">
        <v>548</v>
      </c>
      <c r="B29" s="0" t="s">
        <v>549</v>
      </c>
      <c r="C29" s="31" t="n">
        <v>46.53</v>
      </c>
      <c r="D29" s="8" t="s">
        <v>550</v>
      </c>
      <c r="E29" s="4" t="s">
        <v>551</v>
      </c>
      <c r="F29" s="8" t="s">
        <v>252</v>
      </c>
    </row>
    <row r="30" customFormat="false" ht="17.15" hidden="false" customHeight="false" outlineLevel="0" collapsed="false">
      <c r="A30" s="4" t="s">
        <v>552</v>
      </c>
      <c r="B30" s="0" t="s">
        <v>553</v>
      </c>
      <c r="C30" s="31" t="n">
        <v>77.09</v>
      </c>
      <c r="D30" s="8" t="s">
        <v>554</v>
      </c>
      <c r="E30" s="4" t="s">
        <v>551</v>
      </c>
      <c r="F30" s="8" t="s">
        <v>252</v>
      </c>
    </row>
    <row r="31" customFormat="false" ht="17.15" hidden="false" customHeight="false" outlineLevel="0" collapsed="false">
      <c r="A31" s="4" t="s">
        <v>555</v>
      </c>
      <c r="B31" s="0" t="s">
        <v>556</v>
      </c>
      <c r="C31" s="31" t="n">
        <v>45.08</v>
      </c>
      <c r="D31" s="8" t="s">
        <v>557</v>
      </c>
      <c r="E31" s="4" t="s">
        <v>551</v>
      </c>
      <c r="F31" s="8" t="s">
        <v>252</v>
      </c>
    </row>
    <row r="32" customFormat="false" ht="17.15" hidden="false" customHeight="false" outlineLevel="0" collapsed="false">
      <c r="A32" s="4" t="s">
        <v>558</v>
      </c>
      <c r="B32" s="0" t="s">
        <v>559</v>
      </c>
      <c r="C32" s="31" t="n">
        <v>31.74</v>
      </c>
      <c r="D32" s="8" t="s">
        <v>560</v>
      </c>
      <c r="E32" s="4" t="s">
        <v>39</v>
      </c>
      <c r="F32" s="8" t="s">
        <v>252</v>
      </c>
    </row>
    <row r="33" customFormat="false" ht="17.15" hidden="false" customHeight="false" outlineLevel="0" collapsed="false">
      <c r="A33" s="4" t="s">
        <v>561</v>
      </c>
      <c r="B33" s="32" t="n">
        <f aca="false">MEDIAN(C28:C32)</f>
        <v>45.08</v>
      </c>
      <c r="E33" s="8" t="s">
        <v>562</v>
      </c>
    </row>
    <row r="34" customFormat="false" ht="17.15" hidden="false" customHeight="false" outlineLevel="0" collapsed="false">
      <c r="A34" s="0" t="s">
        <v>563</v>
      </c>
      <c r="B34" s="17" t="n">
        <f aca="false">tp_wA*(2/12*B8+10/12*B9)+tp_wB*(2/12*C8+10/12*C9)+tp_wC*(2/12*D8+10/12*D9)</f>
        <v>23.7127024019079</v>
      </c>
      <c r="E34" s="4" t="s">
        <v>564</v>
      </c>
    </row>
    <row r="35" customFormat="false" ht="17.15" hidden="false" customHeight="false" outlineLevel="0" collapsed="false">
      <c r="A35" s="0" t="s">
        <v>565</v>
      </c>
      <c r="B35" s="30" t="n">
        <f aca="false">B33*B34</f>
        <v>1068.96862427801</v>
      </c>
      <c r="E35" s="4" t="s">
        <v>566</v>
      </c>
    </row>
    <row r="37" customFormat="false" ht="17.15" hidden="false" customHeight="false" outlineLevel="0" collapsed="false">
      <c r="A37" s="6" t="s">
        <v>567</v>
      </c>
    </row>
    <row r="38" customFormat="false" ht="15" hidden="false" customHeight="false" outlineLevel="0" collapsed="false">
      <c r="A38" s="5" t="s">
        <v>22</v>
      </c>
      <c r="B38" s="5" t="s">
        <v>568</v>
      </c>
      <c r="C38" s="5"/>
      <c r="D38" s="5"/>
      <c r="E38" s="5" t="s">
        <v>405</v>
      </c>
    </row>
    <row r="39" customFormat="false" ht="17.15" hidden="false" customHeight="false" outlineLevel="0" collapsed="false">
      <c r="A39" s="4" t="s">
        <v>569</v>
      </c>
      <c r="B39" s="30" t="n">
        <f aca="false">tp_w_dcf*B24+(1-tp_w_dcf)*tp_comp_adj</f>
        <v>705.63470328104</v>
      </c>
      <c r="E39" s="8" t="s">
        <v>570</v>
      </c>
    </row>
    <row r="40" customFormat="false" ht="17.15" hidden="false" customHeight="false" outlineLevel="0" collapsed="false">
      <c r="A40" s="0" t="s">
        <v>571</v>
      </c>
      <c r="B40" s="19" t="n">
        <f aca="false">B35</f>
        <v>1068.96862427801</v>
      </c>
    </row>
    <row r="41" customFormat="false" ht="17.15" hidden="false" customHeight="false" outlineLevel="0" collapsed="false">
      <c r="A41" s="4" t="s">
        <v>572</v>
      </c>
      <c r="B41" s="19" t="n">
        <f aca="false">cons_tp</f>
        <v>460.89</v>
      </c>
      <c r="E41" s="4" t="s">
        <v>573</v>
      </c>
    </row>
    <row r="42" customFormat="false" ht="17.15" hidden="false" customHeight="false" outlineLevel="0" collapsed="false">
      <c r="A42" s="4" t="s">
        <v>574</v>
      </c>
      <c r="B42" s="15" t="n">
        <f aca="false">B39/px-1</f>
        <v>1.70358123862468</v>
      </c>
      <c r="E42" s="4" t="s">
        <v>575</v>
      </c>
    </row>
    <row r="43" customFormat="false" ht="17.15" hidden="false" customHeight="false" outlineLevel="0" collapsed="false">
      <c r="A43" s="4" t="s">
        <v>576</v>
      </c>
      <c r="B43" s="15" t="n">
        <f aca="false">B40/px-1</f>
        <v>3.09566522711881</v>
      </c>
    </row>
    <row r="44" customFormat="false" ht="17.15" hidden="false" customHeight="false" outlineLevel="0" collapsed="false">
      <c r="A44" s="4" t="s">
        <v>577</v>
      </c>
      <c r="B44" s="15" t="n">
        <f aca="false">B34/cons_feps-1</f>
        <v>-0.373066826423515</v>
      </c>
      <c r="E44" s="4" t="s">
        <v>578</v>
      </c>
    </row>
    <row r="45" customFormat="false" ht="17.15" hidden="false" customHeight="false" outlineLevel="0" collapsed="false">
      <c r="A45" s="4" t="s">
        <v>579</v>
      </c>
      <c r="B45" s="15" t="n">
        <f aca="false">(cons_tp/cons_feps)/B33-1</f>
        <v>-0.729695312091294</v>
      </c>
      <c r="E45" s="0" t="str">
        <f aca="false">"共識目標價隱含 "&amp;TEXT(cons_tp/cons_feps,"0.0")&amp;"x，同業中位數 "&amp;TEXT(B33,"0.0")&amp;"x"</f>
        <v>共識目標價隱含 12.2x，同業中位數 45.1x</v>
      </c>
    </row>
    <row r="46" customFormat="false" ht="17.15" hidden="false" customHeight="false" outlineLevel="0" collapsed="false">
      <c r="A46" s="4" t="s">
        <v>580</v>
      </c>
      <c r="B46" s="33" t="str">
        <f aca="false">TEXT(D23,"#,##0.00")&amp;"～"&amp;TEXT(B23,"#,##0.00")</f>
        <v>306.60～634.84</v>
      </c>
      <c r="E46" s="8" t="s">
        <v>581</v>
      </c>
    </row>
    <row r="47" customFormat="false" ht="17.15" hidden="false" customHeight="false" outlineLevel="0" collapsed="false">
      <c r="A47" s="4" t="s">
        <v>582</v>
      </c>
      <c r="B47" s="34" t="n">
        <f aca="false">IF(px/B9&gt;MAX($B$102:$C$111),1,IF(px/B9&lt;MIN($B$102:$C$111),0,PERCENTRANK($B$102:$C$111,px/B9)))</f>
        <v>0</v>
      </c>
      <c r="C47" s="34" t="n">
        <f aca="false">IF(px/C9&gt;MAX($B$102:$C$111),1,IF(px/C9&lt;MIN($B$102:$C$111),0,PERCENTRANK($B$102:$C$111,px/C9)))</f>
        <v>0</v>
      </c>
      <c r="D47" s="34" t="n">
        <f aca="false">IF(px/D9&gt;MAX($B$102:$C$111),1,IF(px/D9&lt;MIN($B$102:$C$111),0,PERCENTRANK($B$102:$C$111,px/D9)))</f>
        <v>0.0288</v>
      </c>
      <c r="E47" s="4" t="s">
        <v>583</v>
      </c>
    </row>
    <row r="48" customFormat="false" ht="17.15" hidden="false" customHeight="false" outlineLevel="0" collapsed="false">
      <c r="A48" s="4" t="s">
        <v>584</v>
      </c>
      <c r="B48" s="0" t="s">
        <v>585</v>
      </c>
    </row>
    <row r="49" customFormat="false" ht="17.15" hidden="false" customHeight="false" outlineLevel="0" collapsed="false">
      <c r="A49" s="4" t="s">
        <v>586</v>
      </c>
      <c r="B49" s="33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587</v>
      </c>
    </row>
    <row r="50" customFormat="false" ht="17.15" hidden="false" customHeight="false" outlineLevel="0" collapsed="false">
      <c r="A50" s="4" t="s">
        <v>588</v>
      </c>
      <c r="B50" s="33" t="str">
        <f aca="false">IF(B42&gt;0.5,"強力買進",IF(B42&gt;0.25,"買進",IF(B42&gt;=-0.25,"中立",IF(B42&gt;=-0.5,"放空","強力放空"))))</f>
        <v>強力買進</v>
      </c>
      <c r="E50" s="4" t="s">
        <v>589</v>
      </c>
    </row>
    <row r="51" customFormat="false" ht="15" hidden="false" customHeight="false" outlineLevel="0" collapsed="false">
      <c r="A51" s="1" t="s">
        <v>590</v>
      </c>
    </row>
    <row r="52" customFormat="false" ht="15" hidden="false" customHeight="false" outlineLevel="0" collapsed="false">
      <c r="A52" s="5" t="s">
        <v>22</v>
      </c>
      <c r="B52" s="5" t="s">
        <v>568</v>
      </c>
      <c r="C52" s="5"/>
      <c r="D52" s="5"/>
      <c r="E52" s="5" t="s">
        <v>405</v>
      </c>
    </row>
    <row r="53" customFormat="false" ht="17.15" hidden="false" customHeight="false" outlineLevel="0" collapsed="false">
      <c r="A53" s="4" t="s">
        <v>591</v>
      </c>
      <c r="B53" s="35" t="n">
        <f aca="false">tp_wA*D81+tp_wB*D82+tp_wC*D83</f>
        <v>1145.94570088063</v>
      </c>
      <c r="E53" s="4" t="s">
        <v>592</v>
      </c>
    </row>
    <row r="54" customFormat="false" ht="17.15" hidden="false" customHeight="false" outlineLevel="0" collapsed="false">
      <c r="A54" s="4" t="s">
        <v>593</v>
      </c>
      <c r="B54" s="15" t="n">
        <f aca="false">B53/px-1</f>
        <v>3.39059655509821</v>
      </c>
      <c r="E54" s="4" t="s">
        <v>594</v>
      </c>
    </row>
    <row r="55" customFormat="false" ht="17.15" hidden="false" customHeight="false" outlineLevel="0" collapsed="false">
      <c r="A55" s="4" t="s">
        <v>595</v>
      </c>
      <c r="B55" s="35" t="n">
        <f aca="false">D81</f>
        <v>1177.80094931173</v>
      </c>
      <c r="E55" s="0" t="str">
        <f aca="false">"FY2027 EPS × "&amp;TEXT(C81,"0.0")&amp;"x（"&amp;C75&amp;"，第 3 節）"</f>
        <v>FY2027 EPS × 46.1x（中段，第 3 節）</v>
      </c>
    </row>
    <row r="56" customFormat="false" ht="17.15" hidden="false" customHeight="false" outlineLevel="0" collapsed="false">
      <c r="A56" s="4" t="s">
        <v>596</v>
      </c>
      <c r="B56" s="35" t="n">
        <f aca="false">D82</f>
        <v>1197.56783981086</v>
      </c>
      <c r="E56" s="0" t="str">
        <f aca="false">"FY2027 EPS × "&amp;TEXT(C82,"0.0")&amp;"x（"&amp;C76&amp;"，第 3 節）"</f>
        <v>FY2027 EPS × 46.1x（中段，第 3 節）</v>
      </c>
    </row>
    <row r="57" customFormat="false" ht="17.15" hidden="false" customHeight="false" outlineLevel="0" collapsed="false">
      <c r="A57" s="4" t="s">
        <v>597</v>
      </c>
      <c r="B57" s="35" t="n">
        <f aca="false">D83</f>
        <v>969.107480908426</v>
      </c>
      <c r="E57" s="0" t="str">
        <f aca="false">"FY2027 EPS × "&amp;TEXT(C83,"0.0")&amp;"x（"&amp;C77&amp;"，第 3 節）"</f>
        <v>FY2027 EPS × 37.0x（見頂，第 3 節）</v>
      </c>
    </row>
    <row r="58" customFormat="false" ht="17.15" hidden="false" customHeight="false" outlineLevel="0" collapsed="false">
      <c r="A58" s="4" t="s">
        <v>598</v>
      </c>
      <c r="B58" s="34" t="n">
        <f aca="false">tp_wA</f>
        <v>0.3</v>
      </c>
      <c r="C58" s="34" t="n">
        <f aca="false">tp_wB</f>
        <v>0.5</v>
      </c>
      <c r="D58" s="34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599</v>
      </c>
      <c r="B59" s="0" t="s">
        <v>600</v>
      </c>
    </row>
    <row r="61" customFormat="false" ht="17.15" hidden="false" customHeight="false" outlineLevel="0" collapsed="false">
      <c r="A61" s="6" t="s">
        <v>601</v>
      </c>
    </row>
    <row r="62" customFormat="false" ht="15" hidden="false" customHeight="false" outlineLevel="0" collapsed="false">
      <c r="A62" s="5" t="s">
        <v>22</v>
      </c>
      <c r="B62" s="13" t="s">
        <v>602</v>
      </c>
      <c r="C62" s="13" t="s">
        <v>603</v>
      </c>
      <c r="D62" s="13" t="s">
        <v>604</v>
      </c>
      <c r="E62" s="5" t="s">
        <v>405</v>
      </c>
    </row>
    <row r="63" customFormat="false" ht="17.15" hidden="false" customHeight="false" outlineLevel="0" collapsed="false">
      <c r="A63" s="4" t="s">
        <v>605</v>
      </c>
      <c r="B63" s="17" t="n">
        <f aca="false">px</f>
        <v>261</v>
      </c>
    </row>
    <row r="64" customFormat="false" ht="17.15" hidden="false" customHeight="false" outlineLevel="0" collapsed="false">
      <c r="A64" s="4" t="s">
        <v>606</v>
      </c>
      <c r="B64" s="32" t="n">
        <f aca="false">px/PL!D13</f>
        <v>18.1217409162883</v>
      </c>
      <c r="C64" s="32" t="n">
        <f aca="false">px/PL!D25</f>
        <v>18.1217409162883</v>
      </c>
      <c r="D64" s="32" t="n">
        <f aca="false">px/PL!D37</f>
        <v>18.1217409162883</v>
      </c>
    </row>
    <row r="65" customFormat="false" ht="17.15" hidden="false" customHeight="false" outlineLevel="0" collapsed="false">
      <c r="A65" s="4" t="s">
        <v>607</v>
      </c>
      <c r="B65" s="32" t="n">
        <f aca="false">px/PL!E13</f>
        <v>10.2046530078139</v>
      </c>
      <c r="C65" s="32" t="n">
        <f aca="false">px/PL!E25</f>
        <v>10.0362164049915</v>
      </c>
      <c r="D65" s="32" t="n">
        <f aca="false">px/PL!E37</f>
        <v>9.95406617948864</v>
      </c>
      <c r="E65" s="8" t="s">
        <v>608</v>
      </c>
    </row>
    <row r="66" customFormat="false" ht="17.15" hidden="false" customHeight="false" outlineLevel="0" collapsed="false">
      <c r="A66" s="4" t="s">
        <v>609</v>
      </c>
      <c r="B66" s="32" t="n">
        <f aca="false">px/PL!F13</f>
        <v>9.3070216272813</v>
      </c>
      <c r="C66" s="32" t="n">
        <f aca="false">px/PL!F25</f>
        <v>11.3724958588777</v>
      </c>
      <c r="D66" s="32" t="n">
        <f aca="false">px/PL!F37</f>
        <v>15.4292113213745</v>
      </c>
    </row>
    <row r="67" customFormat="false" ht="17.15" hidden="false" customHeight="false" outlineLevel="0" collapsed="false">
      <c r="A67" s="4" t="s">
        <v>610</v>
      </c>
      <c r="B67" s="32" t="n">
        <f aca="false">px/PL!G13</f>
        <v>7.53628105329669</v>
      </c>
      <c r="C67" s="32" t="n">
        <f aca="false">px/PL!G25</f>
        <v>8.69661902519169</v>
      </c>
      <c r="D67" s="32" t="n">
        <f aca="false">px/PL!G37</f>
        <v>12.5547224197445</v>
      </c>
    </row>
    <row r="68" customFormat="false" ht="17.15" hidden="false" customHeight="false" outlineLevel="0" collapsed="false">
      <c r="A68" s="4" t="s">
        <v>611</v>
      </c>
      <c r="B68" s="32" t="n">
        <f aca="false">px/(cons_eps26*2/12+cons_eps27*10/12)</f>
        <v>10.3366336633663</v>
      </c>
    </row>
    <row r="69" customFormat="false" ht="17.15" hidden="false" customHeight="false" outlineLevel="0" collapsed="false">
      <c r="A69" s="4" t="s">
        <v>612</v>
      </c>
      <c r="B69" s="34" t="n">
        <f aca="false">px/px_hi-1</f>
        <v>-0.681077250177179</v>
      </c>
      <c r="E69" s="8" t="s">
        <v>613</v>
      </c>
    </row>
    <row r="70" customFormat="false" ht="17.15" hidden="false" customHeight="false" outlineLevel="0" collapsed="false">
      <c r="A70" s="4" t="s">
        <v>614</v>
      </c>
      <c r="B70" s="32" t="n">
        <f aca="false">px/((a25_ni-h1_ni/1.9098+h1_ni)/sh_post)</f>
        <v>27.7339930077227</v>
      </c>
      <c r="E70" s="8" t="s">
        <v>615</v>
      </c>
    </row>
    <row r="71" customFormat="false" ht="17.15" hidden="false" customHeight="false" outlineLevel="0" collapsed="false">
      <c r="A71" s="4" t="s">
        <v>616</v>
      </c>
      <c r="B71" s="34" t="n">
        <f aca="false">px/px_0930-1</f>
        <v>-0.329048843187661</v>
      </c>
    </row>
    <row r="73" customFormat="false" ht="17.15" hidden="false" customHeight="false" outlineLevel="0" collapsed="false">
      <c r="A73" s="6" t="s">
        <v>617</v>
      </c>
    </row>
    <row r="74" customFormat="false" ht="17.15" hidden="false" customHeight="false" outlineLevel="0" collapsed="false">
      <c r="A74" s="5" t="s">
        <v>618</v>
      </c>
      <c r="B74" s="5" t="s">
        <v>619</v>
      </c>
      <c r="C74" s="13" t="s">
        <v>620</v>
      </c>
      <c r="D74" s="5" t="s">
        <v>621</v>
      </c>
      <c r="E74" s="5" t="s">
        <v>622</v>
      </c>
      <c r="F74" s="5" t="s">
        <v>405</v>
      </c>
    </row>
    <row r="75" customFormat="false" ht="17.15" hidden="false" customHeight="false" outlineLevel="0" collapsed="false">
      <c r="A75" s="0" t="s">
        <v>602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2" t="n">
        <f aca="false">IF(C75="見頂",pe_peak,IF(C75="谷底",pe_trough,pe_mid))</f>
        <v>46.05</v>
      </c>
      <c r="E75" s="0" t="str">
        <f aca="false">IF(B75=2029,"是：營收到觀測期末仍在增加","否")</f>
        <v>是：營收到觀測期末仍在增加</v>
      </c>
      <c r="F75" s="8" t="s">
        <v>623</v>
      </c>
    </row>
    <row r="76" customFormat="false" ht="15" hidden="false" customHeight="false" outlineLevel="0" collapsed="false">
      <c r="A76" s="0" t="s">
        <v>603</v>
      </c>
      <c r="B76" s="0" t="n">
        <f aca="false">INDEX({2026,2027,2028,2029},MATCH(MAX(PL!D107:G107),PL!D107:G107,0))</f>
        <v>2029</v>
      </c>
      <c r="C76" s="0" t="str">
        <f aca="false">IF(B76=2029,"中段",IF(2027&lt;B76,"中段",IF(2027=B76,"見頂","谷底")))</f>
        <v>中段</v>
      </c>
      <c r="D76" s="32" t="n">
        <f aca="false">IF(C76="見頂",pe_peak,IF(C76="谷底",pe_trough,pe_mid))</f>
        <v>46.05</v>
      </c>
      <c r="E76" s="0" t="str">
        <f aca="false">IF(B76=2029,"是：營收到觀測期末仍在增加","否")</f>
        <v>是：營收到觀測期末仍在增加</v>
      </c>
      <c r="F76" s="4" t="s">
        <v>39</v>
      </c>
    </row>
    <row r="77" customFormat="false" ht="15" hidden="false" customHeight="false" outlineLevel="0" collapsed="false">
      <c r="A77" s="0" t="s">
        <v>604</v>
      </c>
      <c r="B77" s="0" t="n">
        <f aca="false">INDEX({2026,2027,2028,2029},MATCH(MAX(PL!D139:G139),PL!D139:G139,0))</f>
        <v>2027</v>
      </c>
      <c r="C77" s="0" t="str">
        <f aca="false">IF(B77=2029,"中段",IF(2027&lt;B77,"中段",IF(2027=B77,"見頂","谷底")))</f>
        <v>見頂</v>
      </c>
      <c r="D77" s="32" t="n">
        <f aca="false">IF(C77="見頂",pe_peak,IF(C77="谷底",pe_trough,pe_mid))</f>
        <v>36.96</v>
      </c>
      <c r="E77" s="0" t="str">
        <f aca="false">IF(B77=2029,"是：營收到觀測期末仍在增加","否")</f>
        <v>否</v>
      </c>
      <c r="F77" s="4" t="s">
        <v>39</v>
      </c>
    </row>
    <row r="79" customFormat="false" ht="17.15" hidden="false" customHeight="false" outlineLevel="0" collapsed="false">
      <c r="A79" s="6" t="s">
        <v>624</v>
      </c>
    </row>
    <row r="80" customFormat="false" ht="17.15" hidden="false" customHeight="false" outlineLevel="0" collapsed="false">
      <c r="A80" s="5" t="s">
        <v>618</v>
      </c>
      <c r="B80" s="13" t="s">
        <v>625</v>
      </c>
      <c r="C80" s="5" t="s">
        <v>626</v>
      </c>
      <c r="D80" s="5" t="s">
        <v>627</v>
      </c>
      <c r="E80" s="5" t="s">
        <v>628</v>
      </c>
      <c r="F80" s="5" t="s">
        <v>629</v>
      </c>
    </row>
    <row r="81" customFormat="false" ht="15" hidden="false" customHeight="false" outlineLevel="0" collapsed="false">
      <c r="A81" s="9" t="s">
        <v>602</v>
      </c>
      <c r="B81" s="36" t="n">
        <f aca="false">PL!E13</f>
        <v>25.5765678460746</v>
      </c>
      <c r="C81" s="37" t="n">
        <f aca="false">D75</f>
        <v>46.05</v>
      </c>
      <c r="D81" s="38" t="n">
        <f aca="false">B81*C81</f>
        <v>1177.80094931173</v>
      </c>
      <c r="E81" s="39" t="n">
        <f aca="false">D81/px-1</f>
        <v>3.51264731537063</v>
      </c>
      <c r="F81" s="37" t="n">
        <f aca="false">px/B81</f>
        <v>10.2046530078139</v>
      </c>
    </row>
    <row r="82" customFormat="false" ht="15" hidden="false" customHeight="false" outlineLevel="0" collapsed="false">
      <c r="A82" s="9" t="s">
        <v>603</v>
      </c>
      <c r="B82" s="36" t="n">
        <f aca="false">PL!E25</f>
        <v>26.0058162825376</v>
      </c>
      <c r="C82" s="37" t="n">
        <f aca="false">D76</f>
        <v>46.05</v>
      </c>
      <c r="D82" s="38" t="n">
        <f aca="false">B82*C82</f>
        <v>1197.56783981086</v>
      </c>
      <c r="E82" s="39" t="n">
        <f aca="false">D82/px-1</f>
        <v>3.58838252801094</v>
      </c>
      <c r="F82" s="37" t="n">
        <f aca="false">px/B82</f>
        <v>10.0362164049915</v>
      </c>
    </row>
    <row r="83" customFormat="false" ht="15" hidden="false" customHeight="false" outlineLevel="0" collapsed="false">
      <c r="A83" s="9" t="s">
        <v>604</v>
      </c>
      <c r="B83" s="36" t="n">
        <f aca="false">PL!E37</f>
        <v>26.2204405007691</v>
      </c>
      <c r="C83" s="37" t="n">
        <f aca="false">D77</f>
        <v>36.96</v>
      </c>
      <c r="D83" s="38" t="n">
        <f aca="false">B83*C83</f>
        <v>969.107480908426</v>
      </c>
      <c r="E83" s="39" t="n">
        <f aca="false">D83/px-1</f>
        <v>2.71305548240776</v>
      </c>
      <c r="F83" s="37" t="n">
        <f aca="false">px/B83</f>
        <v>9.95406617948864</v>
      </c>
    </row>
    <row r="85" customFormat="false" ht="17.15" hidden="false" customHeight="false" outlineLevel="0" collapsed="false">
      <c r="A85" s="6" t="s">
        <v>630</v>
      </c>
    </row>
    <row r="86" customFormat="false" ht="17.15" hidden="false" customHeight="false" outlineLevel="0" collapsed="false">
      <c r="A86" s="5" t="s">
        <v>631</v>
      </c>
      <c r="B86" s="5" t="s">
        <v>632</v>
      </c>
      <c r="C86" s="5" t="s">
        <v>633</v>
      </c>
      <c r="D86" s="5" t="s">
        <v>634</v>
      </c>
      <c r="E86" s="5" t="s">
        <v>635</v>
      </c>
      <c r="F86" s="5" t="s">
        <v>636</v>
      </c>
    </row>
    <row r="87" customFormat="false" ht="15" hidden="false" customHeight="false" outlineLevel="0" collapsed="false">
      <c r="A87" s="31" t="n">
        <v>8</v>
      </c>
      <c r="B87" s="17" t="n">
        <f aca="false">px/A87</f>
        <v>32.625</v>
      </c>
      <c r="C87" s="17" t="n">
        <f aca="false">PL!F13</f>
        <v>28.0433430212455</v>
      </c>
      <c r="D87" s="34" t="n">
        <f aca="false">B87/C87-1</f>
        <v>0.163377703410162</v>
      </c>
      <c r="E87" s="17" t="n">
        <f aca="false">PL!F37</f>
        <v>16.9159650849055</v>
      </c>
      <c r="F87" s="34" t="n">
        <f aca="false">B87/E87-1</f>
        <v>0.928651415171813</v>
      </c>
    </row>
    <row r="88" customFormat="false" ht="15" hidden="false" customHeight="false" outlineLevel="0" collapsed="false">
      <c r="A88" s="31" t="n">
        <v>10</v>
      </c>
      <c r="B88" s="17" t="n">
        <f aca="false">px/A88</f>
        <v>26.1</v>
      </c>
      <c r="C88" s="17" t="n">
        <f aca="false">PL!F13</f>
        <v>28.0433430212455</v>
      </c>
      <c r="D88" s="34" t="n">
        <f aca="false">B88/C88-1</f>
        <v>-0.06929783727187</v>
      </c>
      <c r="E88" s="17" t="n">
        <f aca="false">PL!F37</f>
        <v>16.9159650849055</v>
      </c>
      <c r="F88" s="34" t="n">
        <f aca="false">B88/E88-1</f>
        <v>0.54292113213745</v>
      </c>
    </row>
    <row r="89" customFormat="false" ht="15" hidden="false" customHeight="false" outlineLevel="0" collapsed="false">
      <c r="A89" s="31" t="n">
        <v>15</v>
      </c>
      <c r="B89" s="17" t="n">
        <f aca="false">px/A89</f>
        <v>17.4</v>
      </c>
      <c r="C89" s="17" t="n">
        <f aca="false">PL!F13</f>
        <v>28.0433430212455</v>
      </c>
      <c r="D89" s="34" t="n">
        <f aca="false">B89/C89-1</f>
        <v>-0.37953189151458</v>
      </c>
      <c r="E89" s="17" t="n">
        <f aca="false">PL!F37</f>
        <v>16.9159650849055</v>
      </c>
      <c r="F89" s="34" t="n">
        <f aca="false">B89/E89-1</f>
        <v>0.0286140880916332</v>
      </c>
    </row>
    <row r="90" customFormat="false" ht="15" hidden="false" customHeight="false" outlineLevel="0" collapsed="false">
      <c r="A90" s="31" t="n">
        <v>20</v>
      </c>
      <c r="B90" s="17" t="n">
        <f aca="false">px/A90</f>
        <v>13.05</v>
      </c>
      <c r="C90" s="17" t="n">
        <f aca="false">PL!F13</f>
        <v>28.0433430212455</v>
      </c>
      <c r="D90" s="34" t="n">
        <f aca="false">B90/C90-1</f>
        <v>-0.534648918635935</v>
      </c>
      <c r="E90" s="17" t="n">
        <f aca="false">PL!F37</f>
        <v>16.9159650849055</v>
      </c>
      <c r="F90" s="34" t="n">
        <f aca="false">B90/E90-1</f>
        <v>-0.228539433931275</v>
      </c>
    </row>
    <row r="91" customFormat="false" ht="15" hidden="false" customHeight="false" outlineLevel="0" collapsed="false">
      <c r="A91" s="32" t="n">
        <f aca="false">pe_peak</f>
        <v>36.96</v>
      </c>
      <c r="B91" s="17" t="n">
        <f aca="false">px/A91</f>
        <v>7.06168831168831</v>
      </c>
      <c r="C91" s="17" t="n">
        <f aca="false">PL!F13</f>
        <v>28.0433430212455</v>
      </c>
      <c r="D91" s="34" t="n">
        <f aca="false">B91/C91-1</f>
        <v>-0.748186644283515</v>
      </c>
      <c r="E91" s="17" t="n">
        <f aca="false">PL!F37</f>
        <v>16.9159650849055</v>
      </c>
      <c r="F91" s="34" t="n">
        <f aca="false">B91/E91-1</f>
        <v>-0.582542983729045</v>
      </c>
    </row>
    <row r="92" customFormat="false" ht="17.15" hidden="false" customHeight="false" outlineLevel="0" collapsed="false">
      <c r="A92" s="4" t="s">
        <v>637</v>
      </c>
    </row>
    <row r="94" customFormat="false" ht="17.15" hidden="false" customHeight="false" outlineLevel="0" collapsed="false">
      <c r="A94" s="4" t="s">
        <v>638</v>
      </c>
    </row>
    <row r="97" customFormat="false" ht="17.15" hidden="false" customHeight="false" outlineLevel="0" collapsed="false">
      <c r="A97" s="6" t="s">
        <v>639</v>
      </c>
    </row>
    <row r="98" customFormat="false" ht="17.15" hidden="false" customHeight="false" outlineLevel="0" collapsed="false">
      <c r="A98" s="4" t="s">
        <v>640</v>
      </c>
    </row>
    <row r="100" customFormat="false" ht="17.15" hidden="false" customHeight="false" outlineLevel="0" collapsed="false">
      <c r="A100" s="6" t="s">
        <v>641</v>
      </c>
    </row>
    <row r="101" customFormat="false" ht="17.15" hidden="false" customHeight="false" outlineLevel="0" collapsed="false">
      <c r="A101" s="5" t="s">
        <v>642</v>
      </c>
      <c r="B101" s="13" t="s">
        <v>643</v>
      </c>
      <c r="C101" s="13" t="s">
        <v>644</v>
      </c>
      <c r="D101" s="5" t="s">
        <v>645</v>
      </c>
    </row>
    <row r="102" customFormat="false" ht="17.15" hidden="false" customHeight="false" outlineLevel="0" collapsed="false">
      <c r="A102" s="0" t="s">
        <v>646</v>
      </c>
      <c r="B102" s="40" t="n">
        <v>110</v>
      </c>
      <c r="D102" s="8" t="s">
        <v>647</v>
      </c>
    </row>
    <row r="103" customFormat="false" ht="15" hidden="false" customHeight="false" outlineLevel="0" collapsed="false">
      <c r="A103" s="0" t="s">
        <v>648</v>
      </c>
      <c r="B103" s="40" t="n">
        <v>82.4</v>
      </c>
    </row>
    <row r="104" customFormat="false" ht="15" hidden="false" customHeight="false" outlineLevel="0" collapsed="false">
      <c r="A104" s="0" t="s">
        <v>649</v>
      </c>
      <c r="B104" s="40" t="n">
        <v>194</v>
      </c>
    </row>
    <row r="105" customFormat="false" ht="15" hidden="false" customHeight="false" outlineLevel="0" collapsed="false">
      <c r="A105" s="0" t="s">
        <v>650</v>
      </c>
      <c r="B105" s="40" t="n">
        <v>59.2</v>
      </c>
    </row>
    <row r="106" customFormat="false" ht="15" hidden="false" customHeight="false" outlineLevel="0" collapsed="false">
      <c r="A106" s="0" t="s">
        <v>651</v>
      </c>
      <c r="B106" s="40" t="n">
        <v>54.5</v>
      </c>
    </row>
    <row r="107" customFormat="false" ht="15" hidden="false" customHeight="false" outlineLevel="0" collapsed="false">
      <c r="A107" s="0" t="s">
        <v>652</v>
      </c>
      <c r="B107" s="40" t="n">
        <v>40.8</v>
      </c>
      <c r="C107" s="40" t="n">
        <v>30</v>
      </c>
    </row>
    <row r="108" customFormat="false" ht="15" hidden="false" customHeight="false" outlineLevel="0" collapsed="false">
      <c r="A108" s="0" t="s">
        <v>653</v>
      </c>
      <c r="B108" s="40" t="n">
        <v>18.6</v>
      </c>
      <c r="C108" s="40" t="n">
        <v>13.29</v>
      </c>
    </row>
    <row r="109" customFormat="false" ht="15" hidden="false" customHeight="false" outlineLevel="0" collapsed="false">
      <c r="A109" s="0" t="s">
        <v>654</v>
      </c>
      <c r="B109" s="40" t="n">
        <v>70.8</v>
      </c>
      <c r="C109" s="40" t="n">
        <v>50.86</v>
      </c>
    </row>
    <row r="110" customFormat="false" ht="15" hidden="false" customHeight="false" outlineLevel="0" collapsed="false">
      <c r="A110" s="0" t="s">
        <v>655</v>
      </c>
      <c r="B110" s="40" t="n">
        <v>41.9</v>
      </c>
      <c r="C110" s="40" t="n">
        <v>28.87</v>
      </c>
    </row>
    <row r="111" customFormat="false" ht="15" hidden="false" customHeight="false" outlineLevel="0" collapsed="false">
      <c r="A111" s="0" t="s">
        <v>656</v>
      </c>
      <c r="B111" s="40" t="n">
        <v>65</v>
      </c>
      <c r="C111" s="40" t="n">
        <v>44.93</v>
      </c>
    </row>
    <row r="112" customFormat="false" ht="17.15" hidden="false" customHeight="false" outlineLevel="0" collapsed="false">
      <c r="A112" s="0" t="s">
        <v>657</v>
      </c>
      <c r="B112" s="17" t="n">
        <f aca="false">PERCENTILE(B102:B111,0.25)</f>
        <v>45.05</v>
      </c>
      <c r="C112" s="17" t="n">
        <f aca="false">PERCENTILE(C102:C111,0.25)</f>
        <v>28.87</v>
      </c>
    </row>
    <row r="113" customFormat="false" ht="15" hidden="false" customHeight="false" outlineLevel="0" collapsed="false">
      <c r="A113" s="4" t="s">
        <v>658</v>
      </c>
      <c r="B113" s="17" t="n">
        <f aca="false">MEDIAN(B102:B111)</f>
        <v>62.1</v>
      </c>
      <c r="C113" s="17" t="n">
        <f aca="false">MEDIAN(C102:C111)</f>
        <v>30</v>
      </c>
    </row>
    <row r="114" customFormat="false" ht="17.15" hidden="false" customHeight="false" outlineLevel="0" collapsed="false">
      <c r="A114" s="0" t="s">
        <v>659</v>
      </c>
      <c r="B114" s="17" t="n">
        <f aca="false">PERCENTILE(B102:B111,0.75)</f>
        <v>79.5</v>
      </c>
      <c r="C114" s="17" t="n">
        <f aca="false">PERCENTILE(C102:C111,0.75)</f>
        <v>44.93</v>
      </c>
    </row>
    <row r="115" customFormat="false" ht="15" hidden="false" customHeight="false" outlineLevel="0" collapsed="false">
      <c r="A115" s="4" t="s">
        <v>660</v>
      </c>
      <c r="B115" s="17" t="n">
        <f aca="false">MIN(B102:B111)</f>
        <v>18.6</v>
      </c>
      <c r="C115" s="17" t="n">
        <f aca="false">MIN(C102:C111)</f>
        <v>13.29</v>
      </c>
    </row>
    <row r="116" customFormat="false" ht="15" hidden="false" customHeight="false" outlineLevel="0" collapsed="false">
      <c r="A116" s="4" t="s">
        <v>661</v>
      </c>
      <c r="B116" s="17" t="n">
        <f aca="false">MAX(B102:B111)</f>
        <v>194</v>
      </c>
      <c r="C116" s="17" t="n">
        <f aca="false">MAX(C102:C111)</f>
        <v>50.86</v>
      </c>
    </row>
    <row r="117" customFormat="false" ht="17.15" hidden="false" customHeight="false" outlineLevel="0" collapsed="false">
      <c r="A117" s="1" t="s">
        <v>662</v>
      </c>
      <c r="B117" s="17" t="n">
        <f aca="false">ROUND(AVERAGE(B112,C112),2)</f>
        <v>36.96</v>
      </c>
    </row>
    <row r="118" customFormat="false" ht="17.15" hidden="false" customHeight="false" outlineLevel="0" collapsed="false">
      <c r="A118" s="1" t="s">
        <v>663</v>
      </c>
      <c r="B118" s="17" t="n">
        <f aca="false">ROUND(AVERAGE(B113,C113),2)</f>
        <v>46.05</v>
      </c>
    </row>
    <row r="119" customFormat="false" ht="17.15" hidden="false" customHeight="false" outlineLevel="0" collapsed="false">
      <c r="A119" s="1" t="s">
        <v>664</v>
      </c>
      <c r="B119" s="17" t="n">
        <f aca="false">ROUND(AVERAGE(B114,C114),2)</f>
        <v>62.22</v>
      </c>
    </row>
    <row r="120" customFormat="false" ht="17.15" hidden="false" customHeight="false" outlineLevel="0" collapsed="false">
      <c r="A120" s="1" t="s">
        <v>665</v>
      </c>
      <c r="B120" s="17" t="n">
        <f aca="false">ROUND(MIN(B115,C115),2)</f>
        <v>13.29</v>
      </c>
    </row>
    <row r="121" customFormat="false" ht="17.15" hidden="false" customHeight="false" outlineLevel="0" collapsed="false">
      <c r="A121" s="1" t="s">
        <v>666</v>
      </c>
      <c r="B121" s="17" t="n">
        <f aca="false">ROUND(MAX(B116,C116),2)</f>
        <v>194</v>
      </c>
    </row>
    <row r="123" customFormat="false" ht="17.15" hidden="false" customHeight="false" outlineLevel="0" collapsed="false">
      <c r="A123" s="6" t="s">
        <v>667</v>
      </c>
    </row>
    <row r="124" customFormat="false" ht="17.15" hidden="false" customHeight="false" outlineLevel="0" collapsed="false">
      <c r="A124" s="5" t="s">
        <v>668</v>
      </c>
      <c r="B124" s="5" t="s">
        <v>669</v>
      </c>
      <c r="C124" s="5" t="s">
        <v>670</v>
      </c>
      <c r="D124" s="5" t="s">
        <v>25</v>
      </c>
      <c r="E124" s="5" t="s">
        <v>671</v>
      </c>
      <c r="F124" s="5" t="s">
        <v>627</v>
      </c>
      <c r="G124" s="5" t="s">
        <v>672</v>
      </c>
      <c r="H124" s="5" t="s">
        <v>673</v>
      </c>
    </row>
    <row r="125" customFormat="false" ht="17.15" hidden="false" customHeight="false" outlineLevel="0" collapsed="false">
      <c r="A125" s="4" t="s">
        <v>674</v>
      </c>
      <c r="B125" s="0" t="s">
        <v>675</v>
      </c>
      <c r="C125" s="17" t="n">
        <f aca="false">B117</f>
        <v>36.96</v>
      </c>
      <c r="D125" s="8" t="s">
        <v>676</v>
      </c>
      <c r="E125" s="19" t="n">
        <f aca="false">B81</f>
        <v>25.5765678460746</v>
      </c>
      <c r="F125" s="18" t="n">
        <f aca="false">C125*E125</f>
        <v>945.309947590917</v>
      </c>
      <c r="G125" s="15" t="n">
        <f aca="false">F125/px-1</f>
        <v>2.62187719383493</v>
      </c>
      <c r="H125" s="17" t="n">
        <f aca="false">px/E125</f>
        <v>10.2046530078139</v>
      </c>
    </row>
    <row r="126" customFormat="false" ht="17.15" hidden="false" customHeight="false" outlineLevel="0" collapsed="false">
      <c r="A126" s="4" t="s">
        <v>677</v>
      </c>
      <c r="B126" s="4" t="s">
        <v>678</v>
      </c>
      <c r="C126" s="17" t="n">
        <f aca="false">B118</f>
        <v>46.05</v>
      </c>
      <c r="D126" s="8" t="s">
        <v>676</v>
      </c>
      <c r="E126" s="19" t="n">
        <f aca="false">B81</f>
        <v>25.5765678460746</v>
      </c>
      <c r="F126" s="18" t="n">
        <f aca="false">C126*E126</f>
        <v>1177.80094931173</v>
      </c>
      <c r="G126" s="15" t="n">
        <f aca="false">F126/px-1</f>
        <v>3.51264731537063</v>
      </c>
      <c r="H126" s="17" t="n">
        <f aca="false">px/E126</f>
        <v>10.2046530078139</v>
      </c>
    </row>
    <row r="127" customFormat="false" ht="17.15" hidden="false" customHeight="false" outlineLevel="0" collapsed="false">
      <c r="A127" s="4" t="s">
        <v>679</v>
      </c>
      <c r="B127" s="0" t="s">
        <v>680</v>
      </c>
      <c r="C127" s="17" t="n">
        <f aca="false">B119</f>
        <v>62.22</v>
      </c>
      <c r="D127" s="8" t="s">
        <v>676</v>
      </c>
      <c r="E127" s="19" t="n">
        <f aca="false">B81</f>
        <v>25.5765678460746</v>
      </c>
      <c r="F127" s="18" t="n">
        <f aca="false">C127*E127</f>
        <v>1591.37405138276</v>
      </c>
      <c r="G127" s="15" t="n">
        <f aca="false">F127/px-1</f>
        <v>5.09721858767341</v>
      </c>
      <c r="H127" s="17" t="n">
        <f aca="false">px/E127</f>
        <v>10.2046530078139</v>
      </c>
    </row>
    <row r="130" customFormat="false" ht="17.15" hidden="false" customHeight="false" outlineLevel="0" collapsed="false">
      <c r="A130" s="6" t="s">
        <v>681</v>
      </c>
    </row>
    <row r="131" customFormat="false" ht="17.15" hidden="false" customHeight="false" outlineLevel="0" collapsed="false">
      <c r="A131" s="4" t="s">
        <v>682</v>
      </c>
    </row>
    <row r="132" customFormat="false" ht="17.15" hidden="false" customHeight="false" outlineLevel="0" collapsed="false">
      <c r="A132" s="5" t="s">
        <v>683</v>
      </c>
      <c r="B132" s="5" t="s">
        <v>540</v>
      </c>
      <c r="C132" s="5" t="s">
        <v>684</v>
      </c>
      <c r="D132" s="13" t="s">
        <v>685</v>
      </c>
      <c r="E132" s="13" t="s">
        <v>686</v>
      </c>
      <c r="F132" s="13" t="s">
        <v>687</v>
      </c>
      <c r="G132" s="13" t="s">
        <v>688</v>
      </c>
      <c r="H132" s="13" t="s">
        <v>689</v>
      </c>
      <c r="I132" s="13" t="s">
        <v>690</v>
      </c>
      <c r="J132" s="13" t="s">
        <v>691</v>
      </c>
      <c r="K132" s="13" t="s">
        <v>692</v>
      </c>
      <c r="L132" s="13" t="s">
        <v>693</v>
      </c>
      <c r="M132" s="13" t="s">
        <v>694</v>
      </c>
      <c r="N132" s="5" t="s">
        <v>695</v>
      </c>
      <c r="O132" s="13" t="s">
        <v>696</v>
      </c>
      <c r="P132" s="5" t="s">
        <v>697</v>
      </c>
      <c r="Q132" s="5" t="s">
        <v>543</v>
      </c>
    </row>
    <row r="133" customFormat="false" ht="17.15" hidden="false" customHeight="false" outlineLevel="0" collapsed="false">
      <c r="A133" s="4" t="s">
        <v>698</v>
      </c>
      <c r="B133" s="0" t="s">
        <v>699</v>
      </c>
      <c r="C133" s="4" t="s">
        <v>700</v>
      </c>
      <c r="E133" s="40" t="n">
        <v>26.946</v>
      </c>
      <c r="F133" s="40" t="n">
        <v>35.234</v>
      </c>
      <c r="G133" s="40" t="n">
        <v>42.149</v>
      </c>
      <c r="H133" s="40" t="n">
        <v>22.452</v>
      </c>
      <c r="I133" s="40" t="n">
        <v>14.702</v>
      </c>
      <c r="J133" s="40" t="n">
        <v>24.601</v>
      </c>
      <c r="K133" s="40" t="n">
        <v>32.1055</v>
      </c>
      <c r="L133" s="40" t="n">
        <v>20.597</v>
      </c>
      <c r="M133" s="40" t="n">
        <v>23.004</v>
      </c>
      <c r="N133" s="8" t="n">
        <f aca="false">COUNT(D133:M133)</f>
        <v>9</v>
      </c>
      <c r="O133" s="17" t="n">
        <f aca="false">IF(N133&gt;0,MEDIAN(D133:M133),"")</f>
        <v>24.601</v>
      </c>
      <c r="P133" s="17" t="n">
        <f aca="false">IF(N133&gt;=7,O133,"")</f>
        <v>24.601</v>
      </c>
      <c r="Q133" s="8" t="s">
        <v>701</v>
      </c>
    </row>
    <row r="134" customFormat="false" ht="17.15" hidden="false" customHeight="false" outlineLevel="0" collapsed="false">
      <c r="A134" s="4" t="s">
        <v>544</v>
      </c>
      <c r="B134" s="0" t="s">
        <v>545</v>
      </c>
      <c r="C134" s="4" t="s">
        <v>702</v>
      </c>
      <c r="D134" s="40" t="n">
        <v>46.1005</v>
      </c>
      <c r="E134" s="40" t="n">
        <v>34.3515</v>
      </c>
      <c r="F134" s="40" t="n">
        <v>24.074</v>
      </c>
      <c r="G134" s="40" t="n">
        <v>39.352</v>
      </c>
      <c r="H134" s="40" t="n">
        <v>24.0975</v>
      </c>
      <c r="I134" s="40" t="n">
        <v>19.714</v>
      </c>
      <c r="J134" s="40" t="n">
        <v>32.9825</v>
      </c>
      <c r="K134" s="40" t="n">
        <v>22.522</v>
      </c>
      <c r="L134" s="40" t="n">
        <v>15.7285</v>
      </c>
      <c r="M134" s="40" t="n">
        <v>27.0335</v>
      </c>
      <c r="N134" s="8" t="n">
        <f aca="false">COUNT(D134:M134)</f>
        <v>10</v>
      </c>
      <c r="O134" s="17" t="n">
        <f aca="false">IF(N134&gt;0,MEDIAN(D134:M134),"")</f>
        <v>25.5655</v>
      </c>
      <c r="P134" s="17" t="n">
        <f aca="false">IF(N134&gt;=7,O134,"")</f>
        <v>25.5655</v>
      </c>
      <c r="Q134" s="8" t="s">
        <v>703</v>
      </c>
    </row>
    <row r="135" customFormat="false" ht="17.15" hidden="false" customHeight="false" outlineLevel="0" collapsed="false">
      <c r="A135" s="4" t="s">
        <v>548</v>
      </c>
      <c r="B135" s="0" t="s">
        <v>549</v>
      </c>
      <c r="C135" s="4" t="s">
        <v>702</v>
      </c>
      <c r="D135" s="40" t="n">
        <v>23.082</v>
      </c>
      <c r="E135" s="40" t="n">
        <v>24.47</v>
      </c>
      <c r="F135" s="40" t="n">
        <v>31.628</v>
      </c>
      <c r="G135" s="40" t="n">
        <v>36.2825</v>
      </c>
      <c r="H135" s="40" t="n">
        <v>24.1435</v>
      </c>
      <c r="I135" s="40" t="n">
        <v>23.0925</v>
      </c>
      <c r="J135" s="40" t="n">
        <v>40.117</v>
      </c>
      <c r="K135" s="40" t="n">
        <v>30.956</v>
      </c>
      <c r="L135" s="40" t="n">
        <v>24.42</v>
      </c>
      <c r="M135" s="40" t="n">
        <v>54.792</v>
      </c>
      <c r="N135" s="8" t="n">
        <f aca="false">COUNT(D135:M135)</f>
        <v>10</v>
      </c>
      <c r="O135" s="17" t="n">
        <f aca="false">IF(N135&gt;0,MEDIAN(D135:M135),"")</f>
        <v>27.713</v>
      </c>
      <c r="P135" s="17" t="n">
        <f aca="false">IF(N135&gt;=7,O135,"")</f>
        <v>27.713</v>
      </c>
      <c r="Q135" s="8" t="s">
        <v>704</v>
      </c>
    </row>
    <row r="136" customFormat="false" ht="17.15" hidden="false" customHeight="false" outlineLevel="0" collapsed="false">
      <c r="A136" s="4" t="s">
        <v>552</v>
      </c>
      <c r="B136" s="0" t="s">
        <v>553</v>
      </c>
      <c r="C136" s="4" t="s">
        <v>702</v>
      </c>
      <c r="D136" s="40" t="n">
        <v>33.7905</v>
      </c>
      <c r="E136" s="40" t="n">
        <v>33.793</v>
      </c>
      <c r="F136" s="40" t="n">
        <v>36.255</v>
      </c>
      <c r="G136" s="40" t="n">
        <v>39.1355</v>
      </c>
      <c r="H136" s="40" t="n">
        <v>26.386</v>
      </c>
      <c r="I136" s="40" t="n">
        <v>18.262</v>
      </c>
      <c r="J136" s="40" t="n">
        <v>25.7495</v>
      </c>
      <c r="K136" s="40" t="n">
        <v>30.802</v>
      </c>
      <c r="L136" s="40" t="n">
        <v>35.001</v>
      </c>
      <c r="M136" s="40" t="n">
        <v>45.0685</v>
      </c>
      <c r="N136" s="8" t="n">
        <f aca="false">COUNT(D136:M136)</f>
        <v>10</v>
      </c>
      <c r="O136" s="17" t="n">
        <f aca="false">IF(N136&gt;0,MEDIAN(D136:M136),"")</f>
        <v>33.79175</v>
      </c>
      <c r="P136" s="17" t="n">
        <f aca="false">IF(N136&gt;=7,O136,"")</f>
        <v>33.79175</v>
      </c>
      <c r="Q136" s="8" t="s">
        <v>705</v>
      </c>
    </row>
    <row r="137" customFormat="false" ht="17.15" hidden="false" customHeight="false" outlineLevel="0" collapsed="false">
      <c r="A137" s="4" t="s">
        <v>555</v>
      </c>
      <c r="B137" s="0" t="s">
        <v>556</v>
      </c>
      <c r="C137" s="4" t="s">
        <v>702</v>
      </c>
      <c r="D137" s="40" t="n">
        <v>43.818</v>
      </c>
      <c r="E137" s="40" t="n">
        <v>34.352</v>
      </c>
      <c r="F137" s="40" t="n">
        <v>35.312</v>
      </c>
      <c r="G137" s="40" t="n">
        <v>31.92</v>
      </c>
      <c r="H137" s="40" t="n">
        <v>29.1815</v>
      </c>
      <c r="I137" s="40" t="n">
        <v>18.645</v>
      </c>
      <c r="J137" s="40" t="n">
        <v>21.8975</v>
      </c>
      <c r="K137" s="40" t="n">
        <v>20.955</v>
      </c>
      <c r="L137" s="40" t="n">
        <v>24.4875</v>
      </c>
      <c r="M137" s="40" t="n">
        <v>38.209</v>
      </c>
      <c r="N137" s="8" t="n">
        <f aca="false">COUNT(D137:M137)</f>
        <v>10</v>
      </c>
      <c r="O137" s="17" t="n">
        <f aca="false">IF(N137&gt;0,MEDIAN(D137:M137),"")</f>
        <v>30.55075</v>
      </c>
      <c r="P137" s="17" t="n">
        <f aca="false">IF(N137&gt;=7,O137,"")</f>
        <v>30.55075</v>
      </c>
      <c r="Q137" s="8" t="s">
        <v>706</v>
      </c>
    </row>
    <row r="138" customFormat="false" ht="17.15" hidden="false" customHeight="false" outlineLevel="0" collapsed="false">
      <c r="A138" s="4" t="s">
        <v>558</v>
      </c>
      <c r="B138" s="0" t="s">
        <v>559</v>
      </c>
      <c r="C138" s="4" t="s">
        <v>702</v>
      </c>
      <c r="F138" s="40" t="n">
        <v>22.46</v>
      </c>
      <c r="G138" s="40" t="n">
        <v>16.245</v>
      </c>
      <c r="H138" s="40" t="n">
        <v>29.186</v>
      </c>
      <c r="I138" s="40" t="n">
        <v>29.186</v>
      </c>
      <c r="J138" s="40" t="n">
        <v>29.186</v>
      </c>
      <c r="K138" s="40" t="n">
        <v>29.186</v>
      </c>
      <c r="L138" s="40" t="n">
        <v>29.186</v>
      </c>
      <c r="M138" s="40" t="n">
        <v>23.474</v>
      </c>
      <c r="N138" s="8" t="n">
        <f aca="false">COUNT(D138:M138)</f>
        <v>8</v>
      </c>
      <c r="O138" s="17" t="n">
        <f aca="false">IF(N138&gt;0,MEDIAN(D138:M138),"")</f>
        <v>29.186</v>
      </c>
      <c r="P138" s="17" t="n">
        <f aca="false">IF(N138&gt;=7,O138,"")</f>
        <v>29.186</v>
      </c>
      <c r="Q138" s="8" t="s">
        <v>707</v>
      </c>
    </row>
    <row r="140" customFormat="false" ht="17.15" hidden="false" customHeight="false" outlineLevel="0" collapsed="false">
      <c r="A140" s="4" t="s">
        <v>708</v>
      </c>
      <c r="B140" s="17" t="n">
        <f aca="false">P133</f>
        <v>24.601</v>
      </c>
      <c r="E140" s="4" t="s">
        <v>709</v>
      </c>
    </row>
    <row r="141" customFormat="false" ht="15" hidden="false" customHeight="false" outlineLevel="0" collapsed="false">
      <c r="A141" s="4" t="s">
        <v>710</v>
      </c>
      <c r="B141" s="41" t="n">
        <f aca="false">COUNT(P134:P138)</f>
        <v>5</v>
      </c>
    </row>
    <row r="142" customFormat="false" ht="17.15" hidden="false" customHeight="false" outlineLevel="0" collapsed="false">
      <c r="A142" s="4" t="s">
        <v>711</v>
      </c>
      <c r="B142" s="17" t="n">
        <f aca="false">IF(B141&gt;0,MEDIAN(P134:P138),"")</f>
        <v>29.186</v>
      </c>
    </row>
    <row r="143" customFormat="false" ht="17.15" hidden="false" customHeight="false" outlineLevel="0" collapsed="false">
      <c r="A143" s="4" t="s">
        <v>712</v>
      </c>
      <c r="B143" s="17" t="n">
        <f aca="false">IF(AND(ISNUMBER(B140),B141&gt;=2),B140/B142,"")</f>
        <v>0.842904132118139</v>
      </c>
      <c r="E143" s="4" t="s">
        <v>713</v>
      </c>
    </row>
    <row r="144" customFormat="false" ht="17.15" hidden="false" customHeight="false" outlineLevel="0" collapsed="false">
      <c r="A144" s="4" t="s">
        <v>714</v>
      </c>
      <c r="B144" s="40" t="n">
        <v>0.5</v>
      </c>
      <c r="E144" s="8" t="s">
        <v>715</v>
      </c>
    </row>
    <row r="145" customFormat="false" ht="17.15" hidden="false" customHeight="false" outlineLevel="0" collapsed="false">
      <c r="A145" s="4" t="s">
        <v>716</v>
      </c>
      <c r="B145" s="40" t="n">
        <v>2</v>
      </c>
      <c r="E145" s="8" t="s">
        <v>717</v>
      </c>
    </row>
    <row r="146" customFormat="false" ht="17.15" hidden="false" customHeight="false" outlineLevel="0" collapsed="false">
      <c r="A146" s="1" t="s">
        <v>718</v>
      </c>
      <c r="B146" s="36" t="n">
        <f aca="false">IF(ISNUMBER(B143),MIN(MAX(B143,B144),B145),1)</f>
        <v>0.842904132118139</v>
      </c>
      <c r="E146" s="4" t="s">
        <v>719</v>
      </c>
    </row>
    <row r="147" customFormat="false" ht="17.15" hidden="false" customHeight="false" outlineLevel="0" collapsed="false">
      <c r="A147" s="6" t="s">
        <v>720</v>
      </c>
      <c r="B147" s="30" t="n">
        <f aca="false">Val!$B$35*B146</f>
        <v>901.038070508575</v>
      </c>
      <c r="E147" s="4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722</v>
      </c>
    </row>
    <row r="3" customFormat="false" ht="17.15" hidden="false" customHeight="false" outlineLevel="0" collapsed="false">
      <c r="A3" s="5" t="s">
        <v>22</v>
      </c>
      <c r="B3" s="5" t="s">
        <v>723</v>
      </c>
      <c r="C3" s="5" t="s">
        <v>724</v>
      </c>
      <c r="D3" s="5" t="s">
        <v>725</v>
      </c>
      <c r="E3" s="5" t="s">
        <v>726</v>
      </c>
      <c r="F3" s="5" t="s">
        <v>727</v>
      </c>
      <c r="G3" s="5" t="s">
        <v>728</v>
      </c>
      <c r="H3" s="5" t="s">
        <v>729</v>
      </c>
      <c r="I3" s="5" t="s">
        <v>730</v>
      </c>
      <c r="J3" s="5" t="s">
        <v>405</v>
      </c>
    </row>
    <row r="4" customFormat="false" ht="17.15" hidden="false" customHeight="false" outlineLevel="0" collapsed="false">
      <c r="A4" s="6" t="s">
        <v>731</v>
      </c>
    </row>
    <row r="5" customFormat="false" ht="17.15" hidden="false" customHeight="false" outlineLevel="0" collapsed="false">
      <c r="A5" s="0" t="s">
        <v>732</v>
      </c>
      <c r="B5" s="19" t="n">
        <f aca="false">cons_rev26</f>
        <v>55.189</v>
      </c>
      <c r="C5" s="19" t="n">
        <f aca="false">PL!D75</f>
        <v>54.10008</v>
      </c>
      <c r="D5" s="15" t="n">
        <f aca="false">C5/B5-1</f>
        <v>-0.0197307434452517</v>
      </c>
      <c r="E5" s="19" t="n">
        <f aca="false">PL!D107</f>
        <v>54.10008</v>
      </c>
      <c r="F5" s="15" t="n">
        <f aca="false">E5/B5-1</f>
        <v>-0.0197307434452517</v>
      </c>
      <c r="G5" s="19" t="n">
        <f aca="false">PL!D139</f>
        <v>54.10008</v>
      </c>
      <c r="H5" s="15" t="n">
        <f aca="false">G5/B5-1</f>
        <v>-0.0197307434452517</v>
      </c>
      <c r="I5" s="4" t="s">
        <v>733</v>
      </c>
      <c r="J5" s="4" t="s">
        <v>734</v>
      </c>
    </row>
    <row r="6" customFormat="false" ht="17.15" hidden="false" customHeight="false" outlineLevel="0" collapsed="false">
      <c r="A6" s="0" t="s">
        <v>735</v>
      </c>
      <c r="B6" s="19" t="n">
        <f aca="false">cons_ni26</f>
        <v>20.135</v>
      </c>
      <c r="C6" s="19" t="n">
        <f aca="false">PL!D85</f>
        <v>20.0605180178692</v>
      </c>
      <c r="D6" s="15" t="n">
        <f aca="false">C6/B6-1</f>
        <v>-0.00369912997918309</v>
      </c>
      <c r="E6" s="19" t="n">
        <f aca="false">PL!D117</f>
        <v>20.0605180178692</v>
      </c>
      <c r="F6" s="15" t="n">
        <f aca="false">E6/B6-1</f>
        <v>-0.00369912997918309</v>
      </c>
      <c r="G6" s="19" t="n">
        <f aca="false">PL!D149</f>
        <v>20.0605180178692</v>
      </c>
      <c r="H6" s="15" t="n">
        <f aca="false">G6/B6-1</f>
        <v>-0.00369912997918309</v>
      </c>
      <c r="I6" s="4" t="s">
        <v>736</v>
      </c>
    </row>
    <row r="7" customFormat="false" ht="17.15" hidden="false" customHeight="false" outlineLevel="0" collapsed="false">
      <c r="A7" s="0" t="s">
        <v>737</v>
      </c>
      <c r="B7" s="19" t="n">
        <f aca="false">gs_ni26</f>
        <v>20.683</v>
      </c>
      <c r="C7" s="19" t="n">
        <f aca="false">PL!D85</f>
        <v>20.0605180178692</v>
      </c>
      <c r="D7" s="15" t="n">
        <f aca="false">C7/B7-1</f>
        <v>-0.0300963101160784</v>
      </c>
      <c r="E7" s="19" t="n">
        <f aca="false">PL!D117</f>
        <v>20.0605180178692</v>
      </c>
      <c r="F7" s="15" t="n">
        <f aca="false">E7/B7-1</f>
        <v>-0.0300963101160784</v>
      </c>
      <c r="G7" s="19" t="n">
        <f aca="false">PL!D149</f>
        <v>20.0605180178692</v>
      </c>
      <c r="H7" s="15" t="n">
        <f aca="false">G7/B7-1</f>
        <v>-0.0300963101160784</v>
      </c>
      <c r="I7" s="4" t="s">
        <v>738</v>
      </c>
    </row>
    <row r="8" customFormat="false" ht="17.15" hidden="false" customHeight="false" outlineLevel="0" collapsed="false">
      <c r="A8" s="0" t="s">
        <v>739</v>
      </c>
      <c r="B8" s="19" t="n">
        <f aca="false">cons_rev27</f>
        <v>99.385</v>
      </c>
      <c r="C8" s="19" t="n">
        <f aca="false">PL!E75</f>
        <v>96.4421865337811</v>
      </c>
      <c r="D8" s="15" t="n">
        <f aca="false">C8/B8-1</f>
        <v>-0.0296102376235741</v>
      </c>
      <c r="E8" s="19" t="n">
        <f aca="false">PL!E107</f>
        <v>98.0110939639659</v>
      </c>
      <c r="F8" s="15" t="n">
        <f aca="false">E8/B8-1</f>
        <v>-0.0138240784427637</v>
      </c>
      <c r="G8" s="19" t="n">
        <f aca="false">PL!E139</f>
        <v>98.7955476790584</v>
      </c>
      <c r="H8" s="15" t="n">
        <f aca="false">G8/B8-1</f>
        <v>-0.00593099885235804</v>
      </c>
      <c r="I8" s="4" t="s">
        <v>740</v>
      </c>
    </row>
    <row r="9" customFormat="false" ht="17.15" hidden="false" customHeight="false" outlineLevel="0" collapsed="false">
      <c r="A9" s="0" t="s">
        <v>741</v>
      </c>
      <c r="B9" s="19" t="n">
        <f aca="false">cons_ni27</f>
        <v>36.358</v>
      </c>
      <c r="C9" s="19" t="n">
        <f aca="false">PL!E85</f>
        <v>35.653735577428</v>
      </c>
      <c r="D9" s="15" t="n">
        <f aca="false">C9/B9-1</f>
        <v>-0.0193702740132029</v>
      </c>
      <c r="E9" s="19" t="n">
        <f aca="false">PL!E117</f>
        <v>36.2521078978574</v>
      </c>
      <c r="F9" s="15" t="n">
        <f aca="false">E9/B9-1</f>
        <v>-0.00291248424397927</v>
      </c>
      <c r="G9" s="19" t="n">
        <f aca="false">PL!E149</f>
        <v>36.5512940580721</v>
      </c>
      <c r="H9" s="15" t="n">
        <f aca="false">G9/B9-1</f>
        <v>0.00531641064063315</v>
      </c>
      <c r="I9" s="4" t="s">
        <v>742</v>
      </c>
    </row>
    <row r="10" customFormat="false" ht="17.15" hidden="false" customHeight="false" outlineLevel="0" collapsed="false">
      <c r="A10" s="0" t="s">
        <v>743</v>
      </c>
      <c r="B10" s="19" t="n">
        <f aca="false">gs_ni27</f>
        <v>30.08</v>
      </c>
      <c r="C10" s="19" t="n">
        <f aca="false">PL!E85</f>
        <v>35.653735577428</v>
      </c>
      <c r="D10" s="15" t="n">
        <f aca="false">C10/B10-1</f>
        <v>0.185297060419813</v>
      </c>
      <c r="E10" s="19" t="n">
        <f aca="false">PL!E117</f>
        <v>36.2521078978574</v>
      </c>
      <c r="F10" s="15" t="n">
        <f aca="false">E10/B10-1</f>
        <v>0.2051897572426</v>
      </c>
      <c r="G10" s="19" t="n">
        <f aca="false">PL!E149</f>
        <v>36.5512940580721</v>
      </c>
      <c r="H10" s="15" t="n">
        <f aca="false">G10/B10-1</f>
        <v>0.215136105653994</v>
      </c>
      <c r="I10" s="4" t="s">
        <v>738</v>
      </c>
      <c r="J10" s="4" t="s">
        <v>744</v>
      </c>
    </row>
    <row r="11" customFormat="false" ht="17.15" hidden="false" customHeight="false" outlineLevel="0" collapsed="false">
      <c r="A11" s="0" t="s">
        <v>745</v>
      </c>
      <c r="B11" s="19" t="n">
        <f aca="false">cons_eps27</f>
        <v>27.29</v>
      </c>
      <c r="C11" s="19" t="n">
        <f aca="false">PL!E88</f>
        <v>25.5765678460746</v>
      </c>
      <c r="D11" s="15" t="n">
        <f aca="false">C11/B11-1</f>
        <v>-0.0627860811258856</v>
      </c>
      <c r="E11" s="19" t="n">
        <f aca="false">PL!E120</f>
        <v>26.0058162825376</v>
      </c>
      <c r="F11" s="15" t="n">
        <f aca="false">E11/B11-1</f>
        <v>-0.0470569335823529</v>
      </c>
      <c r="G11" s="19" t="n">
        <f aca="false">PL!E152</f>
        <v>26.2204405007691</v>
      </c>
      <c r="H11" s="15" t="n">
        <f aca="false">G11/B11-1</f>
        <v>-0.0391923598105859</v>
      </c>
      <c r="I11" s="4" t="s">
        <v>746</v>
      </c>
    </row>
    <row r="12" customFormat="false" ht="17.15" hidden="false" customHeight="false" outlineLevel="0" collapsed="false">
      <c r="A12" s="0" t="s">
        <v>747</v>
      </c>
      <c r="B12" s="19" t="n">
        <f aca="false">cons_rev28</f>
        <v>143.815</v>
      </c>
      <c r="C12" s="19" t="n">
        <f aca="false">PL!F75</f>
        <v>107.776222473128</v>
      </c>
      <c r="D12" s="15" t="n">
        <f aca="false">C12/B12-1</f>
        <v>-0.250591228501003</v>
      </c>
      <c r="E12" s="19" t="n">
        <f aca="false">PL!F107</f>
        <v>89.595715507975</v>
      </c>
      <c r="F12" s="15" t="n">
        <f aca="false">E12/B12-1</f>
        <v>-0.37700715844679</v>
      </c>
      <c r="G12" s="19" t="n">
        <f aca="false">PL!F139</f>
        <v>68.8310883094229</v>
      </c>
      <c r="H12" s="15" t="n">
        <f aca="false">G12/B12-1</f>
        <v>-0.521391452147391</v>
      </c>
      <c r="I12" s="4" t="s">
        <v>748</v>
      </c>
    </row>
    <row r="13" customFormat="false" ht="17.15" hidden="false" customHeight="false" outlineLevel="0" collapsed="false">
      <c r="A13" s="0" t="s">
        <v>749</v>
      </c>
      <c r="B13" s="19" t="n">
        <f aca="false">gs_ni28</f>
        <v>34.576</v>
      </c>
      <c r="C13" s="19" t="n">
        <f aca="false">PL!F85</f>
        <v>39.0924201716162</v>
      </c>
      <c r="D13" s="15" t="n">
        <f aca="false">C13/B13-1</f>
        <v>0.130622980437767</v>
      </c>
      <c r="E13" s="19" t="n">
        <f aca="false">PL!F117</f>
        <v>31.9924495480014</v>
      </c>
      <c r="F13" s="15" t="n">
        <f aca="false">E13/B13-1</f>
        <v>-0.0747209177463726</v>
      </c>
      <c r="G13" s="19" t="n">
        <f aca="false">PL!F149</f>
        <v>23.5808553283583</v>
      </c>
      <c r="H13" s="15" t="n">
        <f aca="false">G13/B13-1</f>
        <v>-0.317999325301993</v>
      </c>
      <c r="I13" s="4" t="s">
        <v>738</v>
      </c>
    </row>
    <row r="14" customFormat="false" ht="17.15" hidden="false" customHeight="false" outlineLevel="0" collapsed="false">
      <c r="A14" s="0" t="s">
        <v>750</v>
      </c>
      <c r="B14" s="19" t="n">
        <f aca="false">cons_eps28</f>
        <v>39.93</v>
      </c>
      <c r="C14" s="19" t="n">
        <f aca="false">PL!F88</f>
        <v>28.0433430212455</v>
      </c>
      <c r="D14" s="15" t="n">
        <f aca="false">C14/B14-1</f>
        <v>-0.297687377379276</v>
      </c>
      <c r="E14" s="19" t="n">
        <f aca="false">PL!F120</f>
        <v>22.9501072797715</v>
      </c>
      <c r="F14" s="15" t="n">
        <f aca="false">E14/B14-1</f>
        <v>-0.425241490614288</v>
      </c>
      <c r="G14" s="19" t="n">
        <f aca="false">PL!F152</f>
        <v>16.9159650849055</v>
      </c>
      <c r="H14" s="15" t="n">
        <f aca="false">G14/B14-1</f>
        <v>-0.576359502005872</v>
      </c>
      <c r="I14" s="4" t="s">
        <v>751</v>
      </c>
    </row>
    <row r="15" customFormat="false" ht="17.15" hidden="false" customHeight="false" outlineLevel="0" collapsed="false">
      <c r="A15" s="0" t="s">
        <v>752</v>
      </c>
      <c r="B15" s="19" t="n">
        <f aca="false">q3_cons_rev</f>
        <v>17.76</v>
      </c>
      <c r="C15" s="19" t="n">
        <f aca="false">Q!D4</f>
        <v>15.0864</v>
      </c>
      <c r="D15" s="15" t="n">
        <f aca="false">C15/B15-1</f>
        <v>-0.150540540540541</v>
      </c>
      <c r="E15" s="19" t="n">
        <f aca="false">Q!D4</f>
        <v>15.0864</v>
      </c>
      <c r="F15" s="15" t="n">
        <f aca="false">E15/B15-1</f>
        <v>-0.150540540540541</v>
      </c>
      <c r="G15" s="19" t="n">
        <f aca="false">Q!D4</f>
        <v>15.0864</v>
      </c>
      <c r="H15" s="15" t="n">
        <f aca="false">G15/B15-1</f>
        <v>-0.150540540540541</v>
      </c>
      <c r="I15" s="8" t="s">
        <v>753</v>
      </c>
      <c r="J15" s="4" t="s">
        <v>754</v>
      </c>
    </row>
    <row r="16" customFormat="false" ht="17.15" hidden="false" customHeight="false" outlineLevel="0" collapsed="false">
      <c r="A16" s="6" t="s">
        <v>755</v>
      </c>
    </row>
    <row r="17" customFormat="false" ht="17.15" hidden="false" customHeight="false" outlineLevel="0" collapsed="false">
      <c r="A17" s="0" t="s">
        <v>756</v>
      </c>
      <c r="B17" s="18" t="n">
        <f aca="false">lc_eo25</f>
        <v>3.5</v>
      </c>
      <c r="C17" s="18" t="n">
        <f aca="false">a25_aiu</f>
        <v>3.51188988095238</v>
      </c>
      <c r="D17" s="15" t="n">
        <f aca="false">C17/B17-1</f>
        <v>0.00339710884353739</v>
      </c>
      <c r="E17" s="18" t="n">
        <f aca="false">a25_aiu</f>
        <v>3.51188988095238</v>
      </c>
      <c r="F17" s="15" t="n">
        <f aca="false">E17/B17-1</f>
        <v>0.00339710884353739</v>
      </c>
      <c r="G17" s="18" t="n">
        <f aca="false">a25_aiu</f>
        <v>3.51188988095238</v>
      </c>
      <c r="H17" s="15" t="n">
        <f aca="false">G17/B17-1</f>
        <v>0.00339710884353739</v>
      </c>
      <c r="I17" s="8" t="s">
        <v>757</v>
      </c>
      <c r="J17" s="4" t="s">
        <v>758</v>
      </c>
    </row>
    <row r="18" customFormat="false" ht="17.15" hidden="false" customHeight="false" outlineLevel="0" collapsed="false">
      <c r="A18" s="0" t="s">
        <v>759</v>
      </c>
      <c r="C18" s="15" t="n">
        <f aca="false">PL!D66+inl_26</f>
        <v>0.7027370856009</v>
      </c>
      <c r="E18" s="15" t="n">
        <f aca="false">PL!D98+inl_26</f>
        <v>0.7027370856009</v>
      </c>
      <c r="G18" s="15" t="n">
        <f aca="false">PL!D130+inl_26</f>
        <v>0.7027370856009</v>
      </c>
      <c r="I18" s="8" t="s">
        <v>760</v>
      </c>
      <c r="J18" s="4" t="s">
        <v>761</v>
      </c>
    </row>
    <row r="19" customFormat="false" ht="17.15" hidden="false" customHeight="false" outlineLevel="0" collapsed="false">
      <c r="A19" s="0" t="s">
        <v>762</v>
      </c>
      <c r="C19" s="15" t="n">
        <f aca="false">PL!F68+inl_28</f>
        <v>0.658168379691324</v>
      </c>
      <c r="E19" s="15" t="n">
        <f aca="false">PL!F100+inl_28</f>
        <v>0.658168379691324</v>
      </c>
      <c r="G19" s="15" t="n">
        <f aca="false">PL!F132+inl_28</f>
        <v>0.658168379691324</v>
      </c>
      <c r="I19" s="8" t="s">
        <v>763</v>
      </c>
    </row>
    <row r="20" customFormat="false" ht="17.15" hidden="false" customHeight="false" outlineLevel="0" collapsed="false">
      <c r="A20" s="0" t="s">
        <v>764</v>
      </c>
      <c r="C20" s="15" t="n">
        <f aca="false">PL!D71/inl_aiu26</f>
        <v>0.576750034041051</v>
      </c>
      <c r="E20" s="15" t="n">
        <f aca="false">PL!D103/inl_aiu26</f>
        <v>0.576750034041051</v>
      </c>
      <c r="G20" s="15" t="n">
        <f aca="false">PL!D135/inl_aiu26</f>
        <v>0.576750034041051</v>
      </c>
      <c r="I20" s="8" t="s">
        <v>765</v>
      </c>
      <c r="J20" s="4" t="s">
        <v>766</v>
      </c>
    </row>
    <row r="21" customFormat="false" ht="17.15" hidden="false" customHeight="false" outlineLevel="0" collapsed="false">
      <c r="A21" s="0" t="s">
        <v>767</v>
      </c>
      <c r="C21" s="20" t="n">
        <f aca="false">PL!E71/itc_27</f>
        <v>0.00888538183817299</v>
      </c>
      <c r="E21" s="20" t="n">
        <f aca="false">PL!E103/itc_27</f>
        <v>0.00903452954800596</v>
      </c>
      <c r="G21" s="20" t="n">
        <f aca="false">PL!E135/itc_27</f>
        <v>0.00910910340292244</v>
      </c>
      <c r="I21" s="8" t="s">
        <v>768</v>
      </c>
      <c r="J21" s="4" t="s">
        <v>769</v>
      </c>
    </row>
    <row r="22" customFormat="false" ht="17.15" hidden="false" customHeight="false" outlineLevel="0" collapsed="false">
      <c r="A22" s="6" t="s">
        <v>770</v>
      </c>
    </row>
    <row r="23" customFormat="false" ht="17.15" hidden="false" customHeight="false" outlineLevel="0" collapsed="false">
      <c r="A23" s="0" t="s">
        <v>436</v>
      </c>
      <c r="B23" s="17" t="n">
        <f aca="false">h1_eps</f>
        <v>5.41</v>
      </c>
      <c r="C23" s="17" t="n">
        <f aca="false">Q!C13</f>
        <v>5.41</v>
      </c>
      <c r="D23" s="15" t="n">
        <f aca="false">C23/B23-1</f>
        <v>0</v>
      </c>
      <c r="E23" s="17" t="n">
        <f aca="false">Q!C13</f>
        <v>5.41</v>
      </c>
      <c r="F23" s="15" t="n">
        <f aca="false">E23/B23-1</f>
        <v>0</v>
      </c>
      <c r="G23" s="17" t="n">
        <f aca="false">Q!C13</f>
        <v>5.41</v>
      </c>
      <c r="H23" s="15" t="n">
        <f aca="false">G23/B23-1</f>
        <v>0</v>
      </c>
      <c r="I23" s="4" t="s">
        <v>683</v>
      </c>
      <c r="J23" s="4" t="s">
        <v>771</v>
      </c>
    </row>
    <row r="24" customFormat="false" ht="17.15" hidden="false" customHeight="false" outlineLevel="0" collapsed="false">
      <c r="A24" s="0" t="s">
        <v>772</v>
      </c>
      <c r="C24" s="15" t="n">
        <f aca="false">Q!G9</f>
        <v>0.059404295032609</v>
      </c>
      <c r="E24" s="15" t="n">
        <f aca="false">Q!G9</f>
        <v>0.059404295032609</v>
      </c>
      <c r="G24" s="15" t="n">
        <f aca="false">Q!G9</f>
        <v>0.059404295032609</v>
      </c>
      <c r="I24" s="8" t="s">
        <v>773</v>
      </c>
    </row>
    <row r="25" customFormat="false" ht="17.15" hidden="false" customHeight="false" outlineLevel="0" collapsed="false">
      <c r="A25" s="4" t="s">
        <v>774</v>
      </c>
      <c r="B25" s="35" t="n">
        <f aca="false">gs_tp</f>
        <v>633</v>
      </c>
      <c r="C25" s="35" t="n">
        <f aca="false">Val!B53</f>
        <v>1145.94570088063</v>
      </c>
      <c r="D25" s="15" t="n">
        <f aca="false">C25/B25-1</f>
        <v>0.810340759685045</v>
      </c>
      <c r="E25" s="35" t="n">
        <f aca="false">Val!B53</f>
        <v>1145.94570088063</v>
      </c>
      <c r="F25" s="15" t="n">
        <f aca="false">E25/B25-1</f>
        <v>0.810340759685045</v>
      </c>
      <c r="G25" s="35" t="n">
        <f aca="false">Val!B53</f>
        <v>1145.94570088063</v>
      </c>
      <c r="H25" s="15" t="n">
        <f aca="false">G25/B25-1</f>
        <v>0.810340759685045</v>
      </c>
      <c r="I25" s="4" t="s">
        <v>775</v>
      </c>
      <c r="J25" s="4" t="s">
        <v>776</v>
      </c>
    </row>
    <row r="26" customFormat="false" ht="17.15" hidden="false" customHeight="false" outlineLevel="0" collapsed="false">
      <c r="A26" s="4" t="s">
        <v>777</v>
      </c>
      <c r="B26" s="35" t="n">
        <f aca="false">tp_avg90</f>
        <v>460.89</v>
      </c>
      <c r="C26" s="35" t="n">
        <f aca="false">Val!B53</f>
        <v>1145.94570088063</v>
      </c>
      <c r="D26" s="15" t="n">
        <f aca="false">C26/B26-1</f>
        <v>1.48637570978028</v>
      </c>
      <c r="E26" s="35" t="n">
        <f aca="false">Val!B53</f>
        <v>1145.94570088063</v>
      </c>
      <c r="F26" s="15" t="n">
        <f aca="false">E26/B26-1</f>
        <v>1.48637570978028</v>
      </c>
      <c r="G26" s="35" t="n">
        <f aca="false">Val!B53</f>
        <v>1145.94570088063</v>
      </c>
      <c r="H26" s="15" t="n">
        <f aca="false">G26/B26-1</f>
        <v>1.48637570978028</v>
      </c>
      <c r="I26" s="4" t="s">
        <v>778</v>
      </c>
    </row>
    <row r="27" customFormat="false" ht="17.15" hidden="false" customHeight="false" outlineLevel="0" collapsed="false">
      <c r="A27" s="6" t="s">
        <v>779</v>
      </c>
    </row>
    <row r="28" customFormat="false" ht="17.15" hidden="false" customHeight="false" outlineLevel="0" collapsed="false">
      <c r="A28" s="0" t="s">
        <v>780</v>
      </c>
      <c r="J28" s="4" t="s">
        <v>781</v>
      </c>
    </row>
    <row r="29" customFormat="false" ht="17.15" hidden="false" customHeight="false" outlineLevel="0" collapsed="false">
      <c r="A29" s="0" t="s">
        <v>782</v>
      </c>
      <c r="J29" s="4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783</v>
      </c>
    </row>
    <row r="3" customFormat="false" ht="17.15" hidden="false" customHeight="false" outlineLevel="0" collapsed="false">
      <c r="A3" s="5" t="s">
        <v>784</v>
      </c>
      <c r="B3" s="5" t="s">
        <v>785</v>
      </c>
      <c r="C3" s="13" t="s">
        <v>786</v>
      </c>
      <c r="D3" s="13" t="s">
        <v>787</v>
      </c>
      <c r="E3" s="13" t="s">
        <v>788</v>
      </c>
      <c r="F3" s="13" t="s">
        <v>625</v>
      </c>
      <c r="G3" s="13" t="s">
        <v>789</v>
      </c>
      <c r="H3" s="13" t="s">
        <v>790</v>
      </c>
      <c r="I3" s="13" t="s">
        <v>791</v>
      </c>
      <c r="J3" s="13" t="s">
        <v>792</v>
      </c>
      <c r="K3" s="13" t="s">
        <v>793</v>
      </c>
      <c r="L3" s="13" t="s">
        <v>794</v>
      </c>
    </row>
    <row r="4" customFormat="false" ht="17.15" hidden="false" customHeight="false" outlineLevel="0" collapsed="false">
      <c r="A4" s="4" t="s">
        <v>795</v>
      </c>
      <c r="B4" s="0" t="s">
        <v>796</v>
      </c>
      <c r="C4" s="18" t="n">
        <f aca="false">PL!E75</f>
        <v>96.4421865337811</v>
      </c>
      <c r="D4" s="18" t="n">
        <f aca="false">PL!E72</f>
        <v>93.4666821337811</v>
      </c>
      <c r="E4" s="15" t="n">
        <f aca="false">PL!E79</f>
        <v>0.47</v>
      </c>
      <c r="F4" s="17" t="n">
        <f aca="false">PL!E88</f>
        <v>25.5765678460746</v>
      </c>
      <c r="G4" s="15" t="n">
        <f aca="false">F4/F$4-1</f>
        <v>0</v>
      </c>
      <c r="H4" s="18" t="n">
        <f aca="false">PL!F75</f>
        <v>107.776222473128</v>
      </c>
      <c r="I4" s="18" t="n">
        <f aca="false">PL!F72</f>
        <v>104.503167633128</v>
      </c>
      <c r="J4" s="15" t="n">
        <f aca="false">PL!F79</f>
        <v>0.46</v>
      </c>
      <c r="K4" s="17" t="n">
        <f aca="false">PL!F88</f>
        <v>28.0433430212455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797</v>
      </c>
      <c r="B5" s="4" t="s">
        <v>798</v>
      </c>
      <c r="C5" s="18" t="n">
        <f aca="false">E55</f>
        <v>77.9382858990249</v>
      </c>
      <c r="D5" s="18" t="n">
        <f aca="false">E52</f>
        <v>74.9627814990249</v>
      </c>
      <c r="E5" s="15" t="n">
        <f aca="false">E59</f>
        <v>0.47</v>
      </c>
      <c r="F5" s="17" t="n">
        <f aca="false">E68</f>
        <v>20.5139553151363</v>
      </c>
      <c r="G5" s="15" t="n">
        <f aca="false">F5/F$4-1</f>
        <v>-0.197939479659907</v>
      </c>
      <c r="H5" s="18" t="n">
        <f aca="false">F55</f>
        <v>72.7156250015334</v>
      </c>
      <c r="I5" s="18" t="n">
        <f aca="false">F52</f>
        <v>69.4425701615334</v>
      </c>
      <c r="J5" s="15" t="n">
        <f aca="false">F59</f>
        <v>0.46</v>
      </c>
      <c r="K5" s="17" t="n">
        <f aca="false">F68</f>
        <v>18.5097695657947</v>
      </c>
      <c r="L5" s="15" t="n">
        <f aca="false">K5/K$4-1</f>
        <v>-0.339958522356917</v>
      </c>
    </row>
    <row r="6" customFormat="false" ht="17.15" hidden="false" customHeight="false" outlineLevel="0" collapsed="false">
      <c r="A6" s="4" t="s">
        <v>799</v>
      </c>
      <c r="B6" s="4" t="s">
        <v>800</v>
      </c>
      <c r="C6" s="18" t="n">
        <f aca="false">E87</f>
        <v>110.320112009848</v>
      </c>
      <c r="D6" s="18" t="n">
        <f aca="false">E84</f>
        <v>107.344607609848</v>
      </c>
      <c r="E6" s="15" t="n">
        <f aca="false">E91</f>
        <v>0.47</v>
      </c>
      <c r="F6" s="17" t="n">
        <f aca="false">E100</f>
        <v>29.3735272442783</v>
      </c>
      <c r="G6" s="15" t="n">
        <f aca="false">F6/F$4-1</f>
        <v>0.148454609744931</v>
      </c>
      <c r="H6" s="18" t="n">
        <f aca="false">F87</f>
        <v>127.810849599754</v>
      </c>
      <c r="I6" s="18" t="n">
        <f aca="false">F84</f>
        <v>124.537794759754</v>
      </c>
      <c r="J6" s="15" t="n">
        <f aca="false">F91</f>
        <v>0.46</v>
      </c>
      <c r="K6" s="17" t="n">
        <f aca="false">F100</f>
        <v>33.4339202912176</v>
      </c>
      <c r="L6" s="15" t="n">
        <f aca="false">K6/K$4-1</f>
        <v>0.192223062203681</v>
      </c>
    </row>
    <row r="7" customFormat="false" ht="17.15" hidden="false" customHeight="false" outlineLevel="0" collapsed="false">
      <c r="A7" s="4" t="s">
        <v>801</v>
      </c>
      <c r="B7" s="4" t="s">
        <v>802</v>
      </c>
      <c r="C7" s="18" t="n">
        <f aca="false">E119</f>
        <v>87.190236216403</v>
      </c>
      <c r="D7" s="18" t="n">
        <f aca="false">E116</f>
        <v>84.214731816403</v>
      </c>
      <c r="E7" s="15" t="n">
        <f aca="false">E123</f>
        <v>0.47</v>
      </c>
      <c r="F7" s="17" t="n">
        <f aca="false">E132</f>
        <v>23.0452615806054</v>
      </c>
      <c r="G7" s="15" t="n">
        <f aca="false">F7/F$4-1</f>
        <v>-0.0989697398299536</v>
      </c>
      <c r="H7" s="18" t="n">
        <f aca="false">F119</f>
        <v>62.6983114382205</v>
      </c>
      <c r="I7" s="18" t="n">
        <f aca="false">F116</f>
        <v>59.4252565982205</v>
      </c>
      <c r="J7" s="15" t="n">
        <f aca="false">F123</f>
        <v>0.46</v>
      </c>
      <c r="K7" s="17" t="n">
        <f aca="false">F132</f>
        <v>15.3995483391729</v>
      </c>
      <c r="L7" s="15" t="n">
        <f aca="false">K7/K$4-1</f>
        <v>-0.4508661707163</v>
      </c>
    </row>
    <row r="8" customFormat="false" ht="17.15" hidden="false" customHeight="false" outlineLevel="0" collapsed="false">
      <c r="A8" s="4" t="s">
        <v>803</v>
      </c>
      <c r="B8" s="4" t="s">
        <v>804</v>
      </c>
      <c r="C8" s="18" t="n">
        <f aca="false">E151</f>
        <v>87.190236216403</v>
      </c>
      <c r="D8" s="18" t="n">
        <f aca="false">E148</f>
        <v>84.214731816403</v>
      </c>
      <c r="E8" s="15" t="n">
        <f aca="false">E155</f>
        <v>0.47</v>
      </c>
      <c r="F8" s="17" t="n">
        <f aca="false">E164</f>
        <v>23.0452615806054</v>
      </c>
      <c r="G8" s="15" t="n">
        <f aca="false">F8/F$4-1</f>
        <v>-0.0989697398299536</v>
      </c>
      <c r="H8" s="18" t="n">
        <f aca="false">F151</f>
        <v>87.7415953465026</v>
      </c>
      <c r="I8" s="18" t="n">
        <f aca="false">F148</f>
        <v>84.4685405065026</v>
      </c>
      <c r="J8" s="15" t="n">
        <f aca="false">F155</f>
        <v>0.46</v>
      </c>
      <c r="K8" s="17" t="n">
        <f aca="false">F164</f>
        <v>22.645316124515</v>
      </c>
      <c r="L8" s="15" t="n">
        <f aca="false">K8/K$4-1</f>
        <v>-0.192488709090104</v>
      </c>
    </row>
    <row r="9" customFormat="false" ht="17.15" hidden="false" customHeight="false" outlineLevel="0" collapsed="false">
      <c r="A9" s="4" t="s">
        <v>805</v>
      </c>
      <c r="B9" s="4" t="s">
        <v>806</v>
      </c>
      <c r="C9" s="18" t="n">
        <f aca="false">E183</f>
        <v>96.4421865337811</v>
      </c>
      <c r="D9" s="18" t="n">
        <f aca="false">E180</f>
        <v>93.4666821337811</v>
      </c>
      <c r="E9" s="15" t="n">
        <f aca="false">E187</f>
        <v>0.43</v>
      </c>
      <c r="F9" s="17" t="n">
        <f aca="false">E196</f>
        <v>23.1466522204944</v>
      </c>
      <c r="G9" s="15" t="n">
        <f aca="false">F9/F$4-1</f>
        <v>-0.0950055394532993</v>
      </c>
      <c r="H9" s="18" t="n">
        <f aca="false">F183</f>
        <v>107.776222473128</v>
      </c>
      <c r="I9" s="18" t="n">
        <f aca="false">F180</f>
        <v>104.503167633128</v>
      </c>
      <c r="J9" s="15" t="n">
        <f aca="false">F187</f>
        <v>0.4</v>
      </c>
      <c r="K9" s="17" t="n">
        <f aca="false">F196</f>
        <v>23.9701183806719</v>
      </c>
      <c r="L9" s="15" t="n">
        <f aca="false">K9/K$4-1</f>
        <v>-0.145247470584652</v>
      </c>
    </row>
    <row r="10" customFormat="false" ht="17.15" hidden="false" customHeight="false" outlineLevel="0" collapsed="false">
      <c r="A10" s="4" t="s">
        <v>807</v>
      </c>
      <c r="B10" s="4" t="s">
        <v>808</v>
      </c>
      <c r="C10" s="18" t="n">
        <f aca="false">E215</f>
        <v>96.4421865337811</v>
      </c>
      <c r="D10" s="18" t="n">
        <f aca="false">E212</f>
        <v>93.4666821337811</v>
      </c>
      <c r="E10" s="15" t="n">
        <f aca="false">E219</f>
        <v>0.49</v>
      </c>
      <c r="F10" s="17" t="n">
        <f aca="false">E228</f>
        <v>26.7915256588647</v>
      </c>
      <c r="G10" s="15" t="n">
        <f aca="false">F10/F$4-1</f>
        <v>0.0475027697266499</v>
      </c>
      <c r="H10" s="18" t="n">
        <f aca="false">F215</f>
        <v>107.776222473128</v>
      </c>
      <c r="I10" s="18" t="n">
        <f aca="false">F212</f>
        <v>104.503167633128</v>
      </c>
      <c r="J10" s="15" t="n">
        <f aca="false">F219</f>
        <v>0.48</v>
      </c>
      <c r="K10" s="17" t="n">
        <f aca="false">F228</f>
        <v>29.4010845681034</v>
      </c>
      <c r="L10" s="15" t="n">
        <f aca="false">K10/K$4-1</f>
        <v>0.0484158235282171</v>
      </c>
    </row>
    <row r="11" customFormat="false" ht="17.15" hidden="false" customHeight="false" outlineLevel="0" collapsed="false">
      <c r="A11" s="0" t="s">
        <v>809</v>
      </c>
      <c r="B11" s="4" t="s">
        <v>810</v>
      </c>
      <c r="C11" s="18" t="n">
        <f aca="false">E247</f>
        <v>95.4950075737811</v>
      </c>
      <c r="D11" s="18" t="n">
        <f aca="false">E244</f>
        <v>92.5195031737811</v>
      </c>
      <c r="E11" s="15" t="n">
        <f aca="false">E251</f>
        <v>0.47</v>
      </c>
      <c r="F11" s="17" t="n">
        <f aca="false">E260</f>
        <v>25.317422481722</v>
      </c>
      <c r="G11" s="15" t="n">
        <f aca="false">F11/F$4-1</f>
        <v>-0.0101321399302727</v>
      </c>
      <c r="H11" s="18" t="n">
        <f aca="false">F247</f>
        <v>103.446190473128</v>
      </c>
      <c r="I11" s="18" t="n">
        <f aca="false">F244</f>
        <v>100.173135633128</v>
      </c>
      <c r="J11" s="15" t="n">
        <f aca="false">F251</f>
        <v>0.46</v>
      </c>
      <c r="K11" s="17" t="n">
        <f aca="false">F260</f>
        <v>26.8721984501363</v>
      </c>
      <c r="L11" s="15" t="n">
        <f aca="false">K11/K$4-1</f>
        <v>-0.0417619457930523</v>
      </c>
    </row>
    <row r="12" customFormat="false" ht="17.15" hidden="false" customHeight="false" outlineLevel="0" collapsed="false">
      <c r="A12" s="0" t="s">
        <v>811</v>
      </c>
      <c r="B12" s="0" t="s">
        <v>812</v>
      </c>
      <c r="C12" s="18" t="n">
        <f aca="false">E279</f>
        <v>99.2837234137811</v>
      </c>
      <c r="D12" s="18" t="n">
        <f aca="false">E276</f>
        <v>96.3082190137811</v>
      </c>
      <c r="E12" s="15" t="n">
        <f aca="false">E283</f>
        <v>0.47</v>
      </c>
      <c r="F12" s="17" t="n">
        <f aca="false">E292</f>
        <v>26.3540039391322</v>
      </c>
      <c r="G12" s="15" t="n">
        <f aca="false">F12/F$4-1</f>
        <v>0.0303964197908182</v>
      </c>
      <c r="H12" s="18" t="n">
        <f aca="false">F279</f>
        <v>114.271270473128</v>
      </c>
      <c r="I12" s="18" t="n">
        <f aca="false">F276</f>
        <v>110.998215633128</v>
      </c>
      <c r="J12" s="15" t="n">
        <f aca="false">F283</f>
        <v>0.46</v>
      </c>
      <c r="K12" s="17" t="n">
        <f aca="false">F292</f>
        <v>29.7960230925447</v>
      </c>
      <c r="L12" s="15" t="n">
        <f aca="false">K12/K$4-1</f>
        <v>0.0624989706102925</v>
      </c>
    </row>
    <row r="13" customFormat="false" ht="17.15" hidden="false" customHeight="false" outlineLevel="0" collapsed="false">
      <c r="A13" s="0" t="s">
        <v>813</v>
      </c>
      <c r="B13" s="0" t="s">
        <v>814</v>
      </c>
      <c r="C13" s="18" t="n">
        <f aca="false">E311</f>
        <v>77.9382858990249</v>
      </c>
      <c r="D13" s="18" t="n">
        <f aca="false">E308</f>
        <v>74.9627814990249</v>
      </c>
      <c r="E13" s="15" t="n">
        <f aca="false">E315</f>
        <v>0.47</v>
      </c>
      <c r="F13" s="17" t="n">
        <f aca="false">E324</f>
        <v>20.5139553151363</v>
      </c>
      <c r="G13" s="15" t="n">
        <f aca="false">F13/F$4-1</f>
        <v>-0.197939479659907</v>
      </c>
      <c r="H13" s="18" t="n">
        <f aca="false">F311</f>
        <v>87.7415953465026</v>
      </c>
      <c r="I13" s="18" t="n">
        <f aca="false">F308</f>
        <v>84.4685405065026</v>
      </c>
      <c r="J13" s="15" t="n">
        <f aca="false">F315</f>
        <v>0.46</v>
      </c>
      <c r="K13" s="17" t="n">
        <f aca="false">F324</f>
        <v>22.6703640294894</v>
      </c>
      <c r="L13" s="15" t="n">
        <f aca="false">K13/K$4-1</f>
        <v>-0.191595523675105</v>
      </c>
    </row>
    <row r="14" customFormat="false" ht="17.15" hidden="false" customHeight="false" outlineLevel="0" collapsed="false">
      <c r="A14" s="0" t="s">
        <v>815</v>
      </c>
      <c r="B14" s="0" t="s">
        <v>816</v>
      </c>
      <c r="C14" s="18" t="n">
        <f aca="false">E343</f>
        <v>114.946087168537</v>
      </c>
      <c r="D14" s="18" t="n">
        <f aca="false">E340</f>
        <v>111.970582768537</v>
      </c>
      <c r="E14" s="15" t="n">
        <f aca="false">E347</f>
        <v>0.47</v>
      </c>
      <c r="F14" s="17" t="n">
        <f aca="false">E356</f>
        <v>30.6391803770129</v>
      </c>
      <c r="G14" s="15" t="n">
        <f aca="false">F14/F$4-1</f>
        <v>0.197939479659907</v>
      </c>
      <c r="H14" s="18" t="n">
        <f aca="false">F343</f>
        <v>127.810849599754</v>
      </c>
      <c r="I14" s="18" t="n">
        <f aca="false">F340</f>
        <v>124.537794759754</v>
      </c>
      <c r="J14" s="15" t="n">
        <f aca="false">F347</f>
        <v>0.46</v>
      </c>
      <c r="K14" s="17" t="n">
        <f aca="false">F356</f>
        <v>33.4150297681375</v>
      </c>
      <c r="L14" s="15" t="n">
        <f aca="false">K14/K$4-1</f>
        <v>0.191549443403463</v>
      </c>
    </row>
    <row r="15" customFormat="false" ht="17.15" hidden="false" customHeight="false" outlineLevel="0" collapsed="false">
      <c r="A15" s="4" t="s">
        <v>817</v>
      </c>
      <c r="B15" s="0" t="s">
        <v>818</v>
      </c>
      <c r="C15" s="18" t="n">
        <f aca="false">E375</f>
        <v>93.3822653924966</v>
      </c>
      <c r="D15" s="18" t="n">
        <f aca="false">E372</f>
        <v>90.4067609924966</v>
      </c>
      <c r="E15" s="15" t="n">
        <f aca="false">E379</f>
        <v>0.47</v>
      </c>
      <c r="F15" s="17" t="n">
        <f aca="false">E388</f>
        <v>24.7393824644987</v>
      </c>
      <c r="G15" s="15" t="n">
        <f aca="false">F15/F$4-1</f>
        <v>-0.0327325146444283</v>
      </c>
      <c r="H15" s="18" t="n">
        <f aca="false">F375</f>
        <v>104.354987818472</v>
      </c>
      <c r="I15" s="18" t="n">
        <f aca="false">F372</f>
        <v>101.081932978472</v>
      </c>
      <c r="J15" s="15" t="n">
        <f aca="false">F379</f>
        <v>0.46</v>
      </c>
      <c r="K15" s="17" t="n">
        <f aca="false">F388</f>
        <v>27.1256174757328</v>
      </c>
      <c r="L15" s="15" t="n">
        <f aca="false">K15/K$4-1</f>
        <v>-0.0327252547892543</v>
      </c>
    </row>
    <row r="16" customFormat="false" ht="17.15" hidden="false" customHeight="false" outlineLevel="0" collapsed="false">
      <c r="A16" s="4" t="s">
        <v>819</v>
      </c>
      <c r="B16" s="0" t="s">
        <v>820</v>
      </c>
      <c r="C16" s="18" t="n">
        <f aca="false">E407</f>
        <v>100.336631622689</v>
      </c>
      <c r="D16" s="18" t="n">
        <f aca="false">E404</f>
        <v>97.3611272226886</v>
      </c>
      <c r="E16" s="15" t="n">
        <f aca="false">E411</f>
        <v>0.47</v>
      </c>
      <c r="F16" s="17" t="n">
        <f aca="false">E420</f>
        <v>26.6420765135348</v>
      </c>
      <c r="G16" s="15" t="n">
        <f aca="false">F16/F$4-1</f>
        <v>0.0416595640929089</v>
      </c>
      <c r="H16" s="18" t="n">
        <f aca="false">F407</f>
        <v>112.130521124509</v>
      </c>
      <c r="I16" s="18" t="n">
        <f aca="false">F404</f>
        <v>108.857466284509</v>
      </c>
      <c r="J16" s="15" t="n">
        <f aca="false">F411</f>
        <v>0.46</v>
      </c>
      <c r="K16" s="17" t="n">
        <f aca="false">F420</f>
        <v>29.2113581352318</v>
      </c>
      <c r="L16" s="15" t="n">
        <f aca="false">K16/K$4-1</f>
        <v>0.041650352210199</v>
      </c>
    </row>
    <row r="17" customFormat="false" ht="17.15" hidden="false" customHeight="false" outlineLevel="0" collapsed="false">
      <c r="A17" s="4" t="s">
        <v>821</v>
      </c>
      <c r="B17" s="4" t="s">
        <v>822</v>
      </c>
      <c r="C17" s="18" t="n">
        <f aca="false">E439</f>
        <v>96.4421865337811</v>
      </c>
      <c r="D17" s="18" t="n">
        <f aca="false">E436</f>
        <v>93.4666821337811</v>
      </c>
      <c r="E17" s="15" t="n">
        <f aca="false">E443</f>
        <v>0.47</v>
      </c>
      <c r="F17" s="17" t="n">
        <f aca="false">E452</f>
        <v>24.3616100332845</v>
      </c>
      <c r="G17" s="15" t="n">
        <f aca="false">F17/F$4-1</f>
        <v>-0.0475027697266496</v>
      </c>
      <c r="H17" s="18" t="n">
        <f aca="false">F439</f>
        <v>107.776222473128</v>
      </c>
      <c r="I17" s="18" t="n">
        <f aca="false">F436</f>
        <v>104.503167633128</v>
      </c>
      <c r="J17" s="15" t="n">
        <f aca="false">F443</f>
        <v>0.46</v>
      </c>
      <c r="K17" s="17" t="n">
        <f aca="false">F452</f>
        <v>26.6856014743876</v>
      </c>
      <c r="L17" s="15" t="n">
        <f aca="false">K17/K$4-1</f>
        <v>-0.0484158235282171</v>
      </c>
    </row>
    <row r="18" customFormat="false" ht="17.15" hidden="false" customHeight="false" outlineLevel="0" collapsed="false">
      <c r="A18" s="4" t="s">
        <v>823</v>
      </c>
      <c r="B18" s="0" t="s">
        <v>824</v>
      </c>
      <c r="C18" s="18" t="n">
        <f aca="false">E471</f>
        <v>96.4421865337811</v>
      </c>
      <c r="D18" s="18" t="n">
        <f aca="false">E468</f>
        <v>93.4666821337811</v>
      </c>
      <c r="E18" s="15" t="n">
        <f aca="false">E475</f>
        <v>0.47</v>
      </c>
      <c r="F18" s="17" t="n">
        <f aca="false">E484</f>
        <v>24.9428229824098</v>
      </c>
      <c r="G18" s="15" t="n">
        <f aca="false">F18/F$4-1</f>
        <v>-0.0247783388091322</v>
      </c>
      <c r="H18" s="18" t="n">
        <f aca="false">F471</f>
        <v>107.776222473128</v>
      </c>
      <c r="I18" s="18" t="n">
        <f aca="false">F468</f>
        <v>104.503167633128</v>
      </c>
      <c r="J18" s="15" t="n">
        <f aca="false">F475</f>
        <v>0.46</v>
      </c>
      <c r="K18" s="17" t="n">
        <f aca="false">F484</f>
        <v>27.1952716063525</v>
      </c>
      <c r="L18" s="15" t="n">
        <f aca="false">K18/K$4-1</f>
        <v>-0.0302414521068519</v>
      </c>
    </row>
    <row r="19" customFormat="false" ht="17.15" hidden="false" customHeight="false" outlineLevel="0" collapsed="false">
      <c r="A19" s="4" t="s">
        <v>825</v>
      </c>
      <c r="B19" s="0" t="s">
        <v>826</v>
      </c>
      <c r="C19" s="18" t="n">
        <f aca="false">PL!E107</f>
        <v>98.0110939639659</v>
      </c>
      <c r="D19" s="18" t="n">
        <f aca="false">PL!E104</f>
        <v>95.0355895639659</v>
      </c>
      <c r="E19" s="15" t="n">
        <f aca="false">PL!E111</f>
        <v>0.47</v>
      </c>
      <c r="F19" s="17" t="n">
        <f aca="false">PL!E120</f>
        <v>26.0058162825376</v>
      </c>
      <c r="G19" s="15" t="n">
        <f aca="false">F19/F$4-1</f>
        <v>0.0167828787289335</v>
      </c>
      <c r="H19" s="18" t="n">
        <f aca="false">PL!F107</f>
        <v>89.595715507975</v>
      </c>
      <c r="I19" s="18" t="n">
        <f aca="false">PL!F104</f>
        <v>86.322660667975</v>
      </c>
      <c r="J19" s="15" t="n">
        <f aca="false">PL!F111</f>
        <v>0.46</v>
      </c>
      <c r="K19" s="17" t="n">
        <f aca="false">PL!F120</f>
        <v>22.9501072797715</v>
      </c>
      <c r="L19" s="15" t="n">
        <f aca="false">K19/K$4-1</f>
        <v>-0.181620134861077</v>
      </c>
    </row>
    <row r="20" customFormat="false" ht="17.15" hidden="false" customHeight="false" outlineLevel="0" collapsed="false">
      <c r="A20" s="4" t="s">
        <v>827</v>
      </c>
      <c r="B20" s="0" t="s">
        <v>828</v>
      </c>
      <c r="C20" s="18" t="n">
        <f aca="false">PL!E139</f>
        <v>98.7955476790584</v>
      </c>
      <c r="D20" s="18" t="n">
        <f aca="false">PL!E136</f>
        <v>95.8200432790584</v>
      </c>
      <c r="E20" s="15" t="n">
        <f aca="false">PL!E143</f>
        <v>0.47</v>
      </c>
      <c r="F20" s="17" t="n">
        <f aca="false">PL!E152</f>
        <v>26.2204405007691</v>
      </c>
      <c r="G20" s="15" t="n">
        <f aca="false">F20/F$4-1</f>
        <v>0.0251743180934008</v>
      </c>
      <c r="H20" s="18" t="n">
        <f aca="false">PL!F139</f>
        <v>68.8310883094229</v>
      </c>
      <c r="I20" s="18" t="n">
        <f aca="false">PL!F136</f>
        <v>65.5580334694229</v>
      </c>
      <c r="J20" s="15" t="n">
        <f aca="false">PL!F143</f>
        <v>0.46</v>
      </c>
      <c r="K20" s="17" t="n">
        <f aca="false">PL!F152</f>
        <v>16.9159650849055</v>
      </c>
      <c r="L20" s="15" t="n">
        <f aca="false">K20/K$4-1</f>
        <v>-0.39679213451513</v>
      </c>
    </row>
    <row r="22" customFormat="false" ht="17.15" hidden="false" customHeight="false" outlineLevel="0" collapsed="false">
      <c r="A22" s="4" t="s">
        <v>829</v>
      </c>
    </row>
    <row r="24" customFormat="false" ht="17.15" hidden="false" customHeight="false" outlineLevel="0" collapsed="false">
      <c r="A24" s="1" t="s">
        <v>830</v>
      </c>
    </row>
    <row r="25" customFormat="false" ht="17.15" hidden="false" customHeight="false" outlineLevel="0" collapsed="false">
      <c r="A25" s="5" t="s">
        <v>784</v>
      </c>
      <c r="B25" s="5" t="s">
        <v>785</v>
      </c>
      <c r="C25" s="13" t="s">
        <v>831</v>
      </c>
      <c r="D25" s="13" t="s">
        <v>720</v>
      </c>
      <c r="E25" s="5" t="s">
        <v>832</v>
      </c>
      <c r="F25" s="5" t="s">
        <v>833</v>
      </c>
    </row>
    <row r="26" customFormat="false" ht="17.15" hidden="false" customHeight="false" outlineLevel="0" collapsed="false">
      <c r="A26" s="4" t="s">
        <v>25</v>
      </c>
      <c r="B26" s="0" t="s">
        <v>834</v>
      </c>
      <c r="C26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510.231336053505</v>
      </c>
      <c r="D26" s="17" t="n">
        <f aca="false">tp_comp_adj</f>
        <v>901.038070508575</v>
      </c>
      <c r="E26" s="17" t="n">
        <f aca="false">tp_w_dcf*C26+(1-tp_w_dcf)*D26</f>
        <v>705.63470328104</v>
      </c>
      <c r="F26" s="15" t="n">
        <f aca="false">E26/E$26-1</f>
        <v>0</v>
      </c>
    </row>
    <row r="27" customFormat="false" ht="17.15" hidden="false" customHeight="false" outlineLevel="0" collapsed="false">
      <c r="A27" s="4" t="s">
        <v>835</v>
      </c>
      <c r="B27" s="0" t="s">
        <v>836</v>
      </c>
      <c r="C27" s="17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439.145956884764</v>
      </c>
      <c r="D27" s="17" t="n">
        <f aca="false">tp_comp_adj</f>
        <v>901.038070508575</v>
      </c>
      <c r="E27" s="17" t="n">
        <f aca="false">tp_w_dcf*C27+(1-tp_w_dcf)*D27</f>
        <v>670.09201369667</v>
      </c>
      <c r="F27" s="15" t="n">
        <f aca="false">E27/E$26-1</f>
        <v>-0.0503698151736376</v>
      </c>
    </row>
    <row r="28" customFormat="false" ht="17.15" hidden="false" customHeight="false" outlineLevel="0" collapsed="false">
      <c r="A28" s="4" t="s">
        <v>837</v>
      </c>
      <c r="B28" s="0" t="s">
        <v>838</v>
      </c>
      <c r="C28" s="17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609.802508332429</v>
      </c>
      <c r="D28" s="17" t="n">
        <f aca="false">tp_comp_adj</f>
        <v>901.038070508575</v>
      </c>
      <c r="E28" s="17" t="n">
        <f aca="false">tp_w_dcf*C28+(1-tp_w_dcf)*D28</f>
        <v>755.420289420502</v>
      </c>
      <c r="F28" s="15" t="n">
        <f aca="false">E28/E$26-1</f>
        <v>0.0705543334362246</v>
      </c>
    </row>
    <row r="29" customFormat="false" ht="17.15" hidden="false" customHeight="false" outlineLevel="0" collapsed="false">
      <c r="A29" s="4" t="s">
        <v>839</v>
      </c>
      <c r="B29" s="0" t="s">
        <v>840</v>
      </c>
      <c r="C29" s="17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574.500740201639</v>
      </c>
      <c r="D29" s="17" t="n">
        <f aca="false">tp_comp_adj</f>
        <v>901.038070508575</v>
      </c>
      <c r="E29" s="17" t="n">
        <f aca="false">tp_w_dcf*C29+(1-tp_w_dcf)*D29</f>
        <v>737.769405355107</v>
      </c>
      <c r="F29" s="15" t="n">
        <f aca="false">E29/E$26-1</f>
        <v>0.0455401384379874</v>
      </c>
    </row>
    <row r="30" customFormat="false" ht="17.15" hidden="false" customHeight="false" outlineLevel="0" collapsed="false">
      <c r="A30" s="4" t="s">
        <v>841</v>
      </c>
      <c r="B30" s="0" t="s">
        <v>842</v>
      </c>
      <c r="C30" s="17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465.15918420752</v>
      </c>
      <c r="D30" s="17" t="n">
        <f aca="false">tp_comp_adj</f>
        <v>901.038070508575</v>
      </c>
      <c r="E30" s="17" t="n">
        <f aca="false">tp_w_dcf*C30+(1-tp_w_dcf)*D30</f>
        <v>683.098627358048</v>
      </c>
      <c r="F30" s="15" t="n">
        <f aca="false">E30/E$26-1</f>
        <v>-0.0319373123490169</v>
      </c>
    </row>
    <row r="31" customFormat="false" ht="17.15" hidden="false" customHeight="false" outlineLevel="0" collapsed="false">
      <c r="A31" s="0" t="s">
        <v>843</v>
      </c>
      <c r="B31" s="0" t="s">
        <v>844</v>
      </c>
      <c r="C31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510.231336053505</v>
      </c>
      <c r="D31" s="17" t="n">
        <f aca="false">tp_comp_adj</f>
        <v>901.038070508575</v>
      </c>
      <c r="E31" s="17" t="n">
        <f aca="false">0.3*C31+(1-0.3)*D31</f>
        <v>783.796050172054</v>
      </c>
      <c r="F31" s="15" t="n">
        <f aca="false">E31/E$26-1</f>
        <v>0.110767436079294</v>
      </c>
    </row>
    <row r="32" customFormat="false" ht="17.15" hidden="false" customHeight="false" outlineLevel="0" collapsed="false">
      <c r="A32" s="0" t="s">
        <v>845</v>
      </c>
      <c r="B32" s="0" t="s">
        <v>846</v>
      </c>
      <c r="C32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510.231336053505</v>
      </c>
      <c r="D32" s="17" t="n">
        <f aca="false">tp_comp_adj</f>
        <v>901.038070508575</v>
      </c>
      <c r="E32" s="17" t="n">
        <f aca="false">0.7*C32+(1-0.7)*D32</f>
        <v>627.473356390026</v>
      </c>
      <c r="F32" s="15" t="n">
        <f aca="false">E32/E$26-1</f>
        <v>-0.110767436079294</v>
      </c>
    </row>
    <row r="40" customFormat="false" ht="17.15" hidden="false" customHeight="false" outlineLevel="0" collapsed="false">
      <c r="A40" s="1" t="s">
        <v>847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3" t="s">
        <v>399</v>
      </c>
      <c r="D41" s="13" t="s">
        <v>468</v>
      </c>
      <c r="E41" s="13" t="s">
        <v>469</v>
      </c>
      <c r="F41" s="13" t="s">
        <v>470</v>
      </c>
      <c r="G41" s="13" t="s">
        <v>471</v>
      </c>
      <c r="H41" s="5" t="s">
        <v>405</v>
      </c>
    </row>
    <row r="42" customFormat="false" ht="17.15" hidden="false" customHeight="false" outlineLevel="0" collapsed="false">
      <c r="A42" s="6" t="s">
        <v>488</v>
      </c>
    </row>
    <row r="43" customFormat="false" ht="17.15" hidden="false" customHeight="false" outlineLevel="0" collapsed="false">
      <c r="A43" s="0" t="s">
        <v>489</v>
      </c>
      <c r="B43" s="0" t="s">
        <v>33</v>
      </c>
      <c r="D43" s="19" t="n">
        <f aca="false">mpl_26*1</f>
        <v>29.753262</v>
      </c>
      <c r="E43" s="19" t="n">
        <f aca="false">mpl_27*1*1</f>
        <v>53.560715</v>
      </c>
      <c r="F43" s="19" t="n">
        <f aca="false">mpl_28*um28_A*1</f>
        <v>57.9915</v>
      </c>
      <c r="G43" s="19" t="n">
        <f aca="false">mpl_29*um29_A*1</f>
        <v>72.9348</v>
      </c>
    </row>
    <row r="44" customFormat="false" ht="17.15" hidden="false" customHeight="false" outlineLevel="0" collapsed="false">
      <c r="A44" s="0" t="s">
        <v>490</v>
      </c>
      <c r="B44" s="0" t="s">
        <v>33</v>
      </c>
      <c r="D44" s="19" t="n">
        <f aca="false">mcp_26*1</f>
        <v>0.300538</v>
      </c>
      <c r="E44" s="19" t="n">
        <f aca="false">mcp_27*1</f>
        <v>2.818985</v>
      </c>
      <c r="F44" s="19" t="n">
        <f aca="false">mcp_28*um28_A</f>
        <v>6.4435</v>
      </c>
      <c r="G44" s="19" t="n">
        <f aca="false">mcp_29*um29_A</f>
        <v>11.74736</v>
      </c>
    </row>
    <row r="45" customFormat="false" ht="17.15" hidden="false" customHeight="false" outlineLevel="0" collapsed="false">
      <c r="A45" s="4" t="s">
        <v>491</v>
      </c>
      <c r="B45" s="0" t="s">
        <v>140</v>
      </c>
      <c r="D45" s="17" t="n">
        <f aca="false">fx</f>
        <v>6.72</v>
      </c>
      <c r="E45" s="17" t="n">
        <f aca="false">fx</f>
        <v>6.72</v>
      </c>
      <c r="F45" s="17" t="n">
        <f aca="false">fx</f>
        <v>6.72</v>
      </c>
      <c r="G45" s="17" t="n">
        <f aca="false">fx</f>
        <v>6.72</v>
      </c>
      <c r="H45" s="8" t="s">
        <v>492</v>
      </c>
    </row>
    <row r="46" customFormat="false" ht="17.15" hidden="false" customHeight="false" outlineLevel="0" collapsed="false">
      <c r="A46" s="4" t="s">
        <v>493</v>
      </c>
      <c r="B46" s="0" t="s">
        <v>66</v>
      </c>
      <c r="D46" s="15" t="n">
        <f aca="false">a26_aiu/D43</f>
        <v>0.257050026505137</v>
      </c>
      <c r="H46" s="8" t="s">
        <v>494</v>
      </c>
    </row>
    <row r="47" customFormat="false" ht="17.15" hidden="false" customHeight="false" outlineLevel="0" collapsed="false">
      <c r="A47" s="4" t="s">
        <v>495</v>
      </c>
      <c r="B47" s="0" t="s">
        <v>81</v>
      </c>
      <c r="D47" s="17" t="n">
        <f aca="false">1</f>
        <v>1</v>
      </c>
      <c r="E47" s="17" t="n">
        <f aca="false">RLO_27</f>
        <v>0.8</v>
      </c>
      <c r="F47" s="17" t="n">
        <f aca="false">RLO_28</f>
        <v>0.65</v>
      </c>
      <c r="G47" s="17" t="n">
        <f aca="false">RLO_29</f>
        <v>0.55</v>
      </c>
    </row>
    <row r="48" customFormat="false" ht="15" hidden="false" customHeight="false" outlineLevel="0" collapsed="false">
      <c r="A48" s="4" t="s">
        <v>496</v>
      </c>
      <c r="B48" s="0" t="s">
        <v>66</v>
      </c>
      <c r="D48" s="15" t="n">
        <f aca="false">$D$46*D47</f>
        <v>0.257050026505137</v>
      </c>
      <c r="E48" s="15" t="n">
        <f aca="false">$D$46*E47</f>
        <v>0.20564002120411</v>
      </c>
      <c r="F48" s="15" t="n">
        <f aca="false">$D$46*F47</f>
        <v>0.167082517228339</v>
      </c>
      <c r="G48" s="15" t="n">
        <f aca="false">$D$46*G47</f>
        <v>0.141377514577825</v>
      </c>
    </row>
    <row r="49" customFormat="false" ht="15" hidden="false" customHeight="false" outlineLevel="0" collapsed="false">
      <c r="A49" s="4" t="s">
        <v>497</v>
      </c>
      <c r="B49" s="0" t="s">
        <v>81</v>
      </c>
      <c r="D49" s="17" t="n">
        <f aca="false">1</f>
        <v>1</v>
      </c>
      <c r="E49" s="17" t="n">
        <f aca="false">pxr_27</f>
        <v>1</v>
      </c>
      <c r="F49" s="17" t="n">
        <f aca="false">pxr_28</f>
        <v>1</v>
      </c>
      <c r="G49" s="17" t="n">
        <f aca="false">pxr_29</f>
        <v>1</v>
      </c>
    </row>
    <row r="50" customFormat="false" ht="17.15" hidden="false" customHeight="false" outlineLevel="0" collapsed="false">
      <c r="A50" s="4" t="s">
        <v>498</v>
      </c>
      <c r="B50" s="0" t="s">
        <v>66</v>
      </c>
      <c r="D50" s="15" t="n">
        <f aca="false">0</f>
        <v>0</v>
      </c>
      <c r="E50" s="15" t="n">
        <f aca="false">cpo_27</f>
        <v>0.05</v>
      </c>
      <c r="F50" s="15" t="n">
        <f aca="false">cpo_28</f>
        <v>0.1</v>
      </c>
      <c r="G50" s="15" t="n">
        <f aca="false">cpo_29</f>
        <v>0.15</v>
      </c>
    </row>
    <row r="51" customFormat="false" ht="17.15" hidden="false" customHeight="false" outlineLevel="0" collapsed="false">
      <c r="A51" s="0" t="s">
        <v>499</v>
      </c>
      <c r="B51" s="0" t="s">
        <v>33</v>
      </c>
      <c r="D51" s="19" t="n">
        <f aca="false">a26_aiu</f>
        <v>7.64807678571429</v>
      </c>
      <c r="E51" s="19" t="n">
        <f aca="false">E43*E48*E49+E44*E50</f>
        <v>11.1551758183073</v>
      </c>
      <c r="F51" s="19" t="n">
        <f aca="false">F43*F48*F49+F44*F50</f>
        <v>10.3337157978472</v>
      </c>
      <c r="G51" s="19" t="n">
        <f aca="false">G43*G48*G49+G44*G50</f>
        <v>12.0734447502308</v>
      </c>
    </row>
    <row r="52" customFormat="false" ht="17.15" hidden="false" customHeight="false" outlineLevel="0" collapsed="false">
      <c r="A52" s="0" t="s">
        <v>500</v>
      </c>
      <c r="B52" s="0" t="s">
        <v>168</v>
      </c>
      <c r="C52" s="19" t="n">
        <f aca="false">a25_ai</f>
        <v>23.5999</v>
      </c>
      <c r="D52" s="19" t="n">
        <f aca="false">D51*D45</f>
        <v>51.395076</v>
      </c>
      <c r="E52" s="19" t="n">
        <f aca="false">E51*E45</f>
        <v>74.9627814990249</v>
      </c>
      <c r="F52" s="19" t="n">
        <f aca="false">F51*F45</f>
        <v>69.4425701615334</v>
      </c>
      <c r="G52" s="19" t="n">
        <f aca="false">G51*G45</f>
        <v>81.1335487215508</v>
      </c>
    </row>
    <row r="53" customFormat="false" ht="17.15" hidden="false" customHeight="false" outlineLevel="0" collapsed="false">
      <c r="A53" s="6" t="s">
        <v>501</v>
      </c>
    </row>
    <row r="54" customFormat="false" ht="15" hidden="false" customHeight="false" outlineLevel="0" collapsed="false">
      <c r="A54" s="4" t="s">
        <v>502</v>
      </c>
      <c r="B54" s="0" t="s">
        <v>168</v>
      </c>
      <c r="C54" s="19" t="n">
        <f aca="false">a25_oth</f>
        <v>1.2421</v>
      </c>
      <c r="D54" s="19" t="n">
        <f aca="false">a26_oth</f>
        <v>2.705004</v>
      </c>
      <c r="E54" s="19" t="n">
        <f aca="false">D54*(1+g_oth)</f>
        <v>2.9755044</v>
      </c>
      <c r="F54" s="19" t="n">
        <f aca="false">E54*(1+g_oth)</f>
        <v>3.27305484</v>
      </c>
      <c r="G54" s="19" t="n">
        <f aca="false">F54*(1+g_oth)</f>
        <v>3.600360324</v>
      </c>
    </row>
    <row r="55" customFormat="false" ht="15" hidden="false" customHeight="false" outlineLevel="0" collapsed="false">
      <c r="A55" s="4" t="s">
        <v>406</v>
      </c>
      <c r="B55" s="0" t="s">
        <v>168</v>
      </c>
      <c r="C55" s="19" t="n">
        <f aca="false">a25_rev</f>
        <v>24.842</v>
      </c>
      <c r="D55" s="19" t="n">
        <f aca="false">D52+D54</f>
        <v>54.10008</v>
      </c>
      <c r="E55" s="19" t="n">
        <f aca="false">E52+E54</f>
        <v>77.9382858990249</v>
      </c>
      <c r="F55" s="19" t="n">
        <f aca="false">F52+F54</f>
        <v>72.7156250015334</v>
      </c>
      <c r="G55" s="19" t="n">
        <f aca="false">G52+G54</f>
        <v>84.7339090455509</v>
      </c>
    </row>
    <row r="56" customFormat="false" ht="15" hidden="false" customHeight="false" outlineLevel="0" collapsed="false">
      <c r="A56" s="4" t="s">
        <v>503</v>
      </c>
      <c r="B56" s="0" t="s">
        <v>66</v>
      </c>
      <c r="D56" s="15" t="n">
        <f aca="false">D55/C55-1</f>
        <v>1.17776668545206</v>
      </c>
      <c r="E56" s="15" t="n">
        <f aca="false">E55/D55-1</f>
        <v>0.44063162012006</v>
      </c>
      <c r="F56" s="15" t="n">
        <f aca="false">F55/E55-1</f>
        <v>-0.0670102099019458</v>
      </c>
      <c r="G56" s="15" t="n">
        <f aca="false">G55/F55-1</f>
        <v>0.165277875886566</v>
      </c>
    </row>
    <row r="57" customFormat="false" ht="17.15" hidden="false" customHeight="false" outlineLevel="0" collapsed="false">
      <c r="A57" s="0" t="s">
        <v>504</v>
      </c>
      <c r="B57" s="0" t="s">
        <v>66</v>
      </c>
      <c r="C57" s="15" t="n">
        <f aca="false">C52/C55</f>
        <v>0.95</v>
      </c>
      <c r="D57" s="15" t="n">
        <f aca="false">D52/D55</f>
        <v>0.95</v>
      </c>
      <c r="E57" s="15" t="n">
        <f aca="false">E52/E55</f>
        <v>0.961822301251852</v>
      </c>
      <c r="F57" s="15" t="n">
        <f aca="false">F52/F55</f>
        <v>0.954988287043796</v>
      </c>
      <c r="G57" s="15" t="n">
        <f aca="false">G52/G55</f>
        <v>0.957509804934592</v>
      </c>
    </row>
    <row r="58" customFormat="false" ht="17.15" hidden="false" customHeight="false" outlineLevel="0" collapsed="false">
      <c r="A58" s="6" t="s">
        <v>505</v>
      </c>
    </row>
    <row r="59" customFormat="false" ht="17.15" hidden="false" customHeight="false" outlineLevel="0" collapsed="false">
      <c r="A59" s="4" t="s">
        <v>410</v>
      </c>
      <c r="B59" s="0" t="s">
        <v>66</v>
      </c>
      <c r="C59" s="15" t="n">
        <f aca="false">a25_gp/a25_rev</f>
        <v>0.4781</v>
      </c>
      <c r="D59" s="15" t="n">
        <f aca="false">a26_gp/a26_rev</f>
        <v>0.481700625951015</v>
      </c>
      <c r="E59" s="15" t="n">
        <f aca="false">gm_27</f>
        <v>0.47</v>
      </c>
      <c r="F59" s="15" t="n">
        <f aca="false">gm_28</f>
        <v>0.46</v>
      </c>
      <c r="G59" s="15" t="n">
        <f aca="false">gm_29</f>
        <v>0.45</v>
      </c>
      <c r="H59" s="8" t="s">
        <v>506</v>
      </c>
    </row>
    <row r="60" customFormat="false" ht="15" hidden="false" customHeight="false" outlineLevel="0" collapsed="false">
      <c r="A60" s="4" t="s">
        <v>409</v>
      </c>
      <c r="B60" s="0" t="s">
        <v>168</v>
      </c>
      <c r="C60" s="19" t="n">
        <f aca="false">C55*C59</f>
        <v>11.8769602</v>
      </c>
      <c r="D60" s="19" t="n">
        <f aca="false">D55*D59</f>
        <v>26.0600424</v>
      </c>
      <c r="E60" s="19" t="n">
        <f aca="false">E55*E59</f>
        <v>36.6309943725417</v>
      </c>
      <c r="F60" s="19" t="n">
        <f aca="false">F55*F59</f>
        <v>33.4491875007053</v>
      </c>
      <c r="G60" s="19" t="n">
        <f aca="false">G55*G59</f>
        <v>38.1302590704979</v>
      </c>
    </row>
    <row r="61" customFormat="false" ht="15" hidden="false" customHeight="false" outlineLevel="0" collapsed="false">
      <c r="A61" s="4" t="s">
        <v>507</v>
      </c>
      <c r="B61" s="0" t="s">
        <v>168</v>
      </c>
      <c r="C61" s="19" t="n">
        <f aca="false">a25_opx</f>
        <v>1.02127838181818</v>
      </c>
      <c r="D61" s="19" t="n">
        <f aca="false">a26_opx</f>
        <v>3.21377711360775</v>
      </c>
      <c r="E61" s="19" t="n">
        <f aca="false">D61*(1+MAX(0,phi*E56))</f>
        <v>4.063432203372</v>
      </c>
      <c r="F61" s="19" t="n">
        <f aca="false">E61*(1+MAX(0,phi*F56))</f>
        <v>4.063432203372</v>
      </c>
      <c r="G61" s="19" t="n">
        <f aca="false">F61*(1+MAX(0,phi*G56))</f>
        <v>4.46638946940144</v>
      </c>
    </row>
    <row r="62" customFormat="false" ht="15" hidden="false" customHeight="false" outlineLevel="0" collapsed="false">
      <c r="A62" s="4" t="s">
        <v>508</v>
      </c>
      <c r="B62" s="0" t="s">
        <v>168</v>
      </c>
      <c r="C62" s="19" t="n">
        <f aca="false">C61</f>
        <v>1.02127838181818</v>
      </c>
      <c r="D62" s="19" t="n">
        <f aca="false">D61</f>
        <v>3.21377711360775</v>
      </c>
      <c r="E62" s="19" t="n">
        <f aca="false">E61+0*E55</f>
        <v>4.063432203372</v>
      </c>
      <c r="F62" s="19" t="n">
        <f aca="false">F61+0*F55</f>
        <v>4.063432203372</v>
      </c>
      <c r="G62" s="19" t="n">
        <f aca="false">G61+0*G55</f>
        <v>4.46638946940144</v>
      </c>
    </row>
    <row r="63" customFormat="false" ht="15" hidden="false" customHeight="false" outlineLevel="0" collapsed="false">
      <c r="A63" s="4" t="s">
        <v>509</v>
      </c>
      <c r="B63" s="0" t="s">
        <v>168</v>
      </c>
      <c r="C63" s="19" t="n">
        <f aca="false">C60-C62</f>
        <v>10.8556818181818</v>
      </c>
      <c r="D63" s="19" t="n">
        <f aca="false">D60-D62</f>
        <v>22.8462652863923</v>
      </c>
      <c r="E63" s="19" t="n">
        <f aca="false">E60-E62</f>
        <v>32.5675621691697</v>
      </c>
      <c r="F63" s="19" t="n">
        <f aca="false">F60-F62</f>
        <v>29.3857552973333</v>
      </c>
      <c r="G63" s="19" t="n">
        <f aca="false">G60-G62</f>
        <v>33.6638696010964</v>
      </c>
    </row>
    <row r="64" customFormat="false" ht="15" hidden="false" customHeight="false" outlineLevel="0" collapsed="false">
      <c r="A64" s="4" t="s">
        <v>510</v>
      </c>
      <c r="B64" s="0" t="s">
        <v>66</v>
      </c>
      <c r="C64" s="15" t="n">
        <f aca="false">C63/C55</f>
        <v>0.43698904348208</v>
      </c>
      <c r="D64" s="15" t="n">
        <f aca="false">D63/D55</f>
        <v>0.422296330918406</v>
      </c>
      <c r="E64" s="15" t="n">
        <f aca="false">E63/E55</f>
        <v>0.4178634645797</v>
      </c>
      <c r="F64" s="15" t="n">
        <f aca="false">F63/F55</f>
        <v>0.404118857490583</v>
      </c>
      <c r="G64" s="15" t="n">
        <f aca="false">G63/G55</f>
        <v>0.397289231433895</v>
      </c>
    </row>
    <row r="65" customFormat="false" ht="15" hidden="false" customHeight="false" outlineLevel="0" collapsed="false">
      <c r="A65" s="4" t="s">
        <v>417</v>
      </c>
      <c r="B65" s="0" t="s">
        <v>168</v>
      </c>
      <c r="C65" s="19" t="n">
        <f aca="false">a25_ni</f>
        <v>9.532</v>
      </c>
      <c r="D65" s="19" t="n">
        <f aca="false">a26_ni</f>
        <v>20.0605180178692</v>
      </c>
      <c r="E65" s="19" t="n">
        <f aca="false">E63*(1-tx)*attr</f>
        <v>28.5964537092999</v>
      </c>
      <c r="F65" s="19" t="n">
        <f aca="false">F63*(1-tx)*attr</f>
        <v>25.8026187747178</v>
      </c>
      <c r="G65" s="19" t="n">
        <f aca="false">G63*(1-tx)*attr</f>
        <v>29.5590834746292</v>
      </c>
    </row>
    <row r="66" customFormat="false" ht="15" hidden="false" customHeight="false" outlineLevel="0" collapsed="false">
      <c r="A66" s="4" t="s">
        <v>419</v>
      </c>
      <c r="B66" s="0" t="s">
        <v>66</v>
      </c>
      <c r="C66" s="15" t="n">
        <f aca="false">C65/C55</f>
        <v>0.383705015699219</v>
      </c>
      <c r="D66" s="15" t="n">
        <f aca="false">D65/D55</f>
        <v>0.370803851267302</v>
      </c>
      <c r="E66" s="15" t="n">
        <f aca="false">E65/E55</f>
        <v>0.366911504139941</v>
      </c>
      <c r="F66" s="15" t="n">
        <f aca="false">F65/F55</f>
        <v>0.354842838443233</v>
      </c>
      <c r="G66" s="15" t="n">
        <f aca="false">G65/G55</f>
        <v>0.348845979225849</v>
      </c>
    </row>
    <row r="67" customFormat="false" ht="15" hidden="false" customHeight="false" outlineLevel="0" collapsed="false">
      <c r="A67" s="4" t="s">
        <v>511</v>
      </c>
      <c r="B67" s="4" t="s">
        <v>204</v>
      </c>
      <c r="C67" s="16" t="n">
        <f aca="false">a25_sh</f>
        <v>1.38863683662851</v>
      </c>
      <c r="D67" s="16" t="n">
        <f aca="false">a26_sh</f>
        <v>1.39284103512015</v>
      </c>
      <c r="E67" s="16" t="n">
        <f aca="false">sh_post*(1+sh_g)</f>
        <v>1.394</v>
      </c>
      <c r="F67" s="16" t="n">
        <f aca="false">E67*(1+sh_g)</f>
        <v>1.394</v>
      </c>
      <c r="G67" s="16" t="n">
        <f aca="false">F67*(1+sh_g)</f>
        <v>1.394</v>
      </c>
    </row>
    <row r="68" customFormat="false" ht="15" hidden="false" customHeight="false" outlineLevel="0" collapsed="false">
      <c r="A68" s="0" t="s">
        <v>422</v>
      </c>
      <c r="B68" s="0" t="s">
        <v>140</v>
      </c>
      <c r="C68" s="19" t="n">
        <f aca="false">C65/C67</f>
        <v>6.86428571428571</v>
      </c>
      <c r="D68" s="19" t="n">
        <f aca="false">D65/D67</f>
        <v>14.402589751485</v>
      </c>
      <c r="E68" s="19" t="n">
        <f aca="false">E65/E67</f>
        <v>20.5139553151363</v>
      </c>
      <c r="F68" s="19" t="n">
        <f aca="false">F65/F67</f>
        <v>18.5097695657947</v>
      </c>
      <c r="G68" s="19" t="n">
        <f aca="false">G65/G67</f>
        <v>21.2045075140812</v>
      </c>
    </row>
    <row r="69" customFormat="false" ht="17.15" hidden="false" customHeight="false" outlineLevel="0" collapsed="false">
      <c r="A69" s="0" t="s">
        <v>512</v>
      </c>
      <c r="B69" s="0" t="s">
        <v>66</v>
      </c>
      <c r="D69" s="15" t="n">
        <f aca="false">D68/C68-1</f>
        <v>1.09819205536722</v>
      </c>
      <c r="E69" s="15" t="n">
        <f aca="false">E68/D68-1</f>
        <v>0.424324074288181</v>
      </c>
      <c r="F69" s="15" t="n">
        <f aca="false">F68/E68-1</f>
        <v>-0.0976986504334804</v>
      </c>
      <c r="G69" s="15" t="n">
        <f aca="false">G68/F68-1</f>
        <v>0.145584629711775</v>
      </c>
    </row>
    <row r="72" customFormat="false" ht="17.15" hidden="false" customHeight="false" outlineLevel="0" collapsed="false">
      <c r="A72" s="1" t="s">
        <v>848</v>
      </c>
    </row>
    <row r="73" customFormat="false" ht="17.15" hidden="false" customHeight="false" outlineLevel="0" collapsed="false">
      <c r="A73" s="5" t="s">
        <v>22</v>
      </c>
      <c r="B73" s="5" t="s">
        <v>23</v>
      </c>
      <c r="C73" s="13" t="s">
        <v>399</v>
      </c>
      <c r="D73" s="13" t="s">
        <v>468</v>
      </c>
      <c r="E73" s="13" t="s">
        <v>469</v>
      </c>
      <c r="F73" s="13" t="s">
        <v>470</v>
      </c>
      <c r="G73" s="13" t="s">
        <v>471</v>
      </c>
      <c r="H73" s="5" t="s">
        <v>405</v>
      </c>
    </row>
    <row r="74" customFormat="false" ht="17.15" hidden="false" customHeight="false" outlineLevel="0" collapsed="false">
      <c r="A74" s="6" t="s">
        <v>488</v>
      </c>
    </row>
    <row r="75" customFormat="false" ht="17.15" hidden="false" customHeight="false" outlineLevel="0" collapsed="false">
      <c r="A75" s="0" t="s">
        <v>489</v>
      </c>
      <c r="B75" s="0" t="s">
        <v>33</v>
      </c>
      <c r="D75" s="19" t="n">
        <f aca="false">mpl_26*1</f>
        <v>29.753262</v>
      </c>
      <c r="E75" s="19" t="n">
        <f aca="false">mpl_27*1*1</f>
        <v>53.560715</v>
      </c>
      <c r="F75" s="19" t="n">
        <f aca="false">mpl_28*um28_A*1</f>
        <v>57.9915</v>
      </c>
      <c r="G75" s="19" t="n">
        <f aca="false">mpl_29*um29_A*1</f>
        <v>72.9348</v>
      </c>
    </row>
    <row r="76" customFormat="false" ht="17.15" hidden="false" customHeight="false" outlineLevel="0" collapsed="false">
      <c r="A76" s="0" t="s">
        <v>490</v>
      </c>
      <c r="B76" s="0" t="s">
        <v>33</v>
      </c>
      <c r="D76" s="19" t="n">
        <f aca="false">mcp_26*1</f>
        <v>0.300538</v>
      </c>
      <c r="E76" s="19" t="n">
        <f aca="false">mcp_27*1</f>
        <v>2.818985</v>
      </c>
      <c r="F76" s="19" t="n">
        <f aca="false">mcp_28*um28_A</f>
        <v>6.4435</v>
      </c>
      <c r="G76" s="19" t="n">
        <f aca="false">mcp_29*um29_A</f>
        <v>11.74736</v>
      </c>
    </row>
    <row r="77" customFormat="false" ht="17.15" hidden="false" customHeight="false" outlineLevel="0" collapsed="false">
      <c r="A77" s="4" t="s">
        <v>491</v>
      </c>
      <c r="B77" s="0" t="s">
        <v>140</v>
      </c>
      <c r="D77" s="17" t="n">
        <f aca="false">fx</f>
        <v>6.72</v>
      </c>
      <c r="E77" s="17" t="n">
        <f aca="false">fx</f>
        <v>6.72</v>
      </c>
      <c r="F77" s="17" t="n">
        <f aca="false">fx</f>
        <v>6.72</v>
      </c>
      <c r="G77" s="17" t="n">
        <f aca="false">fx</f>
        <v>6.72</v>
      </c>
      <c r="H77" s="8" t="s">
        <v>492</v>
      </c>
    </row>
    <row r="78" customFormat="false" ht="17.15" hidden="false" customHeight="false" outlineLevel="0" collapsed="false">
      <c r="A78" s="4" t="s">
        <v>493</v>
      </c>
      <c r="B78" s="0" t="s">
        <v>66</v>
      </c>
      <c r="D78" s="15" t="n">
        <f aca="false">a26_aiu/D75</f>
        <v>0.257050026505137</v>
      </c>
      <c r="H78" s="8" t="s">
        <v>494</v>
      </c>
    </row>
    <row r="79" customFormat="false" ht="17.15" hidden="false" customHeight="false" outlineLevel="0" collapsed="false">
      <c r="A79" s="4" t="s">
        <v>495</v>
      </c>
      <c r="B79" s="0" t="s">
        <v>81</v>
      </c>
      <c r="D79" s="17" t="n">
        <f aca="false">1</f>
        <v>1</v>
      </c>
      <c r="E79" s="17" t="n">
        <f aca="false">RHI_27</f>
        <v>1.15</v>
      </c>
      <c r="F79" s="17" t="n">
        <f aca="false">RHI_28</f>
        <v>1.2</v>
      </c>
      <c r="G79" s="17" t="n">
        <f aca="false">RHI_29</f>
        <v>1.2</v>
      </c>
    </row>
    <row r="80" customFormat="false" ht="15" hidden="false" customHeight="false" outlineLevel="0" collapsed="false">
      <c r="A80" s="4" t="s">
        <v>496</v>
      </c>
      <c r="B80" s="0" t="s">
        <v>66</v>
      </c>
      <c r="D80" s="15" t="n">
        <f aca="false">$D$78*D79</f>
        <v>0.257050026505137</v>
      </c>
      <c r="E80" s="15" t="n">
        <f aca="false">$D$78*E79</f>
        <v>0.295607530480908</v>
      </c>
      <c r="F80" s="15" t="n">
        <f aca="false">$D$78*F79</f>
        <v>0.308460031806164</v>
      </c>
      <c r="G80" s="15" t="n">
        <f aca="false">$D$78*G79</f>
        <v>0.308460031806164</v>
      </c>
    </row>
    <row r="81" customFormat="false" ht="15" hidden="false" customHeight="false" outlineLevel="0" collapsed="false">
      <c r="A81" s="4" t="s">
        <v>497</v>
      </c>
      <c r="B81" s="0" t="s">
        <v>81</v>
      </c>
      <c r="D81" s="17" t="n">
        <f aca="false">1</f>
        <v>1</v>
      </c>
      <c r="E81" s="17" t="n">
        <f aca="false">pxr_27</f>
        <v>1</v>
      </c>
      <c r="F81" s="17" t="n">
        <f aca="false">pxr_28</f>
        <v>1</v>
      </c>
      <c r="G81" s="17" t="n">
        <f aca="false">pxr_29</f>
        <v>1</v>
      </c>
    </row>
    <row r="82" customFormat="false" ht="17.15" hidden="false" customHeight="false" outlineLevel="0" collapsed="false">
      <c r="A82" s="4" t="s">
        <v>498</v>
      </c>
      <c r="B82" s="0" t="s">
        <v>66</v>
      </c>
      <c r="D82" s="15" t="n">
        <f aca="false">0</f>
        <v>0</v>
      </c>
      <c r="E82" s="15" t="n">
        <f aca="false">cpo_27</f>
        <v>0.05</v>
      </c>
      <c r="F82" s="15" t="n">
        <f aca="false">cpo_28</f>
        <v>0.1</v>
      </c>
      <c r="G82" s="15" t="n">
        <f aca="false">cpo_29</f>
        <v>0.15</v>
      </c>
    </row>
    <row r="83" customFormat="false" ht="17.15" hidden="false" customHeight="false" outlineLevel="0" collapsed="false">
      <c r="A83" s="0" t="s">
        <v>499</v>
      </c>
      <c r="B83" s="0" t="s">
        <v>33</v>
      </c>
      <c r="D83" s="19" t="n">
        <f aca="false">a26_aiu</f>
        <v>7.64807678571429</v>
      </c>
      <c r="E83" s="19" t="n">
        <f aca="false">E75*E80*E81+E76*E82</f>
        <v>15.9738999419417</v>
      </c>
      <c r="F83" s="19" t="n">
        <f aca="false">F75*F80*F81+F76*F82</f>
        <v>18.5324099344872</v>
      </c>
      <c r="G83" s="19" t="n">
        <f aca="false">G75*G80*G81+G76*G82</f>
        <v>24.2595747277762</v>
      </c>
    </row>
    <row r="84" customFormat="false" ht="17.15" hidden="false" customHeight="false" outlineLevel="0" collapsed="false">
      <c r="A84" s="0" t="s">
        <v>500</v>
      </c>
      <c r="B84" s="0" t="s">
        <v>168</v>
      </c>
      <c r="C84" s="19" t="n">
        <f aca="false">a25_ai</f>
        <v>23.5999</v>
      </c>
      <c r="D84" s="19" t="n">
        <f aca="false">D83*D77</f>
        <v>51.395076</v>
      </c>
      <c r="E84" s="19" t="n">
        <f aca="false">E83*E77</f>
        <v>107.344607609848</v>
      </c>
      <c r="F84" s="19" t="n">
        <f aca="false">F83*F77</f>
        <v>124.537794759754</v>
      </c>
      <c r="G84" s="19" t="n">
        <f aca="false">G83*G77</f>
        <v>163.024342170656</v>
      </c>
    </row>
    <row r="85" customFormat="false" ht="17.15" hidden="false" customHeight="false" outlineLevel="0" collapsed="false">
      <c r="A85" s="6" t="s">
        <v>501</v>
      </c>
    </row>
    <row r="86" customFormat="false" ht="15" hidden="false" customHeight="false" outlineLevel="0" collapsed="false">
      <c r="A86" s="4" t="s">
        <v>502</v>
      </c>
      <c r="B86" s="0" t="s">
        <v>168</v>
      </c>
      <c r="C86" s="19" t="n">
        <f aca="false">a25_oth</f>
        <v>1.2421</v>
      </c>
      <c r="D86" s="19" t="n">
        <f aca="false">a26_oth</f>
        <v>2.705004</v>
      </c>
      <c r="E86" s="19" t="n">
        <f aca="false">D86*(1+g_oth)</f>
        <v>2.9755044</v>
      </c>
      <c r="F86" s="19" t="n">
        <f aca="false">E86*(1+g_oth)</f>
        <v>3.27305484</v>
      </c>
      <c r="G86" s="19" t="n">
        <f aca="false">F86*(1+g_oth)</f>
        <v>3.600360324</v>
      </c>
    </row>
    <row r="87" customFormat="false" ht="15" hidden="false" customHeight="false" outlineLevel="0" collapsed="false">
      <c r="A87" s="4" t="s">
        <v>406</v>
      </c>
      <c r="B87" s="0" t="s">
        <v>168</v>
      </c>
      <c r="C87" s="19" t="n">
        <f aca="false">a25_rev</f>
        <v>24.842</v>
      </c>
      <c r="D87" s="19" t="n">
        <f aca="false">D84+D86</f>
        <v>54.10008</v>
      </c>
      <c r="E87" s="19" t="n">
        <f aca="false">E84+E86</f>
        <v>110.320112009848</v>
      </c>
      <c r="F87" s="19" t="n">
        <f aca="false">F84+F86</f>
        <v>127.810849599754</v>
      </c>
      <c r="G87" s="19" t="n">
        <f aca="false">G84+G86</f>
        <v>166.624702494656</v>
      </c>
    </row>
    <row r="88" customFormat="false" ht="15" hidden="false" customHeight="false" outlineLevel="0" collapsed="false">
      <c r="A88" s="4" t="s">
        <v>503</v>
      </c>
      <c r="B88" s="0" t="s">
        <v>66</v>
      </c>
      <c r="D88" s="15" t="n">
        <f aca="false">D87/C87-1</f>
        <v>1.17776668545206</v>
      </c>
      <c r="E88" s="15" t="n">
        <f aca="false">E87/D87-1</f>
        <v>1.03918574630293</v>
      </c>
      <c r="F88" s="15" t="n">
        <f aca="false">F87/E87-1</f>
        <v>0.158545321168131</v>
      </c>
      <c r="G88" s="15" t="n">
        <f aca="false">G87/F87-1</f>
        <v>0.303681988003757</v>
      </c>
    </row>
    <row r="89" customFormat="false" ht="17.15" hidden="false" customHeight="false" outlineLevel="0" collapsed="false">
      <c r="A89" s="0" t="s">
        <v>504</v>
      </c>
      <c r="B89" s="0" t="s">
        <v>66</v>
      </c>
      <c r="C89" s="15" t="n">
        <f aca="false">C84/C87</f>
        <v>0.95</v>
      </c>
      <c r="D89" s="15" t="n">
        <f aca="false">D84/D87</f>
        <v>0.95</v>
      </c>
      <c r="E89" s="15" t="n">
        <f aca="false">E84/E87</f>
        <v>0.973028450154815</v>
      </c>
      <c r="F89" s="15" t="n">
        <f aca="false">F84/F87</f>
        <v>0.974391416297992</v>
      </c>
      <c r="G89" s="15" t="n">
        <f aca="false">G84/G87</f>
        <v>0.978392397585133</v>
      </c>
    </row>
    <row r="90" customFormat="false" ht="17.15" hidden="false" customHeight="false" outlineLevel="0" collapsed="false">
      <c r="A90" s="6" t="s">
        <v>505</v>
      </c>
    </row>
    <row r="91" customFormat="false" ht="17.15" hidden="false" customHeight="false" outlineLevel="0" collapsed="false">
      <c r="A91" s="4" t="s">
        <v>410</v>
      </c>
      <c r="B91" s="0" t="s">
        <v>66</v>
      </c>
      <c r="C91" s="15" t="n">
        <f aca="false">a25_gp/a25_rev</f>
        <v>0.4781</v>
      </c>
      <c r="D91" s="15" t="n">
        <f aca="false">a26_gp/a26_rev</f>
        <v>0.481700625951015</v>
      </c>
      <c r="E91" s="15" t="n">
        <f aca="false">gm_27</f>
        <v>0.47</v>
      </c>
      <c r="F91" s="15" t="n">
        <f aca="false">gm_28</f>
        <v>0.46</v>
      </c>
      <c r="G91" s="15" t="n">
        <f aca="false">gm_29</f>
        <v>0.45</v>
      </c>
      <c r="H91" s="8" t="s">
        <v>506</v>
      </c>
    </row>
    <row r="92" customFormat="false" ht="15" hidden="false" customHeight="false" outlineLevel="0" collapsed="false">
      <c r="A92" s="4" t="s">
        <v>409</v>
      </c>
      <c r="B92" s="0" t="s">
        <v>168</v>
      </c>
      <c r="C92" s="19" t="n">
        <f aca="false">C87*C91</f>
        <v>11.8769602</v>
      </c>
      <c r="D92" s="19" t="n">
        <f aca="false">D87*D91</f>
        <v>26.0600424</v>
      </c>
      <c r="E92" s="19" t="n">
        <f aca="false">E87*E91</f>
        <v>51.8504526446287</v>
      </c>
      <c r="F92" s="19" t="n">
        <f aca="false">F87*F91</f>
        <v>58.7929908158868</v>
      </c>
      <c r="G92" s="19" t="n">
        <f aca="false">G87*G91</f>
        <v>74.9811161225954</v>
      </c>
    </row>
    <row r="93" customFormat="false" ht="15" hidden="false" customHeight="false" outlineLevel="0" collapsed="false">
      <c r="A93" s="4" t="s">
        <v>507</v>
      </c>
      <c r="B93" s="0" t="s">
        <v>168</v>
      </c>
      <c r="C93" s="19" t="n">
        <f aca="false">a25_opx</f>
        <v>1.02127838181818</v>
      </c>
      <c r="D93" s="19" t="n">
        <f aca="false">a26_opx</f>
        <v>3.21377711360775</v>
      </c>
      <c r="E93" s="19" t="n">
        <f aca="false">D93*(1+MAX(0,phi*E88))</f>
        <v>5.2176039345612</v>
      </c>
      <c r="F93" s="19" t="n">
        <f aca="false">E93*(1+MAX(0,phi*F88))</f>
        <v>5.71393994948107</v>
      </c>
      <c r="G93" s="19" t="n">
        <f aca="false">F93*(1+MAX(0,phi*G88))</f>
        <v>6.75507233539656</v>
      </c>
    </row>
    <row r="94" customFormat="false" ht="15" hidden="false" customHeight="false" outlineLevel="0" collapsed="false">
      <c r="A94" s="4" t="s">
        <v>508</v>
      </c>
      <c r="B94" s="0" t="s">
        <v>168</v>
      </c>
      <c r="C94" s="19" t="n">
        <f aca="false">C93</f>
        <v>1.02127838181818</v>
      </c>
      <c r="D94" s="19" t="n">
        <f aca="false">D93</f>
        <v>3.21377711360775</v>
      </c>
      <c r="E94" s="19" t="n">
        <f aca="false">E93+0*E87</f>
        <v>5.2176039345612</v>
      </c>
      <c r="F94" s="19" t="n">
        <f aca="false">F93+0*F87</f>
        <v>5.71393994948107</v>
      </c>
      <c r="G94" s="19" t="n">
        <f aca="false">G93+0*G87</f>
        <v>6.75507233539656</v>
      </c>
    </row>
    <row r="95" customFormat="false" ht="15" hidden="false" customHeight="false" outlineLevel="0" collapsed="false">
      <c r="A95" s="4" t="s">
        <v>509</v>
      </c>
      <c r="B95" s="0" t="s">
        <v>168</v>
      </c>
      <c r="C95" s="19" t="n">
        <f aca="false">C92-C94</f>
        <v>10.8556818181818</v>
      </c>
      <c r="D95" s="19" t="n">
        <f aca="false">D92-D94</f>
        <v>22.8462652863923</v>
      </c>
      <c r="E95" s="19" t="n">
        <f aca="false">E92-E94</f>
        <v>46.6328487100675</v>
      </c>
      <c r="F95" s="19" t="n">
        <f aca="false">F92-F94</f>
        <v>53.0790508664057</v>
      </c>
      <c r="G95" s="19" t="n">
        <f aca="false">G92-G94</f>
        <v>68.2260437871988</v>
      </c>
    </row>
    <row r="96" customFormat="false" ht="15" hidden="false" customHeight="false" outlineLevel="0" collapsed="false">
      <c r="A96" s="4" t="s">
        <v>510</v>
      </c>
      <c r="B96" s="0" t="s">
        <v>66</v>
      </c>
      <c r="C96" s="15" t="n">
        <f aca="false">C95/C87</f>
        <v>0.43698904348208</v>
      </c>
      <c r="D96" s="15" t="n">
        <f aca="false">D95/D87</f>
        <v>0.422296330918406</v>
      </c>
      <c r="E96" s="15" t="n">
        <f aca="false">E95/E87</f>
        <v>0.42270487094778</v>
      </c>
      <c r="F96" s="15" t="n">
        <f aca="false">F95/F87</f>
        <v>0.415293780086944</v>
      </c>
      <c r="G96" s="15" t="n">
        <f aca="false">G95/G87</f>
        <v>0.409459358460891</v>
      </c>
    </row>
    <row r="97" customFormat="false" ht="15" hidden="false" customHeight="false" outlineLevel="0" collapsed="false">
      <c r="A97" s="4" t="s">
        <v>417</v>
      </c>
      <c r="B97" s="0" t="s">
        <v>168</v>
      </c>
      <c r="C97" s="19" t="n">
        <f aca="false">a25_ni</f>
        <v>9.532</v>
      </c>
      <c r="D97" s="19" t="n">
        <f aca="false">a26_ni</f>
        <v>20.0605180178692</v>
      </c>
      <c r="E97" s="19" t="n">
        <f aca="false">E95*(1-tx)*attr</f>
        <v>40.946696978524</v>
      </c>
      <c r="F97" s="19" t="n">
        <f aca="false">F95*(1-tx)*attr</f>
        <v>46.6068848859573</v>
      </c>
      <c r="G97" s="19" t="n">
        <f aca="false">G95*(1-tx)*attr</f>
        <v>59.9069372400324</v>
      </c>
    </row>
    <row r="98" customFormat="false" ht="15" hidden="false" customHeight="false" outlineLevel="0" collapsed="false">
      <c r="A98" s="4" t="s">
        <v>419</v>
      </c>
      <c r="B98" s="0" t="s">
        <v>66</v>
      </c>
      <c r="C98" s="15" t="n">
        <f aca="false">C97/C87</f>
        <v>0.383705015699219</v>
      </c>
      <c r="D98" s="15" t="n">
        <f aca="false">D97/D87</f>
        <v>0.370803851267302</v>
      </c>
      <c r="E98" s="15" t="n">
        <f aca="false">E97/E87</f>
        <v>0.371162576184374</v>
      </c>
      <c r="F98" s="15" t="n">
        <f aca="false">F97/F87</f>
        <v>0.364655152766053</v>
      </c>
      <c r="G98" s="15" t="n">
        <f aca="false">G97/G87</f>
        <v>0.35953214825367</v>
      </c>
    </row>
    <row r="99" customFormat="false" ht="15" hidden="false" customHeight="false" outlineLevel="0" collapsed="false">
      <c r="A99" s="4" t="s">
        <v>511</v>
      </c>
      <c r="B99" s="4" t="s">
        <v>204</v>
      </c>
      <c r="C99" s="16" t="n">
        <f aca="false">a25_sh</f>
        <v>1.38863683662851</v>
      </c>
      <c r="D99" s="16" t="n">
        <f aca="false">a26_sh</f>
        <v>1.39284103512015</v>
      </c>
      <c r="E99" s="16" t="n">
        <f aca="false">sh_post*(1+sh_g)</f>
        <v>1.394</v>
      </c>
      <c r="F99" s="16" t="n">
        <f aca="false">E99*(1+sh_g)</f>
        <v>1.394</v>
      </c>
      <c r="G99" s="16" t="n">
        <f aca="false">F99*(1+sh_g)</f>
        <v>1.394</v>
      </c>
    </row>
    <row r="100" customFormat="false" ht="15" hidden="false" customHeight="false" outlineLevel="0" collapsed="false">
      <c r="A100" s="0" t="s">
        <v>422</v>
      </c>
      <c r="B100" s="0" t="s">
        <v>140</v>
      </c>
      <c r="C100" s="19" t="n">
        <f aca="false">C97/C99</f>
        <v>6.86428571428571</v>
      </c>
      <c r="D100" s="19" t="n">
        <f aca="false">D97/D99</f>
        <v>14.402589751485</v>
      </c>
      <c r="E100" s="19" t="n">
        <f aca="false">E97/E99</f>
        <v>29.3735272442783</v>
      </c>
      <c r="F100" s="19" t="n">
        <f aca="false">F97/F99</f>
        <v>33.4339202912176</v>
      </c>
      <c r="G100" s="19" t="n">
        <f aca="false">G97/G99</f>
        <v>42.9748473744852</v>
      </c>
    </row>
    <row r="101" customFormat="false" ht="17.15" hidden="false" customHeight="false" outlineLevel="0" collapsed="false">
      <c r="A101" s="0" t="s">
        <v>512</v>
      </c>
      <c r="B101" s="0" t="s">
        <v>66</v>
      </c>
      <c r="D101" s="15" t="n">
        <f aca="false">D100/C100-1</f>
        <v>1.09819205536722</v>
      </c>
      <c r="E101" s="15" t="n">
        <f aca="false">E100/D100-1</f>
        <v>1.03946149623888</v>
      </c>
      <c r="F101" s="15" t="n">
        <f aca="false">F100/E100-1</f>
        <v>0.138233076782774</v>
      </c>
      <c r="G101" s="15" t="n">
        <f aca="false">G100/F100-1</f>
        <v>0.28536668748875</v>
      </c>
    </row>
    <row r="104" customFormat="false" ht="17.15" hidden="false" customHeight="false" outlineLevel="0" collapsed="false">
      <c r="A104" s="1" t="s">
        <v>849</v>
      </c>
    </row>
    <row r="105" customFormat="false" ht="17.15" hidden="false" customHeight="false" outlineLevel="0" collapsed="false">
      <c r="A105" s="5" t="s">
        <v>22</v>
      </c>
      <c r="B105" s="5" t="s">
        <v>23</v>
      </c>
      <c r="C105" s="13" t="s">
        <v>399</v>
      </c>
      <c r="D105" s="13" t="s">
        <v>468</v>
      </c>
      <c r="E105" s="13" t="s">
        <v>469</v>
      </c>
      <c r="F105" s="13" t="s">
        <v>470</v>
      </c>
      <c r="G105" s="13" t="s">
        <v>471</v>
      </c>
      <c r="H105" s="5" t="s">
        <v>405</v>
      </c>
    </row>
    <row r="106" customFormat="false" ht="17.15" hidden="false" customHeight="false" outlineLevel="0" collapsed="false">
      <c r="A106" s="6" t="s">
        <v>488</v>
      </c>
    </row>
    <row r="107" customFormat="false" ht="17.15" hidden="false" customHeight="false" outlineLevel="0" collapsed="false">
      <c r="A107" s="0" t="s">
        <v>489</v>
      </c>
      <c r="B107" s="0" t="s">
        <v>33</v>
      </c>
      <c r="D107" s="19" t="n">
        <f aca="false">mpl_26*1</f>
        <v>29.753262</v>
      </c>
      <c r="E107" s="19" t="n">
        <f aca="false">mpl_27*1*1</f>
        <v>53.560715</v>
      </c>
      <c r="F107" s="19" t="n">
        <f aca="false">mpl_28*um28_A*1</f>
        <v>57.9915</v>
      </c>
      <c r="G107" s="19" t="n">
        <f aca="false">mpl_29*um29_A*1</f>
        <v>72.9348</v>
      </c>
    </row>
    <row r="108" customFormat="false" ht="17.15" hidden="false" customHeight="false" outlineLevel="0" collapsed="false">
      <c r="A108" s="0" t="s">
        <v>490</v>
      </c>
      <c r="B108" s="0" t="s">
        <v>33</v>
      </c>
      <c r="D108" s="19" t="n">
        <f aca="false">mcp_26*1</f>
        <v>0.300538</v>
      </c>
      <c r="E108" s="19" t="n">
        <f aca="false">mcp_27*1</f>
        <v>2.818985</v>
      </c>
      <c r="F108" s="19" t="n">
        <f aca="false">mcp_28*um28_A</f>
        <v>6.4435</v>
      </c>
      <c r="G108" s="19" t="n">
        <f aca="false">mcp_29*um29_A</f>
        <v>11.74736</v>
      </c>
    </row>
    <row r="109" customFormat="false" ht="17.15" hidden="false" customHeight="false" outlineLevel="0" collapsed="false">
      <c r="A109" s="4" t="s">
        <v>491</v>
      </c>
      <c r="B109" s="0" t="s">
        <v>140</v>
      </c>
      <c r="D109" s="17" t="n">
        <f aca="false">fx</f>
        <v>6.72</v>
      </c>
      <c r="E109" s="17" t="n">
        <f aca="false">fx</f>
        <v>6.72</v>
      </c>
      <c r="F109" s="17" t="n">
        <f aca="false">fx</f>
        <v>6.72</v>
      </c>
      <c r="G109" s="17" t="n">
        <f aca="false">fx</f>
        <v>6.72</v>
      </c>
      <c r="H109" s="8" t="s">
        <v>492</v>
      </c>
    </row>
    <row r="110" customFormat="false" ht="17.15" hidden="false" customHeight="false" outlineLevel="0" collapsed="false">
      <c r="A110" s="4" t="s">
        <v>493</v>
      </c>
      <c r="B110" s="0" t="s">
        <v>66</v>
      </c>
      <c r="D110" s="15" t="n">
        <f aca="false">a26_aiu/D107</f>
        <v>0.257050026505137</v>
      </c>
      <c r="H110" s="8" t="s">
        <v>494</v>
      </c>
    </row>
    <row r="111" customFormat="false" ht="17.15" hidden="false" customHeight="false" outlineLevel="0" collapsed="false">
      <c r="A111" s="4" t="s">
        <v>495</v>
      </c>
      <c r="B111" s="0" t="s">
        <v>81</v>
      </c>
      <c r="D111" s="17" t="n">
        <f aca="false">1</f>
        <v>1</v>
      </c>
      <c r="E111" s="17" t="n">
        <f aca="false">us_27</f>
        <v>0.9</v>
      </c>
      <c r="F111" s="17" t="n">
        <f aca="false">us_28</f>
        <v>0.55</v>
      </c>
      <c r="G111" s="17" t="n">
        <f aca="false">us_29</f>
        <v>0.5</v>
      </c>
    </row>
    <row r="112" customFormat="false" ht="15" hidden="false" customHeight="false" outlineLevel="0" collapsed="false">
      <c r="A112" s="4" t="s">
        <v>496</v>
      </c>
      <c r="B112" s="0" t="s">
        <v>66</v>
      </c>
      <c r="D112" s="15" t="n">
        <f aca="false">$D$110*D111</f>
        <v>0.257050026505137</v>
      </c>
      <c r="E112" s="15" t="n">
        <f aca="false">$D$110*E111</f>
        <v>0.231345023854623</v>
      </c>
      <c r="F112" s="15" t="n">
        <f aca="false">$D$110*F111</f>
        <v>0.141377514577825</v>
      </c>
      <c r="G112" s="15" t="n">
        <f aca="false">$D$110*G111</f>
        <v>0.128525013252569</v>
      </c>
    </row>
    <row r="113" customFormat="false" ht="15" hidden="false" customHeight="false" outlineLevel="0" collapsed="false">
      <c r="A113" s="4" t="s">
        <v>497</v>
      </c>
      <c r="B113" s="0" t="s">
        <v>81</v>
      </c>
      <c r="D113" s="17" t="n">
        <f aca="false">1</f>
        <v>1</v>
      </c>
      <c r="E113" s="17" t="n">
        <f aca="false">pxr_27</f>
        <v>1</v>
      </c>
      <c r="F113" s="17" t="n">
        <f aca="false">pxr_28</f>
        <v>1</v>
      </c>
      <c r="G113" s="17" t="n">
        <f aca="false">pxr_29</f>
        <v>1</v>
      </c>
    </row>
    <row r="114" customFormat="false" ht="17.15" hidden="false" customHeight="false" outlineLevel="0" collapsed="false">
      <c r="A114" s="4" t="s">
        <v>498</v>
      </c>
      <c r="B114" s="0" t="s">
        <v>66</v>
      </c>
      <c r="D114" s="15" t="n">
        <f aca="false">0</f>
        <v>0</v>
      </c>
      <c r="E114" s="15" t="n">
        <f aca="false">cpo_27</f>
        <v>0.05</v>
      </c>
      <c r="F114" s="15" t="n">
        <f aca="false">cpo_28</f>
        <v>0.1</v>
      </c>
      <c r="G114" s="15" t="n">
        <f aca="false">cpo_29</f>
        <v>0.15</v>
      </c>
    </row>
    <row r="115" customFormat="false" ht="17.15" hidden="false" customHeight="false" outlineLevel="0" collapsed="false">
      <c r="A115" s="0" t="s">
        <v>499</v>
      </c>
      <c r="B115" s="0" t="s">
        <v>33</v>
      </c>
      <c r="D115" s="19" t="n">
        <f aca="false">a26_aiu</f>
        <v>7.64807678571429</v>
      </c>
      <c r="E115" s="19" t="n">
        <f aca="false">E107*E112*E113+E108*E114</f>
        <v>12.5319541393457</v>
      </c>
      <c r="F115" s="19" t="n">
        <f aca="false">F107*F112*F113+F108*F114</f>
        <v>8.84304413663996</v>
      </c>
      <c r="G115" s="19" t="n">
        <f aca="false">G107*G112*G113+G108*G114</f>
        <v>11.1360501365734</v>
      </c>
    </row>
    <row r="116" customFormat="false" ht="17.15" hidden="false" customHeight="false" outlineLevel="0" collapsed="false">
      <c r="A116" s="0" t="s">
        <v>500</v>
      </c>
      <c r="B116" s="0" t="s">
        <v>168</v>
      </c>
      <c r="C116" s="19" t="n">
        <f aca="false">a25_ai</f>
        <v>23.5999</v>
      </c>
      <c r="D116" s="19" t="n">
        <f aca="false">D115*D109</f>
        <v>51.395076</v>
      </c>
      <c r="E116" s="19" t="n">
        <f aca="false">E115*E109</f>
        <v>84.214731816403</v>
      </c>
      <c r="F116" s="19" t="n">
        <f aca="false">F115*F109</f>
        <v>59.4252565982205</v>
      </c>
      <c r="G116" s="19" t="n">
        <f aca="false">G115*G109</f>
        <v>74.8342569177735</v>
      </c>
    </row>
    <row r="117" customFormat="false" ht="17.15" hidden="false" customHeight="false" outlineLevel="0" collapsed="false">
      <c r="A117" s="6" t="s">
        <v>501</v>
      </c>
    </row>
    <row r="118" customFormat="false" ht="15" hidden="false" customHeight="false" outlineLevel="0" collapsed="false">
      <c r="A118" s="4" t="s">
        <v>502</v>
      </c>
      <c r="B118" s="0" t="s">
        <v>168</v>
      </c>
      <c r="C118" s="19" t="n">
        <f aca="false">a25_oth</f>
        <v>1.2421</v>
      </c>
      <c r="D118" s="19" t="n">
        <f aca="false">a26_oth</f>
        <v>2.705004</v>
      </c>
      <c r="E118" s="19" t="n">
        <f aca="false">D118*(1+g_oth)</f>
        <v>2.9755044</v>
      </c>
      <c r="F118" s="19" t="n">
        <f aca="false">E118*(1+g_oth)</f>
        <v>3.27305484</v>
      </c>
      <c r="G118" s="19" t="n">
        <f aca="false">F118*(1+g_oth)</f>
        <v>3.600360324</v>
      </c>
    </row>
    <row r="119" customFormat="false" ht="15" hidden="false" customHeight="false" outlineLevel="0" collapsed="false">
      <c r="A119" s="4" t="s">
        <v>406</v>
      </c>
      <c r="B119" s="0" t="s">
        <v>168</v>
      </c>
      <c r="C119" s="19" t="n">
        <f aca="false">a25_rev</f>
        <v>24.842</v>
      </c>
      <c r="D119" s="19" t="n">
        <f aca="false">D116+D118</f>
        <v>54.10008</v>
      </c>
      <c r="E119" s="19" t="n">
        <f aca="false">E116+E118</f>
        <v>87.190236216403</v>
      </c>
      <c r="F119" s="19" t="n">
        <f aca="false">F116+F118</f>
        <v>62.6983114382205</v>
      </c>
      <c r="G119" s="19" t="n">
        <f aca="false">G116+G118</f>
        <v>78.4346172417735</v>
      </c>
    </row>
    <row r="120" customFormat="false" ht="15" hidden="false" customHeight="false" outlineLevel="0" collapsed="false">
      <c r="A120" s="4" t="s">
        <v>503</v>
      </c>
      <c r="B120" s="0" t="s">
        <v>66</v>
      </c>
      <c r="D120" s="15" t="n">
        <f aca="false">D119/C119-1</f>
        <v>1.17776668545206</v>
      </c>
      <c r="E120" s="15" t="n">
        <f aca="false">E119/D119-1</f>
        <v>0.611647084743738</v>
      </c>
      <c r="F120" s="15" t="n">
        <f aca="false">F119/E119-1</f>
        <v>-0.280902149609899</v>
      </c>
      <c r="G120" s="15" t="n">
        <f aca="false">G119/F119-1</f>
        <v>0.250984523228487</v>
      </c>
    </row>
    <row r="121" customFormat="false" ht="17.15" hidden="false" customHeight="false" outlineLevel="0" collapsed="false">
      <c r="A121" s="0" t="s">
        <v>504</v>
      </c>
      <c r="B121" s="0" t="s">
        <v>66</v>
      </c>
      <c r="C121" s="15" t="n">
        <f aca="false">C116/C119</f>
        <v>0.95</v>
      </c>
      <c r="D121" s="15" t="n">
        <f aca="false">D116/D119</f>
        <v>0.95</v>
      </c>
      <c r="E121" s="15" t="n">
        <f aca="false">E116/E119</f>
        <v>0.965873421966481</v>
      </c>
      <c r="F121" s="15" t="n">
        <f aca="false">F116/F119</f>
        <v>0.94779676254559</v>
      </c>
      <c r="G121" s="15" t="n">
        <f aca="false">G116/G119</f>
        <v>0.954097304855815</v>
      </c>
    </row>
    <row r="122" customFormat="false" ht="17.15" hidden="false" customHeight="false" outlineLevel="0" collapsed="false">
      <c r="A122" s="6" t="s">
        <v>505</v>
      </c>
    </row>
    <row r="123" customFormat="false" ht="17.15" hidden="false" customHeight="false" outlineLevel="0" collapsed="false">
      <c r="A123" s="4" t="s">
        <v>410</v>
      </c>
      <c r="B123" s="0" t="s">
        <v>66</v>
      </c>
      <c r="C123" s="15" t="n">
        <f aca="false">a25_gp/a25_rev</f>
        <v>0.4781</v>
      </c>
      <c r="D123" s="15" t="n">
        <f aca="false">a26_gp/a26_rev</f>
        <v>0.481700625951015</v>
      </c>
      <c r="E123" s="15" t="n">
        <f aca="false">gm_27</f>
        <v>0.47</v>
      </c>
      <c r="F123" s="15" t="n">
        <f aca="false">gm_28</f>
        <v>0.46</v>
      </c>
      <c r="G123" s="15" t="n">
        <f aca="false">gm_29</f>
        <v>0.45</v>
      </c>
      <c r="H123" s="8" t="s">
        <v>506</v>
      </c>
    </row>
    <row r="124" customFormat="false" ht="15" hidden="false" customHeight="false" outlineLevel="0" collapsed="false">
      <c r="A124" s="4" t="s">
        <v>409</v>
      </c>
      <c r="B124" s="0" t="s">
        <v>168</v>
      </c>
      <c r="C124" s="19" t="n">
        <f aca="false">C119*C123</f>
        <v>11.8769602</v>
      </c>
      <c r="D124" s="19" t="n">
        <f aca="false">D119*D123</f>
        <v>26.0600424</v>
      </c>
      <c r="E124" s="19" t="n">
        <f aca="false">E119*E123</f>
        <v>40.9794110217094</v>
      </c>
      <c r="F124" s="19" t="n">
        <f aca="false">F119*F123</f>
        <v>28.8412232615814</v>
      </c>
      <c r="G124" s="19" t="n">
        <f aca="false">G119*G123</f>
        <v>35.2955777587981</v>
      </c>
    </row>
    <row r="125" customFormat="false" ht="15" hidden="false" customHeight="false" outlineLevel="0" collapsed="false">
      <c r="A125" s="4" t="s">
        <v>507</v>
      </c>
      <c r="B125" s="0" t="s">
        <v>168</v>
      </c>
      <c r="C125" s="19" t="n">
        <f aca="false">a25_opx</f>
        <v>1.02127838181818</v>
      </c>
      <c r="D125" s="19" t="n">
        <f aca="false">a26_opx</f>
        <v>3.21377711360775</v>
      </c>
      <c r="E125" s="19" t="n">
        <f aca="false">D125*(1+MAX(0,phi*E120))</f>
        <v>4.39319555514035</v>
      </c>
      <c r="F125" s="19" t="n">
        <f aca="false">E125*(1+MAX(0,phi*F120))</f>
        <v>4.39319555514035</v>
      </c>
      <c r="G125" s="19" t="n">
        <f aca="false">F125*(1+MAX(0,phi*G120))</f>
        <v>5.05477001025419</v>
      </c>
    </row>
    <row r="126" customFormat="false" ht="15" hidden="false" customHeight="false" outlineLevel="0" collapsed="false">
      <c r="A126" s="4" t="s">
        <v>508</v>
      </c>
      <c r="B126" s="0" t="s">
        <v>168</v>
      </c>
      <c r="C126" s="19" t="n">
        <f aca="false">C125</f>
        <v>1.02127838181818</v>
      </c>
      <c r="D126" s="19" t="n">
        <f aca="false">D125</f>
        <v>3.21377711360775</v>
      </c>
      <c r="E126" s="19" t="n">
        <f aca="false">E125+0*E119</f>
        <v>4.39319555514035</v>
      </c>
      <c r="F126" s="19" t="n">
        <f aca="false">F125+0*F119</f>
        <v>4.39319555514035</v>
      </c>
      <c r="G126" s="19" t="n">
        <f aca="false">G125+0*G119</f>
        <v>5.05477001025419</v>
      </c>
    </row>
    <row r="127" customFormat="false" ht="15" hidden="false" customHeight="false" outlineLevel="0" collapsed="false">
      <c r="A127" s="4" t="s">
        <v>509</v>
      </c>
      <c r="B127" s="0" t="s">
        <v>168</v>
      </c>
      <c r="C127" s="19" t="n">
        <f aca="false">C124-C126</f>
        <v>10.8556818181818</v>
      </c>
      <c r="D127" s="19" t="n">
        <f aca="false">D124-D126</f>
        <v>22.8462652863923</v>
      </c>
      <c r="E127" s="19" t="n">
        <f aca="false">E124-E126</f>
        <v>36.5862154665691</v>
      </c>
      <c r="F127" s="19" t="n">
        <f aca="false">F124-F126</f>
        <v>24.4480277064411</v>
      </c>
      <c r="G127" s="19" t="n">
        <f aca="false">G124-G126</f>
        <v>30.2408077485439</v>
      </c>
    </row>
    <row r="128" customFormat="false" ht="15" hidden="false" customHeight="false" outlineLevel="0" collapsed="false">
      <c r="A128" s="4" t="s">
        <v>510</v>
      </c>
      <c r="B128" s="0" t="s">
        <v>66</v>
      </c>
      <c r="C128" s="15" t="n">
        <f aca="false">C127/C119</f>
        <v>0.43698904348208</v>
      </c>
      <c r="D128" s="15" t="n">
        <f aca="false">D127/D119</f>
        <v>0.422296330918406</v>
      </c>
      <c r="E128" s="15" t="n">
        <f aca="false">E127/E119</f>
        <v>0.41961367527166</v>
      </c>
      <c r="F128" s="15" t="n">
        <f aca="false">F127/F119</f>
        <v>0.389931198235392</v>
      </c>
      <c r="G128" s="15" t="n">
        <f aca="false">G127/G119</f>
        <v>0.385554348475075</v>
      </c>
    </row>
    <row r="129" customFormat="false" ht="15" hidden="false" customHeight="false" outlineLevel="0" collapsed="false">
      <c r="A129" s="4" t="s">
        <v>417</v>
      </c>
      <c r="B129" s="0" t="s">
        <v>168</v>
      </c>
      <c r="C129" s="19" t="n">
        <f aca="false">a25_ni</f>
        <v>9.532</v>
      </c>
      <c r="D129" s="19" t="n">
        <f aca="false">a26_ni</f>
        <v>20.0605180178692</v>
      </c>
      <c r="E129" s="19" t="n">
        <f aca="false">E127*(1-tx)*attr</f>
        <v>32.125094643364</v>
      </c>
      <c r="F129" s="19" t="n">
        <f aca="false">F127*(1-tx)*attr</f>
        <v>21.466970384807</v>
      </c>
      <c r="G129" s="19" t="n">
        <f aca="false">G127*(1-tx)*attr</f>
        <v>26.5534108577437</v>
      </c>
    </row>
    <row r="130" customFormat="false" ht="15" hidden="false" customHeight="false" outlineLevel="0" collapsed="false">
      <c r="A130" s="4" t="s">
        <v>419</v>
      </c>
      <c r="B130" s="0" t="s">
        <v>66</v>
      </c>
      <c r="C130" s="15" t="n">
        <f aca="false">C129/C119</f>
        <v>0.383705015699219</v>
      </c>
      <c r="D130" s="15" t="n">
        <f aca="false">D129/D119</f>
        <v>0.370803851267302</v>
      </c>
      <c r="E130" s="15" t="n">
        <f aca="false">E129/E119</f>
        <v>0.368448303817306</v>
      </c>
      <c r="F130" s="15" t="n">
        <f aca="false">F129/F119</f>
        <v>0.342385143911879</v>
      </c>
      <c r="G130" s="15" t="n">
        <f aca="false">G129/G119</f>
        <v>0.338541983011063</v>
      </c>
    </row>
    <row r="131" customFormat="false" ht="15" hidden="false" customHeight="false" outlineLevel="0" collapsed="false">
      <c r="A131" s="4" t="s">
        <v>511</v>
      </c>
      <c r="B131" s="4" t="s">
        <v>204</v>
      </c>
      <c r="C131" s="16" t="n">
        <f aca="false">a25_sh</f>
        <v>1.38863683662851</v>
      </c>
      <c r="D131" s="16" t="n">
        <f aca="false">a26_sh</f>
        <v>1.39284103512015</v>
      </c>
      <c r="E131" s="16" t="n">
        <f aca="false">sh_post*(1+sh_g)</f>
        <v>1.394</v>
      </c>
      <c r="F131" s="16" t="n">
        <f aca="false">E131*(1+sh_g)</f>
        <v>1.394</v>
      </c>
      <c r="G131" s="16" t="n">
        <f aca="false">F131*(1+sh_g)</f>
        <v>1.394</v>
      </c>
    </row>
    <row r="132" customFormat="false" ht="15" hidden="false" customHeight="false" outlineLevel="0" collapsed="false">
      <c r="A132" s="0" t="s">
        <v>422</v>
      </c>
      <c r="B132" s="0" t="s">
        <v>140</v>
      </c>
      <c r="C132" s="19" t="n">
        <f aca="false">C129/C131</f>
        <v>6.86428571428571</v>
      </c>
      <c r="D132" s="19" t="n">
        <f aca="false">D129/D131</f>
        <v>14.402589751485</v>
      </c>
      <c r="E132" s="19" t="n">
        <f aca="false">E129/E131</f>
        <v>23.0452615806054</v>
      </c>
      <c r="F132" s="19" t="n">
        <f aca="false">F129/F131</f>
        <v>15.3995483391729</v>
      </c>
      <c r="G132" s="19" t="n">
        <f aca="false">G129/G131</f>
        <v>19.0483578606483</v>
      </c>
    </row>
    <row r="133" customFormat="false" ht="17.15" hidden="false" customHeight="false" outlineLevel="0" collapsed="false">
      <c r="A133" s="0" t="s">
        <v>512</v>
      </c>
      <c r="B133" s="0" t="s">
        <v>66</v>
      </c>
      <c r="D133" s="15" t="n">
        <f aca="false">D132/C132-1</f>
        <v>1.09819205536722</v>
      </c>
      <c r="E133" s="15" t="n">
        <f aca="false">E132/D132-1</f>
        <v>0.600077623416953</v>
      </c>
      <c r="F133" s="15" t="n">
        <f aca="false">F132/E132-1</f>
        <v>-0.331769427510733</v>
      </c>
      <c r="G133" s="15" t="n">
        <f aca="false">G132/F132-1</f>
        <v>0.236942632414336</v>
      </c>
    </row>
    <row r="136" customFormat="false" ht="17.15" hidden="false" customHeight="false" outlineLevel="0" collapsed="false">
      <c r="A136" s="1" t="s">
        <v>850</v>
      </c>
    </row>
    <row r="137" customFormat="false" ht="17.15" hidden="false" customHeight="false" outlineLevel="0" collapsed="false">
      <c r="A137" s="5" t="s">
        <v>22</v>
      </c>
      <c r="B137" s="5" t="s">
        <v>23</v>
      </c>
      <c r="C137" s="13" t="s">
        <v>399</v>
      </c>
      <c r="D137" s="13" t="s">
        <v>468</v>
      </c>
      <c r="E137" s="13" t="s">
        <v>469</v>
      </c>
      <c r="F137" s="13" t="s">
        <v>470</v>
      </c>
      <c r="G137" s="13" t="s">
        <v>471</v>
      </c>
      <c r="H137" s="5" t="s">
        <v>405</v>
      </c>
    </row>
    <row r="138" customFormat="false" ht="17.15" hidden="false" customHeight="false" outlineLevel="0" collapsed="false">
      <c r="A138" s="6" t="s">
        <v>488</v>
      </c>
    </row>
    <row r="139" customFormat="false" ht="17.15" hidden="false" customHeight="false" outlineLevel="0" collapsed="false">
      <c r="A139" s="0" t="s">
        <v>489</v>
      </c>
      <c r="B139" s="0" t="s">
        <v>33</v>
      </c>
      <c r="D139" s="19" t="n">
        <f aca="false">mpl_26*1</f>
        <v>29.753262</v>
      </c>
      <c r="E139" s="19" t="n">
        <f aca="false">mpl_27*1*1</f>
        <v>53.560715</v>
      </c>
      <c r="F139" s="19" t="n">
        <f aca="false">mpl_28*um28_A*1</f>
        <v>57.9915</v>
      </c>
      <c r="G139" s="19" t="n">
        <f aca="false">mpl_29*um29_A*1</f>
        <v>72.9348</v>
      </c>
    </row>
    <row r="140" customFormat="false" ht="17.15" hidden="false" customHeight="false" outlineLevel="0" collapsed="false">
      <c r="A140" s="0" t="s">
        <v>490</v>
      </c>
      <c r="B140" s="0" t="s">
        <v>33</v>
      </c>
      <c r="D140" s="19" t="n">
        <f aca="false">mcp_26*1</f>
        <v>0.300538</v>
      </c>
      <c r="E140" s="19" t="n">
        <f aca="false">mcp_27*1</f>
        <v>2.818985</v>
      </c>
      <c r="F140" s="19" t="n">
        <f aca="false">mcp_28*um28_A</f>
        <v>6.4435</v>
      </c>
      <c r="G140" s="19" t="n">
        <f aca="false">mcp_29*um29_A</f>
        <v>11.74736</v>
      </c>
    </row>
    <row r="141" customFormat="false" ht="17.15" hidden="false" customHeight="false" outlineLevel="0" collapsed="false">
      <c r="A141" s="4" t="s">
        <v>491</v>
      </c>
      <c r="B141" s="0" t="s">
        <v>140</v>
      </c>
      <c r="D141" s="17" t="n">
        <f aca="false">fx</f>
        <v>6.72</v>
      </c>
      <c r="E141" s="17" t="n">
        <f aca="false">fx</f>
        <v>6.72</v>
      </c>
      <c r="F141" s="17" t="n">
        <f aca="false">fx</f>
        <v>6.72</v>
      </c>
      <c r="G141" s="17" t="n">
        <f aca="false">fx</f>
        <v>6.72</v>
      </c>
      <c r="H141" s="8" t="s">
        <v>492</v>
      </c>
    </row>
    <row r="142" customFormat="false" ht="17.15" hidden="false" customHeight="false" outlineLevel="0" collapsed="false">
      <c r="A142" s="4" t="s">
        <v>493</v>
      </c>
      <c r="B142" s="0" t="s">
        <v>66</v>
      </c>
      <c r="D142" s="15" t="n">
        <f aca="false">a26_aiu/D139</f>
        <v>0.257050026505137</v>
      </c>
      <c r="H142" s="8" t="s">
        <v>494</v>
      </c>
    </row>
    <row r="143" customFormat="false" ht="17.15" hidden="false" customHeight="false" outlineLevel="0" collapsed="false">
      <c r="A143" s="4" t="s">
        <v>495</v>
      </c>
      <c r="B143" s="0" t="s">
        <v>81</v>
      </c>
      <c r="D143" s="17" t="n">
        <f aca="false">1</f>
        <v>1</v>
      </c>
      <c r="E143" s="17" t="n">
        <f aca="false">rel_27</f>
        <v>1</v>
      </c>
      <c r="F143" s="17" t="n">
        <f aca="false">rel_28</f>
        <v>1</v>
      </c>
      <c r="G143" s="17" t="n">
        <f aca="false">rel_29</f>
        <v>0.95</v>
      </c>
    </row>
    <row r="144" customFormat="false" ht="15" hidden="false" customHeight="false" outlineLevel="0" collapsed="false">
      <c r="A144" s="4" t="s">
        <v>496</v>
      </c>
      <c r="B144" s="0" t="s">
        <v>66</v>
      </c>
      <c r="D144" s="15" t="n">
        <f aca="false">$D$142*D143</f>
        <v>0.257050026505137</v>
      </c>
      <c r="E144" s="15" t="n">
        <f aca="false">$D$142*E143</f>
        <v>0.257050026505137</v>
      </c>
      <c r="F144" s="15" t="n">
        <f aca="false">$D$142*F143</f>
        <v>0.257050026505137</v>
      </c>
      <c r="G144" s="15" t="n">
        <f aca="false">$D$142*G143</f>
        <v>0.24419752517988</v>
      </c>
    </row>
    <row r="145" customFormat="false" ht="15" hidden="false" customHeight="false" outlineLevel="0" collapsed="false">
      <c r="A145" s="4" t="s">
        <v>497</v>
      </c>
      <c r="B145" s="0" t="s">
        <v>81</v>
      </c>
      <c r="D145" s="17" t="n">
        <f aca="false">1</f>
        <v>1</v>
      </c>
      <c r="E145" s="17" t="n">
        <f aca="false">PXLO_27</f>
        <v>0.9</v>
      </c>
      <c r="F145" s="17" t="n">
        <f aca="false">PXLO_28</f>
        <v>0.8</v>
      </c>
      <c r="G145" s="17" t="n">
        <f aca="false">PXLO_29</f>
        <v>0.72</v>
      </c>
    </row>
    <row r="146" customFormat="false" ht="17.15" hidden="false" customHeight="false" outlineLevel="0" collapsed="false">
      <c r="A146" s="4" t="s">
        <v>498</v>
      </c>
      <c r="B146" s="0" t="s">
        <v>66</v>
      </c>
      <c r="D146" s="15" t="n">
        <f aca="false">0</f>
        <v>0</v>
      </c>
      <c r="E146" s="15" t="n">
        <f aca="false">cpo_27</f>
        <v>0.05</v>
      </c>
      <c r="F146" s="15" t="n">
        <f aca="false">cpo_28</f>
        <v>0.1</v>
      </c>
      <c r="G146" s="15" t="n">
        <f aca="false">cpo_29</f>
        <v>0.15</v>
      </c>
    </row>
    <row r="147" customFormat="false" ht="17.15" hidden="false" customHeight="false" outlineLevel="0" collapsed="false">
      <c r="A147" s="0" t="s">
        <v>499</v>
      </c>
      <c r="B147" s="0" t="s">
        <v>33</v>
      </c>
      <c r="D147" s="19" t="n">
        <f aca="false">a26_aiu</f>
        <v>7.64807678571429</v>
      </c>
      <c r="E147" s="19" t="n">
        <f aca="false">E139*E144*E145+E140*E146</f>
        <v>12.5319541393457</v>
      </c>
      <c r="F147" s="19" t="n">
        <f aca="false">F139*F144*F145+F140*F146</f>
        <v>12.5697232896581</v>
      </c>
      <c r="G147" s="19" t="n">
        <f aca="false">G139*G144*G145+G140*G146</f>
        <v>14.5856623148325</v>
      </c>
    </row>
    <row r="148" customFormat="false" ht="17.15" hidden="false" customHeight="false" outlineLevel="0" collapsed="false">
      <c r="A148" s="0" t="s">
        <v>500</v>
      </c>
      <c r="B148" s="0" t="s">
        <v>168</v>
      </c>
      <c r="C148" s="19" t="n">
        <f aca="false">a25_ai</f>
        <v>23.5999</v>
      </c>
      <c r="D148" s="19" t="n">
        <f aca="false">D147*D141</f>
        <v>51.395076</v>
      </c>
      <c r="E148" s="19" t="n">
        <f aca="false">E147*E141</f>
        <v>84.214731816403</v>
      </c>
      <c r="F148" s="19" t="n">
        <f aca="false">F147*F141</f>
        <v>84.4685405065026</v>
      </c>
      <c r="G148" s="19" t="n">
        <f aca="false">G147*G141</f>
        <v>98.0156507556741</v>
      </c>
    </row>
    <row r="149" customFormat="false" ht="17.15" hidden="false" customHeight="false" outlineLevel="0" collapsed="false">
      <c r="A149" s="6" t="s">
        <v>501</v>
      </c>
    </row>
    <row r="150" customFormat="false" ht="15" hidden="false" customHeight="false" outlineLevel="0" collapsed="false">
      <c r="A150" s="4" t="s">
        <v>502</v>
      </c>
      <c r="B150" s="0" t="s">
        <v>168</v>
      </c>
      <c r="C150" s="19" t="n">
        <f aca="false">a25_oth</f>
        <v>1.2421</v>
      </c>
      <c r="D150" s="19" t="n">
        <f aca="false">a26_oth</f>
        <v>2.705004</v>
      </c>
      <c r="E150" s="19" t="n">
        <f aca="false">D150*(1+g_oth)</f>
        <v>2.9755044</v>
      </c>
      <c r="F150" s="19" t="n">
        <f aca="false">E150*(1+g_oth)</f>
        <v>3.27305484</v>
      </c>
      <c r="G150" s="19" t="n">
        <f aca="false">F150*(1+g_oth)</f>
        <v>3.600360324</v>
      </c>
    </row>
    <row r="151" customFormat="false" ht="15" hidden="false" customHeight="false" outlineLevel="0" collapsed="false">
      <c r="A151" s="4" t="s">
        <v>406</v>
      </c>
      <c r="B151" s="0" t="s">
        <v>168</v>
      </c>
      <c r="C151" s="19" t="n">
        <f aca="false">a25_rev</f>
        <v>24.842</v>
      </c>
      <c r="D151" s="19" t="n">
        <f aca="false">D148+D150</f>
        <v>54.10008</v>
      </c>
      <c r="E151" s="19" t="n">
        <f aca="false">E148+E150</f>
        <v>87.190236216403</v>
      </c>
      <c r="F151" s="19" t="n">
        <f aca="false">F148+F150</f>
        <v>87.7415953465026</v>
      </c>
      <c r="G151" s="19" t="n">
        <f aca="false">G148+G150</f>
        <v>101.616011079674</v>
      </c>
    </row>
    <row r="152" customFormat="false" ht="15" hidden="false" customHeight="false" outlineLevel="0" collapsed="false">
      <c r="A152" s="4" t="s">
        <v>503</v>
      </c>
      <c r="B152" s="0" t="s">
        <v>66</v>
      </c>
      <c r="D152" s="15" t="n">
        <f aca="false">D151/C151-1</f>
        <v>1.17776668545206</v>
      </c>
      <c r="E152" s="15" t="n">
        <f aca="false">E151/D151-1</f>
        <v>0.611647084743738</v>
      </c>
      <c r="F152" s="15" t="n">
        <f aca="false">F151/E151-1</f>
        <v>0.00632363386114876</v>
      </c>
      <c r="G152" s="15" t="n">
        <f aca="false">G151/F151-1</f>
        <v>0.158128145247185</v>
      </c>
    </row>
    <row r="153" customFormat="false" ht="17.15" hidden="false" customHeight="false" outlineLevel="0" collapsed="false">
      <c r="A153" s="0" t="s">
        <v>504</v>
      </c>
      <c r="B153" s="0" t="s">
        <v>66</v>
      </c>
      <c r="C153" s="15" t="n">
        <f aca="false">C148/C151</f>
        <v>0.95</v>
      </c>
      <c r="D153" s="15" t="n">
        <f aca="false">D148/D151</f>
        <v>0.95</v>
      </c>
      <c r="E153" s="15" t="n">
        <f aca="false">E148/E151</f>
        <v>0.965873421966481</v>
      </c>
      <c r="F153" s="15" t="n">
        <f aca="false">F148/F151</f>
        <v>0.962696656847026</v>
      </c>
      <c r="G153" s="15" t="n">
        <f aca="false">G148/G151</f>
        <v>0.964568966191981</v>
      </c>
    </row>
    <row r="154" customFormat="false" ht="17.15" hidden="false" customHeight="false" outlineLevel="0" collapsed="false">
      <c r="A154" s="6" t="s">
        <v>505</v>
      </c>
    </row>
    <row r="155" customFormat="false" ht="17.15" hidden="false" customHeight="false" outlineLevel="0" collapsed="false">
      <c r="A155" s="4" t="s">
        <v>410</v>
      </c>
      <c r="B155" s="0" t="s">
        <v>66</v>
      </c>
      <c r="C155" s="15" t="n">
        <f aca="false">a25_gp/a25_rev</f>
        <v>0.4781</v>
      </c>
      <c r="D155" s="15" t="n">
        <f aca="false">a26_gp/a26_rev</f>
        <v>0.481700625951015</v>
      </c>
      <c r="E155" s="15" t="n">
        <f aca="false">gm_27</f>
        <v>0.47</v>
      </c>
      <c r="F155" s="15" t="n">
        <f aca="false">gm_28</f>
        <v>0.46</v>
      </c>
      <c r="G155" s="15" t="n">
        <f aca="false">gm_29</f>
        <v>0.45</v>
      </c>
      <c r="H155" s="8" t="s">
        <v>506</v>
      </c>
    </row>
    <row r="156" customFormat="false" ht="15" hidden="false" customHeight="false" outlineLevel="0" collapsed="false">
      <c r="A156" s="4" t="s">
        <v>409</v>
      </c>
      <c r="B156" s="0" t="s">
        <v>168</v>
      </c>
      <c r="C156" s="19" t="n">
        <f aca="false">C151*C155</f>
        <v>11.8769602</v>
      </c>
      <c r="D156" s="19" t="n">
        <f aca="false">D151*D155</f>
        <v>26.0600424</v>
      </c>
      <c r="E156" s="19" t="n">
        <f aca="false">E151*E155</f>
        <v>40.9794110217094</v>
      </c>
      <c r="F156" s="19" t="n">
        <f aca="false">F151*F155</f>
        <v>40.3611338593912</v>
      </c>
      <c r="G156" s="19" t="n">
        <f aca="false">G151*G155</f>
        <v>45.7272049858534</v>
      </c>
    </row>
    <row r="157" customFormat="false" ht="15" hidden="false" customHeight="false" outlineLevel="0" collapsed="false">
      <c r="A157" s="4" t="s">
        <v>507</v>
      </c>
      <c r="B157" s="0" t="s">
        <v>168</v>
      </c>
      <c r="C157" s="19" t="n">
        <f aca="false">a25_opx</f>
        <v>1.02127838181818</v>
      </c>
      <c r="D157" s="19" t="n">
        <f aca="false">a26_opx</f>
        <v>3.21377711360775</v>
      </c>
      <c r="E157" s="19" t="n">
        <f aca="false">D157*(1+MAX(0,phi*E152))</f>
        <v>4.39319555514035</v>
      </c>
      <c r="F157" s="19" t="n">
        <f aca="false">E157*(1+MAX(0,phi*F152))</f>
        <v>4.40986413124303</v>
      </c>
      <c r="G157" s="19" t="n">
        <f aca="false">F157*(1+MAX(0,phi*G152))</f>
        <v>4.82825831276236</v>
      </c>
    </row>
    <row r="158" customFormat="false" ht="15" hidden="false" customHeight="false" outlineLevel="0" collapsed="false">
      <c r="A158" s="4" t="s">
        <v>508</v>
      </c>
      <c r="B158" s="0" t="s">
        <v>168</v>
      </c>
      <c r="C158" s="19" t="n">
        <f aca="false">C157</f>
        <v>1.02127838181818</v>
      </c>
      <c r="D158" s="19" t="n">
        <f aca="false">D157</f>
        <v>3.21377711360775</v>
      </c>
      <c r="E158" s="19" t="n">
        <f aca="false">E157+0*E151</f>
        <v>4.39319555514035</v>
      </c>
      <c r="F158" s="19" t="n">
        <f aca="false">F157+0*F151</f>
        <v>4.40986413124303</v>
      </c>
      <c r="G158" s="19" t="n">
        <f aca="false">G157+0*G151</f>
        <v>4.82825831276236</v>
      </c>
    </row>
    <row r="159" customFormat="false" ht="15" hidden="false" customHeight="false" outlineLevel="0" collapsed="false">
      <c r="A159" s="4" t="s">
        <v>509</v>
      </c>
      <c r="B159" s="0" t="s">
        <v>168</v>
      </c>
      <c r="C159" s="19" t="n">
        <f aca="false">C156-C158</f>
        <v>10.8556818181818</v>
      </c>
      <c r="D159" s="19" t="n">
        <f aca="false">D156-D158</f>
        <v>22.8462652863923</v>
      </c>
      <c r="E159" s="19" t="n">
        <f aca="false">E156-E158</f>
        <v>36.5862154665691</v>
      </c>
      <c r="F159" s="19" t="n">
        <f aca="false">F156-F158</f>
        <v>35.9512697281482</v>
      </c>
      <c r="G159" s="19" t="n">
        <f aca="false">G156-G158</f>
        <v>40.898946673091</v>
      </c>
    </row>
    <row r="160" customFormat="false" ht="15" hidden="false" customHeight="false" outlineLevel="0" collapsed="false">
      <c r="A160" s="4" t="s">
        <v>510</v>
      </c>
      <c r="B160" s="0" t="s">
        <v>66</v>
      </c>
      <c r="C160" s="15" t="n">
        <f aca="false">C159/C151</f>
        <v>0.43698904348208</v>
      </c>
      <c r="D160" s="15" t="n">
        <f aca="false">D159/D151</f>
        <v>0.422296330918406</v>
      </c>
      <c r="E160" s="15" t="n">
        <f aca="false">E159/E151</f>
        <v>0.41961367527166</v>
      </c>
      <c r="F160" s="15" t="n">
        <f aca="false">F159/F151</f>
        <v>0.409740324257521</v>
      </c>
      <c r="G160" s="15" t="n">
        <f aca="false">G159/G151</f>
        <v>0.402485260329923</v>
      </c>
    </row>
    <row r="161" customFormat="false" ht="15" hidden="false" customHeight="false" outlineLevel="0" collapsed="false">
      <c r="A161" s="4" t="s">
        <v>417</v>
      </c>
      <c r="B161" s="0" t="s">
        <v>168</v>
      </c>
      <c r="C161" s="19" t="n">
        <f aca="false">a25_ni</f>
        <v>9.532</v>
      </c>
      <c r="D161" s="19" t="n">
        <f aca="false">a26_ni</f>
        <v>20.0605180178692</v>
      </c>
      <c r="E161" s="19" t="n">
        <f aca="false">E159*(1-tx)*attr</f>
        <v>32.125094643364</v>
      </c>
      <c r="F161" s="19" t="n">
        <f aca="false">F159*(1-tx)*attr</f>
        <v>31.5675706775739</v>
      </c>
      <c r="G161" s="19" t="n">
        <f aca="false">G159*(1-tx)*attr</f>
        <v>35.9119552523139</v>
      </c>
    </row>
    <row r="162" customFormat="false" ht="15" hidden="false" customHeight="false" outlineLevel="0" collapsed="false">
      <c r="A162" s="4" t="s">
        <v>419</v>
      </c>
      <c r="B162" s="0" t="s">
        <v>66</v>
      </c>
      <c r="C162" s="15" t="n">
        <f aca="false">C161/C151</f>
        <v>0.383705015699219</v>
      </c>
      <c r="D162" s="15" t="n">
        <f aca="false">D161/D151</f>
        <v>0.370803851267302</v>
      </c>
      <c r="E162" s="15" t="n">
        <f aca="false">E161/E151</f>
        <v>0.368448303817306</v>
      </c>
      <c r="F162" s="15" t="n">
        <f aca="false">F161/F151</f>
        <v>0.359778854634562</v>
      </c>
      <c r="G162" s="15" t="n">
        <f aca="false">G161/G151</f>
        <v>0.353408433087936</v>
      </c>
    </row>
    <row r="163" customFormat="false" ht="15" hidden="false" customHeight="false" outlineLevel="0" collapsed="false">
      <c r="A163" s="4" t="s">
        <v>511</v>
      </c>
      <c r="B163" s="4" t="s">
        <v>204</v>
      </c>
      <c r="C163" s="16" t="n">
        <f aca="false">a25_sh</f>
        <v>1.38863683662851</v>
      </c>
      <c r="D163" s="16" t="n">
        <f aca="false">a26_sh</f>
        <v>1.39284103512015</v>
      </c>
      <c r="E163" s="16" t="n">
        <f aca="false">sh_post*(1+sh_g)</f>
        <v>1.394</v>
      </c>
      <c r="F163" s="16" t="n">
        <f aca="false">E163*(1+sh_g)</f>
        <v>1.394</v>
      </c>
      <c r="G163" s="16" t="n">
        <f aca="false">F163*(1+sh_g)</f>
        <v>1.394</v>
      </c>
    </row>
    <row r="164" customFormat="false" ht="15" hidden="false" customHeight="false" outlineLevel="0" collapsed="false">
      <c r="A164" s="0" t="s">
        <v>422</v>
      </c>
      <c r="B164" s="0" t="s">
        <v>140</v>
      </c>
      <c r="C164" s="19" t="n">
        <f aca="false">C161/C163</f>
        <v>6.86428571428571</v>
      </c>
      <c r="D164" s="19" t="n">
        <f aca="false">D161/D163</f>
        <v>14.402589751485</v>
      </c>
      <c r="E164" s="19" t="n">
        <f aca="false">E161/E163</f>
        <v>23.0452615806054</v>
      </c>
      <c r="F164" s="19" t="n">
        <f aca="false">F161/F163</f>
        <v>22.645316124515</v>
      </c>
      <c r="G164" s="19" t="n">
        <f aca="false">G161/G163</f>
        <v>25.7618043416886</v>
      </c>
    </row>
    <row r="165" customFormat="false" ht="17.15" hidden="false" customHeight="false" outlineLevel="0" collapsed="false">
      <c r="A165" s="0" t="s">
        <v>512</v>
      </c>
      <c r="B165" s="0" t="s">
        <v>66</v>
      </c>
      <c r="D165" s="15" t="n">
        <f aca="false">D164/C164-1</f>
        <v>1.09819205536722</v>
      </c>
      <c r="E165" s="15" t="n">
        <f aca="false">E164/D164-1</f>
        <v>0.600077623416953</v>
      </c>
      <c r="F165" s="15" t="n">
        <f aca="false">F164/E164-1</f>
        <v>-0.0173547804910589</v>
      </c>
      <c r="G165" s="15" t="n">
        <f aca="false">G164/F164-1</f>
        <v>0.137621758072957</v>
      </c>
    </row>
    <row r="168" customFormat="false" ht="17.15" hidden="false" customHeight="false" outlineLevel="0" collapsed="false">
      <c r="A168" s="1" t="s">
        <v>851</v>
      </c>
    </row>
    <row r="169" customFormat="false" ht="17.15" hidden="false" customHeight="false" outlineLevel="0" collapsed="false">
      <c r="A169" s="5" t="s">
        <v>22</v>
      </c>
      <c r="B169" s="5" t="s">
        <v>23</v>
      </c>
      <c r="C169" s="13" t="s">
        <v>399</v>
      </c>
      <c r="D169" s="13" t="s">
        <v>468</v>
      </c>
      <c r="E169" s="13" t="s">
        <v>469</v>
      </c>
      <c r="F169" s="13" t="s">
        <v>470</v>
      </c>
      <c r="G169" s="13" t="s">
        <v>471</v>
      </c>
      <c r="H169" s="5" t="s">
        <v>405</v>
      </c>
    </row>
    <row r="170" customFormat="false" ht="17.15" hidden="false" customHeight="false" outlineLevel="0" collapsed="false">
      <c r="A170" s="6" t="s">
        <v>488</v>
      </c>
    </row>
    <row r="171" customFormat="false" ht="17.15" hidden="false" customHeight="false" outlineLevel="0" collapsed="false">
      <c r="A171" s="0" t="s">
        <v>489</v>
      </c>
      <c r="B171" s="0" t="s">
        <v>33</v>
      </c>
      <c r="D171" s="19" t="n">
        <f aca="false">mpl_26*1</f>
        <v>29.753262</v>
      </c>
      <c r="E171" s="19" t="n">
        <f aca="false">mpl_27*1*1</f>
        <v>53.560715</v>
      </c>
      <c r="F171" s="19" t="n">
        <f aca="false">mpl_28*um28_A*1</f>
        <v>57.9915</v>
      </c>
      <c r="G171" s="19" t="n">
        <f aca="false">mpl_29*um29_A*1</f>
        <v>72.9348</v>
      </c>
    </row>
    <row r="172" customFormat="false" ht="17.15" hidden="false" customHeight="false" outlineLevel="0" collapsed="false">
      <c r="A172" s="0" t="s">
        <v>490</v>
      </c>
      <c r="B172" s="0" t="s">
        <v>33</v>
      </c>
      <c r="D172" s="19" t="n">
        <f aca="false">mcp_26*1</f>
        <v>0.300538</v>
      </c>
      <c r="E172" s="19" t="n">
        <f aca="false">mcp_27*1</f>
        <v>2.818985</v>
      </c>
      <c r="F172" s="19" t="n">
        <f aca="false">mcp_28*um28_A</f>
        <v>6.4435</v>
      </c>
      <c r="G172" s="19" t="n">
        <f aca="false">mcp_29*um29_A</f>
        <v>11.74736</v>
      </c>
    </row>
    <row r="173" customFormat="false" ht="17.15" hidden="false" customHeight="false" outlineLevel="0" collapsed="false">
      <c r="A173" s="4" t="s">
        <v>491</v>
      </c>
      <c r="B173" s="0" t="s">
        <v>140</v>
      </c>
      <c r="D173" s="17" t="n">
        <f aca="false">fx</f>
        <v>6.72</v>
      </c>
      <c r="E173" s="17" t="n">
        <f aca="false">fx</f>
        <v>6.72</v>
      </c>
      <c r="F173" s="17" t="n">
        <f aca="false">fx</f>
        <v>6.72</v>
      </c>
      <c r="G173" s="17" t="n">
        <f aca="false">fx</f>
        <v>6.72</v>
      </c>
      <c r="H173" s="8" t="s">
        <v>492</v>
      </c>
    </row>
    <row r="174" customFormat="false" ht="17.15" hidden="false" customHeight="false" outlineLevel="0" collapsed="false">
      <c r="A174" s="4" t="s">
        <v>493</v>
      </c>
      <c r="B174" s="0" t="s">
        <v>66</v>
      </c>
      <c r="D174" s="15" t="n">
        <f aca="false">a26_aiu/D171</f>
        <v>0.257050026505137</v>
      </c>
      <c r="H174" s="8" t="s">
        <v>494</v>
      </c>
    </row>
    <row r="175" customFormat="false" ht="17.15" hidden="false" customHeight="false" outlineLevel="0" collapsed="false">
      <c r="A175" s="4" t="s">
        <v>495</v>
      </c>
      <c r="B175" s="0" t="s">
        <v>81</v>
      </c>
      <c r="D175" s="17" t="n">
        <f aca="false">1</f>
        <v>1</v>
      </c>
      <c r="E175" s="17" t="n">
        <f aca="false">rel_27</f>
        <v>1</v>
      </c>
      <c r="F175" s="17" t="n">
        <f aca="false">rel_28</f>
        <v>1</v>
      </c>
      <c r="G175" s="17" t="n">
        <f aca="false">rel_29</f>
        <v>0.95</v>
      </c>
    </row>
    <row r="176" customFormat="false" ht="15" hidden="false" customHeight="false" outlineLevel="0" collapsed="false">
      <c r="A176" s="4" t="s">
        <v>496</v>
      </c>
      <c r="B176" s="0" t="s">
        <v>66</v>
      </c>
      <c r="D176" s="15" t="n">
        <f aca="false">$D$174*D175</f>
        <v>0.257050026505137</v>
      </c>
      <c r="E176" s="15" t="n">
        <f aca="false">$D$174*E175</f>
        <v>0.257050026505137</v>
      </c>
      <c r="F176" s="15" t="n">
        <f aca="false">$D$174*F175</f>
        <v>0.257050026505137</v>
      </c>
      <c r="G176" s="15" t="n">
        <f aca="false">$D$174*G175</f>
        <v>0.24419752517988</v>
      </c>
    </row>
    <row r="177" customFormat="false" ht="15" hidden="false" customHeight="false" outlineLevel="0" collapsed="false">
      <c r="A177" s="4" t="s">
        <v>497</v>
      </c>
      <c r="B177" s="0" t="s">
        <v>81</v>
      </c>
      <c r="D177" s="17" t="n">
        <f aca="false">1</f>
        <v>1</v>
      </c>
      <c r="E177" s="17" t="n">
        <f aca="false">pxr_27</f>
        <v>1</v>
      </c>
      <c r="F177" s="17" t="n">
        <f aca="false">pxr_28</f>
        <v>1</v>
      </c>
      <c r="G177" s="17" t="n">
        <f aca="false">pxr_29</f>
        <v>1</v>
      </c>
    </row>
    <row r="178" customFormat="false" ht="17.15" hidden="false" customHeight="false" outlineLevel="0" collapsed="false">
      <c r="A178" s="4" t="s">
        <v>498</v>
      </c>
      <c r="B178" s="0" t="s">
        <v>66</v>
      </c>
      <c r="D178" s="15" t="n">
        <f aca="false">0</f>
        <v>0</v>
      </c>
      <c r="E178" s="15" t="n">
        <f aca="false">cpo_27</f>
        <v>0.05</v>
      </c>
      <c r="F178" s="15" t="n">
        <f aca="false">cpo_28</f>
        <v>0.1</v>
      </c>
      <c r="G178" s="15" t="n">
        <f aca="false">cpo_29</f>
        <v>0.15</v>
      </c>
    </row>
    <row r="179" customFormat="false" ht="17.15" hidden="false" customHeight="false" outlineLevel="0" collapsed="false">
      <c r="A179" s="0" t="s">
        <v>499</v>
      </c>
      <c r="B179" s="0" t="s">
        <v>33</v>
      </c>
      <c r="D179" s="19" t="n">
        <f aca="false">a26_aiu</f>
        <v>7.64807678571429</v>
      </c>
      <c r="E179" s="19" t="n">
        <f aca="false">E171*E176*E177+E172*E178</f>
        <v>13.9087324603841</v>
      </c>
      <c r="F179" s="19" t="n">
        <f aca="false">F171*F176*F177+F172*F178</f>
        <v>15.5510666120727</v>
      </c>
      <c r="G179" s="19" t="n">
        <f aca="false">G171*G176*G177+G172*G178</f>
        <v>19.5726016594895</v>
      </c>
    </row>
    <row r="180" customFormat="false" ht="17.15" hidden="false" customHeight="false" outlineLevel="0" collapsed="false">
      <c r="A180" s="0" t="s">
        <v>500</v>
      </c>
      <c r="B180" s="0" t="s">
        <v>168</v>
      </c>
      <c r="C180" s="19" t="n">
        <f aca="false">a25_ai</f>
        <v>23.5999</v>
      </c>
      <c r="D180" s="19" t="n">
        <f aca="false">D179*D173</f>
        <v>51.395076</v>
      </c>
      <c r="E180" s="19" t="n">
        <f aca="false">E179*E173</f>
        <v>93.4666821337811</v>
      </c>
      <c r="F180" s="19" t="n">
        <f aca="false">F179*F173</f>
        <v>104.503167633128</v>
      </c>
      <c r="G180" s="19" t="n">
        <f aca="false">G179*G173</f>
        <v>131.52788315177</v>
      </c>
    </row>
    <row r="181" customFormat="false" ht="17.15" hidden="false" customHeight="false" outlineLevel="0" collapsed="false">
      <c r="A181" s="6" t="s">
        <v>501</v>
      </c>
    </row>
    <row r="182" customFormat="false" ht="15" hidden="false" customHeight="false" outlineLevel="0" collapsed="false">
      <c r="A182" s="4" t="s">
        <v>502</v>
      </c>
      <c r="B182" s="0" t="s">
        <v>168</v>
      </c>
      <c r="C182" s="19" t="n">
        <f aca="false">a25_oth</f>
        <v>1.2421</v>
      </c>
      <c r="D182" s="19" t="n">
        <f aca="false">a26_oth</f>
        <v>2.705004</v>
      </c>
      <c r="E182" s="19" t="n">
        <f aca="false">D182*(1+g_oth)</f>
        <v>2.9755044</v>
      </c>
      <c r="F182" s="19" t="n">
        <f aca="false">E182*(1+g_oth)</f>
        <v>3.27305484</v>
      </c>
      <c r="G182" s="19" t="n">
        <f aca="false">F182*(1+g_oth)</f>
        <v>3.600360324</v>
      </c>
    </row>
    <row r="183" customFormat="false" ht="15" hidden="false" customHeight="false" outlineLevel="0" collapsed="false">
      <c r="A183" s="4" t="s">
        <v>406</v>
      </c>
      <c r="B183" s="0" t="s">
        <v>168</v>
      </c>
      <c r="C183" s="19" t="n">
        <f aca="false">a25_rev</f>
        <v>24.842</v>
      </c>
      <c r="D183" s="19" t="n">
        <f aca="false">D180+D182</f>
        <v>54.10008</v>
      </c>
      <c r="E183" s="19" t="n">
        <f aca="false">E180+E182</f>
        <v>96.4421865337811</v>
      </c>
      <c r="F183" s="19" t="n">
        <f aca="false">F180+F182</f>
        <v>107.776222473128</v>
      </c>
      <c r="G183" s="19" t="n">
        <f aca="false">G180+G182</f>
        <v>135.12824347577</v>
      </c>
    </row>
    <row r="184" customFormat="false" ht="15" hidden="false" customHeight="false" outlineLevel="0" collapsed="false">
      <c r="A184" s="4" t="s">
        <v>503</v>
      </c>
      <c r="B184" s="0" t="s">
        <v>66</v>
      </c>
      <c r="D184" s="15" t="n">
        <f aca="false">D183/C183-1</f>
        <v>1.17776668545206</v>
      </c>
      <c r="E184" s="15" t="n">
        <f aca="false">E183/D183-1</f>
        <v>0.782662549367415</v>
      </c>
      <c r="F184" s="15" t="n">
        <f aca="false">F183/E183-1</f>
        <v>0.117521557180551</v>
      </c>
      <c r="G184" s="15" t="n">
        <f aca="false">G183/F183-1</f>
        <v>0.253785300458652</v>
      </c>
    </row>
    <row r="185" customFormat="false" ht="17.15" hidden="false" customHeight="false" outlineLevel="0" collapsed="false">
      <c r="A185" s="0" t="s">
        <v>504</v>
      </c>
      <c r="B185" s="0" t="s">
        <v>66</v>
      </c>
      <c r="C185" s="15" t="n">
        <f aca="false">C180/C183</f>
        <v>0.95</v>
      </c>
      <c r="D185" s="15" t="n">
        <f aca="false">D180/D183</f>
        <v>0.95</v>
      </c>
      <c r="E185" s="15" t="n">
        <f aca="false">E180/E183</f>
        <v>0.969147273543433</v>
      </c>
      <c r="F185" s="15" t="n">
        <f aca="false">F180/F183</f>
        <v>0.969631011693548</v>
      </c>
      <c r="G185" s="15" t="n">
        <f aca="false">G180/G183</f>
        <v>0.973355974802961</v>
      </c>
    </row>
    <row r="186" customFormat="false" ht="17.15" hidden="false" customHeight="false" outlineLevel="0" collapsed="false">
      <c r="A186" s="6" t="s">
        <v>505</v>
      </c>
    </row>
    <row r="187" customFormat="false" ht="17.15" hidden="false" customHeight="false" outlineLevel="0" collapsed="false">
      <c r="A187" s="4" t="s">
        <v>410</v>
      </c>
      <c r="B187" s="0" t="s">
        <v>66</v>
      </c>
      <c r="C187" s="15" t="n">
        <f aca="false">a25_gp/a25_rev</f>
        <v>0.4781</v>
      </c>
      <c r="D187" s="15" t="n">
        <f aca="false">a26_gp/a26_rev</f>
        <v>0.481700625951015</v>
      </c>
      <c r="E187" s="15" t="n">
        <f aca="false">GMLO_27</f>
        <v>0.43</v>
      </c>
      <c r="F187" s="15" t="n">
        <f aca="false">GMLO_28</f>
        <v>0.4</v>
      </c>
      <c r="G187" s="15" t="n">
        <f aca="false">GMLO_29</f>
        <v>0.36</v>
      </c>
      <c r="H187" s="8" t="s">
        <v>506</v>
      </c>
    </row>
    <row r="188" customFormat="false" ht="15" hidden="false" customHeight="false" outlineLevel="0" collapsed="false">
      <c r="A188" s="4" t="s">
        <v>409</v>
      </c>
      <c r="B188" s="0" t="s">
        <v>168</v>
      </c>
      <c r="C188" s="19" t="n">
        <f aca="false">C183*C187</f>
        <v>11.8769602</v>
      </c>
      <c r="D188" s="19" t="n">
        <f aca="false">D183*D187</f>
        <v>26.0600424</v>
      </c>
      <c r="E188" s="19" t="n">
        <f aca="false">E183*E187</f>
        <v>41.4701402095259</v>
      </c>
      <c r="F188" s="19" t="n">
        <f aca="false">F183*F187</f>
        <v>43.1104889892513</v>
      </c>
      <c r="G188" s="19" t="n">
        <f aca="false">G183*G187</f>
        <v>48.6461676512771</v>
      </c>
    </row>
    <row r="189" customFormat="false" ht="15" hidden="false" customHeight="false" outlineLevel="0" collapsed="false">
      <c r="A189" s="4" t="s">
        <v>507</v>
      </c>
      <c r="B189" s="0" t="s">
        <v>168</v>
      </c>
      <c r="C189" s="19" t="n">
        <f aca="false">a25_opx</f>
        <v>1.02127838181818</v>
      </c>
      <c r="D189" s="19" t="n">
        <f aca="false">a26_opx</f>
        <v>3.21377711360775</v>
      </c>
      <c r="E189" s="19" t="n">
        <f aca="false">D189*(1+MAX(0,phi*E184))</f>
        <v>4.72295890690869</v>
      </c>
      <c r="F189" s="19" t="n">
        <f aca="false">E189*(1+MAX(0,phi*F184))</f>
        <v>5.05598859805248</v>
      </c>
      <c r="G189" s="19" t="n">
        <f aca="false">F189*(1+MAX(0,phi*G184))</f>
        <v>5.82586994933585</v>
      </c>
    </row>
    <row r="190" customFormat="false" ht="15" hidden="false" customHeight="false" outlineLevel="0" collapsed="false">
      <c r="A190" s="4" t="s">
        <v>508</v>
      </c>
      <c r="B190" s="0" t="s">
        <v>168</v>
      </c>
      <c r="C190" s="19" t="n">
        <f aca="false">C189</f>
        <v>1.02127838181818</v>
      </c>
      <c r="D190" s="19" t="n">
        <f aca="false">D189</f>
        <v>3.21377711360775</v>
      </c>
      <c r="E190" s="19" t="n">
        <f aca="false">E189+0*E183</f>
        <v>4.72295890690869</v>
      </c>
      <c r="F190" s="19" t="n">
        <f aca="false">F189+0*F183</f>
        <v>5.05598859805248</v>
      </c>
      <c r="G190" s="19" t="n">
        <f aca="false">G189+0*G183</f>
        <v>5.82586994933585</v>
      </c>
    </row>
    <row r="191" customFormat="false" ht="15" hidden="false" customHeight="false" outlineLevel="0" collapsed="false">
      <c r="A191" s="4" t="s">
        <v>509</v>
      </c>
      <c r="B191" s="0" t="s">
        <v>168</v>
      </c>
      <c r="C191" s="19" t="n">
        <f aca="false">C188-C190</f>
        <v>10.8556818181818</v>
      </c>
      <c r="D191" s="19" t="n">
        <f aca="false">D188-D190</f>
        <v>22.8462652863923</v>
      </c>
      <c r="E191" s="19" t="n">
        <f aca="false">E188-E190</f>
        <v>36.7471813026172</v>
      </c>
      <c r="F191" s="19" t="n">
        <f aca="false">F188-F190</f>
        <v>38.0545003911988</v>
      </c>
      <c r="G191" s="19" t="n">
        <f aca="false">G188-G190</f>
        <v>42.8202977019412</v>
      </c>
    </row>
    <row r="192" customFormat="false" ht="15" hidden="false" customHeight="false" outlineLevel="0" collapsed="false">
      <c r="A192" s="4" t="s">
        <v>510</v>
      </c>
      <c r="B192" s="0" t="s">
        <v>66</v>
      </c>
      <c r="C192" s="15" t="n">
        <f aca="false">C191/C183</f>
        <v>0.43698904348208</v>
      </c>
      <c r="D192" s="15" t="n">
        <f aca="false">D191/D183</f>
        <v>0.422296330918406</v>
      </c>
      <c r="E192" s="15" t="n">
        <f aca="false">E191/E183</f>
        <v>0.381028081416898</v>
      </c>
      <c r="F192" s="15" t="n">
        <f aca="false">F191/F183</f>
        <v>0.353088088615157</v>
      </c>
      <c r="G192" s="15" t="n">
        <f aca="false">G191/G183</f>
        <v>0.316886363653647</v>
      </c>
    </row>
    <row r="193" customFormat="false" ht="15" hidden="false" customHeight="false" outlineLevel="0" collapsed="false">
      <c r="A193" s="4" t="s">
        <v>417</v>
      </c>
      <c r="B193" s="0" t="s">
        <v>168</v>
      </c>
      <c r="C193" s="19" t="n">
        <f aca="false">a25_ni</f>
        <v>9.532</v>
      </c>
      <c r="D193" s="19" t="n">
        <f aca="false">a26_ni</f>
        <v>20.0605180178692</v>
      </c>
      <c r="E193" s="19" t="n">
        <f aca="false">E191*(1-tx)*attr</f>
        <v>32.2664331953691</v>
      </c>
      <c r="F193" s="19" t="n">
        <f aca="false">F191*(1-tx)*attr</f>
        <v>33.4143450226566</v>
      </c>
      <c r="G193" s="19" t="n">
        <f aca="false">G191*(1-tx)*attr</f>
        <v>37.5990273601502</v>
      </c>
    </row>
    <row r="194" customFormat="false" ht="15" hidden="false" customHeight="false" outlineLevel="0" collapsed="false">
      <c r="A194" s="4" t="s">
        <v>419</v>
      </c>
      <c r="B194" s="0" t="s">
        <v>66</v>
      </c>
      <c r="C194" s="15" t="n">
        <f aca="false">C193/C183</f>
        <v>0.383705015699219</v>
      </c>
      <c r="D194" s="15" t="n">
        <f aca="false">D193/D183</f>
        <v>0.370803851267302</v>
      </c>
      <c r="E194" s="15" t="n">
        <f aca="false">E193/E183</f>
        <v>0.334567623931536</v>
      </c>
      <c r="F194" s="15" t="n">
        <f aca="false">F193/F183</f>
        <v>0.310034479367541</v>
      </c>
      <c r="G194" s="15" t="n">
        <f aca="false">G193/G183</f>
        <v>0.278246992582955</v>
      </c>
    </row>
    <row r="195" customFormat="false" ht="15" hidden="false" customHeight="false" outlineLevel="0" collapsed="false">
      <c r="A195" s="4" t="s">
        <v>511</v>
      </c>
      <c r="B195" s="4" t="s">
        <v>204</v>
      </c>
      <c r="C195" s="16" t="n">
        <f aca="false">a25_sh</f>
        <v>1.38863683662851</v>
      </c>
      <c r="D195" s="16" t="n">
        <f aca="false">a26_sh</f>
        <v>1.39284103512015</v>
      </c>
      <c r="E195" s="16" t="n">
        <f aca="false">sh_post*(1+sh_g)</f>
        <v>1.394</v>
      </c>
      <c r="F195" s="16" t="n">
        <f aca="false">E195*(1+sh_g)</f>
        <v>1.394</v>
      </c>
      <c r="G195" s="16" t="n">
        <f aca="false">F195*(1+sh_g)</f>
        <v>1.394</v>
      </c>
    </row>
    <row r="196" customFormat="false" ht="15" hidden="false" customHeight="false" outlineLevel="0" collapsed="false">
      <c r="A196" s="0" t="s">
        <v>422</v>
      </c>
      <c r="B196" s="0" t="s">
        <v>140</v>
      </c>
      <c r="C196" s="19" t="n">
        <f aca="false">C193/C195</f>
        <v>6.86428571428571</v>
      </c>
      <c r="D196" s="19" t="n">
        <f aca="false">D193/D195</f>
        <v>14.402589751485</v>
      </c>
      <c r="E196" s="19" t="n">
        <f aca="false">E193/E195</f>
        <v>23.1466522204944</v>
      </c>
      <c r="F196" s="19" t="n">
        <f aca="false">F193/F195</f>
        <v>23.9701183806719</v>
      </c>
      <c r="G196" s="19" t="n">
        <f aca="false">G193/G195</f>
        <v>26.9720425826042</v>
      </c>
    </row>
    <row r="197" customFormat="false" ht="17.15" hidden="false" customHeight="false" outlineLevel="0" collapsed="false">
      <c r="A197" s="0" t="s">
        <v>512</v>
      </c>
      <c r="B197" s="0" t="s">
        <v>66</v>
      </c>
      <c r="D197" s="15" t="n">
        <f aca="false">D196/C196-1</f>
        <v>1.09819205536722</v>
      </c>
      <c r="E197" s="15" t="n">
        <f aca="false">E196/D196-1</f>
        <v>0.607117374020033</v>
      </c>
      <c r="F197" s="15" t="n">
        <f aca="false">F196/E196-1</f>
        <v>0.0355760371881506</v>
      </c>
      <c r="G197" s="15" t="n">
        <f aca="false">G196/F196-1</f>
        <v>0.12523610247803</v>
      </c>
    </row>
    <row r="200" customFormat="false" ht="17.15" hidden="false" customHeight="false" outlineLevel="0" collapsed="false">
      <c r="A200" s="1" t="s">
        <v>852</v>
      </c>
    </row>
    <row r="201" customFormat="false" ht="17.15" hidden="false" customHeight="false" outlineLevel="0" collapsed="false">
      <c r="A201" s="5" t="s">
        <v>22</v>
      </c>
      <c r="B201" s="5" t="s">
        <v>23</v>
      </c>
      <c r="C201" s="13" t="s">
        <v>399</v>
      </c>
      <c r="D201" s="13" t="s">
        <v>468</v>
      </c>
      <c r="E201" s="13" t="s">
        <v>469</v>
      </c>
      <c r="F201" s="13" t="s">
        <v>470</v>
      </c>
      <c r="G201" s="13" t="s">
        <v>471</v>
      </c>
      <c r="H201" s="5" t="s">
        <v>405</v>
      </c>
    </row>
    <row r="202" customFormat="false" ht="17.15" hidden="false" customHeight="false" outlineLevel="0" collapsed="false">
      <c r="A202" s="6" t="s">
        <v>488</v>
      </c>
    </row>
    <row r="203" customFormat="false" ht="17.15" hidden="false" customHeight="false" outlineLevel="0" collapsed="false">
      <c r="A203" s="0" t="s">
        <v>489</v>
      </c>
      <c r="B203" s="0" t="s">
        <v>33</v>
      </c>
      <c r="D203" s="19" t="n">
        <f aca="false">mpl_26*1</f>
        <v>29.753262</v>
      </c>
      <c r="E203" s="19" t="n">
        <f aca="false">mpl_27*1*1</f>
        <v>53.560715</v>
      </c>
      <c r="F203" s="19" t="n">
        <f aca="false">mpl_28*um28_A*1</f>
        <v>57.9915</v>
      </c>
      <c r="G203" s="19" t="n">
        <f aca="false">mpl_29*um29_A*1</f>
        <v>72.9348</v>
      </c>
    </row>
    <row r="204" customFormat="false" ht="17.15" hidden="false" customHeight="false" outlineLevel="0" collapsed="false">
      <c r="A204" s="0" t="s">
        <v>490</v>
      </c>
      <c r="B204" s="0" t="s">
        <v>33</v>
      </c>
      <c r="D204" s="19" t="n">
        <f aca="false">mcp_26*1</f>
        <v>0.300538</v>
      </c>
      <c r="E204" s="19" t="n">
        <f aca="false">mcp_27*1</f>
        <v>2.818985</v>
      </c>
      <c r="F204" s="19" t="n">
        <f aca="false">mcp_28*um28_A</f>
        <v>6.4435</v>
      </c>
      <c r="G204" s="19" t="n">
        <f aca="false">mcp_29*um29_A</f>
        <v>11.74736</v>
      </c>
    </row>
    <row r="205" customFormat="false" ht="17.15" hidden="false" customHeight="false" outlineLevel="0" collapsed="false">
      <c r="A205" s="4" t="s">
        <v>491</v>
      </c>
      <c r="B205" s="0" t="s">
        <v>140</v>
      </c>
      <c r="D205" s="17" t="n">
        <f aca="false">fx</f>
        <v>6.72</v>
      </c>
      <c r="E205" s="17" t="n">
        <f aca="false">fx</f>
        <v>6.72</v>
      </c>
      <c r="F205" s="17" t="n">
        <f aca="false">fx</f>
        <v>6.72</v>
      </c>
      <c r="G205" s="17" t="n">
        <f aca="false">fx</f>
        <v>6.72</v>
      </c>
      <c r="H205" s="8" t="s">
        <v>492</v>
      </c>
    </row>
    <row r="206" customFormat="false" ht="17.15" hidden="false" customHeight="false" outlineLevel="0" collapsed="false">
      <c r="A206" s="4" t="s">
        <v>493</v>
      </c>
      <c r="B206" s="0" t="s">
        <v>66</v>
      </c>
      <c r="D206" s="15" t="n">
        <f aca="false">a26_aiu/D203</f>
        <v>0.257050026505137</v>
      </c>
      <c r="H206" s="8" t="s">
        <v>494</v>
      </c>
    </row>
    <row r="207" customFormat="false" ht="17.15" hidden="false" customHeight="false" outlineLevel="0" collapsed="false">
      <c r="A207" s="4" t="s">
        <v>495</v>
      </c>
      <c r="B207" s="0" t="s">
        <v>81</v>
      </c>
      <c r="D207" s="17" t="n">
        <f aca="false">1</f>
        <v>1</v>
      </c>
      <c r="E207" s="17" t="n">
        <f aca="false">rel_27</f>
        <v>1</v>
      </c>
      <c r="F207" s="17" t="n">
        <f aca="false">rel_28</f>
        <v>1</v>
      </c>
      <c r="G207" s="17" t="n">
        <f aca="false">rel_29</f>
        <v>0.95</v>
      </c>
    </row>
    <row r="208" customFormat="false" ht="15" hidden="false" customHeight="false" outlineLevel="0" collapsed="false">
      <c r="A208" s="4" t="s">
        <v>496</v>
      </c>
      <c r="B208" s="0" t="s">
        <v>66</v>
      </c>
      <c r="D208" s="15" t="n">
        <f aca="false">$D$206*D207</f>
        <v>0.257050026505137</v>
      </c>
      <c r="E208" s="15" t="n">
        <f aca="false">$D$206*E207</f>
        <v>0.257050026505137</v>
      </c>
      <c r="F208" s="15" t="n">
        <f aca="false">$D$206*F207</f>
        <v>0.257050026505137</v>
      </c>
      <c r="G208" s="15" t="n">
        <f aca="false">$D$206*G207</f>
        <v>0.24419752517988</v>
      </c>
    </row>
    <row r="209" customFormat="false" ht="15" hidden="false" customHeight="false" outlineLevel="0" collapsed="false">
      <c r="A209" s="4" t="s">
        <v>497</v>
      </c>
      <c r="B209" s="0" t="s">
        <v>81</v>
      </c>
      <c r="D209" s="17" t="n">
        <f aca="false">1</f>
        <v>1</v>
      </c>
      <c r="E209" s="17" t="n">
        <f aca="false">pxr_27</f>
        <v>1</v>
      </c>
      <c r="F209" s="17" t="n">
        <f aca="false">pxr_28</f>
        <v>1</v>
      </c>
      <c r="G209" s="17" t="n">
        <f aca="false">pxr_29</f>
        <v>1</v>
      </c>
    </row>
    <row r="210" customFormat="false" ht="17.15" hidden="false" customHeight="false" outlineLevel="0" collapsed="false">
      <c r="A210" s="4" t="s">
        <v>498</v>
      </c>
      <c r="B210" s="0" t="s">
        <v>66</v>
      </c>
      <c r="D210" s="15" t="n">
        <f aca="false">0</f>
        <v>0</v>
      </c>
      <c r="E210" s="15" t="n">
        <f aca="false">cpo_27</f>
        <v>0.05</v>
      </c>
      <c r="F210" s="15" t="n">
        <f aca="false">cpo_28</f>
        <v>0.1</v>
      </c>
      <c r="G210" s="15" t="n">
        <f aca="false">cpo_29</f>
        <v>0.15</v>
      </c>
    </row>
    <row r="211" customFormat="false" ht="17.15" hidden="false" customHeight="false" outlineLevel="0" collapsed="false">
      <c r="A211" s="0" t="s">
        <v>499</v>
      </c>
      <c r="B211" s="0" t="s">
        <v>33</v>
      </c>
      <c r="D211" s="19" t="n">
        <f aca="false">a26_aiu</f>
        <v>7.64807678571429</v>
      </c>
      <c r="E211" s="19" t="n">
        <f aca="false">E203*E208*E209+E204*E210</f>
        <v>13.9087324603841</v>
      </c>
      <c r="F211" s="19" t="n">
        <f aca="false">F203*F208*F209+F204*F210</f>
        <v>15.5510666120727</v>
      </c>
      <c r="G211" s="19" t="n">
        <f aca="false">G203*G208*G209+G204*G210</f>
        <v>19.5726016594895</v>
      </c>
    </row>
    <row r="212" customFormat="false" ht="17.15" hidden="false" customHeight="false" outlineLevel="0" collapsed="false">
      <c r="A212" s="0" t="s">
        <v>500</v>
      </c>
      <c r="B212" s="0" t="s">
        <v>168</v>
      </c>
      <c r="C212" s="19" t="n">
        <f aca="false">a25_ai</f>
        <v>23.5999</v>
      </c>
      <c r="D212" s="19" t="n">
        <f aca="false">D211*D205</f>
        <v>51.395076</v>
      </c>
      <c r="E212" s="19" t="n">
        <f aca="false">E211*E205</f>
        <v>93.4666821337811</v>
      </c>
      <c r="F212" s="19" t="n">
        <f aca="false">F211*F205</f>
        <v>104.503167633128</v>
      </c>
      <c r="G212" s="19" t="n">
        <f aca="false">G211*G205</f>
        <v>131.52788315177</v>
      </c>
    </row>
    <row r="213" customFormat="false" ht="17.15" hidden="false" customHeight="false" outlineLevel="0" collapsed="false">
      <c r="A213" s="6" t="s">
        <v>501</v>
      </c>
    </row>
    <row r="214" customFormat="false" ht="15" hidden="false" customHeight="false" outlineLevel="0" collapsed="false">
      <c r="A214" s="4" t="s">
        <v>502</v>
      </c>
      <c r="B214" s="0" t="s">
        <v>168</v>
      </c>
      <c r="C214" s="19" t="n">
        <f aca="false">a25_oth</f>
        <v>1.2421</v>
      </c>
      <c r="D214" s="19" t="n">
        <f aca="false">a26_oth</f>
        <v>2.705004</v>
      </c>
      <c r="E214" s="19" t="n">
        <f aca="false">D214*(1+g_oth)</f>
        <v>2.9755044</v>
      </c>
      <c r="F214" s="19" t="n">
        <f aca="false">E214*(1+g_oth)</f>
        <v>3.27305484</v>
      </c>
      <c r="G214" s="19" t="n">
        <f aca="false">F214*(1+g_oth)</f>
        <v>3.600360324</v>
      </c>
    </row>
    <row r="215" customFormat="false" ht="15" hidden="false" customHeight="false" outlineLevel="0" collapsed="false">
      <c r="A215" s="4" t="s">
        <v>406</v>
      </c>
      <c r="B215" s="0" t="s">
        <v>168</v>
      </c>
      <c r="C215" s="19" t="n">
        <f aca="false">a25_rev</f>
        <v>24.842</v>
      </c>
      <c r="D215" s="19" t="n">
        <f aca="false">D212+D214</f>
        <v>54.10008</v>
      </c>
      <c r="E215" s="19" t="n">
        <f aca="false">E212+E214</f>
        <v>96.4421865337811</v>
      </c>
      <c r="F215" s="19" t="n">
        <f aca="false">F212+F214</f>
        <v>107.776222473128</v>
      </c>
      <c r="G215" s="19" t="n">
        <f aca="false">G212+G214</f>
        <v>135.12824347577</v>
      </c>
    </row>
    <row r="216" customFormat="false" ht="15" hidden="false" customHeight="false" outlineLevel="0" collapsed="false">
      <c r="A216" s="4" t="s">
        <v>503</v>
      </c>
      <c r="B216" s="0" t="s">
        <v>66</v>
      </c>
      <c r="D216" s="15" t="n">
        <f aca="false">D215/C215-1</f>
        <v>1.17776668545206</v>
      </c>
      <c r="E216" s="15" t="n">
        <f aca="false">E215/D215-1</f>
        <v>0.782662549367415</v>
      </c>
      <c r="F216" s="15" t="n">
        <f aca="false">F215/E215-1</f>
        <v>0.117521557180551</v>
      </c>
      <c r="G216" s="15" t="n">
        <f aca="false">G215/F215-1</f>
        <v>0.253785300458652</v>
      </c>
    </row>
    <row r="217" customFormat="false" ht="17.15" hidden="false" customHeight="false" outlineLevel="0" collapsed="false">
      <c r="A217" s="0" t="s">
        <v>504</v>
      </c>
      <c r="B217" s="0" t="s">
        <v>66</v>
      </c>
      <c r="C217" s="15" t="n">
        <f aca="false">C212/C215</f>
        <v>0.95</v>
      </c>
      <c r="D217" s="15" t="n">
        <f aca="false">D212/D215</f>
        <v>0.95</v>
      </c>
      <c r="E217" s="15" t="n">
        <f aca="false">E212/E215</f>
        <v>0.969147273543433</v>
      </c>
      <c r="F217" s="15" t="n">
        <f aca="false">F212/F215</f>
        <v>0.969631011693548</v>
      </c>
      <c r="G217" s="15" t="n">
        <f aca="false">G212/G215</f>
        <v>0.973355974802961</v>
      </c>
    </row>
    <row r="218" customFormat="false" ht="17.15" hidden="false" customHeight="false" outlineLevel="0" collapsed="false">
      <c r="A218" s="6" t="s">
        <v>505</v>
      </c>
    </row>
    <row r="219" customFormat="false" ht="17.15" hidden="false" customHeight="false" outlineLevel="0" collapsed="false">
      <c r="A219" s="4" t="s">
        <v>410</v>
      </c>
      <c r="B219" s="0" t="s">
        <v>66</v>
      </c>
      <c r="C219" s="15" t="n">
        <f aca="false">a25_gp/a25_rev</f>
        <v>0.4781</v>
      </c>
      <c r="D219" s="15" t="n">
        <f aca="false">a26_gp/a26_rev</f>
        <v>0.481700625951015</v>
      </c>
      <c r="E219" s="15" t="n">
        <f aca="false">GMHI_27</f>
        <v>0.49</v>
      </c>
      <c r="F219" s="15" t="n">
        <f aca="false">GMHI_28</f>
        <v>0.48</v>
      </c>
      <c r="G219" s="15" t="n">
        <f aca="false">GMHI_29</f>
        <v>0.47</v>
      </c>
      <c r="H219" s="8" t="s">
        <v>506</v>
      </c>
    </row>
    <row r="220" customFormat="false" ht="15" hidden="false" customHeight="false" outlineLevel="0" collapsed="false">
      <c r="A220" s="4" t="s">
        <v>409</v>
      </c>
      <c r="B220" s="0" t="s">
        <v>168</v>
      </c>
      <c r="C220" s="19" t="n">
        <f aca="false">C215*C219</f>
        <v>11.8769602</v>
      </c>
      <c r="D220" s="19" t="n">
        <f aca="false">D215*D219</f>
        <v>26.0600424</v>
      </c>
      <c r="E220" s="19" t="n">
        <f aca="false">E215*E219</f>
        <v>47.2566714015527</v>
      </c>
      <c r="F220" s="19" t="n">
        <f aca="false">F215*F219</f>
        <v>51.7325867871015</v>
      </c>
      <c r="G220" s="19" t="n">
        <f aca="false">G215*G219</f>
        <v>63.5102744336117</v>
      </c>
    </row>
    <row r="221" customFormat="false" ht="15" hidden="false" customHeight="false" outlineLevel="0" collapsed="false">
      <c r="A221" s="4" t="s">
        <v>507</v>
      </c>
      <c r="B221" s="0" t="s">
        <v>168</v>
      </c>
      <c r="C221" s="19" t="n">
        <f aca="false">a25_opx</f>
        <v>1.02127838181818</v>
      </c>
      <c r="D221" s="19" t="n">
        <f aca="false">a26_opx</f>
        <v>3.21377711360775</v>
      </c>
      <c r="E221" s="19" t="n">
        <f aca="false">D221*(1+MAX(0,phi*E216))</f>
        <v>4.72295890690869</v>
      </c>
      <c r="F221" s="19" t="n">
        <f aca="false">E221*(1+MAX(0,phi*F216))</f>
        <v>5.05598859805248</v>
      </c>
      <c r="G221" s="19" t="n">
        <f aca="false">F221*(1+MAX(0,phi*G216))</f>
        <v>5.82586994933585</v>
      </c>
    </row>
    <row r="222" customFormat="false" ht="15" hidden="false" customHeight="false" outlineLevel="0" collapsed="false">
      <c r="A222" s="4" t="s">
        <v>508</v>
      </c>
      <c r="B222" s="0" t="s">
        <v>168</v>
      </c>
      <c r="C222" s="19" t="n">
        <f aca="false">C221</f>
        <v>1.02127838181818</v>
      </c>
      <c r="D222" s="19" t="n">
        <f aca="false">D221</f>
        <v>3.21377711360775</v>
      </c>
      <c r="E222" s="19" t="n">
        <f aca="false">E221+0*E215</f>
        <v>4.72295890690869</v>
      </c>
      <c r="F222" s="19" t="n">
        <f aca="false">F221+0*F215</f>
        <v>5.05598859805248</v>
      </c>
      <c r="G222" s="19" t="n">
        <f aca="false">G221+0*G215</f>
        <v>5.82586994933585</v>
      </c>
    </row>
    <row r="223" customFormat="false" ht="15" hidden="false" customHeight="false" outlineLevel="0" collapsed="false">
      <c r="A223" s="4" t="s">
        <v>509</v>
      </c>
      <c r="B223" s="0" t="s">
        <v>168</v>
      </c>
      <c r="C223" s="19" t="n">
        <f aca="false">C220-C222</f>
        <v>10.8556818181818</v>
      </c>
      <c r="D223" s="19" t="n">
        <f aca="false">D220-D222</f>
        <v>22.8462652863923</v>
      </c>
      <c r="E223" s="19" t="n">
        <f aca="false">E220-E222</f>
        <v>42.5337124946441</v>
      </c>
      <c r="F223" s="19" t="n">
        <f aca="false">F220-F222</f>
        <v>46.6765981890491</v>
      </c>
      <c r="G223" s="19" t="n">
        <f aca="false">G220-G222</f>
        <v>57.6844044842759</v>
      </c>
    </row>
    <row r="224" customFormat="false" ht="15" hidden="false" customHeight="false" outlineLevel="0" collapsed="false">
      <c r="A224" s="4" t="s">
        <v>510</v>
      </c>
      <c r="B224" s="0" t="s">
        <v>66</v>
      </c>
      <c r="C224" s="15" t="n">
        <f aca="false">C223/C215</f>
        <v>0.43698904348208</v>
      </c>
      <c r="D224" s="15" t="n">
        <f aca="false">D223/D215</f>
        <v>0.422296330918406</v>
      </c>
      <c r="E224" s="15" t="n">
        <f aca="false">E223/E215</f>
        <v>0.441028081416898</v>
      </c>
      <c r="F224" s="15" t="n">
        <f aca="false">F223/F215</f>
        <v>0.433088088615157</v>
      </c>
      <c r="G224" s="15" t="n">
        <f aca="false">G223/G215</f>
        <v>0.426886363653646</v>
      </c>
    </row>
    <row r="225" customFormat="false" ht="15" hidden="false" customHeight="false" outlineLevel="0" collapsed="false">
      <c r="A225" s="4" t="s">
        <v>417</v>
      </c>
      <c r="B225" s="0" t="s">
        <v>168</v>
      </c>
      <c r="C225" s="19" t="n">
        <f aca="false">a25_ni</f>
        <v>9.532</v>
      </c>
      <c r="D225" s="19" t="n">
        <f aca="false">a26_ni</f>
        <v>20.0605180178692</v>
      </c>
      <c r="E225" s="19" t="n">
        <f aca="false">E223*(1-tx)*attr</f>
        <v>37.3473867684574</v>
      </c>
      <c r="F225" s="19" t="n">
        <f aca="false">F223*(1-tx)*attr</f>
        <v>40.9851118879361</v>
      </c>
      <c r="G225" s="19" t="n">
        <f aca="false">G223*(1-tx)*attr</f>
        <v>50.6506871473698</v>
      </c>
    </row>
    <row r="226" customFormat="false" ht="15" hidden="false" customHeight="false" outlineLevel="0" collapsed="false">
      <c r="A226" s="4" t="s">
        <v>419</v>
      </c>
      <c r="B226" s="0" t="s">
        <v>66</v>
      </c>
      <c r="C226" s="15" t="n">
        <f aca="false">C225/C215</f>
        <v>0.383705015699219</v>
      </c>
      <c r="D226" s="15" t="n">
        <f aca="false">D225/D215</f>
        <v>0.370803851267302</v>
      </c>
      <c r="E226" s="15" t="n">
        <f aca="false">E225/E215</f>
        <v>0.387251555680725</v>
      </c>
      <c r="F226" s="15" t="n">
        <f aca="false">F225/F215</f>
        <v>0.380279721699792</v>
      </c>
      <c r="G226" s="15" t="n">
        <f aca="false">G225/G215</f>
        <v>0.374834200789801</v>
      </c>
    </row>
    <row r="227" customFormat="false" ht="15" hidden="false" customHeight="false" outlineLevel="0" collapsed="false">
      <c r="A227" s="4" t="s">
        <v>511</v>
      </c>
      <c r="B227" s="4" t="s">
        <v>204</v>
      </c>
      <c r="C227" s="16" t="n">
        <f aca="false">a25_sh</f>
        <v>1.38863683662851</v>
      </c>
      <c r="D227" s="16" t="n">
        <f aca="false">a26_sh</f>
        <v>1.39284103512015</v>
      </c>
      <c r="E227" s="16" t="n">
        <f aca="false">sh_post*(1+sh_g)</f>
        <v>1.394</v>
      </c>
      <c r="F227" s="16" t="n">
        <f aca="false">E227*(1+sh_g)</f>
        <v>1.394</v>
      </c>
      <c r="G227" s="16" t="n">
        <f aca="false">F227*(1+sh_g)</f>
        <v>1.394</v>
      </c>
    </row>
    <row r="228" customFormat="false" ht="15" hidden="false" customHeight="false" outlineLevel="0" collapsed="false">
      <c r="A228" s="0" t="s">
        <v>422</v>
      </c>
      <c r="B228" s="0" t="s">
        <v>140</v>
      </c>
      <c r="C228" s="19" t="n">
        <f aca="false">C225/C227</f>
        <v>6.86428571428571</v>
      </c>
      <c r="D228" s="19" t="n">
        <f aca="false">D225/D227</f>
        <v>14.402589751485</v>
      </c>
      <c r="E228" s="19" t="n">
        <f aca="false">E225/E227</f>
        <v>26.7915256588647</v>
      </c>
      <c r="F228" s="19" t="n">
        <f aca="false">F225/F227</f>
        <v>29.4010845681034</v>
      </c>
      <c r="G228" s="19" t="n">
        <f aca="false">G225/G227</f>
        <v>36.3347827456024</v>
      </c>
    </row>
    <row r="229" customFormat="false" ht="17.15" hidden="false" customHeight="false" outlineLevel="0" collapsed="false">
      <c r="A229" s="0" t="s">
        <v>512</v>
      </c>
      <c r="B229" s="0" t="s">
        <v>66</v>
      </c>
      <c r="D229" s="15" t="n">
        <f aca="false">D228/C228-1</f>
        <v>1.09819205536722</v>
      </c>
      <c r="E229" s="15" t="n">
        <f aca="false">E228/D228-1</f>
        <v>0.860188071808571</v>
      </c>
      <c r="F229" s="15" t="n">
        <f aca="false">F228/E228-1</f>
        <v>0.0974024003883198</v>
      </c>
      <c r="G229" s="15" t="n">
        <f aca="false">G228/F228-1</f>
        <v>0.235831374228326</v>
      </c>
    </row>
    <row r="232" customFormat="false" ht="17.15" hidden="false" customHeight="false" outlineLevel="0" collapsed="false">
      <c r="A232" s="1" t="s">
        <v>853</v>
      </c>
    </row>
    <row r="233" customFormat="false" ht="17.15" hidden="false" customHeight="false" outlineLevel="0" collapsed="false">
      <c r="A233" s="5" t="s">
        <v>22</v>
      </c>
      <c r="B233" s="5" t="s">
        <v>23</v>
      </c>
      <c r="C233" s="13" t="s">
        <v>399</v>
      </c>
      <c r="D233" s="13" t="s">
        <v>468</v>
      </c>
      <c r="E233" s="13" t="s">
        <v>469</v>
      </c>
      <c r="F233" s="13" t="s">
        <v>470</v>
      </c>
      <c r="G233" s="13" t="s">
        <v>471</v>
      </c>
      <c r="H233" s="5" t="s">
        <v>405</v>
      </c>
    </row>
    <row r="234" customFormat="false" ht="17.15" hidden="false" customHeight="false" outlineLevel="0" collapsed="false">
      <c r="A234" s="6" t="s">
        <v>488</v>
      </c>
    </row>
    <row r="235" customFormat="false" ht="17.15" hidden="false" customHeight="false" outlineLevel="0" collapsed="false">
      <c r="A235" s="0" t="s">
        <v>489</v>
      </c>
      <c r="B235" s="0" t="s">
        <v>33</v>
      </c>
      <c r="D235" s="19" t="n">
        <f aca="false">mpl_26*1</f>
        <v>29.753262</v>
      </c>
      <c r="E235" s="19" t="n">
        <f aca="false">mpl_27*1*1</f>
        <v>53.560715</v>
      </c>
      <c r="F235" s="19" t="n">
        <f aca="false">mpl_28*um28_A*1</f>
        <v>57.9915</v>
      </c>
      <c r="G235" s="19" t="n">
        <f aca="false">mpl_29*um29_A*1</f>
        <v>72.9348</v>
      </c>
    </row>
    <row r="236" customFormat="false" ht="17.15" hidden="false" customHeight="false" outlineLevel="0" collapsed="false">
      <c r="A236" s="0" t="s">
        <v>490</v>
      </c>
      <c r="B236" s="0" t="s">
        <v>33</v>
      </c>
      <c r="D236" s="19" t="n">
        <f aca="false">mcp_26*1</f>
        <v>0.300538</v>
      </c>
      <c r="E236" s="19" t="n">
        <f aca="false">mcp_27*1</f>
        <v>2.818985</v>
      </c>
      <c r="F236" s="19" t="n">
        <f aca="false">mcp_28*um28_A</f>
        <v>6.4435</v>
      </c>
      <c r="G236" s="19" t="n">
        <f aca="false">mcp_29*um29_A</f>
        <v>11.74736</v>
      </c>
    </row>
    <row r="237" customFormat="false" ht="17.15" hidden="false" customHeight="false" outlineLevel="0" collapsed="false">
      <c r="A237" s="4" t="s">
        <v>491</v>
      </c>
      <c r="B237" s="0" t="s">
        <v>140</v>
      </c>
      <c r="D237" s="17" t="n">
        <f aca="false">fx</f>
        <v>6.72</v>
      </c>
      <c r="E237" s="17" t="n">
        <f aca="false">fx</f>
        <v>6.72</v>
      </c>
      <c r="F237" s="17" t="n">
        <f aca="false">fx</f>
        <v>6.72</v>
      </c>
      <c r="G237" s="17" t="n">
        <f aca="false">fx</f>
        <v>6.72</v>
      </c>
      <c r="H237" s="8" t="s">
        <v>492</v>
      </c>
    </row>
    <row r="238" customFormat="false" ht="17.15" hidden="false" customHeight="false" outlineLevel="0" collapsed="false">
      <c r="A238" s="4" t="s">
        <v>493</v>
      </c>
      <c r="B238" s="0" t="s">
        <v>66</v>
      </c>
      <c r="D238" s="15" t="n">
        <f aca="false">a26_aiu/D235</f>
        <v>0.257050026505137</v>
      </c>
      <c r="H238" s="8" t="s">
        <v>494</v>
      </c>
    </row>
    <row r="239" customFormat="false" ht="17.15" hidden="false" customHeight="false" outlineLevel="0" collapsed="false">
      <c r="A239" s="4" t="s">
        <v>495</v>
      </c>
      <c r="B239" s="0" t="s">
        <v>81</v>
      </c>
      <c r="D239" s="17" t="n">
        <f aca="false">1</f>
        <v>1</v>
      </c>
      <c r="E239" s="17" t="n">
        <f aca="false">rel_27</f>
        <v>1</v>
      </c>
      <c r="F239" s="17" t="n">
        <f aca="false">rel_28</f>
        <v>1</v>
      </c>
      <c r="G239" s="17" t="n">
        <f aca="false">rel_29</f>
        <v>0.95</v>
      </c>
    </row>
    <row r="240" customFormat="false" ht="15" hidden="false" customHeight="false" outlineLevel="0" collapsed="false">
      <c r="A240" s="4" t="s">
        <v>496</v>
      </c>
      <c r="B240" s="0" t="s">
        <v>66</v>
      </c>
      <c r="D240" s="15" t="n">
        <f aca="false">$D$238*D239</f>
        <v>0.257050026505137</v>
      </c>
      <c r="E240" s="15" t="n">
        <f aca="false">$D$238*E239</f>
        <v>0.257050026505137</v>
      </c>
      <c r="F240" s="15" t="n">
        <f aca="false">$D$238*F239</f>
        <v>0.257050026505137</v>
      </c>
      <c r="G240" s="15" t="n">
        <f aca="false">$D$238*G239</f>
        <v>0.24419752517988</v>
      </c>
    </row>
    <row r="241" customFormat="false" ht="15" hidden="false" customHeight="false" outlineLevel="0" collapsed="false">
      <c r="A241" s="4" t="s">
        <v>497</v>
      </c>
      <c r="B241" s="0" t="s">
        <v>81</v>
      </c>
      <c r="D241" s="17" t="n">
        <f aca="false">1</f>
        <v>1</v>
      </c>
      <c r="E241" s="17" t="n">
        <f aca="false">pxr_27</f>
        <v>1</v>
      </c>
      <c r="F241" s="17" t="n">
        <f aca="false">pxr_28</f>
        <v>1</v>
      </c>
      <c r="G241" s="17" t="n">
        <f aca="false">pxr_29</f>
        <v>1</v>
      </c>
    </row>
    <row r="242" customFormat="false" ht="17.15" hidden="false" customHeight="false" outlineLevel="0" collapsed="false">
      <c r="A242" s="4" t="s">
        <v>498</v>
      </c>
      <c r="B242" s="0" t="s">
        <v>66</v>
      </c>
      <c r="D242" s="15" t="n">
        <f aca="false">0</f>
        <v>0</v>
      </c>
      <c r="E242" s="15" t="n">
        <f aca="false">CPLO_27</f>
        <v>0</v>
      </c>
      <c r="F242" s="15" t="n">
        <f aca="false">CPLO_28</f>
        <v>0</v>
      </c>
      <c r="G242" s="15" t="n">
        <f aca="false">CPLO_29</f>
        <v>0</v>
      </c>
    </row>
    <row r="243" customFormat="false" ht="17.15" hidden="false" customHeight="false" outlineLevel="0" collapsed="false">
      <c r="A243" s="0" t="s">
        <v>499</v>
      </c>
      <c r="B243" s="0" t="s">
        <v>33</v>
      </c>
      <c r="D243" s="19" t="n">
        <f aca="false">a26_aiu</f>
        <v>7.64807678571429</v>
      </c>
      <c r="E243" s="19" t="n">
        <f aca="false">E235*E240*E241+E236*E242</f>
        <v>13.7677832103841</v>
      </c>
      <c r="F243" s="19" t="n">
        <f aca="false">F235*F240*F241+F236*F242</f>
        <v>14.9067166120727</v>
      </c>
      <c r="G243" s="19" t="n">
        <f aca="false">G235*G240*G241+G236*G242</f>
        <v>17.8104976594895</v>
      </c>
    </row>
    <row r="244" customFormat="false" ht="17.15" hidden="false" customHeight="false" outlineLevel="0" collapsed="false">
      <c r="A244" s="0" t="s">
        <v>500</v>
      </c>
      <c r="B244" s="0" t="s">
        <v>168</v>
      </c>
      <c r="C244" s="19" t="n">
        <f aca="false">a25_ai</f>
        <v>23.5999</v>
      </c>
      <c r="D244" s="19" t="n">
        <f aca="false">D243*D237</f>
        <v>51.395076</v>
      </c>
      <c r="E244" s="19" t="n">
        <f aca="false">E243*E237</f>
        <v>92.5195031737811</v>
      </c>
      <c r="F244" s="19" t="n">
        <f aca="false">F243*F237</f>
        <v>100.173135633128</v>
      </c>
      <c r="G244" s="19" t="n">
        <f aca="false">G243*G237</f>
        <v>119.68654427177</v>
      </c>
    </row>
    <row r="245" customFormat="false" ht="17.15" hidden="false" customHeight="false" outlineLevel="0" collapsed="false">
      <c r="A245" s="6" t="s">
        <v>501</v>
      </c>
    </row>
    <row r="246" customFormat="false" ht="15" hidden="false" customHeight="false" outlineLevel="0" collapsed="false">
      <c r="A246" s="4" t="s">
        <v>502</v>
      </c>
      <c r="B246" s="0" t="s">
        <v>168</v>
      </c>
      <c r="C246" s="19" t="n">
        <f aca="false">a25_oth</f>
        <v>1.2421</v>
      </c>
      <c r="D246" s="19" t="n">
        <f aca="false">a26_oth</f>
        <v>2.705004</v>
      </c>
      <c r="E246" s="19" t="n">
        <f aca="false">D246*(1+g_oth)</f>
        <v>2.9755044</v>
      </c>
      <c r="F246" s="19" t="n">
        <f aca="false">E246*(1+g_oth)</f>
        <v>3.27305484</v>
      </c>
      <c r="G246" s="19" t="n">
        <f aca="false">F246*(1+g_oth)</f>
        <v>3.600360324</v>
      </c>
    </row>
    <row r="247" customFormat="false" ht="15" hidden="false" customHeight="false" outlineLevel="0" collapsed="false">
      <c r="A247" s="4" t="s">
        <v>406</v>
      </c>
      <c r="B247" s="0" t="s">
        <v>168</v>
      </c>
      <c r="C247" s="19" t="n">
        <f aca="false">a25_rev</f>
        <v>24.842</v>
      </c>
      <c r="D247" s="19" t="n">
        <f aca="false">D244+D246</f>
        <v>54.10008</v>
      </c>
      <c r="E247" s="19" t="n">
        <f aca="false">E244+E246</f>
        <v>95.4950075737811</v>
      </c>
      <c r="F247" s="19" t="n">
        <f aca="false">F244+F246</f>
        <v>103.446190473128</v>
      </c>
      <c r="G247" s="19" t="n">
        <f aca="false">G244+G246</f>
        <v>123.28690459577</v>
      </c>
    </row>
    <row r="248" customFormat="false" ht="15" hidden="false" customHeight="false" outlineLevel="0" collapsed="false">
      <c r="A248" s="4" t="s">
        <v>503</v>
      </c>
      <c r="B248" s="0" t="s">
        <v>66</v>
      </c>
      <c r="D248" s="15" t="n">
        <f aca="false">D247/C247-1</f>
        <v>1.17776668545206</v>
      </c>
      <c r="E248" s="15" t="n">
        <f aca="false">E247/D247-1</f>
        <v>0.765154646236772</v>
      </c>
      <c r="F248" s="15" t="n">
        <f aca="false">F247/E247-1</f>
        <v>0.0832628123852854</v>
      </c>
      <c r="G248" s="15" t="n">
        <f aca="false">G247/F247-1</f>
        <v>0.19179743625064</v>
      </c>
    </row>
    <row r="249" customFormat="false" ht="17.15" hidden="false" customHeight="false" outlineLevel="0" collapsed="false">
      <c r="A249" s="0" t="s">
        <v>504</v>
      </c>
      <c r="B249" s="0" t="s">
        <v>66</v>
      </c>
      <c r="C249" s="15" t="n">
        <f aca="false">C244/C247</f>
        <v>0.95</v>
      </c>
      <c r="D249" s="15" t="n">
        <f aca="false">D244/D247</f>
        <v>0.95</v>
      </c>
      <c r="E249" s="15" t="n">
        <f aca="false">E244/E247</f>
        <v>0.968841256987167</v>
      </c>
      <c r="F249" s="15" t="n">
        <f aca="false">F244/F247</f>
        <v>0.968359832053456</v>
      </c>
      <c r="G249" s="15" t="n">
        <f aca="false">G244/G247</f>
        <v>0.970796895778957</v>
      </c>
    </row>
    <row r="250" customFormat="false" ht="17.15" hidden="false" customHeight="false" outlineLevel="0" collapsed="false">
      <c r="A250" s="6" t="s">
        <v>505</v>
      </c>
    </row>
    <row r="251" customFormat="false" ht="17.15" hidden="false" customHeight="false" outlineLevel="0" collapsed="false">
      <c r="A251" s="4" t="s">
        <v>410</v>
      </c>
      <c r="B251" s="0" t="s">
        <v>66</v>
      </c>
      <c r="C251" s="15" t="n">
        <f aca="false">a25_gp/a25_rev</f>
        <v>0.4781</v>
      </c>
      <c r="D251" s="15" t="n">
        <f aca="false">a26_gp/a26_rev</f>
        <v>0.481700625951015</v>
      </c>
      <c r="E251" s="15" t="n">
        <f aca="false">gm_27</f>
        <v>0.47</v>
      </c>
      <c r="F251" s="15" t="n">
        <f aca="false">gm_28</f>
        <v>0.46</v>
      </c>
      <c r="G251" s="15" t="n">
        <f aca="false">gm_29</f>
        <v>0.45</v>
      </c>
      <c r="H251" s="8" t="s">
        <v>506</v>
      </c>
    </row>
    <row r="252" customFormat="false" ht="15" hidden="false" customHeight="false" outlineLevel="0" collapsed="false">
      <c r="A252" s="4" t="s">
        <v>409</v>
      </c>
      <c r="B252" s="0" t="s">
        <v>168</v>
      </c>
      <c r="C252" s="19" t="n">
        <f aca="false">C247*C251</f>
        <v>11.8769602</v>
      </c>
      <c r="D252" s="19" t="n">
        <f aca="false">D247*D251</f>
        <v>26.0600424</v>
      </c>
      <c r="E252" s="19" t="n">
        <f aca="false">E247*E251</f>
        <v>44.8826535596771</v>
      </c>
      <c r="F252" s="19" t="n">
        <f aca="false">F247*F251</f>
        <v>47.585247617639</v>
      </c>
      <c r="G252" s="19" t="n">
        <f aca="false">G247*G251</f>
        <v>55.4791070680963</v>
      </c>
    </row>
    <row r="253" customFormat="false" ht="15" hidden="false" customHeight="false" outlineLevel="0" collapsed="false">
      <c r="A253" s="4" t="s">
        <v>507</v>
      </c>
      <c r="B253" s="0" t="s">
        <v>168</v>
      </c>
      <c r="C253" s="19" t="n">
        <f aca="false">a25_opx</f>
        <v>1.02127838181818</v>
      </c>
      <c r="D253" s="19" t="n">
        <f aca="false">a26_opx</f>
        <v>3.21377711360775</v>
      </c>
      <c r="E253" s="19" t="n">
        <f aca="false">D253*(1+MAX(0,phi*E248))</f>
        <v>4.68919900787558</v>
      </c>
      <c r="F253" s="19" t="n">
        <f aca="false">E253*(1+MAX(0,phi*F248))</f>
        <v>4.92346054621358</v>
      </c>
      <c r="G253" s="19" t="n">
        <f aca="false">F253*(1+MAX(0,phi*G248))</f>
        <v>5.49004481236055</v>
      </c>
    </row>
    <row r="254" customFormat="false" ht="15" hidden="false" customHeight="false" outlineLevel="0" collapsed="false">
      <c r="A254" s="4" t="s">
        <v>508</v>
      </c>
      <c r="B254" s="0" t="s">
        <v>168</v>
      </c>
      <c r="C254" s="19" t="n">
        <f aca="false">C253</f>
        <v>1.02127838181818</v>
      </c>
      <c r="D254" s="19" t="n">
        <f aca="false">D253</f>
        <v>3.21377711360775</v>
      </c>
      <c r="E254" s="19" t="n">
        <f aca="false">E253+0*E247</f>
        <v>4.68919900787558</v>
      </c>
      <c r="F254" s="19" t="n">
        <f aca="false">F253+0*F247</f>
        <v>4.92346054621358</v>
      </c>
      <c r="G254" s="19" t="n">
        <f aca="false">G253+0*G247</f>
        <v>5.49004481236055</v>
      </c>
    </row>
    <row r="255" customFormat="false" ht="15" hidden="false" customHeight="false" outlineLevel="0" collapsed="false">
      <c r="A255" s="4" t="s">
        <v>509</v>
      </c>
      <c r="B255" s="0" t="s">
        <v>168</v>
      </c>
      <c r="C255" s="19" t="n">
        <f aca="false">C252-C254</f>
        <v>10.8556818181818</v>
      </c>
      <c r="D255" s="19" t="n">
        <f aca="false">D252-D254</f>
        <v>22.8462652863923</v>
      </c>
      <c r="E255" s="19" t="n">
        <f aca="false">E252-E254</f>
        <v>40.1934545518015</v>
      </c>
      <c r="F255" s="19" t="n">
        <f aca="false">F252-F254</f>
        <v>42.6617870714254</v>
      </c>
      <c r="G255" s="19" t="n">
        <f aca="false">G252-G254</f>
        <v>49.9890622557358</v>
      </c>
    </row>
    <row r="256" customFormat="false" ht="15" hidden="false" customHeight="false" outlineLevel="0" collapsed="false">
      <c r="A256" s="4" t="s">
        <v>510</v>
      </c>
      <c r="B256" s="0" t="s">
        <v>66</v>
      </c>
      <c r="C256" s="15" t="n">
        <f aca="false">C255/C247</f>
        <v>0.43698904348208</v>
      </c>
      <c r="D256" s="15" t="n">
        <f aca="false">D255/D247</f>
        <v>0.422296330918406</v>
      </c>
      <c r="E256" s="15" t="n">
        <f aca="false">E255/E247</f>
        <v>0.420895872705674</v>
      </c>
      <c r="F256" s="15" t="n">
        <f aca="false">F255/F247</f>
        <v>0.412405588608964</v>
      </c>
      <c r="G256" s="15" t="n">
        <f aca="false">G255/G247</f>
        <v>0.405469359618029</v>
      </c>
    </row>
    <row r="257" customFormat="false" ht="15" hidden="false" customHeight="false" outlineLevel="0" collapsed="false">
      <c r="A257" s="4" t="s">
        <v>417</v>
      </c>
      <c r="B257" s="0" t="s">
        <v>168</v>
      </c>
      <c r="C257" s="19" t="n">
        <f aca="false">a25_ni</f>
        <v>9.532</v>
      </c>
      <c r="D257" s="19" t="n">
        <f aca="false">a26_ni</f>
        <v>20.0605180178692</v>
      </c>
      <c r="E257" s="19" t="n">
        <f aca="false">E255*(1-tx)*attr</f>
        <v>35.2924869395205</v>
      </c>
      <c r="F257" s="19" t="n">
        <f aca="false">F255*(1-tx)*attr</f>
        <v>37.45984463949</v>
      </c>
      <c r="G257" s="19" t="n">
        <f aca="false">G255*(1-tx)*attr</f>
        <v>43.8936724014522</v>
      </c>
    </row>
    <row r="258" customFormat="false" ht="15" hidden="false" customHeight="false" outlineLevel="0" collapsed="false">
      <c r="A258" s="4" t="s">
        <v>419</v>
      </c>
      <c r="B258" s="0" t="s">
        <v>66</v>
      </c>
      <c r="C258" s="15" t="n">
        <f aca="false">C257/C247</f>
        <v>0.383705015699219</v>
      </c>
      <c r="D258" s="15" t="n">
        <f aca="false">D257/D247</f>
        <v>0.370803851267302</v>
      </c>
      <c r="E258" s="15" t="n">
        <f aca="false">E257/E247</f>
        <v>0.369574157185683</v>
      </c>
      <c r="F258" s="15" t="n">
        <f aca="false">F257/F247</f>
        <v>0.362119131387644</v>
      </c>
      <c r="G258" s="15" t="n">
        <f aca="false">G257/G247</f>
        <v>0.356028667808392</v>
      </c>
    </row>
    <row r="259" customFormat="false" ht="15" hidden="false" customHeight="false" outlineLevel="0" collapsed="false">
      <c r="A259" s="4" t="s">
        <v>511</v>
      </c>
      <c r="B259" s="4" t="s">
        <v>204</v>
      </c>
      <c r="C259" s="16" t="n">
        <f aca="false">a25_sh</f>
        <v>1.38863683662851</v>
      </c>
      <c r="D259" s="16" t="n">
        <f aca="false">a26_sh</f>
        <v>1.39284103512015</v>
      </c>
      <c r="E259" s="16" t="n">
        <f aca="false">sh_post*(1+sh_g)</f>
        <v>1.394</v>
      </c>
      <c r="F259" s="16" t="n">
        <f aca="false">E259*(1+sh_g)</f>
        <v>1.394</v>
      </c>
      <c r="G259" s="16" t="n">
        <f aca="false">F259*(1+sh_g)</f>
        <v>1.394</v>
      </c>
    </row>
    <row r="260" customFormat="false" ht="15" hidden="false" customHeight="false" outlineLevel="0" collapsed="false">
      <c r="A260" s="0" t="s">
        <v>422</v>
      </c>
      <c r="B260" s="0" t="s">
        <v>140</v>
      </c>
      <c r="C260" s="19" t="n">
        <f aca="false">C257/C259</f>
        <v>6.86428571428571</v>
      </c>
      <c r="D260" s="19" t="n">
        <f aca="false">D257/D259</f>
        <v>14.402589751485</v>
      </c>
      <c r="E260" s="19" t="n">
        <f aca="false">E257/E259</f>
        <v>25.317422481722</v>
      </c>
      <c r="F260" s="19" t="n">
        <f aca="false">F257/F259</f>
        <v>26.8721984501363</v>
      </c>
      <c r="G260" s="19" t="n">
        <f aca="false">G257/G259</f>
        <v>31.4875698719169</v>
      </c>
    </row>
    <row r="261" customFormat="false" ht="17.15" hidden="false" customHeight="false" outlineLevel="0" collapsed="false">
      <c r="A261" s="0" t="s">
        <v>512</v>
      </c>
      <c r="B261" s="0" t="s">
        <v>66</v>
      </c>
      <c r="D261" s="15" t="n">
        <f aca="false">D260/C260-1</f>
        <v>1.09819205536722</v>
      </c>
      <c r="E261" s="15" t="n">
        <f aca="false">E260/D260-1</f>
        <v>0.757838202612951</v>
      </c>
      <c r="F261" s="15" t="n">
        <f aca="false">F260/E260-1</f>
        <v>0.0614113055757044</v>
      </c>
      <c r="G261" s="15" t="n">
        <f aca="false">G260/F260-1</f>
        <v>0.17175265471282</v>
      </c>
    </row>
    <row r="264" customFormat="false" ht="17.15" hidden="false" customHeight="false" outlineLevel="0" collapsed="false">
      <c r="A264" s="1" t="s">
        <v>854</v>
      </c>
    </row>
    <row r="265" customFormat="false" ht="17.15" hidden="false" customHeight="false" outlineLevel="0" collapsed="false">
      <c r="A265" s="5" t="s">
        <v>22</v>
      </c>
      <c r="B265" s="5" t="s">
        <v>23</v>
      </c>
      <c r="C265" s="13" t="s">
        <v>399</v>
      </c>
      <c r="D265" s="13" t="s">
        <v>468</v>
      </c>
      <c r="E265" s="13" t="s">
        <v>469</v>
      </c>
      <c r="F265" s="13" t="s">
        <v>470</v>
      </c>
      <c r="G265" s="13" t="s">
        <v>471</v>
      </c>
      <c r="H265" s="5" t="s">
        <v>405</v>
      </c>
    </row>
    <row r="266" customFormat="false" ht="17.15" hidden="false" customHeight="false" outlineLevel="0" collapsed="false">
      <c r="A266" s="6" t="s">
        <v>488</v>
      </c>
    </row>
    <row r="267" customFormat="false" ht="17.15" hidden="false" customHeight="false" outlineLevel="0" collapsed="false">
      <c r="A267" s="0" t="s">
        <v>489</v>
      </c>
      <c r="B267" s="0" t="s">
        <v>33</v>
      </c>
      <c r="D267" s="19" t="n">
        <f aca="false">mpl_26*1</f>
        <v>29.753262</v>
      </c>
      <c r="E267" s="19" t="n">
        <f aca="false">mpl_27*1*1</f>
        <v>53.560715</v>
      </c>
      <c r="F267" s="19" t="n">
        <f aca="false">mpl_28*um28_A*1</f>
        <v>57.9915</v>
      </c>
      <c r="G267" s="19" t="n">
        <f aca="false">mpl_29*um29_A*1</f>
        <v>72.9348</v>
      </c>
    </row>
    <row r="268" customFormat="false" ht="17.15" hidden="false" customHeight="false" outlineLevel="0" collapsed="false">
      <c r="A268" s="0" t="s">
        <v>490</v>
      </c>
      <c r="B268" s="0" t="s">
        <v>33</v>
      </c>
      <c r="D268" s="19" t="n">
        <f aca="false">mcp_26*1</f>
        <v>0.300538</v>
      </c>
      <c r="E268" s="19" t="n">
        <f aca="false">mcp_27*1</f>
        <v>2.818985</v>
      </c>
      <c r="F268" s="19" t="n">
        <f aca="false">mcp_28*um28_A</f>
        <v>6.4435</v>
      </c>
      <c r="G268" s="19" t="n">
        <f aca="false">mcp_29*um29_A</f>
        <v>11.74736</v>
      </c>
    </row>
    <row r="269" customFormat="false" ht="17.15" hidden="false" customHeight="false" outlineLevel="0" collapsed="false">
      <c r="A269" s="4" t="s">
        <v>491</v>
      </c>
      <c r="B269" s="0" t="s">
        <v>140</v>
      </c>
      <c r="D269" s="17" t="n">
        <f aca="false">fx</f>
        <v>6.72</v>
      </c>
      <c r="E269" s="17" t="n">
        <f aca="false">fx</f>
        <v>6.72</v>
      </c>
      <c r="F269" s="17" t="n">
        <f aca="false">fx</f>
        <v>6.72</v>
      </c>
      <c r="G269" s="17" t="n">
        <f aca="false">fx</f>
        <v>6.72</v>
      </c>
      <c r="H269" s="8" t="s">
        <v>492</v>
      </c>
    </row>
    <row r="270" customFormat="false" ht="17.15" hidden="false" customHeight="false" outlineLevel="0" collapsed="false">
      <c r="A270" s="4" t="s">
        <v>493</v>
      </c>
      <c r="B270" s="0" t="s">
        <v>66</v>
      </c>
      <c r="D270" s="15" t="n">
        <f aca="false">a26_aiu/D267</f>
        <v>0.257050026505137</v>
      </c>
      <c r="H270" s="8" t="s">
        <v>494</v>
      </c>
    </row>
    <row r="271" customFormat="false" ht="17.15" hidden="false" customHeight="false" outlineLevel="0" collapsed="false">
      <c r="A271" s="4" t="s">
        <v>495</v>
      </c>
      <c r="B271" s="0" t="s">
        <v>81</v>
      </c>
      <c r="D271" s="17" t="n">
        <f aca="false">1</f>
        <v>1</v>
      </c>
      <c r="E271" s="17" t="n">
        <f aca="false">rel_27</f>
        <v>1</v>
      </c>
      <c r="F271" s="17" t="n">
        <f aca="false">rel_28</f>
        <v>1</v>
      </c>
      <c r="G271" s="17" t="n">
        <f aca="false">rel_29</f>
        <v>0.95</v>
      </c>
    </row>
    <row r="272" customFormat="false" ht="15" hidden="false" customHeight="false" outlineLevel="0" collapsed="false">
      <c r="A272" s="4" t="s">
        <v>496</v>
      </c>
      <c r="B272" s="0" t="s">
        <v>66</v>
      </c>
      <c r="D272" s="15" t="n">
        <f aca="false">$D$270*D271</f>
        <v>0.257050026505137</v>
      </c>
      <c r="E272" s="15" t="n">
        <f aca="false">$D$270*E271</f>
        <v>0.257050026505137</v>
      </c>
      <c r="F272" s="15" t="n">
        <f aca="false">$D$270*F271</f>
        <v>0.257050026505137</v>
      </c>
      <c r="G272" s="15" t="n">
        <f aca="false">$D$270*G271</f>
        <v>0.24419752517988</v>
      </c>
    </row>
    <row r="273" customFormat="false" ht="15" hidden="false" customHeight="false" outlineLevel="0" collapsed="false">
      <c r="A273" s="4" t="s">
        <v>497</v>
      </c>
      <c r="B273" s="0" t="s">
        <v>81</v>
      </c>
      <c r="D273" s="17" t="n">
        <f aca="false">1</f>
        <v>1</v>
      </c>
      <c r="E273" s="17" t="n">
        <f aca="false">pxr_27</f>
        <v>1</v>
      </c>
      <c r="F273" s="17" t="n">
        <f aca="false">pxr_28</f>
        <v>1</v>
      </c>
      <c r="G273" s="17" t="n">
        <f aca="false">pxr_29</f>
        <v>1</v>
      </c>
    </row>
    <row r="274" customFormat="false" ht="17.15" hidden="false" customHeight="false" outlineLevel="0" collapsed="false">
      <c r="A274" s="4" t="s">
        <v>498</v>
      </c>
      <c r="B274" s="0" t="s">
        <v>66</v>
      </c>
      <c r="D274" s="15" t="n">
        <f aca="false">0</f>
        <v>0</v>
      </c>
      <c r="E274" s="15" t="n">
        <f aca="false">CPHI_27</f>
        <v>0.2</v>
      </c>
      <c r="F274" s="15" t="n">
        <f aca="false">CPHI_28</f>
        <v>0.25</v>
      </c>
      <c r="G274" s="15" t="n">
        <f aca="false">CPHI_29</f>
        <v>0.3</v>
      </c>
    </row>
    <row r="275" customFormat="false" ht="17.15" hidden="false" customHeight="false" outlineLevel="0" collapsed="false">
      <c r="A275" s="0" t="s">
        <v>499</v>
      </c>
      <c r="B275" s="0" t="s">
        <v>33</v>
      </c>
      <c r="D275" s="19" t="n">
        <f aca="false">a26_aiu</f>
        <v>7.64807678571429</v>
      </c>
      <c r="E275" s="19" t="n">
        <f aca="false">E267*E272*E273+E268*E274</f>
        <v>14.3315802103841</v>
      </c>
      <c r="F275" s="19" t="n">
        <f aca="false">F267*F272*F273+F268*F274</f>
        <v>16.5175916120727</v>
      </c>
      <c r="G275" s="19" t="n">
        <f aca="false">G267*G272*G273+G268*G274</f>
        <v>21.3347056594895</v>
      </c>
    </row>
    <row r="276" customFormat="false" ht="17.15" hidden="false" customHeight="false" outlineLevel="0" collapsed="false">
      <c r="A276" s="0" t="s">
        <v>500</v>
      </c>
      <c r="B276" s="0" t="s">
        <v>168</v>
      </c>
      <c r="C276" s="19" t="n">
        <f aca="false">a25_ai</f>
        <v>23.5999</v>
      </c>
      <c r="D276" s="19" t="n">
        <f aca="false">D275*D269</f>
        <v>51.395076</v>
      </c>
      <c r="E276" s="19" t="n">
        <f aca="false">E275*E269</f>
        <v>96.3082190137811</v>
      </c>
      <c r="F276" s="19" t="n">
        <f aca="false">F275*F269</f>
        <v>110.998215633128</v>
      </c>
      <c r="G276" s="19" t="n">
        <f aca="false">G275*G269</f>
        <v>143.36922203177</v>
      </c>
    </row>
    <row r="277" customFormat="false" ht="17.15" hidden="false" customHeight="false" outlineLevel="0" collapsed="false">
      <c r="A277" s="6" t="s">
        <v>501</v>
      </c>
    </row>
    <row r="278" customFormat="false" ht="15" hidden="false" customHeight="false" outlineLevel="0" collapsed="false">
      <c r="A278" s="4" t="s">
        <v>502</v>
      </c>
      <c r="B278" s="0" t="s">
        <v>168</v>
      </c>
      <c r="C278" s="19" t="n">
        <f aca="false">a25_oth</f>
        <v>1.2421</v>
      </c>
      <c r="D278" s="19" t="n">
        <f aca="false">a26_oth</f>
        <v>2.705004</v>
      </c>
      <c r="E278" s="19" t="n">
        <f aca="false">D278*(1+g_oth)</f>
        <v>2.9755044</v>
      </c>
      <c r="F278" s="19" t="n">
        <f aca="false">E278*(1+g_oth)</f>
        <v>3.27305484</v>
      </c>
      <c r="G278" s="19" t="n">
        <f aca="false">F278*(1+g_oth)</f>
        <v>3.600360324</v>
      </c>
    </row>
    <row r="279" customFormat="false" ht="15" hidden="false" customHeight="false" outlineLevel="0" collapsed="false">
      <c r="A279" s="4" t="s">
        <v>406</v>
      </c>
      <c r="B279" s="0" t="s">
        <v>168</v>
      </c>
      <c r="C279" s="19" t="n">
        <f aca="false">a25_rev</f>
        <v>24.842</v>
      </c>
      <c r="D279" s="19" t="n">
        <f aca="false">D276+D278</f>
        <v>54.10008</v>
      </c>
      <c r="E279" s="19" t="n">
        <f aca="false">E276+E278</f>
        <v>99.2837234137811</v>
      </c>
      <c r="F279" s="19" t="n">
        <f aca="false">F276+F278</f>
        <v>114.271270473128</v>
      </c>
      <c r="G279" s="19" t="n">
        <f aca="false">G276+G278</f>
        <v>146.96958235577</v>
      </c>
    </row>
    <row r="280" customFormat="false" ht="15" hidden="false" customHeight="false" outlineLevel="0" collapsed="false">
      <c r="A280" s="4" t="s">
        <v>503</v>
      </c>
      <c r="B280" s="0" t="s">
        <v>66</v>
      </c>
      <c r="D280" s="15" t="n">
        <f aca="false">D279/C279-1</f>
        <v>1.17776668545206</v>
      </c>
      <c r="E280" s="15" t="n">
        <f aca="false">E279/D279-1</f>
        <v>0.835186258759342</v>
      </c>
      <c r="F280" s="15" t="n">
        <f aca="false">F279/E279-1</f>
        <v>0.150956738365705</v>
      </c>
      <c r="G280" s="15" t="n">
        <f aca="false">G279/F279-1</f>
        <v>0.286146393115762</v>
      </c>
    </row>
    <row r="281" customFormat="false" ht="17.15" hidden="false" customHeight="false" outlineLevel="0" collapsed="false">
      <c r="A281" s="0" t="s">
        <v>504</v>
      </c>
      <c r="B281" s="0" t="s">
        <v>66</v>
      </c>
      <c r="C281" s="15" t="n">
        <f aca="false">C276/C279</f>
        <v>0.95</v>
      </c>
      <c r="D281" s="15" t="n">
        <f aca="false">D276/D279</f>
        <v>0.95</v>
      </c>
      <c r="E281" s="15" t="n">
        <f aca="false">E276/E279</f>
        <v>0.970030289984199</v>
      </c>
      <c r="F281" s="15" t="n">
        <f aca="false">F276/F279</f>
        <v>0.971357150170395</v>
      </c>
      <c r="G281" s="15" t="n">
        <f aca="false">G276/G279</f>
        <v>0.975502683845936</v>
      </c>
    </row>
    <row r="282" customFormat="false" ht="17.15" hidden="false" customHeight="false" outlineLevel="0" collapsed="false">
      <c r="A282" s="6" t="s">
        <v>505</v>
      </c>
    </row>
    <row r="283" customFormat="false" ht="17.15" hidden="false" customHeight="false" outlineLevel="0" collapsed="false">
      <c r="A283" s="4" t="s">
        <v>410</v>
      </c>
      <c r="B283" s="0" t="s">
        <v>66</v>
      </c>
      <c r="C283" s="15" t="n">
        <f aca="false">a25_gp/a25_rev</f>
        <v>0.4781</v>
      </c>
      <c r="D283" s="15" t="n">
        <f aca="false">a26_gp/a26_rev</f>
        <v>0.481700625951015</v>
      </c>
      <c r="E283" s="15" t="n">
        <f aca="false">gm_27</f>
        <v>0.47</v>
      </c>
      <c r="F283" s="15" t="n">
        <f aca="false">gm_28</f>
        <v>0.46</v>
      </c>
      <c r="G283" s="15" t="n">
        <f aca="false">gm_29</f>
        <v>0.45</v>
      </c>
      <c r="H283" s="8" t="s">
        <v>506</v>
      </c>
    </row>
    <row r="284" customFormat="false" ht="15" hidden="false" customHeight="false" outlineLevel="0" collapsed="false">
      <c r="A284" s="4" t="s">
        <v>409</v>
      </c>
      <c r="B284" s="0" t="s">
        <v>168</v>
      </c>
      <c r="C284" s="19" t="n">
        <f aca="false">C279*C283</f>
        <v>11.8769602</v>
      </c>
      <c r="D284" s="19" t="n">
        <f aca="false">D279*D283</f>
        <v>26.0600424</v>
      </c>
      <c r="E284" s="19" t="n">
        <f aca="false">E279*E283</f>
        <v>46.6633500044771</v>
      </c>
      <c r="F284" s="19" t="n">
        <f aca="false">F279*F283</f>
        <v>52.564784417639</v>
      </c>
      <c r="G284" s="19" t="n">
        <f aca="false">G279*G283</f>
        <v>66.1363120600963</v>
      </c>
    </row>
    <row r="285" customFormat="false" ht="15" hidden="false" customHeight="false" outlineLevel="0" collapsed="false">
      <c r="A285" s="4" t="s">
        <v>507</v>
      </c>
      <c r="B285" s="0" t="s">
        <v>168</v>
      </c>
      <c r="C285" s="19" t="n">
        <f aca="false">a25_opx</f>
        <v>1.02127838181818</v>
      </c>
      <c r="D285" s="19" t="n">
        <f aca="false">a26_opx</f>
        <v>3.21377711360775</v>
      </c>
      <c r="E285" s="19" t="n">
        <f aca="false">D285*(1+MAX(0,phi*E280))</f>
        <v>4.82423860400802</v>
      </c>
      <c r="F285" s="19" t="n">
        <f aca="false">E285*(1+MAX(0,phi*F280))</f>
        <v>5.26118939886341</v>
      </c>
      <c r="G285" s="19" t="n">
        <f aca="false">F285*(1+MAX(0,phi*G280))</f>
        <v>6.1644716208536</v>
      </c>
    </row>
    <row r="286" customFormat="false" ht="15" hidden="false" customHeight="false" outlineLevel="0" collapsed="false">
      <c r="A286" s="4" t="s">
        <v>508</v>
      </c>
      <c r="B286" s="0" t="s">
        <v>168</v>
      </c>
      <c r="C286" s="19" t="n">
        <f aca="false">C285</f>
        <v>1.02127838181818</v>
      </c>
      <c r="D286" s="19" t="n">
        <f aca="false">D285</f>
        <v>3.21377711360775</v>
      </c>
      <c r="E286" s="19" t="n">
        <f aca="false">E285+0*E279</f>
        <v>4.82423860400802</v>
      </c>
      <c r="F286" s="19" t="n">
        <f aca="false">F285+0*F279</f>
        <v>5.26118939886341</v>
      </c>
      <c r="G286" s="19" t="n">
        <f aca="false">G285+0*G279</f>
        <v>6.1644716208536</v>
      </c>
    </row>
    <row r="287" customFormat="false" ht="15" hidden="false" customHeight="false" outlineLevel="0" collapsed="false">
      <c r="A287" s="4" t="s">
        <v>509</v>
      </c>
      <c r="B287" s="0" t="s">
        <v>168</v>
      </c>
      <c r="C287" s="19" t="n">
        <f aca="false">C284-C286</f>
        <v>10.8556818181818</v>
      </c>
      <c r="D287" s="19" t="n">
        <f aca="false">D284-D286</f>
        <v>22.8462652863923</v>
      </c>
      <c r="E287" s="19" t="n">
        <f aca="false">E284-E286</f>
        <v>41.8391114004691</v>
      </c>
      <c r="F287" s="19" t="n">
        <f aca="false">F284-F286</f>
        <v>47.3035950187756</v>
      </c>
      <c r="G287" s="19" t="n">
        <f aca="false">G284-G286</f>
        <v>59.9718404392427</v>
      </c>
    </row>
    <row r="288" customFormat="false" ht="15" hidden="false" customHeight="false" outlineLevel="0" collapsed="false">
      <c r="A288" s="4" t="s">
        <v>510</v>
      </c>
      <c r="B288" s="0" t="s">
        <v>66</v>
      </c>
      <c r="C288" s="15" t="n">
        <f aca="false">C287/C279</f>
        <v>0.43698904348208</v>
      </c>
      <c r="D288" s="15" t="n">
        <f aca="false">D287/D279</f>
        <v>0.422296330918406</v>
      </c>
      <c r="E288" s="15" t="n">
        <f aca="false">E287/E279</f>
        <v>0.421409572101741</v>
      </c>
      <c r="F288" s="15" t="n">
        <f aca="false">F287/F279</f>
        <v>0.413958773915088</v>
      </c>
      <c r="G288" s="15" t="n">
        <f aca="false">G287/G279</f>
        <v>0.408056139766858</v>
      </c>
    </row>
    <row r="289" customFormat="false" ht="15" hidden="false" customHeight="false" outlineLevel="0" collapsed="false">
      <c r="A289" s="4" t="s">
        <v>417</v>
      </c>
      <c r="B289" s="0" t="s">
        <v>168</v>
      </c>
      <c r="C289" s="19" t="n">
        <f aca="false">a25_ni</f>
        <v>9.532</v>
      </c>
      <c r="D289" s="19" t="n">
        <f aca="false">a26_ni</f>
        <v>20.0605180178692</v>
      </c>
      <c r="E289" s="19" t="n">
        <f aca="false">E287*(1-tx)*attr</f>
        <v>36.7374814911503</v>
      </c>
      <c r="F289" s="19" t="n">
        <f aca="false">F287*(1-tx)*attr</f>
        <v>41.5356561910073</v>
      </c>
      <c r="G289" s="19" t="n">
        <f aca="false">G287*(1-tx)*attr</f>
        <v>52.6592058095717</v>
      </c>
    </row>
    <row r="290" customFormat="false" ht="15" hidden="false" customHeight="false" outlineLevel="0" collapsed="false">
      <c r="A290" s="4" t="s">
        <v>419</v>
      </c>
      <c r="B290" s="0" t="s">
        <v>66</v>
      </c>
      <c r="C290" s="15" t="n">
        <f aca="false">C289/C279</f>
        <v>0.383705015699219</v>
      </c>
      <c r="D290" s="15" t="n">
        <f aca="false">D289/D279</f>
        <v>0.370803851267302</v>
      </c>
      <c r="E290" s="15" t="n">
        <f aca="false">E289/E279</f>
        <v>0.370025218917716</v>
      </c>
      <c r="F290" s="15" t="n">
        <f aca="false">F289/F279</f>
        <v>0.363482929865339</v>
      </c>
      <c r="G290" s="15" t="n">
        <f aca="false">G289/G279</f>
        <v>0.358300030288576</v>
      </c>
    </row>
    <row r="291" customFormat="false" ht="15" hidden="false" customHeight="false" outlineLevel="0" collapsed="false">
      <c r="A291" s="4" t="s">
        <v>511</v>
      </c>
      <c r="B291" s="4" t="s">
        <v>204</v>
      </c>
      <c r="C291" s="16" t="n">
        <f aca="false">a25_sh</f>
        <v>1.38863683662851</v>
      </c>
      <c r="D291" s="16" t="n">
        <f aca="false">a26_sh</f>
        <v>1.39284103512015</v>
      </c>
      <c r="E291" s="16" t="n">
        <f aca="false">sh_post*(1+sh_g)</f>
        <v>1.394</v>
      </c>
      <c r="F291" s="16" t="n">
        <f aca="false">E291*(1+sh_g)</f>
        <v>1.394</v>
      </c>
      <c r="G291" s="16" t="n">
        <f aca="false">F291*(1+sh_g)</f>
        <v>1.394</v>
      </c>
    </row>
    <row r="292" customFormat="false" ht="15" hidden="false" customHeight="false" outlineLevel="0" collapsed="false">
      <c r="A292" s="0" t="s">
        <v>422</v>
      </c>
      <c r="B292" s="0" t="s">
        <v>140</v>
      </c>
      <c r="C292" s="19" t="n">
        <f aca="false">C289/C291</f>
        <v>6.86428571428571</v>
      </c>
      <c r="D292" s="19" t="n">
        <f aca="false">D289/D291</f>
        <v>14.402589751485</v>
      </c>
      <c r="E292" s="19" t="n">
        <f aca="false">E289/E291</f>
        <v>26.3540039391322</v>
      </c>
      <c r="F292" s="19" t="n">
        <f aca="false">F289/F291</f>
        <v>29.7960230925447</v>
      </c>
      <c r="G292" s="19" t="n">
        <f aca="false">G289/G291</f>
        <v>37.7756139236526</v>
      </c>
    </row>
    <row r="293" customFormat="false" ht="17.15" hidden="false" customHeight="false" outlineLevel="0" collapsed="false">
      <c r="A293" s="0" t="s">
        <v>512</v>
      </c>
      <c r="B293" s="0" t="s">
        <v>66</v>
      </c>
      <c r="D293" s="15" t="n">
        <f aca="false">D292/C292-1</f>
        <v>1.09819205536722</v>
      </c>
      <c r="E293" s="15" t="n">
        <f aca="false">E292/D292-1</f>
        <v>0.829810082344045</v>
      </c>
      <c r="F293" s="15" t="n">
        <f aca="false">F292/E292-1</f>
        <v>0.130607066818471</v>
      </c>
      <c r="G293" s="15" t="n">
        <f aca="false">G292/F292-1</f>
        <v>0.267807244152139</v>
      </c>
    </row>
    <row r="296" customFormat="false" ht="17.15" hidden="false" customHeight="false" outlineLevel="0" collapsed="false">
      <c r="A296" s="1" t="s">
        <v>855</v>
      </c>
    </row>
    <row r="297" customFormat="false" ht="17.15" hidden="false" customHeight="false" outlineLevel="0" collapsed="false">
      <c r="A297" s="5" t="s">
        <v>22</v>
      </c>
      <c r="B297" s="5" t="s">
        <v>23</v>
      </c>
      <c r="C297" s="13" t="s">
        <v>399</v>
      </c>
      <c r="D297" s="13" t="s">
        <v>468</v>
      </c>
      <c r="E297" s="13" t="s">
        <v>469</v>
      </c>
      <c r="F297" s="13" t="s">
        <v>470</v>
      </c>
      <c r="G297" s="13" t="s">
        <v>471</v>
      </c>
      <c r="H297" s="5" t="s">
        <v>405</v>
      </c>
    </row>
    <row r="298" customFormat="false" ht="17.15" hidden="false" customHeight="false" outlineLevel="0" collapsed="false">
      <c r="A298" s="6" t="s">
        <v>488</v>
      </c>
    </row>
    <row r="299" customFormat="false" ht="17.15" hidden="false" customHeight="false" outlineLevel="0" collapsed="false">
      <c r="A299" s="0" t="s">
        <v>489</v>
      </c>
      <c r="B299" s="0" t="s">
        <v>33</v>
      </c>
      <c r="D299" s="19" t="n">
        <f aca="false">mpl_26*1</f>
        <v>29.753262</v>
      </c>
      <c r="E299" s="19" t="n">
        <f aca="false">mpl_27*1*mf_lo</f>
        <v>42.848572</v>
      </c>
      <c r="F299" s="19" t="n">
        <f aca="false">mpl_28*um28_A*mf_lo</f>
        <v>46.3932</v>
      </c>
      <c r="G299" s="19" t="n">
        <f aca="false">mpl_29*um29_A*mf_lo</f>
        <v>58.34784</v>
      </c>
    </row>
    <row r="300" customFormat="false" ht="17.15" hidden="false" customHeight="false" outlineLevel="0" collapsed="false">
      <c r="A300" s="0" t="s">
        <v>490</v>
      </c>
      <c r="B300" s="0" t="s">
        <v>33</v>
      </c>
      <c r="D300" s="19" t="n">
        <f aca="false">mcp_26*1</f>
        <v>0.300538</v>
      </c>
      <c r="E300" s="19" t="n">
        <f aca="false">mcp_27*1</f>
        <v>2.818985</v>
      </c>
      <c r="F300" s="19" t="n">
        <f aca="false">mcp_28*um28_A</f>
        <v>6.4435</v>
      </c>
      <c r="G300" s="19" t="n">
        <f aca="false">mcp_29*um29_A</f>
        <v>11.74736</v>
      </c>
    </row>
    <row r="301" customFormat="false" ht="17.15" hidden="false" customHeight="false" outlineLevel="0" collapsed="false">
      <c r="A301" s="4" t="s">
        <v>491</v>
      </c>
      <c r="B301" s="0" t="s">
        <v>140</v>
      </c>
      <c r="D301" s="17" t="n">
        <f aca="false">fx</f>
        <v>6.72</v>
      </c>
      <c r="E301" s="17" t="n">
        <f aca="false">fx</f>
        <v>6.72</v>
      </c>
      <c r="F301" s="17" t="n">
        <f aca="false">fx</f>
        <v>6.72</v>
      </c>
      <c r="G301" s="17" t="n">
        <f aca="false">fx</f>
        <v>6.72</v>
      </c>
      <c r="H301" s="8" t="s">
        <v>492</v>
      </c>
    </row>
    <row r="302" customFormat="false" ht="17.15" hidden="false" customHeight="false" outlineLevel="0" collapsed="false">
      <c r="A302" s="4" t="s">
        <v>493</v>
      </c>
      <c r="B302" s="0" t="s">
        <v>66</v>
      </c>
      <c r="D302" s="15" t="n">
        <f aca="false">a26_aiu/D299</f>
        <v>0.257050026505137</v>
      </c>
      <c r="H302" s="8" t="s">
        <v>494</v>
      </c>
    </row>
    <row r="303" customFormat="false" ht="17.15" hidden="false" customHeight="false" outlineLevel="0" collapsed="false">
      <c r="A303" s="4" t="s">
        <v>495</v>
      </c>
      <c r="B303" s="0" t="s">
        <v>81</v>
      </c>
      <c r="D303" s="17" t="n">
        <f aca="false">1</f>
        <v>1</v>
      </c>
      <c r="E303" s="17" t="n">
        <f aca="false">rel_27</f>
        <v>1</v>
      </c>
      <c r="F303" s="17" t="n">
        <f aca="false">rel_28</f>
        <v>1</v>
      </c>
      <c r="G303" s="17" t="n">
        <f aca="false">rel_29</f>
        <v>0.95</v>
      </c>
    </row>
    <row r="304" customFormat="false" ht="15" hidden="false" customHeight="false" outlineLevel="0" collapsed="false">
      <c r="A304" s="4" t="s">
        <v>496</v>
      </c>
      <c r="B304" s="0" t="s">
        <v>66</v>
      </c>
      <c r="D304" s="15" t="n">
        <f aca="false">$D$302*D303</f>
        <v>0.257050026505137</v>
      </c>
      <c r="E304" s="15" t="n">
        <f aca="false">$D$302*E303</f>
        <v>0.257050026505137</v>
      </c>
      <c r="F304" s="15" t="n">
        <f aca="false">$D$302*F303</f>
        <v>0.257050026505137</v>
      </c>
      <c r="G304" s="15" t="n">
        <f aca="false">$D$302*G303</f>
        <v>0.24419752517988</v>
      </c>
    </row>
    <row r="305" customFormat="false" ht="15" hidden="false" customHeight="false" outlineLevel="0" collapsed="false">
      <c r="A305" s="4" t="s">
        <v>497</v>
      </c>
      <c r="B305" s="0" t="s">
        <v>81</v>
      </c>
      <c r="D305" s="17" t="n">
        <f aca="false">1</f>
        <v>1</v>
      </c>
      <c r="E305" s="17" t="n">
        <f aca="false">pxr_27</f>
        <v>1</v>
      </c>
      <c r="F305" s="17" t="n">
        <f aca="false">pxr_28</f>
        <v>1</v>
      </c>
      <c r="G305" s="17" t="n">
        <f aca="false">pxr_29</f>
        <v>1</v>
      </c>
    </row>
    <row r="306" customFormat="false" ht="17.15" hidden="false" customHeight="false" outlineLevel="0" collapsed="false">
      <c r="A306" s="4" t="s">
        <v>498</v>
      </c>
      <c r="B306" s="0" t="s">
        <v>66</v>
      </c>
      <c r="D306" s="15" t="n">
        <f aca="false">0</f>
        <v>0</v>
      </c>
      <c r="E306" s="15" t="n">
        <f aca="false">cpo_27</f>
        <v>0.05</v>
      </c>
      <c r="F306" s="15" t="n">
        <f aca="false">cpo_28</f>
        <v>0.1</v>
      </c>
      <c r="G306" s="15" t="n">
        <f aca="false">cpo_29</f>
        <v>0.15</v>
      </c>
    </row>
    <row r="307" customFormat="false" ht="17.15" hidden="false" customHeight="false" outlineLevel="0" collapsed="false">
      <c r="A307" s="0" t="s">
        <v>499</v>
      </c>
      <c r="B307" s="0" t="s">
        <v>33</v>
      </c>
      <c r="D307" s="19" t="n">
        <f aca="false">a26_aiu</f>
        <v>7.64807678571429</v>
      </c>
      <c r="E307" s="19" t="n">
        <f aca="false">E299*E304*E305+E300*E306</f>
        <v>11.1551758183073</v>
      </c>
      <c r="F307" s="19" t="n">
        <f aca="false">F299*F304*F305+F300*F306</f>
        <v>12.5697232896581</v>
      </c>
      <c r="G307" s="19" t="n">
        <f aca="false">G299*G304*G305+G300*G306</f>
        <v>16.0105021275916</v>
      </c>
    </row>
    <row r="308" customFormat="false" ht="17.15" hidden="false" customHeight="false" outlineLevel="0" collapsed="false">
      <c r="A308" s="0" t="s">
        <v>500</v>
      </c>
      <c r="B308" s="0" t="s">
        <v>168</v>
      </c>
      <c r="C308" s="19" t="n">
        <f aca="false">a25_ai</f>
        <v>23.5999</v>
      </c>
      <c r="D308" s="19" t="n">
        <f aca="false">D307*D301</f>
        <v>51.395076</v>
      </c>
      <c r="E308" s="19" t="n">
        <f aca="false">E307*E301</f>
        <v>74.9627814990249</v>
      </c>
      <c r="F308" s="19" t="n">
        <f aca="false">F307*F301</f>
        <v>84.4685405065026</v>
      </c>
      <c r="G308" s="19" t="n">
        <f aca="false">G307*G301</f>
        <v>107.590574297416</v>
      </c>
    </row>
    <row r="309" customFormat="false" ht="17.15" hidden="false" customHeight="false" outlineLevel="0" collapsed="false">
      <c r="A309" s="6" t="s">
        <v>501</v>
      </c>
    </row>
    <row r="310" customFormat="false" ht="15" hidden="false" customHeight="false" outlineLevel="0" collapsed="false">
      <c r="A310" s="4" t="s">
        <v>502</v>
      </c>
      <c r="B310" s="0" t="s">
        <v>168</v>
      </c>
      <c r="C310" s="19" t="n">
        <f aca="false">a25_oth</f>
        <v>1.2421</v>
      </c>
      <c r="D310" s="19" t="n">
        <f aca="false">a26_oth</f>
        <v>2.705004</v>
      </c>
      <c r="E310" s="19" t="n">
        <f aca="false">D310*(1+g_oth)</f>
        <v>2.9755044</v>
      </c>
      <c r="F310" s="19" t="n">
        <f aca="false">E310*(1+g_oth)</f>
        <v>3.27305484</v>
      </c>
      <c r="G310" s="19" t="n">
        <f aca="false">F310*(1+g_oth)</f>
        <v>3.600360324</v>
      </c>
    </row>
    <row r="311" customFormat="false" ht="15" hidden="false" customHeight="false" outlineLevel="0" collapsed="false">
      <c r="A311" s="4" t="s">
        <v>406</v>
      </c>
      <c r="B311" s="0" t="s">
        <v>168</v>
      </c>
      <c r="C311" s="19" t="n">
        <f aca="false">a25_rev</f>
        <v>24.842</v>
      </c>
      <c r="D311" s="19" t="n">
        <f aca="false">D308+D310</f>
        <v>54.10008</v>
      </c>
      <c r="E311" s="19" t="n">
        <f aca="false">E308+E310</f>
        <v>77.9382858990249</v>
      </c>
      <c r="F311" s="19" t="n">
        <f aca="false">F308+F310</f>
        <v>87.7415953465026</v>
      </c>
      <c r="G311" s="19" t="n">
        <f aca="false">G308+G310</f>
        <v>111.190934621416</v>
      </c>
    </row>
    <row r="312" customFormat="false" ht="15" hidden="false" customHeight="false" outlineLevel="0" collapsed="false">
      <c r="A312" s="4" t="s">
        <v>503</v>
      </c>
      <c r="B312" s="0" t="s">
        <v>66</v>
      </c>
      <c r="D312" s="15" t="n">
        <f aca="false">D311/C311-1</f>
        <v>1.17776668545206</v>
      </c>
      <c r="E312" s="15" t="n">
        <f aca="false">E311/D311-1</f>
        <v>0.44063162012006</v>
      </c>
      <c r="F312" s="15" t="n">
        <f aca="false">F311/E311-1</f>
        <v>0.12578297475234</v>
      </c>
      <c r="G312" s="15" t="n">
        <f aca="false">G311/F311-1</f>
        <v>0.267254535118819</v>
      </c>
    </row>
    <row r="313" customFormat="false" ht="17.15" hidden="false" customHeight="false" outlineLevel="0" collapsed="false">
      <c r="A313" s="0" t="s">
        <v>504</v>
      </c>
      <c r="B313" s="0" t="s">
        <v>66</v>
      </c>
      <c r="C313" s="15" t="n">
        <f aca="false">C308/C311</f>
        <v>0.95</v>
      </c>
      <c r="D313" s="15" t="n">
        <f aca="false">D308/D311</f>
        <v>0.95</v>
      </c>
      <c r="E313" s="15" t="n">
        <f aca="false">E308/E311</f>
        <v>0.961822301251852</v>
      </c>
      <c r="F313" s="15" t="n">
        <f aca="false">F308/F311</f>
        <v>0.962696656847026</v>
      </c>
      <c r="G313" s="15" t="n">
        <f aca="false">G308/G311</f>
        <v>0.967620019237552</v>
      </c>
    </row>
    <row r="314" customFormat="false" ht="17.15" hidden="false" customHeight="false" outlineLevel="0" collapsed="false">
      <c r="A314" s="6" t="s">
        <v>505</v>
      </c>
    </row>
    <row r="315" customFormat="false" ht="17.15" hidden="false" customHeight="false" outlineLevel="0" collapsed="false">
      <c r="A315" s="4" t="s">
        <v>410</v>
      </c>
      <c r="B315" s="0" t="s">
        <v>66</v>
      </c>
      <c r="C315" s="15" t="n">
        <f aca="false">a25_gp/a25_rev</f>
        <v>0.4781</v>
      </c>
      <c r="D315" s="15" t="n">
        <f aca="false">a26_gp/a26_rev</f>
        <v>0.481700625951015</v>
      </c>
      <c r="E315" s="15" t="n">
        <f aca="false">gm_27</f>
        <v>0.47</v>
      </c>
      <c r="F315" s="15" t="n">
        <f aca="false">gm_28</f>
        <v>0.46</v>
      </c>
      <c r="G315" s="15" t="n">
        <f aca="false">gm_29</f>
        <v>0.45</v>
      </c>
      <c r="H315" s="8" t="s">
        <v>506</v>
      </c>
    </row>
    <row r="316" customFormat="false" ht="15" hidden="false" customHeight="false" outlineLevel="0" collapsed="false">
      <c r="A316" s="4" t="s">
        <v>409</v>
      </c>
      <c r="B316" s="0" t="s">
        <v>168</v>
      </c>
      <c r="C316" s="19" t="n">
        <f aca="false">C311*C315</f>
        <v>11.8769602</v>
      </c>
      <c r="D316" s="19" t="n">
        <f aca="false">D311*D315</f>
        <v>26.0600424</v>
      </c>
      <c r="E316" s="19" t="n">
        <f aca="false">E311*E315</f>
        <v>36.6309943725417</v>
      </c>
      <c r="F316" s="19" t="n">
        <f aca="false">F311*F315</f>
        <v>40.3611338593912</v>
      </c>
      <c r="G316" s="19" t="n">
        <f aca="false">G311*G315</f>
        <v>50.0359205796371</v>
      </c>
    </row>
    <row r="317" customFormat="false" ht="15" hidden="false" customHeight="false" outlineLevel="0" collapsed="false">
      <c r="A317" s="4" t="s">
        <v>507</v>
      </c>
      <c r="B317" s="0" t="s">
        <v>168</v>
      </c>
      <c r="C317" s="19" t="n">
        <f aca="false">a25_opx</f>
        <v>1.02127838181818</v>
      </c>
      <c r="D317" s="19" t="n">
        <f aca="false">a26_opx</f>
        <v>3.21377711360775</v>
      </c>
      <c r="E317" s="19" t="n">
        <f aca="false">D317*(1+MAX(0,phi*E312))</f>
        <v>4.063432203372</v>
      </c>
      <c r="F317" s="19" t="n">
        <f aca="false">E317*(1+MAX(0,phi*F312))</f>
        <v>4.37009855751876</v>
      </c>
      <c r="G317" s="19" t="n">
        <f aca="false">F317*(1+MAX(0,phi*G312))</f>
        <v>5.07085575256661</v>
      </c>
    </row>
    <row r="318" customFormat="false" ht="15" hidden="false" customHeight="false" outlineLevel="0" collapsed="false">
      <c r="A318" s="4" t="s">
        <v>508</v>
      </c>
      <c r="B318" s="0" t="s">
        <v>168</v>
      </c>
      <c r="C318" s="19" t="n">
        <f aca="false">C317</f>
        <v>1.02127838181818</v>
      </c>
      <c r="D318" s="19" t="n">
        <f aca="false">D317</f>
        <v>3.21377711360775</v>
      </c>
      <c r="E318" s="19" t="n">
        <f aca="false">E317+0*E311</f>
        <v>4.063432203372</v>
      </c>
      <c r="F318" s="19" t="n">
        <f aca="false">F317+0*F311</f>
        <v>4.37009855751876</v>
      </c>
      <c r="G318" s="19" t="n">
        <f aca="false">G317+0*G311</f>
        <v>5.07085575256661</v>
      </c>
    </row>
    <row r="319" customFormat="false" ht="15" hidden="false" customHeight="false" outlineLevel="0" collapsed="false">
      <c r="A319" s="4" t="s">
        <v>509</v>
      </c>
      <c r="B319" s="0" t="s">
        <v>168</v>
      </c>
      <c r="C319" s="19" t="n">
        <f aca="false">C316-C318</f>
        <v>10.8556818181818</v>
      </c>
      <c r="D319" s="19" t="n">
        <f aca="false">D316-D318</f>
        <v>22.8462652863923</v>
      </c>
      <c r="E319" s="19" t="n">
        <f aca="false">E316-E318</f>
        <v>32.5675621691697</v>
      </c>
      <c r="F319" s="19" t="n">
        <f aca="false">F316-F318</f>
        <v>35.9910353018724</v>
      </c>
      <c r="G319" s="19" t="n">
        <f aca="false">G316-G318</f>
        <v>44.9650648270704</v>
      </c>
    </row>
    <row r="320" customFormat="false" ht="15" hidden="false" customHeight="false" outlineLevel="0" collapsed="false">
      <c r="A320" s="4" t="s">
        <v>510</v>
      </c>
      <c r="B320" s="0" t="s">
        <v>66</v>
      </c>
      <c r="C320" s="15" t="n">
        <f aca="false">C319/C311</f>
        <v>0.43698904348208</v>
      </c>
      <c r="D320" s="15" t="n">
        <f aca="false">D319/D311</f>
        <v>0.422296330918406</v>
      </c>
      <c r="E320" s="15" t="n">
        <f aca="false">E319/E311</f>
        <v>0.4178634645797</v>
      </c>
      <c r="F320" s="15" t="n">
        <f aca="false">F319/F311</f>
        <v>0.410193536597315</v>
      </c>
      <c r="G320" s="15" t="n">
        <f aca="false">G319/G311</f>
        <v>0.404395061343518</v>
      </c>
    </row>
    <row r="321" customFormat="false" ht="15" hidden="false" customHeight="false" outlineLevel="0" collapsed="false">
      <c r="A321" s="4" t="s">
        <v>417</v>
      </c>
      <c r="B321" s="0" t="s">
        <v>168</v>
      </c>
      <c r="C321" s="19" t="n">
        <f aca="false">a25_ni</f>
        <v>9.532</v>
      </c>
      <c r="D321" s="19" t="n">
        <f aca="false">a26_ni</f>
        <v>20.0605180178692</v>
      </c>
      <c r="E321" s="19" t="n">
        <f aca="false">E319*(1-tx)*attr</f>
        <v>28.5964537093</v>
      </c>
      <c r="F321" s="19" t="n">
        <f aca="false">F319*(1-tx)*attr</f>
        <v>31.6024874571082</v>
      </c>
      <c r="G321" s="19" t="n">
        <f aca="false">G319*(1-tx)*attr</f>
        <v>39.4822734407871</v>
      </c>
    </row>
    <row r="322" customFormat="false" ht="15" hidden="false" customHeight="false" outlineLevel="0" collapsed="false">
      <c r="A322" s="4" t="s">
        <v>419</v>
      </c>
      <c r="B322" s="0" t="s">
        <v>66</v>
      </c>
      <c r="C322" s="15" t="n">
        <f aca="false">C321/C311</f>
        <v>0.383705015699219</v>
      </c>
      <c r="D322" s="15" t="n">
        <f aca="false">D321/D311</f>
        <v>0.370803851267302</v>
      </c>
      <c r="E322" s="15" t="n">
        <f aca="false">E321/E311</f>
        <v>0.366911504139941</v>
      </c>
      <c r="F322" s="15" t="n">
        <f aca="false">F321/F311</f>
        <v>0.360176804767522</v>
      </c>
      <c r="G322" s="15" t="n">
        <f aca="false">G321/G311</f>
        <v>0.355085363525515</v>
      </c>
    </row>
    <row r="323" customFormat="false" ht="15" hidden="false" customHeight="false" outlineLevel="0" collapsed="false">
      <c r="A323" s="4" t="s">
        <v>511</v>
      </c>
      <c r="B323" s="4" t="s">
        <v>204</v>
      </c>
      <c r="C323" s="16" t="n">
        <f aca="false">a25_sh</f>
        <v>1.38863683662851</v>
      </c>
      <c r="D323" s="16" t="n">
        <f aca="false">a26_sh</f>
        <v>1.39284103512015</v>
      </c>
      <c r="E323" s="16" t="n">
        <f aca="false">sh_post*(1+sh_g)</f>
        <v>1.394</v>
      </c>
      <c r="F323" s="16" t="n">
        <f aca="false">E323*(1+sh_g)</f>
        <v>1.394</v>
      </c>
      <c r="G323" s="16" t="n">
        <f aca="false">F323*(1+sh_g)</f>
        <v>1.394</v>
      </c>
    </row>
    <row r="324" customFormat="false" ht="15" hidden="false" customHeight="false" outlineLevel="0" collapsed="false">
      <c r="A324" s="0" t="s">
        <v>422</v>
      </c>
      <c r="B324" s="0" t="s">
        <v>140</v>
      </c>
      <c r="C324" s="19" t="n">
        <f aca="false">C321/C323</f>
        <v>6.86428571428571</v>
      </c>
      <c r="D324" s="19" t="n">
        <f aca="false">D321/D323</f>
        <v>14.402589751485</v>
      </c>
      <c r="E324" s="19" t="n">
        <f aca="false">E321/E323</f>
        <v>20.5139553151363</v>
      </c>
      <c r="F324" s="19" t="n">
        <f aca="false">F321/F323</f>
        <v>22.6703640294894</v>
      </c>
      <c r="G324" s="19" t="n">
        <f aca="false">G321/G323</f>
        <v>28.3230082071644</v>
      </c>
    </row>
    <row r="325" customFormat="false" ht="17.15" hidden="false" customHeight="false" outlineLevel="0" collapsed="false">
      <c r="A325" s="0" t="s">
        <v>512</v>
      </c>
      <c r="B325" s="0" t="s">
        <v>66</v>
      </c>
      <c r="D325" s="15" t="n">
        <f aca="false">D324/C324-1</f>
        <v>1.09819205536722</v>
      </c>
      <c r="E325" s="15" t="n">
        <f aca="false">E324/D324-1</f>
        <v>0.424324074288181</v>
      </c>
      <c r="F325" s="15" t="n">
        <f aca="false">F324/E324-1</f>
        <v>0.105119109466032</v>
      </c>
      <c r="G325" s="15" t="n">
        <f aca="false">G324/F324-1</f>
        <v>0.249340688588948</v>
      </c>
    </row>
    <row r="328" customFormat="false" ht="17.15" hidden="false" customHeight="false" outlineLevel="0" collapsed="false">
      <c r="A328" s="1" t="s">
        <v>856</v>
      </c>
    </row>
    <row r="329" customFormat="false" ht="17.15" hidden="false" customHeight="false" outlineLevel="0" collapsed="false">
      <c r="A329" s="5" t="s">
        <v>22</v>
      </c>
      <c r="B329" s="5" t="s">
        <v>23</v>
      </c>
      <c r="C329" s="13" t="s">
        <v>399</v>
      </c>
      <c r="D329" s="13" t="s">
        <v>468</v>
      </c>
      <c r="E329" s="13" t="s">
        <v>469</v>
      </c>
      <c r="F329" s="13" t="s">
        <v>470</v>
      </c>
      <c r="G329" s="13" t="s">
        <v>471</v>
      </c>
      <c r="H329" s="5" t="s">
        <v>405</v>
      </c>
    </row>
    <row r="330" customFormat="false" ht="17.15" hidden="false" customHeight="false" outlineLevel="0" collapsed="false">
      <c r="A330" s="6" t="s">
        <v>488</v>
      </c>
    </row>
    <row r="331" customFormat="false" ht="17.15" hidden="false" customHeight="false" outlineLevel="0" collapsed="false">
      <c r="A331" s="0" t="s">
        <v>489</v>
      </c>
      <c r="B331" s="0" t="s">
        <v>33</v>
      </c>
      <c r="D331" s="19" t="n">
        <f aca="false">mpl_26*1</f>
        <v>29.753262</v>
      </c>
      <c r="E331" s="19" t="n">
        <f aca="false">mpl_27*1*mf_hi</f>
        <v>64.272858</v>
      </c>
      <c r="F331" s="19" t="n">
        <f aca="false">mpl_28*um28_A*mf_hi</f>
        <v>69.5898</v>
      </c>
      <c r="G331" s="19" t="n">
        <f aca="false">mpl_29*um29_A*mf_hi</f>
        <v>87.52176</v>
      </c>
    </row>
    <row r="332" customFormat="false" ht="17.15" hidden="false" customHeight="false" outlineLevel="0" collapsed="false">
      <c r="A332" s="0" t="s">
        <v>490</v>
      </c>
      <c r="B332" s="0" t="s">
        <v>33</v>
      </c>
      <c r="D332" s="19" t="n">
        <f aca="false">mcp_26*1</f>
        <v>0.300538</v>
      </c>
      <c r="E332" s="19" t="n">
        <f aca="false">mcp_27*1</f>
        <v>2.818985</v>
      </c>
      <c r="F332" s="19" t="n">
        <f aca="false">mcp_28*um28_A</f>
        <v>6.4435</v>
      </c>
      <c r="G332" s="19" t="n">
        <f aca="false">mcp_29*um29_A</f>
        <v>11.74736</v>
      </c>
    </row>
    <row r="333" customFormat="false" ht="17.15" hidden="false" customHeight="false" outlineLevel="0" collapsed="false">
      <c r="A333" s="4" t="s">
        <v>491</v>
      </c>
      <c r="B333" s="0" t="s">
        <v>140</v>
      </c>
      <c r="D333" s="17" t="n">
        <f aca="false">fx</f>
        <v>6.72</v>
      </c>
      <c r="E333" s="17" t="n">
        <f aca="false">fx</f>
        <v>6.72</v>
      </c>
      <c r="F333" s="17" t="n">
        <f aca="false">fx</f>
        <v>6.72</v>
      </c>
      <c r="G333" s="17" t="n">
        <f aca="false">fx</f>
        <v>6.72</v>
      </c>
      <c r="H333" s="8" t="s">
        <v>492</v>
      </c>
    </row>
    <row r="334" customFormat="false" ht="17.15" hidden="false" customHeight="false" outlineLevel="0" collapsed="false">
      <c r="A334" s="4" t="s">
        <v>493</v>
      </c>
      <c r="B334" s="0" t="s">
        <v>66</v>
      </c>
      <c r="D334" s="15" t="n">
        <f aca="false">a26_aiu/D331</f>
        <v>0.257050026505137</v>
      </c>
      <c r="H334" s="8" t="s">
        <v>494</v>
      </c>
    </row>
    <row r="335" customFormat="false" ht="17.15" hidden="false" customHeight="false" outlineLevel="0" collapsed="false">
      <c r="A335" s="4" t="s">
        <v>495</v>
      </c>
      <c r="B335" s="0" t="s">
        <v>81</v>
      </c>
      <c r="D335" s="17" t="n">
        <f aca="false">1</f>
        <v>1</v>
      </c>
      <c r="E335" s="17" t="n">
        <f aca="false">rel_27</f>
        <v>1</v>
      </c>
      <c r="F335" s="17" t="n">
        <f aca="false">rel_28</f>
        <v>1</v>
      </c>
      <c r="G335" s="17" t="n">
        <f aca="false">rel_29</f>
        <v>0.95</v>
      </c>
    </row>
    <row r="336" customFormat="false" ht="15" hidden="false" customHeight="false" outlineLevel="0" collapsed="false">
      <c r="A336" s="4" t="s">
        <v>496</v>
      </c>
      <c r="B336" s="0" t="s">
        <v>66</v>
      </c>
      <c r="D336" s="15" t="n">
        <f aca="false">$D$334*D335</f>
        <v>0.257050026505137</v>
      </c>
      <c r="E336" s="15" t="n">
        <f aca="false">$D$334*E335</f>
        <v>0.257050026505137</v>
      </c>
      <c r="F336" s="15" t="n">
        <f aca="false">$D$334*F335</f>
        <v>0.257050026505137</v>
      </c>
      <c r="G336" s="15" t="n">
        <f aca="false">$D$334*G335</f>
        <v>0.24419752517988</v>
      </c>
    </row>
    <row r="337" customFormat="false" ht="15" hidden="false" customHeight="false" outlineLevel="0" collapsed="false">
      <c r="A337" s="4" t="s">
        <v>497</v>
      </c>
      <c r="B337" s="0" t="s">
        <v>81</v>
      </c>
      <c r="D337" s="17" t="n">
        <f aca="false">1</f>
        <v>1</v>
      </c>
      <c r="E337" s="17" t="n">
        <f aca="false">pxr_27</f>
        <v>1</v>
      </c>
      <c r="F337" s="17" t="n">
        <f aca="false">pxr_28</f>
        <v>1</v>
      </c>
      <c r="G337" s="17" t="n">
        <f aca="false">pxr_29</f>
        <v>1</v>
      </c>
    </row>
    <row r="338" customFormat="false" ht="17.15" hidden="false" customHeight="false" outlineLevel="0" collapsed="false">
      <c r="A338" s="4" t="s">
        <v>498</v>
      </c>
      <c r="B338" s="0" t="s">
        <v>66</v>
      </c>
      <c r="D338" s="15" t="n">
        <f aca="false">0</f>
        <v>0</v>
      </c>
      <c r="E338" s="15" t="n">
        <f aca="false">cpo_27</f>
        <v>0.05</v>
      </c>
      <c r="F338" s="15" t="n">
        <f aca="false">cpo_28</f>
        <v>0.1</v>
      </c>
      <c r="G338" s="15" t="n">
        <f aca="false">cpo_29</f>
        <v>0.15</v>
      </c>
    </row>
    <row r="339" customFormat="false" ht="17.15" hidden="false" customHeight="false" outlineLevel="0" collapsed="false">
      <c r="A339" s="0" t="s">
        <v>499</v>
      </c>
      <c r="B339" s="0" t="s">
        <v>33</v>
      </c>
      <c r="D339" s="19" t="n">
        <f aca="false">a26_aiu</f>
        <v>7.64807678571429</v>
      </c>
      <c r="E339" s="19" t="n">
        <f aca="false">E331*E336*E337+E332*E338</f>
        <v>16.6622891024609</v>
      </c>
      <c r="F339" s="19" t="n">
        <f aca="false">F331*F336*F337+F332*F338</f>
        <v>18.5324099344872</v>
      </c>
      <c r="G339" s="19" t="n">
        <f aca="false">G331*G336*G337+G332*G338</f>
        <v>23.1347011913874</v>
      </c>
    </row>
    <row r="340" customFormat="false" ht="17.15" hidden="false" customHeight="false" outlineLevel="0" collapsed="false">
      <c r="A340" s="0" t="s">
        <v>500</v>
      </c>
      <c r="B340" s="0" t="s">
        <v>168</v>
      </c>
      <c r="C340" s="19" t="n">
        <f aca="false">a25_ai</f>
        <v>23.5999</v>
      </c>
      <c r="D340" s="19" t="n">
        <f aca="false">D339*D333</f>
        <v>51.395076</v>
      </c>
      <c r="E340" s="19" t="n">
        <f aca="false">E339*E333</f>
        <v>111.970582768537</v>
      </c>
      <c r="F340" s="19" t="n">
        <f aca="false">F339*F333</f>
        <v>124.537794759754</v>
      </c>
      <c r="G340" s="19" t="n">
        <f aca="false">G339*G333</f>
        <v>155.465192006124</v>
      </c>
    </row>
    <row r="341" customFormat="false" ht="17.15" hidden="false" customHeight="false" outlineLevel="0" collapsed="false">
      <c r="A341" s="6" t="s">
        <v>501</v>
      </c>
    </row>
    <row r="342" customFormat="false" ht="15" hidden="false" customHeight="false" outlineLevel="0" collapsed="false">
      <c r="A342" s="4" t="s">
        <v>502</v>
      </c>
      <c r="B342" s="0" t="s">
        <v>168</v>
      </c>
      <c r="C342" s="19" t="n">
        <f aca="false">a25_oth</f>
        <v>1.2421</v>
      </c>
      <c r="D342" s="19" t="n">
        <f aca="false">a26_oth</f>
        <v>2.705004</v>
      </c>
      <c r="E342" s="19" t="n">
        <f aca="false">D342*(1+g_oth)</f>
        <v>2.9755044</v>
      </c>
      <c r="F342" s="19" t="n">
        <f aca="false">E342*(1+g_oth)</f>
        <v>3.27305484</v>
      </c>
      <c r="G342" s="19" t="n">
        <f aca="false">F342*(1+g_oth)</f>
        <v>3.600360324</v>
      </c>
    </row>
    <row r="343" customFormat="false" ht="15" hidden="false" customHeight="false" outlineLevel="0" collapsed="false">
      <c r="A343" s="4" t="s">
        <v>406</v>
      </c>
      <c r="B343" s="0" t="s">
        <v>168</v>
      </c>
      <c r="C343" s="19" t="n">
        <f aca="false">a25_rev</f>
        <v>24.842</v>
      </c>
      <c r="D343" s="19" t="n">
        <f aca="false">D340+D342</f>
        <v>54.10008</v>
      </c>
      <c r="E343" s="19" t="n">
        <f aca="false">E340+E342</f>
        <v>114.946087168537</v>
      </c>
      <c r="F343" s="19" t="n">
        <f aca="false">F340+F342</f>
        <v>127.810849599754</v>
      </c>
      <c r="G343" s="19" t="n">
        <f aca="false">G340+G342</f>
        <v>159.065552330124</v>
      </c>
    </row>
    <row r="344" customFormat="false" ht="15" hidden="false" customHeight="false" outlineLevel="0" collapsed="false">
      <c r="A344" s="4" t="s">
        <v>503</v>
      </c>
      <c r="B344" s="0" t="s">
        <v>66</v>
      </c>
      <c r="D344" s="15" t="n">
        <f aca="false">D343/C343-1</f>
        <v>1.17776668545206</v>
      </c>
      <c r="E344" s="15" t="n">
        <f aca="false">E343/D343-1</f>
        <v>1.12469347861477</v>
      </c>
      <c r="F344" s="15" t="n">
        <f aca="false">F343/E343-1</f>
        <v>0.111919968292212</v>
      </c>
      <c r="G344" s="15" t="n">
        <f aca="false">G343/F343-1</f>
        <v>0.244538729131723</v>
      </c>
    </row>
    <row r="345" customFormat="false" ht="17.15" hidden="false" customHeight="false" outlineLevel="0" collapsed="false">
      <c r="A345" s="0" t="s">
        <v>504</v>
      </c>
      <c r="B345" s="0" t="s">
        <v>66</v>
      </c>
      <c r="C345" s="15" t="n">
        <f aca="false">C340/C343</f>
        <v>0.95</v>
      </c>
      <c r="D345" s="15" t="n">
        <f aca="false">D340/D343</f>
        <v>0.95</v>
      </c>
      <c r="E345" s="15" t="n">
        <f aca="false">E340/E343</f>
        <v>0.974113913110959</v>
      </c>
      <c r="F345" s="15" t="n">
        <f aca="false">F340/F343</f>
        <v>0.974391416297992</v>
      </c>
      <c r="G345" s="15" t="n">
        <f aca="false">G340/G343</f>
        <v>0.977365556078868</v>
      </c>
    </row>
    <row r="346" customFormat="false" ht="17.15" hidden="false" customHeight="false" outlineLevel="0" collapsed="false">
      <c r="A346" s="6" t="s">
        <v>505</v>
      </c>
    </row>
    <row r="347" customFormat="false" ht="17.15" hidden="false" customHeight="false" outlineLevel="0" collapsed="false">
      <c r="A347" s="4" t="s">
        <v>410</v>
      </c>
      <c r="B347" s="0" t="s">
        <v>66</v>
      </c>
      <c r="C347" s="15" t="n">
        <f aca="false">a25_gp/a25_rev</f>
        <v>0.4781</v>
      </c>
      <c r="D347" s="15" t="n">
        <f aca="false">a26_gp/a26_rev</f>
        <v>0.481700625951015</v>
      </c>
      <c r="E347" s="15" t="n">
        <f aca="false">gm_27</f>
        <v>0.47</v>
      </c>
      <c r="F347" s="15" t="n">
        <f aca="false">gm_28</f>
        <v>0.46</v>
      </c>
      <c r="G347" s="15" t="n">
        <f aca="false">gm_29</f>
        <v>0.45</v>
      </c>
      <c r="H347" s="8" t="s">
        <v>506</v>
      </c>
    </row>
    <row r="348" customFormat="false" ht="15" hidden="false" customHeight="false" outlineLevel="0" collapsed="false">
      <c r="A348" s="4" t="s">
        <v>409</v>
      </c>
      <c r="B348" s="0" t="s">
        <v>168</v>
      </c>
      <c r="C348" s="19" t="n">
        <f aca="false">C343*C347</f>
        <v>11.8769602</v>
      </c>
      <c r="D348" s="19" t="n">
        <f aca="false">D343*D347</f>
        <v>26.0600424</v>
      </c>
      <c r="E348" s="19" t="n">
        <f aca="false">E343*E347</f>
        <v>54.0246609692125</v>
      </c>
      <c r="F348" s="19" t="n">
        <f aca="false">F343*F347</f>
        <v>58.7929908158868</v>
      </c>
      <c r="G348" s="19" t="n">
        <f aca="false">G343*G347</f>
        <v>71.5794985485556</v>
      </c>
    </row>
    <row r="349" customFormat="false" ht="15" hidden="false" customHeight="false" outlineLevel="0" collapsed="false">
      <c r="A349" s="4" t="s">
        <v>507</v>
      </c>
      <c r="B349" s="0" t="s">
        <v>168</v>
      </c>
      <c r="C349" s="19" t="n">
        <f aca="false">a25_opx</f>
        <v>1.02127838181818</v>
      </c>
      <c r="D349" s="19" t="n">
        <f aca="false">a26_opx</f>
        <v>3.21377711360775</v>
      </c>
      <c r="E349" s="19" t="n">
        <f aca="false">D349*(1+MAX(0,phi*E344))</f>
        <v>5.38248561044537</v>
      </c>
      <c r="F349" s="19" t="n">
        <f aca="false">E349*(1+MAX(0,phi*F344))</f>
        <v>5.74393018175797</v>
      </c>
      <c r="G349" s="19" t="n">
        <f aca="false">F349*(1+MAX(0,phi*G344))</f>
        <v>6.58669821387904</v>
      </c>
    </row>
    <row r="350" customFormat="false" ht="15" hidden="false" customHeight="false" outlineLevel="0" collapsed="false">
      <c r="A350" s="4" t="s">
        <v>508</v>
      </c>
      <c r="B350" s="0" t="s">
        <v>168</v>
      </c>
      <c r="C350" s="19" t="n">
        <f aca="false">C349</f>
        <v>1.02127838181818</v>
      </c>
      <c r="D350" s="19" t="n">
        <f aca="false">D349</f>
        <v>3.21377711360775</v>
      </c>
      <c r="E350" s="19" t="n">
        <f aca="false">E349+0*E343</f>
        <v>5.38248561044537</v>
      </c>
      <c r="F350" s="19" t="n">
        <f aca="false">F349+0*F343</f>
        <v>5.74393018175797</v>
      </c>
      <c r="G350" s="19" t="n">
        <f aca="false">G349+0*G343</f>
        <v>6.58669821387904</v>
      </c>
    </row>
    <row r="351" customFormat="false" ht="15" hidden="false" customHeight="false" outlineLevel="0" collapsed="false">
      <c r="A351" s="4" t="s">
        <v>509</v>
      </c>
      <c r="B351" s="0" t="s">
        <v>168</v>
      </c>
      <c r="C351" s="19" t="n">
        <f aca="false">C348-C350</f>
        <v>10.8556818181818</v>
      </c>
      <c r="D351" s="19" t="n">
        <f aca="false">D348-D350</f>
        <v>22.8462652863923</v>
      </c>
      <c r="E351" s="19" t="n">
        <f aca="false">E348-E350</f>
        <v>48.6421753587672</v>
      </c>
      <c r="F351" s="19" t="n">
        <f aca="false">F348-F350</f>
        <v>53.0490606341288</v>
      </c>
      <c r="G351" s="19" t="n">
        <f aca="false">G348-G350</f>
        <v>64.9928003346766</v>
      </c>
    </row>
    <row r="352" customFormat="false" ht="15" hidden="false" customHeight="false" outlineLevel="0" collapsed="false">
      <c r="A352" s="4" t="s">
        <v>510</v>
      </c>
      <c r="B352" s="0" t="s">
        <v>66</v>
      </c>
      <c r="C352" s="15" t="n">
        <f aca="false">C351/C343</f>
        <v>0.43698904348208</v>
      </c>
      <c r="D352" s="15" t="n">
        <f aca="false">D351/D343</f>
        <v>0.422296330918406</v>
      </c>
      <c r="E352" s="15" t="n">
        <f aca="false">E351/E343</f>
        <v>0.423173824851007</v>
      </c>
      <c r="F352" s="15" t="n">
        <f aca="false">F351/F343</f>
        <v>0.415059134652924</v>
      </c>
      <c r="G352" s="15" t="n">
        <f aca="false">G351/G343</f>
        <v>0.408591297000566</v>
      </c>
    </row>
    <row r="353" customFormat="false" ht="15" hidden="false" customHeight="false" outlineLevel="0" collapsed="false">
      <c r="A353" s="4" t="s">
        <v>417</v>
      </c>
      <c r="B353" s="0" t="s">
        <v>168</v>
      </c>
      <c r="C353" s="19" t="n">
        <f aca="false">a25_ni</f>
        <v>9.532</v>
      </c>
      <c r="D353" s="19" t="n">
        <f aca="false">a26_ni</f>
        <v>20.0605180178692</v>
      </c>
      <c r="E353" s="19" t="n">
        <f aca="false">E351*(1-tx)*attr</f>
        <v>42.711017445556</v>
      </c>
      <c r="F353" s="19" t="n">
        <f aca="false">F351*(1-tx)*attr</f>
        <v>46.5805514967836</v>
      </c>
      <c r="G353" s="19" t="n">
        <f aca="false">G351*(1-tx)*attr</f>
        <v>57.0679376170125</v>
      </c>
    </row>
    <row r="354" customFormat="false" ht="15" hidden="false" customHeight="false" outlineLevel="0" collapsed="false">
      <c r="A354" s="4" t="s">
        <v>419</v>
      </c>
      <c r="B354" s="0" t="s">
        <v>66</v>
      </c>
      <c r="C354" s="15" t="n">
        <f aca="false">C353/C343</f>
        <v>0.383705015699219</v>
      </c>
      <c r="D354" s="15" t="n">
        <f aca="false">D353/D343</f>
        <v>0.370803851267302</v>
      </c>
      <c r="E354" s="15" t="n">
        <f aca="false">E353/E343</f>
        <v>0.37157434844156</v>
      </c>
      <c r="F354" s="15" t="n">
        <f aca="false">F353/F343</f>
        <v>0.364449118698866</v>
      </c>
      <c r="G354" s="15" t="n">
        <f aca="false">G353/G343</f>
        <v>0.358769933408172</v>
      </c>
    </row>
    <row r="355" customFormat="false" ht="15" hidden="false" customHeight="false" outlineLevel="0" collapsed="false">
      <c r="A355" s="4" t="s">
        <v>511</v>
      </c>
      <c r="B355" s="4" t="s">
        <v>204</v>
      </c>
      <c r="C355" s="16" t="n">
        <f aca="false">a25_sh</f>
        <v>1.38863683662851</v>
      </c>
      <c r="D355" s="16" t="n">
        <f aca="false">a26_sh</f>
        <v>1.39284103512015</v>
      </c>
      <c r="E355" s="16" t="n">
        <f aca="false">sh_post*(1+sh_g)</f>
        <v>1.394</v>
      </c>
      <c r="F355" s="16" t="n">
        <f aca="false">E355*(1+sh_g)</f>
        <v>1.394</v>
      </c>
      <c r="G355" s="16" t="n">
        <f aca="false">F355*(1+sh_g)</f>
        <v>1.394</v>
      </c>
    </row>
    <row r="356" customFormat="false" ht="15" hidden="false" customHeight="false" outlineLevel="0" collapsed="false">
      <c r="A356" s="0" t="s">
        <v>422</v>
      </c>
      <c r="B356" s="0" t="s">
        <v>140</v>
      </c>
      <c r="C356" s="19" t="n">
        <f aca="false">C353/C355</f>
        <v>6.86428571428571</v>
      </c>
      <c r="D356" s="19" t="n">
        <f aca="false">D353/D355</f>
        <v>14.402589751485</v>
      </c>
      <c r="E356" s="19" t="n">
        <f aca="false">E353/E355</f>
        <v>30.6391803770129</v>
      </c>
      <c r="F356" s="19" t="n">
        <f aca="false">F353/F355</f>
        <v>33.4150297681375</v>
      </c>
      <c r="G356" s="19" t="n">
        <f aca="false">G353/G355</f>
        <v>40.9382622790621</v>
      </c>
    </row>
    <row r="357" customFormat="false" ht="17.15" hidden="false" customHeight="false" outlineLevel="0" collapsed="false">
      <c r="A357" s="0" t="s">
        <v>512</v>
      </c>
      <c r="B357" s="0" t="s">
        <v>66</v>
      </c>
      <c r="D357" s="15" t="n">
        <f aca="false">D356/C356-1</f>
        <v>1.09819205536722</v>
      </c>
      <c r="E357" s="15" t="n">
        <f aca="false">E356/D356-1</f>
        <v>1.12733827080327</v>
      </c>
      <c r="F357" s="15" t="n">
        <f aca="false">F356/E356-1</f>
        <v>0.090598030266082</v>
      </c>
      <c r="G357" s="15" t="n">
        <f aca="false">G356/F356-1</f>
        <v>0.225145168600098</v>
      </c>
    </row>
    <row r="360" customFormat="false" ht="17.15" hidden="false" customHeight="false" outlineLevel="0" collapsed="false">
      <c r="A360" s="1" t="s">
        <v>857</v>
      </c>
    </row>
    <row r="361" customFormat="false" ht="17.15" hidden="false" customHeight="false" outlineLevel="0" collapsed="false">
      <c r="A361" s="5" t="s">
        <v>22</v>
      </c>
      <c r="B361" s="5" t="s">
        <v>23</v>
      </c>
      <c r="C361" s="13" t="s">
        <v>399</v>
      </c>
      <c r="D361" s="13" t="s">
        <v>468</v>
      </c>
      <c r="E361" s="13" t="s">
        <v>469</v>
      </c>
      <c r="F361" s="13" t="s">
        <v>470</v>
      </c>
      <c r="G361" s="13" t="s">
        <v>471</v>
      </c>
      <c r="H361" s="5" t="s">
        <v>405</v>
      </c>
    </row>
    <row r="362" customFormat="false" ht="17.15" hidden="false" customHeight="false" outlineLevel="0" collapsed="false">
      <c r="A362" s="6" t="s">
        <v>488</v>
      </c>
    </row>
    <row r="363" customFormat="false" ht="17.15" hidden="false" customHeight="false" outlineLevel="0" collapsed="false">
      <c r="A363" s="0" t="s">
        <v>489</v>
      </c>
      <c r="B363" s="0" t="s">
        <v>33</v>
      </c>
      <c r="D363" s="19" t="n">
        <f aca="false">mpl_26*1</f>
        <v>29.753262</v>
      </c>
      <c r="E363" s="19" t="n">
        <f aca="false">mpl_27*1*1</f>
        <v>53.560715</v>
      </c>
      <c r="F363" s="19" t="n">
        <f aca="false">mpl_28*um28_A*1</f>
        <v>57.9915</v>
      </c>
      <c r="G363" s="19" t="n">
        <f aca="false">mpl_29*um29_A*1</f>
        <v>72.9348</v>
      </c>
    </row>
    <row r="364" customFormat="false" ht="17.15" hidden="false" customHeight="false" outlineLevel="0" collapsed="false">
      <c r="A364" s="0" t="s">
        <v>490</v>
      </c>
      <c r="B364" s="0" t="s">
        <v>33</v>
      </c>
      <c r="D364" s="19" t="n">
        <f aca="false">mcp_26*1</f>
        <v>0.300538</v>
      </c>
      <c r="E364" s="19" t="n">
        <f aca="false">mcp_27*1</f>
        <v>2.818985</v>
      </c>
      <c r="F364" s="19" t="n">
        <f aca="false">mcp_28*um28_A</f>
        <v>6.4435</v>
      </c>
      <c r="G364" s="19" t="n">
        <f aca="false">mcp_29*um29_A</f>
        <v>11.74736</v>
      </c>
    </row>
    <row r="365" customFormat="false" ht="17.15" hidden="false" customHeight="false" outlineLevel="0" collapsed="false">
      <c r="A365" s="4" t="s">
        <v>491</v>
      </c>
      <c r="B365" s="0" t="s">
        <v>140</v>
      </c>
      <c r="D365" s="17" t="n">
        <f aca="false">fx</f>
        <v>6.72</v>
      </c>
      <c r="E365" s="17" t="n">
        <f aca="false">fx_lo</f>
        <v>6.5</v>
      </c>
      <c r="F365" s="17" t="n">
        <f aca="false">fx_lo</f>
        <v>6.5</v>
      </c>
      <c r="G365" s="17" t="n">
        <f aca="false">fx_lo</f>
        <v>6.5</v>
      </c>
      <c r="H365" s="8" t="s">
        <v>492</v>
      </c>
    </row>
    <row r="366" customFormat="false" ht="17.15" hidden="false" customHeight="false" outlineLevel="0" collapsed="false">
      <c r="A366" s="4" t="s">
        <v>493</v>
      </c>
      <c r="B366" s="0" t="s">
        <v>66</v>
      </c>
      <c r="D366" s="15" t="n">
        <f aca="false">a26_aiu/D363</f>
        <v>0.257050026505137</v>
      </c>
      <c r="H366" s="8" t="s">
        <v>494</v>
      </c>
    </row>
    <row r="367" customFormat="false" ht="17.15" hidden="false" customHeight="false" outlineLevel="0" collapsed="false">
      <c r="A367" s="4" t="s">
        <v>495</v>
      </c>
      <c r="B367" s="0" t="s">
        <v>81</v>
      </c>
      <c r="D367" s="17" t="n">
        <f aca="false">1</f>
        <v>1</v>
      </c>
      <c r="E367" s="17" t="n">
        <f aca="false">rel_27</f>
        <v>1</v>
      </c>
      <c r="F367" s="17" t="n">
        <f aca="false">rel_28</f>
        <v>1</v>
      </c>
      <c r="G367" s="17" t="n">
        <f aca="false">rel_29</f>
        <v>0.95</v>
      </c>
    </row>
    <row r="368" customFormat="false" ht="15" hidden="false" customHeight="false" outlineLevel="0" collapsed="false">
      <c r="A368" s="4" t="s">
        <v>496</v>
      </c>
      <c r="B368" s="0" t="s">
        <v>66</v>
      </c>
      <c r="D368" s="15" t="n">
        <f aca="false">$D$366*D367</f>
        <v>0.257050026505137</v>
      </c>
      <c r="E368" s="15" t="n">
        <f aca="false">$D$366*E367</f>
        <v>0.257050026505137</v>
      </c>
      <c r="F368" s="15" t="n">
        <f aca="false">$D$366*F367</f>
        <v>0.257050026505137</v>
      </c>
      <c r="G368" s="15" t="n">
        <f aca="false">$D$366*G367</f>
        <v>0.24419752517988</v>
      </c>
    </row>
    <row r="369" customFormat="false" ht="15" hidden="false" customHeight="false" outlineLevel="0" collapsed="false">
      <c r="A369" s="4" t="s">
        <v>497</v>
      </c>
      <c r="B369" s="0" t="s">
        <v>81</v>
      </c>
      <c r="D369" s="17" t="n">
        <f aca="false">1</f>
        <v>1</v>
      </c>
      <c r="E369" s="17" t="n">
        <f aca="false">pxr_27</f>
        <v>1</v>
      </c>
      <c r="F369" s="17" t="n">
        <f aca="false">pxr_28</f>
        <v>1</v>
      </c>
      <c r="G369" s="17" t="n">
        <f aca="false">pxr_29</f>
        <v>1</v>
      </c>
    </row>
    <row r="370" customFormat="false" ht="17.15" hidden="false" customHeight="false" outlineLevel="0" collapsed="false">
      <c r="A370" s="4" t="s">
        <v>498</v>
      </c>
      <c r="B370" s="0" t="s">
        <v>66</v>
      </c>
      <c r="D370" s="15" t="n">
        <f aca="false">0</f>
        <v>0</v>
      </c>
      <c r="E370" s="15" t="n">
        <f aca="false">cpo_27</f>
        <v>0.05</v>
      </c>
      <c r="F370" s="15" t="n">
        <f aca="false">cpo_28</f>
        <v>0.1</v>
      </c>
      <c r="G370" s="15" t="n">
        <f aca="false">cpo_29</f>
        <v>0.15</v>
      </c>
    </row>
    <row r="371" customFormat="false" ht="17.15" hidden="false" customHeight="false" outlineLevel="0" collapsed="false">
      <c r="A371" s="0" t="s">
        <v>499</v>
      </c>
      <c r="B371" s="0" t="s">
        <v>33</v>
      </c>
      <c r="D371" s="19" t="n">
        <f aca="false">a26_aiu</f>
        <v>7.64807678571429</v>
      </c>
      <c r="E371" s="19" t="n">
        <f aca="false">E363*E368*E369+E364*E370</f>
        <v>13.9087324603841</v>
      </c>
      <c r="F371" s="19" t="n">
        <f aca="false">F363*F368*F369+F364*F370</f>
        <v>15.5510666120727</v>
      </c>
      <c r="G371" s="19" t="n">
        <f aca="false">G363*G368*G369+G364*G370</f>
        <v>19.5726016594895</v>
      </c>
    </row>
    <row r="372" customFormat="false" ht="17.15" hidden="false" customHeight="false" outlineLevel="0" collapsed="false">
      <c r="A372" s="0" t="s">
        <v>500</v>
      </c>
      <c r="B372" s="0" t="s">
        <v>168</v>
      </c>
      <c r="C372" s="19" t="n">
        <f aca="false">a25_ai</f>
        <v>23.5999</v>
      </c>
      <c r="D372" s="19" t="n">
        <f aca="false">D371*D365</f>
        <v>51.395076</v>
      </c>
      <c r="E372" s="19" t="n">
        <f aca="false">E371*E365</f>
        <v>90.4067609924966</v>
      </c>
      <c r="F372" s="19" t="n">
        <f aca="false">F371*F365</f>
        <v>101.081932978472</v>
      </c>
      <c r="G372" s="19" t="n">
        <f aca="false">G371*G365</f>
        <v>127.221910786682</v>
      </c>
    </row>
    <row r="373" customFormat="false" ht="17.15" hidden="false" customHeight="false" outlineLevel="0" collapsed="false">
      <c r="A373" s="6" t="s">
        <v>501</v>
      </c>
    </row>
    <row r="374" customFormat="false" ht="15" hidden="false" customHeight="false" outlineLevel="0" collapsed="false">
      <c r="A374" s="4" t="s">
        <v>502</v>
      </c>
      <c r="B374" s="0" t="s">
        <v>168</v>
      </c>
      <c r="C374" s="19" t="n">
        <f aca="false">a25_oth</f>
        <v>1.2421</v>
      </c>
      <c r="D374" s="19" t="n">
        <f aca="false">a26_oth</f>
        <v>2.705004</v>
      </c>
      <c r="E374" s="19" t="n">
        <f aca="false">D374*(1+g_oth)</f>
        <v>2.9755044</v>
      </c>
      <c r="F374" s="19" t="n">
        <f aca="false">E374*(1+g_oth)</f>
        <v>3.27305484</v>
      </c>
      <c r="G374" s="19" t="n">
        <f aca="false">F374*(1+g_oth)</f>
        <v>3.600360324</v>
      </c>
    </row>
    <row r="375" customFormat="false" ht="15" hidden="false" customHeight="false" outlineLevel="0" collapsed="false">
      <c r="A375" s="4" t="s">
        <v>406</v>
      </c>
      <c r="B375" s="0" t="s">
        <v>168</v>
      </c>
      <c r="C375" s="19" t="n">
        <f aca="false">a25_rev</f>
        <v>24.842</v>
      </c>
      <c r="D375" s="19" t="n">
        <f aca="false">D372+D374</f>
        <v>54.10008</v>
      </c>
      <c r="E375" s="19" t="n">
        <f aca="false">E372+E374</f>
        <v>93.3822653924966</v>
      </c>
      <c r="F375" s="19" t="n">
        <f aca="false">F372+F374</f>
        <v>104.354987818472</v>
      </c>
      <c r="G375" s="19" t="n">
        <f aca="false">G372+G374</f>
        <v>130.822271110682</v>
      </c>
    </row>
    <row r="376" customFormat="false" ht="15" hidden="false" customHeight="false" outlineLevel="0" collapsed="false">
      <c r="A376" s="4" t="s">
        <v>503</v>
      </c>
      <c r="B376" s="0" t="s">
        <v>66</v>
      </c>
      <c r="D376" s="15" t="n">
        <f aca="false">D375/C375-1</f>
        <v>1.17776668545206</v>
      </c>
      <c r="E376" s="15" t="n">
        <f aca="false">E375/D375-1</f>
        <v>0.726102168286934</v>
      </c>
      <c r="F376" s="15" t="n">
        <f aca="false">F375/E375-1</f>
        <v>0.117503279448791</v>
      </c>
      <c r="G376" s="15" t="n">
        <f aca="false">G375/F375-1</f>
        <v>0.253627390942253</v>
      </c>
    </row>
    <row r="377" customFormat="false" ht="17.15" hidden="false" customHeight="false" outlineLevel="0" collapsed="false">
      <c r="A377" s="0" t="s">
        <v>504</v>
      </c>
      <c r="B377" s="0" t="s">
        <v>66</v>
      </c>
      <c r="C377" s="15" t="n">
        <f aca="false">C372/C375</f>
        <v>0.95</v>
      </c>
      <c r="D377" s="15" t="n">
        <f aca="false">D372/D375</f>
        <v>0.95</v>
      </c>
      <c r="E377" s="15" t="n">
        <f aca="false">E372/E375</f>
        <v>0.968136300961498</v>
      </c>
      <c r="F377" s="15" t="n">
        <f aca="false">F372/F375</f>
        <v>0.968635377106329</v>
      </c>
      <c r="G377" s="15" t="n">
        <f aca="false">G372/G375</f>
        <v>0.972478995407793</v>
      </c>
    </row>
    <row r="378" customFormat="false" ht="17.15" hidden="false" customHeight="false" outlineLevel="0" collapsed="false">
      <c r="A378" s="6" t="s">
        <v>505</v>
      </c>
    </row>
    <row r="379" customFormat="false" ht="17.15" hidden="false" customHeight="false" outlineLevel="0" collapsed="false">
      <c r="A379" s="4" t="s">
        <v>410</v>
      </c>
      <c r="B379" s="0" t="s">
        <v>66</v>
      </c>
      <c r="C379" s="15" t="n">
        <f aca="false">a25_gp/a25_rev</f>
        <v>0.4781</v>
      </c>
      <c r="D379" s="15" t="n">
        <f aca="false">a26_gp/a26_rev</f>
        <v>0.481700625951015</v>
      </c>
      <c r="E379" s="15" t="n">
        <f aca="false">gm_27</f>
        <v>0.47</v>
      </c>
      <c r="F379" s="15" t="n">
        <f aca="false">gm_28</f>
        <v>0.46</v>
      </c>
      <c r="G379" s="15" t="n">
        <f aca="false">gm_29</f>
        <v>0.45</v>
      </c>
      <c r="H379" s="8" t="s">
        <v>506</v>
      </c>
    </row>
    <row r="380" customFormat="false" ht="15" hidden="false" customHeight="false" outlineLevel="0" collapsed="false">
      <c r="A380" s="4" t="s">
        <v>409</v>
      </c>
      <c r="B380" s="0" t="s">
        <v>168</v>
      </c>
      <c r="C380" s="19" t="n">
        <f aca="false">C375*C379</f>
        <v>11.8769602</v>
      </c>
      <c r="D380" s="19" t="n">
        <f aca="false">D375*D379</f>
        <v>26.0600424</v>
      </c>
      <c r="E380" s="19" t="n">
        <f aca="false">E375*E379</f>
        <v>43.8896647344734</v>
      </c>
      <c r="F380" s="19" t="n">
        <f aca="false">F375*F379</f>
        <v>48.0032943964972</v>
      </c>
      <c r="G380" s="19" t="n">
        <f aca="false">G375*G379</f>
        <v>58.8700219998069</v>
      </c>
    </row>
    <row r="381" customFormat="false" ht="15" hidden="false" customHeight="false" outlineLevel="0" collapsed="false">
      <c r="A381" s="4" t="s">
        <v>507</v>
      </c>
      <c r="B381" s="0" t="s">
        <v>168</v>
      </c>
      <c r="C381" s="19" t="n">
        <f aca="false">a25_opx</f>
        <v>1.02127838181818</v>
      </c>
      <c r="D381" s="19" t="n">
        <f aca="false">a26_opx</f>
        <v>3.21377711360775</v>
      </c>
      <c r="E381" s="19" t="n">
        <f aca="false">D381*(1+MAX(0,phi*E376))</f>
        <v>4.61389543195666</v>
      </c>
      <c r="F381" s="19" t="n">
        <f aca="false">E381*(1+MAX(0,phi*F376))</f>
        <v>4.93918413852988</v>
      </c>
      <c r="G381" s="19" t="n">
        <f aca="false">F381*(1+MAX(0,phi*G376))</f>
        <v>5.69081157039309</v>
      </c>
    </row>
    <row r="382" customFormat="false" ht="15" hidden="false" customHeight="false" outlineLevel="0" collapsed="false">
      <c r="A382" s="4" t="s">
        <v>508</v>
      </c>
      <c r="B382" s="0" t="s">
        <v>168</v>
      </c>
      <c r="C382" s="19" t="n">
        <f aca="false">C381</f>
        <v>1.02127838181818</v>
      </c>
      <c r="D382" s="19" t="n">
        <f aca="false">D381</f>
        <v>3.21377711360775</v>
      </c>
      <c r="E382" s="19" t="n">
        <f aca="false">E381+0*E375</f>
        <v>4.61389543195666</v>
      </c>
      <c r="F382" s="19" t="n">
        <f aca="false">F381+0*F375</f>
        <v>4.93918413852988</v>
      </c>
      <c r="G382" s="19" t="n">
        <f aca="false">G381+0*G375</f>
        <v>5.69081157039309</v>
      </c>
    </row>
    <row r="383" customFormat="false" ht="15" hidden="false" customHeight="false" outlineLevel="0" collapsed="false">
      <c r="A383" s="4" t="s">
        <v>509</v>
      </c>
      <c r="B383" s="0" t="s">
        <v>168</v>
      </c>
      <c r="C383" s="19" t="n">
        <f aca="false">C380-C382</f>
        <v>10.8556818181818</v>
      </c>
      <c r="D383" s="19" t="n">
        <f aca="false">D380-D382</f>
        <v>22.8462652863923</v>
      </c>
      <c r="E383" s="19" t="n">
        <f aca="false">E380-E382</f>
        <v>39.2757693025167</v>
      </c>
      <c r="F383" s="19" t="n">
        <f aca="false">F380-F382</f>
        <v>43.0641102579674</v>
      </c>
      <c r="G383" s="19" t="n">
        <f aca="false">G380-G382</f>
        <v>53.1792104294138</v>
      </c>
    </row>
    <row r="384" customFormat="false" ht="15" hidden="false" customHeight="false" outlineLevel="0" collapsed="false">
      <c r="A384" s="4" t="s">
        <v>510</v>
      </c>
      <c r="B384" s="0" t="s">
        <v>66</v>
      </c>
      <c r="C384" s="15" t="n">
        <f aca="false">C383/C375</f>
        <v>0.43698904348208</v>
      </c>
      <c r="D384" s="15" t="n">
        <f aca="false">D383/D375</f>
        <v>0.422296330918406</v>
      </c>
      <c r="E384" s="15" t="n">
        <f aca="false">E383/E375</f>
        <v>0.420591309682155</v>
      </c>
      <c r="F384" s="15" t="n">
        <f aca="false">F383/F375</f>
        <v>0.412669400459117</v>
      </c>
      <c r="G384" s="15" t="n">
        <f aca="false">G383/G375</f>
        <v>0.406499673013791</v>
      </c>
    </row>
    <row r="385" customFormat="false" ht="15" hidden="false" customHeight="false" outlineLevel="0" collapsed="false">
      <c r="A385" s="4" t="s">
        <v>417</v>
      </c>
      <c r="B385" s="0" t="s">
        <v>168</v>
      </c>
      <c r="C385" s="19" t="n">
        <f aca="false">a25_ni</f>
        <v>9.532</v>
      </c>
      <c r="D385" s="19" t="n">
        <f aca="false">a26_ni</f>
        <v>20.0605180178692</v>
      </c>
      <c r="E385" s="19" t="n">
        <f aca="false">E383*(1-tx)*attr</f>
        <v>34.4866991555112</v>
      </c>
      <c r="F385" s="19" t="n">
        <f aca="false">F383*(1-tx)*attr</f>
        <v>37.8131107611715</v>
      </c>
      <c r="G385" s="19" t="n">
        <f aca="false">G383*(1-tx)*attr</f>
        <v>46.6948315456497</v>
      </c>
    </row>
    <row r="386" customFormat="false" ht="15" hidden="false" customHeight="false" outlineLevel="0" collapsed="false">
      <c r="A386" s="4" t="s">
        <v>419</v>
      </c>
      <c r="B386" s="0" t="s">
        <v>66</v>
      </c>
      <c r="C386" s="15" t="n">
        <f aca="false">C385/C375</f>
        <v>0.383705015699219</v>
      </c>
      <c r="D386" s="15" t="n">
        <f aca="false">D385/D375</f>
        <v>0.370803851267302</v>
      </c>
      <c r="E386" s="15" t="n">
        <f aca="false">E385/E375</f>
        <v>0.369306730893276</v>
      </c>
      <c r="F386" s="15" t="n">
        <f aca="false">F385/F375</f>
        <v>0.362350775479446</v>
      </c>
      <c r="G386" s="15" t="n">
        <f aca="false">G385/G375</f>
        <v>0.356933350485435</v>
      </c>
    </row>
    <row r="387" customFormat="false" ht="15" hidden="false" customHeight="false" outlineLevel="0" collapsed="false">
      <c r="A387" s="4" t="s">
        <v>511</v>
      </c>
      <c r="B387" s="4" t="s">
        <v>204</v>
      </c>
      <c r="C387" s="16" t="n">
        <f aca="false">a25_sh</f>
        <v>1.38863683662851</v>
      </c>
      <c r="D387" s="16" t="n">
        <f aca="false">a26_sh</f>
        <v>1.39284103512015</v>
      </c>
      <c r="E387" s="16" t="n">
        <f aca="false">sh_post*(1+sh_g)</f>
        <v>1.394</v>
      </c>
      <c r="F387" s="16" t="n">
        <f aca="false">E387*(1+sh_g)</f>
        <v>1.394</v>
      </c>
      <c r="G387" s="16" t="n">
        <f aca="false">F387*(1+sh_g)</f>
        <v>1.394</v>
      </c>
    </row>
    <row r="388" customFormat="false" ht="15" hidden="false" customHeight="false" outlineLevel="0" collapsed="false">
      <c r="A388" s="0" t="s">
        <v>422</v>
      </c>
      <c r="B388" s="0" t="s">
        <v>140</v>
      </c>
      <c r="C388" s="19" t="n">
        <f aca="false">C385/C387</f>
        <v>6.86428571428571</v>
      </c>
      <c r="D388" s="19" t="n">
        <f aca="false">D385/D387</f>
        <v>14.402589751485</v>
      </c>
      <c r="E388" s="19" t="n">
        <f aca="false">E385/E387</f>
        <v>24.7393824644987</v>
      </c>
      <c r="F388" s="19" t="n">
        <f aca="false">F385/F387</f>
        <v>27.1256174757328</v>
      </c>
      <c r="G388" s="19" t="n">
        <f aca="false">G385/G387</f>
        <v>33.4970097171088</v>
      </c>
    </row>
    <row r="389" customFormat="false" ht="17.15" hidden="false" customHeight="false" outlineLevel="0" collapsed="false">
      <c r="A389" s="0" t="s">
        <v>512</v>
      </c>
      <c r="B389" s="0" t="s">
        <v>66</v>
      </c>
      <c r="D389" s="15" t="n">
        <f aca="false">D388/C388-1</f>
        <v>1.09819205536722</v>
      </c>
      <c r="E389" s="15" t="n">
        <f aca="false">E388/D388-1</f>
        <v>0.71770375268434</v>
      </c>
      <c r="F389" s="15" t="n">
        <f aca="false">F388/E388-1</f>
        <v>0.0964549141296607</v>
      </c>
      <c r="G389" s="15" t="n">
        <f aca="false">G388/F388-1</f>
        <v>0.234884689614016</v>
      </c>
    </row>
    <row r="392" customFormat="false" ht="17.15" hidden="false" customHeight="false" outlineLevel="0" collapsed="false">
      <c r="A392" s="1" t="s">
        <v>858</v>
      </c>
    </row>
    <row r="393" customFormat="false" ht="17.15" hidden="false" customHeight="false" outlineLevel="0" collapsed="false">
      <c r="A393" s="5" t="s">
        <v>22</v>
      </c>
      <c r="B393" s="5" t="s">
        <v>23</v>
      </c>
      <c r="C393" s="13" t="s">
        <v>399</v>
      </c>
      <c r="D393" s="13" t="s">
        <v>468</v>
      </c>
      <c r="E393" s="13" t="s">
        <v>469</v>
      </c>
      <c r="F393" s="13" t="s">
        <v>470</v>
      </c>
      <c r="G393" s="13" t="s">
        <v>471</v>
      </c>
      <c r="H393" s="5" t="s">
        <v>405</v>
      </c>
    </row>
    <row r="394" customFormat="false" ht="17.15" hidden="false" customHeight="false" outlineLevel="0" collapsed="false">
      <c r="A394" s="6" t="s">
        <v>488</v>
      </c>
    </row>
    <row r="395" customFormat="false" ht="17.15" hidden="false" customHeight="false" outlineLevel="0" collapsed="false">
      <c r="A395" s="0" t="s">
        <v>489</v>
      </c>
      <c r="B395" s="0" t="s">
        <v>33</v>
      </c>
      <c r="D395" s="19" t="n">
        <f aca="false">mpl_26*1</f>
        <v>29.753262</v>
      </c>
      <c r="E395" s="19" t="n">
        <f aca="false">mpl_27*1*1</f>
        <v>53.560715</v>
      </c>
      <c r="F395" s="19" t="n">
        <f aca="false">mpl_28*um28_A*1</f>
        <v>57.9915</v>
      </c>
      <c r="G395" s="19" t="n">
        <f aca="false">mpl_29*um29_A*1</f>
        <v>72.9348</v>
      </c>
    </row>
    <row r="396" customFormat="false" ht="17.15" hidden="false" customHeight="false" outlineLevel="0" collapsed="false">
      <c r="A396" s="0" t="s">
        <v>490</v>
      </c>
      <c r="B396" s="0" t="s">
        <v>33</v>
      </c>
      <c r="D396" s="19" t="n">
        <f aca="false">mcp_26*1</f>
        <v>0.300538</v>
      </c>
      <c r="E396" s="19" t="n">
        <f aca="false">mcp_27*1</f>
        <v>2.818985</v>
      </c>
      <c r="F396" s="19" t="n">
        <f aca="false">mcp_28*um28_A</f>
        <v>6.4435</v>
      </c>
      <c r="G396" s="19" t="n">
        <f aca="false">mcp_29*um29_A</f>
        <v>11.74736</v>
      </c>
    </row>
    <row r="397" customFormat="false" ht="17.15" hidden="false" customHeight="false" outlineLevel="0" collapsed="false">
      <c r="A397" s="4" t="s">
        <v>491</v>
      </c>
      <c r="B397" s="0" t="s">
        <v>140</v>
      </c>
      <c r="D397" s="17" t="n">
        <f aca="false">fx</f>
        <v>6.72</v>
      </c>
      <c r="E397" s="17" t="n">
        <f aca="false">fx_hi</f>
        <v>7</v>
      </c>
      <c r="F397" s="17" t="n">
        <f aca="false">fx_hi</f>
        <v>7</v>
      </c>
      <c r="G397" s="17" t="n">
        <f aca="false">fx_hi</f>
        <v>7</v>
      </c>
      <c r="H397" s="8" t="s">
        <v>492</v>
      </c>
    </row>
    <row r="398" customFormat="false" ht="17.15" hidden="false" customHeight="false" outlineLevel="0" collapsed="false">
      <c r="A398" s="4" t="s">
        <v>493</v>
      </c>
      <c r="B398" s="0" t="s">
        <v>66</v>
      </c>
      <c r="D398" s="15" t="n">
        <f aca="false">a26_aiu/D395</f>
        <v>0.257050026505137</v>
      </c>
      <c r="H398" s="8" t="s">
        <v>494</v>
      </c>
    </row>
    <row r="399" customFormat="false" ht="17.15" hidden="false" customHeight="false" outlineLevel="0" collapsed="false">
      <c r="A399" s="4" t="s">
        <v>495</v>
      </c>
      <c r="B399" s="0" t="s">
        <v>81</v>
      </c>
      <c r="D399" s="17" t="n">
        <f aca="false">1</f>
        <v>1</v>
      </c>
      <c r="E399" s="17" t="n">
        <f aca="false">rel_27</f>
        <v>1</v>
      </c>
      <c r="F399" s="17" t="n">
        <f aca="false">rel_28</f>
        <v>1</v>
      </c>
      <c r="G399" s="17" t="n">
        <f aca="false">rel_29</f>
        <v>0.95</v>
      </c>
    </row>
    <row r="400" customFormat="false" ht="15" hidden="false" customHeight="false" outlineLevel="0" collapsed="false">
      <c r="A400" s="4" t="s">
        <v>496</v>
      </c>
      <c r="B400" s="0" t="s">
        <v>66</v>
      </c>
      <c r="D400" s="15" t="n">
        <f aca="false">$D$398*D399</f>
        <v>0.257050026505137</v>
      </c>
      <c r="E400" s="15" t="n">
        <f aca="false">$D$398*E399</f>
        <v>0.257050026505137</v>
      </c>
      <c r="F400" s="15" t="n">
        <f aca="false">$D$398*F399</f>
        <v>0.257050026505137</v>
      </c>
      <c r="G400" s="15" t="n">
        <f aca="false">$D$398*G399</f>
        <v>0.24419752517988</v>
      </c>
    </row>
    <row r="401" customFormat="false" ht="15" hidden="false" customHeight="false" outlineLevel="0" collapsed="false">
      <c r="A401" s="4" t="s">
        <v>497</v>
      </c>
      <c r="B401" s="0" t="s">
        <v>81</v>
      </c>
      <c r="D401" s="17" t="n">
        <f aca="false">1</f>
        <v>1</v>
      </c>
      <c r="E401" s="17" t="n">
        <f aca="false">pxr_27</f>
        <v>1</v>
      </c>
      <c r="F401" s="17" t="n">
        <f aca="false">pxr_28</f>
        <v>1</v>
      </c>
      <c r="G401" s="17" t="n">
        <f aca="false">pxr_29</f>
        <v>1</v>
      </c>
    </row>
    <row r="402" customFormat="false" ht="17.15" hidden="false" customHeight="false" outlineLevel="0" collapsed="false">
      <c r="A402" s="4" t="s">
        <v>498</v>
      </c>
      <c r="B402" s="0" t="s">
        <v>66</v>
      </c>
      <c r="D402" s="15" t="n">
        <f aca="false">0</f>
        <v>0</v>
      </c>
      <c r="E402" s="15" t="n">
        <f aca="false">cpo_27</f>
        <v>0.05</v>
      </c>
      <c r="F402" s="15" t="n">
        <f aca="false">cpo_28</f>
        <v>0.1</v>
      </c>
      <c r="G402" s="15" t="n">
        <f aca="false">cpo_29</f>
        <v>0.15</v>
      </c>
    </row>
    <row r="403" customFormat="false" ht="17.15" hidden="false" customHeight="false" outlineLevel="0" collapsed="false">
      <c r="A403" s="0" t="s">
        <v>499</v>
      </c>
      <c r="B403" s="0" t="s">
        <v>33</v>
      </c>
      <c r="D403" s="19" t="n">
        <f aca="false">a26_aiu</f>
        <v>7.64807678571429</v>
      </c>
      <c r="E403" s="19" t="n">
        <f aca="false">E395*E400*E401+E396*E402</f>
        <v>13.9087324603841</v>
      </c>
      <c r="F403" s="19" t="n">
        <f aca="false">F395*F400*F401+F396*F402</f>
        <v>15.5510666120727</v>
      </c>
      <c r="G403" s="19" t="n">
        <f aca="false">G395*G400*G401+G396*G402</f>
        <v>19.5726016594895</v>
      </c>
    </row>
    <row r="404" customFormat="false" ht="17.15" hidden="false" customHeight="false" outlineLevel="0" collapsed="false">
      <c r="A404" s="0" t="s">
        <v>500</v>
      </c>
      <c r="B404" s="0" t="s">
        <v>168</v>
      </c>
      <c r="C404" s="19" t="n">
        <f aca="false">a25_ai</f>
        <v>23.5999</v>
      </c>
      <c r="D404" s="19" t="n">
        <f aca="false">D403*D397</f>
        <v>51.395076</v>
      </c>
      <c r="E404" s="19" t="n">
        <f aca="false">E403*E397</f>
        <v>97.3611272226886</v>
      </c>
      <c r="F404" s="19" t="n">
        <f aca="false">F403*F397</f>
        <v>108.857466284509</v>
      </c>
      <c r="G404" s="19" t="n">
        <f aca="false">G403*G397</f>
        <v>137.008211616427</v>
      </c>
    </row>
    <row r="405" customFormat="false" ht="17.15" hidden="false" customHeight="false" outlineLevel="0" collapsed="false">
      <c r="A405" s="6" t="s">
        <v>501</v>
      </c>
    </row>
    <row r="406" customFormat="false" ht="15" hidden="false" customHeight="false" outlineLevel="0" collapsed="false">
      <c r="A406" s="4" t="s">
        <v>502</v>
      </c>
      <c r="B406" s="0" t="s">
        <v>168</v>
      </c>
      <c r="C406" s="19" t="n">
        <f aca="false">a25_oth</f>
        <v>1.2421</v>
      </c>
      <c r="D406" s="19" t="n">
        <f aca="false">a26_oth</f>
        <v>2.705004</v>
      </c>
      <c r="E406" s="19" t="n">
        <f aca="false">D406*(1+g_oth)</f>
        <v>2.9755044</v>
      </c>
      <c r="F406" s="19" t="n">
        <f aca="false">E406*(1+g_oth)</f>
        <v>3.27305484</v>
      </c>
      <c r="G406" s="19" t="n">
        <f aca="false">F406*(1+g_oth)</f>
        <v>3.600360324</v>
      </c>
    </row>
    <row r="407" customFormat="false" ht="15" hidden="false" customHeight="false" outlineLevel="0" collapsed="false">
      <c r="A407" s="4" t="s">
        <v>406</v>
      </c>
      <c r="B407" s="0" t="s">
        <v>168</v>
      </c>
      <c r="C407" s="19" t="n">
        <f aca="false">a25_rev</f>
        <v>24.842</v>
      </c>
      <c r="D407" s="19" t="n">
        <f aca="false">D404+D406</f>
        <v>54.10008</v>
      </c>
      <c r="E407" s="19" t="n">
        <f aca="false">E404+E406</f>
        <v>100.336631622689</v>
      </c>
      <c r="F407" s="19" t="n">
        <f aca="false">F404+F406</f>
        <v>112.130521124509</v>
      </c>
      <c r="G407" s="19" t="n">
        <f aca="false">G404+G406</f>
        <v>140.608571940427</v>
      </c>
    </row>
    <row r="408" customFormat="false" ht="15" hidden="false" customHeight="false" outlineLevel="0" collapsed="false">
      <c r="A408" s="4" t="s">
        <v>503</v>
      </c>
      <c r="B408" s="0" t="s">
        <v>66</v>
      </c>
      <c r="D408" s="15" t="n">
        <f aca="false">D407/C407-1</f>
        <v>1.17776668545206</v>
      </c>
      <c r="E408" s="15" t="n">
        <f aca="false">E407/D407-1</f>
        <v>0.85464848892439</v>
      </c>
      <c r="F408" s="15" t="n">
        <f aca="false">F407/E407-1</f>
        <v>0.117543207411729</v>
      </c>
      <c r="G408" s="15" t="n">
        <f aca="false">G407/F407-1</f>
        <v>0.25397233982616</v>
      </c>
    </row>
    <row r="409" customFormat="false" ht="17.15" hidden="false" customHeight="false" outlineLevel="0" collapsed="false">
      <c r="A409" s="0" t="s">
        <v>504</v>
      </c>
      <c r="B409" s="0" t="s">
        <v>66</v>
      </c>
      <c r="C409" s="15" t="n">
        <f aca="false">C404/C407</f>
        <v>0.95</v>
      </c>
      <c r="D409" s="15" t="n">
        <f aca="false">D404/D407</f>
        <v>0.95</v>
      </c>
      <c r="E409" s="15" t="n">
        <f aca="false">E404/E407</f>
        <v>0.970344784832032</v>
      </c>
      <c r="F409" s="15" t="n">
        <f aca="false">F404/F407</f>
        <v>0.970810312775006</v>
      </c>
      <c r="G409" s="15" t="n">
        <f aca="false">G404/G407</f>
        <v>0.974394446410242</v>
      </c>
    </row>
    <row r="410" customFormat="false" ht="17.15" hidden="false" customHeight="false" outlineLevel="0" collapsed="false">
      <c r="A410" s="6" t="s">
        <v>505</v>
      </c>
    </row>
    <row r="411" customFormat="false" ht="17.15" hidden="false" customHeight="false" outlineLevel="0" collapsed="false">
      <c r="A411" s="4" t="s">
        <v>410</v>
      </c>
      <c r="B411" s="0" t="s">
        <v>66</v>
      </c>
      <c r="C411" s="15" t="n">
        <f aca="false">a25_gp/a25_rev</f>
        <v>0.4781</v>
      </c>
      <c r="D411" s="15" t="n">
        <f aca="false">a26_gp/a26_rev</f>
        <v>0.481700625951015</v>
      </c>
      <c r="E411" s="15" t="n">
        <f aca="false">gm_27</f>
        <v>0.47</v>
      </c>
      <c r="F411" s="15" t="n">
        <f aca="false">gm_28</f>
        <v>0.46</v>
      </c>
      <c r="G411" s="15" t="n">
        <f aca="false">gm_29</f>
        <v>0.45</v>
      </c>
      <c r="H411" s="8" t="s">
        <v>506</v>
      </c>
    </row>
    <row r="412" customFormat="false" ht="15" hidden="false" customHeight="false" outlineLevel="0" collapsed="false">
      <c r="A412" s="4" t="s">
        <v>409</v>
      </c>
      <c r="B412" s="0" t="s">
        <v>168</v>
      </c>
      <c r="C412" s="19" t="n">
        <f aca="false">C407*C411</f>
        <v>11.8769602</v>
      </c>
      <c r="D412" s="19" t="n">
        <f aca="false">D407*D411</f>
        <v>26.0600424</v>
      </c>
      <c r="E412" s="19" t="n">
        <f aca="false">E407*E411</f>
        <v>47.1582168626637</v>
      </c>
      <c r="F412" s="19" t="n">
        <f aca="false">F407*F411</f>
        <v>51.580039717274</v>
      </c>
      <c r="G412" s="19" t="n">
        <f aca="false">G407*G411</f>
        <v>63.273857373192</v>
      </c>
    </row>
    <row r="413" customFormat="false" ht="15" hidden="false" customHeight="false" outlineLevel="0" collapsed="false">
      <c r="A413" s="4" t="s">
        <v>507</v>
      </c>
      <c r="B413" s="0" t="s">
        <v>168</v>
      </c>
      <c r="C413" s="19" t="n">
        <f aca="false">a25_opx</f>
        <v>1.02127838181818</v>
      </c>
      <c r="D413" s="19" t="n">
        <f aca="false">a26_opx</f>
        <v>3.21377711360775</v>
      </c>
      <c r="E413" s="19" t="n">
        <f aca="false">D413*(1+MAX(0,phi*E408))</f>
        <v>4.86176696593854</v>
      </c>
      <c r="F413" s="19" t="n">
        <f aca="false">E413*(1+MAX(0,phi*F408))</f>
        <v>5.20464757565743</v>
      </c>
      <c r="G413" s="19" t="n">
        <f aca="false">F413*(1+MAX(0,phi*G408))</f>
        <v>5.99774948931359</v>
      </c>
    </row>
    <row r="414" customFormat="false" ht="15" hidden="false" customHeight="false" outlineLevel="0" collapsed="false">
      <c r="A414" s="4" t="s">
        <v>508</v>
      </c>
      <c r="B414" s="0" t="s">
        <v>168</v>
      </c>
      <c r="C414" s="19" t="n">
        <f aca="false">C413</f>
        <v>1.02127838181818</v>
      </c>
      <c r="D414" s="19" t="n">
        <f aca="false">D413</f>
        <v>3.21377711360775</v>
      </c>
      <c r="E414" s="19" t="n">
        <f aca="false">E413+0*E407</f>
        <v>4.86176696593854</v>
      </c>
      <c r="F414" s="19" t="n">
        <f aca="false">F413+0*F407</f>
        <v>5.20464757565743</v>
      </c>
      <c r="G414" s="19" t="n">
        <f aca="false">G413+0*G407</f>
        <v>5.99774948931359</v>
      </c>
    </row>
    <row r="415" customFormat="false" ht="15" hidden="false" customHeight="false" outlineLevel="0" collapsed="false">
      <c r="A415" s="4" t="s">
        <v>509</v>
      </c>
      <c r="B415" s="0" t="s">
        <v>168</v>
      </c>
      <c r="C415" s="19" t="n">
        <f aca="false">C412-C414</f>
        <v>10.8556818181818</v>
      </c>
      <c r="D415" s="19" t="n">
        <f aca="false">D412-D414</f>
        <v>22.8462652863923</v>
      </c>
      <c r="E415" s="19" t="n">
        <f aca="false">E412-E414</f>
        <v>42.2964498967251</v>
      </c>
      <c r="F415" s="19" t="n">
        <f aca="false">F412-F414</f>
        <v>46.3753921416165</v>
      </c>
      <c r="G415" s="19" t="n">
        <f aca="false">G412-G414</f>
        <v>57.2761078838784</v>
      </c>
    </row>
    <row r="416" customFormat="false" ht="15" hidden="false" customHeight="false" outlineLevel="0" collapsed="false">
      <c r="A416" s="4" t="s">
        <v>510</v>
      </c>
      <c r="B416" s="0" t="s">
        <v>66</v>
      </c>
      <c r="C416" s="15" t="n">
        <f aca="false">C415/C407</f>
        <v>0.43698904348208</v>
      </c>
      <c r="D416" s="15" t="n">
        <f aca="false">D415/D407</f>
        <v>0.422296330918406</v>
      </c>
      <c r="E416" s="15" t="n">
        <f aca="false">E415/E407</f>
        <v>0.421545443699755</v>
      </c>
      <c r="F416" s="15" t="n">
        <f aca="false">F415/F407</f>
        <v>0.413584024015386</v>
      </c>
      <c r="G416" s="15" t="n">
        <f aca="false">G415/G407</f>
        <v>0.407344353857354</v>
      </c>
    </row>
    <row r="417" customFormat="false" ht="15" hidden="false" customHeight="false" outlineLevel="0" collapsed="false">
      <c r="A417" s="4" t="s">
        <v>417</v>
      </c>
      <c r="B417" s="0" t="s">
        <v>168</v>
      </c>
      <c r="C417" s="19" t="n">
        <f aca="false">a25_ni</f>
        <v>9.532</v>
      </c>
      <c r="D417" s="19" t="n">
        <f aca="false">a26_ni</f>
        <v>20.0605180178692</v>
      </c>
      <c r="E417" s="19" t="n">
        <f aca="false">E415*(1-tx)*attr</f>
        <v>37.1390546598675</v>
      </c>
      <c r="F417" s="19" t="n">
        <f aca="false">F415*(1-tx)*attr</f>
        <v>40.7206332405131</v>
      </c>
      <c r="G417" s="19" t="n">
        <f aca="false">G415*(1-tx)*attr</f>
        <v>50.2921759768904</v>
      </c>
    </row>
    <row r="418" customFormat="false" ht="15" hidden="false" customHeight="false" outlineLevel="0" collapsed="false">
      <c r="A418" s="4" t="s">
        <v>419</v>
      </c>
      <c r="B418" s="0" t="s">
        <v>66</v>
      </c>
      <c r="C418" s="15" t="n">
        <f aca="false">C417/C407</f>
        <v>0.383705015699219</v>
      </c>
      <c r="D418" s="15" t="n">
        <f aca="false">D417/D407</f>
        <v>0.370803851267302</v>
      </c>
      <c r="E418" s="15" t="n">
        <f aca="false">E417/E407</f>
        <v>0.370144523084323</v>
      </c>
      <c r="F418" s="15" t="n">
        <f aca="false">F417/F407</f>
        <v>0.363153874896357</v>
      </c>
      <c r="G418" s="15" t="n">
        <f aca="false">G417/G407</f>
        <v>0.357675035617304</v>
      </c>
    </row>
    <row r="419" customFormat="false" ht="15" hidden="false" customHeight="false" outlineLevel="0" collapsed="false">
      <c r="A419" s="4" t="s">
        <v>511</v>
      </c>
      <c r="B419" s="4" t="s">
        <v>204</v>
      </c>
      <c r="C419" s="16" t="n">
        <f aca="false">a25_sh</f>
        <v>1.38863683662851</v>
      </c>
      <c r="D419" s="16" t="n">
        <f aca="false">a26_sh</f>
        <v>1.39284103512015</v>
      </c>
      <c r="E419" s="16" t="n">
        <f aca="false">sh_post*(1+sh_g)</f>
        <v>1.394</v>
      </c>
      <c r="F419" s="16" t="n">
        <f aca="false">E419*(1+sh_g)</f>
        <v>1.394</v>
      </c>
      <c r="G419" s="16" t="n">
        <f aca="false">F419*(1+sh_g)</f>
        <v>1.394</v>
      </c>
    </row>
    <row r="420" customFormat="false" ht="15" hidden="false" customHeight="false" outlineLevel="0" collapsed="false">
      <c r="A420" s="0" t="s">
        <v>422</v>
      </c>
      <c r="B420" s="0" t="s">
        <v>140</v>
      </c>
      <c r="C420" s="19" t="n">
        <f aca="false">C417/C419</f>
        <v>6.86428571428571</v>
      </c>
      <c r="D420" s="19" t="n">
        <f aca="false">D417/D419</f>
        <v>14.402589751485</v>
      </c>
      <c r="E420" s="19" t="n">
        <f aca="false">E417/E419</f>
        <v>26.6420765135348</v>
      </c>
      <c r="F420" s="19" t="n">
        <f aca="false">F417/F419</f>
        <v>29.2113581352318</v>
      </c>
      <c r="G420" s="19" t="n">
        <f aca="false">G417/G419</f>
        <v>36.0776011311983</v>
      </c>
    </row>
    <row r="421" customFormat="false" ht="17.15" hidden="false" customHeight="false" outlineLevel="0" collapsed="false">
      <c r="A421" s="0" t="s">
        <v>512</v>
      </c>
      <c r="B421" s="0" t="s">
        <v>66</v>
      </c>
      <c r="D421" s="15" t="n">
        <f aca="false">D420/C420-1</f>
        <v>1.09819205536722</v>
      </c>
      <c r="E421" s="15" t="n">
        <f aca="false">E420/D420-1</f>
        <v>0.849811525096579</v>
      </c>
      <c r="F421" s="15" t="n">
        <f aca="false">F420/E420-1</f>
        <v>0.0964369883252831</v>
      </c>
      <c r="G421" s="15" t="n">
        <f aca="false">G420/F420-1</f>
        <v>0.23505387747395</v>
      </c>
    </row>
    <row r="424" customFormat="false" ht="17.15" hidden="false" customHeight="false" outlineLevel="0" collapsed="false">
      <c r="A424" s="1" t="s">
        <v>859</v>
      </c>
    </row>
    <row r="425" customFormat="false" ht="17.15" hidden="false" customHeight="false" outlineLevel="0" collapsed="false">
      <c r="A425" s="5" t="s">
        <v>22</v>
      </c>
      <c r="B425" s="5" t="s">
        <v>23</v>
      </c>
      <c r="C425" s="13" t="s">
        <v>399</v>
      </c>
      <c r="D425" s="13" t="s">
        <v>468</v>
      </c>
      <c r="E425" s="13" t="s">
        <v>469</v>
      </c>
      <c r="F425" s="13" t="s">
        <v>470</v>
      </c>
      <c r="G425" s="13" t="s">
        <v>471</v>
      </c>
      <c r="H425" s="5" t="s">
        <v>405</v>
      </c>
    </row>
    <row r="426" customFormat="false" ht="17.15" hidden="false" customHeight="false" outlineLevel="0" collapsed="false">
      <c r="A426" s="6" t="s">
        <v>488</v>
      </c>
    </row>
    <row r="427" customFormat="false" ht="17.15" hidden="false" customHeight="false" outlineLevel="0" collapsed="false">
      <c r="A427" s="0" t="s">
        <v>489</v>
      </c>
      <c r="B427" s="0" t="s">
        <v>33</v>
      </c>
      <c r="D427" s="19" t="n">
        <f aca="false">mpl_26*1</f>
        <v>29.753262</v>
      </c>
      <c r="E427" s="19" t="n">
        <f aca="false">mpl_27*1*1</f>
        <v>53.560715</v>
      </c>
      <c r="F427" s="19" t="n">
        <f aca="false">mpl_28*um28_A*1</f>
        <v>57.9915</v>
      </c>
      <c r="G427" s="19" t="n">
        <f aca="false">mpl_29*um29_A*1</f>
        <v>72.9348</v>
      </c>
    </row>
    <row r="428" customFormat="false" ht="17.15" hidden="false" customHeight="false" outlineLevel="0" collapsed="false">
      <c r="A428" s="0" t="s">
        <v>490</v>
      </c>
      <c r="B428" s="0" t="s">
        <v>33</v>
      </c>
      <c r="D428" s="19" t="n">
        <f aca="false">mcp_26*1</f>
        <v>0.300538</v>
      </c>
      <c r="E428" s="19" t="n">
        <f aca="false">mcp_27*1</f>
        <v>2.818985</v>
      </c>
      <c r="F428" s="19" t="n">
        <f aca="false">mcp_28*um28_A</f>
        <v>6.4435</v>
      </c>
      <c r="G428" s="19" t="n">
        <f aca="false">mcp_29*um29_A</f>
        <v>11.74736</v>
      </c>
    </row>
    <row r="429" customFormat="false" ht="17.15" hidden="false" customHeight="false" outlineLevel="0" collapsed="false">
      <c r="A429" s="4" t="s">
        <v>491</v>
      </c>
      <c r="B429" s="0" t="s">
        <v>140</v>
      </c>
      <c r="D429" s="17" t="n">
        <f aca="false">fx</f>
        <v>6.72</v>
      </c>
      <c r="E429" s="17" t="n">
        <f aca="false">fx</f>
        <v>6.72</v>
      </c>
      <c r="F429" s="17" t="n">
        <f aca="false">fx</f>
        <v>6.72</v>
      </c>
      <c r="G429" s="17" t="n">
        <f aca="false">fx</f>
        <v>6.72</v>
      </c>
      <c r="H429" s="8" t="s">
        <v>492</v>
      </c>
    </row>
    <row r="430" customFormat="false" ht="17.15" hidden="false" customHeight="false" outlineLevel="0" collapsed="false">
      <c r="A430" s="4" t="s">
        <v>493</v>
      </c>
      <c r="B430" s="0" t="s">
        <v>66</v>
      </c>
      <c r="D430" s="15" t="n">
        <f aca="false">a26_aiu/D427</f>
        <v>0.257050026505137</v>
      </c>
      <c r="H430" s="8" t="s">
        <v>494</v>
      </c>
    </row>
    <row r="431" customFormat="false" ht="17.15" hidden="false" customHeight="false" outlineLevel="0" collapsed="false">
      <c r="A431" s="4" t="s">
        <v>495</v>
      </c>
      <c r="B431" s="0" t="s">
        <v>81</v>
      </c>
      <c r="D431" s="17" t="n">
        <f aca="false">1</f>
        <v>1</v>
      </c>
      <c r="E431" s="17" t="n">
        <f aca="false">rel_27</f>
        <v>1</v>
      </c>
      <c r="F431" s="17" t="n">
        <f aca="false">rel_28</f>
        <v>1</v>
      </c>
      <c r="G431" s="17" t="n">
        <f aca="false">rel_29</f>
        <v>0.95</v>
      </c>
    </row>
    <row r="432" customFormat="false" ht="15" hidden="false" customHeight="false" outlineLevel="0" collapsed="false">
      <c r="A432" s="4" t="s">
        <v>496</v>
      </c>
      <c r="B432" s="0" t="s">
        <v>66</v>
      </c>
      <c r="D432" s="15" t="n">
        <f aca="false">$D$430*D431</f>
        <v>0.257050026505137</v>
      </c>
      <c r="E432" s="15" t="n">
        <f aca="false">$D$430*E431</f>
        <v>0.257050026505137</v>
      </c>
      <c r="F432" s="15" t="n">
        <f aca="false">$D$430*F431</f>
        <v>0.257050026505137</v>
      </c>
      <c r="G432" s="15" t="n">
        <f aca="false">$D$430*G431</f>
        <v>0.24419752517988</v>
      </c>
    </row>
    <row r="433" customFormat="false" ht="15" hidden="false" customHeight="false" outlineLevel="0" collapsed="false">
      <c r="A433" s="4" t="s">
        <v>497</v>
      </c>
      <c r="B433" s="0" t="s">
        <v>81</v>
      </c>
      <c r="D433" s="17" t="n">
        <f aca="false">1</f>
        <v>1</v>
      </c>
      <c r="E433" s="17" t="n">
        <f aca="false">pxr_27</f>
        <v>1</v>
      </c>
      <c r="F433" s="17" t="n">
        <f aca="false">pxr_28</f>
        <v>1</v>
      </c>
      <c r="G433" s="17" t="n">
        <f aca="false">pxr_29</f>
        <v>1</v>
      </c>
    </row>
    <row r="434" customFormat="false" ht="17.15" hidden="false" customHeight="false" outlineLevel="0" collapsed="false">
      <c r="A434" s="4" t="s">
        <v>498</v>
      </c>
      <c r="B434" s="0" t="s">
        <v>66</v>
      </c>
      <c r="D434" s="15" t="n">
        <f aca="false">0</f>
        <v>0</v>
      </c>
      <c r="E434" s="15" t="n">
        <f aca="false">cpo_27</f>
        <v>0.05</v>
      </c>
      <c r="F434" s="15" t="n">
        <f aca="false">cpo_28</f>
        <v>0.1</v>
      </c>
      <c r="G434" s="15" t="n">
        <f aca="false">cpo_29</f>
        <v>0.15</v>
      </c>
    </row>
    <row r="435" customFormat="false" ht="17.15" hidden="false" customHeight="false" outlineLevel="0" collapsed="false">
      <c r="A435" s="0" t="s">
        <v>499</v>
      </c>
      <c r="B435" s="0" t="s">
        <v>33</v>
      </c>
      <c r="D435" s="19" t="n">
        <f aca="false">a26_aiu</f>
        <v>7.64807678571429</v>
      </c>
      <c r="E435" s="19" t="n">
        <f aca="false">E427*E432*E433+E428*E434</f>
        <v>13.9087324603841</v>
      </c>
      <c r="F435" s="19" t="n">
        <f aca="false">F427*F432*F433+F428*F434</f>
        <v>15.5510666120727</v>
      </c>
      <c r="G435" s="19" t="n">
        <f aca="false">G427*G432*G433+G428*G434</f>
        <v>19.5726016594895</v>
      </c>
    </row>
    <row r="436" customFormat="false" ht="17.15" hidden="false" customHeight="false" outlineLevel="0" collapsed="false">
      <c r="A436" s="0" t="s">
        <v>500</v>
      </c>
      <c r="B436" s="0" t="s">
        <v>168</v>
      </c>
      <c r="C436" s="19" t="n">
        <f aca="false">a25_ai</f>
        <v>23.5999</v>
      </c>
      <c r="D436" s="19" t="n">
        <f aca="false">D435*D429</f>
        <v>51.395076</v>
      </c>
      <c r="E436" s="19" t="n">
        <f aca="false">E435*E429</f>
        <v>93.4666821337811</v>
      </c>
      <c r="F436" s="19" t="n">
        <f aca="false">F435*F429</f>
        <v>104.503167633128</v>
      </c>
      <c r="G436" s="19" t="n">
        <f aca="false">G435*G429</f>
        <v>131.52788315177</v>
      </c>
    </row>
    <row r="437" customFormat="false" ht="17.15" hidden="false" customHeight="false" outlineLevel="0" collapsed="false">
      <c r="A437" s="6" t="s">
        <v>501</v>
      </c>
    </row>
    <row r="438" customFormat="false" ht="15" hidden="false" customHeight="false" outlineLevel="0" collapsed="false">
      <c r="A438" s="4" t="s">
        <v>502</v>
      </c>
      <c r="B438" s="0" t="s">
        <v>168</v>
      </c>
      <c r="C438" s="19" t="n">
        <f aca="false">a25_oth</f>
        <v>1.2421</v>
      </c>
      <c r="D438" s="19" t="n">
        <f aca="false">a26_oth</f>
        <v>2.705004</v>
      </c>
      <c r="E438" s="19" t="n">
        <f aca="false">D438*(1+g_oth)</f>
        <v>2.9755044</v>
      </c>
      <c r="F438" s="19" t="n">
        <f aca="false">E438*(1+g_oth)</f>
        <v>3.27305484</v>
      </c>
      <c r="G438" s="19" t="n">
        <f aca="false">F438*(1+g_oth)</f>
        <v>3.600360324</v>
      </c>
    </row>
    <row r="439" customFormat="false" ht="15" hidden="false" customHeight="false" outlineLevel="0" collapsed="false">
      <c r="A439" s="4" t="s">
        <v>406</v>
      </c>
      <c r="B439" s="0" t="s">
        <v>168</v>
      </c>
      <c r="C439" s="19" t="n">
        <f aca="false">a25_rev</f>
        <v>24.842</v>
      </c>
      <c r="D439" s="19" t="n">
        <f aca="false">D436+D438</f>
        <v>54.10008</v>
      </c>
      <c r="E439" s="19" t="n">
        <f aca="false">E436+E438</f>
        <v>96.4421865337811</v>
      </c>
      <c r="F439" s="19" t="n">
        <f aca="false">F436+F438</f>
        <v>107.776222473128</v>
      </c>
      <c r="G439" s="19" t="n">
        <f aca="false">G436+G438</f>
        <v>135.12824347577</v>
      </c>
    </row>
    <row r="440" customFormat="false" ht="15" hidden="false" customHeight="false" outlineLevel="0" collapsed="false">
      <c r="A440" s="4" t="s">
        <v>503</v>
      </c>
      <c r="B440" s="0" t="s">
        <v>66</v>
      </c>
      <c r="D440" s="15" t="n">
        <f aca="false">D439/C439-1</f>
        <v>1.17776668545206</v>
      </c>
      <c r="E440" s="15" t="n">
        <f aca="false">E439/D439-1</f>
        <v>0.782662549367415</v>
      </c>
      <c r="F440" s="15" t="n">
        <f aca="false">F439/E439-1</f>
        <v>0.117521557180551</v>
      </c>
      <c r="G440" s="15" t="n">
        <f aca="false">G439/F439-1</f>
        <v>0.253785300458652</v>
      </c>
    </row>
    <row r="441" customFormat="false" ht="17.15" hidden="false" customHeight="false" outlineLevel="0" collapsed="false">
      <c r="A441" s="0" t="s">
        <v>504</v>
      </c>
      <c r="B441" s="0" t="s">
        <v>66</v>
      </c>
      <c r="C441" s="15" t="n">
        <f aca="false">C436/C439</f>
        <v>0.95</v>
      </c>
      <c r="D441" s="15" t="n">
        <f aca="false">D436/D439</f>
        <v>0.95</v>
      </c>
      <c r="E441" s="15" t="n">
        <f aca="false">E436/E439</f>
        <v>0.969147273543433</v>
      </c>
      <c r="F441" s="15" t="n">
        <f aca="false">F436/F439</f>
        <v>0.969631011693548</v>
      </c>
      <c r="G441" s="15" t="n">
        <f aca="false">G436/G439</f>
        <v>0.973355974802961</v>
      </c>
    </row>
    <row r="442" customFormat="false" ht="17.15" hidden="false" customHeight="false" outlineLevel="0" collapsed="false">
      <c r="A442" s="6" t="s">
        <v>505</v>
      </c>
    </row>
    <row r="443" customFormat="false" ht="17.15" hidden="false" customHeight="false" outlineLevel="0" collapsed="false">
      <c r="A443" s="4" t="s">
        <v>410</v>
      </c>
      <c r="B443" s="0" t="s">
        <v>66</v>
      </c>
      <c r="C443" s="15" t="n">
        <f aca="false">a25_gp/a25_rev</f>
        <v>0.4781</v>
      </c>
      <c r="D443" s="15" t="n">
        <f aca="false">a26_gp/a26_rev</f>
        <v>0.481700625951015</v>
      </c>
      <c r="E443" s="15" t="n">
        <f aca="false">gm_27</f>
        <v>0.47</v>
      </c>
      <c r="F443" s="15" t="n">
        <f aca="false">gm_28</f>
        <v>0.46</v>
      </c>
      <c r="G443" s="15" t="n">
        <f aca="false">gm_29</f>
        <v>0.45</v>
      </c>
      <c r="H443" s="8" t="s">
        <v>506</v>
      </c>
    </row>
    <row r="444" customFormat="false" ht="15" hidden="false" customHeight="false" outlineLevel="0" collapsed="false">
      <c r="A444" s="4" t="s">
        <v>409</v>
      </c>
      <c r="B444" s="0" t="s">
        <v>168</v>
      </c>
      <c r="C444" s="19" t="n">
        <f aca="false">C439*C443</f>
        <v>11.8769602</v>
      </c>
      <c r="D444" s="19" t="n">
        <f aca="false">D439*D443</f>
        <v>26.0600424</v>
      </c>
      <c r="E444" s="19" t="n">
        <f aca="false">E439*E443</f>
        <v>45.3278276708771</v>
      </c>
      <c r="F444" s="19" t="n">
        <f aca="false">F439*F443</f>
        <v>49.577062337639</v>
      </c>
      <c r="G444" s="19" t="n">
        <f aca="false">G439*G443</f>
        <v>60.8077095640963</v>
      </c>
    </row>
    <row r="445" customFormat="false" ht="15" hidden="false" customHeight="false" outlineLevel="0" collapsed="false">
      <c r="A445" s="4" t="s">
        <v>507</v>
      </c>
      <c r="B445" s="0" t="s">
        <v>168</v>
      </c>
      <c r="C445" s="19" t="n">
        <f aca="false">a25_opx</f>
        <v>1.02127838181818</v>
      </c>
      <c r="D445" s="19" t="n">
        <f aca="false">a26_opx</f>
        <v>3.21377711360775</v>
      </c>
      <c r="E445" s="19" t="n">
        <f aca="false">D445*(1+MAX(0,phi*E440))</f>
        <v>4.72295890690869</v>
      </c>
      <c r="F445" s="19" t="n">
        <f aca="false">E445*(1+MAX(0,phi*F440))</f>
        <v>5.05598859805248</v>
      </c>
      <c r="G445" s="19" t="n">
        <f aca="false">F445*(1+MAX(0,phi*G440))</f>
        <v>5.82586994933585</v>
      </c>
    </row>
    <row r="446" customFormat="false" ht="15" hidden="false" customHeight="false" outlineLevel="0" collapsed="false">
      <c r="A446" s="4" t="s">
        <v>508</v>
      </c>
      <c r="B446" s="0" t="s">
        <v>168</v>
      </c>
      <c r="C446" s="19" t="n">
        <f aca="false">C445</f>
        <v>1.02127838181818</v>
      </c>
      <c r="D446" s="19" t="n">
        <f aca="false">D445</f>
        <v>3.21377711360775</v>
      </c>
      <c r="E446" s="19" t="n">
        <f aca="false">E445+opx_adj_hi*E439</f>
        <v>6.65180263758431</v>
      </c>
      <c r="F446" s="19" t="n">
        <f aca="false">F445+opx_adj_hi*F439</f>
        <v>7.21151304751505</v>
      </c>
      <c r="G446" s="19" t="n">
        <f aca="false">G445+opx_adj_hi*G439</f>
        <v>8.52843481885124</v>
      </c>
    </row>
    <row r="447" customFormat="false" ht="15" hidden="false" customHeight="false" outlineLevel="0" collapsed="false">
      <c r="A447" s="4" t="s">
        <v>509</v>
      </c>
      <c r="B447" s="0" t="s">
        <v>168</v>
      </c>
      <c r="C447" s="19" t="n">
        <f aca="false">C444-C446</f>
        <v>10.8556818181818</v>
      </c>
      <c r="D447" s="19" t="n">
        <f aca="false">D444-D446</f>
        <v>22.8462652863923</v>
      </c>
      <c r="E447" s="19" t="n">
        <f aca="false">E444-E446</f>
        <v>38.6760250332928</v>
      </c>
      <c r="F447" s="19" t="n">
        <f aca="false">F444-F446</f>
        <v>42.3655492901239</v>
      </c>
      <c r="G447" s="19" t="n">
        <f aca="false">G444-G446</f>
        <v>52.2792747452451</v>
      </c>
    </row>
    <row r="448" customFormat="false" ht="15" hidden="false" customHeight="false" outlineLevel="0" collapsed="false">
      <c r="A448" s="4" t="s">
        <v>510</v>
      </c>
      <c r="B448" s="0" t="s">
        <v>66</v>
      </c>
      <c r="C448" s="15" t="n">
        <f aca="false">C447/C439</f>
        <v>0.43698904348208</v>
      </c>
      <c r="D448" s="15" t="n">
        <f aca="false">D447/D439</f>
        <v>0.422296330918406</v>
      </c>
      <c r="E448" s="15" t="n">
        <f aca="false">E447/E439</f>
        <v>0.401028081416898</v>
      </c>
      <c r="F448" s="15" t="n">
        <f aca="false">F447/F439</f>
        <v>0.393088088615157</v>
      </c>
      <c r="G448" s="15" t="n">
        <f aca="false">G447/G439</f>
        <v>0.386886363653647</v>
      </c>
    </row>
    <row r="449" customFormat="false" ht="15" hidden="false" customHeight="false" outlineLevel="0" collapsed="false">
      <c r="A449" s="4" t="s">
        <v>417</v>
      </c>
      <c r="B449" s="0" t="s">
        <v>168</v>
      </c>
      <c r="C449" s="19" t="n">
        <f aca="false">a25_ni</f>
        <v>9.532</v>
      </c>
      <c r="D449" s="19" t="n">
        <f aca="false">a26_ni</f>
        <v>20.0605180178692</v>
      </c>
      <c r="E449" s="19" t="n">
        <f aca="false">E447*(1-tx)*attr</f>
        <v>33.9600843863986</v>
      </c>
      <c r="F449" s="19" t="n">
        <f aca="false">F447*(1-tx)*attr</f>
        <v>37.1997284552963</v>
      </c>
      <c r="G449" s="19" t="n">
        <f aca="false">G447*(1-tx)*attr</f>
        <v>45.9046290429263</v>
      </c>
    </row>
    <row r="450" customFormat="false" ht="15" hidden="false" customHeight="false" outlineLevel="0" collapsed="false">
      <c r="A450" s="4" t="s">
        <v>419</v>
      </c>
      <c r="B450" s="0" t="s">
        <v>66</v>
      </c>
      <c r="C450" s="15" t="n">
        <f aca="false">C449/C439</f>
        <v>0.383705015699219</v>
      </c>
      <c r="D450" s="15" t="n">
        <f aca="false">D449/D439</f>
        <v>0.370803851267302</v>
      </c>
      <c r="E450" s="15" t="n">
        <f aca="false">E449/E439</f>
        <v>0.352128934514599</v>
      </c>
      <c r="F450" s="15" t="n">
        <f aca="false">F449/F439</f>
        <v>0.345157100533667</v>
      </c>
      <c r="G450" s="15" t="n">
        <f aca="false">G449/G439</f>
        <v>0.339711579623675</v>
      </c>
    </row>
    <row r="451" customFormat="false" ht="15" hidden="false" customHeight="false" outlineLevel="0" collapsed="false">
      <c r="A451" s="4" t="s">
        <v>511</v>
      </c>
      <c r="B451" s="4" t="s">
        <v>204</v>
      </c>
      <c r="C451" s="16" t="n">
        <f aca="false">a25_sh</f>
        <v>1.38863683662851</v>
      </c>
      <c r="D451" s="16" t="n">
        <f aca="false">a26_sh</f>
        <v>1.39284103512015</v>
      </c>
      <c r="E451" s="16" t="n">
        <f aca="false">sh_post*(1+sh_g)</f>
        <v>1.394</v>
      </c>
      <c r="F451" s="16" t="n">
        <f aca="false">E451*(1+sh_g)</f>
        <v>1.394</v>
      </c>
      <c r="G451" s="16" t="n">
        <f aca="false">F451*(1+sh_g)</f>
        <v>1.394</v>
      </c>
    </row>
    <row r="452" customFormat="false" ht="15" hidden="false" customHeight="false" outlineLevel="0" collapsed="false">
      <c r="A452" s="0" t="s">
        <v>422</v>
      </c>
      <c r="B452" s="0" t="s">
        <v>140</v>
      </c>
      <c r="C452" s="19" t="n">
        <f aca="false">C449/C451</f>
        <v>6.86428571428571</v>
      </c>
      <c r="D452" s="19" t="n">
        <f aca="false">D449/D451</f>
        <v>14.402589751485</v>
      </c>
      <c r="E452" s="19" t="n">
        <f aca="false">E449/E451</f>
        <v>24.3616100332845</v>
      </c>
      <c r="F452" s="19" t="n">
        <f aca="false">F449/F451</f>
        <v>26.6856014743876</v>
      </c>
      <c r="G452" s="19" t="n">
        <f aca="false">G449/G451</f>
        <v>32.9301499590576</v>
      </c>
    </row>
    <row r="453" customFormat="false" ht="17.15" hidden="false" customHeight="false" outlineLevel="0" collapsed="false">
      <c r="A453" s="0" t="s">
        <v>512</v>
      </c>
      <c r="B453" s="0" t="s">
        <v>66</v>
      </c>
      <c r="D453" s="15" t="n">
        <f aca="false">D452/C452-1</f>
        <v>1.09819205536722</v>
      </c>
      <c r="E453" s="15" t="n">
        <f aca="false">E452/D452-1</f>
        <v>0.691474273282879</v>
      </c>
      <c r="F453" s="15" t="n">
        <f aca="false">F452/E452-1</f>
        <v>0.0953956424853677</v>
      </c>
      <c r="G453" s="15" t="n">
        <f aca="false">G452/F452-1</f>
        <v>0.234004412104535</v>
      </c>
    </row>
    <row r="456" customFormat="false" ht="17.15" hidden="false" customHeight="false" outlineLevel="0" collapsed="false">
      <c r="A456" s="1" t="s">
        <v>860</v>
      </c>
    </row>
    <row r="457" customFormat="false" ht="17.15" hidden="false" customHeight="false" outlineLevel="0" collapsed="false">
      <c r="A457" s="5" t="s">
        <v>22</v>
      </c>
      <c r="B457" s="5" t="s">
        <v>23</v>
      </c>
      <c r="C457" s="13" t="s">
        <v>399</v>
      </c>
      <c r="D457" s="13" t="s">
        <v>468</v>
      </c>
      <c r="E457" s="13" t="s">
        <v>469</v>
      </c>
      <c r="F457" s="13" t="s">
        <v>470</v>
      </c>
      <c r="G457" s="13" t="s">
        <v>471</v>
      </c>
      <c r="H457" s="5" t="s">
        <v>405</v>
      </c>
    </row>
    <row r="458" customFormat="false" ht="17.15" hidden="false" customHeight="false" outlineLevel="0" collapsed="false">
      <c r="A458" s="6" t="s">
        <v>488</v>
      </c>
    </row>
    <row r="459" customFormat="false" ht="17.15" hidden="false" customHeight="false" outlineLevel="0" collapsed="false">
      <c r="A459" s="0" t="s">
        <v>489</v>
      </c>
      <c r="B459" s="0" t="s">
        <v>33</v>
      </c>
      <c r="D459" s="19" t="n">
        <f aca="false">mpl_26*1</f>
        <v>29.753262</v>
      </c>
      <c r="E459" s="19" t="n">
        <f aca="false">mpl_27*1*1</f>
        <v>53.560715</v>
      </c>
      <c r="F459" s="19" t="n">
        <f aca="false">mpl_28*um28_A*1</f>
        <v>57.9915</v>
      </c>
      <c r="G459" s="19" t="n">
        <f aca="false">mpl_29*um29_A*1</f>
        <v>72.9348</v>
      </c>
    </row>
    <row r="460" customFormat="false" ht="17.15" hidden="false" customHeight="false" outlineLevel="0" collapsed="false">
      <c r="A460" s="0" t="s">
        <v>490</v>
      </c>
      <c r="B460" s="0" t="s">
        <v>33</v>
      </c>
      <c r="D460" s="19" t="n">
        <f aca="false">mcp_26*1</f>
        <v>0.300538</v>
      </c>
      <c r="E460" s="19" t="n">
        <f aca="false">mcp_27*1</f>
        <v>2.818985</v>
      </c>
      <c r="F460" s="19" t="n">
        <f aca="false">mcp_28*um28_A</f>
        <v>6.4435</v>
      </c>
      <c r="G460" s="19" t="n">
        <f aca="false">mcp_29*um29_A</f>
        <v>11.74736</v>
      </c>
    </row>
    <row r="461" customFormat="false" ht="17.15" hidden="false" customHeight="false" outlineLevel="0" collapsed="false">
      <c r="A461" s="4" t="s">
        <v>491</v>
      </c>
      <c r="B461" s="0" t="s">
        <v>140</v>
      </c>
      <c r="D461" s="17" t="n">
        <f aca="false">fx</f>
        <v>6.72</v>
      </c>
      <c r="E461" s="17" t="n">
        <f aca="false">fx</f>
        <v>6.72</v>
      </c>
      <c r="F461" s="17" t="n">
        <f aca="false">fx</f>
        <v>6.72</v>
      </c>
      <c r="G461" s="17" t="n">
        <f aca="false">fx</f>
        <v>6.72</v>
      </c>
      <c r="H461" s="8" t="s">
        <v>492</v>
      </c>
    </row>
    <row r="462" customFormat="false" ht="17.15" hidden="false" customHeight="false" outlineLevel="0" collapsed="false">
      <c r="A462" s="4" t="s">
        <v>493</v>
      </c>
      <c r="B462" s="0" t="s">
        <v>66</v>
      </c>
      <c r="D462" s="15" t="n">
        <f aca="false">a26_aiu/D459</f>
        <v>0.257050026505137</v>
      </c>
      <c r="H462" s="8" t="s">
        <v>494</v>
      </c>
    </row>
    <row r="463" customFormat="false" ht="17.15" hidden="false" customHeight="false" outlineLevel="0" collapsed="false">
      <c r="A463" s="4" t="s">
        <v>495</v>
      </c>
      <c r="B463" s="0" t="s">
        <v>81</v>
      </c>
      <c r="D463" s="17" t="n">
        <f aca="false">1</f>
        <v>1</v>
      </c>
      <c r="E463" s="17" t="n">
        <f aca="false">rel_27</f>
        <v>1</v>
      </c>
      <c r="F463" s="17" t="n">
        <f aca="false">rel_28</f>
        <v>1</v>
      </c>
      <c r="G463" s="17" t="n">
        <f aca="false">rel_29</f>
        <v>0.95</v>
      </c>
    </row>
    <row r="464" customFormat="false" ht="15" hidden="false" customHeight="false" outlineLevel="0" collapsed="false">
      <c r="A464" s="4" t="s">
        <v>496</v>
      </c>
      <c r="B464" s="0" t="s">
        <v>66</v>
      </c>
      <c r="D464" s="15" t="n">
        <f aca="false">$D$462*D463</f>
        <v>0.257050026505137</v>
      </c>
      <c r="E464" s="15" t="n">
        <f aca="false">$D$462*E463</f>
        <v>0.257050026505137</v>
      </c>
      <c r="F464" s="15" t="n">
        <f aca="false">$D$462*F463</f>
        <v>0.257050026505137</v>
      </c>
      <c r="G464" s="15" t="n">
        <f aca="false">$D$462*G463</f>
        <v>0.24419752517988</v>
      </c>
    </row>
    <row r="465" customFormat="false" ht="15" hidden="false" customHeight="false" outlineLevel="0" collapsed="false">
      <c r="A465" s="4" t="s">
        <v>497</v>
      </c>
      <c r="B465" s="0" t="s">
        <v>81</v>
      </c>
      <c r="D465" s="17" t="n">
        <f aca="false">1</f>
        <v>1</v>
      </c>
      <c r="E465" s="17" t="n">
        <f aca="false">pxr_27</f>
        <v>1</v>
      </c>
      <c r="F465" s="17" t="n">
        <f aca="false">pxr_28</f>
        <v>1</v>
      </c>
      <c r="G465" s="17" t="n">
        <f aca="false">pxr_29</f>
        <v>1</v>
      </c>
    </row>
    <row r="466" customFormat="false" ht="17.15" hidden="false" customHeight="false" outlineLevel="0" collapsed="false">
      <c r="A466" s="4" t="s">
        <v>498</v>
      </c>
      <c r="B466" s="0" t="s">
        <v>66</v>
      </c>
      <c r="D466" s="15" t="n">
        <f aca="false">0</f>
        <v>0</v>
      </c>
      <c r="E466" s="15" t="n">
        <f aca="false">cpo_27</f>
        <v>0.05</v>
      </c>
      <c r="F466" s="15" t="n">
        <f aca="false">cpo_28</f>
        <v>0.1</v>
      </c>
      <c r="G466" s="15" t="n">
        <f aca="false">cpo_29</f>
        <v>0.15</v>
      </c>
    </row>
    <row r="467" customFormat="false" ht="17.15" hidden="false" customHeight="false" outlineLevel="0" collapsed="false">
      <c r="A467" s="0" t="s">
        <v>499</v>
      </c>
      <c r="B467" s="0" t="s">
        <v>33</v>
      </c>
      <c r="D467" s="19" t="n">
        <f aca="false">a26_aiu</f>
        <v>7.64807678571429</v>
      </c>
      <c r="E467" s="19" t="n">
        <f aca="false">E459*E464*E465+E460*E466</f>
        <v>13.9087324603841</v>
      </c>
      <c r="F467" s="19" t="n">
        <f aca="false">F459*F464*F465+F460*F466</f>
        <v>15.5510666120727</v>
      </c>
      <c r="G467" s="19" t="n">
        <f aca="false">G459*G464*G465+G460*G466</f>
        <v>19.5726016594895</v>
      </c>
    </row>
    <row r="468" customFormat="false" ht="17.15" hidden="false" customHeight="false" outlineLevel="0" collapsed="false">
      <c r="A468" s="0" t="s">
        <v>500</v>
      </c>
      <c r="B468" s="0" t="s">
        <v>168</v>
      </c>
      <c r="C468" s="19" t="n">
        <f aca="false">a25_ai</f>
        <v>23.5999</v>
      </c>
      <c r="D468" s="19" t="n">
        <f aca="false">D467*D461</f>
        <v>51.395076</v>
      </c>
      <c r="E468" s="19" t="n">
        <f aca="false">E467*E461</f>
        <v>93.4666821337811</v>
      </c>
      <c r="F468" s="19" t="n">
        <f aca="false">F467*F461</f>
        <v>104.503167633128</v>
      </c>
      <c r="G468" s="19" t="n">
        <f aca="false">G467*G461</f>
        <v>131.52788315177</v>
      </c>
    </row>
    <row r="469" customFormat="false" ht="17.15" hidden="false" customHeight="false" outlineLevel="0" collapsed="false">
      <c r="A469" s="6" t="s">
        <v>501</v>
      </c>
    </row>
    <row r="470" customFormat="false" ht="15" hidden="false" customHeight="false" outlineLevel="0" collapsed="false">
      <c r="A470" s="4" t="s">
        <v>502</v>
      </c>
      <c r="B470" s="0" t="s">
        <v>168</v>
      </c>
      <c r="C470" s="19" t="n">
        <f aca="false">a25_oth</f>
        <v>1.2421</v>
      </c>
      <c r="D470" s="19" t="n">
        <f aca="false">a26_oth</f>
        <v>2.705004</v>
      </c>
      <c r="E470" s="19" t="n">
        <f aca="false">D470*(1+g_oth)</f>
        <v>2.9755044</v>
      </c>
      <c r="F470" s="19" t="n">
        <f aca="false">E470*(1+g_oth)</f>
        <v>3.27305484</v>
      </c>
      <c r="G470" s="19" t="n">
        <f aca="false">F470*(1+g_oth)</f>
        <v>3.600360324</v>
      </c>
    </row>
    <row r="471" customFormat="false" ht="15" hidden="false" customHeight="false" outlineLevel="0" collapsed="false">
      <c r="A471" s="4" t="s">
        <v>406</v>
      </c>
      <c r="B471" s="0" t="s">
        <v>168</v>
      </c>
      <c r="C471" s="19" t="n">
        <f aca="false">a25_rev</f>
        <v>24.842</v>
      </c>
      <c r="D471" s="19" t="n">
        <f aca="false">D468+D470</f>
        <v>54.10008</v>
      </c>
      <c r="E471" s="19" t="n">
        <f aca="false">E468+E470</f>
        <v>96.4421865337811</v>
      </c>
      <c r="F471" s="19" t="n">
        <f aca="false">F468+F470</f>
        <v>107.776222473128</v>
      </c>
      <c r="G471" s="19" t="n">
        <f aca="false">G468+G470</f>
        <v>135.12824347577</v>
      </c>
    </row>
    <row r="472" customFormat="false" ht="15" hidden="false" customHeight="false" outlineLevel="0" collapsed="false">
      <c r="A472" s="4" t="s">
        <v>503</v>
      </c>
      <c r="B472" s="0" t="s">
        <v>66</v>
      </c>
      <c r="D472" s="15" t="n">
        <f aca="false">D471/C471-1</f>
        <v>1.17776668545206</v>
      </c>
      <c r="E472" s="15" t="n">
        <f aca="false">E471/D471-1</f>
        <v>0.782662549367415</v>
      </c>
      <c r="F472" s="15" t="n">
        <f aca="false">F471/E471-1</f>
        <v>0.117521557180551</v>
      </c>
      <c r="G472" s="15" t="n">
        <f aca="false">G471/F471-1</f>
        <v>0.253785300458652</v>
      </c>
    </row>
    <row r="473" customFormat="false" ht="17.15" hidden="false" customHeight="false" outlineLevel="0" collapsed="false">
      <c r="A473" s="0" t="s">
        <v>504</v>
      </c>
      <c r="B473" s="0" t="s">
        <v>66</v>
      </c>
      <c r="C473" s="15" t="n">
        <f aca="false">C468/C471</f>
        <v>0.95</v>
      </c>
      <c r="D473" s="15" t="n">
        <f aca="false">D468/D471</f>
        <v>0.95</v>
      </c>
      <c r="E473" s="15" t="n">
        <f aca="false">E468/E471</f>
        <v>0.969147273543433</v>
      </c>
      <c r="F473" s="15" t="n">
        <f aca="false">F468/F471</f>
        <v>0.969631011693548</v>
      </c>
      <c r="G473" s="15" t="n">
        <f aca="false">G468/G471</f>
        <v>0.973355974802961</v>
      </c>
    </row>
    <row r="474" customFormat="false" ht="17.15" hidden="false" customHeight="false" outlineLevel="0" collapsed="false">
      <c r="A474" s="6" t="s">
        <v>505</v>
      </c>
    </row>
    <row r="475" customFormat="false" ht="17.15" hidden="false" customHeight="false" outlineLevel="0" collapsed="false">
      <c r="A475" s="4" t="s">
        <v>410</v>
      </c>
      <c r="B475" s="0" t="s">
        <v>66</v>
      </c>
      <c r="C475" s="15" t="n">
        <f aca="false">a25_gp/a25_rev</f>
        <v>0.4781</v>
      </c>
      <c r="D475" s="15" t="n">
        <f aca="false">a26_gp/a26_rev</f>
        <v>0.481700625951015</v>
      </c>
      <c r="E475" s="15" t="n">
        <f aca="false">gm_27</f>
        <v>0.47</v>
      </c>
      <c r="F475" s="15" t="n">
        <f aca="false">gm_28</f>
        <v>0.46</v>
      </c>
      <c r="G475" s="15" t="n">
        <f aca="false">gm_29</f>
        <v>0.45</v>
      </c>
      <c r="H475" s="8" t="s">
        <v>506</v>
      </c>
    </row>
    <row r="476" customFormat="false" ht="15" hidden="false" customHeight="false" outlineLevel="0" collapsed="false">
      <c r="A476" s="4" t="s">
        <v>409</v>
      </c>
      <c r="B476" s="0" t="s">
        <v>168</v>
      </c>
      <c r="C476" s="19" t="n">
        <f aca="false">C471*C475</f>
        <v>11.8769602</v>
      </c>
      <c r="D476" s="19" t="n">
        <f aca="false">D471*D475</f>
        <v>26.0600424</v>
      </c>
      <c r="E476" s="19" t="n">
        <f aca="false">E471*E475</f>
        <v>45.3278276708771</v>
      </c>
      <c r="F476" s="19" t="n">
        <f aca="false">F471*F475</f>
        <v>49.577062337639</v>
      </c>
      <c r="G476" s="19" t="n">
        <f aca="false">G471*G475</f>
        <v>60.8077095640963</v>
      </c>
    </row>
    <row r="477" customFormat="false" ht="15" hidden="false" customHeight="false" outlineLevel="0" collapsed="false">
      <c r="A477" s="4" t="s">
        <v>507</v>
      </c>
      <c r="B477" s="0" t="s">
        <v>168</v>
      </c>
      <c r="C477" s="19" t="n">
        <f aca="false">a25_opx</f>
        <v>1.02127838181818</v>
      </c>
      <c r="D477" s="19" t="n">
        <f aca="false">a26_opx</f>
        <v>3.21377711360775</v>
      </c>
      <c r="E477" s="19" t="n">
        <f aca="false">D477*(1+MAX(0,phi_hi*E472))</f>
        <v>5.72908010244265</v>
      </c>
      <c r="F477" s="19" t="n">
        <f aca="false">E477*(1+MAX(0,phi_hi*F472))</f>
        <v>6.40237051729382</v>
      </c>
      <c r="G477" s="19" t="n">
        <f aca="false">F477*(1+MAX(0,phi_hi*G472))</f>
        <v>8.02719804267284</v>
      </c>
    </row>
    <row r="478" customFormat="false" ht="15" hidden="false" customHeight="false" outlineLevel="0" collapsed="false">
      <c r="A478" s="4" t="s">
        <v>508</v>
      </c>
      <c r="B478" s="0" t="s">
        <v>168</v>
      </c>
      <c r="C478" s="19" t="n">
        <f aca="false">C477</f>
        <v>1.02127838181818</v>
      </c>
      <c r="D478" s="19" t="n">
        <f aca="false">D477</f>
        <v>3.21377711360775</v>
      </c>
      <c r="E478" s="19" t="n">
        <f aca="false">E477+0*E471</f>
        <v>5.72908010244265</v>
      </c>
      <c r="F478" s="19" t="n">
        <f aca="false">F477+0*F471</f>
        <v>6.40237051729382</v>
      </c>
      <c r="G478" s="19" t="n">
        <f aca="false">G477+0*G471</f>
        <v>8.02719804267284</v>
      </c>
    </row>
    <row r="479" customFormat="false" ht="15" hidden="false" customHeight="false" outlineLevel="0" collapsed="false">
      <c r="A479" s="4" t="s">
        <v>509</v>
      </c>
      <c r="B479" s="0" t="s">
        <v>168</v>
      </c>
      <c r="C479" s="19" t="n">
        <f aca="false">C476-C478</f>
        <v>10.8556818181818</v>
      </c>
      <c r="D479" s="19" t="n">
        <f aca="false">D476-D478</f>
        <v>22.8462652863923</v>
      </c>
      <c r="E479" s="19" t="n">
        <f aca="false">E476-E478</f>
        <v>39.5987475684345</v>
      </c>
      <c r="F479" s="19" t="n">
        <f aca="false">F476-F478</f>
        <v>43.1746918203452</v>
      </c>
      <c r="G479" s="19" t="n">
        <f aca="false">G476-G478</f>
        <v>52.7805115214235</v>
      </c>
    </row>
    <row r="480" customFormat="false" ht="15" hidden="false" customHeight="false" outlineLevel="0" collapsed="false">
      <c r="A480" s="4" t="s">
        <v>510</v>
      </c>
      <c r="B480" s="0" t="s">
        <v>66</v>
      </c>
      <c r="C480" s="15" t="n">
        <f aca="false">C479/C471</f>
        <v>0.43698904348208</v>
      </c>
      <c r="D480" s="15" t="n">
        <f aca="false">D479/D471</f>
        <v>0.422296330918406</v>
      </c>
      <c r="E480" s="15" t="n">
        <f aca="false">E479/E471</f>
        <v>0.410595704967391</v>
      </c>
      <c r="F480" s="15" t="n">
        <f aca="false">F479/F471</f>
        <v>0.400595704967391</v>
      </c>
      <c r="G480" s="15" t="n">
        <f aca="false">G479/G471</f>
        <v>0.390595704967391</v>
      </c>
    </row>
    <row r="481" customFormat="false" ht="15" hidden="false" customHeight="false" outlineLevel="0" collapsed="false">
      <c r="A481" s="4" t="s">
        <v>417</v>
      </c>
      <c r="B481" s="0" t="s">
        <v>168</v>
      </c>
      <c r="C481" s="19" t="n">
        <f aca="false">a25_ni</f>
        <v>9.532</v>
      </c>
      <c r="D481" s="19" t="n">
        <f aca="false">a26_ni</f>
        <v>20.0605180178692</v>
      </c>
      <c r="E481" s="19" t="n">
        <f aca="false">E479*(1-tx)*attr</f>
        <v>34.7702952374792</v>
      </c>
      <c r="F481" s="19" t="n">
        <f aca="false">F479*(1-tx)*attr</f>
        <v>37.9102086192554</v>
      </c>
      <c r="G481" s="19" t="n">
        <f aca="false">G479*(1-tx)*attr</f>
        <v>46.3447477780324</v>
      </c>
    </row>
    <row r="482" customFormat="false" ht="15" hidden="false" customHeight="false" outlineLevel="0" collapsed="false">
      <c r="A482" s="4" t="s">
        <v>419</v>
      </c>
      <c r="B482" s="0" t="s">
        <v>66</v>
      </c>
      <c r="C482" s="15" t="n">
        <f aca="false">C481/C471</f>
        <v>0.383705015699219</v>
      </c>
      <c r="D482" s="15" t="n">
        <f aca="false">D481/D471</f>
        <v>0.370803851267302</v>
      </c>
      <c r="E482" s="15" t="n">
        <f aca="false">E481/E471</f>
        <v>0.360529934950201</v>
      </c>
      <c r="F482" s="15" t="n">
        <f aca="false">F481/F471</f>
        <v>0.35174927965867</v>
      </c>
      <c r="G482" s="15" t="n">
        <f aca="false">G481/G471</f>
        <v>0.342968624367138</v>
      </c>
    </row>
    <row r="483" customFormat="false" ht="15" hidden="false" customHeight="false" outlineLevel="0" collapsed="false">
      <c r="A483" s="4" t="s">
        <v>511</v>
      </c>
      <c r="B483" s="4" t="s">
        <v>204</v>
      </c>
      <c r="C483" s="16" t="n">
        <f aca="false">a25_sh</f>
        <v>1.38863683662851</v>
      </c>
      <c r="D483" s="16" t="n">
        <f aca="false">a26_sh</f>
        <v>1.39284103512015</v>
      </c>
      <c r="E483" s="16" t="n">
        <f aca="false">sh_post*(1+sh_g)</f>
        <v>1.394</v>
      </c>
      <c r="F483" s="16" t="n">
        <f aca="false">E483*(1+sh_g)</f>
        <v>1.394</v>
      </c>
      <c r="G483" s="16" t="n">
        <f aca="false">F483*(1+sh_g)</f>
        <v>1.394</v>
      </c>
    </row>
    <row r="484" customFormat="false" ht="15" hidden="false" customHeight="false" outlineLevel="0" collapsed="false">
      <c r="A484" s="0" t="s">
        <v>422</v>
      </c>
      <c r="B484" s="0" t="s">
        <v>140</v>
      </c>
      <c r="C484" s="19" t="n">
        <f aca="false">C481/C483</f>
        <v>6.86428571428571</v>
      </c>
      <c r="D484" s="19" t="n">
        <f aca="false">D481/D483</f>
        <v>14.402589751485</v>
      </c>
      <c r="E484" s="19" t="n">
        <f aca="false">E481/E483</f>
        <v>24.9428229824098</v>
      </c>
      <c r="F484" s="19" t="n">
        <f aca="false">F481/F483</f>
        <v>27.1952716063525</v>
      </c>
      <c r="G484" s="19" t="n">
        <f aca="false">G481/G483</f>
        <v>33.2458735853891</v>
      </c>
    </row>
    <row r="485" customFormat="false" ht="17.15" hidden="false" customHeight="false" outlineLevel="0" collapsed="false">
      <c r="A485" s="0" t="s">
        <v>512</v>
      </c>
      <c r="B485" s="0" t="s">
        <v>66</v>
      </c>
      <c r="D485" s="15" t="n">
        <f aca="false">D484/C484-1</f>
        <v>1.09819205536722</v>
      </c>
      <c r="E485" s="15" t="n">
        <f aca="false">E484/D484-1</f>
        <v>0.731829026084568</v>
      </c>
      <c r="F485" s="15" t="n">
        <f aca="false">F484/E484-1</f>
        <v>0.0903044785881362</v>
      </c>
      <c r="G485" s="15" t="n">
        <f aca="false">G484/F484-1</f>
        <v>0.222487278914445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861</v>
      </c>
    </row>
    <row r="2" customFormat="false" ht="17.15" hidden="false" customHeight="false" outlineLevel="0" collapsed="false">
      <c r="A2" s="4" t="s">
        <v>862</v>
      </c>
      <c r="B2" s="0" t="s">
        <v>863</v>
      </c>
    </row>
    <row r="3" customFormat="false" ht="17.15" hidden="false" customHeight="false" outlineLevel="0" collapsed="false">
      <c r="A3" s="4" t="s">
        <v>864</v>
      </c>
      <c r="B3" s="0" t="s">
        <v>865</v>
      </c>
    </row>
    <row r="4" customFormat="false" ht="17.15" hidden="false" customHeight="false" outlineLevel="0" collapsed="false">
      <c r="A4" s="4" t="s">
        <v>866</v>
      </c>
      <c r="B4" s="0" t="s">
        <v>867</v>
      </c>
    </row>
    <row r="5" customFormat="false" ht="17.15" hidden="false" customHeight="false" outlineLevel="0" collapsed="false">
      <c r="A5" s="4" t="s">
        <v>868</v>
      </c>
      <c r="B5" s="0" t="s">
        <v>869</v>
      </c>
    </row>
    <row r="6" customFormat="false" ht="17.15" hidden="false" customHeight="false" outlineLevel="0" collapsed="false">
      <c r="A6" s="4" t="s">
        <v>870</v>
      </c>
      <c r="B6" s="0" t="s">
        <v>871</v>
      </c>
    </row>
    <row r="7" customFormat="false" ht="17.15" hidden="false" customHeight="false" outlineLevel="0" collapsed="false">
      <c r="A7" s="4" t="s">
        <v>872</v>
      </c>
      <c r="B7" s="0" t="s">
        <v>873</v>
      </c>
    </row>
    <row r="8" customFormat="false" ht="17.15" hidden="false" customHeight="false" outlineLevel="0" collapsed="false">
      <c r="A8" s="4" t="s">
        <v>874</v>
      </c>
      <c r="B8" s="0" t="s">
        <v>875</v>
      </c>
    </row>
    <row r="9" customFormat="false" ht="17.15" hidden="false" customHeight="false" outlineLevel="0" collapsed="false">
      <c r="A9" s="4" t="s">
        <v>876</v>
      </c>
      <c r="B9" s="0" t="s">
        <v>877</v>
      </c>
    </row>
    <row r="10" customFormat="false" ht="17.15" hidden="false" customHeight="false" outlineLevel="0" collapsed="false">
      <c r="A10" s="4" t="s">
        <v>878</v>
      </c>
      <c r="B10" s="0" t="s">
        <v>879</v>
      </c>
    </row>
    <row r="11" customFormat="false" ht="17.15" hidden="false" customHeight="false" outlineLevel="0" collapsed="false">
      <c r="A11" s="4" t="s">
        <v>880</v>
      </c>
      <c r="B11" s="0" t="s">
        <v>881</v>
      </c>
    </row>
    <row r="12" customFormat="false" ht="17.15" hidden="false" customHeight="false" outlineLevel="0" collapsed="false">
      <c r="A12" s="4" t="s">
        <v>882</v>
      </c>
      <c r="B12" s="0" t="s">
        <v>883</v>
      </c>
    </row>
    <row r="13" customFormat="false" ht="17.15" hidden="false" customHeight="false" outlineLevel="0" collapsed="false">
      <c r="A13" s="4" t="s">
        <v>884</v>
      </c>
      <c r="B13" s="0" t="s">
        <v>885</v>
      </c>
    </row>
    <row r="14" customFormat="false" ht="17.15" hidden="false" customHeight="false" outlineLevel="0" collapsed="false">
      <c r="A14" s="4" t="s">
        <v>886</v>
      </c>
      <c r="B14" s="0" t="s">
        <v>887</v>
      </c>
    </row>
    <row r="15" customFormat="false" ht="17.15" hidden="false" customHeight="false" outlineLevel="0" collapsed="false">
      <c r="A15" s="4" t="s">
        <v>888</v>
      </c>
      <c r="B15" s="0" t="s">
        <v>889</v>
      </c>
    </row>
    <row r="16" customFormat="false" ht="17.15" hidden="false" customHeight="false" outlineLevel="0" collapsed="false">
      <c r="A16" s="4" t="s">
        <v>890</v>
      </c>
      <c r="B16" s="0" t="s">
        <v>891</v>
      </c>
    </row>
    <row r="17" customFormat="false" ht="17.15" hidden="false" customHeight="false" outlineLevel="0" collapsed="false">
      <c r="A17" s="4" t="s">
        <v>892</v>
      </c>
      <c r="B17" s="0" t="s">
        <v>893</v>
      </c>
    </row>
    <row r="18" customFormat="false" ht="17.15" hidden="false" customHeight="false" outlineLevel="0" collapsed="false">
      <c r="A18" s="4" t="s">
        <v>894</v>
      </c>
      <c r="B18" s="0" t="s">
        <v>895</v>
      </c>
    </row>
    <row r="19" customFormat="false" ht="17.15" hidden="false" customHeight="false" outlineLevel="0" collapsed="false">
      <c r="A19" s="4" t="s">
        <v>896</v>
      </c>
      <c r="B19" s="0" t="s">
        <v>897</v>
      </c>
    </row>
    <row r="20" customFormat="false" ht="17.15" hidden="false" customHeight="false" outlineLevel="0" collapsed="false">
      <c r="A20" s="4" t="s">
        <v>898</v>
      </c>
      <c r="B20" s="0" t="s">
        <v>899</v>
      </c>
    </row>
    <row r="21" customFormat="false" ht="17.15" hidden="false" customHeight="false" outlineLevel="0" collapsed="false">
      <c r="A21" s="4" t="s">
        <v>900</v>
      </c>
      <c r="B21" s="0" t="s">
        <v>901</v>
      </c>
    </row>
    <row r="22" customFormat="false" ht="17.15" hidden="false" customHeight="false" outlineLevel="0" collapsed="false">
      <c r="A22" s="4" t="s">
        <v>902</v>
      </c>
    </row>
    <row r="23" customFormat="false" ht="17.15" hidden="false" customHeight="false" outlineLevel="0" collapsed="false">
      <c r="A23" s="4" t="s">
        <v>903</v>
      </c>
      <c r="B23" s="4" t="s">
        <v>904</v>
      </c>
    </row>
    <row r="24" customFormat="false" ht="15" hidden="false" customHeight="false" outlineLevel="0" collapsed="false">
      <c r="A24" s="0" t="s">
        <v>905</v>
      </c>
      <c r="B24" s="4" t="s">
        <v>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2026-10-29T07:24:52Z</dcterms:created>
  <dc:creator>openpyxl</dc:creator>
  <dc:description/>
  <dc:language>en-US</dc:language>
  <cp:lastModifiedBy/>
  <dcterms:modified xsi:type="dcterms:W3CDTF">2026-10-29T07:24:53Z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