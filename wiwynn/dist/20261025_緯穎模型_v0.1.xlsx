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dj" vbProcedure="false">In!$E$52</definedName>
    <definedName function="false" hidden="false" name="ais_25" vbProcedure="false">In!$E$43</definedName>
    <definedName function="false" hidden="false" name="ais_25_hi" vbProcedure="false">In!$F$43</definedName>
    <definedName function="false" hidden="false" name="ais_25_lo" vbProcedure="false">In!$D$43</definedName>
    <definedName function="false" hidden="false" name="ais_26" vbProcedure="false">In!$E$44</definedName>
    <definedName function="false" hidden="false" name="ais_26_hi" vbProcedure="false">In!$F$44</definedName>
    <definedName function="false" hidden="false" name="ais_26_lo" vbProcedure="false">In!$D$44</definedName>
    <definedName function="false" hidden="false" name="asic_mix" vbProcedure="false">In!$E$34</definedName>
    <definedName function="false" hidden="false" name="asic_mix_hi" vbProcedure="false">In!$F$34</definedName>
    <definedName function="false" hidden="false" name="asic_mix_lo" vbProcedure="false">In!$D$34</definedName>
    <definedName function="false" hidden="false" name="b_eps26" vbProcedure="false">In!$E$67</definedName>
    <definedName function="false" hidden="false" name="b_eps27" vbProcedure="false">In!$E$69</definedName>
    <definedName function="false" hidden="false" name="b_gm27" vbProcedure="false">In!$E$70</definedName>
    <definedName function="false" hidden="false" name="b_rev26" vbProcedure="false">In!$E$66</definedName>
    <definedName function="false" hidden="false" name="b_rev27" vbProcedure="false">In!$E$68</definedName>
    <definedName function="false" hidden="false" name="cons_feps" vbProcedure="false">In!$E$83</definedName>
    <definedName function="false" hidden="false" name="cons_tp" vbProcedure="false">In!$E$84</definedName>
    <definedName function="false" hidden="false" name="cons_tp_hi" vbProcedure="false">In!$F$84</definedName>
    <definedName function="false" hidden="false" name="cons_tp_lo" vbProcedure="false">In!$D$84</definedName>
    <definedName function="false" hidden="false" name="cs_27" vbProcedure="false">In!$E$38</definedName>
    <definedName function="false" hidden="false" name="cs_27_hi" vbProcedure="false">In!$F$38</definedName>
    <definedName function="false" hidden="false" name="cs_27_lo" vbProcedure="false">In!$D$38</definedName>
    <definedName function="false" hidden="false" name="cs_28" vbProcedure="false">In!$E$39</definedName>
    <definedName function="false" hidden="false" name="cs_28_hi" vbProcedure="false">In!$F$39</definedName>
    <definedName function="false" hidden="false" name="cs_28_lo" vbProcedure="false">In!$D$39</definedName>
    <definedName function="false" hidden="false" name="cs_29" vbProcedure="false">In!$E$40</definedName>
    <definedName function="false" hidden="false" name="cs_29_hi" vbProcedure="false">In!$F$40</definedName>
    <definedName function="false" hidden="false" name="cs_29_lo" vbProcedure="false">In!$D$40</definedName>
    <definedName function="false" hidden="false" name="c_eps26" vbProcedure="false">In!$E$76</definedName>
    <definedName function="false" hidden="false" name="c_eps27" vbProcedure="false">In!$E$77</definedName>
    <definedName function="false" hidden="false" name="c_eps28" vbProcedure="false">In!$E$78</definedName>
    <definedName function="false" hidden="false" name="c_ni26" vbProcedure="false">In!$E$73</definedName>
    <definedName function="false" hidden="false" name="c_ni27" vbProcedure="false">In!$E$74</definedName>
    <definedName function="false" hidden="false" name="c_ni28" vbProcedure="false">In!$E$75</definedName>
    <definedName function="false" hidden="false" name="c_rev26" vbProcedure="false">In!$E$71</definedName>
    <definedName function="false" hidden="false" name="c_rev27" vbProcedure="false">In!$E$72</definedName>
    <definedName function="false" hidden="false" name="d_ai" vbProcedure="false">In!$E$49</definedName>
    <definedName function="false" hidden="false" name="d_ai_hi" vbProcedure="false">In!$F$49</definedName>
    <definedName function="false" hidden="false" name="d_ai_lo" vbProcedure="false">In!$D$49</definedName>
    <definedName function="false" hidden="false" name="fade_gA" vbProcedure="false">In!$E$94</definedName>
    <definedName function="false" hidden="false" name="fade_gB" vbProcedure="false">In!$E$95</definedName>
    <definedName function="false" hidden="false" name="fade_gC" vbProcedure="false">In!$E$96</definedName>
    <definedName function="false" hidden="false" name="fade_mA" vbProcedure="false">In!$E$97</definedName>
    <definedName function="false" hidden="false" name="fade_mB" vbProcedure="false">In!$E$98</definedName>
    <definedName function="false" hidden="false" name="fade_mC" vbProcedure="false">In!$E$99</definedName>
    <definedName function="false" hidden="false" name="fpe" vbProcedure="false">In!$E$82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_nai27" vbProcedure="false">In!$E$45</definedName>
    <definedName function="false" hidden="false" name="g_nai27_hi" vbProcedure="false">In!$F$45</definedName>
    <definedName function="false" hidden="false" name="g_nai27_lo" vbProcedure="false">In!$D$45</definedName>
    <definedName function="false" hidden="false" name="g_nai28" vbProcedure="false">In!$E$46</definedName>
    <definedName function="false" hidden="false" name="g_nai28_hi" vbProcedure="false">In!$F$46</definedName>
    <definedName function="false" hidden="false" name="g_nai28_lo" vbProcedure="false">In!$D$46</definedName>
    <definedName function="false" hidden="false" name="g_nai29" vbProcedure="false">In!$E$47</definedName>
    <definedName function="false" hidden="false" name="g_nai29_hi" vbProcedure="false">In!$F$47</definedName>
    <definedName function="false" hidden="false" name="g_nai29_lo" vbProcedure="false">In!$D$47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In!$E$41</definedName>
    <definedName function="false" hidden="false" name="keep_hi" vbProcedure="false">In!$F$41</definedName>
    <definedName function="false" hidden="false" name="keep_lo" vbProcedure="false">In!$D$41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nim10" vbProcedure="false">In!$E$85</definedName>
    <definedName function="false" hidden="false" name="nio_f" vbProcedure="false">In!$E$62</definedName>
    <definedName function="false" hidden="false" name="nio_f_hi" vbProcedure="false">In!$F$62</definedName>
    <definedName function="false" hidden="false" name="nio_f_lo" vbProcedure="false">In!$D$62</definedName>
    <definedName function="false" hidden="false" name="odm_gb" vbProcedure="false">In!$E$30</definedName>
    <definedName function="false" hidden="false" name="odm_gb_hi" vbProcedure="false">In!$F$30</definedName>
    <definedName function="false" hidden="false" name="odm_gb_lo" vbProcedure="false">In!$D$30</definedName>
    <definedName function="false" hidden="false" name="odm_vr" vbProcedure="false">In!$E$31</definedName>
    <definedName function="false" hidden="false" name="odm_vr_hi" vbProcedure="false">In!$F$31</definedName>
    <definedName function="false" hidden="false" name="odm_vr_lo" vbProcedure="false">In!$D$31</definedName>
    <definedName function="false" hidden="false" name="opx_adj" vbProcedure="false">In!$E$61</definedName>
    <definedName function="false" hidden="false" name="opx_adj_hi" vbProcedure="false">In!$F$61</definedName>
    <definedName function="false" hidden="false" name="opx_adj_lo" vbProcedure="false">In!$D$61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In!$E$81</definedName>
    <definedName function="false" hidden="false" name="phi" vbProcedure="false">In!$E$60</definedName>
    <definedName function="false" hidden="false" name="phi_hi" vbProcedure="false">In!$F$60</definedName>
    <definedName function="false" hidden="false" name="phi_lo" vbProcedure="false">In!$D$60</definedName>
    <definedName function="false" hidden="false" name="px" vbProcedure="false">In!$E$80</definedName>
    <definedName function="false" hidden="false" name="q3_rev" vbProcedure="false">In!$E$53</definedName>
    <definedName function="false" hidden="false" name="q4g" vbProcedure="false">In!$E$54</definedName>
    <definedName function="false" hidden="false" name="q4g_hi" vbProcedure="false">In!$F$54</definedName>
    <definedName function="false" hidden="false" name="q4g_lo" vbProcedure="false">In!$D$54</definedName>
    <definedName function="false" hidden="false" name="q_gm" vbProcedure="false">In!$E$55</definedName>
    <definedName function="false" hidden="false" name="q_gm_hi" vbProcedure="false">In!$F$55</definedName>
    <definedName function="false" hidden="false" name="q_gm_lo" vbProcedure="false">In!$D$55</definedName>
    <definedName function="false" hidden="false" name="q_nio" vbProcedure="false">In!$E$57</definedName>
    <definedName function="false" hidden="false" name="q_nio_hi" vbProcedure="false">In!$F$57</definedName>
    <definedName function="false" hidden="false" name="q_nio_lo" vbProcedure="false">In!$D$57</definedName>
    <definedName function="false" hidden="false" name="q_opx" vbProcedure="false">In!$E$56</definedName>
    <definedName function="false" hidden="false" name="q_opx_hi" vbProcedure="false">In!$F$56</definedName>
    <definedName function="false" hidden="false" name="q_opx_lo" vbProcedure="false">In!$D$56</definedName>
    <definedName function="false" hidden="false" name="q_sh" vbProcedure="false">In!$E$58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In!$E$35</definedName>
    <definedName function="false" hidden="false" name="rel_27_hi" vbProcedure="false">In!$F$35</definedName>
    <definedName function="false" hidden="false" name="rel_27_lo" vbProcedure="false">In!$D$35</definedName>
    <definedName function="false" hidden="false" name="rel_28" vbProcedure="false">In!$E$36</definedName>
    <definedName function="false" hidden="false" name="rel_28_hi" vbProcedure="false">In!$F$36</definedName>
    <definedName function="false" hidden="false" name="rel_28_lo" vbProcedure="false">In!$D$36</definedName>
    <definedName function="false" hidden="false" name="rel_29" vbProcedure="false">In!$E$37</definedName>
    <definedName function="false" hidden="false" name="rel_29_hi" vbProcedure="false">In!$F$37</definedName>
    <definedName function="false" hidden="false" name="rel_29_lo" vbProcedure="false">In!$D$37</definedName>
    <definedName function="false" hidden="false" name="sh_g" vbProcedure="false">In!$E$63</definedName>
    <definedName function="false" hidden="false" name="sh_g_hi" vbProcedure="false">In!$F$63</definedName>
    <definedName function="false" hidden="false" name="sh_g_lo" vbProcedure="false">In!$D$63</definedName>
    <definedName function="false" hidden="false" name="tp_g" vbProcedure="false">In!$E$91</definedName>
    <definedName function="false" hidden="false" name="tp_r" vbProcedure="false">In!$E$90</definedName>
    <definedName function="false" hidden="false" name="tp_roe" vbProcedure="false">In!$E$92</definedName>
    <definedName function="false" hidden="false" name="tp_wA" vbProcedure="false">In!$E$87</definedName>
    <definedName function="false" hidden="false" name="tp_wB" vbProcedure="false">In!$E$88</definedName>
    <definedName function="false" hidden="false" name="tp_wC" vbProcedure="false">In!$E$89</definedName>
    <definedName function="false" hidden="false" name="tp_w_dcf" vbProcedure="false">In!$E$93</definedName>
    <definedName function="false" hidden="false" name="ua_26" vbProcedure="false">In!$E$21</definedName>
    <definedName function="false" hidden="false" name="ua_27" vbProcedure="false">In!$E$22</definedName>
    <definedName function="false" hidden="false" name="ua_28" vbProcedure="false">In!$E$23</definedName>
    <definedName function="false" hidden="false" name="ua_29" vbProcedure="false">In!$E$24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t_26" vbProcedure="false">In!$E$25</definedName>
    <definedName function="false" hidden="false" name="ut_27" vbProcedure="false">In!$E$26</definedName>
    <definedName function="false" hidden="false" name="ut_28" vbProcedure="false">In!$E$27</definedName>
    <definedName function="false" hidden="false" name="ut_29" vbProcedure="false">In!$E$28</definedName>
    <definedName function="false" hidden="false" name="vpg_28" vbProcedure="false">In!$E$32</definedName>
    <definedName function="false" hidden="false" name="vpg_28_hi" vbProcedure="false">In!$F$32</definedName>
    <definedName function="false" hidden="false" name="vpg_28_lo" vbProcedure="false">In!$D$32</definedName>
    <definedName function="false" hidden="false" name="vpg_29" vbProcedure="false">In!$E$33</definedName>
    <definedName function="false" hidden="false" name="vpg_29_hi" vbProcedure="false">In!$F$33</definedName>
    <definedName function="false" hidden="false" name="vpg_29_lo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In!$E$50</definedName>
    <definedName function="false" hidden="false" name="vrd_hi" vbProcedure="false">In!$F$50</definedName>
    <definedName function="false" hidden="false" name="vrd_lo" vbProcedure="false">In!$D$50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<sst xmlns="http://schemas.openxmlformats.org/spreadsheetml/2006/main" count="3093" uniqueCount="800">
  <si>
    <r>
      <rPr>
        <b val="true"/>
        <sz val="11"/>
        <rFont val="Noto Sans CJK SC"/>
        <family val="2"/>
      </rPr>
      <t xml:space="preserve">緯穎科技（</t>
    </r>
    <r>
      <rPr>
        <b val="true"/>
        <sz val="11"/>
        <rFont val="Cambria"/>
        <family val="0"/>
        <charset val="1"/>
      </rPr>
      <t xml:space="preserve">6669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</si>
  <si>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（初版）。緯穎是雲端客戶（</t>
    </r>
    <r>
      <rPr>
        <sz val="11"/>
        <rFont val="Cambria"/>
        <family val="0"/>
        <charset val="1"/>
      </rPr>
      <t xml:space="preserve">AWS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Microsoft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</t>
    </r>
    <r>
      <rPr>
        <sz val="11"/>
        <rFont val="Noto Sans CJK SC"/>
        <family val="2"/>
      </rPr>
      <t xml:space="preserve">）的伺服器 </t>
    </r>
    <r>
      <rPr>
        <sz val="11"/>
        <rFont val="Cambria"/>
        <family val="0"/>
        <charset val="1"/>
      </rPr>
      <t xml:space="preserve">ODM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伺服器約九成是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機架（</t>
    </r>
    <r>
      <rPr>
        <sz val="11"/>
        <rFont val="Cambria"/>
        <family val="0"/>
        <charset val="1"/>
      </rPr>
      <t xml:space="preserve">Trainium </t>
    </r>
    <r>
      <rPr>
        <sz val="11"/>
        <rFont val="Noto Sans CJK SC"/>
        <family val="2"/>
      </rPr>
      <t xml:space="preserve">為主），另一半營收是通用伺服器。組裝市場與 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條），本模型只決定緯穎的份額、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傾斜、客供與通用伺服器。</t>
    </r>
  </si>
  <si>
    <r>
      <rPr>
        <sz val="11"/>
        <rFont val="Noto Sans CJK SC"/>
        <family val="2"/>
      </rPr>
      <t xml:space="preserve">模型命題：緯穎的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ODM </t>
    </r>
    <r>
      <rPr>
        <sz val="11"/>
        <rFont val="Noto Sans CJK SC"/>
        <family val="2"/>
      </rPr>
      <t xml:space="preserve">整櫃價值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傾斜係數（客戶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顆數相對全部加速器的成長）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客供比例）；通用伺服器另以成長率推。毛利率約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，高於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整櫃組裝廠，因為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機架不含轉手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</si>
  <si>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核心問題：客戶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MTIA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Maia</t>
    </r>
    <r>
      <rPr>
        <sz val="11"/>
        <rFont val="Noto Sans CJK SC"/>
        <family val="2"/>
      </rPr>
      <t xml:space="preserve">）放量能不能讓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翻倍以上、同時守住約 </t>
    </r>
    <r>
      <rPr>
        <sz val="11"/>
        <rFont val="Cambria"/>
        <family val="0"/>
        <charset val="1"/>
      </rPr>
      <t xml:space="preserve">8% </t>
    </r>
    <r>
      <rPr>
        <sz val="11"/>
        <rFont val="Noto Sans CJK SC"/>
        <family val="2"/>
      </rPr>
      <t xml:space="preserve">毛利率；除權後約 </t>
    </r>
    <r>
      <rPr>
        <sz val="11"/>
        <rFont val="Cambria"/>
        <family val="0"/>
        <charset val="1"/>
      </rPr>
      <t xml:space="preserve">1,840 </t>
    </r>
    <r>
      <rPr>
        <sz val="11"/>
        <rFont val="Noto Sans CJK SC"/>
        <family val="2"/>
      </rPr>
      <t xml:space="preserve">元、約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</si>
  <si>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，不平移。金額：十億新台幣；整櫃價格與市場以美元計、以匯率換算。口徑：歸屬母公司淨利。</t>
    </r>
    <r>
      <rPr>
        <sz val="11"/>
        <rFont val="Cambria"/>
        <family val="0"/>
        <charset val="1"/>
      </rPr>
      <t xml:space="preserve">2026-09-02 </t>
    </r>
    <r>
      <rPr>
        <sz val="11"/>
        <rFont val="Noto Sans CJK SC"/>
        <family val="2"/>
      </rPr>
      <t xml:space="preserve">除權（每股配約 </t>
    </r>
    <r>
      <rPr>
        <sz val="11"/>
        <rFont val="Cambria"/>
        <family val="0"/>
        <charset val="1"/>
      </rPr>
      <t xml:space="preserve">1.98 </t>
    </r>
    <r>
      <rPr>
        <sz val="11"/>
        <rFont val="Noto Sans CJK SC"/>
        <family val="2"/>
      </rPr>
      <t xml:space="preserve">股）：所有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與股數為除權還原後（除權前 </t>
    </r>
    <r>
      <rPr>
        <sz val="11"/>
        <rFont val="Cambria"/>
        <family val="0"/>
        <charset val="1"/>
      </rPr>
      <t xml:space="preserve">EPS ÷ 2.9828</t>
    </r>
    <r>
      <rPr>
        <sz val="11"/>
        <rFont val="Noto Sans CJK SC"/>
        <family val="2"/>
      </rPr>
      <t xml:space="preserve">），現價為除權後價格；年底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不受除權影響。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</si>
  <si>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</si>
  <si>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ASIC </t>
    </r>
    <r>
      <rPr>
        <sz val="11"/>
        <rFont val="Noto Sans CJK SC"/>
        <family val="2"/>
      </rPr>
      <t xml:space="preserve">傾斜係數（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</si>
  <si>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通用伺服器：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伺服器（毛額基礎）比通用低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起再加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機櫃稀釋 </t>
    </r>
    <r>
      <rPr>
        <sz val="11"/>
        <rFont val="Cambria"/>
        <family val="0"/>
        <charset val="1"/>
      </rPr>
      <t xml:space="preserve">vrd</t>
    </r>
    <r>
      <rPr>
        <sz val="11"/>
        <rFont val="Noto Sans CJK SC"/>
        <family val="2"/>
      </rPr>
      <t xml:space="preserve">；通用毛利率為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淨利係數（業外與稅前未找到）。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</si>
  <si>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</si>
  <si>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目標價（廣達、緯創、鴻海、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Celestica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</si>
  <si>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</si>
  <si>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未使用。公司原文只經財報摘要與新聞；券商與資料商為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</si>
  <si>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ASIC </t>
    </r>
    <r>
      <rPr>
        <sz val="11"/>
        <rFont val="Noto Sans CJK SC"/>
        <family val="2"/>
      </rPr>
      <t xml:space="preserve">傾斜係數用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成品的「</t>
    </r>
    <r>
      <rPr>
        <sz val="11"/>
        <rFont val="Cambria"/>
        <family val="0"/>
        <charset val="1"/>
      </rPr>
      <t xml:space="preserve">Trainium</t>
    </r>
    <r>
      <rPr>
        <sz val="11"/>
        <rFont val="Noto Sans CJK SC"/>
        <family val="2"/>
      </rPr>
      <t xml:space="preserve">＋其他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」顆數，「其他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」含華為 </t>
    </r>
    <r>
      <rPr>
        <sz val="11"/>
        <rFont val="Cambria"/>
        <family val="0"/>
        <charset val="1"/>
      </rPr>
      <t xml:space="preserve">Ascend</t>
    </r>
    <r>
      <rPr>
        <sz val="11"/>
        <rFont val="Noto Sans CJK SC"/>
        <family val="2"/>
      </rPr>
      <t xml:space="preserve">（非緯穎客戶）；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價值假設與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整櫃相同；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份額相對值與客供比例是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客戶集中：前三大客戶約 </t>
    </r>
    <r>
      <rPr>
        <sz val="11"/>
        <rFont val="Cambria"/>
        <family val="0"/>
        <charset val="1"/>
      </rPr>
      <t xml:space="preserve">96%</t>
    </r>
    <r>
      <rPr>
        <sz val="11"/>
        <rFont val="Noto Sans CJK SC"/>
        <family val="2"/>
      </rPr>
      <t xml:space="preserve">（凱基，標籤順序不明），單一客戶轉單風險未建；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業外與稅前利益未找到；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2019–2025 </t>
    </r>
    <r>
      <rPr>
        <sz val="11"/>
        <rFont val="Noto Sans CJK SC"/>
        <family val="2"/>
      </rPr>
      <t xml:space="preserve">七年；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由共識淨利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除權後股數推得；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</si>
  <si>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與股數皆為除權還原後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</si>
  <si>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未使用。公司原文＝緯穎財報與法說（經優分析、理財周刊、口袋學堂摘要）、月營收公告；公司的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</si>
  <si>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</si>
  <si>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</si>
  <si>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</si>
  <si>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</si>
  <si>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</si>
  <si>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</si>
  <si>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</si>
  <si>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</si>
  <si>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</si>
  <si>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</si>
  <si>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</si>
  <si>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</si>
  <si>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</si>
  <si>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</si>
  <si>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</si>
  <si>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</si>
  <si>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</si>
  <si>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</si>
  <si>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</si>
  <si>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</si>
  <si>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</si>
  <si>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</si>
  <si>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</si>
  <si>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</si>
  <si>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</si>
  <si>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</si>
  <si>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</si>
  <si>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</si>
  <si>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</si>
  <si>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</si>
  <si>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</si>
  <si>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</si>
  <si>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</si>
  <si>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</si>
  <si>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</si>
  <si>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</si>
  <si>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</si>
  <si>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</si>
  <si>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</si>
  <si>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</si>
  <si>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</si>
  <si>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</si>
  <si>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</si>
  <si>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</si>
  <si>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</si>
  <si>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</si>
  <si>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</si>
  <si>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＝不如預期（明顯下修）；與台積電、廣達、鴻海模型相同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</si>
  <si>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</si>
  <si>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</si>
  <si>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</si>
  <si>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</si>
  <si>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</si>
  <si>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</si>
  <si>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</si>
  <si>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</si>
  <si>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</si>
  <si>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</si>
  <si>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</si>
  <si>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</si>
  <si>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</si>
  <si>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</si>
  <si>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</si>
  <si>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</si>
  <si>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</si>
  <si>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</si>
  <si>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</si>
  <si>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與廣達、鴻海模型相同</t>
  </si>
  <si>
    <t xml:space="preserve">ua_26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</si>
  <si>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</si>
  <si>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</si>
  <si>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</si>
  <si>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等）」；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不含（非緯穎主要客戶）；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</si>
  <si>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ua_27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</si>
  <si>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</si>
  <si>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」含華為 </t>
    </r>
    <r>
      <rPr>
        <sz val="11"/>
        <color theme="1"/>
        <rFont val="Calibri"/>
        <family val="2"/>
        <charset val="1"/>
      </rPr>
      <t xml:space="preserve">Ascend</t>
    </r>
    <r>
      <rPr>
        <sz val="11"/>
        <color theme="1"/>
        <rFont val="Noto Sans CJK SC"/>
        <family val="2"/>
      </rPr>
      <t xml:space="preserve">，非緯穎客戶（限制）</t>
    </r>
  </si>
  <si>
    <t xml:space="preserve">ua_28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</si>
  <si>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</si>
  <si>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ua_29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</si>
  <si>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</si>
  <si>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</si>
  <si>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</si>
  <si>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八類加速器合計（與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模型同口徑）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</si>
  <si>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</si>
  <si>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</si>
  <si>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</si>
  <si>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</si>
  <si>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</si>
  <si>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</si>
  <si>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組裝價格（讀廣達模型，唯讀）、緯穎份額、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比重與客供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</si>
  <si>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</si>
  <si>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</si>
  <si>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</si>
  <si>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</si>
  <si>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（法人）；本模型不另訂；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</si>
  <si>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</si>
  <si>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</si>
  <si>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</si>
  <si>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</si>
  <si>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</si>
  <si>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</si>
  <si>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</si>
  <si>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</si>
  <si>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</si>
  <si>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</si>
  <si>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asic_mix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</si>
  <si>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</si>
  <si>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Interested-party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</si>
  <si>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</si>
  <si>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（凱基）</t>
    </r>
  </si>
  <si>
    <t xml:space="preserve">rel_27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</si>
  <si>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（相對值，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</si>
  <si>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</si>
  <si>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新一代氣冷、液冷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伺服器放量；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量產（高盛）</t>
    </r>
  </si>
  <si>
    <t xml:space="preserve">rel_28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</si>
  <si>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</si>
  <si>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</si>
  <si>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</si>
  <si>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</si>
  <si>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</si>
  <si>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</si>
  <si>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毛額價值中改為客戶供料、不計營收的比例）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</si>
  <si>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財報）：自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月起部分客戶記憶體改代採購，不計營收與成本（公司）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</si>
  <si>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AMD Helios </t>
    </r>
    <r>
      <rPr>
        <sz val="11"/>
        <color theme="1"/>
        <rFont val="Noto Sans CJK SC"/>
        <family val="2"/>
      </rPr>
      <t xml:space="preserve">機櫃的客供條件仍在協商（凱基）；量化：未找到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</si>
  <si>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</si>
  <si>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</si>
  <si>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機櫃為主）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</si>
  <si>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</si>
  <si>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</si>
  <si>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同上；廣達模型 </t>
    </r>
    <r>
      <rPr>
        <sz val="11"/>
        <color theme="1"/>
        <rFont val="Calibri"/>
        <family val="2"/>
        <charset val="1"/>
      </rPr>
      <t xml:space="preserve">25%</t>
    </r>
  </si>
  <si>
    <t xml:space="preserve">keep</t>
  </si>
  <si>
    <t xml:space="preserve">客供部分保留的毛利比例（相對買賣模式）</t>
  </si>
  <si>
    <r>
      <rPr>
        <sz val="11"/>
        <color theme="1"/>
        <rFont val="Noto Sans CJK SC"/>
        <family val="2"/>
      </rPr>
      <t xml:space="preserve">公司：代採購使營收與成本同步減少（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</si>
  <si>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t xml:space="preserve">與廣達模型同值；量化：未找到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</si>
  <si>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</si>
  <si>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</si>
  <si>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</si>
  <si>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約占五成，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與通用伺服器各半（公司）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</si>
  <si>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2025 52%</t>
    </r>
    <r>
      <rPr>
        <sz val="11"/>
        <color theme="1"/>
        <rFont val="Noto Sans CJK SC"/>
        <family val="2"/>
      </rPr>
      <t xml:space="preserve">（凱基）</t>
    </r>
  </si>
  <si>
    <t xml:space="preserve">ais_26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</si>
  <si>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</si>
  <si>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</si>
  <si>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</si>
  <si>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t xml:space="preserve">g_nai27</t>
  </si>
  <si>
    <r>
      <rPr>
        <sz val="11"/>
        <color theme="1"/>
        <rFont val="Noto Sans CJK SC"/>
        <family val="2"/>
      </rPr>
      <t xml:space="preserve">通用伺服器（非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</si>
  <si>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（高盛）：北美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通用伺服器需求強、</t>
    </r>
    <r>
      <rPr>
        <sz val="11"/>
        <color theme="1"/>
        <rFont val="Calibri"/>
        <family val="2"/>
        <charset val="1"/>
      </rPr>
      <t xml:space="preserve">Agentic AI </t>
    </r>
    <r>
      <rPr>
        <sz val="11"/>
        <color theme="1"/>
        <rFont val="Noto Sans CJK SC"/>
        <family val="2"/>
      </rPr>
      <t xml:space="preserve">帶動（高盛）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</si>
  <si>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：記憶體代採購使通用伺服器營收縮小（理財周刊）</t>
    </r>
  </si>
  <si>
    <t xml:space="preserve">g_nai28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</si>
  <si>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</si>
  <si>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</si>
  <si>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通用伺服器年增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</si>
  <si>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</si>
  <si>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</si>
  <si>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伺服器毛利率（毛額基礎）減通用伺服器毛利率</t>
    </r>
  </si>
  <si>
    <t xml:space="preserve">pt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</si>
  <si>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比重上升，毛利率變化不大（公司）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</si>
  <si>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報告：毛利率 </t>
    </r>
    <r>
      <rPr>
        <sz val="11"/>
        <color theme="1"/>
        <rFont val="Calibri"/>
        <family val="2"/>
        <charset val="1"/>
      </rPr>
      <t xml:space="preserve">2026F 7.9% → 2027F 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46% → 61%</t>
    </r>
    <r>
      <rPr>
        <sz val="11"/>
        <color theme="1"/>
        <rFont val="Noto Sans CJK SC"/>
        <family val="2"/>
      </rPr>
      <t xml:space="preserve">）；部門別毛利率：未找到</t>
    </r>
  </si>
  <si>
    <t xml:space="preserve">vrd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</si>
  <si>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毛利率（毛額基礎）變動（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機櫃比重上升）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</si>
  <si>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，毛利率較低（公司：先前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專案拉低毛利率，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</si>
  <si>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</si>
  <si>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</si>
  <si>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adj</t>
  </si>
  <si>
    <r>
      <rPr>
        <sz val="11"/>
        <color theme="1"/>
        <rFont val="Noto Sans CJK SC"/>
        <family val="2"/>
      </rPr>
      <t xml:space="preserve">除權還原係數（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＋每股配股數）</t>
    </r>
  </si>
  <si>
    <t xml:space="preserve">Verified</t>
  </si>
  <si>
    <r>
      <rPr>
        <sz val="11"/>
        <color theme="1"/>
        <rFont val="Noto Sans CJK SC"/>
        <family val="2"/>
      </rPr>
      <t xml:space="preserve">口袋學堂（除權）：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除權，每股配發 </t>
    </r>
    <r>
      <rPr>
        <sz val="11"/>
        <color theme="1"/>
        <rFont val="Calibri"/>
        <family val="2"/>
        <charset val="1"/>
      </rPr>
      <t xml:space="preserve">1.98279460 </t>
    </r>
    <r>
      <rPr>
        <sz val="11"/>
        <color theme="1"/>
        <rFont val="Noto Sans CJK SC"/>
        <family val="2"/>
      </rPr>
      <t xml:space="preserve">股，參考價 </t>
    </r>
    <r>
      <rPr>
        <sz val="11"/>
        <color theme="1"/>
        <rFont val="Calibri"/>
        <family val="2"/>
        <charset val="1"/>
      </rPr>
      <t xml:space="preserve">7,800 ÷ 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2,615</t>
    </r>
  </si>
  <si>
    <r>
      <rPr>
        <sz val="11"/>
        <color theme="1"/>
        <rFont val="Noto Sans CJK SC"/>
        <family val="2"/>
      </rPr>
      <t xml:space="preserve">數位時代（除權）：每千股配 </t>
    </r>
    <r>
      <rPr>
        <sz val="11"/>
        <color theme="1"/>
        <rFont val="Calibri"/>
        <family val="2"/>
        <charset val="1"/>
      </rPr>
      <t xml:space="preserve">1,982.7946 </t>
    </r>
    <r>
      <rPr>
        <sz val="11"/>
        <color theme="1"/>
        <rFont val="Noto Sans CJK SC"/>
        <family val="2"/>
      </rPr>
      <t xml:space="preserve">股（可轉債轉換使配股率調整）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</si>
  <si>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</si>
  <si>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</si>
  <si>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</si>
  <si>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4,346.18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56.25%</t>
    </r>
    <r>
      <rPr>
        <sz val="11"/>
        <color theme="1"/>
        <rFont val="Noto Sans CJK SC"/>
        <family val="2"/>
      </rPr>
      <t xml:space="preserve">；前三季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</si>
  <si>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1,176.86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1,443.12</t>
    </r>
    <r>
      <rPr>
        <sz val="11"/>
        <color theme="1"/>
        <rFont val="Noto Sans CJK SC"/>
        <family val="2"/>
      </rPr>
      <t xml:space="preserve">，理財周刊）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</si>
  <si>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</si>
  <si>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</si>
  <si>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機櫃季底出貨（公司）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</si>
  <si>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月單月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5,179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）；凱基 </t>
    </r>
    <r>
      <rPr>
        <sz val="11"/>
        <color theme="1"/>
        <rFont val="Calibri"/>
        <family val="2"/>
        <charset val="1"/>
      </rPr>
      <t xml:space="preserve">07-28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估值為基）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</si>
  <si>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</si>
  <si>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</si>
  <si>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（公司說明）：下半年毛利率變化不大，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貢獻待觀察（公司）；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</si>
  <si>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4Q26F 7.4%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</si>
  <si>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</si>
  <si>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</si>
  <si>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1.62%</t>
    </r>
    <r>
      <rPr>
        <sz val="11"/>
        <color theme="1"/>
        <rFont val="Noto Sans CJK SC"/>
        <family val="2"/>
      </rPr>
      <t xml:space="preserve">（公司毛利率與營益率推得）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</si>
  <si>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3Q26F 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8.2% − 6.8%</t>
    </r>
    <r>
      <rPr>
        <sz val="11"/>
        <color theme="1"/>
        <rFont val="Noto Sans CJK SC"/>
        <family val="2"/>
      </rPr>
      <t xml:space="preserve">）</t>
    </r>
  </si>
  <si>
    <t xml:space="preserve">q_nio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</si>
  <si>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</si>
  <si>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1H26 290.84 ÷ 376.8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511.18 ÷ 639.18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0.800</t>
    </r>
    <r>
      <rPr>
        <sz val="11"/>
        <color theme="1"/>
        <rFont val="Noto Sans CJK SC"/>
        <family val="2"/>
      </rPr>
      <t xml:space="preserve">（公司）</t>
    </r>
  </si>
  <si>
    <t xml:space="preserve">業外與稅前利益：未找到（摘要未列）</t>
  </si>
  <si>
    <t xml:space="preserve">q_sh</t>
  </si>
  <si>
    <r>
      <rPr>
        <sz val="11"/>
        <color theme="1"/>
        <rFont val="Noto Sans CJK SC"/>
        <family val="2"/>
      </rPr>
      <t xml:space="preserve">除權後股數（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</si>
  <si>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</si>
  <si>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557.36 </t>
    </r>
    <r>
      <rPr>
        <sz val="11"/>
        <color theme="1"/>
        <rFont val="Noto Sans CJK SC"/>
        <family val="2"/>
      </rPr>
      <t xml:space="preserve">百萬股（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</si>
  <si>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0.1861 ×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0.5551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</si>
  <si>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</si>
  <si>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</si>
  <si>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</si>
  <si>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，含美國廠與研發擴編）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</si>
  <si>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FY2025 1.53%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</si>
  <si>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</si>
  <si>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</si>
  <si>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</si>
  <si>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±3%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</si>
  <si>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</si>
  <si>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</si>
  <si>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0.772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0.800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</si>
  <si>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低值：銀行聯貸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億美元與可轉債使利息費用上升（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</si>
  <si>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</si>
  <si>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</si>
  <si>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財報）：董事會通過發行國內無擔保可轉債上限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億元（公司）</t>
    </r>
  </si>
  <si>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（轉換價：未找到）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</si>
  <si>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</si>
  <si>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</si>
  <si>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</si>
  <si>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</si>
  <si>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券商、共識（只作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對帳，不作校準；除權前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已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還原係數）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</si>
  <si>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</si>
  <si>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</si>
  <si>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</t>
    </r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</si>
  <si>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</si>
  <si>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（還原）</t>
    </r>
  </si>
  <si>
    <t xml:space="preserve">NT$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</si>
  <si>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370.69</t>
    </r>
    <r>
      <rPr>
        <sz val="11"/>
        <color theme="1"/>
        <rFont val="Noto Sans CJK SC"/>
        <family val="2"/>
      </rPr>
      <t xml:space="preserve">（除權前）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</si>
  <si>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</si>
  <si>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</si>
  <si>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FY2027F 1,442</t>
    </r>
    <r>
      <rPr>
        <sz val="11"/>
        <color theme="1"/>
        <rFont val="Noto Sans CJK SC"/>
        <family val="2"/>
      </rPr>
      <t xml:space="preserve">（凱基）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</si>
  <si>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</si>
  <si>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</si>
  <si>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566.42</t>
    </r>
    <r>
      <rPr>
        <sz val="11"/>
        <color theme="1"/>
        <rFont val="Noto Sans CJK SC"/>
        <family val="2"/>
      </rPr>
      <t xml:space="preserve">（除權前）</t>
    </r>
  </si>
  <si>
    <t xml:space="preserve">b_gm27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</si>
  <si>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</si>
  <si>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5.8%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</si>
  <si>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</si>
  <si>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</si>
  <si>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</si>
  <si>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1,304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</si>
  <si>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</si>
  <si>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</si>
  <si>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1,943</t>
    </r>
  </si>
  <si>
    <t xml:space="preserve">c_ni26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</si>
  <si>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</si>
  <si>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</si>
  <si>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</si>
  <si>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c_ni28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</si>
  <si>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</si>
  <si>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</si>
  <si>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（還原；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</si>
  <si>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估計由 </t>
    </r>
    <r>
      <rPr>
        <sz val="11"/>
        <color theme="1"/>
        <rFont val="Calibri"/>
        <family val="2"/>
        <charset val="1"/>
      </rPr>
      <t xml:space="preserve">123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</si>
  <si>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（除權前，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位；數位時代）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121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</si>
  <si>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</si>
  <si>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</si>
  <si>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÷ 557.36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</si>
  <si>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463.51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155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</si>
  <si>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</si>
  <si>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（還原；共識淨利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</si>
  <si>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FactSet 06-15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534.87</t>
    </r>
    <r>
      <rPr>
        <sz val="11"/>
        <color theme="1"/>
        <rFont val="Noto Sans CJK SC"/>
        <family val="2"/>
      </rPr>
      <t xml:space="preserve">（除權前）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≈ </t>
    </r>
    <r>
      <rPr>
        <sz val="11"/>
        <color theme="1"/>
        <rFont val="Calibri"/>
        <family val="2"/>
        <charset val="1"/>
      </rPr>
      <t xml:space="preserve">179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</si>
  <si>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</si>
  <si>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</si>
  <si>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收盤，除權後）</t>
    </r>
  </si>
  <si>
    <r>
      <rPr>
        <sz val="11"/>
        <color theme="1"/>
        <rFont val="Noto Sans CJK SC"/>
        <family val="2"/>
      </rPr>
      <t xml:space="preserve">聚財網（</t>
    </r>
    <r>
      <rPr>
        <sz val="11"/>
        <color theme="1"/>
        <rFont val="Calibri"/>
        <family val="2"/>
        <charset val="1"/>
      </rPr>
      <t xml:space="preserve">wearn</t>
    </r>
    <r>
      <rPr>
        <sz val="11"/>
        <color theme="1"/>
        <rFont val="Noto Sans CJK SC"/>
        <family val="2"/>
      </rPr>
      <t xml:space="preserve">）日線：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（開 </t>
    </r>
    <r>
      <rPr>
        <sz val="11"/>
        <color theme="1"/>
        <rFont val="Calibri"/>
        <family val="2"/>
        <charset val="1"/>
      </rPr>
      <t xml:space="preserve">1,940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1,830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</si>
  <si>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1,840</t>
    </r>
    <r>
      <rPr>
        <sz val="11"/>
        <color theme="1"/>
        <rFont val="Noto Sans CJK SC"/>
        <family val="2"/>
      </rPr>
      <t xml:space="preserve">；除權前 </t>
    </r>
    <r>
      <rPr>
        <sz val="11"/>
        <color theme="1"/>
        <rFont val="Calibri"/>
        <family val="2"/>
        <charset val="1"/>
      </rPr>
      <t xml:space="preserve">9-01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9-02 </t>
    </r>
    <r>
      <rPr>
        <sz val="11"/>
        <color theme="1"/>
        <rFont val="Noto Sans CJK SC"/>
        <family val="2"/>
      </rPr>
      <t xml:space="preserve">除權參考價 </t>
    </r>
    <r>
      <rPr>
        <sz val="11"/>
        <color theme="1"/>
        <rFont val="Calibri"/>
        <family val="2"/>
        <charset val="1"/>
      </rPr>
      <t xml:space="preserve">2,615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</si>
  <si>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</si>
  <si>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</si>
  <si>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</si>
  <si>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r>
      <rPr>
        <sz val="11"/>
        <color theme="1"/>
        <rFont val="Calibri"/>
        <family val="2"/>
        <charset val="1"/>
      </rPr>
      <t xml:space="preserve">companiesmarketcap 5.74</t>
    </r>
    <r>
      <rPr>
        <sz val="11"/>
        <color theme="1"/>
        <rFont val="Noto Sans CJK SC"/>
        <family val="2"/>
      </rPr>
      <t xml:space="preserve">（未還原除權，不採用）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</si>
  <si>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</si>
  <si>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</si>
  <si>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</si>
  <si>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1,880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</si>
  <si>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11.73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</si>
  <si>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</si>
  <si>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</si>
  <si>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市場共識目標價（賣方平均，除權後）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</si>
  <si>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（高盛）、最低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</si>
  <si>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3,060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10-20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2,821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</si>
  <si>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</si>
  <si>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，稅後淨利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</si>
  <si>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經營績效：各年營收與稅後淨利（億元；</t>
    </r>
    <r>
      <rPr>
        <sz val="11"/>
        <color theme="1"/>
        <rFont val="Calibri"/>
        <family val="2"/>
        <charset val="1"/>
      </rPr>
      <t xml:space="preserve">2016 317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3.11 … 2025 9,507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</si>
  <si>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950,663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51,118 </t>
    </r>
    <r>
      <rPr>
        <sz val="11"/>
        <color theme="1"/>
        <rFont val="Noto Sans CJK SC"/>
        <family val="2"/>
      </rPr>
      <t xml:space="preserve">百萬元（同）；</t>
    </r>
    <r>
      <rPr>
        <sz val="11"/>
        <color theme="1"/>
        <rFont val="Calibri"/>
        <family val="2"/>
        <charset val="1"/>
      </rPr>
      <t xml:space="preserve">2016–2017 </t>
    </r>
    <r>
      <rPr>
        <sz val="11"/>
        <color theme="1"/>
        <rFont val="Noto Sans CJK SC"/>
        <family val="2"/>
      </rPr>
      <t xml:space="preserve">為初期低利潤率年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</si>
  <si>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</si>
  <si>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</si>
  <si>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</si>
  <si>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</si>
  <si>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</si>
  <si>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</si>
  <si>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</si>
  <si>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</si>
  <si>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</si>
  <si>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</si>
  <si>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</si>
  <si>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</si>
  <si>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</si>
  <si>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</si>
  <si>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</si>
  <si>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</si>
  <si>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</si>
  <si>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</si>
  <si>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</si>
  <si>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ROE FY2023 29.7%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34.9%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48%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</si>
  <si>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51.08%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</si>
  <si>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</si>
  <si>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</si>
  <si>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</si>
  <si>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</si>
  <si>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</si>
  <si>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</si>
  <si>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</si>
  <si>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</si>
  <si>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</si>
  <si>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</si>
  <si>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</si>
  <si>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</si>
  <si>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</si>
  <si>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</si>
  <si>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</si>
  <si>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</si>
  <si>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</si>
  <si>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</si>
  <si>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</si>
  <si>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</si>
  <si>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為新台幣、除權還原後；股數為十億股、除權還原後）。藍字＝輸入；黑字＝公式。實績取自緯穎財報摘要與月營收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</si>
  <si>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毛利與營業利益由公司揭露的毛利率、營益率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還原：除權前 </t>
    </r>
    <r>
      <rPr>
        <sz val="11"/>
        <color theme="1"/>
        <rFont val="Calibri"/>
        <family val="2"/>
        <charset val="1"/>
      </rPr>
      <t xml:space="preserve">EPS ÷ 2.9828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除權）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</si>
  <si>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</si>
  <si>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</si>
  <si>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</si>
  <si>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</si>
  <si>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</si>
  <si>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</si>
  <si>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</si>
  <si>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</si>
  <si>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（公司年報數字）；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財報）</t>
    </r>
  </si>
  <si>
    <r>
      <rPr>
        <sz val="11"/>
        <color theme="1"/>
        <rFont val="Calibri"/>
        <family val="2"/>
        <charset val="1"/>
      </rPr>
      <t xml:space="preserve">1Q26 2,765.08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2,781.53 </t>
    </r>
    <r>
      <rPr>
        <sz val="11"/>
        <color theme="1"/>
        <rFont val="Noto Sans CJK SC"/>
        <family val="2"/>
      </rPr>
      <t xml:space="preserve">億（公司）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</si>
  <si>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</si>
  <si>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</si>
  <si>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208.81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9.26%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</si>
  <si>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</si>
  <si>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</si>
  <si>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</si>
  <si>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9,507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8.25%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511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275.06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</si>
  <si>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</si>
  <si>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</si>
  <si>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174.58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7.27%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</si>
  <si>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</si>
  <si>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</si>
  <si>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</si>
  <si>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2Q26 149.69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1Q26 141.15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</si>
  <si>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</si>
  <si>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t xml:space="preserve">股數（十億股，除權還原後）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</si>
  <si>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除權前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還原係數；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＝半年加權（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兩季、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各一季）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</si>
  <si>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（除權還原後）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</si>
  <si>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</si>
  <si>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（除權前）</t>
    </r>
  </si>
  <si>
    <r>
      <rPr>
        <sz val="11"/>
        <color theme="1"/>
        <rFont val="Calibri"/>
        <family val="2"/>
        <charset val="1"/>
      </rPr>
      <t xml:space="preserve">2Q26 80.43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75.95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頁同）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</si>
  <si>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還原係數</t>
    </r>
  </si>
  <si>
    <r>
      <rPr>
        <sz val="11"/>
        <color theme="1"/>
        <rFont val="Noto Sans CJK SC"/>
        <family val="2"/>
      </rPr>
      <t xml:space="preserve">應等於第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</si>
  <si>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</si>
  <si>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</si>
  <si>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</si>
  <si>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</si>
  <si>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通用伺服器與其他（非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</si>
  <si>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</si>
  <si>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</si>
  <si>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</si>
  <si>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</si>
  <si>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Simply Wall St 10-22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</si>
  <si>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共識（還原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</si>
  <si>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年增（隱含）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</si>
  <si>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公司揭露還原（應約為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</si>
  <si>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伺服器組裝市場（讀廣達模型口徑）、緯穎份額、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</si>
  <si>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</si>
  <si>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</si>
  <si>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</si>
  <si>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</si>
  <si>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</si>
  <si>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</si>
  <si>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</si>
  <si>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</si>
  <si>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</si>
  <si>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t xml:space="preserve">與廣達、鴻海模型同口徑</t>
  </si>
  <si>
    <r>
      <rPr>
        <sz val="11"/>
        <color theme="1"/>
        <rFont val="Noto Sans CJK SC"/>
        <family val="2"/>
      </rPr>
      <t xml:space="preserve">緯穎客戶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</si>
  <si>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</si>
  <si>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</si>
  <si>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</si>
  <si>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90% × </t>
    </r>
    <r>
      <rPr>
        <sz val="11"/>
        <color theme="1"/>
        <rFont val="Noto Sans CJK SC"/>
        <family val="2"/>
      </rPr>
      <t xml:space="preserve">相對顆數指數＋</t>
    </r>
    <r>
      <rPr>
        <sz val="11"/>
        <color theme="1"/>
        <rFont val="Calibri"/>
        <family val="2"/>
        <charset val="1"/>
      </rPr>
      <t xml:space="preserve">10%</t>
    </r>
  </si>
  <si>
    <t xml:space="preserve">緯穎有效份額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</si>
  <si>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</t>
    </r>
  </si>
  <si>
    <t xml:space="preserve">對照：廣達有效份額（廣達模型）</t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</si>
  <si>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</si>
  <si>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</t>
    </r>
  </si>
  <si>
    <t xml:space="preserve">買賣模式下的營收</t>
  </si>
  <si>
    <t xml:space="preserve">客供比例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</si>
  <si>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</si>
  <si>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</si>
  <si>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</si>
  <si>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t xml:space="preserve">US$B/GW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</si>
  <si>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</si>
  <si>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客供上升 → 毛利率上升</t>
  </si>
  <si>
    <r>
      <rPr>
        <b val="true"/>
        <sz val="11"/>
        <rFont val="Noto Sans CJK SC"/>
        <family val="2"/>
      </rPr>
      <t xml:space="preserve">讀法：緯穎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伺服器約九成是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機架（</t>
    </r>
    <r>
      <rPr>
        <b val="true"/>
        <sz val="11"/>
        <rFont val="Cambria"/>
        <family val="0"/>
        <charset val="1"/>
      </rPr>
      <t xml:space="preserve">AWS Trainium </t>
    </r>
    <r>
      <rPr>
        <b val="true"/>
        <sz val="11"/>
        <rFont val="Noto Sans CJK SC"/>
        <family val="2"/>
      </rPr>
      <t xml:space="preserve">為主，另有 </t>
    </r>
    <r>
      <rPr>
        <b val="true"/>
        <sz val="11"/>
        <rFont val="Cambria"/>
        <family val="0"/>
        <charset val="1"/>
      </rPr>
      <t xml:space="preserve">Meta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自研晶片），所以份額隨「客戶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全部加速器顆數」上升；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有效份額只有約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，因為分母是全部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組裝市場（含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整櫃、</t>
    </r>
    <r>
      <rPr>
        <b val="true"/>
        <sz val="11"/>
        <rFont val="Cambria"/>
        <family val="0"/>
        <charset val="1"/>
      </rPr>
      <t xml:space="preserve">Google TPU </t>
    </r>
    <r>
      <rPr>
        <b val="true"/>
        <sz val="11"/>
        <rFont val="Noto Sans CJK SC"/>
        <family val="2"/>
      </rPr>
      <t xml:space="preserve">與其他組裝廠）。份額相對值與客供比例是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</si>
  <si>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緯穎損益（十億新台幣；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新台幣、除權還原後；歸屬母公司）。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</si>
  <si>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</si>
  <si>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</si>
  <si>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</si>
  <si>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</si>
  <si>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</si>
  <si>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</si>
  <si>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</si>
  <si>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</si>
  <si>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</si>
  <si>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</si>
  <si>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</si>
  <si>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</si>
  <si>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通用伺服器與其他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</si>
  <si>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</si>
  <si>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</si>
  <si>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</si>
  <si>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</si>
  <si>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</si>
  <si>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</si>
  <si>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</si>
  <si>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</si>
  <si>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</si>
  <si>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</si>
  <si>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</si>
  <si>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</si>
  <si>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</si>
  <si>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</si>
  <si>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</si>
  <si>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整櫃價值（廣達模型口徑）</t>
    </r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</si>
  <si>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價值假設相同（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</si>
  <si>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</si>
  <si>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</si>
  <si>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sz val="11"/>
        <color theme="1"/>
        <rFont val="Noto Sans CJK SC"/>
        <family val="2"/>
      </rPr>
      <t xml:space="preserve">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</si>
  <si>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與其他組裝廠）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</si>
  <si>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</si>
  <si>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 ＝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ASIC </t>
    </r>
    <r>
      <rPr>
        <sz val="11"/>
        <color theme="1"/>
        <rFont val="Noto Sans CJK SC"/>
        <family val="2"/>
      </rPr>
      <t xml:space="preserve">比重）</t>
    </r>
  </si>
  <si>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成長快於全部加速器時，緯穎占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組裝市場的份額上升；情境係數對兩者相同、互相抵銷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</si>
  <si>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伺服器毛額價值（買賣模式下的營收）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</si>
  <si>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的記憶體代採購已含在錨點與校準份額內，記為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</si>
  <si>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</si>
  <si>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通用伺服器與合計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</si>
  <si>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</si>
  <si>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</si>
  <si>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</si>
  <si>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</si>
  <si>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通用伺服器毛利率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</si>
  <si>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毛利率（毛額基礎）＝通用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差距（差距為負）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</si>
  <si>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 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</si>
  <si>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r>
      <rPr>
        <sz val="11"/>
        <color theme="1"/>
        <rFont val="Noto Sans CJK SC"/>
        <family val="2"/>
      </rPr>
      <t xml:space="preserve">客供部分不計營收，但大部分毛利金額保留（</t>
    </r>
    <r>
      <rPr>
        <sz val="11"/>
        <color theme="1"/>
        <rFont val="Calibri"/>
        <family val="2"/>
        <charset val="1"/>
      </rPr>
      <t xml:space="preserve">keep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機櫃稀釋 </t>
    </r>
    <r>
      <rPr>
        <sz val="11"/>
        <color theme="1"/>
        <rFont val="Calibri"/>
        <family val="2"/>
        <charset val="1"/>
      </rPr>
      <t xml:space="preserve">vrd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</si>
  <si>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伺服器毛利率（營收基礎）</t>
    </r>
  </si>
  <si>
    <t xml:space="preserve">客供比例上升 → 營收基礎毛利率上升</t>
  </si>
  <si>
    <t xml:space="preserve">營業費用（基準路徑）</t>
  </si>
  <si>
    <t xml:space="preserve">股數（除權還原後）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</si>
  <si>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</si>
  <si>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</si>
  <si>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</si>
  <si>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</si>
  <si>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估值（新台幣，除權後）。結論用「現價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</si>
  <si>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循環位置：緯穎不是設備股，不套設備市場見頂年；以本模型營收最高的會計年度為見頂年（比照廣達、鴻海；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</si>
  <si>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</si>
  <si>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</si>
  <si>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</si>
  <si>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</si>
  <si>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</si>
  <si>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</si>
  <si>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頁各情境（除權還原後）；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</si>
  <si>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</si>
  <si>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</si>
  <si>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</si>
  <si>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</si>
  <si>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</si>
  <si>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</si>
  <si>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</si>
  <si>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</si>
  <si>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</si>
  <si>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</si>
  <si>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</si>
  <si>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</si>
  <si>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</si>
  <si>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</si>
  <si>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</si>
  <si>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</si>
  <si>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</si>
  <si>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</si>
  <si>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</si>
  <si>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</si>
  <si>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</si>
  <si>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</si>
  <si>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</si>
  <si>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</si>
  <si>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</si>
  <si>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</si>
  <si>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</si>
  <si>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</si>
  <si>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</si>
  <si>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Super Micro Computer</t>
  </si>
  <si>
    <t xml:space="preserve">SMCI</t>
  </si>
  <si>
    <t xml:space="preserve">2026-10-23</t>
  </si>
  <si>
    <t xml:space="preserve">Celestica</t>
  </si>
  <si>
    <t xml:space="preserve">CLS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</si>
  <si>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</si>
  <si>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雲端伺服器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EMS </t>
    </r>
    <r>
      <rPr>
        <sz val="11"/>
        <color theme="1"/>
        <rFont val="Noto Sans CJK SC"/>
        <family val="2"/>
      </rPr>
      <t xml:space="preserve">同業：廣達、緯創、鴻海、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</si>
  <si>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</si>
  <si>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</si>
  <si>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</si>
  <si>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</si>
  <si>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</si>
  <si>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</si>
  <si>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</si>
  <si>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</si>
  <si>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</si>
  <si>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</si>
  <si>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2,845.66</t>
    </r>
    <r>
      <rPr>
        <sz val="11"/>
        <color theme="1"/>
        <rFont val="Noto Sans CJK SC"/>
        <family val="2"/>
      </rPr>
      <t xml:space="preserve">（最高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2,262.98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aktien.guide 20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3,060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</si>
  <si>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</si>
  <si>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</si>
  <si>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</si>
  <si>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</si>
  <si>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</si>
  <si>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</si>
  <si>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</si>
  <si>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</si>
  <si>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</si>
  <si>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</si>
  <si>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</si>
  <si>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：股東現金流＝除權還原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37.5%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明確期＋永續；組裝廠資本支出低於淨利（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億美元），未改用淨利＋折舊－資本支出。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：廣達、緯創、鴻海、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股；英業達的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價格停在 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，未列入）；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倍數低（會計與毛利率疑慮）、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與網通），中位數為廣達。偏誤：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起只有收斂法，淨利率高於十年平均時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偏高估；客戶集中（前三大約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）未在折現率反映。情境對應：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</si>
  <si>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</si>
  <si>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</si>
  <si>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</si>
  <si>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</si>
  <si>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</si>
  <si>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</si>
  <si>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</si>
  <si>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</si>
  <si>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</si>
  <si>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</si>
  <si>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</si>
  <si>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</si>
  <si>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</si>
  <si>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</si>
  <si>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</si>
  <si>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</si>
  <si>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</si>
  <si>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</si>
  <si>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</si>
  <si>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</si>
  <si>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</si>
  <si>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</si>
  <si>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</si>
  <si>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</si>
  <si>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</si>
  <si>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</si>
  <si>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</si>
  <si>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</si>
  <si>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</si>
  <si>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</si>
  <si>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</si>
  <si>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</si>
  <si>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</si>
  <si>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</si>
  <si>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</si>
  <si>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年上市，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無市價）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</si>
  <si>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</si>
  <si>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</si>
  <si>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</si>
  <si>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Goodinfo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</si>
  <si>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</si>
  <si>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</si>
  <si>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</si>
  <si>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</si>
  <si>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</si>
  <si>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</si>
  <si>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</si>
  <si>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</si>
  <si>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</si>
  <si>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</si>
  <si>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</si>
  <si>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</si>
  <si>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依循環位置取分位，兩個來源分別取分位再平均。緯穎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年上市，只有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2019–2025</t>
    </r>
    <r>
      <rPr>
        <sz val="11"/>
        <color theme="1"/>
        <rFont val="Noto Sans CJK SC"/>
        <family val="2"/>
      </rPr>
      <t xml:space="preserve">）。兩來源相差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可能用近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低谷時 </t>
    </r>
    <r>
      <rPr>
        <sz val="11"/>
        <color theme="1"/>
        <rFont val="Calibri"/>
        <family val="2"/>
        <charset val="1"/>
      </rPr>
      <t xml:space="preserve">P/E 25–26x</t>
    </r>
    <r>
      <rPr>
        <sz val="11"/>
        <color theme="1"/>
        <rFont val="Noto Sans CJK SC"/>
        <family val="2"/>
      </rPr>
      <t xml:space="preserve">，偏高。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</si>
  <si>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</si>
  <si>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</si>
  <si>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</si>
  <si>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</si>
  <si>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2017–2018 </t>
    </r>
    <r>
      <rPr>
        <sz val="11"/>
        <color theme="1"/>
        <rFont val="Noto Sans CJK SC"/>
        <family val="2"/>
      </rPr>
      <t xml:space="preserve">為上市前數字，不採用）；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；除權前價格與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，比值不受除權影響）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</si>
  <si>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</si>
  <si>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</si>
  <si>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</si>
  <si>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</si>
  <si>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</si>
  <si>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</si>
  <si>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</si>
  <si>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</si>
  <si>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</si>
  <si>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</si>
  <si>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</si>
  <si>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</si>
  <si>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</si>
  <si>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</si>
  <si>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</si>
  <si>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</si>
  <si>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</si>
  <si>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</si>
  <si>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</si>
  <si>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</si>
  <si>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</si>
  <si>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</si>
  <si>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</si>
  <si>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</si>
  <si>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券商估計、共識與份額口徑。只作事後對照，不為對上數字而調參數。除權前的券商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還原係數 </t>
    </r>
    <r>
      <rPr>
        <sz val="11"/>
        <color theme="1"/>
        <rFont val="Calibri"/>
        <family val="2"/>
        <charset val="1"/>
      </rPr>
      <t xml:space="preserve">2.9828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</si>
  <si>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</si>
  <si>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</si>
  <si>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</si>
  <si>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</si>
  <si>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</si>
  <si>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</si>
  <si>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</si>
  <si>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</si>
  <si>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</si>
  <si>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</si>
  <si>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</si>
  <si>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共識（還原）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</si>
  <si>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10-20 </t>
    </r>
    <r>
      <rPr>
        <sz val="11"/>
        <color theme="1"/>
        <rFont val="Noto Sans CJK SC"/>
        <family val="2"/>
      </rPr>
      <t xml:space="preserve">上修至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</si>
  <si>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 09-02 </t>
    </r>
    <r>
      <rPr>
        <sz val="11"/>
        <color theme="1"/>
        <rFont val="Noto Sans CJK SC"/>
        <family val="2"/>
      </rPr>
      <t xml:space="preserve">中位數約 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Noto Sans CJK SC"/>
        <family val="2"/>
      </rPr>
      <t xml:space="preserve">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</si>
  <si>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</si>
  <si>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</si>
  <si>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</si>
  <si>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共識（共識淨利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除權後股數）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</si>
  <si>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</si>
  <si>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</si>
  <si>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</si>
  <si>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 </t>
    </r>
    <r>
      <rPr>
        <sz val="11"/>
        <color theme="1"/>
        <rFont val="Noto Sans CJK SC"/>
        <family val="2"/>
      </rPr>
      <t xml:space="preserve">億高於凱基估 </t>
    </r>
    <r>
      <rPr>
        <sz val="11"/>
        <color theme="1"/>
        <rFont val="Calibri"/>
        <family val="2"/>
        <charset val="1"/>
      </rPr>
      <t xml:space="preserve">3,755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</si>
  <si>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</si>
  <si>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凱基（還原）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</si>
  <si>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凱基（百分點）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</si>
  <si>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61%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</si>
  <si>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</si>
  <si>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緯穎有效份額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廣達有效份額（廣達模型）</t>
    </r>
  </si>
  <si>
    <r>
      <rPr>
        <sz val="11"/>
        <color theme="1"/>
        <rFont val="Noto Sans CJK SC"/>
        <family val="2"/>
      </rPr>
      <t xml:space="preserve">廣達模型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</si>
  <si>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同口徑（全部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組裝市場）；緯穎約為廣達的四分之一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</si>
  <si>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</si>
  <si>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ASIC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</si>
  <si>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成品顆數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</si>
  <si>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：客戶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顆數成長快於全部加速器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</si>
  <si>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1,442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</si>
  <si>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</si>
  <si>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通用伺服器毛利率（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</si>
  <si>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</si>
  <si>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</si>
  <si>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（模型，還原）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</si>
  <si>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</si>
  <si>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</si>
  <si>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</si>
  <si>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；有效份額、通用伺服器毛利率在每個案例內依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</si>
  <si>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</si>
  <si>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</si>
  <si>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</si>
  <si>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</si>
  <si>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</si>
  <si>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</si>
  <si>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</si>
  <si>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</si>
  <si>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</si>
  <si>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</si>
  <si>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</si>
  <si>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</si>
  <si>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</si>
  <si>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</si>
  <si>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</si>
  <si>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</si>
  <si>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（客戶分散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</si>
  <si>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</si>
  <si>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</si>
  <si>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</t>
    </r>
  </si>
  <si>
    <r>
      <rPr>
        <sz val="11"/>
        <color theme="1"/>
        <rFont val="Noto Sans CJK SC"/>
        <family val="2"/>
      </rPr>
      <t xml:space="preserve">緯穎份額只隨全部加速器成長（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</si>
  <si>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</si>
  <si>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90%</t>
    </r>
  </si>
  <si>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（維持買賣）</t>
    </r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</si>
  <si>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0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</si>
  <si>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</si>
  <si>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</si>
  <si>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</si>
  <si>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</si>
  <si>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</si>
  <si>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</si>
  <si>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</si>
  <si>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通用伺服器成長 低</t>
  </si>
  <si>
    <r>
      <rPr>
        <sz val="11"/>
        <color theme="1"/>
        <rFont val="Calibri"/>
        <family val="2"/>
        <charset val="1"/>
      </rPr>
      <t xml:space="preserve">2027 −10%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2028–29 −5%</t>
    </r>
  </si>
  <si>
    <t xml:space="preserve">通用伺服器成長 高</t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</si>
  <si>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</si>
  <si>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</si>
  <si>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毛利率（毛額基礎）比通用低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</si>
  <si>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0</t>
    </r>
  </si>
  <si>
    <t xml:space="preserve">與通用相同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</si>
  <si>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稀釋 −</t>
    </r>
    <r>
      <rPr>
        <sz val="11"/>
        <color theme="1"/>
        <rFont val="Calibri"/>
        <family val="2"/>
        <charset val="1"/>
      </rPr>
      <t xml:space="preserve">0.5pt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</si>
  <si>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−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</si>
  <si>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</si>
  <si>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</si>
  <si>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</si>
  <si>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</si>
  <si>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</si>
  <si>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（利息費用上升）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</si>
  <si>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</si>
  <si>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</si>
  <si>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</si>
  <si>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</si>
  <si>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傾斜係數共同決定；「無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傾斜」案例顯示上游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顆數假設對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的貢獻。客供只在保留毛利比例低時明顯影響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</si>
  <si>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</si>
  <si>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</si>
  <si>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</si>
  <si>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</si>
  <si>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</si>
  <si>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</si>
  <si>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</si>
  <si>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</si>
  <si>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</si>
  <si>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</si>
  <si>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</si>
  <si>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</si>
  <si>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</si>
  <si>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</si>
  <si>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</si>
  <si>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</si>
  <si>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</si>
  <si>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</si>
  <si>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</si>
  <si>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</si>
  <si>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案例區塊：無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傾斜（情境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</si>
  <si>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85%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</si>
  <si>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（維持買賣）（情境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</si>
  <si>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</si>
  <si>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</si>
  <si>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</si>
  <si>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</si>
  <si>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</si>
  <si>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案例區塊：通用伺服器成長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</si>
  <si>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</si>
  <si>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</si>
  <si>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稀釋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</si>
  <si>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</si>
  <si>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</si>
  <si>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</si>
  <si>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來源（公司原文只經財報摘要與新聞轉述，原始簡報待人工複核；券商與資料商皆為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</si>
  <si>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；記憶體代採購；資本支出 </t>
    </r>
    <r>
      <rPr>
        <sz val="11"/>
        <color theme="1"/>
        <rFont val="Calibri"/>
        <family val="2"/>
        <charset val="1"/>
      </rPr>
      <t xml:space="preserve">9.42 </t>
    </r>
    <r>
      <rPr>
        <sz val="11"/>
        <color theme="1"/>
        <rFont val="Noto Sans CJK SC"/>
        <family val="2"/>
      </rPr>
      <t xml:space="preserve">億美元）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</si>
  <si>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</si>
  <si>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通用與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各半、</t>
    </r>
    <r>
      <rPr>
        <sz val="11"/>
        <color theme="1"/>
        <rFont val="Calibri"/>
        <family val="2"/>
        <charset val="1"/>
      </rPr>
      <t xml:space="preserve">4Q ASIC </t>
    </r>
    <r>
      <rPr>
        <sz val="11"/>
        <color theme="1"/>
        <rFont val="Noto Sans CJK SC"/>
        <family val="2"/>
      </rPr>
      <t xml:space="preserve">超越、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季底出貨、產能配置）</t>
    </r>
  </si>
  <si>
    <t xml:space="preserve">https://uanalyze.com.tw/articles/9272255032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</si>
  <si>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約九成）</t>
    </r>
  </si>
  <si>
    <t xml:space="preserve">https://uanalyze.com.tw/articles/4033848176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</si>
  <si>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4,346.18 </t>
    </r>
    <r>
      <rPr>
        <sz val="11"/>
        <color theme="1"/>
        <rFont val="Noto Sans CJK SC"/>
        <family val="2"/>
      </rPr>
      <t xml:space="preserve">億、前三季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</si>
  <si>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https://uanalyze.com.tw/articles/4794857151</t>
  </si>
  <si>
    <r>
      <rPr>
        <sz val="11"/>
        <color theme="1"/>
        <rFont val="Noto Sans CJK SC"/>
        <family val="2"/>
      </rPr>
      <t xml:space="preserve">公司：月營收（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</si>
  <si>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</si>
  <si>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公司（摘要）：理財周刊 </t>
    </r>
    <r>
      <rPr>
        <sz val="11"/>
        <color theme="1"/>
        <rFont val="Calibri"/>
        <family val="2"/>
        <charset val="1"/>
      </rPr>
      <t xml:space="preserve">2026-09-09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月營收；代採購說明）</t>
    </r>
  </si>
  <si>
    <t xml:space="preserve">https://www.moneyweekly.com.tw/_Article?AID=247745</t>
  </si>
  <si>
    <r>
      <rPr>
        <sz val="11"/>
        <color theme="1"/>
        <rFont val="Noto Sans CJK SC"/>
        <family val="2"/>
      </rPr>
      <t xml:space="preserve">公司：除權（口袋學堂；配股率 </t>
    </r>
    <r>
      <rPr>
        <sz val="11"/>
        <color theme="1"/>
        <rFont val="Calibri"/>
        <family val="2"/>
        <charset val="1"/>
      </rPr>
      <t xml:space="preserve">1.98279460</t>
    </r>
    <r>
      <rPr>
        <sz val="11"/>
        <color theme="1"/>
        <rFont val="Noto Sans CJK SC"/>
        <family val="2"/>
      </rPr>
      <t xml:space="preserve">、參考價 </t>
    </r>
    <r>
      <rPr>
        <sz val="11"/>
        <color theme="1"/>
        <rFont val="Calibri"/>
        <family val="2"/>
        <charset val="1"/>
      </rPr>
      <t xml:space="preserve">2,615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</si>
  <si>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https://www.pocket.tw/school/articles/7853/</t>
  </si>
  <si>
    <r>
      <rPr>
        <sz val="11"/>
        <color theme="1"/>
        <rFont val="Noto Sans CJK SC"/>
        <family val="2"/>
      </rPr>
      <t xml:space="preserve">公司：除權（數位時代；配股率調整原因、</t>
    </r>
    <r>
      <rPr>
        <sz val="11"/>
        <color theme="1"/>
        <rFont val="Calibri"/>
        <family val="2"/>
        <charset val="1"/>
      </rPr>
      <t xml:space="preserve">FactSet 2026 EPS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361.05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</si>
  <si>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https://www.bnext.com.tw/article/92119/wiwynn-stock-dividend-1-to-3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</si>
  <si>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2026F–2027F</t>
    </r>
    <r>
      <rPr>
        <sz val="11"/>
        <color theme="1"/>
        <rFont val="Noto Sans CJK SC"/>
        <family val="2"/>
      </rPr>
      <t xml:space="preserve">、客戶與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</si>
  <si>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</si>
  <si>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2026-08-03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2026–28 </t>
    </r>
    <r>
      <rPr>
        <sz val="11"/>
        <color theme="1"/>
        <rFont val="Noto Sans CJK SC"/>
        <family val="2"/>
      </rPr>
      <t xml:space="preserve">估計、目標價）</t>
    </r>
  </si>
  <si>
    <t xml:space="preserve">https://www.ctee.com.tw/news/20260803700886-430201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</si>
  <si>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2026-09-21</t>
    </r>
    <r>
      <rPr>
        <sz val="11"/>
        <color theme="1"/>
        <rFont val="Noto Sans CJK SC"/>
        <family val="2"/>
      </rPr>
      <t xml:space="preserve">（高盛目標價 </t>
    </r>
    <r>
      <rPr>
        <sz val="11"/>
        <color theme="1"/>
        <rFont val="Calibri"/>
        <family val="2"/>
        <charset val="1"/>
      </rPr>
      <t xml:space="preserve">3,777</t>
    </r>
    <r>
      <rPr>
        <sz val="11"/>
        <color theme="1"/>
        <rFont val="Noto Sans CJK SC"/>
        <family val="2"/>
      </rPr>
      <t xml:space="preserve">、資本支出、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機櫃）</t>
    </r>
  </si>
  <si>
    <t xml:space="preserve">https://money.udn.com/money/amp/story/5607/9768749</t>
  </si>
  <si>
    <r>
      <rPr>
        <sz val="11"/>
        <color theme="1"/>
        <rFont val="Noto Sans CJK SC"/>
        <family val="2"/>
      </rPr>
      <t xml:space="preserve">資料商：鉅亨 </t>
    </r>
    <r>
      <rPr>
        <sz val="11"/>
        <color theme="1"/>
        <rFont val="Calibri"/>
        <family val="2"/>
        <charset val="1"/>
      </rPr>
      <t xml:space="preserve">2026-06-15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共識）</t>
    </r>
  </si>
  <si>
    <t xml:space="preserve">https://news.cnyes.com/news/id/6498877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</si>
  <si>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（共識營收與淨利 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10-20 EPS </t>
    </r>
    <r>
      <rPr>
        <sz val="11"/>
        <color theme="1"/>
        <rFont val="Noto Sans CJK SC"/>
        <family val="2"/>
      </rPr>
      <t xml:space="preserve">上修）</t>
    </r>
  </si>
  <si>
    <t xml:space="preserve">https://www.simplywall.st/stocks/tw/tech/twse-6669/wiwynn-shares/future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</si>
  <si>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位）</t>
    </r>
  </si>
  <si>
    <t xml:space="preserve">https://www.investing.com/equities/wiwynn-consensus-estimates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</si>
  <si>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aktien.guide</t>
    </r>
    <r>
      <rPr>
        <sz val="11"/>
        <color theme="1"/>
        <rFont val="Noto Sans CJK SC"/>
        <family val="2"/>
      </rPr>
      <t xml:space="preserve">（共識目標價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價格）</t>
    </r>
  </si>
  <si>
    <t xml:space="preserve">https://aktien.guide/kursziel/Wiwynn-TW0006669005</t>
  </si>
  <si>
    <r>
      <rPr>
        <sz val="11"/>
        <color theme="1"/>
        <rFont val="Noto Sans CJK SC"/>
        <family val="2"/>
      </rPr>
      <t xml:space="preserve">資料商：聚財網日線（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1,840</t>
    </r>
    <r>
      <rPr>
        <sz val="11"/>
        <color theme="1"/>
        <rFont val="Noto Sans CJK SC"/>
        <family val="2"/>
      </rPr>
      <t xml:space="preserve">）</t>
    </r>
  </si>
  <si>
    <t xml:space="preserve">https://stock.wearn.com/cdata.asp?kind=6669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</si>
  <si>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</si>
  <si>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</si>
  <si>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</si>
  <si>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https://companiesmarketcap.com/wiwynn/pe-ratio/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</si>
  <si>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、營收、淨利）</t>
    </r>
  </si>
  <si>
    <t xml:space="preserve">https://goodinfo.tw/tw/StockBzPerformance.asp?STOCK_ID=6669&amp;RPT_CAT=M_YEAR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</si>
  <si>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頁（各季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，除權前）</t>
    </r>
  </si>
  <si>
    <t xml:space="preserve">https://tw.stock.yahoo.com/quote/6669/eps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</si>
  <si>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</si>
  <si>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</si>
  <si>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月上旬）；客戶占比（年報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以上客戶，</t>
    </r>
    <r>
      <rPr>
        <sz val="11"/>
        <color theme="1"/>
        <rFont val="Calibri"/>
        <family val="2"/>
        <charset val="1"/>
      </rPr>
      <t xml:space="preserve">MOPS</t>
    </r>
    <r>
      <rPr>
        <sz val="11"/>
        <color theme="1"/>
        <rFont val="Noto Sans CJK SC"/>
        <family val="2"/>
      </rPr>
      <t xml:space="preserve">）；業外與稅前利益；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機架每櫃價格；客供比例的量化；可轉債轉換價；前瞻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</si>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</sst>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"/>
    <numFmt numFmtId="170" formatCode="0.0"/>
    <numFmt numFmtId="171" formatCode="#,##0.0"/>
    <numFmt numFmtId="172" formatCode="0.000"/>
    <numFmt numFmtId="173" formatCode="0.0000"/>
    <numFmt numFmtId="174" formatCode="#,##0.00"/>
    <numFmt numFmtId="175" formatCode="@"/>
    <numFmt numFmtId="176" formatCode="0%"/>
    <numFmt numFmtId="17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4" t="s">
        <v>14</v>
      </c>
    </row>
    <row r="3" customFormat="false" ht="17.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</row>
    <row r="4" customFormat="false" ht="17.15" hidden="false" customHeight="false" outlineLevel="0" collapsed="false">
      <c r="A4" s="6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781.872916666667</v>
      </c>
      <c r="G5" s="8" t="s">
        <v>28</v>
      </c>
      <c r="H5" s="8" t="s">
        <v>29</v>
      </c>
      <c r="I5" s="4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7" t="n">
        <v>1565.35</v>
      </c>
      <c r="G6" s="8" t="s">
        <v>28</v>
      </c>
      <c r="H6" s="8" t="s">
        <v>29</v>
      </c>
      <c r="I6" s="4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1984.26388888889</v>
      </c>
      <c r="G7" s="8" t="s">
        <v>28</v>
      </c>
      <c r="H7" s="8" t="s">
        <v>29</v>
      </c>
      <c r="I7" s="4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2260.39027777778</v>
      </c>
      <c r="G8" s="8" t="s">
        <v>28</v>
      </c>
      <c r="H8" s="8" t="s">
        <v>29</v>
      </c>
      <c r="I8" s="4" t="s">
        <v>33</v>
      </c>
    </row>
    <row r="9" customFormat="false" ht="17.15" hidden="false" customHeight="false" outlineLevel="0" collapsed="false">
      <c r="A9" s="0" t="s">
        <v>38</v>
      </c>
      <c r="B9" s="4" t="s">
        <v>39</v>
      </c>
      <c r="C9" s="0" t="s">
        <v>27</v>
      </c>
      <c r="E9" s="7" t="n">
        <v>32.237224</v>
      </c>
      <c r="G9" s="8" t="s">
        <v>28</v>
      </c>
      <c r="H9" s="8" t="s">
        <v>40</v>
      </c>
      <c r="I9" s="8" t="s">
        <v>41</v>
      </c>
    </row>
    <row r="10" customFormat="false" ht="17.15" hidden="false" customHeight="false" outlineLevel="0" collapsed="false">
      <c r="A10" s="0" t="s">
        <v>42</v>
      </c>
      <c r="B10" s="4" t="s">
        <v>43</v>
      </c>
      <c r="C10" s="0" t="s">
        <v>27</v>
      </c>
      <c r="E10" s="7" t="n">
        <v>37.586352</v>
      </c>
      <c r="G10" s="8" t="s">
        <v>28</v>
      </c>
      <c r="H10" s="8" t="s">
        <v>40</v>
      </c>
      <c r="I10" s="4" t="s">
        <v>44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47</v>
      </c>
      <c r="D11" s="7" t="n">
        <v>0.15</v>
      </c>
      <c r="E11" s="7" t="n">
        <v>0.22</v>
      </c>
      <c r="F11" s="7" t="n">
        <v>0.3</v>
      </c>
      <c r="G11" s="8" t="s">
        <v>28</v>
      </c>
      <c r="H11" s="8" t="s">
        <v>48</v>
      </c>
      <c r="I11" s="4" t="s">
        <v>49</v>
      </c>
    </row>
    <row r="12" customFormat="false" ht="17.15" hidden="false" customHeight="false" outlineLevel="0" collapsed="false">
      <c r="A12" s="0" t="s">
        <v>50</v>
      </c>
      <c r="B12" s="4" t="s">
        <v>51</v>
      </c>
      <c r="C12" s="4" t="s">
        <v>52</v>
      </c>
      <c r="E12" s="7" t="n">
        <v>6764</v>
      </c>
      <c r="G12" s="8" t="s">
        <v>28</v>
      </c>
      <c r="H12" s="8" t="s">
        <v>53</v>
      </c>
      <c r="I12" s="8" t="s">
        <v>54</v>
      </c>
    </row>
    <row r="13" customFormat="false" ht="17.15" hidden="false" customHeight="false" outlineLevel="0" collapsed="false">
      <c r="A13" s="0" t="s">
        <v>55</v>
      </c>
      <c r="B13" s="4" t="s">
        <v>56</v>
      </c>
      <c r="C13" s="4" t="s">
        <v>52</v>
      </c>
      <c r="E13" s="7" t="n">
        <v>4052</v>
      </c>
      <c r="G13" s="8" t="s">
        <v>28</v>
      </c>
      <c r="H13" s="8" t="s">
        <v>53</v>
      </c>
      <c r="I13" s="4" t="s">
        <v>33</v>
      </c>
    </row>
    <row r="14" customFormat="false" ht="17.15" hidden="false" customHeight="false" outlineLevel="0" collapsed="false">
      <c r="A14" s="0" t="s">
        <v>57</v>
      </c>
      <c r="B14" s="4" t="s">
        <v>58</v>
      </c>
      <c r="C14" s="0" t="s">
        <v>59</v>
      </c>
      <c r="E14" s="7" t="n">
        <v>1</v>
      </c>
      <c r="G14" s="8" t="s">
        <v>60</v>
      </c>
      <c r="H14" s="8" t="s">
        <v>61</v>
      </c>
      <c r="I14" s="8" t="s">
        <v>62</v>
      </c>
    </row>
    <row r="15" customFormat="false" ht="17.15" hidden="false" customHeight="false" outlineLevel="0" collapsed="false">
      <c r="A15" s="0" t="s">
        <v>63</v>
      </c>
      <c r="B15" s="4" t="s">
        <v>64</v>
      </c>
      <c r="C15" s="0" t="s">
        <v>59</v>
      </c>
      <c r="E15" s="7" t="n">
        <v>1</v>
      </c>
      <c r="G15" s="8" t="s">
        <v>60</v>
      </c>
      <c r="H15" s="8" t="s">
        <v>65</v>
      </c>
      <c r="I15" s="4" t="s">
        <v>33</v>
      </c>
    </row>
    <row r="16" customFormat="false" ht="17.15" hidden="false" customHeight="false" outlineLevel="0" collapsed="false">
      <c r="A16" s="0" t="s">
        <v>66</v>
      </c>
      <c r="B16" s="4" t="s">
        <v>67</v>
      </c>
      <c r="C16" s="0" t="s">
        <v>59</v>
      </c>
      <c r="E16" s="7" t="n">
        <v>0.8</v>
      </c>
      <c r="G16" s="8" t="s">
        <v>60</v>
      </c>
      <c r="H16" s="8" t="s">
        <v>68</v>
      </c>
      <c r="I16" s="8" t="s">
        <v>62</v>
      </c>
    </row>
    <row r="17" customFormat="false" ht="17.15" hidden="false" customHeight="false" outlineLevel="0" collapsed="false">
      <c r="A17" s="0" t="s">
        <v>69</v>
      </c>
      <c r="B17" s="4" t="s">
        <v>70</v>
      </c>
      <c r="C17" s="0" t="s">
        <v>59</v>
      </c>
      <c r="E17" s="7" t="n">
        <v>0.85</v>
      </c>
      <c r="G17" s="8" t="s">
        <v>60</v>
      </c>
      <c r="H17" s="8" t="s">
        <v>71</v>
      </c>
      <c r="I17" s="4" t="s">
        <v>33</v>
      </c>
    </row>
    <row r="18" customFormat="false" ht="17.15" hidden="false" customHeight="false" outlineLevel="0" collapsed="false">
      <c r="A18" s="0" t="s">
        <v>72</v>
      </c>
      <c r="B18" s="4" t="s">
        <v>73</v>
      </c>
      <c r="C18" s="0" t="s">
        <v>59</v>
      </c>
      <c r="E18" s="7" t="n">
        <v>0.6</v>
      </c>
      <c r="G18" s="8" t="s">
        <v>60</v>
      </c>
      <c r="H18" s="8" t="s">
        <v>74</v>
      </c>
      <c r="I18" s="8" t="s">
        <v>62</v>
      </c>
    </row>
    <row r="19" customFormat="false" ht="17.15" hidden="false" customHeight="false" outlineLevel="0" collapsed="false">
      <c r="A19" s="0" t="s">
        <v>75</v>
      </c>
      <c r="B19" s="4" t="s">
        <v>76</v>
      </c>
      <c r="C19" s="0" t="s">
        <v>59</v>
      </c>
      <c r="E19" s="7" t="n">
        <v>0.6</v>
      </c>
      <c r="G19" s="8" t="s">
        <v>60</v>
      </c>
      <c r="H19" s="8" t="s">
        <v>77</v>
      </c>
      <c r="I19" s="4" t="s">
        <v>33</v>
      </c>
    </row>
    <row r="20" customFormat="false" ht="17.15" hidden="false" customHeight="false" outlineLevel="0" collapsed="false">
      <c r="A20" s="0" t="s">
        <v>78</v>
      </c>
      <c r="B20" s="4" t="s">
        <v>79</v>
      </c>
      <c r="C20" s="0" t="s">
        <v>80</v>
      </c>
      <c r="D20" s="7" t="n">
        <v>30.5</v>
      </c>
      <c r="E20" s="7" t="n">
        <v>32</v>
      </c>
      <c r="F20" s="7" t="n">
        <v>33</v>
      </c>
      <c r="G20" s="8" t="s">
        <v>28</v>
      </c>
      <c r="H20" s="8" t="s">
        <v>81</v>
      </c>
      <c r="I20" s="4" t="s">
        <v>82</v>
      </c>
    </row>
    <row r="21" customFormat="false" ht="17.15" hidden="false" customHeight="false" outlineLevel="0" collapsed="false">
      <c r="A21" s="0" t="s">
        <v>83</v>
      </c>
      <c r="B21" s="4" t="s">
        <v>84</v>
      </c>
      <c r="C21" s="4" t="s">
        <v>85</v>
      </c>
      <c r="E21" s="7" t="n">
        <v>3</v>
      </c>
      <c r="G21" s="8" t="s">
        <v>28</v>
      </c>
      <c r="H21" s="8" t="s">
        <v>86</v>
      </c>
      <c r="I21" s="8" t="s">
        <v>87</v>
      </c>
    </row>
    <row r="22" customFormat="false" ht="17.15" hidden="false" customHeight="false" outlineLevel="0" collapsed="false">
      <c r="A22" s="0" t="s">
        <v>88</v>
      </c>
      <c r="B22" s="4" t="s">
        <v>89</v>
      </c>
      <c r="C22" s="4" t="s">
        <v>85</v>
      </c>
      <c r="E22" s="7" t="n">
        <v>7</v>
      </c>
      <c r="G22" s="8" t="s">
        <v>28</v>
      </c>
      <c r="H22" s="4" t="s">
        <v>33</v>
      </c>
      <c r="I22" s="4" t="s">
        <v>90</v>
      </c>
    </row>
    <row r="23" customFormat="false" ht="17.15" hidden="false" customHeight="false" outlineLevel="0" collapsed="false">
      <c r="A23" s="0" t="s">
        <v>91</v>
      </c>
      <c r="B23" s="4" t="s">
        <v>92</v>
      </c>
      <c r="C23" s="4" t="s">
        <v>85</v>
      </c>
      <c r="E23" s="7" t="n">
        <v>8</v>
      </c>
      <c r="G23" s="8" t="s">
        <v>28</v>
      </c>
      <c r="H23" s="4" t="s">
        <v>33</v>
      </c>
      <c r="I23" s="4" t="s">
        <v>90</v>
      </c>
    </row>
    <row r="24" customFormat="false" ht="17.15" hidden="false" customHeight="false" outlineLevel="0" collapsed="false">
      <c r="A24" s="0" t="s">
        <v>93</v>
      </c>
      <c r="B24" s="4" t="s">
        <v>94</v>
      </c>
      <c r="C24" s="4" t="s">
        <v>85</v>
      </c>
      <c r="E24" s="7" t="n">
        <v>9.2</v>
      </c>
      <c r="G24" s="8" t="s">
        <v>28</v>
      </c>
      <c r="H24" s="4" t="s">
        <v>33</v>
      </c>
      <c r="I24" s="4" t="s">
        <v>90</v>
      </c>
    </row>
    <row r="25" customFormat="false" ht="17.15" hidden="false" customHeight="false" outlineLevel="0" collapsed="false">
      <c r="A25" s="0" t="s">
        <v>95</v>
      </c>
      <c r="B25" s="4" t="s">
        <v>96</v>
      </c>
      <c r="C25" s="4" t="s">
        <v>85</v>
      </c>
      <c r="E25" s="7" t="n">
        <v>15.2</v>
      </c>
      <c r="G25" s="8" t="s">
        <v>28</v>
      </c>
      <c r="H25" s="8" t="s">
        <v>86</v>
      </c>
      <c r="I25" s="4" t="s">
        <v>97</v>
      </c>
    </row>
    <row r="26" customFormat="false" ht="17.15" hidden="false" customHeight="false" outlineLevel="0" collapsed="false">
      <c r="A26" s="0" t="s">
        <v>98</v>
      </c>
      <c r="B26" s="4" t="s">
        <v>99</v>
      </c>
      <c r="C26" s="4" t="s">
        <v>85</v>
      </c>
      <c r="E26" s="7" t="n">
        <v>23.7</v>
      </c>
      <c r="G26" s="8" t="s">
        <v>28</v>
      </c>
      <c r="H26" s="4" t="s">
        <v>33</v>
      </c>
      <c r="I26" s="4" t="s">
        <v>33</v>
      </c>
    </row>
    <row r="27" customFormat="false" ht="17.15" hidden="false" customHeight="false" outlineLevel="0" collapsed="false">
      <c r="A27" s="0" t="s">
        <v>100</v>
      </c>
      <c r="B27" s="4" t="s">
        <v>101</v>
      </c>
      <c r="C27" s="4" t="s">
        <v>85</v>
      </c>
      <c r="E27" s="7" t="n">
        <v>26.5</v>
      </c>
      <c r="G27" s="8" t="s">
        <v>28</v>
      </c>
      <c r="H27" s="4" t="s">
        <v>33</v>
      </c>
      <c r="I27" s="4" t="s">
        <v>33</v>
      </c>
    </row>
    <row r="28" customFormat="false" ht="17.15" hidden="false" customHeight="false" outlineLevel="0" collapsed="false">
      <c r="A28" s="0" t="s">
        <v>102</v>
      </c>
      <c r="B28" s="4" t="s">
        <v>103</v>
      </c>
      <c r="C28" s="4" t="s">
        <v>85</v>
      </c>
      <c r="E28" s="7" t="n">
        <v>30.15</v>
      </c>
      <c r="G28" s="8" t="s">
        <v>28</v>
      </c>
      <c r="H28" s="4" t="s">
        <v>33</v>
      </c>
      <c r="I28" s="4" t="s">
        <v>33</v>
      </c>
    </row>
    <row r="29" customFormat="false" ht="17.15" hidden="false" customHeight="false" outlineLevel="0" collapsed="false">
      <c r="A29" s="6" t="s">
        <v>104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0" t="s">
        <v>107</v>
      </c>
      <c r="D30" s="7" t="n">
        <v>3.6</v>
      </c>
      <c r="E30" s="7" t="n">
        <v>4</v>
      </c>
      <c r="F30" s="7" t="n">
        <v>4.3</v>
      </c>
      <c r="G30" s="8" t="s">
        <v>28</v>
      </c>
      <c r="H30" s="8" t="s">
        <v>108</v>
      </c>
      <c r="I30" s="4" t="s">
        <v>109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0" t="s">
        <v>107</v>
      </c>
      <c r="D31" s="7" t="n">
        <v>6.5</v>
      </c>
      <c r="E31" s="7" t="n">
        <v>6.75</v>
      </c>
      <c r="F31" s="7" t="n">
        <v>7</v>
      </c>
      <c r="G31" s="8" t="s">
        <v>28</v>
      </c>
      <c r="H31" s="8" t="s">
        <v>112</v>
      </c>
      <c r="I31" s="4" t="s">
        <v>33</v>
      </c>
    </row>
    <row r="32" customFormat="false" ht="17.15" hidden="false" customHeight="false" outlineLevel="0" collapsed="false">
      <c r="A32" s="0" t="s">
        <v>113</v>
      </c>
      <c r="B32" s="4" t="s">
        <v>114</v>
      </c>
      <c r="C32" s="0" t="s">
        <v>59</v>
      </c>
      <c r="D32" s="7" t="n">
        <v>0.85</v>
      </c>
      <c r="E32" s="7" t="n">
        <v>1</v>
      </c>
      <c r="F32" s="7" t="n">
        <v>1.2</v>
      </c>
      <c r="G32" s="8" t="s">
        <v>60</v>
      </c>
      <c r="H32" s="8" t="s">
        <v>115</v>
      </c>
      <c r="I32" s="4" t="s">
        <v>116</v>
      </c>
    </row>
    <row r="33" customFormat="false" ht="17.15" hidden="false" customHeight="false" outlineLevel="0" collapsed="false">
      <c r="A33" s="0" t="s">
        <v>117</v>
      </c>
      <c r="B33" s="4" t="s">
        <v>118</v>
      </c>
      <c r="C33" s="0" t="s">
        <v>59</v>
      </c>
      <c r="D33" s="7" t="n">
        <v>0.85</v>
      </c>
      <c r="E33" s="7" t="n">
        <v>1</v>
      </c>
      <c r="F33" s="7" t="n">
        <v>1.2</v>
      </c>
      <c r="G33" s="8" t="s">
        <v>60</v>
      </c>
      <c r="H33" s="8" t="s">
        <v>119</v>
      </c>
      <c r="I33" s="4" t="s">
        <v>33</v>
      </c>
    </row>
    <row r="34" customFormat="false" ht="17.15" hidden="false" customHeight="false" outlineLevel="0" collapsed="false">
      <c r="A34" s="0" t="s">
        <v>120</v>
      </c>
      <c r="B34" s="0" t="s">
        <v>121</v>
      </c>
      <c r="C34" s="0" t="s">
        <v>47</v>
      </c>
      <c r="D34" s="7" t="n">
        <v>0.85</v>
      </c>
      <c r="E34" s="7" t="n">
        <v>0.9</v>
      </c>
      <c r="F34" s="7" t="n">
        <v>0.95</v>
      </c>
      <c r="G34" s="8" t="s">
        <v>122</v>
      </c>
      <c r="H34" s="4" t="s">
        <v>123</v>
      </c>
      <c r="I34" s="4" t="s">
        <v>124</v>
      </c>
    </row>
    <row r="35" customFormat="false" ht="17.15" hidden="false" customHeight="false" outlineLevel="0" collapsed="false">
      <c r="A35" s="0" t="s">
        <v>125</v>
      </c>
      <c r="B35" s="4" t="s">
        <v>126</v>
      </c>
      <c r="C35" s="0" t="s">
        <v>59</v>
      </c>
      <c r="D35" s="7" t="n">
        <v>0.85</v>
      </c>
      <c r="E35" s="7" t="n">
        <v>1</v>
      </c>
      <c r="F35" s="7" t="n">
        <v>1.1</v>
      </c>
      <c r="G35" s="8" t="s">
        <v>60</v>
      </c>
      <c r="H35" s="4" t="s">
        <v>127</v>
      </c>
      <c r="I35" s="4" t="s">
        <v>128</v>
      </c>
    </row>
    <row r="36" customFormat="false" ht="17.15" hidden="false" customHeight="false" outlineLevel="0" collapsed="false">
      <c r="A36" s="0" t="s">
        <v>129</v>
      </c>
      <c r="B36" s="4" t="s">
        <v>130</v>
      </c>
      <c r="C36" s="0" t="s">
        <v>59</v>
      </c>
      <c r="D36" s="7" t="n">
        <v>0.75</v>
      </c>
      <c r="E36" s="7" t="n">
        <v>1</v>
      </c>
      <c r="F36" s="7" t="n">
        <v>1.1</v>
      </c>
      <c r="G36" s="8" t="s">
        <v>60</v>
      </c>
      <c r="H36" s="4" t="s">
        <v>131</v>
      </c>
      <c r="I36" s="8" t="s">
        <v>132</v>
      </c>
    </row>
    <row r="37" customFormat="false" ht="17.15" hidden="false" customHeight="false" outlineLevel="0" collapsed="false">
      <c r="A37" s="0" t="s">
        <v>133</v>
      </c>
      <c r="B37" s="4" t="s">
        <v>134</v>
      </c>
      <c r="C37" s="0" t="s">
        <v>59</v>
      </c>
      <c r="D37" s="7" t="n">
        <v>0.7</v>
      </c>
      <c r="E37" s="7" t="n">
        <v>0.95</v>
      </c>
      <c r="F37" s="7" t="n">
        <v>1.1</v>
      </c>
      <c r="G37" s="8" t="s">
        <v>60</v>
      </c>
      <c r="H37" s="4" t="s">
        <v>33</v>
      </c>
      <c r="I37" s="8" t="s">
        <v>132</v>
      </c>
    </row>
    <row r="38" customFormat="false" ht="17.15" hidden="false" customHeight="false" outlineLevel="0" collapsed="false">
      <c r="A38" s="0" t="s">
        <v>135</v>
      </c>
      <c r="B38" s="4" t="s">
        <v>136</v>
      </c>
      <c r="C38" s="0" t="s">
        <v>47</v>
      </c>
      <c r="D38" s="7" t="n">
        <v>0</v>
      </c>
      <c r="E38" s="7" t="n">
        <v>0.05</v>
      </c>
      <c r="F38" s="7" t="n">
        <v>0.15</v>
      </c>
      <c r="G38" s="8" t="s">
        <v>60</v>
      </c>
      <c r="H38" s="4" t="s">
        <v>137</v>
      </c>
      <c r="I38" s="4" t="s">
        <v>138</v>
      </c>
    </row>
    <row r="39" customFormat="false" ht="17.15" hidden="false" customHeight="false" outlineLevel="0" collapsed="false">
      <c r="A39" s="0" t="s">
        <v>139</v>
      </c>
      <c r="B39" s="4" t="s">
        <v>140</v>
      </c>
      <c r="C39" s="0" t="s">
        <v>47</v>
      </c>
      <c r="D39" s="7" t="n">
        <v>0</v>
      </c>
      <c r="E39" s="7" t="n">
        <v>0.1</v>
      </c>
      <c r="F39" s="7" t="n">
        <v>0.25</v>
      </c>
      <c r="G39" s="8" t="s">
        <v>60</v>
      </c>
      <c r="H39" s="4" t="s">
        <v>141</v>
      </c>
      <c r="I39" s="8" t="s">
        <v>132</v>
      </c>
    </row>
    <row r="40" customFormat="false" ht="17.15" hidden="false" customHeight="false" outlineLevel="0" collapsed="false">
      <c r="A40" s="0" t="s">
        <v>142</v>
      </c>
      <c r="B40" s="4" t="s">
        <v>143</v>
      </c>
      <c r="C40" s="0" t="s">
        <v>47</v>
      </c>
      <c r="D40" s="7" t="n">
        <v>0</v>
      </c>
      <c r="E40" s="7" t="n">
        <v>0.15</v>
      </c>
      <c r="F40" s="7" t="n">
        <v>0.35</v>
      </c>
      <c r="G40" s="8" t="s">
        <v>60</v>
      </c>
      <c r="H40" s="4" t="s">
        <v>144</v>
      </c>
      <c r="I40" s="8" t="s">
        <v>132</v>
      </c>
    </row>
    <row r="41" customFormat="false" ht="17.15" hidden="false" customHeight="false" outlineLevel="0" collapsed="false">
      <c r="A41" s="0" t="s">
        <v>145</v>
      </c>
      <c r="B41" s="4" t="s">
        <v>146</v>
      </c>
      <c r="C41" s="0" t="s">
        <v>59</v>
      </c>
      <c r="D41" s="7" t="n">
        <v>0.7</v>
      </c>
      <c r="E41" s="7" t="n">
        <v>0.9</v>
      </c>
      <c r="F41" s="7" t="n">
        <v>1</v>
      </c>
      <c r="G41" s="8" t="s">
        <v>60</v>
      </c>
      <c r="H41" s="4" t="s">
        <v>147</v>
      </c>
      <c r="I41" s="4" t="s">
        <v>148</v>
      </c>
    </row>
    <row r="42" customFormat="false" ht="17.15" hidden="false" customHeight="false" outlineLevel="0" collapsed="false">
      <c r="A42" s="6" t="s">
        <v>149</v>
      </c>
    </row>
    <row r="43" customFormat="false" ht="17.15" hidden="false" customHeight="false" outlineLevel="0" collapsed="false">
      <c r="A43" s="0" t="s">
        <v>150</v>
      </c>
      <c r="B43" s="0" t="s">
        <v>151</v>
      </c>
      <c r="C43" s="0" t="s">
        <v>47</v>
      </c>
      <c r="D43" s="7" t="n">
        <v>0.48</v>
      </c>
      <c r="E43" s="7" t="n">
        <v>0.5</v>
      </c>
      <c r="F43" s="7" t="n">
        <v>0.52</v>
      </c>
      <c r="G43" s="8" t="s">
        <v>122</v>
      </c>
      <c r="H43" s="4" t="s">
        <v>152</v>
      </c>
      <c r="I43" s="4" t="s">
        <v>153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47</v>
      </c>
      <c r="D44" s="7" t="n">
        <v>0.45</v>
      </c>
      <c r="E44" s="7" t="n">
        <v>0.48</v>
      </c>
      <c r="F44" s="7" t="n">
        <v>0.52</v>
      </c>
      <c r="G44" s="8" t="s">
        <v>122</v>
      </c>
      <c r="H44" s="4" t="s">
        <v>156</v>
      </c>
      <c r="I44" s="4" t="s">
        <v>157</v>
      </c>
    </row>
    <row r="45" customFormat="false" ht="17.15" hidden="false" customHeight="false" outlineLevel="0" collapsed="false">
      <c r="A45" s="0" t="s">
        <v>158</v>
      </c>
      <c r="B45" s="4" t="s">
        <v>159</v>
      </c>
      <c r="C45" s="0" t="s">
        <v>47</v>
      </c>
      <c r="D45" s="7" t="n">
        <v>-0.1</v>
      </c>
      <c r="E45" s="7" t="n">
        <v>0.05</v>
      </c>
      <c r="F45" s="7" t="n">
        <v>0.15</v>
      </c>
      <c r="G45" s="8" t="s">
        <v>60</v>
      </c>
      <c r="H45" s="4" t="s">
        <v>160</v>
      </c>
      <c r="I45" s="4" t="s">
        <v>161</v>
      </c>
    </row>
    <row r="46" customFormat="false" ht="17.15" hidden="false" customHeight="false" outlineLevel="0" collapsed="false">
      <c r="A46" s="0" t="s">
        <v>162</v>
      </c>
      <c r="B46" s="4" t="s">
        <v>163</v>
      </c>
      <c r="C46" s="0" t="s">
        <v>47</v>
      </c>
      <c r="D46" s="7" t="n">
        <v>-0.05</v>
      </c>
      <c r="E46" s="7" t="n">
        <v>0.03</v>
      </c>
      <c r="F46" s="7" t="n">
        <v>0.1</v>
      </c>
      <c r="G46" s="8" t="s">
        <v>60</v>
      </c>
      <c r="H46" s="4" t="s">
        <v>33</v>
      </c>
      <c r="I46" s="8" t="s">
        <v>132</v>
      </c>
    </row>
    <row r="47" customFormat="false" ht="17.15" hidden="false" customHeight="false" outlineLevel="0" collapsed="false">
      <c r="A47" s="0" t="s">
        <v>164</v>
      </c>
      <c r="B47" s="4" t="s">
        <v>165</v>
      </c>
      <c r="C47" s="0" t="s">
        <v>47</v>
      </c>
      <c r="D47" s="7" t="n">
        <v>-0.05</v>
      </c>
      <c r="E47" s="7" t="n">
        <v>0.03</v>
      </c>
      <c r="F47" s="7" t="n">
        <v>0.08</v>
      </c>
      <c r="G47" s="8" t="s">
        <v>60</v>
      </c>
      <c r="H47" s="4" t="s">
        <v>33</v>
      </c>
      <c r="I47" s="8" t="s">
        <v>132</v>
      </c>
    </row>
    <row r="48" customFormat="false" ht="17.15" hidden="false" customHeight="false" outlineLevel="0" collapsed="false">
      <c r="A48" s="6" t="s">
        <v>166</v>
      </c>
    </row>
    <row r="49" customFormat="false" ht="17.15" hidden="false" customHeight="false" outlineLevel="0" collapsed="false">
      <c r="A49" s="0" t="s">
        <v>167</v>
      </c>
      <c r="B49" s="0" t="s">
        <v>168</v>
      </c>
      <c r="C49" s="0" t="s">
        <v>169</v>
      </c>
      <c r="D49" s="7" t="n">
        <v>-0.02</v>
      </c>
      <c r="E49" s="7" t="n">
        <v>-0.01</v>
      </c>
      <c r="F49" s="7" t="n">
        <v>0</v>
      </c>
      <c r="G49" s="8" t="s">
        <v>60</v>
      </c>
      <c r="H49" s="4" t="s">
        <v>170</v>
      </c>
      <c r="I49" s="4" t="s">
        <v>171</v>
      </c>
    </row>
    <row r="50" customFormat="false" ht="17.15" hidden="false" customHeight="false" outlineLevel="0" collapsed="false">
      <c r="A50" s="0" t="s">
        <v>172</v>
      </c>
      <c r="B50" s="0" t="s">
        <v>173</v>
      </c>
      <c r="C50" s="0" t="s">
        <v>169</v>
      </c>
      <c r="D50" s="7" t="n">
        <v>-0.005</v>
      </c>
      <c r="E50" s="7" t="n">
        <v>-0.002</v>
      </c>
      <c r="F50" s="7" t="n">
        <v>0</v>
      </c>
      <c r="G50" s="8" t="s">
        <v>60</v>
      </c>
      <c r="H50" s="8" t="s">
        <v>174</v>
      </c>
      <c r="I50" s="4" t="s">
        <v>175</v>
      </c>
    </row>
    <row r="51" customFormat="false" ht="17.15" hidden="false" customHeight="false" outlineLevel="0" collapsed="false">
      <c r="A51" s="6" t="s">
        <v>176</v>
      </c>
    </row>
    <row r="52" customFormat="false" ht="17.15" hidden="false" customHeight="false" outlineLevel="0" collapsed="false">
      <c r="A52" s="0" t="s">
        <v>177</v>
      </c>
      <c r="B52" s="4" t="s">
        <v>178</v>
      </c>
      <c r="C52" s="0" t="s">
        <v>59</v>
      </c>
      <c r="E52" s="7" t="n">
        <v>2.9827946</v>
      </c>
      <c r="G52" s="8" t="s">
        <v>179</v>
      </c>
      <c r="H52" s="4" t="s">
        <v>180</v>
      </c>
      <c r="I52" s="4" t="s">
        <v>181</v>
      </c>
    </row>
    <row r="53" customFormat="false" ht="17.15" hidden="false" customHeight="false" outlineLevel="0" collapsed="false">
      <c r="A53" s="0" t="s">
        <v>182</v>
      </c>
      <c r="B53" s="0" t="s">
        <v>183</v>
      </c>
      <c r="C53" s="0" t="s">
        <v>184</v>
      </c>
      <c r="E53" s="7" t="n">
        <v>434.618</v>
      </c>
      <c r="G53" s="8" t="s">
        <v>179</v>
      </c>
      <c r="H53" s="4" t="s">
        <v>185</v>
      </c>
      <c r="I53" s="8" t="s">
        <v>186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47</v>
      </c>
      <c r="D54" s="7" t="n">
        <v>-0.05</v>
      </c>
      <c r="E54" s="7" t="n">
        <v>0.08</v>
      </c>
      <c r="F54" s="7" t="n">
        <v>0.15</v>
      </c>
      <c r="G54" s="8" t="s">
        <v>60</v>
      </c>
      <c r="H54" s="4" t="s">
        <v>189</v>
      </c>
      <c r="I54" s="8" t="s">
        <v>190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0" t="s">
        <v>47</v>
      </c>
      <c r="D55" s="7" t="n">
        <v>0.076</v>
      </c>
      <c r="E55" s="7" t="n">
        <v>0.083</v>
      </c>
      <c r="F55" s="7" t="n">
        <v>0.088</v>
      </c>
      <c r="G55" s="8" t="s">
        <v>122</v>
      </c>
      <c r="H55" s="4" t="s">
        <v>193</v>
      </c>
      <c r="I55" s="4" t="s">
        <v>194</v>
      </c>
    </row>
    <row r="56" customFormat="false" ht="17.15" hidden="false" customHeight="false" outlineLevel="0" collapsed="false">
      <c r="A56" s="0" t="s">
        <v>195</v>
      </c>
      <c r="B56" s="0" t="s">
        <v>196</v>
      </c>
      <c r="C56" s="0" t="s">
        <v>47</v>
      </c>
      <c r="D56" s="7" t="n">
        <v>0.013</v>
      </c>
      <c r="E56" s="7" t="n">
        <v>0.015</v>
      </c>
      <c r="F56" s="7" t="n">
        <v>0.018</v>
      </c>
      <c r="G56" s="8" t="s">
        <v>60</v>
      </c>
      <c r="H56" s="8" t="s">
        <v>197</v>
      </c>
      <c r="I56" s="4" t="s">
        <v>198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0" t="s">
        <v>47</v>
      </c>
      <c r="D57" s="7" t="n">
        <v>0.75</v>
      </c>
      <c r="E57" s="7" t="n">
        <v>0.78</v>
      </c>
      <c r="F57" s="7" t="n">
        <v>0.8</v>
      </c>
      <c r="G57" s="8" t="s">
        <v>28</v>
      </c>
      <c r="H57" s="8" t="s">
        <v>201</v>
      </c>
      <c r="I57" s="4" t="s">
        <v>202</v>
      </c>
    </row>
    <row r="58" customFormat="false" ht="17.15" hidden="false" customHeight="false" outlineLevel="0" collapsed="false">
      <c r="A58" s="0" t="s">
        <v>203</v>
      </c>
      <c r="B58" s="4" t="s">
        <v>204</v>
      </c>
      <c r="C58" s="4" t="s">
        <v>205</v>
      </c>
      <c r="E58" s="7" t="n">
        <v>0.55736</v>
      </c>
      <c r="G58" s="8" t="s">
        <v>122</v>
      </c>
      <c r="H58" s="8" t="s">
        <v>206</v>
      </c>
      <c r="I58" s="8" t="s">
        <v>207</v>
      </c>
    </row>
    <row r="59" customFormat="false" ht="17.15" hidden="false" customHeight="false" outlineLevel="0" collapsed="false">
      <c r="A59" s="6" t="s">
        <v>208</v>
      </c>
    </row>
    <row r="60" customFormat="false" ht="17.15" hidden="false" customHeight="false" outlineLevel="0" collapsed="false">
      <c r="A60" s="0" t="s">
        <v>209</v>
      </c>
      <c r="B60" s="4" t="s">
        <v>210</v>
      </c>
      <c r="C60" s="0" t="s">
        <v>59</v>
      </c>
      <c r="D60" s="7" t="n">
        <v>0.5</v>
      </c>
      <c r="E60" s="7" t="n">
        <v>0.8</v>
      </c>
      <c r="F60" s="7" t="n">
        <v>1</v>
      </c>
      <c r="G60" s="8" t="s">
        <v>60</v>
      </c>
      <c r="H60" s="8" t="s">
        <v>211</v>
      </c>
      <c r="I60" s="4" t="s">
        <v>212</v>
      </c>
    </row>
    <row r="61" customFormat="false" ht="17.15" hidden="false" customHeight="false" outlineLevel="0" collapsed="false">
      <c r="A61" s="0" t="s">
        <v>213</v>
      </c>
      <c r="B61" s="4" t="s">
        <v>214</v>
      </c>
      <c r="C61" s="0" t="s">
        <v>169</v>
      </c>
      <c r="D61" s="7" t="n">
        <v>-0.002</v>
      </c>
      <c r="E61" s="7" t="n">
        <v>0</v>
      </c>
      <c r="F61" s="7" t="n">
        <v>0.002</v>
      </c>
      <c r="G61" s="8" t="s">
        <v>60</v>
      </c>
      <c r="H61" s="4" t="s">
        <v>215</v>
      </c>
      <c r="I61" s="4" t="s">
        <v>216</v>
      </c>
    </row>
    <row r="62" customFormat="false" ht="17.15" hidden="false" customHeight="false" outlineLevel="0" collapsed="false">
      <c r="A62" s="0" t="s">
        <v>217</v>
      </c>
      <c r="B62" s="4" t="s">
        <v>218</v>
      </c>
      <c r="C62" s="0" t="s">
        <v>47</v>
      </c>
      <c r="D62" s="7" t="n">
        <v>0.72</v>
      </c>
      <c r="E62" s="7" t="n">
        <v>0.78</v>
      </c>
      <c r="F62" s="7" t="n">
        <v>0.8</v>
      </c>
      <c r="G62" s="8" t="s">
        <v>28</v>
      </c>
      <c r="H62" s="4" t="s">
        <v>219</v>
      </c>
      <c r="I62" s="4" t="s">
        <v>220</v>
      </c>
    </row>
    <row r="63" customFormat="false" ht="17.15" hidden="false" customHeight="false" outlineLevel="0" collapsed="false">
      <c r="A63" s="0" t="s">
        <v>221</v>
      </c>
      <c r="B63" s="4" t="s">
        <v>222</v>
      </c>
      <c r="C63" s="0" t="s">
        <v>47</v>
      </c>
      <c r="D63" s="7" t="n">
        <v>0</v>
      </c>
      <c r="E63" s="7" t="n">
        <v>0.005</v>
      </c>
      <c r="F63" s="7" t="n">
        <v>0.02</v>
      </c>
      <c r="G63" s="8" t="s">
        <v>60</v>
      </c>
      <c r="H63" s="4" t="s">
        <v>223</v>
      </c>
      <c r="I63" s="8" t="s">
        <v>224</v>
      </c>
    </row>
    <row r="64" customFormat="false" ht="17.15" hidden="false" customHeight="false" outlineLevel="0" collapsed="false">
      <c r="A64" s="0" t="s">
        <v>225</v>
      </c>
      <c r="B64" s="0" t="s">
        <v>226</v>
      </c>
      <c r="C64" s="0" t="s">
        <v>59</v>
      </c>
      <c r="D64" s="7" t="n">
        <v>0.8</v>
      </c>
      <c r="E64" s="7" t="n">
        <v>1</v>
      </c>
      <c r="F64" s="7" t="n">
        <v>1.2</v>
      </c>
      <c r="G64" s="8" t="s">
        <v>60</v>
      </c>
      <c r="H64" s="4" t="s">
        <v>227</v>
      </c>
      <c r="I64" s="8" t="s">
        <v>228</v>
      </c>
    </row>
    <row r="65" customFormat="false" ht="17.15" hidden="false" customHeight="false" outlineLevel="0" collapsed="false">
      <c r="A65" s="6" t="s">
        <v>229</v>
      </c>
    </row>
    <row r="66" customFormat="false" ht="17.15" hidden="false" customHeight="false" outlineLevel="0" collapsed="false">
      <c r="A66" s="0" t="s">
        <v>230</v>
      </c>
      <c r="B66" s="4" t="s">
        <v>231</v>
      </c>
      <c r="C66" s="0" t="s">
        <v>184</v>
      </c>
      <c r="E66" s="7" t="n">
        <v>1361.998</v>
      </c>
      <c r="G66" s="8" t="s">
        <v>122</v>
      </c>
      <c r="H66" s="4" t="s">
        <v>232</v>
      </c>
      <c r="I66" s="8" t="s">
        <v>132</v>
      </c>
    </row>
    <row r="67" customFormat="false" ht="17.15" hidden="false" customHeight="false" outlineLevel="0" collapsed="false">
      <c r="A67" s="0" t="s">
        <v>233</v>
      </c>
      <c r="B67" s="4" t="s">
        <v>234</v>
      </c>
      <c r="C67" s="0" t="s">
        <v>235</v>
      </c>
      <c r="E67" s="0" t="n">
        <f aca="false">370.69/adj</f>
        <v>124.276073183182</v>
      </c>
      <c r="G67" s="0" t="s">
        <v>122</v>
      </c>
      <c r="H67" s="4" t="s">
        <v>236</v>
      </c>
      <c r="I67" s="0" t="s">
        <v>132</v>
      </c>
    </row>
    <row r="68" customFormat="false" ht="17.15" hidden="false" customHeight="false" outlineLevel="0" collapsed="false">
      <c r="A68" s="0" t="s">
        <v>237</v>
      </c>
      <c r="B68" s="4" t="s">
        <v>238</v>
      </c>
      <c r="C68" s="0" t="s">
        <v>184</v>
      </c>
      <c r="E68" s="7" t="n">
        <v>2368.079</v>
      </c>
      <c r="G68" s="8" t="s">
        <v>122</v>
      </c>
      <c r="H68" s="4" t="s">
        <v>232</v>
      </c>
      <c r="I68" s="8" t="s">
        <v>239</v>
      </c>
    </row>
    <row r="69" customFormat="false" ht="17.15" hidden="false" customHeight="false" outlineLevel="0" collapsed="false">
      <c r="A69" s="0" t="s">
        <v>240</v>
      </c>
      <c r="B69" s="4" t="s">
        <v>241</v>
      </c>
      <c r="C69" s="0" t="s">
        <v>235</v>
      </c>
      <c r="E69" s="0" t="n">
        <f aca="false">566.42/adj</f>
        <v>189.895744078389</v>
      </c>
      <c r="G69" s="0" t="s">
        <v>122</v>
      </c>
      <c r="H69" s="4" t="s">
        <v>242</v>
      </c>
      <c r="I69" s="0" t="s">
        <v>132</v>
      </c>
    </row>
    <row r="70" customFormat="false" ht="17.15" hidden="false" customHeight="false" outlineLevel="0" collapsed="false">
      <c r="A70" s="0" t="s">
        <v>243</v>
      </c>
      <c r="B70" s="4" t="s">
        <v>244</v>
      </c>
      <c r="C70" s="0" t="s">
        <v>47</v>
      </c>
      <c r="E70" s="7" t="n">
        <v>0.07</v>
      </c>
      <c r="G70" s="8" t="s">
        <v>122</v>
      </c>
      <c r="H70" s="4" t="s">
        <v>232</v>
      </c>
      <c r="I70" s="4" t="s">
        <v>245</v>
      </c>
    </row>
    <row r="71" customFormat="false" ht="17.15" hidden="false" customHeight="false" outlineLevel="0" collapsed="false">
      <c r="A71" s="0" t="s">
        <v>246</v>
      </c>
      <c r="B71" s="4" t="s">
        <v>247</v>
      </c>
      <c r="C71" s="0" t="s">
        <v>184</v>
      </c>
      <c r="E71" s="7" t="n">
        <v>1403.066</v>
      </c>
      <c r="G71" s="8" t="s">
        <v>122</v>
      </c>
      <c r="H71" s="8" t="s">
        <v>248</v>
      </c>
      <c r="I71" s="4" t="s">
        <v>249</v>
      </c>
    </row>
    <row r="72" customFormat="false" ht="17.15" hidden="false" customHeight="false" outlineLevel="0" collapsed="false">
      <c r="A72" s="0" t="s">
        <v>250</v>
      </c>
      <c r="B72" s="4" t="s">
        <v>251</v>
      </c>
      <c r="C72" s="0" t="s">
        <v>184</v>
      </c>
      <c r="E72" s="7" t="n">
        <v>2488.718</v>
      </c>
      <c r="G72" s="8" t="s">
        <v>122</v>
      </c>
      <c r="H72" s="8" t="s">
        <v>248</v>
      </c>
      <c r="I72" s="4" t="s">
        <v>252</v>
      </c>
    </row>
    <row r="73" customFormat="false" ht="17.15" hidden="false" customHeight="false" outlineLevel="0" collapsed="false">
      <c r="A73" s="0" t="s">
        <v>253</v>
      </c>
      <c r="B73" s="4" t="s">
        <v>254</v>
      </c>
      <c r="C73" s="0" t="s">
        <v>184</v>
      </c>
      <c r="E73" s="7" t="n">
        <v>73.089</v>
      </c>
      <c r="G73" s="8" t="s">
        <v>122</v>
      </c>
      <c r="H73" s="8" t="s">
        <v>248</v>
      </c>
      <c r="I73" s="8" t="s">
        <v>132</v>
      </c>
    </row>
    <row r="74" customFormat="false" ht="17.15" hidden="false" customHeight="false" outlineLevel="0" collapsed="false">
      <c r="A74" s="0" t="s">
        <v>255</v>
      </c>
      <c r="B74" s="4" t="s">
        <v>256</v>
      </c>
      <c r="C74" s="0" t="s">
        <v>184</v>
      </c>
      <c r="E74" s="7" t="n">
        <v>109.35</v>
      </c>
      <c r="G74" s="8" t="s">
        <v>122</v>
      </c>
      <c r="H74" s="8" t="s">
        <v>248</v>
      </c>
      <c r="I74" s="8" t="s">
        <v>132</v>
      </c>
    </row>
    <row r="75" customFormat="false" ht="17.15" hidden="false" customHeight="false" outlineLevel="0" collapsed="false">
      <c r="A75" s="0" t="s">
        <v>257</v>
      </c>
      <c r="B75" s="4" t="s">
        <v>258</v>
      </c>
      <c r="C75" s="0" t="s">
        <v>184</v>
      </c>
      <c r="E75" s="7" t="n">
        <v>130.798</v>
      </c>
      <c r="G75" s="8" t="s">
        <v>122</v>
      </c>
      <c r="H75" s="8" t="s">
        <v>248</v>
      </c>
      <c r="I75" s="8" t="s">
        <v>132</v>
      </c>
    </row>
    <row r="76" customFormat="false" ht="17.15" hidden="false" customHeight="false" outlineLevel="0" collapsed="false">
      <c r="A76" s="0" t="s">
        <v>259</v>
      </c>
      <c r="B76" s="4" t="s">
        <v>260</v>
      </c>
      <c r="C76" s="0" t="s">
        <v>235</v>
      </c>
      <c r="E76" s="7" t="n">
        <v>138</v>
      </c>
      <c r="G76" s="8" t="s">
        <v>122</v>
      </c>
      <c r="H76" s="8" t="s">
        <v>261</v>
      </c>
      <c r="I76" s="8" t="s">
        <v>262</v>
      </c>
    </row>
    <row r="77" customFormat="false" ht="17.15" hidden="false" customHeight="false" outlineLevel="0" collapsed="false">
      <c r="A77" s="0" t="s">
        <v>263</v>
      </c>
      <c r="B77" s="4" t="s">
        <v>264</v>
      </c>
      <c r="C77" s="0" t="s">
        <v>235</v>
      </c>
      <c r="E77" s="0" t="n">
        <f aca="false">c_ni27/q_sh</f>
        <v>196.192765896369</v>
      </c>
      <c r="G77" s="0" t="s">
        <v>28</v>
      </c>
      <c r="H77" s="0" t="s">
        <v>265</v>
      </c>
      <c r="I77" s="0" t="s">
        <v>266</v>
      </c>
    </row>
    <row r="78" customFormat="false" ht="17.15" hidden="false" customHeight="false" outlineLevel="0" collapsed="false">
      <c r="A78" s="0" t="s">
        <v>267</v>
      </c>
      <c r="B78" s="4" t="s">
        <v>268</v>
      </c>
      <c r="C78" s="0" t="s">
        <v>235</v>
      </c>
      <c r="E78" s="0" t="n">
        <f aca="false">c_ni28/q_sh</f>
        <v>234.674178268982</v>
      </c>
      <c r="G78" s="0" t="s">
        <v>28</v>
      </c>
      <c r="H78" s="4" t="s">
        <v>33</v>
      </c>
      <c r="I78" s="0" t="s">
        <v>269</v>
      </c>
    </row>
    <row r="79" customFormat="false" ht="17.15" hidden="false" customHeight="false" outlineLevel="0" collapsed="false">
      <c r="A79" s="6" t="s">
        <v>270</v>
      </c>
    </row>
    <row r="80" customFormat="false" ht="17.15" hidden="false" customHeight="false" outlineLevel="0" collapsed="false">
      <c r="A80" s="0" t="s">
        <v>271</v>
      </c>
      <c r="B80" s="4" t="s">
        <v>272</v>
      </c>
      <c r="C80" s="0" t="s">
        <v>235</v>
      </c>
      <c r="E80" s="7" t="n">
        <v>1840</v>
      </c>
      <c r="G80" s="8" t="s">
        <v>122</v>
      </c>
      <c r="H80" s="4" t="s">
        <v>273</v>
      </c>
      <c r="I80" s="8" t="s">
        <v>274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59</v>
      </c>
      <c r="E81" s="7" t="n">
        <v>19.2</v>
      </c>
      <c r="G81" s="8" t="s">
        <v>122</v>
      </c>
      <c r="H81" s="8" t="s">
        <v>277</v>
      </c>
      <c r="I81" s="8" t="s">
        <v>278</v>
      </c>
    </row>
    <row r="82" customFormat="false" ht="17.15" hidden="false" customHeight="false" outlineLevel="0" collapsed="false">
      <c r="A82" s="0" t="s">
        <v>279</v>
      </c>
      <c r="B82" s="4" t="s">
        <v>280</v>
      </c>
      <c r="C82" s="0" t="s">
        <v>59</v>
      </c>
      <c r="E82" s="7" t="n">
        <v>11.73</v>
      </c>
      <c r="G82" s="8" t="s">
        <v>122</v>
      </c>
      <c r="H82" s="8" t="s">
        <v>277</v>
      </c>
      <c r="I82" s="8" t="s">
        <v>132</v>
      </c>
    </row>
    <row r="83" customFormat="false" ht="17.15" hidden="false" customHeight="false" outlineLevel="0" collapsed="false">
      <c r="A83" s="0" t="s">
        <v>281</v>
      </c>
      <c r="B83" s="4" t="s">
        <v>282</v>
      </c>
      <c r="C83" s="0" t="s">
        <v>235</v>
      </c>
      <c r="E83" s="0" t="n">
        <f aca="false">1880/fpe</f>
        <v>160.272804774084</v>
      </c>
      <c r="G83" s="0" t="s">
        <v>28</v>
      </c>
      <c r="H83" s="0" t="s">
        <v>283</v>
      </c>
      <c r="I83" s="4" t="s">
        <v>284</v>
      </c>
    </row>
    <row r="84" customFormat="false" ht="17.15" hidden="false" customHeight="false" outlineLevel="0" collapsed="false">
      <c r="A84" s="0" t="s">
        <v>285</v>
      </c>
      <c r="B84" s="4" t="s">
        <v>286</v>
      </c>
      <c r="C84" s="0" t="s">
        <v>235</v>
      </c>
      <c r="D84" s="7" t="n">
        <v>2262.98</v>
      </c>
      <c r="E84" s="7" t="n">
        <v>2845.66</v>
      </c>
      <c r="F84" s="7" t="n">
        <v>4000</v>
      </c>
      <c r="G84" s="8" t="s">
        <v>122</v>
      </c>
      <c r="H84" s="8" t="s">
        <v>287</v>
      </c>
      <c r="I84" s="8" t="s">
        <v>288</v>
      </c>
    </row>
    <row r="85" customFormat="false" ht="17.15" hidden="false" customHeight="false" outlineLevel="0" collapsed="false">
      <c r="A85" s="0" t="s">
        <v>289</v>
      </c>
      <c r="B85" s="4" t="s">
        <v>290</v>
      </c>
      <c r="C85" s="0" t="s">
        <v>47</v>
      </c>
      <c r="E85" s="0" t="n">
        <f aca="false">AVERAGE(3.11/317,12.1/857,55.8/1811,61.7/1636,86.1/1869,86.5/1926,142/2929,120/2419,228/3605,511/9507)</f>
        <v>0.0398517884716456</v>
      </c>
      <c r="G85" s="0" t="s">
        <v>28</v>
      </c>
      <c r="H85" s="0" t="s">
        <v>291</v>
      </c>
      <c r="I85" s="4" t="s">
        <v>292</v>
      </c>
    </row>
    <row r="86" customFormat="false" ht="17.15" hidden="false" customHeight="false" outlineLevel="0" collapsed="false">
      <c r="A86" s="6" t="s">
        <v>293</v>
      </c>
    </row>
    <row r="87" customFormat="false" ht="17.15" hidden="false" customHeight="false" outlineLevel="0" collapsed="false">
      <c r="A87" s="9" t="s">
        <v>294</v>
      </c>
      <c r="B87" s="10" t="s">
        <v>295</v>
      </c>
      <c r="C87" s="9" t="s">
        <v>47</v>
      </c>
      <c r="D87" s="9"/>
      <c r="E87" s="11" t="n">
        <v>0.3</v>
      </c>
      <c r="F87" s="9"/>
      <c r="G87" s="9" t="s">
        <v>60</v>
      </c>
      <c r="H87" s="9" t="s">
        <v>296</v>
      </c>
      <c r="I87" s="10" t="s">
        <v>297</v>
      </c>
    </row>
    <row r="88" customFormat="false" ht="17.15" hidden="false" customHeight="false" outlineLevel="0" collapsed="false">
      <c r="A88" s="9" t="s">
        <v>298</v>
      </c>
      <c r="B88" s="10" t="s">
        <v>299</v>
      </c>
      <c r="C88" s="9" t="s">
        <v>47</v>
      </c>
      <c r="D88" s="9"/>
      <c r="E88" s="11" t="n">
        <v>0.5</v>
      </c>
      <c r="F88" s="9"/>
      <c r="G88" s="9" t="s">
        <v>60</v>
      </c>
      <c r="H88" s="9" t="s">
        <v>296</v>
      </c>
      <c r="I88" s="10" t="s">
        <v>297</v>
      </c>
    </row>
    <row r="89" customFormat="false" ht="17.15" hidden="false" customHeight="false" outlineLevel="0" collapsed="false">
      <c r="A89" s="9" t="s">
        <v>300</v>
      </c>
      <c r="B89" s="10" t="s">
        <v>301</v>
      </c>
      <c r="C89" s="9" t="s">
        <v>47</v>
      </c>
      <c r="D89" s="9"/>
      <c r="E89" s="11" t="n">
        <v>0.2</v>
      </c>
      <c r="F89" s="9"/>
      <c r="G89" s="9" t="s">
        <v>60</v>
      </c>
      <c r="H89" s="9" t="s">
        <v>296</v>
      </c>
      <c r="I89" s="10" t="s">
        <v>297</v>
      </c>
    </row>
    <row r="90" customFormat="false" ht="17.15" hidden="false" customHeight="false" outlineLevel="0" collapsed="false">
      <c r="A90" s="9" t="s">
        <v>302</v>
      </c>
      <c r="B90" s="10" t="s">
        <v>303</v>
      </c>
      <c r="C90" s="9" t="s">
        <v>47</v>
      </c>
      <c r="D90" s="9"/>
      <c r="E90" s="11" t="n">
        <v>0.1</v>
      </c>
      <c r="F90" s="9"/>
      <c r="G90" s="9" t="s">
        <v>60</v>
      </c>
      <c r="H90" s="9" t="s">
        <v>304</v>
      </c>
      <c r="I90" s="9" t="s">
        <v>305</v>
      </c>
    </row>
    <row r="91" customFormat="false" ht="17.15" hidden="false" customHeight="false" outlineLevel="0" collapsed="false">
      <c r="A91" s="9" t="s">
        <v>306</v>
      </c>
      <c r="B91" s="10" t="s">
        <v>307</v>
      </c>
      <c r="C91" s="9" t="s">
        <v>47</v>
      </c>
      <c r="D91" s="9"/>
      <c r="E91" s="11" t="n">
        <v>0.04</v>
      </c>
      <c r="F91" s="9"/>
      <c r="G91" s="9" t="s">
        <v>60</v>
      </c>
      <c r="H91" s="9" t="s">
        <v>308</v>
      </c>
      <c r="I91" s="9" t="s">
        <v>309</v>
      </c>
    </row>
    <row r="92" customFormat="false" ht="17.15" hidden="false" customHeight="false" outlineLevel="0" collapsed="false">
      <c r="A92" s="9" t="s">
        <v>310</v>
      </c>
      <c r="B92" s="9" t="s">
        <v>311</v>
      </c>
      <c r="C92" s="9" t="s">
        <v>47</v>
      </c>
      <c r="D92" s="9"/>
      <c r="E92" s="9" t="n">
        <f aca="false">AVERAGE(0.297,0.349,0.48)</f>
        <v>0.375333333333333</v>
      </c>
      <c r="F92" s="9"/>
      <c r="G92" s="9" t="s">
        <v>28</v>
      </c>
      <c r="H92" s="9" t="s">
        <v>312</v>
      </c>
      <c r="I92" s="10" t="s">
        <v>313</v>
      </c>
    </row>
    <row r="93" customFormat="false" ht="17.15" hidden="false" customHeight="false" outlineLevel="0" collapsed="false">
      <c r="A93" s="9" t="s">
        <v>314</v>
      </c>
      <c r="B93" s="10" t="s">
        <v>315</v>
      </c>
      <c r="C93" s="9" t="s">
        <v>47</v>
      </c>
      <c r="D93" s="9"/>
      <c r="E93" s="11" t="n">
        <v>0.5</v>
      </c>
      <c r="F93" s="9"/>
      <c r="G93" s="9" t="s">
        <v>60</v>
      </c>
      <c r="H93" s="9" t="s">
        <v>316</v>
      </c>
      <c r="I93" s="9" t="s">
        <v>132</v>
      </c>
    </row>
    <row r="94" customFormat="false" ht="17.15" hidden="false" customHeight="false" outlineLevel="0" collapsed="false">
      <c r="A94" s="9" t="s">
        <v>317</v>
      </c>
      <c r="B94" s="10" t="s">
        <v>318</v>
      </c>
      <c r="C94" s="9" t="s">
        <v>47</v>
      </c>
      <c r="D94" s="9"/>
      <c r="E94" s="9" t="n">
        <f aca="false">tp_g+0.02</f>
        <v>0.06</v>
      </c>
      <c r="F94" s="9"/>
      <c r="G94" s="9" t="s">
        <v>60</v>
      </c>
      <c r="H94" s="10" t="s">
        <v>319</v>
      </c>
      <c r="I94" s="9" t="s">
        <v>320</v>
      </c>
    </row>
    <row r="95" customFormat="false" ht="17.15" hidden="false" customHeight="false" outlineLevel="0" collapsed="false">
      <c r="A95" s="9" t="s">
        <v>321</v>
      </c>
      <c r="B95" s="10" t="s">
        <v>322</v>
      </c>
      <c r="C95" s="9" t="s">
        <v>47</v>
      </c>
      <c r="D95" s="9"/>
      <c r="E95" s="9" t="n">
        <f aca="false">tp_g</f>
        <v>0.04</v>
      </c>
      <c r="F95" s="9"/>
      <c r="G95" s="9" t="s">
        <v>60</v>
      </c>
      <c r="H95" s="10" t="s">
        <v>33</v>
      </c>
      <c r="I95" s="9" t="s">
        <v>132</v>
      </c>
    </row>
    <row r="96" customFormat="false" ht="17.15" hidden="false" customHeight="false" outlineLevel="0" collapsed="false">
      <c r="A96" s="9" t="s">
        <v>323</v>
      </c>
      <c r="B96" s="10" t="s">
        <v>324</v>
      </c>
      <c r="C96" s="9" t="s">
        <v>47</v>
      </c>
      <c r="D96" s="9"/>
      <c r="E96" s="9" t="n">
        <f aca="false">tp_g-0.02</f>
        <v>0.02</v>
      </c>
      <c r="F96" s="9"/>
      <c r="G96" s="9" t="s">
        <v>60</v>
      </c>
      <c r="H96" s="10" t="s">
        <v>33</v>
      </c>
      <c r="I96" s="9" t="s">
        <v>132</v>
      </c>
    </row>
    <row r="97" customFormat="false" ht="17.15" hidden="false" customHeight="false" outlineLevel="0" collapsed="false">
      <c r="A97" s="9" t="s">
        <v>325</v>
      </c>
      <c r="B97" s="10" t="s">
        <v>326</v>
      </c>
      <c r="C97" s="9" t="s">
        <v>47</v>
      </c>
      <c r="D97" s="9"/>
      <c r="E97" s="12" t="n">
        <f aca="false">PL!G13</f>
        <v>0.0582154252118753</v>
      </c>
      <c r="F97" s="9"/>
      <c r="G97" s="9" t="s">
        <v>28</v>
      </c>
      <c r="H97" s="9" t="s">
        <v>327</v>
      </c>
      <c r="I97" s="9" t="s">
        <v>132</v>
      </c>
    </row>
    <row r="98" customFormat="false" ht="17.15" hidden="false" customHeight="false" outlineLevel="0" collapsed="false">
      <c r="A98" s="9" t="s">
        <v>328</v>
      </c>
      <c r="B98" s="10" t="s">
        <v>329</v>
      </c>
      <c r="C98" s="9" t="s">
        <v>47</v>
      </c>
      <c r="D98" s="9"/>
      <c r="E98" s="13" t="n">
        <f aca="false">(PL!G26+nim10)/2</f>
        <v>0.0488998284347512</v>
      </c>
      <c r="F98" s="9"/>
      <c r="G98" s="9" t="s">
        <v>28</v>
      </c>
      <c r="H98" s="9" t="s">
        <v>330</v>
      </c>
      <c r="I98" s="9" t="s">
        <v>132</v>
      </c>
    </row>
    <row r="99" customFormat="false" ht="17.15" hidden="false" customHeight="false" outlineLevel="0" collapsed="false">
      <c r="A99" s="9" t="s">
        <v>331</v>
      </c>
      <c r="B99" s="10" t="s">
        <v>332</v>
      </c>
      <c r="C99" s="9" t="s">
        <v>47</v>
      </c>
      <c r="D99" s="9"/>
      <c r="E99" s="9" t="n">
        <f aca="false">nim10</f>
        <v>0.0398517884716456</v>
      </c>
      <c r="F99" s="9"/>
      <c r="G99" s="9" t="s">
        <v>28</v>
      </c>
      <c r="H99" s="9" t="s">
        <v>333</v>
      </c>
      <c r="I99" s="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334</v>
      </c>
    </row>
    <row r="2" customFormat="false" ht="17.15" hidden="false" customHeight="false" outlineLevel="0" collapsed="false">
      <c r="A2" s="0" t="s">
        <v>335</v>
      </c>
    </row>
    <row r="3" customFormat="false" ht="17.15" hidden="false" customHeight="false" outlineLevel="0" collapsed="false">
      <c r="A3" s="5" t="s">
        <v>16</v>
      </c>
      <c r="B3" s="14" t="s">
        <v>336</v>
      </c>
      <c r="C3" s="14" t="s">
        <v>337</v>
      </c>
      <c r="D3" s="14" t="s">
        <v>338</v>
      </c>
      <c r="E3" s="14" t="s">
        <v>339</v>
      </c>
      <c r="F3" s="14" t="s">
        <v>340</v>
      </c>
      <c r="G3" s="5" t="s">
        <v>21</v>
      </c>
      <c r="H3" s="5" t="s">
        <v>341</v>
      </c>
      <c r="I3" s="5" t="s">
        <v>23</v>
      </c>
    </row>
    <row r="4" customFormat="false" ht="17.15" hidden="false" customHeight="false" outlineLevel="0" collapsed="false">
      <c r="A4" s="4" t="s">
        <v>342</v>
      </c>
      <c r="B4" s="15" t="n">
        <v>950.663</v>
      </c>
      <c r="C4" s="15" t="n">
        <v>554.661</v>
      </c>
      <c r="D4" s="16" t="n">
        <f aca="false">q3_rev</f>
        <v>434.618</v>
      </c>
      <c r="E4" s="16" t="n">
        <f aca="false">D4*(1+q4g)</f>
        <v>469.38744</v>
      </c>
      <c r="F4" s="16" t="n">
        <f aca="false">SUM(C4:E4)</f>
        <v>1458.66644</v>
      </c>
      <c r="G4" s="8" t="s">
        <v>343</v>
      </c>
      <c r="H4" s="8" t="s">
        <v>344</v>
      </c>
      <c r="I4" s="8" t="s">
        <v>345</v>
      </c>
    </row>
    <row r="5" customFormat="false" ht="17.15" hidden="false" customHeight="false" outlineLevel="0" collapsed="false">
      <c r="A5" s="4" t="s">
        <v>346</v>
      </c>
      <c r="B5" s="15" t="n">
        <v>78.454</v>
      </c>
      <c r="C5" s="16" t="n">
        <f aca="false">20.881+278.153*0.0926</f>
        <v>46.6379678</v>
      </c>
      <c r="D5" s="16" t="n">
        <f aca="false">D4*q_gm</f>
        <v>36.073294</v>
      </c>
      <c r="E5" s="16" t="n">
        <f aca="false">E4*q_gm</f>
        <v>38.95915752</v>
      </c>
      <c r="F5" s="16" t="n">
        <f aca="false">SUM(C5:E5)</f>
        <v>121.67041932</v>
      </c>
      <c r="G5" s="8" t="s">
        <v>347</v>
      </c>
      <c r="H5" s="8" t="s">
        <v>344</v>
      </c>
      <c r="I5" s="8" t="s">
        <v>348</v>
      </c>
    </row>
    <row r="6" customFormat="false" ht="15" hidden="false" customHeight="false" outlineLevel="0" collapsed="false">
      <c r="A6" s="4" t="s">
        <v>349</v>
      </c>
      <c r="B6" s="17" t="n">
        <f aca="false">B5/B4</f>
        <v>0.0825255637381491</v>
      </c>
      <c r="C6" s="17" t="n">
        <f aca="false">C5/C4</f>
        <v>0.0840837336679522</v>
      </c>
      <c r="D6" s="17" t="n">
        <f aca="false">D5/D4</f>
        <v>0.083</v>
      </c>
      <c r="E6" s="17" t="n">
        <f aca="false">E5/E4</f>
        <v>0.083</v>
      </c>
      <c r="F6" s="17" t="n">
        <f aca="false">F5/F4</f>
        <v>0.0834120920201606</v>
      </c>
      <c r="G6" s="8" t="s">
        <v>28</v>
      </c>
      <c r="H6" s="8" t="s">
        <v>132</v>
      </c>
      <c r="I6" s="8" t="s">
        <v>132</v>
      </c>
    </row>
    <row r="7" customFormat="false" ht="17.15" hidden="false" customHeight="false" outlineLevel="0" collapsed="false">
      <c r="A7" s="4" t="s">
        <v>350</v>
      </c>
      <c r="B7" s="16" t="n">
        <f aca="false">B5-B8</f>
        <v>14.536</v>
      </c>
      <c r="C7" s="16" t="n">
        <f aca="false">C5-C8</f>
        <v>8.9582447</v>
      </c>
      <c r="D7" s="16" t="n">
        <f aca="false">D4*q_opx</f>
        <v>6.51927</v>
      </c>
      <c r="E7" s="16" t="n">
        <f aca="false">E4*q_opx</f>
        <v>7.0408116</v>
      </c>
      <c r="F7" s="16" t="n">
        <f aca="false">SUM(C7:E7)</f>
        <v>22.5183263</v>
      </c>
      <c r="G7" s="8" t="s">
        <v>351</v>
      </c>
      <c r="H7" s="8" t="s">
        <v>344</v>
      </c>
      <c r="I7" s="8" t="s">
        <v>352</v>
      </c>
    </row>
    <row r="8" customFormat="false" ht="17.15" hidden="false" customHeight="false" outlineLevel="0" collapsed="false">
      <c r="A8" s="4" t="s">
        <v>353</v>
      </c>
      <c r="B8" s="15" t="n">
        <v>63.918</v>
      </c>
      <c r="C8" s="16" t="n">
        <f aca="false">17.458+278.153*0.0727</f>
        <v>37.6797231</v>
      </c>
      <c r="D8" s="16" t="n">
        <f aca="false">D5-D7</f>
        <v>29.554024</v>
      </c>
      <c r="E8" s="16" t="n">
        <f aca="false">E5-E7</f>
        <v>31.91834592</v>
      </c>
      <c r="F8" s="16" t="n">
        <f aca="false">SUM(C8:E8)</f>
        <v>99.15209302</v>
      </c>
      <c r="G8" s="8" t="s">
        <v>354</v>
      </c>
      <c r="H8" s="8" t="s">
        <v>344</v>
      </c>
      <c r="I8" s="8" t="s">
        <v>355</v>
      </c>
    </row>
    <row r="9" customFormat="false" ht="15" hidden="false" customHeight="false" outlineLevel="0" collapsed="false">
      <c r="A9" s="4" t="s">
        <v>356</v>
      </c>
      <c r="B9" s="17" t="n">
        <f aca="false">B8/B4</f>
        <v>0.0672351821833815</v>
      </c>
      <c r="C9" s="17" t="n">
        <f aca="false">C8/C4</f>
        <v>0.0679328871148323</v>
      </c>
      <c r="D9" s="17" t="n">
        <f aca="false">D8/D4</f>
        <v>0.068</v>
      </c>
      <c r="E9" s="17" t="n">
        <f aca="false">E8/E4</f>
        <v>0.068</v>
      </c>
      <c r="F9" s="17" t="n">
        <f aca="false">F8/F4</f>
        <v>0.0679744801834202</v>
      </c>
      <c r="G9" s="8" t="s">
        <v>28</v>
      </c>
      <c r="H9" s="8" t="s">
        <v>132</v>
      </c>
      <c r="I9" s="8" t="s">
        <v>132</v>
      </c>
    </row>
    <row r="10" customFormat="false" ht="17.15" hidden="false" customHeight="false" outlineLevel="0" collapsed="false">
      <c r="A10" s="4" t="s">
        <v>357</v>
      </c>
      <c r="B10" s="15" t="n">
        <v>51.118</v>
      </c>
      <c r="C10" s="15" t="n">
        <v>29.084</v>
      </c>
      <c r="D10" s="16" t="n">
        <f aca="false">D8*q_nio</f>
        <v>23.05213872</v>
      </c>
      <c r="E10" s="16" t="n">
        <f aca="false">E8*q_nio</f>
        <v>24.8963098176</v>
      </c>
      <c r="F10" s="16" t="n">
        <f aca="false">SUM(C10:E10)</f>
        <v>77.0324485376</v>
      </c>
      <c r="G10" s="8" t="s">
        <v>358</v>
      </c>
      <c r="H10" s="8" t="s">
        <v>344</v>
      </c>
      <c r="I10" s="8" t="s">
        <v>359</v>
      </c>
    </row>
    <row r="11" customFormat="false" ht="17.15" hidden="false" customHeight="false" outlineLevel="0" collapsed="false">
      <c r="A11" s="4" t="s">
        <v>360</v>
      </c>
      <c r="B11" s="18" t="n">
        <f aca="false">B10/B8</f>
        <v>0.799743421258488</v>
      </c>
      <c r="C11" s="18" t="n">
        <f aca="false">C10/C8</f>
        <v>0.771874037471363</v>
      </c>
      <c r="D11" s="18" t="n">
        <f aca="false">D10/D8</f>
        <v>0.78</v>
      </c>
      <c r="E11" s="18" t="n">
        <f aca="false">E10/E8</f>
        <v>0.78</v>
      </c>
      <c r="F11" s="18" t="n">
        <f aca="false">F10/F8</f>
        <v>0.776911976251089</v>
      </c>
      <c r="G11" s="8" t="s">
        <v>28</v>
      </c>
      <c r="H11" s="8" t="s">
        <v>132</v>
      </c>
      <c r="I11" s="8" t="s">
        <v>132</v>
      </c>
    </row>
    <row r="12" customFormat="false" ht="17.15" hidden="false" customHeight="false" outlineLevel="0" collapsed="false">
      <c r="A12" s="4" t="s">
        <v>361</v>
      </c>
      <c r="B12" s="16" t="n">
        <f aca="false">51.118/275.06*adj</f>
        <v>0.554331761662183</v>
      </c>
      <c r="C12" s="16" t="n">
        <f aca="false">29.084/156.38*adj</f>
        <v>0.554748677237498</v>
      </c>
      <c r="D12" s="16" t="n">
        <f aca="false">q_sh</f>
        <v>0.55736</v>
      </c>
      <c r="E12" s="16" t="n">
        <f aca="false">q_sh</f>
        <v>0.55736</v>
      </c>
      <c r="F12" s="16" t="n">
        <f aca="false">(2*C12+D12+E12)/4</f>
        <v>0.556054338618749</v>
      </c>
      <c r="G12" s="8" t="s">
        <v>28</v>
      </c>
      <c r="H12" s="8" t="s">
        <v>344</v>
      </c>
      <c r="I12" s="4" t="s">
        <v>362</v>
      </c>
    </row>
    <row r="13" customFormat="false" ht="17.15" hidden="false" customHeight="false" outlineLevel="0" collapsed="false">
      <c r="A13" s="0" t="s">
        <v>363</v>
      </c>
      <c r="B13" s="19" t="n">
        <f aca="false">B10/B12</f>
        <v>92.2155350556153</v>
      </c>
      <c r="C13" s="19" t="n">
        <f aca="false">C10/C12</f>
        <v>52.4273444775581</v>
      </c>
      <c r="D13" s="19" t="n">
        <f aca="false">D10/D12</f>
        <v>41.3595139945457</v>
      </c>
      <c r="E13" s="19" t="n">
        <f aca="false">E10/E12</f>
        <v>44.6682751141094</v>
      </c>
      <c r="F13" s="19" t="n">
        <f aca="false">F10/F12</f>
        <v>138.534030197391</v>
      </c>
      <c r="G13" s="8" t="s">
        <v>28</v>
      </c>
      <c r="H13" s="4" t="s">
        <v>364</v>
      </c>
      <c r="I13" s="8" t="s">
        <v>132</v>
      </c>
    </row>
    <row r="14" customFormat="false" ht="17.15" hidden="false" customHeight="false" outlineLevel="0" collapsed="false">
      <c r="A14" s="4" t="s">
        <v>365</v>
      </c>
      <c r="B14" s="20" t="n">
        <v>275.06</v>
      </c>
      <c r="C14" s="20" t="n">
        <v>156.38</v>
      </c>
      <c r="G14" s="8" t="s">
        <v>179</v>
      </c>
      <c r="H14" s="8" t="s">
        <v>344</v>
      </c>
      <c r="I14" s="8" t="s">
        <v>366</v>
      </c>
    </row>
    <row r="15" customFormat="false" ht="17.15" hidden="false" customHeight="false" outlineLevel="0" collapsed="false">
      <c r="A15" s="4" t="s">
        <v>367</v>
      </c>
      <c r="B15" s="19" t="n">
        <f aca="false">B14/adj</f>
        <v>92.2155350556153</v>
      </c>
      <c r="C15" s="19" t="n">
        <f aca="false">C14/adj</f>
        <v>52.4273444775581</v>
      </c>
      <c r="G15" s="8" t="s">
        <v>28</v>
      </c>
      <c r="H15" s="8" t="s">
        <v>132</v>
      </c>
      <c r="I15" s="4" t="s">
        <v>368</v>
      </c>
    </row>
    <row r="16" customFormat="false" ht="17.15" hidden="false" customHeight="false" outlineLevel="0" collapsed="false">
      <c r="A16" s="0" t="s">
        <v>369</v>
      </c>
      <c r="B16" s="16" t="n">
        <f aca="false">B4*ais_25</f>
        <v>475.3315</v>
      </c>
      <c r="F16" s="16" t="n">
        <f aca="false">F4*ais_26</f>
        <v>700.1598912</v>
      </c>
      <c r="G16" s="8" t="s">
        <v>370</v>
      </c>
      <c r="H16" s="4" t="s">
        <v>371</v>
      </c>
      <c r="I16" s="4" t="s">
        <v>372</v>
      </c>
    </row>
    <row r="17" customFormat="false" ht="17.15" hidden="false" customHeight="false" outlineLevel="0" collapsed="false">
      <c r="A17" s="4" t="s">
        <v>373</v>
      </c>
      <c r="B17" s="16" t="n">
        <f aca="false">B4-B16</f>
        <v>475.3315</v>
      </c>
      <c r="F17" s="16" t="n">
        <f aca="false">F4-F16</f>
        <v>758.5065488</v>
      </c>
      <c r="G17" s="8" t="s">
        <v>28</v>
      </c>
      <c r="H17" s="8" t="s">
        <v>132</v>
      </c>
      <c r="I17" s="8" t="s">
        <v>132</v>
      </c>
    </row>
    <row r="19" customFormat="false" ht="17.15" hidden="false" customHeight="false" outlineLevel="0" collapsed="false">
      <c r="A19" s="6" t="s">
        <v>374</v>
      </c>
    </row>
    <row r="20" customFormat="false" ht="17.15" hidden="false" customHeight="false" outlineLevel="0" collapsed="false">
      <c r="A20" s="0" t="s">
        <v>375</v>
      </c>
      <c r="B20" s="18" t="n">
        <f aca="false">F4/B4-1</f>
        <v>0.534367530870561</v>
      </c>
    </row>
    <row r="21" customFormat="false" ht="17.15" hidden="false" customHeight="false" outlineLevel="0" collapsed="false">
      <c r="A21" s="0" t="s">
        <v>376</v>
      </c>
      <c r="B21" s="18" t="n">
        <f aca="false">F7/B7-1</f>
        <v>0.549141875343974</v>
      </c>
    </row>
    <row r="22" customFormat="false" ht="17.15" hidden="false" customHeight="false" outlineLevel="0" collapsed="false">
      <c r="A22" s="4" t="s">
        <v>377</v>
      </c>
      <c r="B22" s="19" t="n">
        <f aca="false">B21/B20</f>
        <v>1.02764828253944</v>
      </c>
    </row>
    <row r="23" customFormat="false" ht="17.15" hidden="false" customHeight="false" outlineLevel="0" collapsed="false">
      <c r="A23" s="0" t="s">
        <v>378</v>
      </c>
      <c r="B23" s="18" t="n">
        <f aca="false">F4/c_rev26-1</f>
        <v>0.0396278150849638</v>
      </c>
    </row>
    <row r="24" customFormat="false" ht="17.15" hidden="false" customHeight="false" outlineLevel="0" collapsed="false">
      <c r="A24" s="0" t="s">
        <v>379</v>
      </c>
      <c r="B24" s="18" t="n">
        <f aca="false">F13/c_eps26-1</f>
        <v>0.00386978403906402</v>
      </c>
    </row>
    <row r="25" customFormat="false" ht="17.15" hidden="false" customHeight="false" outlineLevel="0" collapsed="false">
      <c r="A25" s="0" t="s">
        <v>380</v>
      </c>
      <c r="B25" s="18" t="n">
        <f aca="false">F16/B16-1</f>
        <v>0.472992829635738</v>
      </c>
    </row>
    <row r="26" customFormat="false" ht="17.15" hidden="false" customHeight="false" outlineLevel="0" collapsed="false">
      <c r="A26" s="0" t="s">
        <v>381</v>
      </c>
      <c r="B26" s="19" t="n">
        <f aca="false">C13-C15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382</v>
      </c>
    </row>
    <row r="3" customFormat="false" ht="15" hidden="false" customHeight="false" outlineLevel="0" collapsed="false">
      <c r="A3" s="5" t="s">
        <v>16</v>
      </c>
      <c r="B3" s="5" t="s">
        <v>17</v>
      </c>
      <c r="C3" s="14" t="s">
        <v>383</v>
      </c>
      <c r="D3" s="14" t="s">
        <v>384</v>
      </c>
      <c r="E3" s="14" t="s">
        <v>385</v>
      </c>
      <c r="F3" s="14" t="s">
        <v>386</v>
      </c>
      <c r="G3" s="5" t="s">
        <v>387</v>
      </c>
    </row>
    <row r="4" customFormat="false" ht="17.15" hidden="false" customHeight="false" outlineLevel="0" collapsed="false">
      <c r="A4" s="4" t="s">
        <v>388</v>
      </c>
      <c r="B4" s="0" t="s">
        <v>389</v>
      </c>
      <c r="C4" s="21" t="n">
        <f aca="false">PL!D65</f>
        <v>23.3995380420639</v>
      </c>
      <c r="D4" s="21" t="n">
        <f aca="false">PL!E65</f>
        <v>41.6467658260637</v>
      </c>
      <c r="E4" s="21" t="n">
        <f aca="false">PL!F65</f>
        <v>52.792138191248</v>
      </c>
      <c r="F4" s="21" t="n">
        <f aca="false">PL!G65</f>
        <v>60.1385917361116</v>
      </c>
      <c r="G4" s="8" t="s">
        <v>390</v>
      </c>
    </row>
    <row r="5" customFormat="false" ht="17.15" hidden="false" customHeight="false" outlineLevel="0" collapsed="false">
      <c r="A5" s="0" t="s">
        <v>391</v>
      </c>
      <c r="B5" s="0" t="s">
        <v>27</v>
      </c>
      <c r="C5" s="22" t="n">
        <f aca="false">PL!D67</f>
        <v>634.616531285011</v>
      </c>
      <c r="D5" s="22" t="n">
        <f aca="false">PL!E67</f>
        <v>1139.08069210867</v>
      </c>
      <c r="E5" s="22" t="n">
        <f aca="false">PL!F67</f>
        <v>1443.91777166882</v>
      </c>
      <c r="F5" s="22" t="n">
        <f aca="false">PL!G67</f>
        <v>1644.85062257439</v>
      </c>
      <c r="G5" s="4" t="s">
        <v>392</v>
      </c>
    </row>
    <row r="6" customFormat="false" ht="17.15" hidden="false" customHeight="false" outlineLevel="0" collapsed="false">
      <c r="A6" s="4" t="s">
        <v>393</v>
      </c>
      <c r="B6" s="4" t="s">
        <v>85</v>
      </c>
      <c r="C6" s="19" t="n">
        <f aca="false">ua_26</f>
        <v>3</v>
      </c>
      <c r="D6" s="19" t="n">
        <f aca="false">ua_27</f>
        <v>7</v>
      </c>
      <c r="E6" s="19" t="n">
        <f aca="false">ua_28</f>
        <v>8</v>
      </c>
      <c r="F6" s="19" t="n">
        <f aca="false">ua_29</f>
        <v>9.2</v>
      </c>
      <c r="G6" s="8" t="s">
        <v>394</v>
      </c>
    </row>
    <row r="7" customFormat="false" ht="17.15" hidden="false" customHeight="false" outlineLevel="0" collapsed="false">
      <c r="A7" s="4" t="s">
        <v>395</v>
      </c>
      <c r="B7" s="4" t="s">
        <v>85</v>
      </c>
      <c r="C7" s="19" t="n">
        <f aca="false">ut_26</f>
        <v>15.2</v>
      </c>
      <c r="D7" s="19" t="n">
        <f aca="false">ut_27</f>
        <v>23.7</v>
      </c>
      <c r="E7" s="19" t="n">
        <f aca="false">ut_28</f>
        <v>26.5</v>
      </c>
      <c r="F7" s="19" t="n">
        <f aca="false">ut_29</f>
        <v>30.15</v>
      </c>
      <c r="G7" s="8" t="s">
        <v>394</v>
      </c>
    </row>
    <row r="8" customFormat="false" ht="17.15" hidden="false" customHeight="false" outlineLevel="0" collapsed="false">
      <c r="A8" s="0" t="s">
        <v>396</v>
      </c>
      <c r="B8" s="0" t="s">
        <v>59</v>
      </c>
      <c r="C8" s="23" t="n">
        <f aca="false">PL!D71</f>
        <v>1</v>
      </c>
      <c r="D8" s="23" t="n">
        <f aca="false">PL!E71</f>
        <v>1.44683544303797</v>
      </c>
      <c r="E8" s="23" t="n">
        <f aca="false">PL!F71</f>
        <v>1.47660377358491</v>
      </c>
      <c r="F8" s="23" t="n">
        <f aca="false">PL!G71</f>
        <v>1.49144278606965</v>
      </c>
      <c r="G8" s="8" t="s">
        <v>397</v>
      </c>
    </row>
    <row r="9" customFormat="false" ht="17.15" hidden="false" customHeight="false" outlineLevel="0" collapsed="false">
      <c r="A9" s="4" t="s">
        <v>398</v>
      </c>
      <c r="B9" s="0" t="s">
        <v>47</v>
      </c>
      <c r="C9" s="17" t="n">
        <f aca="false">PL!D72</f>
        <v>0.0344775081035094</v>
      </c>
      <c r="D9" s="17" t="n">
        <f aca="false">PL!E72</f>
        <v>0.0498832807117864</v>
      </c>
      <c r="E9" s="17" t="n">
        <f aca="false">PL!F72</f>
        <v>0.0509096185694461</v>
      </c>
      <c r="F9" s="17" t="n">
        <f aca="false">PL!G72</f>
        <v>0.0488501692055052</v>
      </c>
      <c r="G9" s="8" t="s">
        <v>399</v>
      </c>
    </row>
    <row r="10" customFormat="false" ht="17.15" hidden="false" customHeight="false" outlineLevel="0" collapsed="false">
      <c r="A10" s="4" t="s">
        <v>400</v>
      </c>
      <c r="B10" s="0" t="s">
        <v>47</v>
      </c>
      <c r="C10" s="24" t="n">
        <v>0.133896123975753</v>
      </c>
      <c r="D10" s="24" t="n">
        <v>0.133896123975753</v>
      </c>
      <c r="E10" s="24" t="n">
        <v>0.127201317776965</v>
      </c>
      <c r="F10" s="24" t="n">
        <v>0.120506511578177</v>
      </c>
      <c r="G10" s="8" t="s">
        <v>401</v>
      </c>
    </row>
    <row r="11" customFormat="false" ht="17.15" hidden="false" customHeight="false" outlineLevel="0" collapsed="false">
      <c r="A11" s="4" t="s">
        <v>402</v>
      </c>
      <c r="B11" s="0" t="s">
        <v>27</v>
      </c>
      <c r="C11" s="22" t="n">
        <f aca="false">PL!D73/fx</f>
        <v>21.8799966</v>
      </c>
      <c r="D11" s="22" t="n">
        <f aca="false">PL!E73/fx</f>
        <v>56.8210819178326</v>
      </c>
      <c r="E11" s="22" t="n">
        <f aca="false">PL!F73/fx</f>
        <v>73.5093030013044</v>
      </c>
      <c r="F11" s="22" t="n">
        <f aca="false">PL!G73/fx</f>
        <v>80.3512312305394</v>
      </c>
      <c r="G11" s="4" t="s">
        <v>403</v>
      </c>
    </row>
    <row r="12" customFormat="false" ht="17.15" hidden="false" customHeight="false" outlineLevel="0" collapsed="false">
      <c r="A12" s="4" t="s">
        <v>404</v>
      </c>
      <c r="B12" s="0" t="s">
        <v>47</v>
      </c>
      <c r="C12" s="18" t="n">
        <f aca="false">PL!D74</f>
        <v>0</v>
      </c>
      <c r="D12" s="18" t="n">
        <f aca="false">PL!E74</f>
        <v>0.05</v>
      </c>
      <c r="E12" s="18" t="n">
        <f aca="false">PL!F74</f>
        <v>0.1</v>
      </c>
      <c r="F12" s="18" t="n">
        <f aca="false">PL!G74</f>
        <v>0.15</v>
      </c>
      <c r="G12" s="8" t="s">
        <v>405</v>
      </c>
    </row>
    <row r="13" customFormat="false" ht="17.15" hidden="false" customHeight="false" outlineLevel="0" collapsed="false">
      <c r="A13" s="4" t="s">
        <v>406</v>
      </c>
      <c r="B13" s="0" t="s">
        <v>27</v>
      </c>
      <c r="C13" s="22" t="n">
        <f aca="false">PL!D75/fx</f>
        <v>21.8799966</v>
      </c>
      <c r="D13" s="22" t="n">
        <f aca="false">PL!E75/fx</f>
        <v>53.9800278219409</v>
      </c>
      <c r="E13" s="22" t="n">
        <f aca="false">PL!F75/fx</f>
        <v>66.158372701174</v>
      </c>
      <c r="F13" s="22" t="n">
        <f aca="false">PL!G75/fx</f>
        <v>68.2985465459585</v>
      </c>
    </row>
    <row r="14" customFormat="false" ht="17.15" hidden="false" customHeight="false" outlineLevel="0" collapsed="false">
      <c r="A14" s="4" t="s">
        <v>407</v>
      </c>
      <c r="B14" s="0" t="s">
        <v>408</v>
      </c>
      <c r="C14" s="23" t="n">
        <f aca="false">PL!D81</f>
        <v>0.935061049524468</v>
      </c>
      <c r="D14" s="23" t="n">
        <f aca="false">PL!E81</f>
        <v>1.29613973021067</v>
      </c>
      <c r="E14" s="23" t="n">
        <f aca="false">PL!F81</f>
        <v>1.25318607974363</v>
      </c>
      <c r="F14" s="23" t="n">
        <f aca="false">PL!G81</f>
        <v>1.13568583124881</v>
      </c>
    </row>
    <row r="15" customFormat="false" ht="17.15" hidden="false" customHeight="false" outlineLevel="0" collapsed="false">
      <c r="A15" s="4" t="s">
        <v>409</v>
      </c>
      <c r="B15" s="0" t="s">
        <v>47</v>
      </c>
      <c r="C15" s="17" t="n">
        <f aca="false">PL!D87</f>
        <v>0.0782120920201606</v>
      </c>
      <c r="D15" s="17" t="n">
        <f aca="false">PL!E87</f>
        <v>0.0798221384842734</v>
      </c>
      <c r="E15" s="17" t="n">
        <f aca="false">PL!F87</f>
        <v>0.0838333012221766</v>
      </c>
      <c r="F15" s="17" t="n">
        <f aca="false">PL!G87</f>
        <v>0.0883163654586567</v>
      </c>
      <c r="G15" s="4" t="s">
        <v>410</v>
      </c>
    </row>
    <row r="17" customFormat="false" ht="17.15" hidden="false" customHeight="false" outlineLevel="0" collapsed="false">
      <c r="A17" s="1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412</v>
      </c>
    </row>
    <row r="2" customFormat="false" ht="17.15" hidden="false" customHeight="false" outlineLevel="0" collapsed="false">
      <c r="A2" s="4" t="s">
        <v>413</v>
      </c>
    </row>
    <row r="3" customFormat="false" ht="17.15" hidden="false" customHeight="false" outlineLevel="0" collapsed="false">
      <c r="A3" s="5" t="s">
        <v>414</v>
      </c>
      <c r="B3" s="5" t="s">
        <v>17</v>
      </c>
      <c r="C3" s="14" t="s">
        <v>336</v>
      </c>
      <c r="D3" s="14" t="s">
        <v>415</v>
      </c>
      <c r="E3" s="14" t="s">
        <v>416</v>
      </c>
      <c r="F3" s="14" t="s">
        <v>417</v>
      </c>
      <c r="G3" s="14" t="s">
        <v>418</v>
      </c>
      <c r="H3" s="14" t="s">
        <v>419</v>
      </c>
      <c r="I3" s="14" t="s">
        <v>420</v>
      </c>
      <c r="J3" s="14" t="s">
        <v>421</v>
      </c>
      <c r="K3" s="5" t="s">
        <v>387</v>
      </c>
    </row>
    <row r="4" customFormat="false" ht="17.15" hidden="false" customHeight="false" outlineLevel="0" collapsed="false">
      <c r="A4" s="1" t="s">
        <v>422</v>
      </c>
    </row>
    <row r="5" customFormat="false" ht="15" hidden="false" customHeight="false" outlineLevel="0" collapsed="false">
      <c r="A5" s="4" t="s">
        <v>342</v>
      </c>
      <c r="B5" s="0" t="s">
        <v>184</v>
      </c>
      <c r="C5" s="22" t="n">
        <f aca="false">C78</f>
        <v>950.663</v>
      </c>
      <c r="D5" s="22" t="n">
        <f aca="false">D78</f>
        <v>1458.66644</v>
      </c>
      <c r="E5" s="22" t="n">
        <f aca="false">E78</f>
        <v>2523.79276654211</v>
      </c>
      <c r="F5" s="22" t="n">
        <f aca="false">F78</f>
        <v>2937.39275896477</v>
      </c>
      <c r="G5" s="22" t="n">
        <f aca="false">G78</f>
        <v>3030.48806697369</v>
      </c>
      <c r="H5" s="25" t="n">
        <f aca="false">H78</f>
        <v>3155.12835768908</v>
      </c>
      <c r="I5" s="25" t="n">
        <f aca="false">I78</f>
        <v>3314.6655056075</v>
      </c>
      <c r="J5" s="25" t="n">
        <f aca="false">J78</f>
        <v>3513.54543594395</v>
      </c>
    </row>
    <row r="6" customFormat="false" ht="15" hidden="false" customHeight="false" outlineLevel="0" collapsed="false">
      <c r="A6" s="4" t="s">
        <v>423</v>
      </c>
      <c r="B6" s="0" t="s">
        <v>47</v>
      </c>
      <c r="D6" s="18" t="n">
        <f aca="false">D79</f>
        <v>0.534367530870561</v>
      </c>
      <c r="E6" s="18" t="n">
        <f aca="false">E79</f>
        <v>0.730205547569951</v>
      </c>
      <c r="F6" s="18" t="n">
        <f aca="false">F79</f>
        <v>0.163880330392316</v>
      </c>
      <c r="G6" s="18" t="n">
        <f aca="false">G79</f>
        <v>0.0316931767891091</v>
      </c>
      <c r="H6" s="26" t="n">
        <f aca="false">H79</f>
        <v>0.0411287845260727</v>
      </c>
      <c r="I6" s="26" t="n">
        <f aca="false">I79</f>
        <v>0.0505643922630364</v>
      </c>
      <c r="J6" s="26" t="n">
        <f aca="false">J79</f>
        <v>0.06</v>
      </c>
    </row>
    <row r="7" customFormat="false" ht="17.15" hidden="false" customHeight="false" outlineLevel="0" collapsed="false">
      <c r="A7" s="0" t="s">
        <v>424</v>
      </c>
      <c r="B7" s="0" t="s">
        <v>184</v>
      </c>
      <c r="C7" s="22" t="n">
        <f aca="false">C75</f>
        <v>475.3315</v>
      </c>
      <c r="D7" s="22" t="n">
        <f aca="false">D75</f>
        <v>700.1598912</v>
      </c>
      <c r="E7" s="22" t="n">
        <f aca="false">E75</f>
        <v>1727.36089030211</v>
      </c>
      <c r="F7" s="22" t="n">
        <f aca="false">F75</f>
        <v>2117.06792643757</v>
      </c>
      <c r="G7" s="22" t="n">
        <f aca="false">G75</f>
        <v>2185.55348947067</v>
      </c>
    </row>
    <row r="8" customFormat="false" ht="15" hidden="false" customHeight="false" outlineLevel="0" collapsed="false">
      <c r="A8" s="4" t="s">
        <v>425</v>
      </c>
      <c r="B8" s="0" t="s">
        <v>184</v>
      </c>
      <c r="C8" s="22" t="n">
        <f aca="false">C77</f>
        <v>475.3315</v>
      </c>
      <c r="D8" s="22" t="n">
        <f aca="false">D77</f>
        <v>758.5065488</v>
      </c>
      <c r="E8" s="22" t="n">
        <f aca="false">E77</f>
        <v>796.43187624</v>
      </c>
      <c r="F8" s="22" t="n">
        <f aca="false">F77</f>
        <v>820.3248325272</v>
      </c>
      <c r="G8" s="22" t="n">
        <f aca="false">G77</f>
        <v>844.934577503016</v>
      </c>
    </row>
    <row r="9" customFormat="false" ht="17.15" hidden="false" customHeight="false" outlineLevel="0" collapsed="false">
      <c r="A9" s="0" t="s">
        <v>426</v>
      </c>
      <c r="B9" s="0" t="s">
        <v>47</v>
      </c>
      <c r="C9" s="18" t="n">
        <f aca="false">C80</f>
        <v>0.5</v>
      </c>
      <c r="D9" s="18" t="n">
        <f aca="false">D80</f>
        <v>0.48</v>
      </c>
      <c r="E9" s="18" t="n">
        <f aca="false">E80</f>
        <v>0.684430557532977</v>
      </c>
      <c r="F9" s="18" t="n">
        <f aca="false">F80</f>
        <v>0.720730287080741</v>
      </c>
      <c r="G9" s="18" t="n">
        <f aca="false">G80</f>
        <v>0.721188614233091</v>
      </c>
    </row>
    <row r="10" customFormat="false" ht="15" hidden="false" customHeight="false" outlineLevel="0" collapsed="false">
      <c r="A10" s="4" t="s">
        <v>349</v>
      </c>
      <c r="B10" s="0" t="s">
        <v>47</v>
      </c>
      <c r="C10" s="17" t="n">
        <f aca="false">C86</f>
        <v>0.0825255637381491</v>
      </c>
      <c r="D10" s="17" t="n">
        <f aca="false">D86</f>
        <v>0.0834120920201606</v>
      </c>
      <c r="E10" s="17" t="n">
        <f aca="false">E86</f>
        <v>0.0824697514439176</v>
      </c>
      <c r="F10" s="17" t="n">
        <f aca="false">F86</f>
        <v>0.0850561648712631</v>
      </c>
      <c r="G10" s="17" t="n">
        <f aca="false">G86</f>
        <v>0.0882872928367709</v>
      </c>
    </row>
    <row r="11" customFormat="false" ht="15" hidden="false" customHeight="false" outlineLevel="0" collapsed="false">
      <c r="A11" s="4" t="s">
        <v>356</v>
      </c>
      <c r="B11" s="0" t="s">
        <v>47</v>
      </c>
      <c r="C11" s="17" t="n">
        <f aca="false">C91</f>
        <v>0.0672351821833815</v>
      </c>
      <c r="D11" s="17" t="n">
        <f aca="false">D91</f>
        <v>0.0679744801834201</v>
      </c>
      <c r="E11" s="17" t="n">
        <f aca="false">E91</f>
        <v>0.0683351789853888</v>
      </c>
      <c r="F11" s="17" t="n">
        <f aca="false">F91</f>
        <v>0.0713196364975032</v>
      </c>
      <c r="G11" s="17" t="n">
        <f aca="false">G91</f>
        <v>0.0746351605280453</v>
      </c>
    </row>
    <row r="12" customFormat="false" ht="15" hidden="false" customHeight="false" outlineLevel="0" collapsed="false">
      <c r="A12" s="4" t="s">
        <v>357</v>
      </c>
      <c r="B12" s="0" t="s">
        <v>184</v>
      </c>
      <c r="C12" s="22" t="n">
        <f aca="false">C93</f>
        <v>51.118</v>
      </c>
      <c r="D12" s="22" t="n">
        <f aca="false">D93</f>
        <v>77.0324485376</v>
      </c>
      <c r="E12" s="22" t="n">
        <f aca="false">E93</f>
        <v>134.521787730474</v>
      </c>
      <c r="F12" s="22" t="n">
        <f aca="false">F93</f>
        <v>163.405151379417</v>
      </c>
      <c r="G12" s="22" t="n">
        <f aca="false">G93</f>
        <v>176.421151418387</v>
      </c>
      <c r="H12" s="25" t="n">
        <f aca="false">H93</f>
        <v>183.677138940916</v>
      </c>
      <c r="I12" s="25" t="n">
        <f aca="false">I93</f>
        <v>192.964661844076</v>
      </c>
      <c r="J12" s="25" t="n">
        <f aca="false">J93</f>
        <v>204.542541554721</v>
      </c>
    </row>
    <row r="13" customFormat="false" ht="15" hidden="false" customHeight="false" outlineLevel="0" collapsed="false">
      <c r="A13" s="4" t="s">
        <v>427</v>
      </c>
      <c r="B13" s="0" t="s">
        <v>47</v>
      </c>
      <c r="C13" s="17" t="n">
        <f aca="false">C97</f>
        <v>0.0537708946282752</v>
      </c>
      <c r="D13" s="17" t="n">
        <f aca="false">D97</f>
        <v>0.0528101877339414</v>
      </c>
      <c r="E13" s="17" t="n">
        <f aca="false">E97</f>
        <v>0.0533014396086032</v>
      </c>
      <c r="F13" s="17" t="n">
        <f aca="false">F97</f>
        <v>0.0556293164680525</v>
      </c>
      <c r="G13" s="17" t="n">
        <f aca="false">G97</f>
        <v>0.0582154252118753</v>
      </c>
      <c r="H13" s="27" t="n">
        <f aca="false">H97</f>
        <v>0.0582154252118753</v>
      </c>
      <c r="I13" s="27" t="n">
        <f aca="false">I97</f>
        <v>0.0582154252118753</v>
      </c>
      <c r="J13" s="27" t="n">
        <f aca="false">J97</f>
        <v>0.0582154252118753</v>
      </c>
    </row>
    <row r="14" customFormat="false" ht="15" hidden="false" customHeight="false" outlineLevel="0" collapsed="false">
      <c r="A14" s="0" t="s">
        <v>428</v>
      </c>
      <c r="B14" s="0" t="s">
        <v>235</v>
      </c>
      <c r="C14" s="19" t="n">
        <f aca="false">C95</f>
        <v>92.2155350556153</v>
      </c>
      <c r="D14" s="19" t="n">
        <f aca="false">D95</f>
        <v>138.534030197391</v>
      </c>
      <c r="E14" s="19" t="n">
        <f aca="false">E95</f>
        <v>240.718425896005</v>
      </c>
      <c r="F14" s="19" t="n">
        <f aca="false">F95</f>
        <v>290.948676812537</v>
      </c>
      <c r="G14" s="19" t="n">
        <f aca="false">G95</f>
        <v>312.561320657182</v>
      </c>
      <c r="H14" s="28" t="n">
        <f aca="false">H95</f>
        <v>323.797599866345</v>
      </c>
      <c r="I14" s="28" t="n">
        <f aca="false">I95</f>
        <v>338.477839522205</v>
      </c>
      <c r="J14" s="28" t="n">
        <f aca="false">J95</f>
        <v>357.001502381629</v>
      </c>
    </row>
    <row r="15" customFormat="false" ht="17.15" hidden="false" customHeight="false" outlineLevel="0" collapsed="false">
      <c r="A15" s="0" t="s">
        <v>429</v>
      </c>
      <c r="B15" s="0" t="s">
        <v>47</v>
      </c>
      <c r="D15" s="18" t="n">
        <f aca="false">D96</f>
        <v>0.502285163924287</v>
      </c>
      <c r="E15" s="18" t="n">
        <f aca="false">E96</f>
        <v>0.737612235441472</v>
      </c>
      <c r="F15" s="18" t="n">
        <f aca="false">F96</f>
        <v>0.208668076527857</v>
      </c>
      <c r="G15" s="18" t="n">
        <f aca="false">G96</f>
        <v>0.07428335499381</v>
      </c>
      <c r="H15" s="26" t="n">
        <f aca="false">H96</f>
        <v>0.0359490393294257</v>
      </c>
      <c r="I15" s="26" t="n">
        <f aca="false">I96</f>
        <v>0.045337703744315</v>
      </c>
      <c r="J15" s="26" t="n">
        <f aca="false">J96</f>
        <v>0.0547263681592041</v>
      </c>
    </row>
    <row r="17" customFormat="false" ht="17.15" hidden="false" customHeight="false" outlineLevel="0" collapsed="false">
      <c r="A17" s="1" t="s">
        <v>430</v>
      </c>
    </row>
    <row r="18" customFormat="false" ht="15" hidden="false" customHeight="false" outlineLevel="0" collapsed="false">
      <c r="A18" s="4" t="s">
        <v>342</v>
      </c>
      <c r="B18" s="0" t="s">
        <v>184</v>
      </c>
      <c r="C18" s="22" t="n">
        <f aca="false">C118</f>
        <v>950.663</v>
      </c>
      <c r="D18" s="22" t="n">
        <f aca="false">D118</f>
        <v>1458.66644</v>
      </c>
      <c r="E18" s="22" t="n">
        <f aca="false">E118</f>
        <v>2523.79276654211</v>
      </c>
      <c r="F18" s="22" t="n">
        <f aca="false">F118</f>
        <v>2513.97917367725</v>
      </c>
      <c r="G18" s="22" t="n">
        <f aca="false">G118</f>
        <v>2702.65504355309</v>
      </c>
      <c r="H18" s="25" t="n">
        <f aca="false">H118</f>
        <v>2873.91452677693</v>
      </c>
      <c r="I18" s="25" t="n">
        <f aca="false">I118</f>
        <v>3022.44866956771</v>
      </c>
      <c r="J18" s="25" t="n">
        <f aca="false">J118</f>
        <v>3143.34661635042</v>
      </c>
    </row>
    <row r="19" customFormat="false" ht="15" hidden="false" customHeight="false" outlineLevel="0" collapsed="false">
      <c r="A19" s="4" t="s">
        <v>423</v>
      </c>
      <c r="B19" s="0" t="s">
        <v>47</v>
      </c>
      <c r="D19" s="18" t="n">
        <f aca="false">D119</f>
        <v>0.534367530870561</v>
      </c>
      <c r="E19" s="18" t="n">
        <f aca="false">E119</f>
        <v>0.730205547569951</v>
      </c>
      <c r="F19" s="18" t="n">
        <f aca="false">F119</f>
        <v>-0.00388843053794075</v>
      </c>
      <c r="G19" s="18" t="n">
        <f aca="false">G119</f>
        <v>0.0750506893021918</v>
      </c>
      <c r="H19" s="26" t="n">
        <f aca="false">H119</f>
        <v>0.0633671262014612</v>
      </c>
      <c r="I19" s="26" t="n">
        <f aca="false">I119</f>
        <v>0.0516835631007306</v>
      </c>
      <c r="J19" s="26" t="n">
        <f aca="false">J119</f>
        <v>0.04</v>
      </c>
    </row>
    <row r="20" customFormat="false" ht="17.15" hidden="false" customHeight="false" outlineLevel="0" collapsed="false">
      <c r="A20" s="0" t="s">
        <v>424</v>
      </c>
      <c r="B20" s="0" t="s">
        <v>184</v>
      </c>
      <c r="C20" s="22" t="n">
        <f aca="false">C115</f>
        <v>475.3315</v>
      </c>
      <c r="D20" s="22" t="n">
        <f aca="false">D115</f>
        <v>700.1598912</v>
      </c>
      <c r="E20" s="22" t="n">
        <f aca="false">E115</f>
        <v>1727.36089030211</v>
      </c>
      <c r="F20" s="22" t="n">
        <f aca="false">F115</f>
        <v>1693.65434115005</v>
      </c>
      <c r="G20" s="22" t="n">
        <f aca="false">G115</f>
        <v>1857.72046605007</v>
      </c>
    </row>
    <row r="21" customFormat="false" ht="15" hidden="false" customHeight="false" outlineLevel="0" collapsed="false">
      <c r="A21" s="4" t="s">
        <v>425</v>
      </c>
      <c r="B21" s="0" t="s">
        <v>184</v>
      </c>
      <c r="C21" s="22" t="n">
        <f aca="false">C117</f>
        <v>475.3315</v>
      </c>
      <c r="D21" s="22" t="n">
        <f aca="false">D117</f>
        <v>758.5065488</v>
      </c>
      <c r="E21" s="22" t="n">
        <f aca="false">E117</f>
        <v>796.43187624</v>
      </c>
      <c r="F21" s="22" t="n">
        <f aca="false">F117</f>
        <v>820.3248325272</v>
      </c>
      <c r="G21" s="22" t="n">
        <f aca="false">G117</f>
        <v>844.934577503016</v>
      </c>
    </row>
    <row r="22" customFormat="false" ht="17.15" hidden="false" customHeight="false" outlineLevel="0" collapsed="false">
      <c r="A22" s="0" t="s">
        <v>426</v>
      </c>
      <c r="B22" s="0" t="s">
        <v>47</v>
      </c>
      <c r="C22" s="18" t="n">
        <f aca="false">C120</f>
        <v>0.5</v>
      </c>
      <c r="D22" s="18" t="n">
        <f aca="false">D120</f>
        <v>0.48</v>
      </c>
      <c r="E22" s="18" t="n">
        <f aca="false">E120</f>
        <v>0.684430557532977</v>
      </c>
      <c r="F22" s="18" t="n">
        <f aca="false">F120</f>
        <v>0.673694658604792</v>
      </c>
      <c r="G22" s="18" t="n">
        <f aca="false">G120</f>
        <v>0.687368693419264</v>
      </c>
    </row>
    <row r="23" customFormat="false" ht="15" hidden="false" customHeight="false" outlineLevel="0" collapsed="false">
      <c r="A23" s="4" t="s">
        <v>349</v>
      </c>
      <c r="B23" s="0" t="s">
        <v>47</v>
      </c>
      <c r="C23" s="17" t="n">
        <f aca="false">C126</f>
        <v>0.0825255637381491</v>
      </c>
      <c r="D23" s="17" t="n">
        <f aca="false">D126</f>
        <v>0.0834120920201606</v>
      </c>
      <c r="E23" s="17" t="n">
        <f aca="false">E126</f>
        <v>0.0824697514439176</v>
      </c>
      <c r="F23" s="17" t="n">
        <f aca="false">F126</f>
        <v>0.085262124048411</v>
      </c>
      <c r="G23" s="17" t="n">
        <f aca="false">G126</f>
        <v>0.088283766317338</v>
      </c>
    </row>
    <row r="24" customFormat="false" ht="15" hidden="false" customHeight="false" outlineLevel="0" collapsed="false">
      <c r="A24" s="4" t="s">
        <v>356</v>
      </c>
      <c r="B24" s="0" t="s">
        <v>47</v>
      </c>
      <c r="C24" s="17" t="n">
        <f aca="false">C131</f>
        <v>0.0672351821833815</v>
      </c>
      <c r="D24" s="17" t="n">
        <f aca="false">D131</f>
        <v>0.0679744801834201</v>
      </c>
      <c r="E24" s="17" t="n">
        <f aca="false">E131</f>
        <v>0.0683351789853888</v>
      </c>
      <c r="F24" s="17" t="n">
        <f aca="false">F131</f>
        <v>0.0710723757392311</v>
      </c>
      <c r="G24" s="17" t="n">
        <f aca="false">G131</f>
        <v>0.0742921389716114</v>
      </c>
    </row>
    <row r="25" customFormat="false" ht="15" hidden="false" customHeight="false" outlineLevel="0" collapsed="false">
      <c r="A25" s="4" t="s">
        <v>357</v>
      </c>
      <c r="B25" s="0" t="s">
        <v>184</v>
      </c>
      <c r="C25" s="22" t="n">
        <f aca="false">C133</f>
        <v>51.118</v>
      </c>
      <c r="D25" s="22" t="n">
        <f aca="false">D133</f>
        <v>77.0324485376</v>
      </c>
      <c r="E25" s="22" t="n">
        <f aca="false">E133</f>
        <v>134.521787730474</v>
      </c>
      <c r="F25" s="22" t="n">
        <f aca="false">F133</f>
        <v>139.366088497109</v>
      </c>
      <c r="G25" s="22" t="n">
        <f aca="false">G133</f>
        <v>156.613098788618</v>
      </c>
      <c r="H25" s="25" t="n">
        <f aca="false">H133</f>
        <v>157.869456288083</v>
      </c>
      <c r="I25" s="25" t="n">
        <f aca="false">I133</f>
        <v>156.912966844265</v>
      </c>
      <c r="J25" s="25" t="n">
        <f aca="false">J133</f>
        <v>153.709110250491</v>
      </c>
    </row>
    <row r="26" customFormat="false" ht="15" hidden="false" customHeight="false" outlineLevel="0" collapsed="false">
      <c r="A26" s="4" t="s">
        <v>427</v>
      </c>
      <c r="B26" s="0" t="s">
        <v>47</v>
      </c>
      <c r="C26" s="17" t="n">
        <f aca="false">C137</f>
        <v>0.0537708946282752</v>
      </c>
      <c r="D26" s="17" t="n">
        <f aca="false">D137</f>
        <v>0.0528101877339414</v>
      </c>
      <c r="E26" s="17" t="n">
        <f aca="false">E137</f>
        <v>0.0533014396086032</v>
      </c>
      <c r="F26" s="17" t="n">
        <f aca="false">F137</f>
        <v>0.0554364530766003</v>
      </c>
      <c r="G26" s="17" t="n">
        <f aca="false">G137</f>
        <v>0.0579478683978569</v>
      </c>
      <c r="H26" s="27" t="n">
        <f aca="false">H137</f>
        <v>0.0549318550768217</v>
      </c>
      <c r="I26" s="27" t="n">
        <f aca="false">I137</f>
        <v>0.0519158417557865</v>
      </c>
      <c r="J26" s="27" t="n">
        <f aca="false">J137</f>
        <v>0.0488998284347512</v>
      </c>
    </row>
    <row r="27" customFormat="false" ht="15" hidden="false" customHeight="false" outlineLevel="0" collapsed="false">
      <c r="A27" s="0" t="s">
        <v>428</v>
      </c>
      <c r="B27" s="0" t="s">
        <v>235</v>
      </c>
      <c r="C27" s="19" t="n">
        <f aca="false">C135</f>
        <v>92.2155350556153</v>
      </c>
      <c r="D27" s="19" t="n">
        <f aca="false">D135</f>
        <v>138.534030197391</v>
      </c>
      <c r="E27" s="19" t="n">
        <f aca="false">E135</f>
        <v>240.718425896005</v>
      </c>
      <c r="F27" s="19" t="n">
        <f aca="false">F135</f>
        <v>248.146271390319</v>
      </c>
      <c r="G27" s="19" t="n">
        <f aca="false">G135</f>
        <v>277.467846661398</v>
      </c>
      <c r="H27" s="28" t="n">
        <f aca="false">H135</f>
        <v>278.302195542851</v>
      </c>
      <c r="I27" s="28" t="n">
        <f aca="false">I135</f>
        <v>275.239836677363</v>
      </c>
      <c r="J27" s="28" t="n">
        <f aca="false">J135</f>
        <v>268.278583379627</v>
      </c>
    </row>
    <row r="28" customFormat="false" ht="17.15" hidden="false" customHeight="false" outlineLevel="0" collapsed="false">
      <c r="A28" s="0" t="s">
        <v>429</v>
      </c>
      <c r="B28" s="0" t="s">
        <v>47</v>
      </c>
      <c r="D28" s="18" t="n">
        <f aca="false">D136</f>
        <v>0.502285163924287</v>
      </c>
      <c r="E28" s="18" t="n">
        <f aca="false">E136</f>
        <v>0.737612235441472</v>
      </c>
      <c r="F28" s="18" t="n">
        <f aca="false">F136</f>
        <v>0.0308569876471492</v>
      </c>
      <c r="G28" s="18" t="n">
        <f aca="false">G136</f>
        <v>0.118162465657032</v>
      </c>
      <c r="H28" s="26" t="n">
        <f aca="false">H136</f>
        <v>0.00300701105188117</v>
      </c>
      <c r="I28" s="26" t="n">
        <f aca="false">I136</f>
        <v>-0.0110037179531206</v>
      </c>
      <c r="J28" s="26" t="n">
        <f aca="false">J136</f>
        <v>-0.025291590715105</v>
      </c>
    </row>
    <row r="30" customFormat="false" ht="17.15" hidden="false" customHeight="false" outlineLevel="0" collapsed="false">
      <c r="A30" s="1" t="s">
        <v>431</v>
      </c>
    </row>
    <row r="31" customFormat="false" ht="15" hidden="false" customHeight="false" outlineLevel="0" collapsed="false">
      <c r="A31" s="4" t="s">
        <v>342</v>
      </c>
      <c r="B31" s="0" t="s">
        <v>184</v>
      </c>
      <c r="C31" s="22" t="n">
        <f aca="false">C158</f>
        <v>950.663</v>
      </c>
      <c r="D31" s="22" t="n">
        <f aca="false">D158</f>
        <v>1458.66644</v>
      </c>
      <c r="E31" s="22" t="n">
        <f aca="false">E158</f>
        <v>2523.79276654211</v>
      </c>
      <c r="F31" s="22" t="n">
        <f aca="false">F158</f>
        <v>2090.56558838974</v>
      </c>
      <c r="G31" s="22" t="n">
        <f aca="false">G158</f>
        <v>2156.26667118542</v>
      </c>
      <c r="H31" s="25" t="n">
        <f aca="false">H158</f>
        <v>2215.819047873</v>
      </c>
      <c r="I31" s="25" t="n">
        <f aca="false">I158</f>
        <v>2268.57579380265</v>
      </c>
      <c r="J31" s="25" t="n">
        <f aca="false">J158</f>
        <v>2313.9473096787</v>
      </c>
    </row>
    <row r="32" customFormat="false" ht="15" hidden="false" customHeight="false" outlineLevel="0" collapsed="false">
      <c r="A32" s="4" t="s">
        <v>423</v>
      </c>
      <c r="B32" s="0" t="s">
        <v>47</v>
      </c>
      <c r="D32" s="18" t="n">
        <f aca="false">D159</f>
        <v>0.534367530870561</v>
      </c>
      <c r="E32" s="18" t="n">
        <f aca="false">E159</f>
        <v>0.730205547569951</v>
      </c>
      <c r="F32" s="18" t="n">
        <f aca="false">F159</f>
        <v>-0.171657191468197</v>
      </c>
      <c r="G32" s="18" t="n">
        <f aca="false">G159</f>
        <v>0.0314274200056475</v>
      </c>
      <c r="H32" s="26" t="n">
        <f aca="false">H159</f>
        <v>0.027618280003765</v>
      </c>
      <c r="I32" s="26" t="n">
        <f aca="false">I159</f>
        <v>0.0238091400018825</v>
      </c>
      <c r="J32" s="26" t="n">
        <f aca="false">J159</f>
        <v>0.02</v>
      </c>
    </row>
    <row r="33" customFormat="false" ht="17.15" hidden="false" customHeight="false" outlineLevel="0" collapsed="false">
      <c r="A33" s="0" t="s">
        <v>424</v>
      </c>
      <c r="B33" s="0" t="s">
        <v>184</v>
      </c>
      <c r="C33" s="22" t="n">
        <f aca="false">C155</f>
        <v>475.3315</v>
      </c>
      <c r="D33" s="22" t="n">
        <f aca="false">D155</f>
        <v>700.1598912</v>
      </c>
      <c r="E33" s="22" t="n">
        <f aca="false">E155</f>
        <v>1727.36089030211</v>
      </c>
      <c r="F33" s="22" t="n">
        <f aca="false">F155</f>
        <v>1270.24075586254</v>
      </c>
      <c r="G33" s="22" t="n">
        <f aca="false">G155</f>
        <v>1311.3320936824</v>
      </c>
    </row>
    <row r="34" customFormat="false" ht="15" hidden="false" customHeight="false" outlineLevel="0" collapsed="false">
      <c r="A34" s="4" t="s">
        <v>425</v>
      </c>
      <c r="B34" s="0" t="s">
        <v>184</v>
      </c>
      <c r="C34" s="22" t="n">
        <f aca="false">C157</f>
        <v>475.3315</v>
      </c>
      <c r="D34" s="22" t="n">
        <f aca="false">D157</f>
        <v>758.5065488</v>
      </c>
      <c r="E34" s="22" t="n">
        <f aca="false">E157</f>
        <v>796.43187624</v>
      </c>
      <c r="F34" s="22" t="n">
        <f aca="false">F157</f>
        <v>820.3248325272</v>
      </c>
      <c r="G34" s="22" t="n">
        <f aca="false">G157</f>
        <v>844.934577503016</v>
      </c>
    </row>
    <row r="35" customFormat="false" ht="17.15" hidden="false" customHeight="false" outlineLevel="0" collapsed="false">
      <c r="A35" s="0" t="s">
        <v>426</v>
      </c>
      <c r="B35" s="0" t="s">
        <v>47</v>
      </c>
      <c r="C35" s="18" t="n">
        <f aca="false">C160</f>
        <v>0.5</v>
      </c>
      <c r="D35" s="18" t="n">
        <f aca="false">D160</f>
        <v>0.48</v>
      </c>
      <c r="E35" s="18" t="n">
        <f aca="false">E160</f>
        <v>0.684430557532977</v>
      </c>
      <c r="F35" s="18" t="n">
        <f aca="false">F160</f>
        <v>0.607606268330928</v>
      </c>
      <c r="G35" s="18" t="n">
        <f aca="false">G160</f>
        <v>0.608149312515919</v>
      </c>
    </row>
    <row r="36" customFormat="false" ht="15" hidden="false" customHeight="false" outlineLevel="0" collapsed="false">
      <c r="A36" s="4" t="s">
        <v>349</v>
      </c>
      <c r="B36" s="0" t="s">
        <v>47</v>
      </c>
      <c r="C36" s="17" t="n">
        <f aca="false">C166</f>
        <v>0.0825255637381491</v>
      </c>
      <c r="D36" s="17" t="n">
        <f aca="false">D166</f>
        <v>0.0834120920201606</v>
      </c>
      <c r="E36" s="17" t="n">
        <f aca="false">E166</f>
        <v>0.0824697514439176</v>
      </c>
      <c r="F36" s="17" t="n">
        <f aca="false">F166</f>
        <v>0.0855515112835957</v>
      </c>
      <c r="G36" s="17" t="n">
        <f aca="false">G166</f>
        <v>0.0882755058400956</v>
      </c>
    </row>
    <row r="37" customFormat="false" ht="15" hidden="false" customHeight="false" outlineLevel="0" collapsed="false">
      <c r="A37" s="4" t="s">
        <v>356</v>
      </c>
      <c r="B37" s="0" t="s">
        <v>47</v>
      </c>
      <c r="C37" s="17" t="n">
        <f aca="false">C171</f>
        <v>0.0672351821833815</v>
      </c>
      <c r="D37" s="17" t="n">
        <f aca="false">D171</f>
        <v>0.0679744801834201</v>
      </c>
      <c r="E37" s="17" t="n">
        <f aca="false">E171</f>
        <v>0.0683351789853888</v>
      </c>
      <c r="F37" s="17" t="n">
        <f aca="false">F171</f>
        <v>0.0684878363015172</v>
      </c>
      <c r="G37" s="17" t="n">
        <f aca="false">G171</f>
        <v>0.0713158163193497</v>
      </c>
    </row>
    <row r="38" customFormat="false" ht="15" hidden="false" customHeight="false" outlineLevel="0" collapsed="false">
      <c r="A38" s="4" t="s">
        <v>357</v>
      </c>
      <c r="B38" s="0" t="s">
        <v>184</v>
      </c>
      <c r="C38" s="22" t="n">
        <f aca="false">C173</f>
        <v>51.118</v>
      </c>
      <c r="D38" s="22" t="n">
        <f aca="false">D173</f>
        <v>77.0324485376</v>
      </c>
      <c r="E38" s="22" t="n">
        <f aca="false">E173</f>
        <v>134.521787730474</v>
      </c>
      <c r="F38" s="22" t="n">
        <f aca="false">F173</f>
        <v>111.679084760273</v>
      </c>
      <c r="G38" s="22" t="n">
        <f aca="false">G173</f>
        <v>119.94521592908</v>
      </c>
      <c r="H38" s="25" t="n">
        <f aca="false">H173</f>
        <v>111.606714987574</v>
      </c>
      <c r="I38" s="25" t="n">
        <f aca="false">I173</f>
        <v>102.335388778191</v>
      </c>
      <c r="J38" s="25" t="n">
        <f aca="false">J173</f>
        <v>92.2149387198491</v>
      </c>
    </row>
    <row r="39" customFormat="false" ht="15" hidden="false" customHeight="false" outlineLevel="0" collapsed="false">
      <c r="A39" s="4" t="s">
        <v>427</v>
      </c>
      <c r="B39" s="0" t="s">
        <v>47</v>
      </c>
      <c r="C39" s="17" t="n">
        <f aca="false">C177</f>
        <v>0.0537708946282752</v>
      </c>
      <c r="D39" s="17" t="n">
        <f aca="false">D177</f>
        <v>0.0528101877339414</v>
      </c>
      <c r="E39" s="17" t="n">
        <f aca="false">E177</f>
        <v>0.0533014396086032</v>
      </c>
      <c r="F39" s="17" t="n">
        <f aca="false">F177</f>
        <v>0.0534205123151834</v>
      </c>
      <c r="G39" s="17" t="n">
        <f aca="false">G177</f>
        <v>0.0556263367290927</v>
      </c>
      <c r="H39" s="27" t="n">
        <f aca="false">H177</f>
        <v>0.0503681539766104</v>
      </c>
      <c r="I39" s="27" t="n">
        <f aca="false">I177</f>
        <v>0.045109971224128</v>
      </c>
      <c r="J39" s="27" t="n">
        <f aca="false">J177</f>
        <v>0.0398517884716456</v>
      </c>
    </row>
    <row r="40" customFormat="false" ht="15" hidden="false" customHeight="false" outlineLevel="0" collapsed="false">
      <c r="A40" s="0" t="s">
        <v>428</v>
      </c>
      <c r="B40" s="0" t="s">
        <v>235</v>
      </c>
      <c r="C40" s="19" t="n">
        <f aca="false">C175</f>
        <v>92.2155350556153</v>
      </c>
      <c r="D40" s="19" t="n">
        <f aca="false">D175</f>
        <v>138.534030197391</v>
      </c>
      <c r="E40" s="19" t="n">
        <f aca="false">E175</f>
        <v>240.718425896005</v>
      </c>
      <c r="F40" s="19" t="n">
        <f aca="false">F175</f>
        <v>198.848577687677</v>
      </c>
      <c r="G40" s="19" t="n">
        <f aca="false">G175</f>
        <v>212.504196894142</v>
      </c>
      <c r="H40" s="28" t="n">
        <f aca="false">H175</f>
        <v>196.747328765657</v>
      </c>
      <c r="I40" s="28" t="n">
        <f aca="false">I175</f>
        <v>179.505723842307</v>
      </c>
      <c r="J40" s="28" t="n">
        <f aca="false">J175</f>
        <v>160.948775813508</v>
      </c>
    </row>
    <row r="41" customFormat="false" ht="17.15" hidden="false" customHeight="false" outlineLevel="0" collapsed="false">
      <c r="A41" s="0" t="s">
        <v>429</v>
      </c>
      <c r="B41" s="0" t="s">
        <v>47</v>
      </c>
      <c r="D41" s="18" t="n">
        <f aca="false">D176</f>
        <v>0.502285163924287</v>
      </c>
      <c r="E41" s="18" t="n">
        <f aca="false">E176</f>
        <v>0.737612235441472</v>
      </c>
      <c r="F41" s="18" t="n">
        <f aca="false">F176</f>
        <v>-0.173937030588662</v>
      </c>
      <c r="G41" s="18" t="n">
        <f aca="false">G176</f>
        <v>0.0686734567843541</v>
      </c>
      <c r="H41" s="26" t="n">
        <f aca="false">H176</f>
        <v>-0.0741485032238417</v>
      </c>
      <c r="I41" s="26" t="n">
        <f aca="false">I176</f>
        <v>-0.0876332351321819</v>
      </c>
      <c r="J41" s="26" t="n">
        <f aca="false">J176</f>
        <v>-0.103378029578047</v>
      </c>
    </row>
    <row r="43" customFormat="false" ht="17.15" hidden="false" customHeight="false" outlineLevel="0" collapsed="false">
      <c r="A43" s="1" t="s">
        <v>432</v>
      </c>
    </row>
    <row r="44" customFormat="false" ht="17.15" hidden="false" customHeight="false" outlineLevel="0" collapsed="false">
      <c r="A44" s="4" t="s">
        <v>433</v>
      </c>
      <c r="D44" s="29" t="n">
        <f aca="false">ABS(D78-a26_rev)+ABS(D118-a26_rev)+ABS(D158-a26_rev)</f>
        <v>0</v>
      </c>
    </row>
    <row r="45" customFormat="false" ht="17.15" hidden="false" customHeight="false" outlineLevel="0" collapsed="false">
      <c r="A45" s="4" t="s">
        <v>434</v>
      </c>
      <c r="D45" s="29" t="n">
        <f aca="false">ABS(D95-a26_eps)+ABS(D135-a26_eps)+ABS(D175-a26_eps)</f>
        <v>0</v>
      </c>
    </row>
    <row r="46" customFormat="false" ht="17.15" hidden="false" customHeight="false" outlineLevel="0" collapsed="false">
      <c r="A46" s="4" t="s">
        <v>435</v>
      </c>
      <c r="D46" s="29" t="n">
        <f aca="false">D83*D77+D84-a26_gp</f>
        <v>0</v>
      </c>
    </row>
    <row r="60" customFormat="false" ht="17.15" hidden="false" customHeight="false" outlineLevel="0" collapsed="false">
      <c r="A60" s="1" t="s">
        <v>436</v>
      </c>
    </row>
    <row r="61" customFormat="false" ht="17.15" hidden="false" customHeight="false" outlineLevel="0" collapsed="false">
      <c r="A61" s="5" t="s">
        <v>16</v>
      </c>
      <c r="B61" s="5" t="s">
        <v>17</v>
      </c>
      <c r="C61" s="14" t="s">
        <v>336</v>
      </c>
      <c r="D61" s="14" t="s">
        <v>415</v>
      </c>
      <c r="E61" s="14" t="s">
        <v>416</v>
      </c>
      <c r="F61" s="14" t="s">
        <v>417</v>
      </c>
      <c r="G61" s="14" t="s">
        <v>418</v>
      </c>
      <c r="H61" s="14" t="s">
        <v>419</v>
      </c>
      <c r="I61" s="14" t="s">
        <v>420</v>
      </c>
      <c r="J61" s="14" t="s">
        <v>421</v>
      </c>
      <c r="K61" s="5" t="s">
        <v>387</v>
      </c>
    </row>
    <row r="62" customFormat="false" ht="17.15" hidden="false" customHeight="false" outlineLevel="0" collapsed="false">
      <c r="A62" s="6" t="s">
        <v>437</v>
      </c>
    </row>
    <row r="63" customFormat="false" ht="17.15" hidden="false" customHeight="false" outlineLevel="0" collapsed="false">
      <c r="A63" s="0" t="s">
        <v>438</v>
      </c>
      <c r="B63" s="0" t="s">
        <v>27</v>
      </c>
      <c r="D63" s="30" t="n">
        <f aca="false">itc_26</f>
        <v>781.872916666667</v>
      </c>
      <c r="E63" s="30" t="n">
        <f aca="false">itc_27*1</f>
        <v>1565.35</v>
      </c>
      <c r="F63" s="30" t="n">
        <f aca="false">itc_28*um28_A*1</f>
        <v>1984.26388888889</v>
      </c>
      <c r="G63" s="30" t="n">
        <f aca="false">itc_29*um29_A*1</f>
        <v>2260.39027777778</v>
      </c>
    </row>
    <row r="64" customFormat="false" ht="17.15" hidden="false" customHeight="false" outlineLevel="0" collapsed="false">
      <c r="A64" s="4" t="s">
        <v>439</v>
      </c>
      <c r="B64" s="0" t="s">
        <v>27</v>
      </c>
      <c r="D64" s="30" t="n">
        <f aca="false">itpg_gb*(1-vr26)+itpg_vr*vr26</f>
        <v>33.41403216</v>
      </c>
      <c r="E64" s="30" t="n">
        <f aca="false">itpg_vr</f>
        <v>37.586352</v>
      </c>
      <c r="F64" s="30" t="n">
        <f aca="false">itpg_vr</f>
        <v>37.586352</v>
      </c>
      <c r="G64" s="30" t="n">
        <f aca="false">itpg_vr</f>
        <v>37.586352</v>
      </c>
    </row>
    <row r="65" customFormat="false" ht="17.15" hidden="false" customHeight="false" outlineLevel="0" collapsed="false">
      <c r="A65" s="4" t="s">
        <v>440</v>
      </c>
      <c r="B65" s="0" t="s">
        <v>389</v>
      </c>
      <c r="D65" s="21" t="n">
        <f aca="false">D63/D64</f>
        <v>23.3995380420639</v>
      </c>
      <c r="E65" s="21" t="n">
        <f aca="false">E63/E64</f>
        <v>41.6467658260637</v>
      </c>
      <c r="F65" s="21" t="n">
        <f aca="false">F63/F64</f>
        <v>52.792138191248</v>
      </c>
      <c r="G65" s="21" t="n">
        <f aca="false">G63/G64</f>
        <v>60.1385917361116</v>
      </c>
    </row>
    <row r="66" customFormat="false" ht="17.15" hidden="false" customHeight="false" outlineLevel="0" collapsed="false">
      <c r="A66" s="4" t="s">
        <v>441</v>
      </c>
      <c r="B66" s="0" t="s">
        <v>408</v>
      </c>
      <c r="D66" s="19" t="n">
        <f aca="false">(racks_gb*odm_gb*(1-vr26)+racks_vr*odm_vr*vr26)/1000</f>
        <v>27.1209</v>
      </c>
      <c r="E66" s="19" t="n">
        <f aca="false">racks_vr*odm_vr/1000</f>
        <v>27.351</v>
      </c>
      <c r="F66" s="19" t="n">
        <f aca="false">$E66*vpg_28</f>
        <v>27.351</v>
      </c>
      <c r="G66" s="19" t="n">
        <f aca="false">$E66*vpg_29</f>
        <v>27.351</v>
      </c>
      <c r="K66" s="4" t="s">
        <v>442</v>
      </c>
    </row>
    <row r="67" customFormat="false" ht="17.15" hidden="false" customHeight="false" outlineLevel="0" collapsed="false">
      <c r="A67" s="0" t="s">
        <v>443</v>
      </c>
      <c r="B67" s="0" t="s">
        <v>27</v>
      </c>
      <c r="D67" s="22" t="n">
        <f aca="false">D65*D66</f>
        <v>634.616531285011</v>
      </c>
      <c r="E67" s="22" t="n">
        <f aca="false">E65*E66</f>
        <v>1139.08069210867</v>
      </c>
      <c r="F67" s="22" t="n">
        <f aca="false">F65*F66</f>
        <v>1443.91777166882</v>
      </c>
      <c r="G67" s="22" t="n">
        <f aca="false">G65*G66</f>
        <v>1644.85062257439</v>
      </c>
    </row>
    <row r="68" customFormat="false" ht="17.15" hidden="false" customHeight="false" outlineLevel="0" collapsed="false">
      <c r="A68" s="0" t="s">
        <v>444</v>
      </c>
      <c r="B68" s="0" t="s">
        <v>184</v>
      </c>
      <c r="D68" s="22" t="n">
        <f aca="false">D67*fx</f>
        <v>20307.7290011204</v>
      </c>
      <c r="E68" s="22" t="n">
        <f aca="false">E67*fx</f>
        <v>36450.5821474774</v>
      </c>
      <c r="F68" s="22" t="n">
        <f aca="false">F67*fx</f>
        <v>46205.3686934024</v>
      </c>
      <c r="G68" s="22" t="n">
        <f aca="false">G67*fx</f>
        <v>52635.2199223804</v>
      </c>
    </row>
    <row r="69" customFormat="false" ht="17.15" hidden="false" customHeight="false" outlineLevel="0" collapsed="false">
      <c r="A69" s="4" t="s">
        <v>445</v>
      </c>
      <c r="B69" s="0" t="s">
        <v>47</v>
      </c>
      <c r="D69" s="17" t="n">
        <f aca="false">a26_ai/D68</f>
        <v>0.0344775081035094</v>
      </c>
      <c r="K69" s="8" t="s">
        <v>446</v>
      </c>
    </row>
    <row r="70" customFormat="false" ht="17.15" hidden="false" customHeight="false" outlineLevel="0" collapsed="false">
      <c r="A70" s="4" t="s">
        <v>447</v>
      </c>
      <c r="B70" s="0" t="s">
        <v>59</v>
      </c>
      <c r="D70" s="19" t="n">
        <f aca="false">1</f>
        <v>1</v>
      </c>
      <c r="E70" s="19" t="n">
        <f aca="false">rel_27</f>
        <v>1</v>
      </c>
      <c r="F70" s="19" t="n">
        <f aca="false">rel_28</f>
        <v>1</v>
      </c>
      <c r="G70" s="19" t="n">
        <f aca="false">rel_29</f>
        <v>0.95</v>
      </c>
    </row>
    <row r="71" customFormat="false" ht="17.15" hidden="false" customHeight="false" outlineLevel="0" collapsed="false">
      <c r="A71" s="0" t="s">
        <v>448</v>
      </c>
      <c r="B71" s="0" t="s">
        <v>59</v>
      </c>
      <c r="D71" s="23" t="n">
        <f aca="false">1</f>
        <v>1</v>
      </c>
      <c r="E71" s="23" t="n">
        <f aca="false">asic_mix*((ua_27/ua_26)/(ut_27/ut_26))+(1-asic_mix)</f>
        <v>1.44683544303797</v>
      </c>
      <c r="F71" s="23" t="n">
        <f aca="false">asic_mix*((ua_28/ua_26)/(ut_28/ut_26))+(1-asic_mix)</f>
        <v>1.47660377358491</v>
      </c>
      <c r="G71" s="23" t="n">
        <f aca="false">asic_mix*((ua_29/ua_26)/(ut_29/ut_26))+(1-asic_mix)</f>
        <v>1.49144278606965</v>
      </c>
      <c r="K71" s="8" t="s">
        <v>449</v>
      </c>
    </row>
    <row r="72" customFormat="false" ht="15" hidden="false" customHeight="false" outlineLevel="0" collapsed="false">
      <c r="A72" s="4" t="s">
        <v>398</v>
      </c>
      <c r="B72" s="0" t="s">
        <v>47</v>
      </c>
      <c r="D72" s="17" t="n">
        <f aca="false">$D$69*D70*D71</f>
        <v>0.0344775081035094</v>
      </c>
      <c r="E72" s="17" t="n">
        <f aca="false">$D$69*E70*E71</f>
        <v>0.0498832807117864</v>
      </c>
      <c r="F72" s="17" t="n">
        <f aca="false">$D$69*F70*F71</f>
        <v>0.0509096185694461</v>
      </c>
      <c r="G72" s="17" t="n">
        <f aca="false">$D$69*G70*G71</f>
        <v>0.0488501692055052</v>
      </c>
    </row>
    <row r="73" customFormat="false" ht="17.15" hidden="false" customHeight="false" outlineLevel="0" collapsed="false">
      <c r="A73" s="0" t="s">
        <v>450</v>
      </c>
      <c r="B73" s="0" t="s">
        <v>184</v>
      </c>
      <c r="D73" s="22" t="n">
        <f aca="false">D68*D72</f>
        <v>700.1598912</v>
      </c>
      <c r="E73" s="22" t="n">
        <f aca="false">E68*E72</f>
        <v>1818.27462137064</v>
      </c>
      <c r="F73" s="22" t="n">
        <f aca="false">F68*F72</f>
        <v>2352.29769604174</v>
      </c>
      <c r="G73" s="22" t="n">
        <f aca="false">G68*G72</f>
        <v>2571.23939937726</v>
      </c>
    </row>
    <row r="74" customFormat="false" ht="17.15" hidden="false" customHeight="false" outlineLevel="0" collapsed="false">
      <c r="A74" s="4" t="s">
        <v>404</v>
      </c>
      <c r="B74" s="0" t="s">
        <v>47</v>
      </c>
      <c r="D74" s="18" t="n">
        <f aca="false">0</f>
        <v>0</v>
      </c>
      <c r="E74" s="18" t="n">
        <f aca="false">cs_27</f>
        <v>0.05</v>
      </c>
      <c r="F74" s="18" t="n">
        <f aca="false">cs_28</f>
        <v>0.1</v>
      </c>
      <c r="G74" s="18" t="n">
        <f aca="false">cs_29</f>
        <v>0.15</v>
      </c>
      <c r="K74" s="8" t="s">
        <v>451</v>
      </c>
    </row>
    <row r="75" customFormat="false" ht="17.15" hidden="false" customHeight="false" outlineLevel="0" collapsed="false">
      <c r="A75" s="0" t="s">
        <v>452</v>
      </c>
      <c r="B75" s="0" t="s">
        <v>184</v>
      </c>
      <c r="C75" s="22" t="n">
        <f aca="false">a25_ai</f>
        <v>475.3315</v>
      </c>
      <c r="D75" s="22" t="n">
        <f aca="false">D73*(1-D74)</f>
        <v>700.1598912</v>
      </c>
      <c r="E75" s="22" t="n">
        <f aca="false">E73*(1-E74)</f>
        <v>1727.36089030211</v>
      </c>
      <c r="F75" s="22" t="n">
        <f aca="false">F73*(1-F74)</f>
        <v>2117.06792643757</v>
      </c>
      <c r="G75" s="22" t="n">
        <f aca="false">G73*(1-G74)</f>
        <v>2185.55348947067</v>
      </c>
    </row>
    <row r="76" customFormat="false" ht="17.15" hidden="false" customHeight="false" outlineLevel="0" collapsed="false">
      <c r="A76" s="6" t="s">
        <v>453</v>
      </c>
    </row>
    <row r="77" customFormat="false" ht="17.15" hidden="false" customHeight="false" outlineLevel="0" collapsed="false">
      <c r="A77" s="4" t="s">
        <v>373</v>
      </c>
      <c r="B77" s="0" t="s">
        <v>184</v>
      </c>
      <c r="C77" s="22" t="n">
        <f aca="false">a25_nai</f>
        <v>475.3315</v>
      </c>
      <c r="D77" s="22" t="n">
        <f aca="false">a26_nai</f>
        <v>758.5065488</v>
      </c>
      <c r="E77" s="22" t="n">
        <f aca="false">D77*(1+g_nai27)</f>
        <v>796.43187624</v>
      </c>
      <c r="F77" s="22" t="n">
        <f aca="false">E77*(1+g_nai28)</f>
        <v>820.3248325272</v>
      </c>
      <c r="G77" s="22" t="n">
        <f aca="false">F77*(1+g_nai29)</f>
        <v>844.934577503016</v>
      </c>
    </row>
    <row r="78" customFormat="false" ht="17.15" hidden="false" customHeight="false" outlineLevel="0" collapsed="false">
      <c r="A78" s="4" t="s">
        <v>342</v>
      </c>
      <c r="B78" s="0" t="s">
        <v>184</v>
      </c>
      <c r="C78" s="22" t="n">
        <f aca="false">C75+C77</f>
        <v>950.663</v>
      </c>
      <c r="D78" s="22" t="n">
        <f aca="false">D75+D77</f>
        <v>1458.66644</v>
      </c>
      <c r="E78" s="22" t="n">
        <f aca="false">E75+E77</f>
        <v>2523.79276654211</v>
      </c>
      <c r="F78" s="22" t="n">
        <f aca="false">F75+F77</f>
        <v>2937.39275896477</v>
      </c>
      <c r="G78" s="22" t="n">
        <f aca="false">G75+G77</f>
        <v>3030.48806697369</v>
      </c>
      <c r="H78" s="25" t="n">
        <f aca="false">G78*(1+H79)</f>
        <v>3155.12835768908</v>
      </c>
      <c r="I78" s="25" t="n">
        <f aca="false">H78*(1+I79)</f>
        <v>3314.6655056075</v>
      </c>
      <c r="J78" s="25" t="n">
        <f aca="false">I78*(1+J79)</f>
        <v>3513.54543594395</v>
      </c>
      <c r="K78" s="8" t="s">
        <v>454</v>
      </c>
    </row>
    <row r="79" customFormat="false" ht="15" hidden="false" customHeight="false" outlineLevel="0" collapsed="false">
      <c r="A79" s="4" t="s">
        <v>455</v>
      </c>
      <c r="B79" s="0" t="s">
        <v>47</v>
      </c>
      <c r="D79" s="18" t="n">
        <f aca="false">D78/C78-1</f>
        <v>0.534367530870561</v>
      </c>
      <c r="E79" s="18" t="n">
        <f aca="false">E78/D78-1</f>
        <v>0.730205547569951</v>
      </c>
      <c r="F79" s="18" t="n">
        <f aca="false">F78/E78-1</f>
        <v>0.163880330392316</v>
      </c>
      <c r="G79" s="18" t="n">
        <f aca="false">G78/F78-1</f>
        <v>0.0316931767891091</v>
      </c>
      <c r="H79" s="26" t="n">
        <f aca="false">$G79+(fade_gA-$G79)*1/3</f>
        <v>0.0411287845260727</v>
      </c>
      <c r="I79" s="26" t="n">
        <f aca="false">$G79+(fade_gA-$G79)*2/3</f>
        <v>0.0505643922630364</v>
      </c>
      <c r="J79" s="26" t="n">
        <f aca="false">$G79+(fade_gA-$G79)*3/3</f>
        <v>0.06</v>
      </c>
    </row>
    <row r="80" customFormat="false" ht="17.15" hidden="false" customHeight="false" outlineLevel="0" collapsed="false">
      <c r="A80" s="0" t="s">
        <v>456</v>
      </c>
      <c r="B80" s="0" t="s">
        <v>47</v>
      </c>
      <c r="C80" s="18" t="n">
        <f aca="false">C75/C78</f>
        <v>0.5</v>
      </c>
      <c r="D80" s="18" t="n">
        <f aca="false">D75/D78</f>
        <v>0.48</v>
      </c>
      <c r="E80" s="18" t="n">
        <f aca="false">E75/E78</f>
        <v>0.684430557532977</v>
      </c>
      <c r="F80" s="18" t="n">
        <f aca="false">F75/F78</f>
        <v>0.720730287080741</v>
      </c>
      <c r="G80" s="18" t="n">
        <f aca="false">G75/G78</f>
        <v>0.721188614233091</v>
      </c>
    </row>
    <row r="81" customFormat="false" ht="17.15" hidden="false" customHeight="false" outlineLevel="0" collapsed="false">
      <c r="A81" s="4" t="s">
        <v>407</v>
      </c>
      <c r="B81" s="0" t="s">
        <v>408</v>
      </c>
      <c r="D81" s="23" t="n">
        <f aca="false">D75/fx/D65</f>
        <v>0.935061049524468</v>
      </c>
      <c r="E81" s="23" t="n">
        <f aca="false">E75/fx/E65</f>
        <v>1.29613973021067</v>
      </c>
      <c r="F81" s="23" t="n">
        <f aca="false">F75/fx/F65</f>
        <v>1.25318607974363</v>
      </c>
      <c r="G81" s="23" t="n">
        <f aca="false">G75/fx/G65</f>
        <v>1.13568583124881</v>
      </c>
    </row>
    <row r="82" customFormat="false" ht="17.15" hidden="false" customHeight="false" outlineLevel="0" collapsed="false">
      <c r="A82" s="6" t="s">
        <v>457</v>
      </c>
    </row>
    <row r="83" customFormat="false" ht="17.15" hidden="false" customHeight="false" outlineLevel="0" collapsed="false">
      <c r="A83" s="4" t="s">
        <v>458</v>
      </c>
      <c r="B83" s="0" t="s">
        <v>47</v>
      </c>
      <c r="D83" s="17" t="n">
        <f aca="false">a26_gp/D78-d_ai*D80</f>
        <v>0.0882120920201606</v>
      </c>
      <c r="K83" s="8" t="s">
        <v>459</v>
      </c>
    </row>
    <row r="84" customFormat="false" ht="17.15" hidden="false" customHeight="false" outlineLevel="0" collapsed="false">
      <c r="A84" s="0" t="s">
        <v>460</v>
      </c>
      <c r="B84" s="0" t="s">
        <v>184</v>
      </c>
      <c r="D84" s="30" t="n">
        <f aca="false">($D$83+d_ai)*D73*(1-D74*(1-keep))</f>
        <v>54.76096983936</v>
      </c>
      <c r="E84" s="30" t="n">
        <f aca="false">($D$83+d_ai+vrd)*E73*(1-E74*(1-keep))</f>
        <v>137.881640198013</v>
      </c>
      <c r="F84" s="30" t="n">
        <f aca="false">($D$83+d_ai+vrd)*F73*(1-F74*(1-keep))</f>
        <v>177.480793184849</v>
      </c>
      <c r="G84" s="30" t="n">
        <f aca="false">($D$83+d_ai+vrd)*G73*(1-G74*(1-keep))</f>
        <v>193.020140705534</v>
      </c>
      <c r="K84" s="4" t="s">
        <v>461</v>
      </c>
    </row>
    <row r="85" customFormat="false" ht="15" hidden="false" customHeight="false" outlineLevel="0" collapsed="false">
      <c r="A85" s="4" t="s">
        <v>346</v>
      </c>
      <c r="B85" s="0" t="s">
        <v>184</v>
      </c>
      <c r="C85" s="22" t="n">
        <f aca="false">a25_gp</f>
        <v>78.454</v>
      </c>
      <c r="D85" s="22" t="n">
        <f aca="false">a26_gp</f>
        <v>121.67041932</v>
      </c>
      <c r="E85" s="22" t="n">
        <f aca="false">$D$83*E77+E84</f>
        <v>208.136562152685</v>
      </c>
      <c r="F85" s="22" t="n">
        <f aca="false">$D$83*F77+F84</f>
        <v>249.843362798162</v>
      </c>
      <c r="G85" s="22" t="n">
        <f aca="false">$D$83*G77+G84</f>
        <v>267.553587407246</v>
      </c>
    </row>
    <row r="86" customFormat="false" ht="15" hidden="false" customHeight="false" outlineLevel="0" collapsed="false">
      <c r="A86" s="4" t="s">
        <v>349</v>
      </c>
      <c r="B86" s="0" t="s">
        <v>47</v>
      </c>
      <c r="C86" s="17" t="n">
        <f aca="false">C85/C78</f>
        <v>0.0825255637381491</v>
      </c>
      <c r="D86" s="17" t="n">
        <f aca="false">D85/D78</f>
        <v>0.0834120920201606</v>
      </c>
      <c r="E86" s="17" t="n">
        <f aca="false">E85/E78</f>
        <v>0.0824697514439176</v>
      </c>
      <c r="F86" s="17" t="n">
        <f aca="false">F85/F78</f>
        <v>0.0850561648712631</v>
      </c>
      <c r="G86" s="17" t="n">
        <f aca="false">G85/G78</f>
        <v>0.0882872928367709</v>
      </c>
    </row>
    <row r="87" customFormat="false" ht="17.15" hidden="false" customHeight="false" outlineLevel="0" collapsed="false">
      <c r="A87" s="0" t="s">
        <v>462</v>
      </c>
      <c r="B87" s="0" t="s">
        <v>47</v>
      </c>
      <c r="D87" s="17" t="n">
        <f aca="false">D84/D75</f>
        <v>0.0782120920201606</v>
      </c>
      <c r="E87" s="17" t="n">
        <f aca="false">E84/E75</f>
        <v>0.0798221384842734</v>
      </c>
      <c r="F87" s="17" t="n">
        <f aca="false">F84/F75</f>
        <v>0.0838333012221766</v>
      </c>
      <c r="G87" s="17" t="n">
        <f aca="false">G84/G75</f>
        <v>0.0883163654586567</v>
      </c>
      <c r="K87" s="4" t="s">
        <v>463</v>
      </c>
    </row>
    <row r="88" customFormat="false" ht="15" hidden="false" customHeight="false" outlineLevel="0" collapsed="false">
      <c r="A88" s="4" t="s">
        <v>464</v>
      </c>
      <c r="B88" s="0" t="s">
        <v>184</v>
      </c>
      <c r="C88" s="22" t="n">
        <f aca="false">a25_opx</f>
        <v>14.536</v>
      </c>
      <c r="D88" s="22" t="n">
        <f aca="false">a26_opx</f>
        <v>22.5183263</v>
      </c>
      <c r="E88" s="22" t="n">
        <f aca="false">D88*(1+MAX(0,phi*E79))</f>
        <v>35.6727317290002</v>
      </c>
      <c r="F88" s="22" t="n">
        <f aca="false">E88*(1+MAX(0,phi*F79))</f>
        <v>40.3495789783962</v>
      </c>
      <c r="G88" s="22" t="n">
        <f aca="false">F88*(1+MAX(0,phi*G79))</f>
        <v>41.372624050339</v>
      </c>
    </row>
    <row r="89" customFormat="false" ht="15" hidden="false" customHeight="false" outlineLevel="0" collapsed="false">
      <c r="A89" s="4" t="s">
        <v>350</v>
      </c>
      <c r="B89" s="0" t="s">
        <v>184</v>
      </c>
      <c r="C89" s="22" t="n">
        <f aca="false">C88</f>
        <v>14.536</v>
      </c>
      <c r="D89" s="22" t="n">
        <f aca="false">D88</f>
        <v>22.5183263</v>
      </c>
      <c r="E89" s="22" t="n">
        <f aca="false">E88+0*E78</f>
        <v>35.6727317290002</v>
      </c>
      <c r="F89" s="22" t="n">
        <f aca="false">F88+0*F78</f>
        <v>40.3495789783962</v>
      </c>
      <c r="G89" s="22" t="n">
        <f aca="false">G88+0*G78</f>
        <v>41.372624050339</v>
      </c>
    </row>
    <row r="90" customFormat="false" ht="15" hidden="false" customHeight="false" outlineLevel="0" collapsed="false">
      <c r="A90" s="4" t="s">
        <v>353</v>
      </c>
      <c r="B90" s="0" t="s">
        <v>184</v>
      </c>
      <c r="C90" s="22" t="n">
        <f aca="false">C85-C89</f>
        <v>63.918</v>
      </c>
      <c r="D90" s="22" t="n">
        <f aca="false">D85-D89</f>
        <v>99.15209302</v>
      </c>
      <c r="E90" s="22" t="n">
        <f aca="false">E85-E89</f>
        <v>172.463830423685</v>
      </c>
      <c r="F90" s="22" t="n">
        <f aca="false">F85-F89</f>
        <v>209.493783819765</v>
      </c>
      <c r="G90" s="22" t="n">
        <f aca="false">G85-G89</f>
        <v>226.180963356907</v>
      </c>
    </row>
    <row r="91" customFormat="false" ht="15" hidden="false" customHeight="false" outlineLevel="0" collapsed="false">
      <c r="A91" s="4" t="s">
        <v>356</v>
      </c>
      <c r="B91" s="0" t="s">
        <v>47</v>
      </c>
      <c r="C91" s="17" t="n">
        <f aca="false">C90/C78</f>
        <v>0.0672351821833815</v>
      </c>
      <c r="D91" s="17" t="n">
        <f aca="false">D90/D78</f>
        <v>0.0679744801834201</v>
      </c>
      <c r="E91" s="17" t="n">
        <f aca="false">E90/E78</f>
        <v>0.0683351789853888</v>
      </c>
      <c r="F91" s="17" t="n">
        <f aca="false">F90/F78</f>
        <v>0.0713196364975032</v>
      </c>
      <c r="G91" s="17" t="n">
        <f aca="false">G90/G78</f>
        <v>0.0746351605280453</v>
      </c>
    </row>
    <row r="92" customFormat="false" ht="17.15" hidden="false" customHeight="false" outlineLevel="0" collapsed="false">
      <c r="A92" s="4" t="s">
        <v>218</v>
      </c>
      <c r="B92" s="0" t="s">
        <v>47</v>
      </c>
      <c r="C92" s="18" t="n">
        <f aca="false">a25_ni/a25_oi</f>
        <v>0.799743421258488</v>
      </c>
      <c r="D92" s="18" t="n">
        <f aca="false">a26_ni/a26_oi</f>
        <v>0.776911976251089</v>
      </c>
      <c r="E92" s="18" t="n">
        <f aca="false">nio_f</f>
        <v>0.78</v>
      </c>
      <c r="F92" s="18" t="n">
        <f aca="false">nio_f</f>
        <v>0.78</v>
      </c>
      <c r="G92" s="18" t="n">
        <f aca="false">nio_f</f>
        <v>0.78</v>
      </c>
    </row>
    <row r="93" customFormat="false" ht="15" hidden="false" customHeight="false" outlineLevel="0" collapsed="false">
      <c r="A93" s="4" t="s">
        <v>357</v>
      </c>
      <c r="B93" s="0" t="s">
        <v>184</v>
      </c>
      <c r="C93" s="22" t="n">
        <f aca="false">a25_ni</f>
        <v>51.118</v>
      </c>
      <c r="D93" s="22" t="n">
        <f aca="false">a26_ni</f>
        <v>77.0324485376</v>
      </c>
      <c r="E93" s="22" t="n">
        <f aca="false">E90*E92</f>
        <v>134.521787730474</v>
      </c>
      <c r="F93" s="22" t="n">
        <f aca="false">F90*F92</f>
        <v>163.405151379417</v>
      </c>
      <c r="G93" s="22" t="n">
        <f aca="false">G90*G92</f>
        <v>176.421151418387</v>
      </c>
      <c r="H93" s="25" t="n">
        <f aca="false">H78*H97</f>
        <v>183.677138940916</v>
      </c>
      <c r="I93" s="25" t="n">
        <f aca="false">I78*I97</f>
        <v>192.964661844076</v>
      </c>
      <c r="J93" s="25" t="n">
        <f aca="false">J78*J97</f>
        <v>204.542541554721</v>
      </c>
    </row>
    <row r="94" customFormat="false" ht="15" hidden="false" customHeight="false" outlineLevel="0" collapsed="false">
      <c r="A94" s="4" t="s">
        <v>465</v>
      </c>
      <c r="B94" s="4" t="s">
        <v>205</v>
      </c>
      <c r="C94" s="29" t="n">
        <f aca="false">a25_sh</f>
        <v>0.554331761662183</v>
      </c>
      <c r="D94" s="29" t="n">
        <f aca="false">a26_sh</f>
        <v>0.556054338618749</v>
      </c>
      <c r="E94" s="29" t="n">
        <f aca="false">D94*(1+sh_g)</f>
        <v>0.558834610311843</v>
      </c>
      <c r="F94" s="29" t="n">
        <f aca="false">E94*(1+sh_g)</f>
        <v>0.561628783363402</v>
      </c>
      <c r="G94" s="29" t="n">
        <f aca="false">F94*(1+sh_g)</f>
        <v>0.564436927280219</v>
      </c>
      <c r="H94" s="31" t="n">
        <f aca="false">G94*(1+sh_g)</f>
        <v>0.56725911191662</v>
      </c>
      <c r="I94" s="31" t="n">
        <f aca="false">H94*(1+sh_g)</f>
        <v>0.570095407476203</v>
      </c>
      <c r="J94" s="31" t="n">
        <f aca="false">I94*(1+sh_g)</f>
        <v>0.572945884513584</v>
      </c>
    </row>
    <row r="95" customFormat="false" ht="17.15" hidden="false" customHeight="false" outlineLevel="0" collapsed="false">
      <c r="A95" s="0" t="s">
        <v>363</v>
      </c>
      <c r="B95" s="0" t="s">
        <v>235</v>
      </c>
      <c r="C95" s="30" t="n">
        <f aca="false">C93/C94</f>
        <v>92.2155350556153</v>
      </c>
      <c r="D95" s="30" t="n">
        <f aca="false">D93/D94</f>
        <v>138.534030197391</v>
      </c>
      <c r="E95" s="30" t="n">
        <f aca="false">E93/E94</f>
        <v>240.718425896005</v>
      </c>
      <c r="F95" s="30" t="n">
        <f aca="false">F93/F94</f>
        <v>290.948676812537</v>
      </c>
      <c r="G95" s="30" t="n">
        <f aca="false">G93/G94</f>
        <v>312.561320657182</v>
      </c>
      <c r="H95" s="28" t="n">
        <f aca="false">H93/H94</f>
        <v>323.797599866345</v>
      </c>
      <c r="I95" s="28" t="n">
        <f aca="false">I93/I94</f>
        <v>338.477839522205</v>
      </c>
      <c r="J95" s="28" t="n">
        <f aca="false">J93/J94</f>
        <v>357.001502381629</v>
      </c>
    </row>
    <row r="96" customFormat="false" ht="17.15" hidden="false" customHeight="false" outlineLevel="0" collapsed="false">
      <c r="A96" s="0" t="s">
        <v>466</v>
      </c>
      <c r="B96" s="0" t="s">
        <v>47</v>
      </c>
      <c r="D96" s="18" t="n">
        <f aca="false">D95/C95-1</f>
        <v>0.502285163924287</v>
      </c>
      <c r="E96" s="18" t="n">
        <f aca="false">E95/D95-1</f>
        <v>0.737612235441472</v>
      </c>
      <c r="F96" s="18" t="n">
        <f aca="false">F95/E95-1</f>
        <v>0.208668076527857</v>
      </c>
      <c r="G96" s="18" t="n">
        <f aca="false">G95/F95-1</f>
        <v>0.07428335499381</v>
      </c>
      <c r="H96" s="26" t="n">
        <f aca="false">H95/G95-1</f>
        <v>0.0359490393294257</v>
      </c>
      <c r="I96" s="26" t="n">
        <f aca="false">I95/H95-1</f>
        <v>0.045337703744315</v>
      </c>
      <c r="J96" s="26" t="n">
        <f aca="false">J95/I95-1</f>
        <v>0.0547263681592041</v>
      </c>
    </row>
    <row r="97" customFormat="false" ht="17.15" hidden="false" customHeight="false" outlineLevel="0" collapsed="false">
      <c r="A97" s="4" t="s">
        <v>467</v>
      </c>
      <c r="B97" s="0" t="s">
        <v>47</v>
      </c>
      <c r="C97" s="17" t="n">
        <f aca="false">C93/C78</f>
        <v>0.0537708946282752</v>
      </c>
      <c r="D97" s="17" t="n">
        <f aca="false">D93/D78</f>
        <v>0.0528101877339414</v>
      </c>
      <c r="E97" s="17" t="n">
        <f aca="false">E93/E78</f>
        <v>0.0533014396086032</v>
      </c>
      <c r="F97" s="17" t="n">
        <f aca="false">F93/F78</f>
        <v>0.0556293164680525</v>
      </c>
      <c r="G97" s="17" t="n">
        <f aca="false">G93/G78</f>
        <v>0.0582154252118753</v>
      </c>
      <c r="H97" s="27" t="n">
        <f aca="false">$G97+(fade_mA-$G97)*1/3</f>
        <v>0.0582154252118753</v>
      </c>
      <c r="I97" s="27" t="n">
        <f aca="false">$G97+(fade_mA-$G97)*2/3</f>
        <v>0.0582154252118753</v>
      </c>
      <c r="J97" s="27" t="n">
        <f aca="false">$G97+(fade_mA-$G97)*3/3</f>
        <v>0.0582154252118753</v>
      </c>
    </row>
    <row r="100" customFormat="false" ht="17.15" hidden="false" customHeight="false" outlineLevel="0" collapsed="false">
      <c r="A100" s="1" t="s">
        <v>468</v>
      </c>
    </row>
    <row r="101" customFormat="false" ht="17.15" hidden="false" customHeight="false" outlineLevel="0" collapsed="false">
      <c r="A101" s="5" t="s">
        <v>16</v>
      </c>
      <c r="B101" s="5" t="s">
        <v>17</v>
      </c>
      <c r="C101" s="14" t="s">
        <v>336</v>
      </c>
      <c r="D101" s="14" t="s">
        <v>415</v>
      </c>
      <c r="E101" s="14" t="s">
        <v>416</v>
      </c>
      <c r="F101" s="14" t="s">
        <v>417</v>
      </c>
      <c r="G101" s="14" t="s">
        <v>418</v>
      </c>
      <c r="H101" s="14" t="s">
        <v>419</v>
      </c>
      <c r="I101" s="14" t="s">
        <v>420</v>
      </c>
      <c r="J101" s="14" t="s">
        <v>421</v>
      </c>
      <c r="K101" s="5" t="s">
        <v>387</v>
      </c>
    </row>
    <row r="102" customFormat="false" ht="17.15" hidden="false" customHeight="false" outlineLevel="0" collapsed="false">
      <c r="A102" s="6" t="s">
        <v>437</v>
      </c>
    </row>
    <row r="103" customFormat="false" ht="17.15" hidden="false" customHeight="false" outlineLevel="0" collapsed="false">
      <c r="A103" s="0" t="s">
        <v>438</v>
      </c>
      <c r="B103" s="0" t="s">
        <v>27</v>
      </c>
      <c r="D103" s="30" t="n">
        <f aca="false">itc_26</f>
        <v>781.872916666667</v>
      </c>
      <c r="E103" s="30" t="n">
        <f aca="false">itc_27*1</f>
        <v>1565.35</v>
      </c>
      <c r="F103" s="30" t="n">
        <f aca="false">itc_28*um28_B*1</f>
        <v>1587.41111111111</v>
      </c>
      <c r="G103" s="30" t="n">
        <f aca="false">itc_29*um29_B*1</f>
        <v>1921.33173611111</v>
      </c>
    </row>
    <row r="104" customFormat="false" ht="17.15" hidden="false" customHeight="false" outlineLevel="0" collapsed="false">
      <c r="A104" s="4" t="s">
        <v>439</v>
      </c>
      <c r="B104" s="0" t="s">
        <v>27</v>
      </c>
      <c r="D104" s="30" t="n">
        <f aca="false">itpg_gb*(1-vr26)+itpg_vr*vr26</f>
        <v>33.41403216</v>
      </c>
      <c r="E104" s="30" t="n">
        <f aca="false">itpg_vr</f>
        <v>37.586352</v>
      </c>
      <c r="F104" s="30" t="n">
        <f aca="false">itpg_vr</f>
        <v>37.586352</v>
      </c>
      <c r="G104" s="30" t="n">
        <f aca="false">itpg_vr</f>
        <v>37.586352</v>
      </c>
    </row>
    <row r="105" customFormat="false" ht="17.15" hidden="false" customHeight="false" outlineLevel="0" collapsed="false">
      <c r="A105" s="4" t="s">
        <v>440</v>
      </c>
      <c r="B105" s="0" t="s">
        <v>389</v>
      </c>
      <c r="D105" s="21" t="n">
        <f aca="false">D103/D104</f>
        <v>23.3995380420639</v>
      </c>
      <c r="E105" s="21" t="n">
        <f aca="false">E103/E104</f>
        <v>41.6467658260637</v>
      </c>
      <c r="F105" s="21" t="n">
        <f aca="false">F103/F104</f>
        <v>42.2337105529984</v>
      </c>
      <c r="G105" s="21" t="n">
        <f aca="false">G103/G104</f>
        <v>51.1178029756948</v>
      </c>
    </row>
    <row r="106" customFormat="false" ht="17.15" hidden="false" customHeight="false" outlineLevel="0" collapsed="false">
      <c r="A106" s="4" t="s">
        <v>441</v>
      </c>
      <c r="B106" s="0" t="s">
        <v>408</v>
      </c>
      <c r="D106" s="19" t="n">
        <f aca="false">(racks_gb*odm_gb*(1-vr26)+racks_vr*odm_vr*vr26)/1000</f>
        <v>27.1209</v>
      </c>
      <c r="E106" s="19" t="n">
        <f aca="false">racks_vr*odm_vr/1000</f>
        <v>27.351</v>
      </c>
      <c r="F106" s="19" t="n">
        <f aca="false">$E106*vpg_28</f>
        <v>27.351</v>
      </c>
      <c r="G106" s="19" t="n">
        <f aca="false">$E106*vpg_29</f>
        <v>27.351</v>
      </c>
      <c r="K106" s="4" t="s">
        <v>442</v>
      </c>
    </row>
    <row r="107" customFormat="false" ht="17.15" hidden="false" customHeight="false" outlineLevel="0" collapsed="false">
      <c r="A107" s="0" t="s">
        <v>443</v>
      </c>
      <c r="B107" s="0" t="s">
        <v>27</v>
      </c>
      <c r="D107" s="22" t="n">
        <f aca="false">D105*D106</f>
        <v>634.616531285011</v>
      </c>
      <c r="E107" s="22" t="n">
        <f aca="false">E105*E106</f>
        <v>1139.08069210867</v>
      </c>
      <c r="F107" s="22" t="n">
        <f aca="false">F105*F106</f>
        <v>1155.13421733506</v>
      </c>
      <c r="G107" s="22" t="n">
        <f aca="false">G105*G106</f>
        <v>1398.12302918823</v>
      </c>
    </row>
    <row r="108" customFormat="false" ht="17.15" hidden="false" customHeight="false" outlineLevel="0" collapsed="false">
      <c r="A108" s="0" t="s">
        <v>444</v>
      </c>
      <c r="B108" s="0" t="s">
        <v>184</v>
      </c>
      <c r="D108" s="22" t="n">
        <f aca="false">D107*fx</f>
        <v>20307.7290011204</v>
      </c>
      <c r="E108" s="22" t="n">
        <f aca="false">E107*fx</f>
        <v>36450.5821474774</v>
      </c>
      <c r="F108" s="22" t="n">
        <f aca="false">F107*fx</f>
        <v>36964.2949547219</v>
      </c>
      <c r="G108" s="22" t="n">
        <f aca="false">G107*fx</f>
        <v>44739.9369340233</v>
      </c>
    </row>
    <row r="109" customFormat="false" ht="17.15" hidden="false" customHeight="false" outlineLevel="0" collapsed="false">
      <c r="A109" s="4" t="s">
        <v>445</v>
      </c>
      <c r="B109" s="0" t="s">
        <v>47</v>
      </c>
      <c r="D109" s="17" t="n">
        <f aca="false">a26_ai/D108</f>
        <v>0.0344775081035094</v>
      </c>
      <c r="K109" s="8" t="s">
        <v>446</v>
      </c>
    </row>
    <row r="110" customFormat="false" ht="17.15" hidden="false" customHeight="false" outlineLevel="0" collapsed="false">
      <c r="A110" s="4" t="s">
        <v>447</v>
      </c>
      <c r="B110" s="0" t="s">
        <v>59</v>
      </c>
      <c r="D110" s="19" t="n">
        <f aca="false">1</f>
        <v>1</v>
      </c>
      <c r="E110" s="19" t="n">
        <f aca="false">rel_27</f>
        <v>1</v>
      </c>
      <c r="F110" s="19" t="n">
        <f aca="false">rel_28</f>
        <v>1</v>
      </c>
      <c r="G110" s="19" t="n">
        <f aca="false">rel_29</f>
        <v>0.95</v>
      </c>
    </row>
    <row r="111" customFormat="false" ht="17.15" hidden="false" customHeight="false" outlineLevel="0" collapsed="false">
      <c r="A111" s="0" t="s">
        <v>448</v>
      </c>
      <c r="B111" s="0" t="s">
        <v>59</v>
      </c>
      <c r="D111" s="23" t="n">
        <f aca="false">1</f>
        <v>1</v>
      </c>
      <c r="E111" s="23" t="n">
        <f aca="false">asic_mix*((ua_27/ua_26)/(ut_27/ut_26))+(1-asic_mix)</f>
        <v>1.44683544303797</v>
      </c>
      <c r="F111" s="23" t="n">
        <f aca="false">asic_mix*((ua_28/ua_26)/(ut_28/ut_26))+(1-asic_mix)</f>
        <v>1.47660377358491</v>
      </c>
      <c r="G111" s="23" t="n">
        <f aca="false">asic_mix*((ua_29/ua_26)/(ut_29/ut_26))+(1-asic_mix)</f>
        <v>1.49144278606965</v>
      </c>
      <c r="K111" s="8" t="s">
        <v>449</v>
      </c>
    </row>
    <row r="112" customFormat="false" ht="15" hidden="false" customHeight="false" outlineLevel="0" collapsed="false">
      <c r="A112" s="4" t="s">
        <v>398</v>
      </c>
      <c r="B112" s="0" t="s">
        <v>47</v>
      </c>
      <c r="D112" s="17" t="n">
        <f aca="false">$D$109*D110*D111</f>
        <v>0.0344775081035094</v>
      </c>
      <c r="E112" s="17" t="n">
        <f aca="false">$D$109*E110*E111</f>
        <v>0.0498832807117864</v>
      </c>
      <c r="F112" s="17" t="n">
        <f aca="false">$D$109*F110*F111</f>
        <v>0.0509096185694461</v>
      </c>
      <c r="G112" s="17" t="n">
        <f aca="false">$D$109*G110*G111</f>
        <v>0.0488501692055052</v>
      </c>
    </row>
    <row r="113" customFormat="false" ht="17.15" hidden="false" customHeight="false" outlineLevel="0" collapsed="false">
      <c r="A113" s="0" t="s">
        <v>450</v>
      </c>
      <c r="B113" s="0" t="s">
        <v>184</v>
      </c>
      <c r="D113" s="22" t="n">
        <f aca="false">D108*D112</f>
        <v>700.1598912</v>
      </c>
      <c r="E113" s="22" t="n">
        <f aca="false">E108*E112</f>
        <v>1818.27462137064</v>
      </c>
      <c r="F113" s="22" t="n">
        <f aca="false">F108*F112</f>
        <v>1881.83815683339</v>
      </c>
      <c r="G113" s="22" t="n">
        <f aca="false">G108*G112</f>
        <v>2185.55348947067</v>
      </c>
    </row>
    <row r="114" customFormat="false" ht="17.15" hidden="false" customHeight="false" outlineLevel="0" collapsed="false">
      <c r="A114" s="4" t="s">
        <v>404</v>
      </c>
      <c r="B114" s="0" t="s">
        <v>47</v>
      </c>
      <c r="D114" s="18" t="n">
        <f aca="false">0</f>
        <v>0</v>
      </c>
      <c r="E114" s="18" t="n">
        <f aca="false">cs_27</f>
        <v>0.05</v>
      </c>
      <c r="F114" s="18" t="n">
        <f aca="false">cs_28</f>
        <v>0.1</v>
      </c>
      <c r="G114" s="18" t="n">
        <f aca="false">cs_29</f>
        <v>0.15</v>
      </c>
      <c r="K114" s="8" t="s">
        <v>451</v>
      </c>
    </row>
    <row r="115" customFormat="false" ht="17.15" hidden="false" customHeight="false" outlineLevel="0" collapsed="false">
      <c r="A115" s="0" t="s">
        <v>452</v>
      </c>
      <c r="B115" s="0" t="s">
        <v>184</v>
      </c>
      <c r="C115" s="22" t="n">
        <f aca="false">a25_ai</f>
        <v>475.3315</v>
      </c>
      <c r="D115" s="22" t="n">
        <f aca="false">D113*(1-D114)</f>
        <v>700.1598912</v>
      </c>
      <c r="E115" s="22" t="n">
        <f aca="false">E113*(1-E114)</f>
        <v>1727.36089030211</v>
      </c>
      <c r="F115" s="22" t="n">
        <f aca="false">F113*(1-F114)</f>
        <v>1693.65434115005</v>
      </c>
      <c r="G115" s="22" t="n">
        <f aca="false">G113*(1-G114)</f>
        <v>1857.72046605007</v>
      </c>
    </row>
    <row r="116" customFormat="false" ht="17.15" hidden="false" customHeight="false" outlineLevel="0" collapsed="false">
      <c r="A116" s="6" t="s">
        <v>453</v>
      </c>
    </row>
    <row r="117" customFormat="false" ht="17.15" hidden="false" customHeight="false" outlineLevel="0" collapsed="false">
      <c r="A117" s="4" t="s">
        <v>373</v>
      </c>
      <c r="B117" s="0" t="s">
        <v>184</v>
      </c>
      <c r="C117" s="22" t="n">
        <f aca="false">a25_nai</f>
        <v>475.3315</v>
      </c>
      <c r="D117" s="22" t="n">
        <f aca="false">a26_nai</f>
        <v>758.5065488</v>
      </c>
      <c r="E117" s="22" t="n">
        <f aca="false">D117*(1+g_nai27)</f>
        <v>796.43187624</v>
      </c>
      <c r="F117" s="22" t="n">
        <f aca="false">E117*(1+g_nai28)</f>
        <v>820.3248325272</v>
      </c>
      <c r="G117" s="22" t="n">
        <f aca="false">F117*(1+g_nai29)</f>
        <v>844.934577503016</v>
      </c>
    </row>
    <row r="118" customFormat="false" ht="17.15" hidden="false" customHeight="false" outlineLevel="0" collapsed="false">
      <c r="A118" s="4" t="s">
        <v>342</v>
      </c>
      <c r="B118" s="0" t="s">
        <v>184</v>
      </c>
      <c r="C118" s="22" t="n">
        <f aca="false">C115+C117</f>
        <v>950.663</v>
      </c>
      <c r="D118" s="22" t="n">
        <f aca="false">D115+D117</f>
        <v>1458.66644</v>
      </c>
      <c r="E118" s="22" t="n">
        <f aca="false">E115+E117</f>
        <v>2523.79276654211</v>
      </c>
      <c r="F118" s="22" t="n">
        <f aca="false">F115+F117</f>
        <v>2513.97917367725</v>
      </c>
      <c r="G118" s="22" t="n">
        <f aca="false">G115+G117</f>
        <v>2702.65504355309</v>
      </c>
      <c r="H118" s="25" t="n">
        <f aca="false">G118*(1+H119)</f>
        <v>2873.91452677693</v>
      </c>
      <c r="I118" s="25" t="n">
        <f aca="false">H118*(1+I119)</f>
        <v>3022.44866956771</v>
      </c>
      <c r="J118" s="25" t="n">
        <f aca="false">I118*(1+J119)</f>
        <v>3143.34661635042</v>
      </c>
      <c r="K118" s="8" t="s">
        <v>454</v>
      </c>
    </row>
    <row r="119" customFormat="false" ht="15" hidden="false" customHeight="false" outlineLevel="0" collapsed="false">
      <c r="A119" s="4" t="s">
        <v>455</v>
      </c>
      <c r="B119" s="0" t="s">
        <v>47</v>
      </c>
      <c r="D119" s="18" t="n">
        <f aca="false">D118/C118-1</f>
        <v>0.534367530870561</v>
      </c>
      <c r="E119" s="18" t="n">
        <f aca="false">E118/D118-1</f>
        <v>0.730205547569951</v>
      </c>
      <c r="F119" s="18" t="n">
        <f aca="false">F118/E118-1</f>
        <v>-0.00388843053794075</v>
      </c>
      <c r="G119" s="18" t="n">
        <f aca="false">G118/F118-1</f>
        <v>0.0750506893021918</v>
      </c>
      <c r="H119" s="26" t="n">
        <f aca="false">$G119+(fade_gB-$G119)*1/3</f>
        <v>0.0633671262014612</v>
      </c>
      <c r="I119" s="26" t="n">
        <f aca="false">$G119+(fade_gB-$G119)*2/3</f>
        <v>0.0516835631007306</v>
      </c>
      <c r="J119" s="26" t="n">
        <f aca="false">$G119+(fade_gB-$G119)*3/3</f>
        <v>0.04</v>
      </c>
    </row>
    <row r="120" customFormat="false" ht="17.15" hidden="false" customHeight="false" outlineLevel="0" collapsed="false">
      <c r="A120" s="0" t="s">
        <v>456</v>
      </c>
      <c r="B120" s="0" t="s">
        <v>47</v>
      </c>
      <c r="C120" s="18" t="n">
        <f aca="false">C115/C118</f>
        <v>0.5</v>
      </c>
      <c r="D120" s="18" t="n">
        <f aca="false">D115/D118</f>
        <v>0.48</v>
      </c>
      <c r="E120" s="18" t="n">
        <f aca="false">E115/E118</f>
        <v>0.684430557532977</v>
      </c>
      <c r="F120" s="18" t="n">
        <f aca="false">F115/F118</f>
        <v>0.673694658604792</v>
      </c>
      <c r="G120" s="18" t="n">
        <f aca="false">G115/G118</f>
        <v>0.687368693419264</v>
      </c>
    </row>
    <row r="121" customFormat="false" ht="17.15" hidden="false" customHeight="false" outlineLevel="0" collapsed="false">
      <c r="A121" s="4" t="s">
        <v>407</v>
      </c>
      <c r="B121" s="0" t="s">
        <v>408</v>
      </c>
      <c r="D121" s="23" t="n">
        <f aca="false">D115/fx/D105</f>
        <v>0.935061049524468</v>
      </c>
      <c r="E121" s="23" t="n">
        <f aca="false">E115/fx/E105</f>
        <v>1.29613973021067</v>
      </c>
      <c r="F121" s="23" t="n">
        <f aca="false">F115/fx/F105</f>
        <v>1.25318607974363</v>
      </c>
      <c r="G121" s="23" t="n">
        <f aca="false">G115/fx/G105</f>
        <v>1.13568583124881</v>
      </c>
    </row>
    <row r="122" customFormat="false" ht="17.15" hidden="false" customHeight="false" outlineLevel="0" collapsed="false">
      <c r="A122" s="6" t="s">
        <v>457</v>
      </c>
    </row>
    <row r="123" customFormat="false" ht="17.15" hidden="false" customHeight="false" outlineLevel="0" collapsed="false">
      <c r="A123" s="4" t="s">
        <v>458</v>
      </c>
      <c r="B123" s="0" t="s">
        <v>47</v>
      </c>
      <c r="D123" s="17" t="n">
        <f aca="false">a26_gp/D118-d_ai*D120</f>
        <v>0.0882120920201606</v>
      </c>
      <c r="K123" s="8" t="s">
        <v>459</v>
      </c>
    </row>
    <row r="124" customFormat="false" ht="17.15" hidden="false" customHeight="false" outlineLevel="0" collapsed="false">
      <c r="A124" s="0" t="s">
        <v>460</v>
      </c>
      <c r="B124" s="0" t="s">
        <v>184</v>
      </c>
      <c r="D124" s="30" t="n">
        <f aca="false">($D$123+d_ai)*D113*(1-D114*(1-keep))</f>
        <v>54.76096983936</v>
      </c>
      <c r="E124" s="30" t="n">
        <f aca="false">($D$123+d_ai+vrd)*E113*(1-E114*(1-keep))</f>
        <v>137.881640198013</v>
      </c>
      <c r="F124" s="30" t="n">
        <f aca="false">($D$123+d_ai+vrd)*F113*(1-F114*(1-keep))</f>
        <v>141.98463454788</v>
      </c>
      <c r="G124" s="30" t="n">
        <f aca="false">($D$123+d_ai+vrd)*G113*(1-G114*(1-keep))</f>
        <v>164.067119599704</v>
      </c>
      <c r="K124" s="4" t="s">
        <v>461</v>
      </c>
    </row>
    <row r="125" customFormat="false" ht="15" hidden="false" customHeight="false" outlineLevel="0" collapsed="false">
      <c r="A125" s="4" t="s">
        <v>346</v>
      </c>
      <c r="B125" s="0" t="s">
        <v>184</v>
      </c>
      <c r="C125" s="22" t="n">
        <f aca="false">a25_gp</f>
        <v>78.454</v>
      </c>
      <c r="D125" s="22" t="n">
        <f aca="false">a26_gp</f>
        <v>121.67041932</v>
      </c>
      <c r="E125" s="22" t="n">
        <f aca="false">$D$123*E117+E124</f>
        <v>208.136562152685</v>
      </c>
      <c r="F125" s="22" t="n">
        <f aca="false">$D$123*F117+F124</f>
        <v>214.347204161192</v>
      </c>
      <c r="G125" s="22" t="n">
        <f aca="false">$D$123*G117+G124</f>
        <v>238.600566301416</v>
      </c>
    </row>
    <row r="126" customFormat="false" ht="15" hidden="false" customHeight="false" outlineLevel="0" collapsed="false">
      <c r="A126" s="4" t="s">
        <v>349</v>
      </c>
      <c r="B126" s="0" t="s">
        <v>47</v>
      </c>
      <c r="C126" s="17" t="n">
        <f aca="false">C125/C118</f>
        <v>0.0825255637381491</v>
      </c>
      <c r="D126" s="17" t="n">
        <f aca="false">D125/D118</f>
        <v>0.0834120920201606</v>
      </c>
      <c r="E126" s="17" t="n">
        <f aca="false">E125/E118</f>
        <v>0.0824697514439176</v>
      </c>
      <c r="F126" s="17" t="n">
        <f aca="false">F125/F118</f>
        <v>0.085262124048411</v>
      </c>
      <c r="G126" s="17" t="n">
        <f aca="false">G125/G118</f>
        <v>0.088283766317338</v>
      </c>
    </row>
    <row r="127" customFormat="false" ht="17.15" hidden="false" customHeight="false" outlineLevel="0" collapsed="false">
      <c r="A127" s="0" t="s">
        <v>462</v>
      </c>
      <c r="B127" s="0" t="s">
        <v>47</v>
      </c>
      <c r="D127" s="17" t="n">
        <f aca="false">D124/D115</f>
        <v>0.0782120920201606</v>
      </c>
      <c r="E127" s="17" t="n">
        <f aca="false">E124/E115</f>
        <v>0.0798221384842734</v>
      </c>
      <c r="F127" s="17" t="n">
        <f aca="false">F124/F115</f>
        <v>0.0838333012221766</v>
      </c>
      <c r="G127" s="17" t="n">
        <f aca="false">G124/G115</f>
        <v>0.0883163654586567</v>
      </c>
      <c r="K127" s="4" t="s">
        <v>463</v>
      </c>
    </row>
    <row r="128" customFormat="false" ht="15" hidden="false" customHeight="false" outlineLevel="0" collapsed="false">
      <c r="A128" s="4" t="s">
        <v>464</v>
      </c>
      <c r="B128" s="0" t="s">
        <v>184</v>
      </c>
      <c r="C128" s="22" t="n">
        <f aca="false">a25_opx</f>
        <v>14.536</v>
      </c>
      <c r="D128" s="22" t="n">
        <f aca="false">a26_opx</f>
        <v>22.5183263</v>
      </c>
      <c r="E128" s="22" t="n">
        <f aca="false">D128*(1+MAX(0,phi*E119))</f>
        <v>35.6727317290002</v>
      </c>
      <c r="F128" s="22" t="n">
        <f aca="false">E128*(1+MAX(0,phi*F119))</f>
        <v>35.6727317290002</v>
      </c>
      <c r="G128" s="22" t="n">
        <f aca="false">F128*(1+MAX(0,phi*G119))</f>
        <v>37.8145422134432</v>
      </c>
    </row>
    <row r="129" customFormat="false" ht="15" hidden="false" customHeight="false" outlineLevel="0" collapsed="false">
      <c r="A129" s="4" t="s">
        <v>350</v>
      </c>
      <c r="B129" s="0" t="s">
        <v>184</v>
      </c>
      <c r="C129" s="22" t="n">
        <f aca="false">C128</f>
        <v>14.536</v>
      </c>
      <c r="D129" s="22" t="n">
        <f aca="false">D128</f>
        <v>22.5183263</v>
      </c>
      <c r="E129" s="22" t="n">
        <f aca="false">E128+0*E118</f>
        <v>35.6727317290002</v>
      </c>
      <c r="F129" s="22" t="n">
        <f aca="false">F128+0*F118</f>
        <v>35.6727317290002</v>
      </c>
      <c r="G129" s="22" t="n">
        <f aca="false">G128+0*G118</f>
        <v>37.8145422134432</v>
      </c>
    </row>
    <row r="130" customFormat="false" ht="15" hidden="false" customHeight="false" outlineLevel="0" collapsed="false">
      <c r="A130" s="4" t="s">
        <v>353</v>
      </c>
      <c r="B130" s="0" t="s">
        <v>184</v>
      </c>
      <c r="C130" s="22" t="n">
        <f aca="false">C125-C129</f>
        <v>63.918</v>
      </c>
      <c r="D130" s="22" t="n">
        <f aca="false">D125-D129</f>
        <v>99.15209302</v>
      </c>
      <c r="E130" s="22" t="n">
        <f aca="false">E125-E129</f>
        <v>172.463830423685</v>
      </c>
      <c r="F130" s="22" t="n">
        <f aca="false">F125-F129</f>
        <v>178.674472432191</v>
      </c>
      <c r="G130" s="22" t="n">
        <f aca="false">G125-G129</f>
        <v>200.786024087972</v>
      </c>
    </row>
    <row r="131" customFormat="false" ht="15" hidden="false" customHeight="false" outlineLevel="0" collapsed="false">
      <c r="A131" s="4" t="s">
        <v>356</v>
      </c>
      <c r="B131" s="0" t="s">
        <v>47</v>
      </c>
      <c r="C131" s="17" t="n">
        <f aca="false">C130/C118</f>
        <v>0.0672351821833815</v>
      </c>
      <c r="D131" s="17" t="n">
        <f aca="false">D130/D118</f>
        <v>0.0679744801834201</v>
      </c>
      <c r="E131" s="17" t="n">
        <f aca="false">E130/E118</f>
        <v>0.0683351789853888</v>
      </c>
      <c r="F131" s="17" t="n">
        <f aca="false">F130/F118</f>
        <v>0.0710723757392311</v>
      </c>
      <c r="G131" s="17" t="n">
        <f aca="false">G130/G118</f>
        <v>0.0742921389716114</v>
      </c>
    </row>
    <row r="132" customFormat="false" ht="17.15" hidden="false" customHeight="false" outlineLevel="0" collapsed="false">
      <c r="A132" s="4" t="s">
        <v>218</v>
      </c>
      <c r="B132" s="0" t="s">
        <v>47</v>
      </c>
      <c r="C132" s="18" t="n">
        <f aca="false">a25_ni/a25_oi</f>
        <v>0.799743421258488</v>
      </c>
      <c r="D132" s="18" t="n">
        <f aca="false">a26_ni/a26_oi</f>
        <v>0.776911976251089</v>
      </c>
      <c r="E132" s="18" t="n">
        <f aca="false">nio_f</f>
        <v>0.78</v>
      </c>
      <c r="F132" s="18" t="n">
        <f aca="false">nio_f</f>
        <v>0.78</v>
      </c>
      <c r="G132" s="18" t="n">
        <f aca="false">nio_f</f>
        <v>0.78</v>
      </c>
    </row>
    <row r="133" customFormat="false" ht="15" hidden="false" customHeight="false" outlineLevel="0" collapsed="false">
      <c r="A133" s="4" t="s">
        <v>357</v>
      </c>
      <c r="B133" s="0" t="s">
        <v>184</v>
      </c>
      <c r="C133" s="22" t="n">
        <f aca="false">a25_ni</f>
        <v>51.118</v>
      </c>
      <c r="D133" s="22" t="n">
        <f aca="false">a26_ni</f>
        <v>77.0324485376</v>
      </c>
      <c r="E133" s="22" t="n">
        <f aca="false">E130*E132</f>
        <v>134.521787730474</v>
      </c>
      <c r="F133" s="22" t="n">
        <f aca="false">F130*F132</f>
        <v>139.366088497109</v>
      </c>
      <c r="G133" s="22" t="n">
        <f aca="false">G130*G132</f>
        <v>156.613098788618</v>
      </c>
      <c r="H133" s="25" t="n">
        <f aca="false">H118*H137</f>
        <v>157.869456288083</v>
      </c>
      <c r="I133" s="25" t="n">
        <f aca="false">I118*I137</f>
        <v>156.912966844265</v>
      </c>
      <c r="J133" s="25" t="n">
        <f aca="false">J118*J137</f>
        <v>153.709110250491</v>
      </c>
    </row>
    <row r="134" customFormat="false" ht="15" hidden="false" customHeight="false" outlineLevel="0" collapsed="false">
      <c r="A134" s="4" t="s">
        <v>465</v>
      </c>
      <c r="B134" s="4" t="s">
        <v>205</v>
      </c>
      <c r="C134" s="29" t="n">
        <f aca="false">a25_sh</f>
        <v>0.554331761662183</v>
      </c>
      <c r="D134" s="29" t="n">
        <f aca="false">a26_sh</f>
        <v>0.556054338618749</v>
      </c>
      <c r="E134" s="29" t="n">
        <f aca="false">D134*(1+sh_g)</f>
        <v>0.558834610311843</v>
      </c>
      <c r="F134" s="29" t="n">
        <f aca="false">E134*(1+sh_g)</f>
        <v>0.561628783363402</v>
      </c>
      <c r="G134" s="29" t="n">
        <f aca="false">F134*(1+sh_g)</f>
        <v>0.564436927280219</v>
      </c>
      <c r="H134" s="31" t="n">
        <f aca="false">G134*(1+sh_g)</f>
        <v>0.56725911191662</v>
      </c>
      <c r="I134" s="31" t="n">
        <f aca="false">H134*(1+sh_g)</f>
        <v>0.570095407476203</v>
      </c>
      <c r="J134" s="31" t="n">
        <f aca="false">I134*(1+sh_g)</f>
        <v>0.572945884513584</v>
      </c>
    </row>
    <row r="135" customFormat="false" ht="17.15" hidden="false" customHeight="false" outlineLevel="0" collapsed="false">
      <c r="A135" s="0" t="s">
        <v>363</v>
      </c>
      <c r="B135" s="0" t="s">
        <v>235</v>
      </c>
      <c r="C135" s="30" t="n">
        <f aca="false">C133/C134</f>
        <v>92.2155350556153</v>
      </c>
      <c r="D135" s="30" t="n">
        <f aca="false">D133/D134</f>
        <v>138.534030197391</v>
      </c>
      <c r="E135" s="30" t="n">
        <f aca="false">E133/E134</f>
        <v>240.718425896005</v>
      </c>
      <c r="F135" s="30" t="n">
        <f aca="false">F133/F134</f>
        <v>248.146271390319</v>
      </c>
      <c r="G135" s="30" t="n">
        <f aca="false">G133/G134</f>
        <v>277.467846661398</v>
      </c>
      <c r="H135" s="28" t="n">
        <f aca="false">H133/H134</f>
        <v>278.302195542851</v>
      </c>
      <c r="I135" s="28" t="n">
        <f aca="false">I133/I134</f>
        <v>275.239836677363</v>
      </c>
      <c r="J135" s="28" t="n">
        <f aca="false">J133/J134</f>
        <v>268.278583379627</v>
      </c>
    </row>
    <row r="136" customFormat="false" ht="17.15" hidden="false" customHeight="false" outlineLevel="0" collapsed="false">
      <c r="A136" s="0" t="s">
        <v>466</v>
      </c>
      <c r="B136" s="0" t="s">
        <v>47</v>
      </c>
      <c r="D136" s="18" t="n">
        <f aca="false">D135/C135-1</f>
        <v>0.502285163924287</v>
      </c>
      <c r="E136" s="18" t="n">
        <f aca="false">E135/D135-1</f>
        <v>0.737612235441472</v>
      </c>
      <c r="F136" s="18" t="n">
        <f aca="false">F135/E135-1</f>
        <v>0.0308569876471492</v>
      </c>
      <c r="G136" s="18" t="n">
        <f aca="false">G135/F135-1</f>
        <v>0.118162465657032</v>
      </c>
      <c r="H136" s="26" t="n">
        <f aca="false">H135/G135-1</f>
        <v>0.00300701105188117</v>
      </c>
      <c r="I136" s="26" t="n">
        <f aca="false">I135/H135-1</f>
        <v>-0.0110037179531206</v>
      </c>
      <c r="J136" s="26" t="n">
        <f aca="false">J135/I135-1</f>
        <v>-0.025291590715105</v>
      </c>
    </row>
    <row r="137" customFormat="false" ht="17.15" hidden="false" customHeight="false" outlineLevel="0" collapsed="false">
      <c r="A137" s="4" t="s">
        <v>467</v>
      </c>
      <c r="B137" s="0" t="s">
        <v>47</v>
      </c>
      <c r="C137" s="17" t="n">
        <f aca="false">C133/C118</f>
        <v>0.0537708946282752</v>
      </c>
      <c r="D137" s="17" t="n">
        <f aca="false">D133/D118</f>
        <v>0.0528101877339414</v>
      </c>
      <c r="E137" s="17" t="n">
        <f aca="false">E133/E118</f>
        <v>0.0533014396086032</v>
      </c>
      <c r="F137" s="17" t="n">
        <f aca="false">F133/F118</f>
        <v>0.0554364530766003</v>
      </c>
      <c r="G137" s="17" t="n">
        <f aca="false">G133/G118</f>
        <v>0.0579478683978569</v>
      </c>
      <c r="H137" s="27" t="n">
        <f aca="false">$G137+(fade_mB-$G137)*1/3</f>
        <v>0.0549318550768217</v>
      </c>
      <c r="I137" s="27" t="n">
        <f aca="false">$G137+(fade_mB-$G137)*2/3</f>
        <v>0.0519158417557865</v>
      </c>
      <c r="J137" s="27" t="n">
        <f aca="false">$G137+(fade_mB-$G137)*3/3</f>
        <v>0.0488998284347512</v>
      </c>
    </row>
    <row r="140" customFormat="false" ht="17.15" hidden="false" customHeight="false" outlineLevel="0" collapsed="false">
      <c r="A140" s="1" t="s">
        <v>469</v>
      </c>
    </row>
    <row r="141" customFormat="false" ht="17.15" hidden="false" customHeight="false" outlineLevel="0" collapsed="false">
      <c r="A141" s="5" t="s">
        <v>16</v>
      </c>
      <c r="B141" s="5" t="s">
        <v>17</v>
      </c>
      <c r="C141" s="14" t="s">
        <v>336</v>
      </c>
      <c r="D141" s="14" t="s">
        <v>415</v>
      </c>
      <c r="E141" s="14" t="s">
        <v>416</v>
      </c>
      <c r="F141" s="14" t="s">
        <v>417</v>
      </c>
      <c r="G141" s="14" t="s">
        <v>418</v>
      </c>
      <c r="H141" s="14" t="s">
        <v>419</v>
      </c>
      <c r="I141" s="14" t="s">
        <v>420</v>
      </c>
      <c r="J141" s="14" t="s">
        <v>421</v>
      </c>
      <c r="K141" s="5" t="s">
        <v>387</v>
      </c>
    </row>
    <row r="142" customFormat="false" ht="17.15" hidden="false" customHeight="false" outlineLevel="0" collapsed="false">
      <c r="A142" s="6" t="s">
        <v>437</v>
      </c>
    </row>
    <row r="143" customFormat="false" ht="17.15" hidden="false" customHeight="false" outlineLevel="0" collapsed="false">
      <c r="A143" s="0" t="s">
        <v>438</v>
      </c>
      <c r="B143" s="0" t="s">
        <v>27</v>
      </c>
      <c r="D143" s="30" t="n">
        <f aca="false">itc_26</f>
        <v>781.872916666667</v>
      </c>
      <c r="E143" s="30" t="n">
        <f aca="false">itc_27*1</f>
        <v>1565.35</v>
      </c>
      <c r="F143" s="30" t="n">
        <f aca="false">itc_28*um28_C*1</f>
        <v>1190.55833333333</v>
      </c>
      <c r="G143" s="30" t="n">
        <f aca="false">itc_29*um29_C*1</f>
        <v>1356.23416666667</v>
      </c>
    </row>
    <row r="144" customFormat="false" ht="17.15" hidden="false" customHeight="false" outlineLevel="0" collapsed="false">
      <c r="A144" s="4" t="s">
        <v>439</v>
      </c>
      <c r="B144" s="0" t="s">
        <v>27</v>
      </c>
      <c r="D144" s="30" t="n">
        <f aca="false">itpg_gb*(1-vr26)+itpg_vr*vr26</f>
        <v>33.41403216</v>
      </c>
      <c r="E144" s="30" t="n">
        <f aca="false">itpg_vr</f>
        <v>37.586352</v>
      </c>
      <c r="F144" s="30" t="n">
        <f aca="false">itpg_vr</f>
        <v>37.586352</v>
      </c>
      <c r="G144" s="30" t="n">
        <f aca="false">itpg_vr</f>
        <v>37.586352</v>
      </c>
    </row>
    <row r="145" customFormat="false" ht="17.15" hidden="false" customHeight="false" outlineLevel="0" collapsed="false">
      <c r="A145" s="4" t="s">
        <v>440</v>
      </c>
      <c r="B145" s="0" t="s">
        <v>389</v>
      </c>
      <c r="D145" s="21" t="n">
        <f aca="false">D143/D144</f>
        <v>23.3995380420639</v>
      </c>
      <c r="E145" s="21" t="n">
        <f aca="false">E143/E144</f>
        <v>41.6467658260637</v>
      </c>
      <c r="F145" s="21" t="n">
        <f aca="false">F143/F144</f>
        <v>31.6752829147488</v>
      </c>
      <c r="G145" s="21" t="n">
        <f aca="false">G143/G144</f>
        <v>36.0831550416669</v>
      </c>
    </row>
    <row r="146" customFormat="false" ht="17.15" hidden="false" customHeight="false" outlineLevel="0" collapsed="false">
      <c r="A146" s="4" t="s">
        <v>441</v>
      </c>
      <c r="B146" s="0" t="s">
        <v>408</v>
      </c>
      <c r="D146" s="19" t="n">
        <f aca="false">(racks_gb*odm_gb*(1-vr26)+racks_vr*odm_vr*vr26)/1000</f>
        <v>27.1209</v>
      </c>
      <c r="E146" s="19" t="n">
        <f aca="false">racks_vr*odm_vr/1000</f>
        <v>27.351</v>
      </c>
      <c r="F146" s="19" t="n">
        <f aca="false">$E146*vpg_28</f>
        <v>27.351</v>
      </c>
      <c r="G146" s="19" t="n">
        <f aca="false">$E146*vpg_29</f>
        <v>27.351</v>
      </c>
      <c r="K146" s="4" t="s">
        <v>442</v>
      </c>
    </row>
    <row r="147" customFormat="false" ht="17.15" hidden="false" customHeight="false" outlineLevel="0" collapsed="false">
      <c r="A147" s="0" t="s">
        <v>443</v>
      </c>
      <c r="B147" s="0" t="s">
        <v>27</v>
      </c>
      <c r="D147" s="22" t="n">
        <f aca="false">D145*D146</f>
        <v>634.616531285011</v>
      </c>
      <c r="E147" s="22" t="n">
        <f aca="false">E145*E146</f>
        <v>1139.08069210867</v>
      </c>
      <c r="F147" s="22" t="n">
        <f aca="false">F145*F146</f>
        <v>866.350663001294</v>
      </c>
      <c r="G147" s="22" t="n">
        <f aca="false">G145*G146</f>
        <v>986.910373544632</v>
      </c>
    </row>
    <row r="148" customFormat="false" ht="17.15" hidden="false" customHeight="false" outlineLevel="0" collapsed="false">
      <c r="A148" s="0" t="s">
        <v>444</v>
      </c>
      <c r="B148" s="0" t="s">
        <v>184</v>
      </c>
      <c r="D148" s="22" t="n">
        <f aca="false">D147*fx</f>
        <v>20307.7290011204</v>
      </c>
      <c r="E148" s="22" t="n">
        <f aca="false">E147*fx</f>
        <v>36450.5821474774</v>
      </c>
      <c r="F148" s="22" t="n">
        <f aca="false">F147*fx</f>
        <v>27723.2212160414</v>
      </c>
      <c r="G148" s="22" t="n">
        <f aca="false">G147*fx</f>
        <v>31581.1319534282</v>
      </c>
    </row>
    <row r="149" customFormat="false" ht="17.15" hidden="false" customHeight="false" outlineLevel="0" collapsed="false">
      <c r="A149" s="4" t="s">
        <v>445</v>
      </c>
      <c r="B149" s="0" t="s">
        <v>47</v>
      </c>
      <c r="D149" s="17" t="n">
        <f aca="false">a26_ai/D148</f>
        <v>0.0344775081035094</v>
      </c>
      <c r="K149" s="8" t="s">
        <v>446</v>
      </c>
    </row>
    <row r="150" customFormat="false" ht="17.15" hidden="false" customHeight="false" outlineLevel="0" collapsed="false">
      <c r="A150" s="4" t="s">
        <v>447</v>
      </c>
      <c r="B150" s="0" t="s">
        <v>59</v>
      </c>
      <c r="D150" s="19" t="n">
        <f aca="false">1</f>
        <v>1</v>
      </c>
      <c r="E150" s="19" t="n">
        <f aca="false">rel_27</f>
        <v>1</v>
      </c>
      <c r="F150" s="19" t="n">
        <f aca="false">rel_28</f>
        <v>1</v>
      </c>
      <c r="G150" s="19" t="n">
        <f aca="false">rel_29</f>
        <v>0.95</v>
      </c>
    </row>
    <row r="151" customFormat="false" ht="17.15" hidden="false" customHeight="false" outlineLevel="0" collapsed="false">
      <c r="A151" s="0" t="s">
        <v>448</v>
      </c>
      <c r="B151" s="0" t="s">
        <v>59</v>
      </c>
      <c r="D151" s="23" t="n">
        <f aca="false">1</f>
        <v>1</v>
      </c>
      <c r="E151" s="23" t="n">
        <f aca="false">asic_mix*((ua_27/ua_26)/(ut_27/ut_26))+(1-asic_mix)</f>
        <v>1.44683544303797</v>
      </c>
      <c r="F151" s="23" t="n">
        <f aca="false">asic_mix*((ua_28/ua_26)/(ut_28/ut_26))+(1-asic_mix)</f>
        <v>1.47660377358491</v>
      </c>
      <c r="G151" s="23" t="n">
        <f aca="false">asic_mix*((ua_29/ua_26)/(ut_29/ut_26))+(1-asic_mix)</f>
        <v>1.49144278606965</v>
      </c>
      <c r="K151" s="8" t="s">
        <v>449</v>
      </c>
    </row>
    <row r="152" customFormat="false" ht="15" hidden="false" customHeight="false" outlineLevel="0" collapsed="false">
      <c r="A152" s="4" t="s">
        <v>398</v>
      </c>
      <c r="B152" s="0" t="s">
        <v>47</v>
      </c>
      <c r="D152" s="17" t="n">
        <f aca="false">$D$149*D150*D151</f>
        <v>0.0344775081035094</v>
      </c>
      <c r="E152" s="17" t="n">
        <f aca="false">$D$149*E150*E151</f>
        <v>0.0498832807117864</v>
      </c>
      <c r="F152" s="17" t="n">
        <f aca="false">$D$149*F150*F151</f>
        <v>0.0509096185694461</v>
      </c>
      <c r="G152" s="17" t="n">
        <f aca="false">$D$149*G150*G151</f>
        <v>0.0488501692055052</v>
      </c>
    </row>
    <row r="153" customFormat="false" ht="17.15" hidden="false" customHeight="false" outlineLevel="0" collapsed="false">
      <c r="A153" s="0" t="s">
        <v>450</v>
      </c>
      <c r="B153" s="0" t="s">
        <v>184</v>
      </c>
      <c r="D153" s="22" t="n">
        <f aca="false">D148*D152</f>
        <v>700.1598912</v>
      </c>
      <c r="E153" s="22" t="n">
        <f aca="false">E148*E152</f>
        <v>1818.27462137064</v>
      </c>
      <c r="F153" s="22" t="n">
        <f aca="false">F148*F152</f>
        <v>1411.37861762504</v>
      </c>
      <c r="G153" s="22" t="n">
        <f aca="false">G148*G152</f>
        <v>1542.74363962636</v>
      </c>
    </row>
    <row r="154" customFormat="false" ht="17.15" hidden="false" customHeight="false" outlineLevel="0" collapsed="false">
      <c r="A154" s="4" t="s">
        <v>404</v>
      </c>
      <c r="B154" s="0" t="s">
        <v>47</v>
      </c>
      <c r="D154" s="18" t="n">
        <f aca="false">0</f>
        <v>0</v>
      </c>
      <c r="E154" s="18" t="n">
        <f aca="false">cs_27</f>
        <v>0.05</v>
      </c>
      <c r="F154" s="18" t="n">
        <f aca="false">cs_28</f>
        <v>0.1</v>
      </c>
      <c r="G154" s="18" t="n">
        <f aca="false">cs_29</f>
        <v>0.15</v>
      </c>
      <c r="K154" s="8" t="s">
        <v>451</v>
      </c>
    </row>
    <row r="155" customFormat="false" ht="17.15" hidden="false" customHeight="false" outlineLevel="0" collapsed="false">
      <c r="A155" s="0" t="s">
        <v>452</v>
      </c>
      <c r="B155" s="0" t="s">
        <v>184</v>
      </c>
      <c r="C155" s="22" t="n">
        <f aca="false">a25_ai</f>
        <v>475.3315</v>
      </c>
      <c r="D155" s="22" t="n">
        <f aca="false">D153*(1-D154)</f>
        <v>700.1598912</v>
      </c>
      <c r="E155" s="22" t="n">
        <f aca="false">E153*(1-E154)</f>
        <v>1727.36089030211</v>
      </c>
      <c r="F155" s="22" t="n">
        <f aca="false">F153*(1-F154)</f>
        <v>1270.24075586254</v>
      </c>
      <c r="G155" s="22" t="n">
        <f aca="false">G153*(1-G154)</f>
        <v>1311.3320936824</v>
      </c>
    </row>
    <row r="156" customFormat="false" ht="17.15" hidden="false" customHeight="false" outlineLevel="0" collapsed="false">
      <c r="A156" s="6" t="s">
        <v>453</v>
      </c>
    </row>
    <row r="157" customFormat="false" ht="17.15" hidden="false" customHeight="false" outlineLevel="0" collapsed="false">
      <c r="A157" s="4" t="s">
        <v>373</v>
      </c>
      <c r="B157" s="0" t="s">
        <v>184</v>
      </c>
      <c r="C157" s="22" t="n">
        <f aca="false">a25_nai</f>
        <v>475.3315</v>
      </c>
      <c r="D157" s="22" t="n">
        <f aca="false">a26_nai</f>
        <v>758.5065488</v>
      </c>
      <c r="E157" s="22" t="n">
        <f aca="false">D157*(1+g_nai27)</f>
        <v>796.43187624</v>
      </c>
      <c r="F157" s="22" t="n">
        <f aca="false">E157*(1+g_nai28)</f>
        <v>820.3248325272</v>
      </c>
      <c r="G157" s="22" t="n">
        <f aca="false">F157*(1+g_nai29)</f>
        <v>844.934577503016</v>
      </c>
    </row>
    <row r="158" customFormat="false" ht="17.15" hidden="false" customHeight="false" outlineLevel="0" collapsed="false">
      <c r="A158" s="4" t="s">
        <v>342</v>
      </c>
      <c r="B158" s="0" t="s">
        <v>184</v>
      </c>
      <c r="C158" s="22" t="n">
        <f aca="false">C155+C157</f>
        <v>950.663</v>
      </c>
      <c r="D158" s="22" t="n">
        <f aca="false">D155+D157</f>
        <v>1458.66644</v>
      </c>
      <c r="E158" s="22" t="n">
        <f aca="false">E155+E157</f>
        <v>2523.79276654211</v>
      </c>
      <c r="F158" s="22" t="n">
        <f aca="false">F155+F157</f>
        <v>2090.56558838974</v>
      </c>
      <c r="G158" s="22" t="n">
        <f aca="false">G155+G157</f>
        <v>2156.26667118542</v>
      </c>
      <c r="H158" s="25" t="n">
        <f aca="false">G158*(1+H159)</f>
        <v>2215.819047873</v>
      </c>
      <c r="I158" s="25" t="n">
        <f aca="false">H158*(1+I159)</f>
        <v>2268.57579380265</v>
      </c>
      <c r="J158" s="25" t="n">
        <f aca="false">I158*(1+J159)</f>
        <v>2313.9473096787</v>
      </c>
      <c r="K158" s="8" t="s">
        <v>454</v>
      </c>
    </row>
    <row r="159" customFormat="false" ht="15" hidden="false" customHeight="false" outlineLevel="0" collapsed="false">
      <c r="A159" s="4" t="s">
        <v>455</v>
      </c>
      <c r="B159" s="0" t="s">
        <v>47</v>
      </c>
      <c r="D159" s="18" t="n">
        <f aca="false">D158/C158-1</f>
        <v>0.534367530870561</v>
      </c>
      <c r="E159" s="18" t="n">
        <f aca="false">E158/D158-1</f>
        <v>0.730205547569951</v>
      </c>
      <c r="F159" s="18" t="n">
        <f aca="false">F158/E158-1</f>
        <v>-0.171657191468197</v>
      </c>
      <c r="G159" s="18" t="n">
        <f aca="false">G158/F158-1</f>
        <v>0.0314274200056475</v>
      </c>
      <c r="H159" s="26" t="n">
        <f aca="false">$G159+(fade_gC-$G159)*1/3</f>
        <v>0.027618280003765</v>
      </c>
      <c r="I159" s="26" t="n">
        <f aca="false">$G159+(fade_gC-$G159)*2/3</f>
        <v>0.0238091400018825</v>
      </c>
      <c r="J159" s="26" t="n">
        <f aca="false">$G159+(fade_gC-$G159)*3/3</f>
        <v>0.02</v>
      </c>
    </row>
    <row r="160" customFormat="false" ht="17.15" hidden="false" customHeight="false" outlineLevel="0" collapsed="false">
      <c r="A160" s="0" t="s">
        <v>456</v>
      </c>
      <c r="B160" s="0" t="s">
        <v>47</v>
      </c>
      <c r="C160" s="18" t="n">
        <f aca="false">C155/C158</f>
        <v>0.5</v>
      </c>
      <c r="D160" s="18" t="n">
        <f aca="false">D155/D158</f>
        <v>0.48</v>
      </c>
      <c r="E160" s="18" t="n">
        <f aca="false">E155/E158</f>
        <v>0.684430557532977</v>
      </c>
      <c r="F160" s="18" t="n">
        <f aca="false">F155/F158</f>
        <v>0.607606268330928</v>
      </c>
      <c r="G160" s="18" t="n">
        <f aca="false">G155/G158</f>
        <v>0.608149312515919</v>
      </c>
    </row>
    <row r="161" customFormat="false" ht="17.15" hidden="false" customHeight="false" outlineLevel="0" collapsed="false">
      <c r="A161" s="4" t="s">
        <v>407</v>
      </c>
      <c r="B161" s="0" t="s">
        <v>408</v>
      </c>
      <c r="D161" s="23" t="n">
        <f aca="false">D155/fx/D145</f>
        <v>0.935061049524468</v>
      </c>
      <c r="E161" s="23" t="n">
        <f aca="false">E155/fx/E145</f>
        <v>1.29613973021067</v>
      </c>
      <c r="F161" s="23" t="n">
        <f aca="false">F155/fx/F145</f>
        <v>1.25318607974363</v>
      </c>
      <c r="G161" s="23" t="n">
        <f aca="false">G155/fx/G145</f>
        <v>1.13568583124881</v>
      </c>
    </row>
    <row r="162" customFormat="false" ht="17.15" hidden="false" customHeight="false" outlineLevel="0" collapsed="false">
      <c r="A162" s="6" t="s">
        <v>457</v>
      </c>
    </row>
    <row r="163" customFormat="false" ht="17.15" hidden="false" customHeight="false" outlineLevel="0" collapsed="false">
      <c r="A163" s="4" t="s">
        <v>458</v>
      </c>
      <c r="B163" s="0" t="s">
        <v>47</v>
      </c>
      <c r="D163" s="17" t="n">
        <f aca="false">a26_gp/D158-d_ai*D160</f>
        <v>0.0882120920201606</v>
      </c>
      <c r="K163" s="8" t="s">
        <v>459</v>
      </c>
    </row>
    <row r="164" customFormat="false" ht="17.15" hidden="false" customHeight="false" outlineLevel="0" collapsed="false">
      <c r="A164" s="0" t="s">
        <v>460</v>
      </c>
      <c r="B164" s="0" t="s">
        <v>184</v>
      </c>
      <c r="D164" s="30" t="n">
        <f aca="false">($D$163+d_ai)*D153*(1-D154*(1-keep))</f>
        <v>54.76096983936</v>
      </c>
      <c r="E164" s="30" t="n">
        <f aca="false">($D$163+d_ai+vrd)*E153*(1-E154*(1-keep))</f>
        <v>137.881640198013</v>
      </c>
      <c r="F164" s="30" t="n">
        <f aca="false">($D$163+d_ai+vrd)*F153*(1-F154*(1-keep))</f>
        <v>106.48847591091</v>
      </c>
      <c r="G164" s="30" t="n">
        <f aca="false">($D$163+d_ai+vrd)*G153*(1-G154*(1-keep))</f>
        <v>115.81208442332</v>
      </c>
      <c r="K164" s="4" t="s">
        <v>461</v>
      </c>
    </row>
    <row r="165" customFormat="false" ht="15" hidden="false" customHeight="false" outlineLevel="0" collapsed="false">
      <c r="A165" s="4" t="s">
        <v>346</v>
      </c>
      <c r="B165" s="0" t="s">
        <v>184</v>
      </c>
      <c r="C165" s="22" t="n">
        <f aca="false">a25_gp</f>
        <v>78.454</v>
      </c>
      <c r="D165" s="22" t="n">
        <f aca="false">a26_gp</f>
        <v>121.67041932</v>
      </c>
      <c r="E165" s="22" t="n">
        <f aca="false">$D$163*E157+E164</f>
        <v>208.136562152685</v>
      </c>
      <c r="F165" s="22" t="n">
        <f aca="false">$D$163*F157+F164</f>
        <v>178.851045524222</v>
      </c>
      <c r="G165" s="22" t="n">
        <f aca="false">$D$163*G157+G164</f>
        <v>190.345531125032</v>
      </c>
    </row>
    <row r="166" customFormat="false" ht="15" hidden="false" customHeight="false" outlineLevel="0" collapsed="false">
      <c r="A166" s="4" t="s">
        <v>349</v>
      </c>
      <c r="B166" s="0" t="s">
        <v>47</v>
      </c>
      <c r="C166" s="17" t="n">
        <f aca="false">C165/C158</f>
        <v>0.0825255637381491</v>
      </c>
      <c r="D166" s="17" t="n">
        <f aca="false">D165/D158</f>
        <v>0.0834120920201606</v>
      </c>
      <c r="E166" s="17" t="n">
        <f aca="false">E165/E158</f>
        <v>0.0824697514439176</v>
      </c>
      <c r="F166" s="17" t="n">
        <f aca="false">F165/F158</f>
        <v>0.0855515112835957</v>
      </c>
      <c r="G166" s="17" t="n">
        <f aca="false">G165/G158</f>
        <v>0.0882755058400956</v>
      </c>
    </row>
    <row r="167" customFormat="false" ht="17.15" hidden="false" customHeight="false" outlineLevel="0" collapsed="false">
      <c r="A167" s="0" t="s">
        <v>462</v>
      </c>
      <c r="B167" s="0" t="s">
        <v>47</v>
      </c>
      <c r="D167" s="17" t="n">
        <f aca="false">D164/D155</f>
        <v>0.0782120920201606</v>
      </c>
      <c r="E167" s="17" t="n">
        <f aca="false">E164/E155</f>
        <v>0.0798221384842734</v>
      </c>
      <c r="F167" s="17" t="n">
        <f aca="false">F164/F155</f>
        <v>0.0838333012221766</v>
      </c>
      <c r="G167" s="17" t="n">
        <f aca="false">G164/G155</f>
        <v>0.0883163654586567</v>
      </c>
      <c r="K167" s="4" t="s">
        <v>463</v>
      </c>
    </row>
    <row r="168" customFormat="false" ht="15" hidden="false" customHeight="false" outlineLevel="0" collapsed="false">
      <c r="A168" s="4" t="s">
        <v>464</v>
      </c>
      <c r="B168" s="0" t="s">
        <v>184</v>
      </c>
      <c r="C168" s="22" t="n">
        <f aca="false">a25_opx</f>
        <v>14.536</v>
      </c>
      <c r="D168" s="22" t="n">
        <f aca="false">a26_opx</f>
        <v>22.5183263</v>
      </c>
      <c r="E168" s="22" t="n">
        <f aca="false">D168*(1+MAX(0,phi*E159))</f>
        <v>35.6727317290002</v>
      </c>
      <c r="F168" s="22" t="n">
        <f aca="false">E168*(1+MAX(0,phi*F159))</f>
        <v>35.6727317290002</v>
      </c>
      <c r="G168" s="22" t="n">
        <f aca="false">F168*(1+MAX(0,phi*G159))</f>
        <v>36.5696132672371</v>
      </c>
    </row>
    <row r="169" customFormat="false" ht="15" hidden="false" customHeight="false" outlineLevel="0" collapsed="false">
      <c r="A169" s="4" t="s">
        <v>350</v>
      </c>
      <c r="B169" s="0" t="s">
        <v>184</v>
      </c>
      <c r="C169" s="22" t="n">
        <f aca="false">C168</f>
        <v>14.536</v>
      </c>
      <c r="D169" s="22" t="n">
        <f aca="false">D168</f>
        <v>22.5183263</v>
      </c>
      <c r="E169" s="22" t="n">
        <f aca="false">E168+0*E158</f>
        <v>35.6727317290002</v>
      </c>
      <c r="F169" s="22" t="n">
        <f aca="false">F168+0*F158</f>
        <v>35.6727317290002</v>
      </c>
      <c r="G169" s="22" t="n">
        <f aca="false">G168+0*G158</f>
        <v>36.5696132672371</v>
      </c>
    </row>
    <row r="170" customFormat="false" ht="15" hidden="false" customHeight="false" outlineLevel="0" collapsed="false">
      <c r="A170" s="4" t="s">
        <v>353</v>
      </c>
      <c r="B170" s="0" t="s">
        <v>184</v>
      </c>
      <c r="C170" s="22" t="n">
        <f aca="false">C165-C169</f>
        <v>63.918</v>
      </c>
      <c r="D170" s="22" t="n">
        <f aca="false">D165-D169</f>
        <v>99.15209302</v>
      </c>
      <c r="E170" s="22" t="n">
        <f aca="false">E165-E169</f>
        <v>172.463830423685</v>
      </c>
      <c r="F170" s="22" t="n">
        <f aca="false">F165-F169</f>
        <v>143.178313795222</v>
      </c>
      <c r="G170" s="22" t="n">
        <f aca="false">G165-G169</f>
        <v>153.775917857795</v>
      </c>
    </row>
    <row r="171" customFormat="false" ht="15" hidden="false" customHeight="false" outlineLevel="0" collapsed="false">
      <c r="A171" s="4" t="s">
        <v>356</v>
      </c>
      <c r="B171" s="0" t="s">
        <v>47</v>
      </c>
      <c r="C171" s="17" t="n">
        <f aca="false">C170/C158</f>
        <v>0.0672351821833815</v>
      </c>
      <c r="D171" s="17" t="n">
        <f aca="false">D170/D158</f>
        <v>0.0679744801834201</v>
      </c>
      <c r="E171" s="17" t="n">
        <f aca="false">E170/E158</f>
        <v>0.0683351789853888</v>
      </c>
      <c r="F171" s="17" t="n">
        <f aca="false">F170/F158</f>
        <v>0.0684878363015172</v>
      </c>
      <c r="G171" s="17" t="n">
        <f aca="false">G170/G158</f>
        <v>0.0713158163193497</v>
      </c>
    </row>
    <row r="172" customFormat="false" ht="17.15" hidden="false" customHeight="false" outlineLevel="0" collapsed="false">
      <c r="A172" s="4" t="s">
        <v>218</v>
      </c>
      <c r="B172" s="0" t="s">
        <v>47</v>
      </c>
      <c r="C172" s="18" t="n">
        <f aca="false">a25_ni/a25_oi</f>
        <v>0.799743421258488</v>
      </c>
      <c r="D172" s="18" t="n">
        <f aca="false">a26_ni/a26_oi</f>
        <v>0.776911976251089</v>
      </c>
      <c r="E172" s="18" t="n">
        <f aca="false">nio_f</f>
        <v>0.78</v>
      </c>
      <c r="F172" s="18" t="n">
        <f aca="false">nio_f</f>
        <v>0.78</v>
      </c>
      <c r="G172" s="18" t="n">
        <f aca="false">nio_f</f>
        <v>0.78</v>
      </c>
    </row>
    <row r="173" customFormat="false" ht="15" hidden="false" customHeight="false" outlineLevel="0" collapsed="false">
      <c r="A173" s="4" t="s">
        <v>357</v>
      </c>
      <c r="B173" s="0" t="s">
        <v>184</v>
      </c>
      <c r="C173" s="22" t="n">
        <f aca="false">a25_ni</f>
        <v>51.118</v>
      </c>
      <c r="D173" s="22" t="n">
        <f aca="false">a26_ni</f>
        <v>77.0324485376</v>
      </c>
      <c r="E173" s="22" t="n">
        <f aca="false">E170*E172</f>
        <v>134.521787730474</v>
      </c>
      <c r="F173" s="22" t="n">
        <f aca="false">F170*F172</f>
        <v>111.679084760273</v>
      </c>
      <c r="G173" s="22" t="n">
        <f aca="false">G170*G172</f>
        <v>119.94521592908</v>
      </c>
      <c r="H173" s="25" t="n">
        <f aca="false">H158*H177</f>
        <v>111.606714987574</v>
      </c>
      <c r="I173" s="25" t="n">
        <f aca="false">I158*I177</f>
        <v>102.335388778191</v>
      </c>
      <c r="J173" s="25" t="n">
        <f aca="false">J158*J177</f>
        <v>92.2149387198491</v>
      </c>
    </row>
    <row r="174" customFormat="false" ht="15" hidden="false" customHeight="false" outlineLevel="0" collapsed="false">
      <c r="A174" s="4" t="s">
        <v>465</v>
      </c>
      <c r="B174" s="4" t="s">
        <v>205</v>
      </c>
      <c r="C174" s="29" t="n">
        <f aca="false">a25_sh</f>
        <v>0.554331761662183</v>
      </c>
      <c r="D174" s="29" t="n">
        <f aca="false">a26_sh</f>
        <v>0.556054338618749</v>
      </c>
      <c r="E174" s="29" t="n">
        <f aca="false">D174*(1+sh_g)</f>
        <v>0.558834610311843</v>
      </c>
      <c r="F174" s="29" t="n">
        <f aca="false">E174*(1+sh_g)</f>
        <v>0.561628783363402</v>
      </c>
      <c r="G174" s="29" t="n">
        <f aca="false">F174*(1+sh_g)</f>
        <v>0.564436927280219</v>
      </c>
      <c r="H174" s="31" t="n">
        <f aca="false">G174*(1+sh_g)</f>
        <v>0.56725911191662</v>
      </c>
      <c r="I174" s="31" t="n">
        <f aca="false">H174*(1+sh_g)</f>
        <v>0.570095407476203</v>
      </c>
      <c r="J174" s="31" t="n">
        <f aca="false">I174*(1+sh_g)</f>
        <v>0.572945884513584</v>
      </c>
    </row>
    <row r="175" customFormat="false" ht="17.15" hidden="false" customHeight="false" outlineLevel="0" collapsed="false">
      <c r="A175" s="0" t="s">
        <v>363</v>
      </c>
      <c r="B175" s="0" t="s">
        <v>235</v>
      </c>
      <c r="C175" s="30" t="n">
        <f aca="false">C173/C174</f>
        <v>92.2155350556153</v>
      </c>
      <c r="D175" s="30" t="n">
        <f aca="false">D173/D174</f>
        <v>138.534030197391</v>
      </c>
      <c r="E175" s="30" t="n">
        <f aca="false">E173/E174</f>
        <v>240.718425896005</v>
      </c>
      <c r="F175" s="30" t="n">
        <f aca="false">F173/F174</f>
        <v>198.848577687677</v>
      </c>
      <c r="G175" s="30" t="n">
        <f aca="false">G173/G174</f>
        <v>212.504196894142</v>
      </c>
      <c r="H175" s="28" t="n">
        <f aca="false">H173/H174</f>
        <v>196.747328765657</v>
      </c>
      <c r="I175" s="28" t="n">
        <f aca="false">I173/I174</f>
        <v>179.505723842307</v>
      </c>
      <c r="J175" s="28" t="n">
        <f aca="false">J173/J174</f>
        <v>160.948775813508</v>
      </c>
    </row>
    <row r="176" customFormat="false" ht="17.15" hidden="false" customHeight="false" outlineLevel="0" collapsed="false">
      <c r="A176" s="0" t="s">
        <v>466</v>
      </c>
      <c r="B176" s="0" t="s">
        <v>47</v>
      </c>
      <c r="D176" s="18" t="n">
        <f aca="false">D175/C175-1</f>
        <v>0.502285163924287</v>
      </c>
      <c r="E176" s="18" t="n">
        <f aca="false">E175/D175-1</f>
        <v>0.737612235441472</v>
      </c>
      <c r="F176" s="18" t="n">
        <f aca="false">F175/E175-1</f>
        <v>-0.173937030588662</v>
      </c>
      <c r="G176" s="18" t="n">
        <f aca="false">G175/F175-1</f>
        <v>0.0686734567843541</v>
      </c>
      <c r="H176" s="26" t="n">
        <f aca="false">H175/G175-1</f>
        <v>-0.0741485032238417</v>
      </c>
      <c r="I176" s="26" t="n">
        <f aca="false">I175/H175-1</f>
        <v>-0.0876332351321819</v>
      </c>
      <c r="J176" s="26" t="n">
        <f aca="false">J175/I175-1</f>
        <v>-0.103378029578047</v>
      </c>
    </row>
    <row r="177" customFormat="false" ht="17.15" hidden="false" customHeight="false" outlineLevel="0" collapsed="false">
      <c r="A177" s="4" t="s">
        <v>467</v>
      </c>
      <c r="B177" s="0" t="s">
        <v>47</v>
      </c>
      <c r="C177" s="17" t="n">
        <f aca="false">C173/C158</f>
        <v>0.0537708946282752</v>
      </c>
      <c r="D177" s="17" t="n">
        <f aca="false">D173/D158</f>
        <v>0.0528101877339414</v>
      </c>
      <c r="E177" s="17" t="n">
        <f aca="false">E173/E158</f>
        <v>0.0533014396086032</v>
      </c>
      <c r="F177" s="17" t="n">
        <f aca="false">F173/F158</f>
        <v>0.0534205123151834</v>
      </c>
      <c r="G177" s="17" t="n">
        <f aca="false">G173/G158</f>
        <v>0.0556263367290927</v>
      </c>
      <c r="H177" s="27" t="n">
        <f aca="false">$G177+(fade_mC-$G177)*1/3</f>
        <v>0.0503681539766104</v>
      </c>
      <c r="I177" s="27" t="n">
        <f aca="false">$G177+(fade_mC-$G177)*2/3</f>
        <v>0.045109971224128</v>
      </c>
      <c r="J177" s="27" t="n">
        <f aca="false">$G177+(fade_mC-$G177)*3/3</f>
        <v>0.0398517884716456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470</v>
      </c>
    </row>
    <row r="2" customFormat="false" ht="17.15" hidden="false" customHeight="false" outlineLevel="0" collapsed="false">
      <c r="A2" s="4" t="s">
        <v>471</v>
      </c>
    </row>
    <row r="4" customFormat="false" ht="17.15" hidden="false" customHeight="false" outlineLevel="0" collapsed="false">
      <c r="A4" s="6" t="s">
        <v>472</v>
      </c>
    </row>
    <row r="5" customFormat="false" ht="17.15" hidden="false" customHeight="false" outlineLevel="0" collapsed="false">
      <c r="A5" s="6" t="s">
        <v>473</v>
      </c>
    </row>
    <row r="6" customFormat="false" ht="17.15" hidden="false" customHeight="false" outlineLevel="0" collapsed="false">
      <c r="A6" s="5" t="s">
        <v>16</v>
      </c>
      <c r="B6" s="14" t="s">
        <v>474</v>
      </c>
      <c r="C6" s="14" t="s">
        <v>475</v>
      </c>
      <c r="D6" s="14" t="s">
        <v>476</v>
      </c>
      <c r="E6" s="5" t="s">
        <v>387</v>
      </c>
    </row>
    <row r="7" customFormat="false" ht="17.15" hidden="false" customHeight="false" outlineLevel="0" collapsed="false">
      <c r="A7" s="4" t="s">
        <v>477</v>
      </c>
      <c r="E7" s="0" t="s">
        <v>478</v>
      </c>
    </row>
    <row r="8" customFormat="false" ht="15" hidden="false" customHeight="false" outlineLevel="0" collapsed="false">
      <c r="A8" s="0" t="s">
        <v>479</v>
      </c>
      <c r="B8" s="19" t="n">
        <f aca="false">PL!E14</f>
        <v>240.718425896005</v>
      </c>
      <c r="C8" s="19" t="n">
        <f aca="false">PL!E27</f>
        <v>240.718425896005</v>
      </c>
      <c r="D8" s="19" t="n">
        <f aca="false">PL!E40</f>
        <v>240.718425896005</v>
      </c>
    </row>
    <row r="9" customFormat="false" ht="15" hidden="false" customHeight="false" outlineLevel="0" collapsed="false">
      <c r="A9" s="0" t="s">
        <v>480</v>
      </c>
      <c r="B9" s="19" t="n">
        <f aca="false">PL!F14</f>
        <v>290.948676812537</v>
      </c>
      <c r="C9" s="19" t="n">
        <f aca="false">PL!F27</f>
        <v>248.146271390319</v>
      </c>
      <c r="D9" s="19" t="n">
        <f aca="false">PL!F40</f>
        <v>198.848577687677</v>
      </c>
    </row>
    <row r="10" customFormat="false" ht="15" hidden="false" customHeight="false" outlineLevel="0" collapsed="false">
      <c r="A10" s="0" t="s">
        <v>481</v>
      </c>
      <c r="B10" s="19" t="n">
        <f aca="false">PL!G14</f>
        <v>312.561320657182</v>
      </c>
      <c r="C10" s="19" t="n">
        <f aca="false">PL!G27</f>
        <v>277.467846661398</v>
      </c>
      <c r="D10" s="19" t="n">
        <f aca="false">PL!G40</f>
        <v>212.504196894142</v>
      </c>
    </row>
    <row r="11" customFormat="false" ht="15" hidden="false" customHeight="false" outlineLevel="0" collapsed="false">
      <c r="A11" s="0" t="s">
        <v>482</v>
      </c>
      <c r="B11" s="19" t="n">
        <f aca="false">PL!H14</f>
        <v>323.797599866345</v>
      </c>
      <c r="C11" s="19" t="n">
        <f aca="false">PL!H27</f>
        <v>278.302195542851</v>
      </c>
      <c r="D11" s="19" t="n">
        <f aca="false">PL!H40</f>
        <v>196.747328765657</v>
      </c>
    </row>
    <row r="12" customFormat="false" ht="15" hidden="false" customHeight="false" outlineLevel="0" collapsed="false">
      <c r="A12" s="0" t="s">
        <v>483</v>
      </c>
      <c r="B12" s="19" t="n">
        <f aca="false">PL!I14</f>
        <v>338.477839522205</v>
      </c>
      <c r="C12" s="19" t="n">
        <f aca="false">PL!I27</f>
        <v>275.239836677363</v>
      </c>
      <c r="D12" s="19" t="n">
        <f aca="false">PL!I40</f>
        <v>179.505723842307</v>
      </c>
    </row>
    <row r="13" customFormat="false" ht="15" hidden="false" customHeight="false" outlineLevel="0" collapsed="false">
      <c r="A13" s="0" t="s">
        <v>484</v>
      </c>
      <c r="B13" s="19" t="n">
        <f aca="false">PL!J14</f>
        <v>357.001502381629</v>
      </c>
      <c r="C13" s="19" t="n">
        <f aca="false">PL!J27</f>
        <v>268.278583379627</v>
      </c>
      <c r="D13" s="19" t="n">
        <f aca="false">PL!J40</f>
        <v>160.948775813508</v>
      </c>
    </row>
    <row r="14" customFormat="false" ht="17.15" hidden="false" customHeight="false" outlineLevel="0" collapsed="false">
      <c r="A14" s="4" t="s">
        <v>485</v>
      </c>
    </row>
    <row r="15" customFormat="false" ht="17.15" hidden="false" customHeight="false" outlineLevel="0" collapsed="false">
      <c r="A15" s="4" t="s">
        <v>486</v>
      </c>
      <c r="B15" s="18" t="n">
        <f aca="false">MIN(tp_g/tp_roe,0.8)</f>
        <v>0.106571936056838</v>
      </c>
      <c r="E15" s="8" t="s">
        <v>487</v>
      </c>
    </row>
    <row r="16" customFormat="false" ht="15" hidden="false" customHeight="false" outlineLevel="0" collapsed="false">
      <c r="A16" s="0" t="s">
        <v>479</v>
      </c>
      <c r="B16" s="19" t="n">
        <f aca="false">B8*(1-$B$15)</f>
        <v>215.064597203713</v>
      </c>
      <c r="C16" s="19" t="n">
        <f aca="false">C8*(1-$B$15)</f>
        <v>215.064597203713</v>
      </c>
      <c r="D16" s="19" t="n">
        <f aca="false">D8*(1-$B$15)</f>
        <v>215.064597203713</v>
      </c>
    </row>
    <row r="17" customFormat="false" ht="15" hidden="false" customHeight="false" outlineLevel="0" collapsed="false">
      <c r="A17" s="0" t="s">
        <v>480</v>
      </c>
      <c r="B17" s="19" t="n">
        <f aca="false">B9*(1-$B$15)</f>
        <v>259.94171303145</v>
      </c>
      <c r="C17" s="19" t="n">
        <f aca="false">C9*(1-$B$15)</f>
        <v>221.700842822967</v>
      </c>
      <c r="D17" s="19" t="n">
        <f aca="false">D9*(1-$B$15)</f>
        <v>177.656899781352</v>
      </c>
    </row>
    <row r="18" customFormat="false" ht="15" hidden="false" customHeight="false" outlineLevel="0" collapsed="false">
      <c r="A18" s="0" t="s">
        <v>481</v>
      </c>
      <c r="B18" s="19" t="n">
        <f aca="false">B10*(1-$B$15)</f>
        <v>279.251055578264</v>
      </c>
      <c r="C18" s="19" t="n">
        <f aca="false">C10*(1-$B$15)</f>
        <v>247.897561049171</v>
      </c>
      <c r="D18" s="19" t="n">
        <f aca="false">D10*(1-$B$15)</f>
        <v>189.857213210929</v>
      </c>
    </row>
    <row r="19" customFormat="false" ht="15" hidden="false" customHeight="false" outlineLevel="0" collapsed="false">
      <c r="A19" s="0" t="s">
        <v>482</v>
      </c>
      <c r="B19" s="19" t="n">
        <f aca="false">B11*(1-$B$15)</f>
        <v>289.289862758031</v>
      </c>
      <c r="C19" s="19" t="n">
        <f aca="false">C11*(1-$B$15)</f>
        <v>248.64299175498</v>
      </c>
      <c r="D19" s="19" t="n">
        <f aca="false">D11*(1-$B$15)</f>
        <v>175.779585025089</v>
      </c>
    </row>
    <row r="20" customFormat="false" ht="15" hidden="false" customHeight="false" outlineLevel="0" collapsed="false">
      <c r="A20" s="0" t="s">
        <v>483</v>
      </c>
      <c r="B20" s="19" t="n">
        <f aca="false">B12*(1-$B$15)</f>
        <v>302.405600851988</v>
      </c>
      <c r="C20" s="19" t="n">
        <f aca="false">C12*(1-$B$15)</f>
        <v>245.906994402688</v>
      </c>
      <c r="D20" s="19" t="n">
        <f aca="false">D12*(1-$B$15)</f>
        <v>160.375451319148</v>
      </c>
    </row>
    <row r="21" customFormat="false" ht="15" hidden="false" customHeight="false" outlineLevel="0" collapsed="false">
      <c r="A21" s="0" t="s">
        <v>484</v>
      </c>
      <c r="B21" s="19" t="n">
        <f aca="false">B13*(1-$B$15)</f>
        <v>318.955161097619</v>
      </c>
      <c r="C21" s="19" t="n">
        <f aca="false">C13*(1-$B$15)</f>
        <v>239.687615346274</v>
      </c>
      <c r="D21" s="19" t="n">
        <f aca="false">D13*(1-$B$15)</f>
        <v>143.796153169085</v>
      </c>
    </row>
    <row r="22" customFormat="false" ht="17.15" hidden="false" customHeight="false" outlineLevel="0" collapsed="false">
      <c r="A22" s="0" t="s">
        <v>488</v>
      </c>
      <c r="B22" s="19" t="n">
        <f aca="false">SUMPRODUCT(B16:B21,1/(1+tp_r)^{1;2;3;4;5;6})+B21*(1+tp_g)/(tp_r-tp_g)/(1+tp_r)^6</f>
        <v>4306.27321505195</v>
      </c>
      <c r="C22" s="19" t="n">
        <f aca="false">SUMPRODUCT(C16:C21,1/(1+tp_r)^{1;2;3;4;5;6})+C21*(1+tp_g)/(tp_r-tp_g)/(1+tp_r)^6</f>
        <v>3367.95413991254</v>
      </c>
      <c r="D22" s="19" t="n">
        <f aca="false">SUMPRODUCT(D16:D21,1/(1+tp_r)^{1;2;3;4;5;6})+D21*(1+tp_g)/(tp_r-tp_g)/(1+tp_r)^6</f>
        <v>2192.72167575798</v>
      </c>
      <c r="E22" s="8" t="s">
        <v>489</v>
      </c>
    </row>
    <row r="23" customFormat="false" ht="17.15" hidden="false" customHeight="false" outlineLevel="0" collapsed="false">
      <c r="A23" s="0" t="s">
        <v>490</v>
      </c>
      <c r="B23" s="19" t="n">
        <f aca="false">B22*(1+tp_r)</f>
        <v>4736.90053655715</v>
      </c>
      <c r="C23" s="19" t="n">
        <f aca="false">C22*(1+tp_r)</f>
        <v>3704.7495539038</v>
      </c>
      <c r="D23" s="19" t="n">
        <f aca="false">D22*(1+tp_r)</f>
        <v>2411.99384333378</v>
      </c>
    </row>
    <row r="24" customFormat="false" ht="17.15" hidden="false" customHeight="false" outlineLevel="0" collapsed="false">
      <c r="A24" s="0" t="s">
        <v>491</v>
      </c>
      <c r="B24" s="32" t="n">
        <f aca="false">tp_wA*B23+tp_wB*C23+tp_wC*D23</f>
        <v>3755.8437065858</v>
      </c>
      <c r="E24" s="8" t="s">
        <v>492</v>
      </c>
    </row>
    <row r="26" customFormat="false" ht="17.15" hidden="false" customHeight="false" outlineLevel="0" collapsed="false">
      <c r="A26" s="6" t="s">
        <v>493</v>
      </c>
    </row>
    <row r="27" customFormat="false" ht="17.15" hidden="false" customHeight="false" outlineLevel="0" collapsed="false">
      <c r="A27" s="5" t="s">
        <v>494</v>
      </c>
      <c r="B27" s="5" t="s">
        <v>495</v>
      </c>
      <c r="C27" s="5" t="s">
        <v>496</v>
      </c>
      <c r="D27" s="5" t="s">
        <v>497</v>
      </c>
      <c r="E27" s="5" t="s">
        <v>498</v>
      </c>
      <c r="F27" s="5" t="s">
        <v>21</v>
      </c>
    </row>
    <row r="28" customFormat="false" ht="17.15" hidden="false" customHeight="false" outlineLevel="0" collapsed="false">
      <c r="A28" s="4" t="s">
        <v>499</v>
      </c>
      <c r="B28" s="0" t="s">
        <v>500</v>
      </c>
      <c r="C28" s="33" t="n">
        <v>11.52</v>
      </c>
      <c r="D28" s="8" t="s">
        <v>501</v>
      </c>
      <c r="E28" s="8" t="s">
        <v>502</v>
      </c>
      <c r="F28" s="8" t="s">
        <v>122</v>
      </c>
    </row>
    <row r="29" customFormat="false" ht="17.15" hidden="false" customHeight="false" outlineLevel="0" collapsed="false">
      <c r="A29" s="4" t="s">
        <v>503</v>
      </c>
      <c r="B29" s="0" t="s">
        <v>504</v>
      </c>
      <c r="C29" s="33" t="n">
        <v>9.21</v>
      </c>
      <c r="D29" s="8" t="s">
        <v>505</v>
      </c>
      <c r="E29" s="8" t="s">
        <v>502</v>
      </c>
      <c r="F29" s="8" t="s">
        <v>122</v>
      </c>
    </row>
    <row r="30" customFormat="false" ht="17.15" hidden="false" customHeight="false" outlineLevel="0" collapsed="false">
      <c r="A30" s="4" t="s">
        <v>506</v>
      </c>
      <c r="B30" s="0" t="s">
        <v>507</v>
      </c>
      <c r="C30" s="33" t="n">
        <v>11.94</v>
      </c>
      <c r="D30" s="8" t="s">
        <v>501</v>
      </c>
      <c r="E30" s="8" t="s">
        <v>502</v>
      </c>
      <c r="F30" s="8" t="s">
        <v>122</v>
      </c>
    </row>
    <row r="31" customFormat="false" ht="17.15" hidden="false" customHeight="false" outlineLevel="0" collapsed="false">
      <c r="A31" s="0" t="s">
        <v>508</v>
      </c>
      <c r="B31" s="0" t="s">
        <v>509</v>
      </c>
      <c r="C31" s="33" t="n">
        <v>7.06</v>
      </c>
      <c r="D31" s="8" t="s">
        <v>510</v>
      </c>
      <c r="E31" s="8" t="s">
        <v>502</v>
      </c>
      <c r="F31" s="8" t="s">
        <v>122</v>
      </c>
    </row>
    <row r="32" customFormat="false" ht="17.15" hidden="false" customHeight="false" outlineLevel="0" collapsed="false">
      <c r="A32" s="0" t="s">
        <v>511</v>
      </c>
      <c r="B32" s="0" t="s">
        <v>512</v>
      </c>
      <c r="C32" s="33" t="n">
        <v>16.65</v>
      </c>
      <c r="D32" s="8" t="s">
        <v>510</v>
      </c>
      <c r="E32" s="8" t="s">
        <v>502</v>
      </c>
      <c r="F32" s="8" t="s">
        <v>122</v>
      </c>
    </row>
    <row r="33" customFormat="false" ht="17.15" hidden="false" customHeight="false" outlineLevel="0" collapsed="false">
      <c r="A33" s="4" t="s">
        <v>513</v>
      </c>
      <c r="B33" s="21" t="n">
        <f aca="false">MEDIAN(C28:C32)</f>
        <v>11.52</v>
      </c>
      <c r="E33" s="4" t="s">
        <v>514</v>
      </c>
    </row>
    <row r="34" customFormat="false" ht="17.15" hidden="false" customHeight="false" outlineLevel="0" collapsed="false">
      <c r="A34" s="0" t="s">
        <v>515</v>
      </c>
      <c r="B34" s="19" t="n">
        <f aca="false">tp_wA*(2/12*B8+10/12*B9)+tp_wB*(2/12*C8+10/12*C9)+tp_wC*(2/12*D8+10/12*D9)</f>
        <v>249.392616213047</v>
      </c>
      <c r="E34" s="4" t="s">
        <v>516</v>
      </c>
    </row>
    <row r="35" customFormat="false" ht="17.15" hidden="false" customHeight="false" outlineLevel="0" collapsed="false">
      <c r="A35" s="0" t="s">
        <v>517</v>
      </c>
      <c r="B35" s="32" t="n">
        <f aca="false">B33*B34</f>
        <v>2873.00293877431</v>
      </c>
      <c r="E35" s="4" t="s">
        <v>518</v>
      </c>
    </row>
    <row r="37" customFormat="false" ht="17.15" hidden="false" customHeight="false" outlineLevel="0" collapsed="false">
      <c r="A37" s="6" t="s">
        <v>519</v>
      </c>
    </row>
    <row r="38" customFormat="false" ht="15" hidden="false" customHeight="false" outlineLevel="0" collapsed="false">
      <c r="A38" s="5" t="s">
        <v>16</v>
      </c>
      <c r="B38" s="5" t="s">
        <v>520</v>
      </c>
      <c r="C38" s="5"/>
      <c r="D38" s="5"/>
      <c r="E38" s="5" t="s">
        <v>387</v>
      </c>
    </row>
    <row r="39" customFormat="false" ht="17.15" hidden="false" customHeight="false" outlineLevel="0" collapsed="false">
      <c r="A39" s="4" t="s">
        <v>521</v>
      </c>
      <c r="B39" s="32" t="n">
        <f aca="false">tp_w_dcf*B24+(1-tp_w_dcf)*B35</f>
        <v>3314.42332268005</v>
      </c>
      <c r="E39" s="8" t="s">
        <v>522</v>
      </c>
    </row>
    <row r="40" customFormat="false" ht="17.15" hidden="false" customHeight="false" outlineLevel="0" collapsed="false">
      <c r="A40" s="0" t="s">
        <v>523</v>
      </c>
      <c r="B40" s="19" t="n">
        <f aca="false">B35</f>
        <v>2873.00293877431</v>
      </c>
    </row>
    <row r="41" customFormat="false" ht="17.15" hidden="false" customHeight="false" outlineLevel="0" collapsed="false">
      <c r="A41" s="4" t="s">
        <v>524</v>
      </c>
      <c r="B41" s="19" t="n">
        <f aca="false">cons_tp</f>
        <v>2845.66</v>
      </c>
      <c r="E41" s="8" t="s">
        <v>525</v>
      </c>
    </row>
    <row r="42" customFormat="false" ht="17.15" hidden="false" customHeight="false" outlineLevel="0" collapsed="false">
      <c r="A42" s="4" t="s">
        <v>526</v>
      </c>
      <c r="B42" s="18" t="n">
        <f aca="false">B39/px-1</f>
        <v>0.801317023195681</v>
      </c>
      <c r="E42" s="4" t="s">
        <v>527</v>
      </c>
    </row>
    <row r="43" customFormat="false" ht="17.15" hidden="false" customHeight="false" outlineLevel="0" collapsed="false">
      <c r="A43" s="4" t="s">
        <v>528</v>
      </c>
      <c r="B43" s="18" t="n">
        <f aca="false">B40/px-1</f>
        <v>0.56141464063821</v>
      </c>
    </row>
    <row r="44" customFormat="false" ht="17.15" hidden="false" customHeight="false" outlineLevel="0" collapsed="false">
      <c r="A44" s="4" t="s">
        <v>529</v>
      </c>
      <c r="B44" s="18" t="n">
        <f aca="false">B34/cons_feps-1</f>
        <v>0.55605073839311</v>
      </c>
      <c r="E44" s="4" t="s">
        <v>530</v>
      </c>
    </row>
    <row r="45" customFormat="false" ht="17.15" hidden="false" customHeight="false" outlineLevel="0" collapsed="false">
      <c r="A45" s="4" t="s">
        <v>531</v>
      </c>
      <c r="B45" s="18" t="n">
        <f aca="false">(cons_tp/cons_feps)/B33-1</f>
        <v>0.541241494902482</v>
      </c>
      <c r="E45" s="0" t="str">
        <f aca="false">"共識目標價隱含 "&amp;TEXT(cons_tp/cons_feps,"0.0")&amp;"x，同業中位數 "&amp;TEXT(B33,"0.0")&amp;"x"</f>
        <v>共識目標價隱含 17.8x，同業中位數 11.5x</v>
      </c>
    </row>
    <row r="46" customFormat="false" ht="17.15" hidden="false" customHeight="false" outlineLevel="0" collapsed="false">
      <c r="A46" s="4" t="s">
        <v>532</v>
      </c>
      <c r="B46" s="34" t="str">
        <f aca="false">TEXT(D23,"0")&amp;"～"&amp;TEXT(B23,"0")</f>
        <v>2412～4737</v>
      </c>
      <c r="E46" s="8" t="s">
        <v>533</v>
      </c>
    </row>
    <row r="47" customFormat="false" ht="17.15" hidden="false" customHeight="false" outlineLevel="0" collapsed="false">
      <c r="A47" s="4" t="s">
        <v>534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</v>
      </c>
      <c r="E47" s="4" t="s">
        <v>535</v>
      </c>
    </row>
    <row r="48" customFormat="false" ht="17.15" hidden="false" customHeight="false" outlineLevel="0" collapsed="false">
      <c r="A48" s="4" t="s">
        <v>536</v>
      </c>
      <c r="B48" s="0" t="s">
        <v>537</v>
      </c>
    </row>
    <row r="51" customFormat="false" ht="17.15" hidden="false" customHeight="false" outlineLevel="0" collapsed="false">
      <c r="A51" s="6" t="s">
        <v>538</v>
      </c>
    </row>
    <row r="52" customFormat="false" ht="15" hidden="false" customHeight="false" outlineLevel="0" collapsed="false">
      <c r="A52" s="5" t="s">
        <v>16</v>
      </c>
      <c r="B52" s="14" t="s">
        <v>539</v>
      </c>
      <c r="C52" s="14" t="s">
        <v>540</v>
      </c>
      <c r="D52" s="14" t="s">
        <v>541</v>
      </c>
      <c r="E52" s="5" t="s">
        <v>387</v>
      </c>
    </row>
    <row r="53" customFormat="false" ht="17.15" hidden="false" customHeight="false" outlineLevel="0" collapsed="false">
      <c r="A53" s="4" t="s">
        <v>542</v>
      </c>
      <c r="B53" s="36" t="n">
        <f aca="false">px</f>
        <v>1840</v>
      </c>
    </row>
    <row r="54" customFormat="false" ht="17.15" hidden="false" customHeight="false" outlineLevel="0" collapsed="false">
      <c r="A54" s="4" t="s">
        <v>543</v>
      </c>
      <c r="B54" s="21" t="n">
        <f aca="false">px/PL!D14</f>
        <v>13.2819351128258</v>
      </c>
      <c r="C54" s="21" t="n">
        <f aca="false">px/PL!D27</f>
        <v>13.2819351128258</v>
      </c>
      <c r="D54" s="21" t="n">
        <f aca="false">px/PL!D40</f>
        <v>13.2819351128258</v>
      </c>
      <c r="E54" s="8" t="s">
        <v>544</v>
      </c>
    </row>
    <row r="55" customFormat="false" ht="17.15" hidden="false" customHeight="false" outlineLevel="0" collapsed="false">
      <c r="A55" s="4" t="s">
        <v>545</v>
      </c>
      <c r="B55" s="21" t="n">
        <f aca="false">px/PL!E14</f>
        <v>7.64378544413928</v>
      </c>
      <c r="C55" s="21" t="n">
        <f aca="false">px/PL!E27</f>
        <v>7.64378544413928</v>
      </c>
      <c r="D55" s="21" t="n">
        <f aca="false">px/PL!E40</f>
        <v>7.64378544413928</v>
      </c>
      <c r="E55" s="8" t="s">
        <v>546</v>
      </c>
    </row>
    <row r="56" customFormat="false" ht="17.15" hidden="false" customHeight="false" outlineLevel="0" collapsed="false">
      <c r="A56" s="4" t="s">
        <v>547</v>
      </c>
      <c r="B56" s="21" t="n">
        <f aca="false">px/PL!F14</f>
        <v>6.3241394329679</v>
      </c>
      <c r="C56" s="21" t="n">
        <f aca="false">px/PL!F27</f>
        <v>7.41498145303901</v>
      </c>
      <c r="D56" s="21" t="n">
        <f aca="false">px/PL!F40</f>
        <v>9.25327211990428</v>
      </c>
    </row>
    <row r="57" customFormat="false" ht="17.15" hidden="false" customHeight="false" outlineLevel="0" collapsed="false">
      <c r="A57" s="4" t="s">
        <v>548</v>
      </c>
      <c r="B57" s="21" t="n">
        <f aca="false">px/PL!G14</f>
        <v>5.88684484737673</v>
      </c>
      <c r="C57" s="21" t="n">
        <f aca="false">px/PL!G27</f>
        <v>6.63139899681928</v>
      </c>
      <c r="D57" s="21" t="n">
        <f aca="false">px/PL!G40</f>
        <v>8.65865252024453</v>
      </c>
    </row>
    <row r="58" customFormat="false" ht="17.15" hidden="false" customHeight="false" outlineLevel="0" collapsed="false">
      <c r="A58" s="4" t="s">
        <v>549</v>
      </c>
      <c r="B58" s="19" t="n">
        <f aca="false">0.2*PL!D27+0.8*PL!E27</f>
        <v>220.281546756282</v>
      </c>
    </row>
    <row r="59" customFormat="false" ht="17.15" hidden="false" customHeight="false" outlineLevel="0" collapsed="false">
      <c r="A59" s="4" t="s">
        <v>550</v>
      </c>
      <c r="B59" s="21" t="n">
        <f aca="false">px/B58</f>
        <v>8.3529466135253</v>
      </c>
    </row>
    <row r="60" customFormat="false" ht="17.15" hidden="false" customHeight="false" outlineLevel="0" collapsed="false">
      <c r="A60" s="4" t="s">
        <v>276</v>
      </c>
      <c r="B60" s="21" t="n">
        <f aca="false">pe_ttm</f>
        <v>19.2</v>
      </c>
    </row>
    <row r="61" customFormat="false" ht="17.15" hidden="false" customHeight="false" outlineLevel="0" collapsed="false">
      <c r="A61" s="4" t="s">
        <v>551</v>
      </c>
      <c r="B61" s="21" t="n">
        <f aca="false">fpe</f>
        <v>11.73</v>
      </c>
    </row>
    <row r="63" customFormat="false" ht="17.15" hidden="false" customHeight="false" outlineLevel="0" collapsed="false">
      <c r="A63" s="6" t="s">
        <v>552</v>
      </c>
    </row>
    <row r="64" customFormat="false" ht="17.15" hidden="false" customHeight="false" outlineLevel="0" collapsed="false">
      <c r="A64" s="5" t="s">
        <v>553</v>
      </c>
      <c r="B64" s="5" t="s">
        <v>554</v>
      </c>
      <c r="C64" s="14" t="s">
        <v>555</v>
      </c>
      <c r="D64" s="5" t="s">
        <v>556</v>
      </c>
      <c r="E64" s="5" t="s">
        <v>557</v>
      </c>
      <c r="F64" s="5" t="s">
        <v>387</v>
      </c>
    </row>
    <row r="65" customFormat="false" ht="17.15" hidden="false" customHeight="false" outlineLevel="0" collapsed="false">
      <c r="A65" s="0" t="s">
        <v>539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16.72</v>
      </c>
      <c r="E65" s="0" t="str">
        <f aca="false">IF(B65=2029,"是：營收到觀測期末仍在增加","否")</f>
        <v>是：營收到觀測期末仍在增加</v>
      </c>
      <c r="F65" s="8" t="s">
        <v>558</v>
      </c>
    </row>
    <row r="66" customFormat="false" ht="15" hidden="false" customHeight="false" outlineLevel="0" collapsed="false">
      <c r="A66" s="0" t="s">
        <v>540</v>
      </c>
      <c r="B66" s="0" t="n">
        <f aca="false">INDEX({2026,2027,2028,2029},MATCH(MAX(PL!D118:G118),PL!D118:G118,0))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16.72</v>
      </c>
      <c r="E66" s="0" t="str">
        <f aca="false">IF(B66=2029,"是：營收到觀測期末仍在增加","否")</f>
        <v>是：營收到觀測期末仍在增加</v>
      </c>
      <c r="F66" s="4" t="s">
        <v>33</v>
      </c>
    </row>
    <row r="67" customFormat="false" ht="15" hidden="false" customHeight="false" outlineLevel="0" collapsed="false">
      <c r="A67" s="0" t="s">
        <v>541</v>
      </c>
      <c r="B67" s="0" t="n">
        <f aca="false">INDEX({2026,2027,2028,2029},MATCH(MAX(PL!D158:G158),PL!D158:G158,0))</f>
        <v>2027</v>
      </c>
      <c r="C67" s="0" t="str">
        <f aca="false">IF(B67=2029,"中段",IF(2027&lt;B67,"中段",IF(2027=B67,"見頂","谷底")))</f>
        <v>見頂</v>
      </c>
      <c r="D67" s="21" t="n">
        <f aca="false">IF(C67="見頂",pe_peak,IF(C67="谷底",pe_trough,pe_mid))</f>
        <v>14.37</v>
      </c>
      <c r="E67" s="0" t="str">
        <f aca="false">IF(B67=2029,"是：營收到觀測期末仍在增加","否")</f>
        <v>否</v>
      </c>
      <c r="F67" s="4" t="s">
        <v>33</v>
      </c>
    </row>
    <row r="69" customFormat="false" ht="17.15" hidden="false" customHeight="false" outlineLevel="0" collapsed="false">
      <c r="A69" s="6" t="s">
        <v>559</v>
      </c>
    </row>
    <row r="70" customFormat="false" ht="17.15" hidden="false" customHeight="false" outlineLevel="0" collapsed="false">
      <c r="A70" s="5" t="s">
        <v>553</v>
      </c>
      <c r="B70" s="14" t="s">
        <v>560</v>
      </c>
      <c r="C70" s="5" t="s">
        <v>561</v>
      </c>
      <c r="D70" s="5" t="s">
        <v>562</v>
      </c>
      <c r="E70" s="5" t="s">
        <v>563</v>
      </c>
      <c r="F70" s="5" t="s">
        <v>564</v>
      </c>
      <c r="G70" s="5" t="s">
        <v>565</v>
      </c>
    </row>
    <row r="71" customFormat="false" ht="15" hidden="false" customHeight="false" outlineLevel="0" collapsed="false">
      <c r="A71" s="9" t="s">
        <v>539</v>
      </c>
      <c r="B71" s="32" t="n">
        <f aca="false">PL!E14</f>
        <v>240.718425896005</v>
      </c>
      <c r="C71" s="32" t="n">
        <f aca="false">B71</f>
        <v>240.718425896005</v>
      </c>
      <c r="D71" s="37" t="n">
        <f aca="false">D65</f>
        <v>16.72</v>
      </c>
      <c r="E71" s="38" t="n">
        <f aca="false">C71*D71</f>
        <v>4024.8120809812</v>
      </c>
      <c r="F71" s="39" t="n">
        <f aca="false">E71/px-1</f>
        <v>1.18739787009848</v>
      </c>
      <c r="G71" s="37" t="n">
        <f aca="false">px/C71</f>
        <v>7.64378544413928</v>
      </c>
    </row>
    <row r="72" customFormat="false" ht="15" hidden="false" customHeight="false" outlineLevel="0" collapsed="false">
      <c r="A72" s="9" t="s">
        <v>540</v>
      </c>
      <c r="B72" s="32" t="n">
        <f aca="false">PL!E27</f>
        <v>240.718425896005</v>
      </c>
      <c r="C72" s="32" t="n">
        <f aca="false">B72</f>
        <v>240.718425896005</v>
      </c>
      <c r="D72" s="37" t="n">
        <f aca="false">D66</f>
        <v>16.72</v>
      </c>
      <c r="E72" s="38" t="n">
        <f aca="false">C72*D72</f>
        <v>4024.8120809812</v>
      </c>
      <c r="F72" s="39" t="n">
        <f aca="false">E72/px-1</f>
        <v>1.18739787009848</v>
      </c>
      <c r="G72" s="37" t="n">
        <f aca="false">px/C72</f>
        <v>7.64378544413928</v>
      </c>
    </row>
    <row r="73" customFormat="false" ht="15" hidden="false" customHeight="false" outlineLevel="0" collapsed="false">
      <c r="A73" s="9" t="s">
        <v>541</v>
      </c>
      <c r="B73" s="32" t="n">
        <f aca="false">PL!E40</f>
        <v>240.718425896005</v>
      </c>
      <c r="C73" s="32" t="n">
        <f aca="false">B73</f>
        <v>240.718425896005</v>
      </c>
      <c r="D73" s="37" t="n">
        <f aca="false">D67</f>
        <v>14.37</v>
      </c>
      <c r="E73" s="38" t="n">
        <f aca="false">C73*D73</f>
        <v>3459.12378012559</v>
      </c>
      <c r="F73" s="39" t="n">
        <f aca="false">E73/px-1</f>
        <v>0.87995857615521</v>
      </c>
      <c r="G73" s="37" t="n">
        <f aca="false">px/C73</f>
        <v>7.64378544413928</v>
      </c>
    </row>
    <row r="75" customFormat="false" ht="17.15" hidden="false" customHeight="false" outlineLevel="0" collapsed="false">
      <c r="A75" s="6" t="s">
        <v>566</v>
      </c>
    </row>
    <row r="76" customFormat="false" ht="17.15" hidden="false" customHeight="false" outlineLevel="0" collapsed="false">
      <c r="A76" s="14" t="s">
        <v>567</v>
      </c>
      <c r="B76" s="5" t="s">
        <v>568</v>
      </c>
      <c r="C76" s="5" t="s">
        <v>569</v>
      </c>
      <c r="D76" s="5" t="s">
        <v>570</v>
      </c>
      <c r="E76" s="5" t="s">
        <v>571</v>
      </c>
    </row>
    <row r="77" customFormat="false" ht="15" hidden="false" customHeight="false" outlineLevel="0" collapsed="false">
      <c r="A77" s="20" t="n">
        <v>1</v>
      </c>
      <c r="B77" s="21" t="n">
        <f aca="false">px*A77/PL!F14</f>
        <v>6.3241394329679</v>
      </c>
      <c r="C77" s="21" t="n">
        <f aca="false">px*A77/PL!F27</f>
        <v>7.41498145303901</v>
      </c>
      <c r="D77" s="21" t="n">
        <f aca="false">px*A77/PL!F40</f>
        <v>9.25327211990428</v>
      </c>
      <c r="E77" s="21" t="n">
        <f aca="false">pe_mid</f>
        <v>16.72</v>
      </c>
    </row>
    <row r="78" customFormat="false" ht="15" hidden="false" customHeight="false" outlineLevel="0" collapsed="false">
      <c r="A78" s="20" t="n">
        <v>1.1</v>
      </c>
      <c r="B78" s="21" t="n">
        <f aca="false">px*A78/PL!F14</f>
        <v>6.95655337626469</v>
      </c>
      <c r="C78" s="21" t="n">
        <f aca="false">px*A78/PL!F27</f>
        <v>8.15647959834292</v>
      </c>
      <c r="D78" s="21" t="n">
        <f aca="false">px*A78/PL!F40</f>
        <v>10.1785993318947</v>
      </c>
      <c r="E78" s="21" t="n">
        <f aca="false">pe_mid</f>
        <v>16.72</v>
      </c>
    </row>
    <row r="79" customFormat="false" ht="15" hidden="false" customHeight="false" outlineLevel="0" collapsed="false">
      <c r="A79" s="20" t="n">
        <v>1.21</v>
      </c>
      <c r="B79" s="21" t="n">
        <f aca="false">px*A79/PL!F14</f>
        <v>7.65220871389116</v>
      </c>
      <c r="C79" s="21" t="n">
        <f aca="false">px*A79/PL!F27</f>
        <v>8.97212755817721</v>
      </c>
      <c r="D79" s="21" t="n">
        <f aca="false">px*A79/PL!F40</f>
        <v>11.1964592650842</v>
      </c>
      <c r="E79" s="21" t="n">
        <f aca="false">pe_mid</f>
        <v>16.72</v>
      </c>
    </row>
    <row r="80" customFormat="false" ht="15" hidden="false" customHeight="false" outlineLevel="0" collapsed="false">
      <c r="A80" s="20" t="n">
        <v>1.5</v>
      </c>
      <c r="B80" s="21" t="n">
        <f aca="false">px*A80/PL!F14</f>
        <v>9.48620914945185</v>
      </c>
      <c r="C80" s="21" t="n">
        <f aca="false">px*A80/PL!F27</f>
        <v>11.1224721795585</v>
      </c>
      <c r="D80" s="21" t="n">
        <f aca="false">px*A80/PL!F40</f>
        <v>13.8799081798564</v>
      </c>
      <c r="E80" s="21" t="n">
        <f aca="false">pe_mid</f>
        <v>16.72</v>
      </c>
    </row>
    <row r="81" customFormat="false" ht="15" hidden="false" customHeight="false" outlineLevel="0" collapsed="false">
      <c r="A81" s="20" t="n">
        <v>2</v>
      </c>
      <c r="B81" s="21" t="n">
        <f aca="false">px*A81/PL!F14</f>
        <v>12.6482788659358</v>
      </c>
      <c r="C81" s="21" t="n">
        <f aca="false">px*A81/PL!F27</f>
        <v>14.829962906078</v>
      </c>
      <c r="D81" s="21" t="n">
        <f aca="false">px*A81/PL!F40</f>
        <v>18.5065442398086</v>
      </c>
      <c r="E81" s="21" t="n">
        <f aca="false">pe_mid</f>
        <v>16.72</v>
      </c>
    </row>
    <row r="82" customFormat="false" ht="17.15" hidden="false" customHeight="false" outlineLevel="0" collapsed="false">
      <c r="A82" s="4" t="s">
        <v>572</v>
      </c>
    </row>
    <row r="84" customFormat="false" ht="17.15" hidden="false" customHeight="false" outlineLevel="0" collapsed="false">
      <c r="A84" s="6" t="s">
        <v>573</v>
      </c>
    </row>
    <row r="85" customFormat="false" ht="17.15" hidden="false" customHeight="false" outlineLevel="0" collapsed="false">
      <c r="A85" s="5" t="s">
        <v>574</v>
      </c>
      <c r="B85" s="5" t="s">
        <v>575</v>
      </c>
      <c r="C85" s="14" t="s">
        <v>576</v>
      </c>
      <c r="D85" s="14" t="s">
        <v>577</v>
      </c>
    </row>
    <row r="86" customFormat="false" ht="15" hidden="false" customHeight="false" outlineLevel="0" collapsed="false">
      <c r="A86" s="0" t="s">
        <v>578</v>
      </c>
    </row>
    <row r="87" customFormat="false" ht="15" hidden="false" customHeight="false" outlineLevel="0" collapsed="false">
      <c r="A87" s="0" t="s">
        <v>579</v>
      </c>
    </row>
    <row r="88" customFormat="false" ht="15" hidden="false" customHeight="false" outlineLevel="0" collapsed="false">
      <c r="A88" s="0" t="s">
        <v>580</v>
      </c>
    </row>
    <row r="89" customFormat="false" ht="15" hidden="false" customHeight="false" outlineLevel="0" collapsed="false">
      <c r="A89" s="0" t="s">
        <v>581</v>
      </c>
      <c r="B89" s="19" t="n">
        <f aca="false">AVERAGE(C89:D89)</f>
        <v>16.0177375068644</v>
      </c>
      <c r="C89" s="19" t="n">
        <f aca="false">B108</f>
        <v>14.6</v>
      </c>
      <c r="D89" s="19" t="n">
        <f aca="false">C108</f>
        <v>17.4354750137287</v>
      </c>
    </row>
    <row r="90" customFormat="false" ht="15" hidden="false" customHeight="false" outlineLevel="0" collapsed="false">
      <c r="A90" s="0" t="s">
        <v>582</v>
      </c>
      <c r="B90" s="19" t="n">
        <f aca="false">AVERAGE(C90:D90)</f>
        <v>13.2972081218274</v>
      </c>
      <c r="C90" s="19" t="n">
        <f aca="false">B109</f>
        <v>12.3</v>
      </c>
      <c r="D90" s="19" t="n">
        <f aca="false">C109</f>
        <v>14.2944162436548</v>
      </c>
    </row>
    <row r="91" customFormat="false" ht="15" hidden="false" customHeight="false" outlineLevel="0" collapsed="false">
      <c r="A91" s="0" t="s">
        <v>583</v>
      </c>
      <c r="B91" s="19" t="n">
        <f aca="false">AVERAGE(C91:D91)</f>
        <v>21.2717347351395</v>
      </c>
      <c r="C91" s="19" t="n">
        <f aca="false">B110</f>
        <v>20</v>
      </c>
      <c r="D91" s="19" t="n">
        <f aca="false">C110</f>
        <v>22.543469470279</v>
      </c>
    </row>
    <row r="92" customFormat="false" ht="15" hidden="false" customHeight="false" outlineLevel="0" collapsed="false">
      <c r="A92" s="0" t="s">
        <v>584</v>
      </c>
      <c r="B92" s="19" t="n">
        <f aca="false">AVERAGE(C92:D92)</f>
        <v>9.41050511903294</v>
      </c>
      <c r="C92" s="19" t="n">
        <f aca="false">B111</f>
        <v>8.99</v>
      </c>
      <c r="D92" s="19" t="n">
        <f aca="false">C111</f>
        <v>9.83101023806587</v>
      </c>
    </row>
    <row r="93" customFormat="false" ht="15" hidden="false" customHeight="false" outlineLevel="0" collapsed="false">
      <c r="A93" s="0" t="s">
        <v>585</v>
      </c>
      <c r="B93" s="19" t="n">
        <f aca="false">AVERAGE(C93:D93)</f>
        <v>25.8976771196283</v>
      </c>
      <c r="C93" s="19" t="n">
        <f aca="false">B112</f>
        <v>25.3</v>
      </c>
      <c r="D93" s="19" t="n">
        <f aca="false">C112</f>
        <v>26.4953542392567</v>
      </c>
    </row>
    <row r="94" customFormat="false" ht="15" hidden="false" customHeight="false" outlineLevel="0" collapsed="false">
      <c r="A94" s="0" t="s">
        <v>586</v>
      </c>
      <c r="B94" s="19" t="n">
        <f aca="false">AVERAGE(C94:D94)</f>
        <v>20.1500039503832</v>
      </c>
      <c r="C94" s="19" t="n">
        <f aca="false">B113</f>
        <v>19.6</v>
      </c>
      <c r="D94" s="19" t="n">
        <f aca="false">C113</f>
        <v>20.7000079007664</v>
      </c>
    </row>
    <row r="95" customFormat="false" ht="15" hidden="false" customHeight="false" outlineLevel="0" collapsed="false">
      <c r="A95" s="0" t="s">
        <v>587</v>
      </c>
      <c r="B95" s="19" t="n">
        <f aca="false">AVERAGE(C95:D95)</f>
        <v>16.1527666690904</v>
      </c>
      <c r="C95" s="19" t="n">
        <f aca="false">B114</f>
        <v>16</v>
      </c>
      <c r="D95" s="19" t="n">
        <f aca="false">C114</f>
        <v>16.3055333381808</v>
      </c>
    </row>
    <row r="96" customFormat="false" ht="15" hidden="false" customHeight="false" outlineLevel="0" collapsed="false">
      <c r="A96" s="4" t="s">
        <v>588</v>
      </c>
      <c r="B96" s="0" t="n">
        <f aca="false">COUNT($B$86:$B$95)</f>
        <v>7</v>
      </c>
    </row>
    <row r="100" customFormat="false" ht="17.15" hidden="false" customHeight="false" outlineLevel="0" collapsed="false">
      <c r="A100" s="6" t="s">
        <v>589</v>
      </c>
    </row>
    <row r="101" customFormat="false" ht="17.15" hidden="false" customHeight="false" outlineLevel="0" collapsed="false">
      <c r="A101" s="4" t="s">
        <v>590</v>
      </c>
    </row>
    <row r="103" customFormat="false" ht="17.15" hidden="false" customHeight="false" outlineLevel="0" collapsed="false">
      <c r="A103" s="6" t="s">
        <v>591</v>
      </c>
    </row>
    <row r="104" customFormat="false" ht="17.15" hidden="false" customHeight="false" outlineLevel="0" collapsed="false">
      <c r="A104" s="5" t="s">
        <v>574</v>
      </c>
      <c r="B104" s="14" t="s">
        <v>592</v>
      </c>
      <c r="C104" s="14" t="s">
        <v>593</v>
      </c>
      <c r="D104" s="5" t="s">
        <v>594</v>
      </c>
    </row>
    <row r="105" customFormat="false" ht="17.15" hidden="false" customHeight="false" outlineLevel="0" collapsed="false">
      <c r="A105" s="0" t="s">
        <v>578</v>
      </c>
      <c r="D105" s="0" t="s">
        <v>595</v>
      </c>
    </row>
    <row r="106" customFormat="false" ht="15" hidden="false" customHeight="false" outlineLevel="0" collapsed="false">
      <c r="A106" s="0" t="s">
        <v>579</v>
      </c>
    </row>
    <row r="107" customFormat="false" ht="15" hidden="false" customHeight="false" outlineLevel="0" collapsed="false">
      <c r="A107" s="0" t="s">
        <v>580</v>
      </c>
    </row>
    <row r="108" customFormat="false" ht="15" hidden="false" customHeight="false" outlineLevel="0" collapsed="false">
      <c r="A108" s="0" t="s">
        <v>581</v>
      </c>
      <c r="B108" s="20" t="n">
        <v>14.6</v>
      </c>
      <c r="C108" s="19" t="n">
        <f aca="false">635/36.42</f>
        <v>17.4354750137287</v>
      </c>
    </row>
    <row r="109" customFormat="false" ht="15" hidden="false" customHeight="false" outlineLevel="0" collapsed="false">
      <c r="A109" s="0" t="s">
        <v>582</v>
      </c>
      <c r="B109" s="20" t="n">
        <v>12.3</v>
      </c>
      <c r="C109" s="19" t="n">
        <f aca="false">704/49.25</f>
        <v>14.2944162436548</v>
      </c>
    </row>
    <row r="110" customFormat="false" ht="15" hidden="false" customHeight="false" outlineLevel="0" collapsed="false">
      <c r="A110" s="0" t="s">
        <v>583</v>
      </c>
      <c r="B110" s="20" t="n">
        <v>20</v>
      </c>
      <c r="C110" s="19" t="n">
        <f aca="false">1115/49.46</f>
        <v>22.543469470279</v>
      </c>
    </row>
    <row r="111" customFormat="false" ht="15" hidden="false" customHeight="false" outlineLevel="0" collapsed="false">
      <c r="A111" s="0" t="s">
        <v>584</v>
      </c>
      <c r="B111" s="20" t="n">
        <v>8.99</v>
      </c>
      <c r="C111" s="19" t="n">
        <f aca="false">797/81.07</f>
        <v>9.83101023806587</v>
      </c>
    </row>
    <row r="112" customFormat="false" ht="15" hidden="false" customHeight="false" outlineLevel="0" collapsed="false">
      <c r="A112" s="0" t="s">
        <v>585</v>
      </c>
      <c r="B112" s="20" t="n">
        <v>25.3</v>
      </c>
      <c r="C112" s="19" t="n">
        <f aca="false">1825/68.88</f>
        <v>26.4953542392567</v>
      </c>
    </row>
    <row r="113" customFormat="false" ht="15" hidden="false" customHeight="false" outlineLevel="0" collapsed="false">
      <c r="A113" s="0" t="s">
        <v>586</v>
      </c>
      <c r="B113" s="20" t="n">
        <v>19.6</v>
      </c>
      <c r="C113" s="19" t="n">
        <f aca="false">2620/126.57</f>
        <v>20.7000079007664</v>
      </c>
    </row>
    <row r="114" customFormat="false" ht="15" hidden="false" customHeight="false" outlineLevel="0" collapsed="false">
      <c r="A114" s="0" t="s">
        <v>587</v>
      </c>
      <c r="B114" s="20" t="n">
        <v>16</v>
      </c>
      <c r="C114" s="19" t="n">
        <f aca="false">4485/275.06</f>
        <v>16.3055333381808</v>
      </c>
    </row>
    <row r="115" customFormat="false" ht="17.15" hidden="false" customHeight="false" outlineLevel="0" collapsed="false">
      <c r="A115" s="0" t="s">
        <v>596</v>
      </c>
      <c r="B115" s="19" t="n">
        <f aca="false">PERCENTILE(B105:B114,0.25)</f>
        <v>13.45</v>
      </c>
      <c r="C115" s="19" t="n">
        <f aca="false">PERCENTILE(C105:C114,0.25)</f>
        <v>15.2999747909178</v>
      </c>
    </row>
    <row r="116" customFormat="false" ht="15" hidden="false" customHeight="false" outlineLevel="0" collapsed="false">
      <c r="A116" s="4" t="s">
        <v>597</v>
      </c>
      <c r="B116" s="19" t="n">
        <f aca="false">MEDIAN(B105:B114)</f>
        <v>16</v>
      </c>
      <c r="C116" s="19" t="n">
        <f aca="false">MEDIAN(C105:C114)</f>
        <v>17.4354750137287</v>
      </c>
    </row>
    <row r="117" customFormat="false" ht="17.15" hidden="false" customHeight="false" outlineLevel="0" collapsed="false">
      <c r="A117" s="0" t="s">
        <v>598</v>
      </c>
      <c r="B117" s="19" t="n">
        <f aca="false">PERCENTILE(B105:B114,0.75)</f>
        <v>19.8</v>
      </c>
      <c r="C117" s="19" t="n">
        <f aca="false">PERCENTILE(C105:C114,0.75)</f>
        <v>21.6217386855227</v>
      </c>
    </row>
    <row r="118" customFormat="false" ht="15" hidden="false" customHeight="false" outlineLevel="0" collapsed="false">
      <c r="A118" s="4" t="s">
        <v>599</v>
      </c>
      <c r="B118" s="19" t="n">
        <f aca="false">MIN(B105:B114)</f>
        <v>8.99</v>
      </c>
      <c r="C118" s="19" t="n">
        <f aca="false">MIN(C105:C114)</f>
        <v>9.83101023806587</v>
      </c>
    </row>
    <row r="119" customFormat="false" ht="15" hidden="false" customHeight="false" outlineLevel="0" collapsed="false">
      <c r="A119" s="4" t="s">
        <v>600</v>
      </c>
      <c r="B119" s="19" t="n">
        <f aca="false">MAX(B105:B114)</f>
        <v>25.3</v>
      </c>
      <c r="C119" s="19" t="n">
        <f aca="false">MAX(C105:C114)</f>
        <v>26.4953542392567</v>
      </c>
    </row>
    <row r="120" customFormat="false" ht="17.15" hidden="false" customHeight="false" outlineLevel="0" collapsed="false">
      <c r="A120" s="1" t="s">
        <v>601</v>
      </c>
      <c r="B120" s="19" t="n">
        <f aca="false">ROUND(AVERAGE(B115,C115),2)</f>
        <v>14.37</v>
      </c>
    </row>
    <row r="121" customFormat="false" ht="17.15" hidden="false" customHeight="false" outlineLevel="0" collapsed="false">
      <c r="A121" s="1" t="s">
        <v>602</v>
      </c>
      <c r="B121" s="19" t="n">
        <f aca="false">ROUND(AVERAGE(B116,C116),2)</f>
        <v>16.72</v>
      </c>
    </row>
    <row r="122" customFormat="false" ht="17.15" hidden="false" customHeight="false" outlineLevel="0" collapsed="false">
      <c r="A122" s="1" t="s">
        <v>603</v>
      </c>
      <c r="B122" s="19" t="n">
        <f aca="false">ROUND(AVERAGE(B117,C117),2)</f>
        <v>20.71</v>
      </c>
    </row>
    <row r="123" customFormat="false" ht="17.15" hidden="false" customHeight="false" outlineLevel="0" collapsed="false">
      <c r="A123" s="1" t="s">
        <v>604</v>
      </c>
      <c r="B123" s="19" t="n">
        <f aca="false">ROUND(MIN(B118,C118),2)</f>
        <v>8.99</v>
      </c>
    </row>
    <row r="124" customFormat="false" ht="17.15" hidden="false" customHeight="false" outlineLevel="0" collapsed="false">
      <c r="A124" s="1" t="s">
        <v>605</v>
      </c>
      <c r="B124" s="19" t="n">
        <f aca="false">ROUND(MAX(B119,C119),2)</f>
        <v>26.5</v>
      </c>
    </row>
    <row r="126" customFormat="false" ht="17.15" hidden="false" customHeight="false" outlineLevel="0" collapsed="false">
      <c r="A126" s="6" t="s">
        <v>606</v>
      </c>
    </row>
    <row r="127" customFormat="false" ht="17.15" hidden="false" customHeight="false" outlineLevel="0" collapsed="false">
      <c r="A127" s="5" t="s">
        <v>607</v>
      </c>
      <c r="B127" s="5" t="s">
        <v>608</v>
      </c>
      <c r="C127" s="5" t="s">
        <v>609</v>
      </c>
      <c r="D127" s="5" t="s">
        <v>19</v>
      </c>
      <c r="E127" s="5" t="s">
        <v>610</v>
      </c>
      <c r="F127" s="5" t="s">
        <v>563</v>
      </c>
      <c r="G127" s="5" t="s">
        <v>611</v>
      </c>
      <c r="H127" s="5" t="s">
        <v>612</v>
      </c>
    </row>
    <row r="128" customFormat="false" ht="17.15" hidden="false" customHeight="false" outlineLevel="0" collapsed="false">
      <c r="A128" s="4" t="s">
        <v>613</v>
      </c>
      <c r="B128" s="0" t="s">
        <v>614</v>
      </c>
      <c r="C128" s="19" t="n">
        <f aca="false">B120</f>
        <v>14.37</v>
      </c>
      <c r="D128" s="8" t="s">
        <v>615</v>
      </c>
      <c r="E128" s="19" t="n">
        <f aca="false">C72</f>
        <v>240.718425896005</v>
      </c>
      <c r="F128" s="22" t="n">
        <f aca="false">C128*E128</f>
        <v>3459.12378012559</v>
      </c>
      <c r="G128" s="18" t="n">
        <f aca="false">F128/px-1</f>
        <v>0.87995857615521</v>
      </c>
      <c r="H128" s="19" t="n">
        <f aca="false">px/E128</f>
        <v>7.64378544413928</v>
      </c>
    </row>
    <row r="129" customFormat="false" ht="17.15" hidden="false" customHeight="false" outlineLevel="0" collapsed="false">
      <c r="A129" s="4" t="s">
        <v>616</v>
      </c>
      <c r="B129" s="4" t="s">
        <v>617</v>
      </c>
      <c r="C129" s="19" t="n">
        <f aca="false">B121</f>
        <v>16.72</v>
      </c>
      <c r="D129" s="8" t="s">
        <v>615</v>
      </c>
      <c r="E129" s="19" t="n">
        <f aca="false">C72</f>
        <v>240.718425896005</v>
      </c>
      <c r="F129" s="22" t="n">
        <f aca="false">C129*E129</f>
        <v>4024.8120809812</v>
      </c>
      <c r="G129" s="18" t="n">
        <f aca="false">F129/px-1</f>
        <v>1.18739787009848</v>
      </c>
      <c r="H129" s="19" t="n">
        <f aca="false">px/E129</f>
        <v>7.64378544413928</v>
      </c>
    </row>
    <row r="130" customFormat="false" ht="17.15" hidden="false" customHeight="false" outlineLevel="0" collapsed="false">
      <c r="A130" s="4" t="s">
        <v>618</v>
      </c>
      <c r="B130" s="0" t="s">
        <v>619</v>
      </c>
      <c r="C130" s="19" t="n">
        <f aca="false">B122</f>
        <v>20.71</v>
      </c>
      <c r="D130" s="8" t="s">
        <v>615</v>
      </c>
      <c r="E130" s="19" t="n">
        <f aca="false">C72</f>
        <v>240.718425896005</v>
      </c>
      <c r="F130" s="22" t="n">
        <f aca="false">C130*E130</f>
        <v>4985.27860030626</v>
      </c>
      <c r="G130" s="18" t="n">
        <f aca="false">F130/px-1</f>
        <v>1.7093905436447</v>
      </c>
      <c r="H130" s="19" t="n">
        <f aca="false">px/E130</f>
        <v>7.64378544413928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620</v>
      </c>
    </row>
    <row r="3" customFormat="false" ht="17.15" hidden="false" customHeight="false" outlineLevel="0" collapsed="false">
      <c r="A3" s="5" t="s">
        <v>16</v>
      </c>
      <c r="B3" s="5" t="s">
        <v>621</v>
      </c>
      <c r="C3" s="5" t="s">
        <v>622</v>
      </c>
      <c r="D3" s="5" t="s">
        <v>623</v>
      </c>
      <c r="E3" s="5" t="s">
        <v>624</v>
      </c>
      <c r="F3" s="5" t="s">
        <v>625</v>
      </c>
      <c r="G3" s="5" t="s">
        <v>626</v>
      </c>
      <c r="H3" s="5" t="s">
        <v>627</v>
      </c>
      <c r="I3" s="5" t="s">
        <v>628</v>
      </c>
      <c r="J3" s="5" t="s">
        <v>387</v>
      </c>
    </row>
    <row r="4" customFormat="false" ht="17.15" hidden="false" customHeight="false" outlineLevel="0" collapsed="false">
      <c r="A4" s="6" t="s">
        <v>629</v>
      </c>
    </row>
    <row r="5" customFormat="false" ht="17.15" hidden="false" customHeight="false" outlineLevel="0" collapsed="false">
      <c r="A5" s="0" t="s">
        <v>630</v>
      </c>
      <c r="B5" s="22" t="n">
        <f aca="false">c_rev26</f>
        <v>1403.066</v>
      </c>
      <c r="C5" s="22" t="n">
        <f aca="false">PL!D78</f>
        <v>1458.66644</v>
      </c>
      <c r="D5" s="18" t="n">
        <f aca="false">C5/B5-1</f>
        <v>0.0396278150849638</v>
      </c>
      <c r="E5" s="22" t="n">
        <f aca="false">PL!D118</f>
        <v>1458.66644</v>
      </c>
      <c r="F5" s="18" t="n">
        <f aca="false">E5/B5-1</f>
        <v>0.0396278150849638</v>
      </c>
      <c r="G5" s="22" t="n">
        <f aca="false">PL!D158</f>
        <v>1458.66644</v>
      </c>
      <c r="H5" s="18" t="n">
        <f aca="false">G5/B5-1</f>
        <v>0.0396278150849638</v>
      </c>
      <c r="I5" s="8" t="s">
        <v>631</v>
      </c>
    </row>
    <row r="6" customFormat="false" ht="17.15" hidden="false" customHeight="false" outlineLevel="0" collapsed="false">
      <c r="A6" s="0" t="s">
        <v>632</v>
      </c>
      <c r="B6" s="30" t="n">
        <f aca="false">c_eps26</f>
        <v>138</v>
      </c>
      <c r="C6" s="30" t="n">
        <f aca="false">PL!D95</f>
        <v>138.534030197391</v>
      </c>
      <c r="D6" s="18" t="n">
        <f aca="false">C6/B6-1</f>
        <v>0.00386978403906402</v>
      </c>
      <c r="E6" s="30" t="n">
        <f aca="false">PL!D135</f>
        <v>138.534030197391</v>
      </c>
      <c r="F6" s="18" t="n">
        <f aca="false">E6/B6-1</f>
        <v>0.00386978403906402</v>
      </c>
      <c r="G6" s="30" t="n">
        <f aca="false">PL!D175</f>
        <v>138.534030197391</v>
      </c>
      <c r="H6" s="18" t="n">
        <f aca="false">G6/B6-1</f>
        <v>0.00386978403906402</v>
      </c>
      <c r="I6" s="8" t="s">
        <v>633</v>
      </c>
      <c r="J6" s="8" t="s">
        <v>634</v>
      </c>
    </row>
    <row r="7" customFormat="false" ht="17.15" hidden="false" customHeight="false" outlineLevel="0" collapsed="false">
      <c r="A7" s="0" t="s">
        <v>635</v>
      </c>
      <c r="B7" s="22" t="n">
        <f aca="false">c_rev27</f>
        <v>2488.718</v>
      </c>
      <c r="C7" s="22" t="n">
        <f aca="false">PL!E78</f>
        <v>2523.79276654211</v>
      </c>
      <c r="D7" s="18" t="n">
        <f aca="false">C7/B7-1</f>
        <v>0.0140935077988387</v>
      </c>
      <c r="E7" s="22" t="n">
        <f aca="false">PL!E118</f>
        <v>2523.79276654211</v>
      </c>
      <c r="F7" s="18" t="n">
        <f aca="false">E7/B7-1</f>
        <v>0.0140935077988387</v>
      </c>
      <c r="G7" s="22" t="n">
        <f aca="false">PL!E158</f>
        <v>2523.79276654211</v>
      </c>
      <c r="H7" s="18" t="n">
        <f aca="false">G7/B7-1</f>
        <v>0.0140935077988387</v>
      </c>
      <c r="I7" s="8" t="s">
        <v>636</v>
      </c>
    </row>
    <row r="8" customFormat="false" ht="17.15" hidden="false" customHeight="false" outlineLevel="0" collapsed="false">
      <c r="A8" s="0" t="s">
        <v>637</v>
      </c>
      <c r="B8" s="30" t="n">
        <f aca="false">c_eps27</f>
        <v>196.192765896369</v>
      </c>
      <c r="C8" s="30" t="n">
        <f aca="false">PL!E95</f>
        <v>240.718425896005</v>
      </c>
      <c r="D8" s="18" t="n">
        <f aca="false">C8/B8-1</f>
        <v>0.226948530931844</v>
      </c>
      <c r="E8" s="30" t="n">
        <f aca="false">PL!E135</f>
        <v>240.718425896005</v>
      </c>
      <c r="F8" s="18" t="n">
        <f aca="false">E8/B8-1</f>
        <v>0.226948530931844</v>
      </c>
      <c r="G8" s="30" t="n">
        <f aca="false">PL!E175</f>
        <v>240.718425896005</v>
      </c>
      <c r="H8" s="18" t="n">
        <f aca="false">G8/B8-1</f>
        <v>0.226948530931844</v>
      </c>
      <c r="I8" s="8" t="s">
        <v>636</v>
      </c>
    </row>
    <row r="9" customFormat="false" ht="17.15" hidden="false" customHeight="false" outlineLevel="0" collapsed="false">
      <c r="A9" s="0" t="s">
        <v>638</v>
      </c>
      <c r="B9" s="30" t="n">
        <f aca="false">c_eps28</f>
        <v>234.674178268982</v>
      </c>
      <c r="C9" s="30" t="n">
        <f aca="false">PL!F95</f>
        <v>290.948676812537</v>
      </c>
      <c r="D9" s="18" t="n">
        <f aca="false">C9/B9-1</f>
        <v>0.239798425879874</v>
      </c>
      <c r="E9" s="30" t="n">
        <f aca="false">PL!F135</f>
        <v>248.146271390319</v>
      </c>
      <c r="F9" s="18" t="n">
        <f aca="false">E9/B9-1</f>
        <v>0.0574076501330916</v>
      </c>
      <c r="G9" s="30" t="n">
        <f aca="false">PL!F175</f>
        <v>198.848577687677</v>
      </c>
      <c r="H9" s="18" t="n">
        <f aca="false">G9/B9-1</f>
        <v>-0.152661024939192</v>
      </c>
      <c r="I9" s="8" t="s">
        <v>639</v>
      </c>
    </row>
    <row r="10" customFormat="false" ht="17.15" hidden="false" customHeight="false" outlineLevel="0" collapsed="false">
      <c r="A10" s="0" t="s">
        <v>640</v>
      </c>
      <c r="B10" s="22" t="n">
        <f aca="false">b_rev26</f>
        <v>1361.998</v>
      </c>
      <c r="C10" s="22" t="n">
        <f aca="false">PL!D78</f>
        <v>1458.66644</v>
      </c>
      <c r="D10" s="18" t="n">
        <f aca="false">C10/B10-1</f>
        <v>0.0709754639874654</v>
      </c>
      <c r="E10" s="22" t="n">
        <f aca="false">PL!D118</f>
        <v>1458.66644</v>
      </c>
      <c r="F10" s="18" t="n">
        <f aca="false">E10/B10-1</f>
        <v>0.0709754639874654</v>
      </c>
      <c r="G10" s="22" t="n">
        <f aca="false">PL!D158</f>
        <v>1458.66644</v>
      </c>
      <c r="H10" s="18" t="n">
        <f aca="false">G10/B10-1</f>
        <v>0.0709754639874654</v>
      </c>
      <c r="I10" s="4" t="s">
        <v>641</v>
      </c>
      <c r="J10" s="8" t="s">
        <v>642</v>
      </c>
    </row>
    <row r="11" customFormat="false" ht="17.15" hidden="false" customHeight="false" outlineLevel="0" collapsed="false">
      <c r="A11" s="0" t="s">
        <v>643</v>
      </c>
      <c r="B11" s="22" t="n">
        <f aca="false">b_rev27</f>
        <v>2368.079</v>
      </c>
      <c r="C11" s="22" t="n">
        <f aca="false">PL!E78</f>
        <v>2523.79276654211</v>
      </c>
      <c r="D11" s="18" t="n">
        <f aca="false">C11/B11-1</f>
        <v>0.0657553090678604</v>
      </c>
      <c r="E11" s="22" t="n">
        <f aca="false">PL!E118</f>
        <v>2523.79276654211</v>
      </c>
      <c r="F11" s="18" t="n">
        <f aca="false">E11/B11-1</f>
        <v>0.0657553090678604</v>
      </c>
      <c r="G11" s="22" t="n">
        <f aca="false">PL!E158</f>
        <v>2523.79276654211</v>
      </c>
      <c r="H11" s="18" t="n">
        <f aca="false">G11/B11-1</f>
        <v>0.0657553090678604</v>
      </c>
      <c r="I11" s="4" t="s">
        <v>641</v>
      </c>
    </row>
    <row r="12" customFormat="false" ht="17.15" hidden="false" customHeight="false" outlineLevel="0" collapsed="false">
      <c r="A12" s="0" t="s">
        <v>644</v>
      </c>
      <c r="B12" s="30" t="n">
        <f aca="false">b_eps27</f>
        <v>189.895744078389</v>
      </c>
      <c r="C12" s="30" t="n">
        <f aca="false">PL!E95</f>
        <v>240.718425896005</v>
      </c>
      <c r="D12" s="18" t="n">
        <f aca="false">C12/B12-1</f>
        <v>0.267634654290284</v>
      </c>
      <c r="E12" s="30" t="n">
        <f aca="false">PL!E135</f>
        <v>240.718425896005</v>
      </c>
      <c r="F12" s="18" t="n">
        <f aca="false">E12/B12-1</f>
        <v>0.267634654290284</v>
      </c>
      <c r="G12" s="30" t="n">
        <f aca="false">PL!E175</f>
        <v>240.718425896005</v>
      </c>
      <c r="H12" s="18" t="n">
        <f aca="false">G12/B12-1</f>
        <v>0.267634654290284</v>
      </c>
      <c r="I12" s="4" t="s">
        <v>641</v>
      </c>
    </row>
    <row r="13" customFormat="false" ht="17.15" hidden="false" customHeight="false" outlineLevel="0" collapsed="false">
      <c r="A13" s="0" t="s">
        <v>645</v>
      </c>
      <c r="B13" s="17" t="n">
        <f aca="false">b_gm27</f>
        <v>0.07</v>
      </c>
      <c r="C13" s="17" t="n">
        <f aca="false">PL!E86</f>
        <v>0.0824697514439176</v>
      </c>
      <c r="D13" s="18" t="n">
        <f aca="false">C13-B13</f>
        <v>0.0124697514439175</v>
      </c>
      <c r="E13" s="17" t="n">
        <f aca="false">PL!E126</f>
        <v>0.0824697514439176</v>
      </c>
      <c r="F13" s="18" t="n">
        <f aca="false">E13-B13</f>
        <v>0.0124697514439175</v>
      </c>
      <c r="G13" s="17" t="n">
        <f aca="false">PL!E166</f>
        <v>0.0824697514439176</v>
      </c>
      <c r="H13" s="18" t="n">
        <f aca="false">G13-B13</f>
        <v>0.0124697514439175</v>
      </c>
      <c r="I13" s="4" t="s">
        <v>641</v>
      </c>
    </row>
    <row r="14" customFormat="false" ht="17.15" hidden="false" customHeight="false" outlineLevel="0" collapsed="false">
      <c r="A14" s="0" t="s">
        <v>646</v>
      </c>
      <c r="B14" s="18" t="n">
        <v>0.61</v>
      </c>
      <c r="C14" s="18" t="n">
        <f aca="false">PL!E80</f>
        <v>0.684430557532977</v>
      </c>
      <c r="D14" s="18" t="n">
        <f aca="false">C14-B14</f>
        <v>0.0744305575329766</v>
      </c>
      <c r="E14" s="18" t="n">
        <f aca="false">PL!E120</f>
        <v>0.684430557532977</v>
      </c>
      <c r="F14" s="18" t="n">
        <f aca="false">E14-B14</f>
        <v>0.0744305575329766</v>
      </c>
      <c r="G14" s="18" t="n">
        <f aca="false">PL!E160</f>
        <v>0.684430557532977</v>
      </c>
      <c r="H14" s="18" t="n">
        <f aca="false">G14-B14</f>
        <v>0.0744305575329766</v>
      </c>
      <c r="I14" s="4" t="s">
        <v>641</v>
      </c>
    </row>
    <row r="15" customFormat="false" ht="17.15" hidden="false" customHeight="false" outlineLevel="0" collapsed="false">
      <c r="A15" s="6" t="s">
        <v>647</v>
      </c>
    </row>
    <row r="16" customFormat="false" ht="17.15" hidden="false" customHeight="false" outlineLevel="0" collapsed="false">
      <c r="A16" s="0" t="s">
        <v>648</v>
      </c>
      <c r="C16" s="19" t="n">
        <f aca="false">PL!D69/Units!C10</f>
        <v>0.257494444796273</v>
      </c>
      <c r="E16" s="19" t="n">
        <f aca="false">PL!D109/Units!C10</f>
        <v>0.257494444796273</v>
      </c>
      <c r="G16" s="19" t="n">
        <f aca="false">PL!D149/Units!C10</f>
        <v>0.257494444796273</v>
      </c>
      <c r="I16" s="4" t="s">
        <v>649</v>
      </c>
      <c r="J16" s="4" t="s">
        <v>650</v>
      </c>
    </row>
    <row r="17" customFormat="false" ht="17.15" hidden="false" customHeight="false" outlineLevel="0" collapsed="false">
      <c r="A17" s="0" t="s">
        <v>651</v>
      </c>
      <c r="C17" s="23" t="n">
        <f aca="false">PL!D81</f>
        <v>0.935061049524468</v>
      </c>
      <c r="E17" s="23" t="n">
        <f aca="false">PL!D121</f>
        <v>0.935061049524468</v>
      </c>
      <c r="G17" s="23" t="n">
        <f aca="false">PL!D161</f>
        <v>0.935061049524468</v>
      </c>
      <c r="I17" s="8" t="s">
        <v>132</v>
      </c>
    </row>
    <row r="18" customFormat="false" ht="17.15" hidden="false" customHeight="false" outlineLevel="0" collapsed="false">
      <c r="A18" s="0" t="s">
        <v>652</v>
      </c>
      <c r="C18" s="23" t="n">
        <f aca="false">PL!E71</f>
        <v>1.44683544303797</v>
      </c>
      <c r="E18" s="23" t="n">
        <f aca="false">PL!E111</f>
        <v>1.44683544303797</v>
      </c>
      <c r="G18" s="23" t="n">
        <f aca="false">PL!E151</f>
        <v>1.44683544303797</v>
      </c>
      <c r="I18" s="8" t="s">
        <v>653</v>
      </c>
      <c r="J18" s="4" t="s">
        <v>654</v>
      </c>
    </row>
    <row r="19" customFormat="false" ht="17.15" hidden="false" customHeight="false" outlineLevel="0" collapsed="false">
      <c r="A19" s="0" t="s">
        <v>655</v>
      </c>
      <c r="B19" s="22" t="n">
        <v>1442</v>
      </c>
      <c r="C19" s="22" t="n">
        <f aca="false">PL!E75</f>
        <v>1727.36089030211</v>
      </c>
      <c r="D19" s="18" t="n">
        <f aca="false">C19/B19-1</f>
        <v>0.197892434328786</v>
      </c>
      <c r="E19" s="22" t="n">
        <f aca="false">PL!E115</f>
        <v>1727.36089030211</v>
      </c>
      <c r="F19" s="18" t="n">
        <f aca="false">E19/B19-1</f>
        <v>0.197892434328786</v>
      </c>
      <c r="G19" s="22" t="n">
        <f aca="false">PL!E155</f>
        <v>1727.36089030211</v>
      </c>
      <c r="H19" s="18" t="n">
        <f aca="false">G19/B19-1</f>
        <v>0.197892434328786</v>
      </c>
      <c r="I19" s="4" t="s">
        <v>641</v>
      </c>
    </row>
    <row r="20" customFormat="false" ht="17.15" hidden="false" customHeight="false" outlineLevel="0" collapsed="false">
      <c r="A20" s="6" t="s">
        <v>656</v>
      </c>
    </row>
    <row r="21" customFormat="false" ht="17.15" hidden="false" customHeight="false" outlineLevel="0" collapsed="false">
      <c r="A21" s="4" t="s">
        <v>657</v>
      </c>
      <c r="C21" s="17" t="n">
        <f aca="false">PL!D83</f>
        <v>0.0882120920201606</v>
      </c>
      <c r="E21" s="17" t="n">
        <f aca="false">PL!D123</f>
        <v>0.0882120920201606</v>
      </c>
      <c r="G21" s="17" t="n">
        <f aca="false">PL!D163</f>
        <v>0.0882120920201606</v>
      </c>
      <c r="I21" s="8" t="s">
        <v>658</v>
      </c>
      <c r="J21" s="8" t="s">
        <v>659</v>
      </c>
    </row>
    <row r="22" customFormat="false" ht="17.15" hidden="false" customHeight="false" outlineLevel="0" collapsed="false">
      <c r="A22" s="0" t="s">
        <v>660</v>
      </c>
      <c r="C22" s="19" t="n">
        <f aca="false">Q!E13</f>
        <v>44.6682751141094</v>
      </c>
      <c r="E22" s="19" t="n">
        <f aca="false">Q!E13</f>
        <v>44.6682751141094</v>
      </c>
      <c r="G22" s="19" t="n">
        <f aca="false">Q!E13</f>
        <v>44.6682751141094</v>
      </c>
      <c r="I22" s="8" t="s">
        <v>132</v>
      </c>
    </row>
    <row r="23" customFormat="false" ht="17.15" hidden="false" customHeight="false" outlineLevel="0" collapsed="false">
      <c r="A23" s="6" t="s">
        <v>661</v>
      </c>
    </row>
    <row r="24" customFormat="false" ht="17.15" hidden="false" customHeight="false" outlineLevel="0" collapsed="false">
      <c r="A24" s="0" t="s">
        <v>662</v>
      </c>
      <c r="J24" s="4" t="s">
        <v>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664</v>
      </c>
    </row>
    <row r="3" customFormat="false" ht="17.15" hidden="false" customHeight="false" outlineLevel="0" collapsed="false">
      <c r="A3" s="5" t="s">
        <v>665</v>
      </c>
      <c r="B3" s="5" t="s">
        <v>666</v>
      </c>
      <c r="C3" s="14" t="s">
        <v>667</v>
      </c>
      <c r="D3" s="14" t="s">
        <v>668</v>
      </c>
      <c r="E3" s="14" t="s">
        <v>560</v>
      </c>
      <c r="F3" s="14" t="s">
        <v>669</v>
      </c>
      <c r="G3" s="14" t="s">
        <v>670</v>
      </c>
      <c r="H3" s="14" t="s">
        <v>671</v>
      </c>
      <c r="I3" s="14" t="s">
        <v>672</v>
      </c>
      <c r="J3" s="14" t="s">
        <v>673</v>
      </c>
    </row>
    <row r="4" customFormat="false" ht="17.15" hidden="false" customHeight="false" outlineLevel="0" collapsed="false">
      <c r="A4" s="4" t="s">
        <v>674</v>
      </c>
      <c r="B4" s="0" t="s">
        <v>675</v>
      </c>
      <c r="C4" s="22" t="n">
        <f aca="false">PL!E78</f>
        <v>2523.79276654211</v>
      </c>
      <c r="D4" s="17" t="n">
        <f aca="false">PL!E86</f>
        <v>0.0824697514439176</v>
      </c>
      <c r="E4" s="19" t="n">
        <f aca="false">PL!E95</f>
        <v>240.718425896005</v>
      </c>
      <c r="F4" s="18" t="n">
        <f aca="false">E4/E$4-1</f>
        <v>0</v>
      </c>
      <c r="G4" s="22" t="n">
        <f aca="false">PL!F78</f>
        <v>2937.39275896477</v>
      </c>
      <c r="H4" s="17" t="n">
        <f aca="false">PL!F86</f>
        <v>0.0850561648712631</v>
      </c>
      <c r="I4" s="19" t="n">
        <f aca="false">PL!F95</f>
        <v>290.948676812537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676</v>
      </c>
      <c r="B5" s="0" t="s">
        <v>677</v>
      </c>
      <c r="C5" s="22" t="n">
        <f aca="false">E58</f>
        <v>2178.32058848169</v>
      </c>
      <c r="D5" s="17" t="n">
        <f aca="false">E66</f>
        <v>0.0828896513524369</v>
      </c>
      <c r="E5" s="19" t="n">
        <f aca="false">E75</f>
        <v>208.183615175668</v>
      </c>
      <c r="F5" s="18" t="n">
        <f aca="false">E5/E$4-1</f>
        <v>-0.135157126419531</v>
      </c>
      <c r="G5" s="22" t="n">
        <f aca="false">F58</f>
        <v>2513.97917367725</v>
      </c>
      <c r="H5" s="17" t="n">
        <f aca="false">F66</f>
        <v>0.085262124048411</v>
      </c>
      <c r="I5" s="19" t="n">
        <f aca="false">F75</f>
        <v>248.694998418871</v>
      </c>
      <c r="J5" s="18" t="n">
        <f aca="false">I5/I$4-1</f>
        <v>-0.145227257455071</v>
      </c>
    </row>
    <row r="6" customFormat="false" ht="17.15" hidden="false" customHeight="false" outlineLevel="0" collapsed="false">
      <c r="A6" s="0" t="s">
        <v>678</v>
      </c>
      <c r="B6" s="0" t="s">
        <v>679</v>
      </c>
      <c r="C6" s="22" t="n">
        <f aca="false">E98</f>
        <v>2869.26494460253</v>
      </c>
      <c r="D6" s="17" t="n">
        <f aca="false">E106</f>
        <v>0.0821509671442837</v>
      </c>
      <c r="E6" s="19" t="n">
        <f aca="false">E115</f>
        <v>273.253236616342</v>
      </c>
      <c r="F6" s="18" t="n">
        <f aca="false">E6/E$4-1</f>
        <v>0.135157126419532</v>
      </c>
      <c r="G6" s="22" t="n">
        <f aca="false">F98</f>
        <v>3360.80634425228</v>
      </c>
      <c r="H6" s="17" t="n">
        <f aca="false">F106</f>
        <v>0.0849021015218937</v>
      </c>
      <c r="I6" s="19" t="n">
        <f aca="false">F115</f>
        <v>333.214151548503</v>
      </c>
      <c r="J6" s="18" t="n">
        <f aca="false">I6/I$4-1</f>
        <v>0.145267801864581</v>
      </c>
    </row>
    <row r="7" customFormat="false" ht="17.15" hidden="false" customHeight="false" outlineLevel="0" collapsed="false">
      <c r="A7" s="4" t="s">
        <v>680</v>
      </c>
      <c r="B7" s="4" t="s">
        <v>681</v>
      </c>
      <c r="C7" s="22" t="n">
        <f aca="false">E138</f>
        <v>2264.68863299679</v>
      </c>
      <c r="D7" s="17" t="n">
        <f aca="false">E146</f>
        <v>0.0827726661368589</v>
      </c>
      <c r="E7" s="19" t="n">
        <f aca="false">E155</f>
        <v>216.317317855752</v>
      </c>
      <c r="F7" s="18" t="n">
        <f aca="false">E7/E$4-1</f>
        <v>-0.101367844814648</v>
      </c>
      <c r="G7" s="22" t="n">
        <f aca="false">F138</f>
        <v>2408.12577735538</v>
      </c>
      <c r="H7" s="17" t="n">
        <f aca="false">F146</f>
        <v>0.0853249304642225</v>
      </c>
      <c r="I7" s="19" t="n">
        <f aca="false">F155</f>
        <v>237.980894740677</v>
      </c>
      <c r="J7" s="18" t="n">
        <f aca="false">I7/I$4-1</f>
        <v>-0.182051977868206</v>
      </c>
    </row>
    <row r="8" customFormat="false" ht="17.15" hidden="false" customHeight="false" outlineLevel="0" collapsed="false">
      <c r="A8" s="4" t="s">
        <v>682</v>
      </c>
      <c r="B8" s="4" t="s">
        <v>683</v>
      </c>
      <c r="C8" s="22" t="n">
        <f aca="false">E178</f>
        <v>2696.52885557232</v>
      </c>
      <c r="D8" s="17" t="n">
        <f aca="false">E186</f>
        <v>0.0823001488427922</v>
      </c>
      <c r="E8" s="19" t="n">
        <f aca="false">E195</f>
        <v>256.985831256173</v>
      </c>
      <c r="F8" s="18" t="n">
        <f aca="false">E8/E$4-1</f>
        <v>0.0675785632097661</v>
      </c>
      <c r="G8" s="22" t="n">
        <f aca="false">F178</f>
        <v>3149.09955160852</v>
      </c>
      <c r="H8" s="17" t="n">
        <f aca="false">F186</f>
        <v>0.0849739545324834</v>
      </c>
      <c r="I8" s="19" t="n">
        <f aca="false">F195</f>
        <v>312.080223009543</v>
      </c>
      <c r="J8" s="18" t="n">
        <f aca="false">I8/I$4-1</f>
        <v>0.0726298068391655</v>
      </c>
    </row>
    <row r="9" customFormat="false" ht="17.15" hidden="false" customHeight="false" outlineLevel="0" collapsed="false">
      <c r="A9" s="4" t="s">
        <v>684</v>
      </c>
      <c r="B9" s="4" t="s">
        <v>685</v>
      </c>
      <c r="C9" s="22" t="n">
        <f aca="false">E218</f>
        <v>1990.32085553892</v>
      </c>
      <c r="D9" s="17" t="n">
        <f aca="false">E226</f>
        <v>0.0831793994090924</v>
      </c>
      <c r="E9" s="19" t="n">
        <f aca="false">E235</f>
        <v>190.478757548328</v>
      </c>
      <c r="F9" s="18" t="n">
        <f aca="false">E9/E$4-1</f>
        <v>-0.208707198714324</v>
      </c>
      <c r="G9" s="22" t="n">
        <f aca="false">F218</f>
        <v>2254.06620872438</v>
      </c>
      <c r="H9" s="17" t="n">
        <f aca="false">F226</f>
        <v>0.0854268794472194</v>
      </c>
      <c r="I9" s="19" t="n">
        <f aca="false">F235</f>
        <v>222.752853512843</v>
      </c>
      <c r="J9" s="18" t="n">
        <f aca="false">I9/I$4-1</f>
        <v>-0.234391247442016</v>
      </c>
    </row>
    <row r="10" customFormat="false" ht="17.15" hidden="false" customHeight="false" outlineLevel="0" collapsed="false">
      <c r="A10" s="0" t="s">
        <v>686</v>
      </c>
      <c r="B10" s="4" t="s">
        <v>687</v>
      </c>
      <c r="C10" s="22" t="n">
        <f aca="false">E258</f>
        <v>2494.15543815304</v>
      </c>
      <c r="D10" s="17" t="n">
        <f aca="false">E266</f>
        <v>0.0825012122636932</v>
      </c>
      <c r="E10" s="19" t="n">
        <f aca="false">E275</f>
        <v>237.927333210023</v>
      </c>
      <c r="F10" s="18" t="n">
        <f aca="false">E10/E$4-1</f>
        <v>-0.0115948443730179</v>
      </c>
      <c r="G10" s="22" t="n">
        <f aca="false">F258</f>
        <v>2899.4301728403</v>
      </c>
      <c r="H10" s="17" t="n">
        <f aca="false">F266</f>
        <v>0.0850721759713171</v>
      </c>
      <c r="I10" s="19" t="n">
        <f aca="false">F275</f>
        <v>287.158258565875</v>
      </c>
      <c r="J10" s="18" t="n">
        <f aca="false">I10/I$4-1</f>
        <v>-0.0130277899462827</v>
      </c>
    </row>
    <row r="11" customFormat="false" ht="17.15" hidden="false" customHeight="false" outlineLevel="0" collapsed="false">
      <c r="A11" s="4" t="s">
        <v>688</v>
      </c>
      <c r="B11" s="4" t="s">
        <v>689</v>
      </c>
      <c r="C11" s="22" t="n">
        <f aca="false">E298</f>
        <v>2614.70649761064</v>
      </c>
      <c r="D11" s="17" t="n">
        <f aca="false">E306</f>
        <v>0.0798672565763406</v>
      </c>
      <c r="E11" s="19" t="n">
        <f aca="false">E315</f>
        <v>240.118359776367</v>
      </c>
      <c r="F11" s="18" t="n">
        <f aca="false">E11/E$4-1</f>
        <v>-0.00249281340804797</v>
      </c>
      <c r="G11" s="22" t="n">
        <f aca="false">F298</f>
        <v>3172.62252856894</v>
      </c>
      <c r="H11" s="17" t="n">
        <f aca="false">F306</f>
        <v>0.079314855712243</v>
      </c>
      <c r="I11" s="19" t="n">
        <f aca="false">F315</f>
        <v>289.651187290551</v>
      </c>
      <c r="J11" s="18" t="n">
        <f aca="false">I11/I$4-1</f>
        <v>-0.00445951339666073</v>
      </c>
    </row>
    <row r="12" customFormat="false" ht="17.15" hidden="false" customHeight="false" outlineLevel="0" collapsed="false">
      <c r="A12" s="4" t="s">
        <v>690</v>
      </c>
      <c r="B12" s="4" t="s">
        <v>691</v>
      </c>
      <c r="C12" s="22" t="n">
        <f aca="false">E338</f>
        <v>2341.96530440505</v>
      </c>
      <c r="D12" s="17" t="n">
        <f aca="false">E346</f>
        <v>0.0882809052022185</v>
      </c>
      <c r="E12" s="19" t="n">
        <f aca="false">E355</f>
        <v>241.91855813528</v>
      </c>
      <c r="F12" s="18" t="n">
        <f aca="false">E12/E$4-1</f>
        <v>0.00498562681609704</v>
      </c>
      <c r="G12" s="22" t="n">
        <f aca="false">F338</f>
        <v>2584.54810455851</v>
      </c>
      <c r="H12" s="17" t="n">
        <f aca="false">F346</f>
        <v>0.0956276493500737</v>
      </c>
      <c r="I12" s="19" t="n">
        <f aca="false">F355</f>
        <v>292.981071914154</v>
      </c>
      <c r="J12" s="18" t="n">
        <f aca="false">I12/I$4-1</f>
        <v>0.00698540761168576</v>
      </c>
    </row>
    <row r="13" customFormat="false" ht="17.15" hidden="false" customHeight="false" outlineLevel="0" collapsed="false">
      <c r="A13" s="4" t="s">
        <v>692</v>
      </c>
      <c r="B13" s="4" t="s">
        <v>693</v>
      </c>
      <c r="C13" s="22" t="n">
        <f aca="false">E378</f>
        <v>2523.79276654211</v>
      </c>
      <c r="D13" s="17" t="n">
        <f aca="false">E386</f>
        <v>0.0819206789741059</v>
      </c>
      <c r="E13" s="19" t="n">
        <f aca="false">E395</f>
        <v>238.784255786285</v>
      </c>
      <c r="F13" s="18" t="n">
        <f aca="false">E13/E$4-1</f>
        <v>-0.00803498985389506</v>
      </c>
      <c r="G13" s="22" t="n">
        <f aca="false">F378</f>
        <v>2937.39275896477</v>
      </c>
      <c r="H13" s="17" t="n">
        <f aca="false">F386</f>
        <v>0.0838355345832472</v>
      </c>
      <c r="I13" s="19" t="n">
        <f aca="false">F395</f>
        <v>285.969111792068</v>
      </c>
      <c r="J13" s="18" t="n">
        <f aca="false">I13/I$4-1</f>
        <v>-0.0171149258179214</v>
      </c>
    </row>
    <row r="14" customFormat="false" ht="17.15" hidden="false" customHeight="false" outlineLevel="0" collapsed="false">
      <c r="A14" s="4" t="s">
        <v>694</v>
      </c>
      <c r="B14" s="0" t="s">
        <v>695</v>
      </c>
      <c r="C14" s="22" t="n">
        <f aca="false">E418</f>
        <v>2523.79276654211</v>
      </c>
      <c r="D14" s="17" t="n">
        <f aca="false">E426</f>
        <v>0.0824697514439176</v>
      </c>
      <c r="E14" s="19" t="n">
        <f aca="false">E435</f>
        <v>240.718425896005</v>
      </c>
      <c r="F14" s="18" t="n">
        <f aca="false">E14/E$4-1</f>
        <v>0</v>
      </c>
      <c r="G14" s="22" t="n">
        <f aca="false">F418</f>
        <v>2619.83256999913</v>
      </c>
      <c r="H14" s="17" t="n">
        <f aca="false">F426</f>
        <v>0.0852043929740549</v>
      </c>
      <c r="I14" s="19" t="n">
        <f aca="false">F435</f>
        <v>258.962459271306</v>
      </c>
      <c r="J14" s="18" t="n">
        <f aca="false">I14/I$4-1</f>
        <v>-0.109937662860865</v>
      </c>
    </row>
    <row r="15" customFormat="false" ht="17.15" hidden="false" customHeight="false" outlineLevel="0" collapsed="false">
      <c r="A15" s="4" t="s">
        <v>696</v>
      </c>
      <c r="B15" s="0" t="s">
        <v>679</v>
      </c>
      <c r="C15" s="22" t="n">
        <f aca="false">E458</f>
        <v>2523.79276654211</v>
      </c>
      <c r="D15" s="17" t="n">
        <f aca="false">E466</f>
        <v>0.0824697514439176</v>
      </c>
      <c r="E15" s="19" t="n">
        <f aca="false">E475</f>
        <v>240.718425896005</v>
      </c>
      <c r="F15" s="18" t="n">
        <f aca="false">E15/E$4-1</f>
        <v>0</v>
      </c>
      <c r="G15" s="22" t="n">
        <f aca="false">F458</f>
        <v>3360.80634425228</v>
      </c>
      <c r="H15" s="17" t="n">
        <f aca="false">F466</f>
        <v>0.0849021015218937</v>
      </c>
      <c r="I15" s="19" t="n">
        <f aca="false">F475</f>
        <v>333.596966867513</v>
      </c>
      <c r="J15" s="18" t="n">
        <f aca="false">I15/I$4-1</f>
        <v>0.146583550481153</v>
      </c>
    </row>
    <row r="16" customFormat="false" ht="17.15" hidden="false" customHeight="false" outlineLevel="0" collapsed="false">
      <c r="A16" s="4" t="s">
        <v>697</v>
      </c>
      <c r="B16" s="0" t="s">
        <v>698</v>
      </c>
      <c r="C16" s="22" t="n">
        <f aca="false">E498</f>
        <v>2410.01678422211</v>
      </c>
      <c r="D16" s="17" t="n">
        <f aca="false">E506</f>
        <v>0.0821986577137181</v>
      </c>
      <c r="E16" s="19" t="n">
        <f aca="false">E515</f>
        <v>228.671223580092</v>
      </c>
      <c r="F16" s="18" t="n">
        <f aca="false">E16/E$4-1</f>
        <v>-0.0500468639700967</v>
      </c>
      <c r="G16" s="22" t="n">
        <f aca="false">F498</f>
        <v>2765.59102566157</v>
      </c>
      <c r="H16" s="17" t="n">
        <f aca="false">F506</f>
        <v>0.0848601150036839</v>
      </c>
      <c r="I16" s="19" t="n">
        <f aca="false">F515</f>
        <v>272.730616620601</v>
      </c>
      <c r="J16" s="18" t="n">
        <f aca="false">I16/I$4-1</f>
        <v>-0.0626160613326113</v>
      </c>
    </row>
    <row r="17" customFormat="false" ht="17.15" hidden="false" customHeight="false" outlineLevel="0" collapsed="false">
      <c r="A17" s="4" t="s">
        <v>699</v>
      </c>
      <c r="B17" s="0" t="s">
        <v>700</v>
      </c>
      <c r="C17" s="22" t="n">
        <f aca="false">E538</f>
        <v>2599.64342142211</v>
      </c>
      <c r="D17" s="17" t="n">
        <f aca="false">E546</f>
        <v>0.0826372976118508</v>
      </c>
      <c r="E17" s="19" t="n">
        <f aca="false">E555</f>
        <v>248.749894106613</v>
      </c>
      <c r="F17" s="18" t="n">
        <f aca="false">E17/E$4-1</f>
        <v>0.0333645759800647</v>
      </c>
      <c r="G17" s="22" t="n">
        <f aca="false">F538</f>
        <v>3076.57871066957</v>
      </c>
      <c r="H17" s="17" t="n">
        <f aca="false">F546</f>
        <v>0.0851989405857953</v>
      </c>
      <c r="I17" s="19" t="n">
        <f aca="false">F555</f>
        <v>305.732382436289</v>
      </c>
      <c r="J17" s="18" t="n">
        <f aca="false">I17/I$4-1</f>
        <v>0.0508120737503039</v>
      </c>
    </row>
    <row r="18" customFormat="false" ht="17.15" hidden="false" customHeight="false" outlineLevel="0" collapsed="false">
      <c r="A18" s="0" t="s">
        <v>701</v>
      </c>
      <c r="B18" s="0" t="s">
        <v>702</v>
      </c>
      <c r="C18" s="22" t="n">
        <f aca="false">E578</f>
        <v>2523.79276654211</v>
      </c>
      <c r="D18" s="17" t="n">
        <f aca="false">E586</f>
        <v>0.0802568598154691</v>
      </c>
      <c r="E18" s="19" t="n">
        <f aca="false">E595</f>
        <v>232.923263910808</v>
      </c>
      <c r="F18" s="18" t="n">
        <f aca="false">E18/E$4-1</f>
        <v>-0.032382905281064</v>
      </c>
      <c r="G18" s="22" t="n">
        <f aca="false">F578</f>
        <v>2937.39275896477</v>
      </c>
      <c r="H18" s="17" t="n">
        <f aca="false">F586</f>
        <v>0.0822740822511737</v>
      </c>
      <c r="I18" s="19" t="n">
        <f aca="false">F595</f>
        <v>279.599162192864</v>
      </c>
      <c r="J18" s="18" t="n">
        <f aca="false">I18/I$4-1</f>
        <v>-0.0390086483431081</v>
      </c>
    </row>
    <row r="19" customFormat="false" ht="17.15" hidden="false" customHeight="false" outlineLevel="0" collapsed="false">
      <c r="A19" s="0" t="s">
        <v>703</v>
      </c>
      <c r="B19" s="4" t="s">
        <v>704</v>
      </c>
      <c r="C19" s="22" t="n">
        <f aca="false">E618</f>
        <v>2523.79276654211</v>
      </c>
      <c r="D19" s="17" t="n">
        <f aca="false">E626</f>
        <v>0.084682643072366</v>
      </c>
      <c r="E19" s="19" t="n">
        <f aca="false">E635</f>
        <v>248.513587881202</v>
      </c>
      <c r="F19" s="18" t="n">
        <f aca="false">E19/E$4-1</f>
        <v>0.0323829052810647</v>
      </c>
      <c r="G19" s="22" t="n">
        <f aca="false">F618</f>
        <v>2937.39275896477</v>
      </c>
      <c r="H19" s="17" t="n">
        <f aca="false">F626</f>
        <v>0.0878382474913525</v>
      </c>
      <c r="I19" s="19" t="n">
        <f aca="false">F635</f>
        <v>302.29819143221</v>
      </c>
      <c r="J19" s="18" t="n">
        <f aca="false">I19/I$4-1</f>
        <v>0.039008648343108</v>
      </c>
    </row>
    <row r="20" customFormat="false" ht="17.15" hidden="false" customHeight="false" outlineLevel="0" collapsed="false">
      <c r="A20" s="0" t="s">
        <v>705</v>
      </c>
      <c r="B20" s="0" t="s">
        <v>706</v>
      </c>
      <c r="C20" s="22" t="n">
        <f aca="false">E658</f>
        <v>2523.79276654211</v>
      </c>
      <c r="D20" s="17" t="n">
        <f aca="false">E666</f>
        <v>0.0803191985868271</v>
      </c>
      <c r="E20" s="19" t="n">
        <f aca="false">E675</f>
        <v>233.142859310079</v>
      </c>
      <c r="F20" s="18" t="n">
        <f aca="false">E20/E$4-1</f>
        <v>-0.0314706552177212</v>
      </c>
      <c r="G20" s="22" t="n">
        <f aca="false">F658</f>
        <v>2937.39275896477</v>
      </c>
      <c r="H20" s="17" t="n">
        <f aca="false">F666</f>
        <v>0.0826777549238966</v>
      </c>
      <c r="I20" s="19" t="n">
        <f aca="false">F675</f>
        <v>281.245946104869</v>
      </c>
      <c r="J20" s="18" t="n">
        <f aca="false">I20/I$4-1</f>
        <v>-0.0333485988455609</v>
      </c>
    </row>
    <row r="21" customFormat="false" ht="17.15" hidden="false" customHeight="false" outlineLevel="0" collapsed="false">
      <c r="A21" s="4" t="s">
        <v>707</v>
      </c>
      <c r="B21" s="4" t="s">
        <v>708</v>
      </c>
      <c r="C21" s="22" t="n">
        <f aca="false">E698</f>
        <v>2523.79276654211</v>
      </c>
      <c r="D21" s="17" t="n">
        <f aca="false">E706</f>
        <v>0.0824697514439176</v>
      </c>
      <c r="E21" s="19" t="n">
        <f aca="false">E715</f>
        <v>233.673198841065</v>
      </c>
      <c r="F21" s="18" t="n">
        <f aca="false">E21/E$4-1</f>
        <v>-0.0292675021810892</v>
      </c>
      <c r="G21" s="22" t="n">
        <f aca="false">F698</f>
        <v>2937.39275896477</v>
      </c>
      <c r="H21" s="17" t="n">
        <f aca="false">F706</f>
        <v>0.0850561648712631</v>
      </c>
      <c r="I21" s="19" t="n">
        <f aca="false">F715</f>
        <v>282.789670650953</v>
      </c>
      <c r="J21" s="18" t="n">
        <f aca="false">I21/I$4-1</f>
        <v>-0.0280427677175561</v>
      </c>
    </row>
    <row r="22" customFormat="false" ht="17.15" hidden="false" customHeight="false" outlineLevel="0" collapsed="false">
      <c r="A22" s="4" t="s">
        <v>709</v>
      </c>
      <c r="B22" s="4" t="s">
        <v>710</v>
      </c>
      <c r="C22" s="22" t="n">
        <f aca="false">E738</f>
        <v>2523.79276654211</v>
      </c>
      <c r="D22" s="17" t="n">
        <f aca="false">E746</f>
        <v>0.0824697514439176</v>
      </c>
      <c r="E22" s="19" t="n">
        <f aca="false">E755</f>
        <v>236.12832175549</v>
      </c>
      <c r="F22" s="18" t="n">
        <f aca="false">E22/E$4-1</f>
        <v>-0.0190683539219271</v>
      </c>
      <c r="G22" s="22" t="n">
        <f aca="false">F738</f>
        <v>2937.39275896477</v>
      </c>
      <c r="H22" s="17" t="n">
        <f aca="false">F746</f>
        <v>0.0850561648712631</v>
      </c>
      <c r="I22" s="19" t="n">
        <f aca="false">F755</f>
        <v>284.009101584624</v>
      </c>
      <c r="J22" s="18" t="n">
        <f aca="false">I22/I$4-1</f>
        <v>-0.0238515442102698</v>
      </c>
    </row>
    <row r="23" customFormat="false" ht="17.15" hidden="false" customHeight="false" outlineLevel="0" collapsed="false">
      <c r="A23" s="4" t="s">
        <v>711</v>
      </c>
      <c r="B23" s="0" t="s">
        <v>712</v>
      </c>
      <c r="C23" s="22" t="n">
        <f aca="false">E778</f>
        <v>2523.79276654211</v>
      </c>
      <c r="D23" s="17" t="n">
        <f aca="false">E786</f>
        <v>0.0824697514439176</v>
      </c>
      <c r="E23" s="19" t="n">
        <f aca="false">E795</f>
        <v>222.201623904004</v>
      </c>
      <c r="F23" s="18" t="n">
        <f aca="false">E23/E$4-1</f>
        <v>-0.0769230769230769</v>
      </c>
      <c r="G23" s="22" t="n">
        <f aca="false">F778</f>
        <v>2937.39275896477</v>
      </c>
      <c r="H23" s="17" t="n">
        <f aca="false">F786</f>
        <v>0.0850561648712631</v>
      </c>
      <c r="I23" s="19" t="n">
        <f aca="false">F795</f>
        <v>268.568009365419</v>
      </c>
      <c r="J23" s="18" t="n">
        <f aca="false">I23/I$4-1</f>
        <v>-0.0769230769230771</v>
      </c>
    </row>
    <row r="24" customFormat="false" ht="17.15" hidden="false" customHeight="false" outlineLevel="0" collapsed="false">
      <c r="A24" s="4" t="s">
        <v>713</v>
      </c>
      <c r="B24" s="0" t="s">
        <v>714</v>
      </c>
      <c r="C24" s="22" t="n">
        <f aca="false">PL!E118</f>
        <v>2523.79276654211</v>
      </c>
      <c r="D24" s="17" t="n">
        <f aca="false">PL!E126</f>
        <v>0.0824697514439176</v>
      </c>
      <c r="E24" s="19" t="n">
        <f aca="false">PL!E135</f>
        <v>240.718425896005</v>
      </c>
      <c r="F24" s="18" t="n">
        <f aca="false">E24/E$4-1</f>
        <v>0</v>
      </c>
      <c r="G24" s="22" t="n">
        <f aca="false">PL!F118</f>
        <v>2513.97917367725</v>
      </c>
      <c r="H24" s="17" t="n">
        <f aca="false">PL!F126</f>
        <v>0.085262124048411</v>
      </c>
      <c r="I24" s="19" t="n">
        <f aca="false">PL!F135</f>
        <v>248.146271390319</v>
      </c>
      <c r="J24" s="18" t="n">
        <f aca="false">I24/I$4-1</f>
        <v>-0.147113249976375</v>
      </c>
    </row>
    <row r="25" customFormat="false" ht="17.15" hidden="false" customHeight="false" outlineLevel="0" collapsed="false">
      <c r="A25" s="4" t="s">
        <v>715</v>
      </c>
      <c r="B25" s="0" t="s">
        <v>716</v>
      </c>
      <c r="C25" s="22" t="n">
        <f aca="false">PL!E158</f>
        <v>2523.79276654211</v>
      </c>
      <c r="D25" s="17" t="n">
        <f aca="false">PL!E166</f>
        <v>0.0824697514439176</v>
      </c>
      <c r="E25" s="19" t="n">
        <f aca="false">PL!E175</f>
        <v>240.718425896005</v>
      </c>
      <c r="F25" s="18" t="n">
        <f aca="false">E25/E$4-1</f>
        <v>0</v>
      </c>
      <c r="G25" s="22" t="n">
        <f aca="false">PL!F158</f>
        <v>2090.56558838974</v>
      </c>
      <c r="H25" s="17" t="n">
        <f aca="false">PL!F166</f>
        <v>0.0855515112835957</v>
      </c>
      <c r="I25" s="19" t="n">
        <f aca="false">PL!F175</f>
        <v>198.848577687677</v>
      </c>
      <c r="J25" s="18" t="n">
        <f aca="false">I25/I$4-1</f>
        <v>-0.316551015573795</v>
      </c>
    </row>
    <row r="27" customFormat="false" ht="17.15" hidden="false" customHeight="false" outlineLevel="0" collapsed="false">
      <c r="A27" s="4" t="s">
        <v>717</v>
      </c>
    </row>
    <row r="29" customFormat="false" ht="17.15" hidden="false" customHeight="false" outlineLevel="0" collapsed="false">
      <c r="A29" s="1" t="s">
        <v>718</v>
      </c>
    </row>
    <row r="30" customFormat="false" ht="17.15" hidden="false" customHeight="false" outlineLevel="0" collapsed="false">
      <c r="A30" s="5" t="s">
        <v>665</v>
      </c>
      <c r="B30" s="5" t="s">
        <v>666</v>
      </c>
      <c r="C30" s="14" t="s">
        <v>719</v>
      </c>
      <c r="D30" s="14" t="s">
        <v>720</v>
      </c>
      <c r="E30" s="5" t="s">
        <v>721</v>
      </c>
      <c r="F30" s="5" t="s">
        <v>722</v>
      </c>
    </row>
    <row r="31" customFormat="false" ht="17.15" hidden="false" customHeight="false" outlineLevel="0" collapsed="false">
      <c r="A31" s="4" t="s">
        <v>19</v>
      </c>
      <c r="B31" s="0" t="s">
        <v>723</v>
      </c>
      <c r="C31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1" s="36" t="n">
        <f aca="false">Val!B35</f>
        <v>2873.00293877431</v>
      </c>
      <c r="E31" s="36" t="n">
        <f aca="false">tp_w_dcf*C31+(1-tp_w_dcf)*D31</f>
        <v>3314.42332268005</v>
      </c>
      <c r="F31" s="18" t="n">
        <f aca="false">E31/E$31-1</f>
        <v>0</v>
      </c>
    </row>
    <row r="32" customFormat="false" ht="17.15" hidden="false" customHeight="false" outlineLevel="0" collapsed="false">
      <c r="A32" s="4" t="s">
        <v>724</v>
      </c>
      <c r="B32" s="0" t="s">
        <v>725</v>
      </c>
      <c r="C32" s="36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3257.42942762246</v>
      </c>
      <c r="D32" s="36" t="n">
        <f aca="false">Val!B35</f>
        <v>2873.00293877431</v>
      </c>
      <c r="E32" s="36" t="n">
        <f aca="false">tp_w_dcf*C32+(1-tp_w_dcf)*D32</f>
        <v>3065.21618319838</v>
      </c>
      <c r="F32" s="18" t="n">
        <f aca="false">E32/E$31-1</f>
        <v>-0.0751886875090412</v>
      </c>
    </row>
    <row r="33" customFormat="false" ht="17.15" hidden="false" customHeight="false" outlineLevel="0" collapsed="false">
      <c r="A33" s="4" t="s">
        <v>726</v>
      </c>
      <c r="B33" s="0" t="s">
        <v>727</v>
      </c>
      <c r="C33" s="36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4453.17544319488</v>
      </c>
      <c r="D33" s="36" t="n">
        <f aca="false">Val!B35</f>
        <v>2873.00293877431</v>
      </c>
      <c r="E33" s="36" t="n">
        <f aca="false">tp_w_dcf*C33+(1-tp_w_dcf)*D33</f>
        <v>3663.08919098459</v>
      </c>
      <c r="F33" s="18" t="n">
        <f aca="false">E33/E$31-1</f>
        <v>0.105196540803547</v>
      </c>
    </row>
    <row r="34" customFormat="false" ht="17.15" hidden="false" customHeight="false" outlineLevel="0" collapsed="false">
      <c r="A34" s="4" t="s">
        <v>728</v>
      </c>
      <c r="B34" s="0" t="s">
        <v>729</v>
      </c>
      <c r="C34" s="36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4183.43153801912</v>
      </c>
      <c r="D34" s="36" t="n">
        <f aca="false">Val!B35</f>
        <v>2873.00293877431</v>
      </c>
      <c r="E34" s="36" t="n">
        <f aca="false">tp_w_dcf*C34+(1-tp_w_dcf)*D34</f>
        <v>3528.21723839671</v>
      </c>
      <c r="F34" s="18" t="n">
        <f aca="false">E34/E$31-1</f>
        <v>0.0645041067185661</v>
      </c>
    </row>
    <row r="35" customFormat="false" ht="17.15" hidden="false" customHeight="false" outlineLevel="0" collapsed="false">
      <c r="A35" s="4" t="s">
        <v>730</v>
      </c>
      <c r="B35" s="0" t="s">
        <v>731</v>
      </c>
      <c r="C35" s="36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3458.73077781662</v>
      </c>
      <c r="D35" s="36" t="n">
        <f aca="false">Val!B35</f>
        <v>2873.00293877431</v>
      </c>
      <c r="E35" s="36" t="n">
        <f aca="false">tp_w_dcf*C35+(1-tp_w_dcf)*D35</f>
        <v>3165.86685829546</v>
      </c>
      <c r="F35" s="18" t="n">
        <f aca="false">E35/E$31-1</f>
        <v>-0.0448212101839988</v>
      </c>
    </row>
    <row r="36" customFormat="false" ht="17.15" hidden="false" customHeight="false" outlineLevel="0" collapsed="false">
      <c r="A36" s="0" t="s">
        <v>732</v>
      </c>
      <c r="C36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6" s="36" t="n">
        <f aca="false">Val!B35</f>
        <v>2873.00293877431</v>
      </c>
      <c r="E36" s="36" t="n">
        <f aca="false">0.3*C36+(1-0.3)*D36</f>
        <v>3137.85516911775</v>
      </c>
      <c r="F36" s="18" t="n">
        <f aca="false">E36/E$31-1</f>
        <v>-0.0532726620507622</v>
      </c>
    </row>
    <row r="37" customFormat="false" ht="17.15" hidden="false" customHeight="false" outlineLevel="0" collapsed="false">
      <c r="A37" s="0" t="s">
        <v>733</v>
      </c>
      <c r="C37" s="36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3755.8437065858</v>
      </c>
      <c r="D37" s="36" t="n">
        <f aca="false">Val!B35</f>
        <v>2873.00293877431</v>
      </c>
      <c r="E37" s="36" t="n">
        <f aca="false">0.7*C37+(1-0.7)*D37</f>
        <v>3490.99147624235</v>
      </c>
      <c r="F37" s="18" t="n">
        <f aca="false">E37/E$31-1</f>
        <v>0.0532726620507622</v>
      </c>
    </row>
    <row r="40" customFormat="false" ht="17.15" hidden="false" customHeight="false" outlineLevel="0" collapsed="false">
      <c r="A40" s="1" t="s">
        <v>734</v>
      </c>
    </row>
    <row r="41" customFormat="false" ht="17.15" hidden="false" customHeight="false" outlineLevel="0" collapsed="false">
      <c r="A41" s="5" t="s">
        <v>16</v>
      </c>
      <c r="B41" s="5" t="s">
        <v>17</v>
      </c>
      <c r="C41" s="14" t="s">
        <v>336</v>
      </c>
      <c r="D41" s="14" t="s">
        <v>415</v>
      </c>
      <c r="E41" s="14" t="s">
        <v>416</v>
      </c>
      <c r="F41" s="14" t="s">
        <v>417</v>
      </c>
      <c r="G41" s="14" t="s">
        <v>418</v>
      </c>
      <c r="H41" s="14" t="s">
        <v>419</v>
      </c>
      <c r="I41" s="14" t="s">
        <v>420</v>
      </c>
      <c r="J41" s="14" t="s">
        <v>421</v>
      </c>
      <c r="K41" s="5" t="s">
        <v>387</v>
      </c>
    </row>
    <row r="42" customFormat="false" ht="17.15" hidden="false" customHeight="false" outlineLevel="0" collapsed="false">
      <c r="A42" s="6" t="s">
        <v>437</v>
      </c>
    </row>
    <row r="43" customFormat="false" ht="17.15" hidden="false" customHeight="false" outlineLevel="0" collapsed="false">
      <c r="A43" s="0" t="s">
        <v>438</v>
      </c>
      <c r="B43" s="0" t="s">
        <v>27</v>
      </c>
      <c r="D43" s="30" t="n">
        <f aca="false">itc_26</f>
        <v>781.872916666667</v>
      </c>
      <c r="E43" s="30" t="n">
        <f aca="false">itc_27*mf_lo</f>
        <v>1252.28</v>
      </c>
      <c r="F43" s="30" t="n">
        <f aca="false">itc_28*um28_A*mf_lo</f>
        <v>1587.41111111111</v>
      </c>
      <c r="G43" s="30" t="n">
        <f aca="false">itc_29*um29_A*mf_lo</f>
        <v>1808.31222222222</v>
      </c>
    </row>
    <row r="44" customFormat="false" ht="17.15" hidden="false" customHeight="false" outlineLevel="0" collapsed="false">
      <c r="A44" s="4" t="s">
        <v>439</v>
      </c>
      <c r="B44" s="0" t="s">
        <v>27</v>
      </c>
      <c r="D44" s="30" t="n">
        <f aca="false">itpg_gb*(1-vr26)+itpg_vr*vr26</f>
        <v>33.41403216</v>
      </c>
      <c r="E44" s="30" t="n">
        <f aca="false">itpg_vr</f>
        <v>37.586352</v>
      </c>
      <c r="F44" s="30" t="n">
        <f aca="false">itpg_vr</f>
        <v>37.586352</v>
      </c>
      <c r="G44" s="30" t="n">
        <f aca="false">itpg_vr</f>
        <v>37.586352</v>
      </c>
    </row>
    <row r="45" customFormat="false" ht="17.15" hidden="false" customHeight="false" outlineLevel="0" collapsed="false">
      <c r="A45" s="4" t="s">
        <v>440</v>
      </c>
      <c r="B45" s="0" t="s">
        <v>389</v>
      </c>
      <c r="D45" s="21" t="n">
        <f aca="false">D43/D44</f>
        <v>23.3995380420639</v>
      </c>
      <c r="E45" s="21" t="n">
        <f aca="false">E43/E44</f>
        <v>33.3174126608509</v>
      </c>
      <c r="F45" s="21" t="n">
        <f aca="false">F43/F44</f>
        <v>42.2337105529984</v>
      </c>
      <c r="G45" s="21" t="n">
        <f aca="false">G43/G44</f>
        <v>48.1108733888892</v>
      </c>
    </row>
    <row r="46" customFormat="false" ht="17.15" hidden="false" customHeight="false" outlineLevel="0" collapsed="false">
      <c r="A46" s="4" t="s">
        <v>441</v>
      </c>
      <c r="B46" s="0" t="s">
        <v>408</v>
      </c>
      <c r="D46" s="19" t="n">
        <f aca="false">(racks_gb*odm_gb*(1-vr26)+racks_vr*odm_vr*vr26)/1000</f>
        <v>27.1209</v>
      </c>
      <c r="E46" s="19" t="n">
        <f aca="false">racks_vr*odm_vr/1000</f>
        <v>27.351</v>
      </c>
      <c r="F46" s="19" t="n">
        <f aca="false">$E46*vpg_28</f>
        <v>27.351</v>
      </c>
      <c r="G46" s="19" t="n">
        <f aca="false">$E46*vpg_29</f>
        <v>27.351</v>
      </c>
      <c r="K46" s="4" t="s">
        <v>442</v>
      </c>
    </row>
    <row r="47" customFormat="false" ht="17.15" hidden="false" customHeight="false" outlineLevel="0" collapsed="false">
      <c r="A47" s="0" t="s">
        <v>443</v>
      </c>
      <c r="B47" s="0" t="s">
        <v>27</v>
      </c>
      <c r="D47" s="22" t="n">
        <f aca="false">D45*D46</f>
        <v>634.616531285011</v>
      </c>
      <c r="E47" s="22" t="n">
        <f aca="false">E45*E46</f>
        <v>911.264553686934</v>
      </c>
      <c r="F47" s="22" t="n">
        <f aca="false">F45*F46</f>
        <v>1155.13421733506</v>
      </c>
      <c r="G47" s="22" t="n">
        <f aca="false">G45*G46</f>
        <v>1315.88049805951</v>
      </c>
    </row>
    <row r="48" customFormat="false" ht="17.15" hidden="false" customHeight="false" outlineLevel="0" collapsed="false">
      <c r="A48" s="0" t="s">
        <v>444</v>
      </c>
      <c r="B48" s="0" t="s">
        <v>184</v>
      </c>
      <c r="D48" s="22" t="n">
        <f aca="false">D47*fx</f>
        <v>20307.7290011204</v>
      </c>
      <c r="E48" s="22" t="n">
        <f aca="false">E47*fx</f>
        <v>29160.4657179819</v>
      </c>
      <c r="F48" s="22" t="n">
        <f aca="false">F47*fx</f>
        <v>36964.2949547219</v>
      </c>
      <c r="G48" s="22" t="n">
        <f aca="false">G47*fx</f>
        <v>42108.1759379043</v>
      </c>
    </row>
    <row r="49" customFormat="false" ht="17.15" hidden="false" customHeight="false" outlineLevel="0" collapsed="false">
      <c r="A49" s="4" t="s">
        <v>445</v>
      </c>
      <c r="B49" s="0" t="s">
        <v>47</v>
      </c>
      <c r="D49" s="17" t="n">
        <f aca="false">a26_ai/D48</f>
        <v>0.0344775081035094</v>
      </c>
      <c r="K49" s="8" t="s">
        <v>446</v>
      </c>
    </row>
    <row r="50" customFormat="false" ht="17.15" hidden="false" customHeight="false" outlineLevel="0" collapsed="false">
      <c r="A50" s="4" t="s">
        <v>447</v>
      </c>
      <c r="B50" s="0" t="s">
        <v>59</v>
      </c>
      <c r="D50" s="19" t="n">
        <f aca="false">1</f>
        <v>1</v>
      </c>
      <c r="E50" s="19" t="n">
        <f aca="false">rel_27</f>
        <v>1</v>
      </c>
      <c r="F50" s="19" t="n">
        <f aca="false">rel_28</f>
        <v>1</v>
      </c>
      <c r="G50" s="19" t="n">
        <f aca="false">rel_29</f>
        <v>0.95</v>
      </c>
    </row>
    <row r="51" customFormat="false" ht="17.15" hidden="false" customHeight="false" outlineLevel="0" collapsed="false">
      <c r="A51" s="0" t="s">
        <v>448</v>
      </c>
      <c r="B51" s="0" t="s">
        <v>59</v>
      </c>
      <c r="D51" s="23" t="n">
        <f aca="false">1</f>
        <v>1</v>
      </c>
      <c r="E51" s="23" t="n">
        <f aca="false">asic_mix*((ua_27/ua_26)/(ut_27/ut_26))+(1-asic_mix)</f>
        <v>1.44683544303797</v>
      </c>
      <c r="F51" s="23" t="n">
        <f aca="false">asic_mix*((ua_28/ua_26)/(ut_28/ut_26))+(1-asic_mix)</f>
        <v>1.47660377358491</v>
      </c>
      <c r="G51" s="23" t="n">
        <f aca="false">asic_mix*((ua_29/ua_26)/(ut_29/ut_26))+(1-asic_mix)</f>
        <v>1.49144278606965</v>
      </c>
      <c r="K51" s="8" t="s">
        <v>449</v>
      </c>
    </row>
    <row r="52" customFormat="false" ht="15" hidden="false" customHeight="false" outlineLevel="0" collapsed="false">
      <c r="A52" s="4" t="s">
        <v>398</v>
      </c>
      <c r="B52" s="0" t="s">
        <v>47</v>
      </c>
      <c r="D52" s="17" t="n">
        <f aca="false">$D$49*D50*D51</f>
        <v>0.0344775081035094</v>
      </c>
      <c r="E52" s="17" t="n">
        <f aca="false">$D$49*E50*E51</f>
        <v>0.0498832807117864</v>
      </c>
      <c r="F52" s="17" t="n">
        <f aca="false">$D$49*F50*F51</f>
        <v>0.0509096185694461</v>
      </c>
      <c r="G52" s="17" t="n">
        <f aca="false">$D$49*G50*G51</f>
        <v>0.0488501692055052</v>
      </c>
    </row>
    <row r="53" customFormat="false" ht="17.15" hidden="false" customHeight="false" outlineLevel="0" collapsed="false">
      <c r="A53" s="0" t="s">
        <v>450</v>
      </c>
      <c r="B53" s="0" t="s">
        <v>184</v>
      </c>
      <c r="D53" s="22" t="n">
        <f aca="false">D48*D52</f>
        <v>700.1598912</v>
      </c>
      <c r="E53" s="22" t="n">
        <f aca="false">E48*E52</f>
        <v>1454.61969709651</v>
      </c>
      <c r="F53" s="22" t="n">
        <f aca="false">F48*F52</f>
        <v>1881.83815683339</v>
      </c>
      <c r="G53" s="22" t="n">
        <f aca="false">G48*G52</f>
        <v>2056.99151950181</v>
      </c>
    </row>
    <row r="54" customFormat="false" ht="17.15" hidden="false" customHeight="false" outlineLevel="0" collapsed="false">
      <c r="A54" s="4" t="s">
        <v>404</v>
      </c>
      <c r="B54" s="0" t="s">
        <v>47</v>
      </c>
      <c r="D54" s="18" t="n">
        <f aca="false">0</f>
        <v>0</v>
      </c>
      <c r="E54" s="18" t="n">
        <f aca="false">cs_27</f>
        <v>0.05</v>
      </c>
      <c r="F54" s="18" t="n">
        <f aca="false">cs_28</f>
        <v>0.1</v>
      </c>
      <c r="G54" s="18" t="n">
        <f aca="false">cs_29</f>
        <v>0.15</v>
      </c>
      <c r="K54" s="8" t="s">
        <v>451</v>
      </c>
    </row>
    <row r="55" customFormat="false" ht="17.15" hidden="false" customHeight="false" outlineLevel="0" collapsed="false">
      <c r="A55" s="0" t="s">
        <v>452</v>
      </c>
      <c r="B55" s="0" t="s">
        <v>184</v>
      </c>
      <c r="C55" s="22" t="n">
        <f aca="false">a25_ai</f>
        <v>475.3315</v>
      </c>
      <c r="D55" s="22" t="n">
        <f aca="false">D53*(1-D54)</f>
        <v>700.1598912</v>
      </c>
      <c r="E55" s="22" t="n">
        <f aca="false">E53*(1-E54)</f>
        <v>1381.88871224169</v>
      </c>
      <c r="F55" s="22" t="n">
        <f aca="false">F53*(1-F54)</f>
        <v>1693.65434115005</v>
      </c>
      <c r="G55" s="22" t="n">
        <f aca="false">G53*(1-G54)</f>
        <v>1748.44279157654</v>
      </c>
    </row>
    <row r="56" customFormat="false" ht="17.15" hidden="false" customHeight="false" outlineLevel="0" collapsed="false">
      <c r="A56" s="6" t="s">
        <v>453</v>
      </c>
    </row>
    <row r="57" customFormat="false" ht="17.15" hidden="false" customHeight="false" outlineLevel="0" collapsed="false">
      <c r="A57" s="4" t="s">
        <v>373</v>
      </c>
      <c r="B57" s="0" t="s">
        <v>184</v>
      </c>
      <c r="C57" s="22" t="n">
        <f aca="false">a25_nai</f>
        <v>475.3315</v>
      </c>
      <c r="D57" s="22" t="n">
        <f aca="false">a26_nai</f>
        <v>758.5065488</v>
      </c>
      <c r="E57" s="22" t="n">
        <f aca="false">D57*(1+g_nai27)</f>
        <v>796.43187624</v>
      </c>
      <c r="F57" s="22" t="n">
        <f aca="false">E57*(1+g_nai28)</f>
        <v>820.3248325272</v>
      </c>
      <c r="G57" s="22" t="n">
        <f aca="false">F57*(1+g_nai29)</f>
        <v>844.934577503016</v>
      </c>
    </row>
    <row r="58" customFormat="false" ht="17.15" hidden="false" customHeight="false" outlineLevel="0" collapsed="false">
      <c r="A58" s="4" t="s">
        <v>342</v>
      </c>
      <c r="B58" s="0" t="s">
        <v>184</v>
      </c>
      <c r="C58" s="22" t="n">
        <f aca="false">C55+C57</f>
        <v>950.663</v>
      </c>
      <c r="D58" s="22" t="n">
        <f aca="false">D55+D57</f>
        <v>1458.66644</v>
      </c>
      <c r="E58" s="22" t="n">
        <f aca="false">E55+E57</f>
        <v>2178.32058848169</v>
      </c>
      <c r="F58" s="22" t="n">
        <f aca="false">F55+F57</f>
        <v>2513.97917367725</v>
      </c>
      <c r="G58" s="22" t="n">
        <f aca="false">G55+G57</f>
        <v>2593.37736907955</v>
      </c>
      <c r="H58" s="25" t="n">
        <f aca="false">G58*(1+H59)</f>
        <v>2699.84878516938</v>
      </c>
      <c r="I58" s="25" t="n">
        <f aca="false">H58*(1+I59)</f>
        <v>2836.2655550898</v>
      </c>
      <c r="J58" s="25" t="n">
        <f aca="false">I58*(1+J59)</f>
        <v>3006.44148839519</v>
      </c>
      <c r="K58" s="8" t="s">
        <v>454</v>
      </c>
    </row>
    <row r="59" customFormat="false" ht="15" hidden="false" customHeight="false" outlineLevel="0" collapsed="false">
      <c r="A59" s="4" t="s">
        <v>455</v>
      </c>
      <c r="B59" s="0" t="s">
        <v>47</v>
      </c>
      <c r="D59" s="18" t="n">
        <f aca="false">D58/C58-1</f>
        <v>0.534367530870561</v>
      </c>
      <c r="E59" s="18" t="n">
        <f aca="false">E58/D58-1</f>
        <v>0.493364438055961</v>
      </c>
      <c r="F59" s="18" t="n">
        <f aca="false">F58/E58-1</f>
        <v>0.154090535144564</v>
      </c>
      <c r="G59" s="18" t="n">
        <f aca="false">G58/F58-1</f>
        <v>0.0315826782630666</v>
      </c>
      <c r="H59" s="26" t="n">
        <f aca="false">$G59+(fade_gA-$G59)*1/3</f>
        <v>0.0410551188420444</v>
      </c>
      <c r="I59" s="26" t="n">
        <f aca="false">$G59+(fade_gA-$G59)*2/3</f>
        <v>0.0505275594210222</v>
      </c>
      <c r="J59" s="26" t="n">
        <f aca="false">$G59+(fade_gA-$G59)*3/3</f>
        <v>0.06</v>
      </c>
    </row>
    <row r="60" customFormat="false" ht="17.15" hidden="false" customHeight="false" outlineLevel="0" collapsed="false">
      <c r="A60" s="0" t="s">
        <v>456</v>
      </c>
      <c r="B60" s="0" t="s">
        <v>47</v>
      </c>
      <c r="C60" s="18" t="n">
        <f aca="false">C55/C58</f>
        <v>0.5</v>
      </c>
      <c r="D60" s="18" t="n">
        <f aca="false">D55/D58</f>
        <v>0.48</v>
      </c>
      <c r="E60" s="18" t="n">
        <f aca="false">E55/E58</f>
        <v>0.634382615464732</v>
      </c>
      <c r="F60" s="18" t="n">
        <f aca="false">F55/F58</f>
        <v>0.673694658604792</v>
      </c>
      <c r="G60" s="18" t="n">
        <f aca="false">G55/G58</f>
        <v>0.674195283888475</v>
      </c>
    </row>
    <row r="61" customFormat="false" ht="17.15" hidden="false" customHeight="false" outlineLevel="0" collapsed="false">
      <c r="A61" s="4" t="s">
        <v>407</v>
      </c>
      <c r="B61" s="0" t="s">
        <v>408</v>
      </c>
      <c r="D61" s="23" t="n">
        <f aca="false">D55/fx/D45</f>
        <v>0.935061049524468</v>
      </c>
      <c r="E61" s="23" t="n">
        <f aca="false">E55/fx/E45</f>
        <v>1.29613973021067</v>
      </c>
      <c r="F61" s="23" t="n">
        <f aca="false">F55/fx/F45</f>
        <v>1.25318607974363</v>
      </c>
      <c r="G61" s="23" t="n">
        <f aca="false">G55/fx/G45</f>
        <v>1.13568583124881</v>
      </c>
    </row>
    <row r="62" customFormat="false" ht="17.15" hidden="false" customHeight="false" outlineLevel="0" collapsed="false">
      <c r="A62" s="6" t="s">
        <v>457</v>
      </c>
    </row>
    <row r="63" customFormat="false" ht="17.15" hidden="false" customHeight="false" outlineLevel="0" collapsed="false">
      <c r="A63" s="4" t="s">
        <v>458</v>
      </c>
      <c r="B63" s="0" t="s">
        <v>47</v>
      </c>
      <c r="D63" s="17" t="n">
        <f aca="false">a26_gp/D58-d_ai*D60</f>
        <v>0.0882120920201606</v>
      </c>
      <c r="K63" s="8" t="s">
        <v>459</v>
      </c>
    </row>
    <row r="64" customFormat="false" ht="17.15" hidden="false" customHeight="false" outlineLevel="0" collapsed="false">
      <c r="A64" s="0" t="s">
        <v>460</v>
      </c>
      <c r="B64" s="0" t="s">
        <v>184</v>
      </c>
      <c r="D64" s="30" t="n">
        <f aca="false">($D$63+d_ai)*D53*(1-D54*(1-keep))</f>
        <v>54.76096983936</v>
      </c>
      <c r="E64" s="30" t="n">
        <f aca="false">($D$63+d_ai+vrd)*E53*(1-E54*(1-keep))</f>
        <v>110.30531215841</v>
      </c>
      <c r="F64" s="30" t="n">
        <f aca="false">($D$63+d_ai+vrd)*F53*(1-F54*(1-keep))</f>
        <v>141.98463454788</v>
      </c>
      <c r="G64" s="30" t="n">
        <f aca="false">($D$63+d_ai+vrd)*G53*(1-G54*(1-keep))</f>
        <v>154.416112564427</v>
      </c>
      <c r="K64" s="4" t="s">
        <v>461</v>
      </c>
    </row>
    <row r="65" customFormat="false" ht="15" hidden="false" customHeight="false" outlineLevel="0" collapsed="false">
      <c r="A65" s="4" t="s">
        <v>346</v>
      </c>
      <c r="B65" s="0" t="s">
        <v>184</v>
      </c>
      <c r="C65" s="22" t="n">
        <f aca="false">a25_gp</f>
        <v>78.454</v>
      </c>
      <c r="D65" s="22" t="n">
        <f aca="false">a26_gp</f>
        <v>121.67041932</v>
      </c>
      <c r="E65" s="22" t="n">
        <f aca="false">$D$63*E57+E64</f>
        <v>180.560234113082</v>
      </c>
      <c r="F65" s="22" t="n">
        <f aca="false">$D$63*F57+F64</f>
        <v>214.347204161192</v>
      </c>
      <c r="G65" s="22" t="n">
        <f aca="false">$D$63*G57+G64</f>
        <v>228.949559266139</v>
      </c>
    </row>
    <row r="66" customFormat="false" ht="15" hidden="false" customHeight="false" outlineLevel="0" collapsed="false">
      <c r="A66" s="4" t="s">
        <v>349</v>
      </c>
      <c r="B66" s="0" t="s">
        <v>47</v>
      </c>
      <c r="C66" s="17" t="n">
        <f aca="false">C65/C58</f>
        <v>0.0825255637381491</v>
      </c>
      <c r="D66" s="17" t="n">
        <f aca="false">D65/D58</f>
        <v>0.0834120920201606</v>
      </c>
      <c r="E66" s="17" t="n">
        <f aca="false">E65/E58</f>
        <v>0.0828896513524369</v>
      </c>
      <c r="F66" s="17" t="n">
        <f aca="false">F65/F58</f>
        <v>0.085262124048411</v>
      </c>
      <c r="G66" s="17" t="n">
        <f aca="false">G65/G58</f>
        <v>0.0882823926806295</v>
      </c>
    </row>
    <row r="67" customFormat="false" ht="17.15" hidden="false" customHeight="false" outlineLevel="0" collapsed="false">
      <c r="A67" s="0" t="s">
        <v>462</v>
      </c>
      <c r="B67" s="0" t="s">
        <v>47</v>
      </c>
      <c r="D67" s="17" t="n">
        <f aca="false">D64/D55</f>
        <v>0.0782120920201606</v>
      </c>
      <c r="E67" s="17" t="n">
        <f aca="false">E64/E55</f>
        <v>0.0798221384842734</v>
      </c>
      <c r="F67" s="17" t="n">
        <f aca="false">F64/F55</f>
        <v>0.0838333012221766</v>
      </c>
      <c r="G67" s="17" t="n">
        <f aca="false">G64/G55</f>
        <v>0.0883163654586567</v>
      </c>
      <c r="K67" s="4" t="s">
        <v>463</v>
      </c>
    </row>
    <row r="68" customFormat="false" ht="15" hidden="false" customHeight="false" outlineLevel="0" collapsed="false">
      <c r="A68" s="4" t="s">
        <v>464</v>
      </c>
      <c r="B68" s="0" t="s">
        <v>184</v>
      </c>
      <c r="C68" s="22" t="n">
        <f aca="false">a25_opx</f>
        <v>14.536</v>
      </c>
      <c r="D68" s="22" t="n">
        <f aca="false">a26_opx</f>
        <v>22.5183263</v>
      </c>
      <c r="E68" s="22" t="n">
        <f aca="false">D68*(1+MAX(0,phi*E59))</f>
        <v>31.4061194207682</v>
      </c>
      <c r="F68" s="22" t="n">
        <f aca="false">E68*(1+MAX(0,phi*F59))</f>
        <v>35.2776280194564</v>
      </c>
      <c r="G68" s="22" t="n">
        <f aca="false">F68*(1+MAX(0,phi*G59))</f>
        <v>36.1689575999545</v>
      </c>
    </row>
    <row r="69" customFormat="false" ht="15" hidden="false" customHeight="false" outlineLevel="0" collapsed="false">
      <c r="A69" s="4" t="s">
        <v>350</v>
      </c>
      <c r="B69" s="0" t="s">
        <v>184</v>
      </c>
      <c r="C69" s="22" t="n">
        <f aca="false">C68</f>
        <v>14.536</v>
      </c>
      <c r="D69" s="22" t="n">
        <f aca="false">D68</f>
        <v>22.5183263</v>
      </c>
      <c r="E69" s="22" t="n">
        <f aca="false">E68+0*E58</f>
        <v>31.4061194207682</v>
      </c>
      <c r="F69" s="22" t="n">
        <f aca="false">F68+0*F58</f>
        <v>35.2776280194564</v>
      </c>
      <c r="G69" s="22" t="n">
        <f aca="false">G68+0*G58</f>
        <v>36.1689575999545</v>
      </c>
    </row>
    <row r="70" customFormat="false" ht="15" hidden="false" customHeight="false" outlineLevel="0" collapsed="false">
      <c r="A70" s="4" t="s">
        <v>353</v>
      </c>
      <c r="B70" s="0" t="s">
        <v>184</v>
      </c>
      <c r="C70" s="22" t="n">
        <f aca="false">C65-C69</f>
        <v>63.918</v>
      </c>
      <c r="D70" s="22" t="n">
        <f aca="false">D65-D69</f>
        <v>99.15209302</v>
      </c>
      <c r="E70" s="22" t="n">
        <f aca="false">E65-E69</f>
        <v>149.154114692314</v>
      </c>
      <c r="F70" s="22" t="n">
        <f aca="false">F65-F69</f>
        <v>179.069576141735</v>
      </c>
      <c r="G70" s="22" t="n">
        <f aca="false">G65-G69</f>
        <v>192.780601666184</v>
      </c>
    </row>
    <row r="71" customFormat="false" ht="15" hidden="false" customHeight="false" outlineLevel="0" collapsed="false">
      <c r="A71" s="4" t="s">
        <v>356</v>
      </c>
      <c r="B71" s="0" t="s">
        <v>47</v>
      </c>
      <c r="C71" s="17" t="n">
        <f aca="false">C70/C58</f>
        <v>0.0672351821833815</v>
      </c>
      <c r="D71" s="17" t="n">
        <f aca="false">D70/D58</f>
        <v>0.0679744801834201</v>
      </c>
      <c r="E71" s="17" t="n">
        <f aca="false">E70/E58</f>
        <v>0.068472067647433</v>
      </c>
      <c r="F71" s="17" t="n">
        <f aca="false">F70/F58</f>
        <v>0.0712295384212775</v>
      </c>
      <c r="G71" s="17" t="n">
        <f aca="false">G70/G58</f>
        <v>0.0743357306825757</v>
      </c>
    </row>
    <row r="72" customFormat="false" ht="17.15" hidden="false" customHeight="false" outlineLevel="0" collapsed="false">
      <c r="A72" s="4" t="s">
        <v>218</v>
      </c>
      <c r="B72" s="0" t="s">
        <v>47</v>
      </c>
      <c r="C72" s="18" t="n">
        <f aca="false">a25_ni/a25_oi</f>
        <v>0.799743421258488</v>
      </c>
      <c r="D72" s="18" t="n">
        <f aca="false">a26_ni/a26_oi</f>
        <v>0.776911976251089</v>
      </c>
      <c r="E72" s="18" t="n">
        <f aca="false">nio_f</f>
        <v>0.78</v>
      </c>
      <c r="F72" s="18" t="n">
        <f aca="false">nio_f</f>
        <v>0.78</v>
      </c>
      <c r="G72" s="18" t="n">
        <f aca="false">nio_f</f>
        <v>0.78</v>
      </c>
    </row>
    <row r="73" customFormat="false" ht="15" hidden="false" customHeight="false" outlineLevel="0" collapsed="false">
      <c r="A73" s="4" t="s">
        <v>357</v>
      </c>
      <c r="B73" s="0" t="s">
        <v>184</v>
      </c>
      <c r="C73" s="22" t="n">
        <f aca="false">a25_ni</f>
        <v>51.118</v>
      </c>
      <c r="D73" s="22" t="n">
        <f aca="false">a26_ni</f>
        <v>77.0324485376</v>
      </c>
      <c r="E73" s="22" t="n">
        <f aca="false">E70*E72</f>
        <v>116.340209460005</v>
      </c>
      <c r="F73" s="22" t="n">
        <f aca="false">F70*F72</f>
        <v>139.674269390554</v>
      </c>
      <c r="G73" s="22" t="n">
        <f aca="false">G70*G72</f>
        <v>150.368869299624</v>
      </c>
      <c r="H73" s="25" t="n">
        <f aca="false">H58*H77</f>
        <v>156.752469078043</v>
      </c>
      <c r="I73" s="25" t="n">
        <f aca="false">I58*I77</f>
        <v>164.893597038562</v>
      </c>
      <c r="J73" s="25" t="n">
        <f aca="false">J58*J77</f>
        <v>175.021269621549</v>
      </c>
    </row>
    <row r="74" customFormat="false" ht="15" hidden="false" customHeight="false" outlineLevel="0" collapsed="false">
      <c r="A74" s="4" t="s">
        <v>465</v>
      </c>
      <c r="B74" s="4" t="s">
        <v>205</v>
      </c>
      <c r="C74" s="29" t="n">
        <f aca="false">a25_sh</f>
        <v>0.554331761662183</v>
      </c>
      <c r="D74" s="29" t="n">
        <f aca="false">a26_sh</f>
        <v>0.556054338618749</v>
      </c>
      <c r="E74" s="29" t="n">
        <f aca="false">D74*(1+sh_g)</f>
        <v>0.558834610311843</v>
      </c>
      <c r="F74" s="29" t="n">
        <f aca="false">E74*(1+sh_g)</f>
        <v>0.561628783363402</v>
      </c>
      <c r="G74" s="29" t="n">
        <f aca="false">F74*(1+sh_g)</f>
        <v>0.564436927280219</v>
      </c>
      <c r="H74" s="31" t="n">
        <f aca="false">G74*(1+sh_g)</f>
        <v>0.56725911191662</v>
      </c>
      <c r="I74" s="31" t="n">
        <f aca="false">H74*(1+sh_g)</f>
        <v>0.570095407476203</v>
      </c>
      <c r="J74" s="31" t="n">
        <f aca="false">I74*(1+sh_g)</f>
        <v>0.572945884513584</v>
      </c>
    </row>
    <row r="75" customFormat="false" ht="17.15" hidden="false" customHeight="false" outlineLevel="0" collapsed="false">
      <c r="A75" s="0" t="s">
        <v>363</v>
      </c>
      <c r="B75" s="0" t="s">
        <v>235</v>
      </c>
      <c r="C75" s="30" t="n">
        <f aca="false">C73/C74</f>
        <v>92.2155350556153</v>
      </c>
      <c r="D75" s="30" t="n">
        <f aca="false">D73/D74</f>
        <v>138.534030197391</v>
      </c>
      <c r="E75" s="30" t="n">
        <f aca="false">E73/E74</f>
        <v>208.183615175668</v>
      </c>
      <c r="F75" s="30" t="n">
        <f aca="false">F73/F74</f>
        <v>248.694998418871</v>
      </c>
      <c r="G75" s="30" t="n">
        <f aca="false">G73/G74</f>
        <v>266.405088030273</v>
      </c>
      <c r="H75" s="28" t="n">
        <f aca="false">H73/H74</f>
        <v>276.333100315334</v>
      </c>
      <c r="I75" s="28" t="n">
        <f aca="false">I73/I74</f>
        <v>289.238599147012</v>
      </c>
      <c r="J75" s="28" t="n">
        <f aca="false">J73/J74</f>
        <v>305.476091812995</v>
      </c>
    </row>
    <row r="76" customFormat="false" ht="17.15" hidden="false" customHeight="false" outlineLevel="0" collapsed="false">
      <c r="A76" s="0" t="s">
        <v>466</v>
      </c>
      <c r="B76" s="0" t="s">
        <v>47</v>
      </c>
      <c r="D76" s="18" t="n">
        <f aca="false">D75/C75-1</f>
        <v>0.502285163924287</v>
      </c>
      <c r="E76" s="18" t="n">
        <f aca="false">E75/D75-1</f>
        <v>0.502761558867785</v>
      </c>
      <c r="F76" s="18" t="n">
        <f aca="false">F75/E75-1</f>
        <v>0.194594484340273</v>
      </c>
      <c r="G76" s="18" t="n">
        <f aca="false">G75/F75-1</f>
        <v>0.0712120859848333</v>
      </c>
      <c r="H76" s="26" t="n">
        <f aca="false">H75/G75-1</f>
        <v>0.0372666016196075</v>
      </c>
      <c r="I76" s="26" t="n">
        <f aca="false">I75/H75-1</f>
        <v>0.046702688953842</v>
      </c>
      <c r="J76" s="26" t="n">
        <f aca="false">J75/I75-1</f>
        <v>0.0561387474350554</v>
      </c>
    </row>
    <row r="77" customFormat="false" ht="17.15" hidden="false" customHeight="false" outlineLevel="0" collapsed="false">
      <c r="A77" s="4" t="s">
        <v>467</v>
      </c>
      <c r="B77" s="0" t="s">
        <v>47</v>
      </c>
      <c r="C77" s="17" t="n">
        <f aca="false">C73/C58</f>
        <v>0.0537708946282752</v>
      </c>
      <c r="D77" s="17" t="n">
        <f aca="false">D73/D58</f>
        <v>0.0528101877339414</v>
      </c>
      <c r="E77" s="17" t="n">
        <f aca="false">E73/E58</f>
        <v>0.0534082127649977</v>
      </c>
      <c r="F77" s="17" t="n">
        <f aca="false">F73/F58</f>
        <v>0.0555590399685964</v>
      </c>
      <c r="G77" s="17" t="n">
        <f aca="false">G73/G58</f>
        <v>0.057981869932409</v>
      </c>
      <c r="H77" s="27" t="n">
        <f aca="false">$G77+(fade_mA-$G77)*1/3</f>
        <v>0.0580597216922311</v>
      </c>
      <c r="I77" s="27" t="n">
        <f aca="false">$G77+(fade_mA-$G77)*2/3</f>
        <v>0.0581375734520532</v>
      </c>
      <c r="J77" s="27" t="n">
        <f aca="false">$G77+(fade_mA-$G77)*3/3</f>
        <v>0.0582154252118753</v>
      </c>
    </row>
    <row r="80" customFormat="false" ht="17.15" hidden="false" customHeight="false" outlineLevel="0" collapsed="false">
      <c r="A80" s="1" t="s">
        <v>735</v>
      </c>
    </row>
    <row r="81" customFormat="false" ht="17.15" hidden="false" customHeight="false" outlineLevel="0" collapsed="false">
      <c r="A81" s="5" t="s">
        <v>16</v>
      </c>
      <c r="B81" s="5" t="s">
        <v>17</v>
      </c>
      <c r="C81" s="14" t="s">
        <v>336</v>
      </c>
      <c r="D81" s="14" t="s">
        <v>415</v>
      </c>
      <c r="E81" s="14" t="s">
        <v>416</v>
      </c>
      <c r="F81" s="14" t="s">
        <v>417</v>
      </c>
      <c r="G81" s="14" t="s">
        <v>418</v>
      </c>
      <c r="H81" s="14" t="s">
        <v>419</v>
      </c>
      <c r="I81" s="14" t="s">
        <v>420</v>
      </c>
      <c r="J81" s="14" t="s">
        <v>421</v>
      </c>
      <c r="K81" s="5" t="s">
        <v>387</v>
      </c>
    </row>
    <row r="82" customFormat="false" ht="17.15" hidden="false" customHeight="false" outlineLevel="0" collapsed="false">
      <c r="A82" s="6" t="s">
        <v>437</v>
      </c>
    </row>
    <row r="83" customFormat="false" ht="17.15" hidden="false" customHeight="false" outlineLevel="0" collapsed="false">
      <c r="A83" s="0" t="s">
        <v>438</v>
      </c>
      <c r="B83" s="0" t="s">
        <v>27</v>
      </c>
      <c r="D83" s="30" t="n">
        <f aca="false">itc_26</f>
        <v>781.872916666667</v>
      </c>
      <c r="E83" s="30" t="n">
        <f aca="false">itc_27*mf_hi</f>
        <v>1878.42</v>
      </c>
      <c r="F83" s="30" t="n">
        <f aca="false">itc_28*um28_A*mf_hi</f>
        <v>2381.11666666667</v>
      </c>
      <c r="G83" s="30" t="n">
        <f aca="false">itc_29*um29_A*mf_hi</f>
        <v>2712.46833333334</v>
      </c>
    </row>
    <row r="84" customFormat="false" ht="17.15" hidden="false" customHeight="false" outlineLevel="0" collapsed="false">
      <c r="A84" s="4" t="s">
        <v>439</v>
      </c>
      <c r="B84" s="0" t="s">
        <v>27</v>
      </c>
      <c r="D84" s="30" t="n">
        <f aca="false">itpg_gb*(1-vr26)+itpg_vr*vr26</f>
        <v>33.41403216</v>
      </c>
      <c r="E84" s="30" t="n">
        <f aca="false">itpg_vr</f>
        <v>37.586352</v>
      </c>
      <c r="F84" s="30" t="n">
        <f aca="false">itpg_vr</f>
        <v>37.586352</v>
      </c>
      <c r="G84" s="30" t="n">
        <f aca="false">itpg_vr</f>
        <v>37.586352</v>
      </c>
    </row>
    <row r="85" customFormat="false" ht="17.15" hidden="false" customHeight="false" outlineLevel="0" collapsed="false">
      <c r="A85" s="4" t="s">
        <v>440</v>
      </c>
      <c r="B85" s="0" t="s">
        <v>389</v>
      </c>
      <c r="D85" s="21" t="n">
        <f aca="false">D83/D84</f>
        <v>23.3995380420639</v>
      </c>
      <c r="E85" s="21" t="n">
        <f aca="false">E83/E84</f>
        <v>49.9761189912764</v>
      </c>
      <c r="F85" s="21" t="n">
        <f aca="false">F83/F84</f>
        <v>63.3505658294976</v>
      </c>
      <c r="G85" s="21" t="n">
        <f aca="false">G83/G84</f>
        <v>72.1663100833339</v>
      </c>
    </row>
    <row r="86" customFormat="false" ht="17.15" hidden="false" customHeight="false" outlineLevel="0" collapsed="false">
      <c r="A86" s="4" t="s">
        <v>441</v>
      </c>
      <c r="B86" s="0" t="s">
        <v>408</v>
      </c>
      <c r="D86" s="19" t="n">
        <f aca="false">(racks_gb*odm_gb*(1-vr26)+racks_vr*odm_vr*vr26)/1000</f>
        <v>27.1209</v>
      </c>
      <c r="E86" s="19" t="n">
        <f aca="false">racks_vr*odm_vr/1000</f>
        <v>27.351</v>
      </c>
      <c r="F86" s="19" t="n">
        <f aca="false">$E86*vpg_28</f>
        <v>27.351</v>
      </c>
      <c r="G86" s="19" t="n">
        <f aca="false">$E86*vpg_29</f>
        <v>27.351</v>
      </c>
      <c r="K86" s="4" t="s">
        <v>442</v>
      </c>
    </row>
    <row r="87" customFormat="false" ht="17.15" hidden="false" customHeight="false" outlineLevel="0" collapsed="false">
      <c r="A87" s="0" t="s">
        <v>443</v>
      </c>
      <c r="B87" s="0" t="s">
        <v>27</v>
      </c>
      <c r="D87" s="22" t="n">
        <f aca="false">D85*D86</f>
        <v>634.616531285011</v>
      </c>
      <c r="E87" s="22" t="n">
        <f aca="false">E85*E86</f>
        <v>1366.8968305304</v>
      </c>
      <c r="F87" s="22" t="n">
        <f aca="false">F85*F86</f>
        <v>1732.70132600259</v>
      </c>
      <c r="G87" s="22" t="n">
        <f aca="false">G85*G86</f>
        <v>1973.82074708926</v>
      </c>
    </row>
    <row r="88" customFormat="false" ht="17.15" hidden="false" customHeight="false" outlineLevel="0" collapsed="false">
      <c r="A88" s="0" t="s">
        <v>444</v>
      </c>
      <c r="B88" s="0" t="s">
        <v>184</v>
      </c>
      <c r="D88" s="22" t="n">
        <f aca="false">D87*fx</f>
        <v>20307.7290011204</v>
      </c>
      <c r="E88" s="22" t="n">
        <f aca="false">E87*fx</f>
        <v>43740.6985769728</v>
      </c>
      <c r="F88" s="22" t="n">
        <f aca="false">F87*fx</f>
        <v>55446.4424320828</v>
      </c>
      <c r="G88" s="22" t="n">
        <f aca="false">G87*fx</f>
        <v>63162.2639068565</v>
      </c>
    </row>
    <row r="89" customFormat="false" ht="17.15" hidden="false" customHeight="false" outlineLevel="0" collapsed="false">
      <c r="A89" s="4" t="s">
        <v>445</v>
      </c>
      <c r="B89" s="0" t="s">
        <v>47</v>
      </c>
      <c r="D89" s="17" t="n">
        <f aca="false">a26_ai/D88</f>
        <v>0.0344775081035094</v>
      </c>
      <c r="K89" s="8" t="s">
        <v>446</v>
      </c>
    </row>
    <row r="90" customFormat="false" ht="17.15" hidden="false" customHeight="false" outlineLevel="0" collapsed="false">
      <c r="A90" s="4" t="s">
        <v>447</v>
      </c>
      <c r="B90" s="0" t="s">
        <v>59</v>
      </c>
      <c r="D90" s="19" t="n">
        <f aca="false">1</f>
        <v>1</v>
      </c>
      <c r="E90" s="19" t="n">
        <f aca="false">rel_27</f>
        <v>1</v>
      </c>
      <c r="F90" s="19" t="n">
        <f aca="false">rel_28</f>
        <v>1</v>
      </c>
      <c r="G90" s="19" t="n">
        <f aca="false">rel_29</f>
        <v>0.95</v>
      </c>
    </row>
    <row r="91" customFormat="false" ht="17.15" hidden="false" customHeight="false" outlineLevel="0" collapsed="false">
      <c r="A91" s="0" t="s">
        <v>448</v>
      </c>
      <c r="B91" s="0" t="s">
        <v>59</v>
      </c>
      <c r="D91" s="23" t="n">
        <f aca="false">1</f>
        <v>1</v>
      </c>
      <c r="E91" s="23" t="n">
        <f aca="false">asic_mix*((ua_27/ua_26)/(ut_27/ut_26))+(1-asic_mix)</f>
        <v>1.44683544303797</v>
      </c>
      <c r="F91" s="23" t="n">
        <f aca="false">asic_mix*((ua_28/ua_26)/(ut_28/ut_26))+(1-asic_mix)</f>
        <v>1.47660377358491</v>
      </c>
      <c r="G91" s="23" t="n">
        <f aca="false">asic_mix*((ua_29/ua_26)/(ut_29/ut_26))+(1-asic_mix)</f>
        <v>1.49144278606965</v>
      </c>
      <c r="K91" s="8" t="s">
        <v>449</v>
      </c>
    </row>
    <row r="92" customFormat="false" ht="15" hidden="false" customHeight="false" outlineLevel="0" collapsed="false">
      <c r="A92" s="4" t="s">
        <v>398</v>
      </c>
      <c r="B92" s="0" t="s">
        <v>47</v>
      </c>
      <c r="D92" s="17" t="n">
        <f aca="false">$D$89*D90*D91</f>
        <v>0.0344775081035094</v>
      </c>
      <c r="E92" s="17" t="n">
        <f aca="false">$D$89*E90*E91</f>
        <v>0.0498832807117864</v>
      </c>
      <c r="F92" s="17" t="n">
        <f aca="false">$D$89*F90*F91</f>
        <v>0.0509096185694461</v>
      </c>
      <c r="G92" s="17" t="n">
        <f aca="false">$D$89*G90*G91</f>
        <v>0.0488501692055052</v>
      </c>
    </row>
    <row r="93" customFormat="false" ht="17.15" hidden="false" customHeight="false" outlineLevel="0" collapsed="false">
      <c r="A93" s="0" t="s">
        <v>450</v>
      </c>
      <c r="B93" s="0" t="s">
        <v>184</v>
      </c>
      <c r="D93" s="22" t="n">
        <f aca="false">D88*D92</f>
        <v>700.1598912</v>
      </c>
      <c r="E93" s="22" t="n">
        <f aca="false">E88*E92</f>
        <v>2181.92954564477</v>
      </c>
      <c r="F93" s="22" t="n">
        <f aca="false">F88*F92</f>
        <v>2822.75723525009</v>
      </c>
      <c r="G93" s="22" t="n">
        <f aca="false">G88*G92</f>
        <v>3085.48727925271</v>
      </c>
    </row>
    <row r="94" customFormat="false" ht="17.15" hidden="false" customHeight="false" outlineLevel="0" collapsed="false">
      <c r="A94" s="4" t="s">
        <v>404</v>
      </c>
      <c r="B94" s="0" t="s">
        <v>47</v>
      </c>
      <c r="D94" s="18" t="n">
        <f aca="false">0</f>
        <v>0</v>
      </c>
      <c r="E94" s="18" t="n">
        <f aca="false">cs_27</f>
        <v>0.05</v>
      </c>
      <c r="F94" s="18" t="n">
        <f aca="false">cs_28</f>
        <v>0.1</v>
      </c>
      <c r="G94" s="18" t="n">
        <f aca="false">cs_29</f>
        <v>0.15</v>
      </c>
      <c r="K94" s="8" t="s">
        <v>451</v>
      </c>
    </row>
    <row r="95" customFormat="false" ht="17.15" hidden="false" customHeight="false" outlineLevel="0" collapsed="false">
      <c r="A95" s="0" t="s">
        <v>452</v>
      </c>
      <c r="B95" s="0" t="s">
        <v>184</v>
      </c>
      <c r="C95" s="22" t="n">
        <f aca="false">a25_ai</f>
        <v>475.3315</v>
      </c>
      <c r="D95" s="22" t="n">
        <f aca="false">D93*(1-D94)</f>
        <v>700.1598912</v>
      </c>
      <c r="E95" s="22" t="n">
        <f aca="false">E93*(1-E94)</f>
        <v>2072.83306836253</v>
      </c>
      <c r="F95" s="22" t="n">
        <f aca="false">F93*(1-F94)</f>
        <v>2540.48151172508</v>
      </c>
      <c r="G95" s="22" t="n">
        <f aca="false">G93*(1-G94)</f>
        <v>2622.6641873648</v>
      </c>
    </row>
    <row r="96" customFormat="false" ht="17.15" hidden="false" customHeight="false" outlineLevel="0" collapsed="false">
      <c r="A96" s="6" t="s">
        <v>453</v>
      </c>
    </row>
    <row r="97" customFormat="false" ht="17.15" hidden="false" customHeight="false" outlineLevel="0" collapsed="false">
      <c r="A97" s="4" t="s">
        <v>373</v>
      </c>
      <c r="B97" s="0" t="s">
        <v>184</v>
      </c>
      <c r="C97" s="22" t="n">
        <f aca="false">a25_nai</f>
        <v>475.3315</v>
      </c>
      <c r="D97" s="22" t="n">
        <f aca="false">a26_nai</f>
        <v>758.5065488</v>
      </c>
      <c r="E97" s="22" t="n">
        <f aca="false">D97*(1+g_nai27)</f>
        <v>796.43187624</v>
      </c>
      <c r="F97" s="22" t="n">
        <f aca="false">E97*(1+g_nai28)</f>
        <v>820.3248325272</v>
      </c>
      <c r="G97" s="22" t="n">
        <f aca="false">F97*(1+g_nai29)</f>
        <v>844.934577503016</v>
      </c>
    </row>
    <row r="98" customFormat="false" ht="17.15" hidden="false" customHeight="false" outlineLevel="0" collapsed="false">
      <c r="A98" s="4" t="s">
        <v>342</v>
      </c>
      <c r="B98" s="0" t="s">
        <v>184</v>
      </c>
      <c r="C98" s="22" t="n">
        <f aca="false">C95+C97</f>
        <v>950.663</v>
      </c>
      <c r="D98" s="22" t="n">
        <f aca="false">D95+D97</f>
        <v>1458.66644</v>
      </c>
      <c r="E98" s="22" t="n">
        <f aca="false">E95+E97</f>
        <v>2869.26494460253</v>
      </c>
      <c r="F98" s="22" t="n">
        <f aca="false">F95+F97</f>
        <v>3360.80634425228</v>
      </c>
      <c r="G98" s="22" t="n">
        <f aca="false">G95+G97</f>
        <v>3467.59876486782</v>
      </c>
      <c r="H98" s="25" t="n">
        <f aca="false">G98*(1+H99)</f>
        <v>3610.40796597985</v>
      </c>
      <c r="I98" s="25" t="n">
        <f aca="false">H98*(1+I99)</f>
        <v>3793.06552462741</v>
      </c>
      <c r="J98" s="25" t="n">
        <f aca="false">I98*(1+J99)</f>
        <v>4020.64945610506</v>
      </c>
      <c r="K98" s="8" t="s">
        <v>454</v>
      </c>
    </row>
    <row r="99" customFormat="false" ht="15" hidden="false" customHeight="false" outlineLevel="0" collapsed="false">
      <c r="A99" s="4" t="s">
        <v>455</v>
      </c>
      <c r="B99" s="0" t="s">
        <v>47</v>
      </c>
      <c r="D99" s="18" t="n">
        <f aca="false">D98/C98-1</f>
        <v>0.534367530870561</v>
      </c>
      <c r="E99" s="18" t="n">
        <f aca="false">E98/D98-1</f>
        <v>0.967046657083941</v>
      </c>
      <c r="F99" s="18" t="n">
        <f aca="false">F98/E98-1</f>
        <v>0.171312656425961</v>
      </c>
      <c r="G99" s="18" t="n">
        <f aca="false">G98/F98-1</f>
        <v>0.0317758328438584</v>
      </c>
      <c r="H99" s="26" t="n">
        <f aca="false">$G99+(fade_gA-$G99)*1/3</f>
        <v>0.0411838885625723</v>
      </c>
      <c r="I99" s="26" t="n">
        <f aca="false">$G99+(fade_gA-$G99)*2/3</f>
        <v>0.0505919442812862</v>
      </c>
      <c r="J99" s="26" t="n">
        <f aca="false">$G99+(fade_gA-$G99)*3/3</f>
        <v>0.06</v>
      </c>
    </row>
    <row r="100" customFormat="false" ht="17.15" hidden="false" customHeight="false" outlineLevel="0" collapsed="false">
      <c r="A100" s="0" t="s">
        <v>456</v>
      </c>
      <c r="B100" s="0" t="s">
        <v>47</v>
      </c>
      <c r="C100" s="18" t="n">
        <f aca="false">C95/C98</f>
        <v>0.5</v>
      </c>
      <c r="D100" s="18" t="n">
        <f aca="false">D95/D98</f>
        <v>0.48</v>
      </c>
      <c r="E100" s="18" t="n">
        <f aca="false">E95/E98</f>
        <v>0.722426512846716</v>
      </c>
      <c r="F100" s="18" t="n">
        <f aca="false">F95/F98</f>
        <v>0.755914281127761</v>
      </c>
      <c r="G100" s="18" t="n">
        <f aca="false">G95/G98</f>
        <v>0.756334387339297</v>
      </c>
    </row>
    <row r="101" customFormat="false" ht="17.15" hidden="false" customHeight="false" outlineLevel="0" collapsed="false">
      <c r="A101" s="4" t="s">
        <v>407</v>
      </c>
      <c r="B101" s="0" t="s">
        <v>408</v>
      </c>
      <c r="D101" s="23" t="n">
        <f aca="false">D95/fx/D85</f>
        <v>0.935061049524468</v>
      </c>
      <c r="E101" s="23" t="n">
        <f aca="false">E95/fx/E85</f>
        <v>1.29613973021067</v>
      </c>
      <c r="F101" s="23" t="n">
        <f aca="false">F95/fx/F85</f>
        <v>1.25318607974363</v>
      </c>
      <c r="G101" s="23" t="n">
        <f aca="false">G95/fx/G85</f>
        <v>1.13568583124881</v>
      </c>
    </row>
    <row r="102" customFormat="false" ht="17.15" hidden="false" customHeight="false" outlineLevel="0" collapsed="false">
      <c r="A102" s="6" t="s">
        <v>457</v>
      </c>
    </row>
    <row r="103" customFormat="false" ht="17.15" hidden="false" customHeight="false" outlineLevel="0" collapsed="false">
      <c r="A103" s="4" t="s">
        <v>458</v>
      </c>
      <c r="B103" s="0" t="s">
        <v>47</v>
      </c>
      <c r="D103" s="17" t="n">
        <f aca="false">a26_gp/D98-d_ai*D100</f>
        <v>0.0882120920201606</v>
      </c>
      <c r="K103" s="8" t="s">
        <v>459</v>
      </c>
    </row>
    <row r="104" customFormat="false" ht="17.15" hidden="false" customHeight="false" outlineLevel="0" collapsed="false">
      <c r="A104" s="0" t="s">
        <v>460</v>
      </c>
      <c r="B104" s="0" t="s">
        <v>184</v>
      </c>
      <c r="D104" s="30" t="n">
        <f aca="false">($D$103+d_ai)*D93*(1-D94*(1-keep))</f>
        <v>54.76096983936</v>
      </c>
      <c r="E104" s="30" t="n">
        <f aca="false">($D$103+d_ai+vrd)*E93*(1-E94*(1-keep))</f>
        <v>165.457968237616</v>
      </c>
      <c r="F104" s="30" t="n">
        <f aca="false">($D$103+d_ai+vrd)*F93*(1-F94*(1-keep))</f>
        <v>212.976951821819</v>
      </c>
      <c r="G104" s="30" t="n">
        <f aca="false">($D$103+d_ai+vrd)*G93*(1-G94*(1-keep))</f>
        <v>231.624168846641</v>
      </c>
      <c r="K104" s="4" t="s">
        <v>461</v>
      </c>
    </row>
    <row r="105" customFormat="false" ht="15" hidden="false" customHeight="false" outlineLevel="0" collapsed="false">
      <c r="A105" s="4" t="s">
        <v>346</v>
      </c>
      <c r="B105" s="0" t="s">
        <v>184</v>
      </c>
      <c r="C105" s="22" t="n">
        <f aca="false">a25_gp</f>
        <v>78.454</v>
      </c>
      <c r="D105" s="22" t="n">
        <f aca="false">a26_gp</f>
        <v>121.67041932</v>
      </c>
      <c r="E105" s="22" t="n">
        <f aca="false">$D$103*E97+E104</f>
        <v>235.712890192288</v>
      </c>
      <c r="F105" s="22" t="n">
        <f aca="false">$D$103*F97+F104</f>
        <v>285.339521435132</v>
      </c>
      <c r="G105" s="22" t="n">
        <f aca="false">$D$103*G97+G104</f>
        <v>306.157615548352</v>
      </c>
    </row>
    <row r="106" customFormat="false" ht="15" hidden="false" customHeight="false" outlineLevel="0" collapsed="false">
      <c r="A106" s="4" t="s">
        <v>349</v>
      </c>
      <c r="B106" s="0" t="s">
        <v>47</v>
      </c>
      <c r="C106" s="17" t="n">
        <f aca="false">C105/C98</f>
        <v>0.0825255637381491</v>
      </c>
      <c r="D106" s="17" t="n">
        <f aca="false">D105/D98</f>
        <v>0.0834120920201606</v>
      </c>
      <c r="E106" s="17" t="n">
        <f aca="false">E105/E98</f>
        <v>0.0821509671442837</v>
      </c>
      <c r="F106" s="17" t="n">
        <f aca="false">F105/F98</f>
        <v>0.0849021015218937</v>
      </c>
      <c r="G106" s="17" t="n">
        <f aca="false">G105/G98</f>
        <v>0.0882909576073813</v>
      </c>
    </row>
    <row r="107" customFormat="false" ht="17.15" hidden="false" customHeight="false" outlineLevel="0" collapsed="false">
      <c r="A107" s="0" t="s">
        <v>462</v>
      </c>
      <c r="B107" s="0" t="s">
        <v>47</v>
      </c>
      <c r="D107" s="17" t="n">
        <f aca="false">D104/D95</f>
        <v>0.0782120920201606</v>
      </c>
      <c r="E107" s="17" t="n">
        <f aca="false">E104/E95</f>
        <v>0.0798221384842734</v>
      </c>
      <c r="F107" s="17" t="n">
        <f aca="false">F104/F95</f>
        <v>0.0838333012221766</v>
      </c>
      <c r="G107" s="17" t="n">
        <f aca="false">G104/G95</f>
        <v>0.0883163654586567</v>
      </c>
      <c r="K107" s="4" t="s">
        <v>463</v>
      </c>
    </row>
    <row r="108" customFormat="false" ht="15" hidden="false" customHeight="false" outlineLevel="0" collapsed="false">
      <c r="A108" s="4" t="s">
        <v>464</v>
      </c>
      <c r="B108" s="0" t="s">
        <v>184</v>
      </c>
      <c r="C108" s="22" t="n">
        <f aca="false">a25_opx</f>
        <v>14.536</v>
      </c>
      <c r="D108" s="22" t="n">
        <f aca="false">a26_opx</f>
        <v>22.5183263</v>
      </c>
      <c r="E108" s="22" t="n">
        <f aca="false">D108*(1+MAX(0,phi*E99))</f>
        <v>39.9393440372323</v>
      </c>
      <c r="F108" s="22" t="n">
        <f aca="false">E108*(1+MAX(0,phi*F99))</f>
        <v>45.4130361355752</v>
      </c>
      <c r="G108" s="22" t="n">
        <f aca="false">F108*(1+MAX(0,phi*G99))</f>
        <v>46.5674657717161</v>
      </c>
    </row>
    <row r="109" customFormat="false" ht="15" hidden="false" customHeight="false" outlineLevel="0" collapsed="false">
      <c r="A109" s="4" t="s">
        <v>350</v>
      </c>
      <c r="B109" s="0" t="s">
        <v>184</v>
      </c>
      <c r="C109" s="22" t="n">
        <f aca="false">C108</f>
        <v>14.536</v>
      </c>
      <c r="D109" s="22" t="n">
        <f aca="false">D108</f>
        <v>22.5183263</v>
      </c>
      <c r="E109" s="22" t="n">
        <f aca="false">E108+0*E98</f>
        <v>39.9393440372323</v>
      </c>
      <c r="F109" s="22" t="n">
        <f aca="false">F108+0*F98</f>
        <v>45.4130361355752</v>
      </c>
      <c r="G109" s="22" t="n">
        <f aca="false">G108+0*G98</f>
        <v>46.5674657717161</v>
      </c>
    </row>
    <row r="110" customFormat="false" ht="15" hidden="false" customHeight="false" outlineLevel="0" collapsed="false">
      <c r="A110" s="4" t="s">
        <v>353</v>
      </c>
      <c r="B110" s="0" t="s">
        <v>184</v>
      </c>
      <c r="C110" s="22" t="n">
        <f aca="false">C105-C109</f>
        <v>63.918</v>
      </c>
      <c r="D110" s="22" t="n">
        <f aca="false">D105-D109</f>
        <v>99.15209302</v>
      </c>
      <c r="E110" s="22" t="n">
        <f aca="false">E105-E109</f>
        <v>195.773546155055</v>
      </c>
      <c r="F110" s="22" t="n">
        <f aca="false">F105-F109</f>
        <v>239.926485299556</v>
      </c>
      <c r="G110" s="22" t="n">
        <f aca="false">G105-G109</f>
        <v>259.590149776636</v>
      </c>
    </row>
    <row r="111" customFormat="false" ht="15" hidden="false" customHeight="false" outlineLevel="0" collapsed="false">
      <c r="A111" s="4" t="s">
        <v>356</v>
      </c>
      <c r="B111" s="0" t="s">
        <v>47</v>
      </c>
      <c r="C111" s="17" t="n">
        <f aca="false">C110/C98</f>
        <v>0.0672351821833815</v>
      </c>
      <c r="D111" s="17" t="n">
        <f aca="false">D110/D98</f>
        <v>0.0679744801834201</v>
      </c>
      <c r="E111" s="17" t="n">
        <f aca="false">E110/E98</f>
        <v>0.0682312543229343</v>
      </c>
      <c r="F111" s="17" t="n">
        <f aca="false">F110/F98</f>
        <v>0.0713895597435667</v>
      </c>
      <c r="G111" s="17" t="n">
        <f aca="false">G110/G98</f>
        <v>0.0748616455879178</v>
      </c>
    </row>
    <row r="112" customFormat="false" ht="17.15" hidden="false" customHeight="false" outlineLevel="0" collapsed="false">
      <c r="A112" s="4" t="s">
        <v>218</v>
      </c>
      <c r="B112" s="0" t="s">
        <v>47</v>
      </c>
      <c r="C112" s="18" t="n">
        <f aca="false">a25_ni/a25_oi</f>
        <v>0.799743421258488</v>
      </c>
      <c r="D112" s="18" t="n">
        <f aca="false">a26_ni/a26_oi</f>
        <v>0.776911976251089</v>
      </c>
      <c r="E112" s="18" t="n">
        <f aca="false">nio_f</f>
        <v>0.78</v>
      </c>
      <c r="F112" s="18" t="n">
        <f aca="false">nio_f</f>
        <v>0.78</v>
      </c>
      <c r="G112" s="18" t="n">
        <f aca="false">nio_f</f>
        <v>0.78</v>
      </c>
    </row>
    <row r="113" customFormat="false" ht="15" hidden="false" customHeight="false" outlineLevel="0" collapsed="false">
      <c r="A113" s="4" t="s">
        <v>357</v>
      </c>
      <c r="B113" s="0" t="s">
        <v>184</v>
      </c>
      <c r="C113" s="22" t="n">
        <f aca="false">a25_ni</f>
        <v>51.118</v>
      </c>
      <c r="D113" s="22" t="n">
        <f aca="false">a26_ni</f>
        <v>77.0324485376</v>
      </c>
      <c r="E113" s="22" t="n">
        <f aca="false">E110*E112</f>
        <v>152.703366000943</v>
      </c>
      <c r="F113" s="22" t="n">
        <f aca="false">F110*F112</f>
        <v>187.142658533654</v>
      </c>
      <c r="G113" s="22" t="n">
        <f aca="false">G110*G112</f>
        <v>202.480316825776</v>
      </c>
      <c r="H113" s="25" t="n">
        <f aca="false">H98*H117</f>
        <v>210.606640729315</v>
      </c>
      <c r="I113" s="25" t="n">
        <f aca="false">I98*I117</f>
        <v>221.038281267526</v>
      </c>
      <c r="J113" s="25" t="n">
        <f aca="false">J98*J117</f>
        <v>234.063817715051</v>
      </c>
    </row>
    <row r="114" customFormat="false" ht="15" hidden="false" customHeight="false" outlineLevel="0" collapsed="false">
      <c r="A114" s="4" t="s">
        <v>465</v>
      </c>
      <c r="B114" s="4" t="s">
        <v>205</v>
      </c>
      <c r="C114" s="29" t="n">
        <f aca="false">a25_sh</f>
        <v>0.554331761662183</v>
      </c>
      <c r="D114" s="29" t="n">
        <f aca="false">a26_sh</f>
        <v>0.556054338618749</v>
      </c>
      <c r="E114" s="29" t="n">
        <f aca="false">D114*(1+sh_g)</f>
        <v>0.558834610311843</v>
      </c>
      <c r="F114" s="29" t="n">
        <f aca="false">E114*(1+sh_g)</f>
        <v>0.561628783363402</v>
      </c>
      <c r="G114" s="29" t="n">
        <f aca="false">F114*(1+sh_g)</f>
        <v>0.564436927280219</v>
      </c>
      <c r="H114" s="31" t="n">
        <f aca="false">G114*(1+sh_g)</f>
        <v>0.56725911191662</v>
      </c>
      <c r="I114" s="31" t="n">
        <f aca="false">H114*(1+sh_g)</f>
        <v>0.570095407476203</v>
      </c>
      <c r="J114" s="31" t="n">
        <f aca="false">I114*(1+sh_g)</f>
        <v>0.572945884513584</v>
      </c>
    </row>
    <row r="115" customFormat="false" ht="17.15" hidden="false" customHeight="false" outlineLevel="0" collapsed="false">
      <c r="A115" s="0" t="s">
        <v>363</v>
      </c>
      <c r="B115" s="0" t="s">
        <v>235</v>
      </c>
      <c r="C115" s="30" t="n">
        <f aca="false">C113/C114</f>
        <v>92.2155350556153</v>
      </c>
      <c r="D115" s="30" t="n">
        <f aca="false">D113/D114</f>
        <v>138.534030197391</v>
      </c>
      <c r="E115" s="30" t="n">
        <f aca="false">E113/E114</f>
        <v>273.253236616342</v>
      </c>
      <c r="F115" s="30" t="n">
        <f aca="false">F113/F114</f>
        <v>333.214151548503</v>
      </c>
      <c r="G115" s="30" t="n">
        <f aca="false">G113/G114</f>
        <v>358.729748249185</v>
      </c>
      <c r="H115" s="28" t="n">
        <f aca="false">H113/H114</f>
        <v>371.270617439234</v>
      </c>
      <c r="I115" s="28" t="n">
        <f aca="false">I113/I114</f>
        <v>387.721560933206</v>
      </c>
      <c r="J115" s="28" t="n">
        <f aca="false">J113/J114</f>
        <v>408.5269203282</v>
      </c>
    </row>
    <row r="116" customFormat="false" ht="17.15" hidden="false" customHeight="false" outlineLevel="0" collapsed="false">
      <c r="A116" s="0" t="s">
        <v>466</v>
      </c>
      <c r="B116" s="0" t="s">
        <v>47</v>
      </c>
      <c r="D116" s="18" t="n">
        <f aca="false">D115/C115-1</f>
        <v>0.502285163924287</v>
      </c>
      <c r="E116" s="18" t="n">
        <f aca="false">E115/D115-1</f>
        <v>0.97246291201516</v>
      </c>
      <c r="F116" s="18" t="n">
        <f aca="false">F115/E115-1</f>
        <v>0.219433503056173</v>
      </c>
      <c r="G116" s="18" t="n">
        <f aca="false">G115/F115-1</f>
        <v>0.0765741688403883</v>
      </c>
      <c r="H116" s="26" t="n">
        <f aca="false">H115/G115-1</f>
        <v>0.0349591001338936</v>
      </c>
      <c r="I116" s="26" t="n">
        <f aca="false">I115/H115-1</f>
        <v>0.0443098449520165</v>
      </c>
      <c r="J116" s="26" t="n">
        <f aca="false">J115/I115-1</f>
        <v>0.0536605685402629</v>
      </c>
    </row>
    <row r="117" customFormat="false" ht="17.15" hidden="false" customHeight="false" outlineLevel="0" collapsed="false">
      <c r="A117" s="4" t="s">
        <v>467</v>
      </c>
      <c r="B117" s="0" t="s">
        <v>47</v>
      </c>
      <c r="C117" s="17" t="n">
        <f aca="false">C113/C98</f>
        <v>0.0537708946282752</v>
      </c>
      <c r="D117" s="17" t="n">
        <f aca="false">D113/D98</f>
        <v>0.0528101877339414</v>
      </c>
      <c r="E117" s="17" t="n">
        <f aca="false">E113/E98</f>
        <v>0.0532203783718887</v>
      </c>
      <c r="F117" s="17" t="n">
        <f aca="false">F113/F98</f>
        <v>0.0556838565999821</v>
      </c>
      <c r="G117" s="17" t="n">
        <f aca="false">G113/G98</f>
        <v>0.0583920835585759</v>
      </c>
      <c r="H117" s="27" t="n">
        <f aca="false">$G117+(fade_mA-$G117)*1/3</f>
        <v>0.058333197443009</v>
      </c>
      <c r="I117" s="27" t="n">
        <f aca="false">$G117+(fade_mA-$G117)*2/3</f>
        <v>0.0582743113274422</v>
      </c>
      <c r="J117" s="27" t="n">
        <f aca="false">$G117+(fade_mA-$G117)*3/3</f>
        <v>0.0582154252118753</v>
      </c>
    </row>
    <row r="120" customFormat="false" ht="17.15" hidden="false" customHeight="false" outlineLevel="0" collapsed="false">
      <c r="A120" s="1" t="s">
        <v>736</v>
      </c>
    </row>
    <row r="121" customFormat="false" ht="17.15" hidden="false" customHeight="false" outlineLevel="0" collapsed="false">
      <c r="A121" s="5" t="s">
        <v>16</v>
      </c>
      <c r="B121" s="5" t="s">
        <v>17</v>
      </c>
      <c r="C121" s="14" t="s">
        <v>336</v>
      </c>
      <c r="D121" s="14" t="s">
        <v>415</v>
      </c>
      <c r="E121" s="14" t="s">
        <v>416</v>
      </c>
      <c r="F121" s="14" t="s">
        <v>417</v>
      </c>
      <c r="G121" s="14" t="s">
        <v>418</v>
      </c>
      <c r="H121" s="14" t="s">
        <v>419</v>
      </c>
      <c r="I121" s="14" t="s">
        <v>420</v>
      </c>
      <c r="J121" s="14" t="s">
        <v>421</v>
      </c>
      <c r="K121" s="5" t="s">
        <v>387</v>
      </c>
    </row>
    <row r="122" customFormat="false" ht="17.15" hidden="false" customHeight="false" outlineLevel="0" collapsed="false">
      <c r="A122" s="6" t="s">
        <v>437</v>
      </c>
    </row>
    <row r="123" customFormat="false" ht="17.15" hidden="false" customHeight="false" outlineLevel="0" collapsed="false">
      <c r="A123" s="0" t="s">
        <v>438</v>
      </c>
      <c r="B123" s="0" t="s">
        <v>27</v>
      </c>
      <c r="D123" s="30" t="n">
        <f aca="false">itc_26</f>
        <v>781.872916666667</v>
      </c>
      <c r="E123" s="30" t="n">
        <f aca="false">itc_27*1</f>
        <v>1565.35</v>
      </c>
      <c r="F123" s="30" t="n">
        <f aca="false">itc_28*um28_A*1</f>
        <v>1984.26388888889</v>
      </c>
      <c r="G123" s="30" t="n">
        <f aca="false">itc_29*um29_A*1</f>
        <v>2260.39027777778</v>
      </c>
    </row>
    <row r="124" customFormat="false" ht="17.15" hidden="false" customHeight="false" outlineLevel="0" collapsed="false">
      <c r="A124" s="4" t="s">
        <v>439</v>
      </c>
      <c r="B124" s="0" t="s">
        <v>27</v>
      </c>
      <c r="D124" s="30" t="n">
        <f aca="false">itpg_gb*(1-vr26)+itpg_vr*vr26</f>
        <v>33.41403216</v>
      </c>
      <c r="E124" s="30" t="n">
        <f aca="false">itpg_vr</f>
        <v>37.586352</v>
      </c>
      <c r="F124" s="30" t="n">
        <f aca="false">itpg_vr</f>
        <v>37.586352</v>
      </c>
      <c r="G124" s="30" t="n">
        <f aca="false">itpg_vr</f>
        <v>37.586352</v>
      </c>
    </row>
    <row r="125" customFormat="false" ht="17.15" hidden="false" customHeight="false" outlineLevel="0" collapsed="false">
      <c r="A125" s="4" t="s">
        <v>440</v>
      </c>
      <c r="B125" s="0" t="s">
        <v>389</v>
      </c>
      <c r="D125" s="21" t="n">
        <f aca="false">D123/D124</f>
        <v>23.3995380420639</v>
      </c>
      <c r="E125" s="21" t="n">
        <f aca="false">E123/E124</f>
        <v>41.6467658260637</v>
      </c>
      <c r="F125" s="21" t="n">
        <f aca="false">F123/F124</f>
        <v>52.792138191248</v>
      </c>
      <c r="G125" s="21" t="n">
        <f aca="false">G123/G124</f>
        <v>60.1385917361116</v>
      </c>
    </row>
    <row r="126" customFormat="false" ht="17.15" hidden="false" customHeight="false" outlineLevel="0" collapsed="false">
      <c r="A126" s="4" t="s">
        <v>441</v>
      </c>
      <c r="B126" s="0" t="s">
        <v>408</v>
      </c>
      <c r="D126" s="19" t="n">
        <f aca="false">(racks_gb*odm_gb*(1-vr26)+racks_vr*odm_vr*vr26)/1000</f>
        <v>27.1209</v>
      </c>
      <c r="E126" s="19" t="n">
        <f aca="false">racks_vr*odm_vr/1000</f>
        <v>27.351</v>
      </c>
      <c r="F126" s="19" t="n">
        <f aca="false">$E126*vpg_28</f>
        <v>27.351</v>
      </c>
      <c r="G126" s="19" t="n">
        <f aca="false">$E126*vpg_29</f>
        <v>27.351</v>
      </c>
      <c r="K126" s="4" t="s">
        <v>442</v>
      </c>
    </row>
    <row r="127" customFormat="false" ht="17.15" hidden="false" customHeight="false" outlineLevel="0" collapsed="false">
      <c r="A127" s="0" t="s">
        <v>443</v>
      </c>
      <c r="B127" s="0" t="s">
        <v>27</v>
      </c>
      <c r="D127" s="22" t="n">
        <f aca="false">D125*D126</f>
        <v>634.616531285011</v>
      </c>
      <c r="E127" s="22" t="n">
        <f aca="false">E125*E126</f>
        <v>1139.08069210867</v>
      </c>
      <c r="F127" s="22" t="n">
        <f aca="false">F125*F126</f>
        <v>1443.91777166882</v>
      </c>
      <c r="G127" s="22" t="n">
        <f aca="false">G125*G126</f>
        <v>1644.85062257439</v>
      </c>
    </row>
    <row r="128" customFormat="false" ht="17.15" hidden="false" customHeight="false" outlineLevel="0" collapsed="false">
      <c r="A128" s="0" t="s">
        <v>444</v>
      </c>
      <c r="B128" s="0" t="s">
        <v>184</v>
      </c>
      <c r="D128" s="22" t="n">
        <f aca="false">D127*fx</f>
        <v>20307.7290011204</v>
      </c>
      <c r="E128" s="22" t="n">
        <f aca="false">E127*fx</f>
        <v>36450.5821474774</v>
      </c>
      <c r="F128" s="22" t="n">
        <f aca="false">F127*fx</f>
        <v>46205.3686934024</v>
      </c>
      <c r="G128" s="22" t="n">
        <f aca="false">G127*fx</f>
        <v>52635.2199223804</v>
      </c>
    </row>
    <row r="129" customFormat="false" ht="17.15" hidden="false" customHeight="false" outlineLevel="0" collapsed="false">
      <c r="A129" s="4" t="s">
        <v>445</v>
      </c>
      <c r="B129" s="0" t="s">
        <v>47</v>
      </c>
      <c r="D129" s="17" t="n">
        <f aca="false">a26_ai/D128</f>
        <v>0.0344775081035094</v>
      </c>
      <c r="K129" s="8" t="s">
        <v>446</v>
      </c>
    </row>
    <row r="130" customFormat="false" ht="17.15" hidden="false" customHeight="false" outlineLevel="0" collapsed="false">
      <c r="A130" s="4" t="s">
        <v>447</v>
      </c>
      <c r="B130" s="0" t="s">
        <v>59</v>
      </c>
      <c r="D130" s="19" t="n">
        <f aca="false">1</f>
        <v>1</v>
      </c>
      <c r="E130" s="19" t="n">
        <f aca="false">rel_27_lo</f>
        <v>0.85</v>
      </c>
      <c r="F130" s="19" t="n">
        <f aca="false">rel_28_lo</f>
        <v>0.75</v>
      </c>
      <c r="G130" s="19" t="n">
        <f aca="false">rel_29_lo</f>
        <v>0.7</v>
      </c>
    </row>
    <row r="131" customFormat="false" ht="17.15" hidden="false" customHeight="false" outlineLevel="0" collapsed="false">
      <c r="A131" s="0" t="s">
        <v>448</v>
      </c>
      <c r="B131" s="0" t="s">
        <v>59</v>
      </c>
      <c r="D131" s="23" t="n">
        <f aca="false">1</f>
        <v>1</v>
      </c>
      <c r="E131" s="23" t="n">
        <f aca="false">asic_mix*((ua_27/ua_26)/(ut_27/ut_26))+(1-asic_mix)</f>
        <v>1.44683544303797</v>
      </c>
      <c r="F131" s="23" t="n">
        <f aca="false">asic_mix*((ua_28/ua_26)/(ut_28/ut_26))+(1-asic_mix)</f>
        <v>1.47660377358491</v>
      </c>
      <c r="G131" s="23" t="n">
        <f aca="false">asic_mix*((ua_29/ua_26)/(ut_29/ut_26))+(1-asic_mix)</f>
        <v>1.49144278606965</v>
      </c>
      <c r="K131" s="8" t="s">
        <v>449</v>
      </c>
    </row>
    <row r="132" customFormat="false" ht="15" hidden="false" customHeight="false" outlineLevel="0" collapsed="false">
      <c r="A132" s="4" t="s">
        <v>398</v>
      </c>
      <c r="B132" s="0" t="s">
        <v>47</v>
      </c>
      <c r="D132" s="17" t="n">
        <f aca="false">$D$129*D130*D131</f>
        <v>0.0344775081035094</v>
      </c>
      <c r="E132" s="17" t="n">
        <f aca="false">$D$129*E130*E131</f>
        <v>0.0424007886050184</v>
      </c>
      <c r="F132" s="17" t="n">
        <f aca="false">$D$129*F130*F131</f>
        <v>0.0381822139270846</v>
      </c>
      <c r="G132" s="17" t="n">
        <f aca="false">$D$129*G130*G131</f>
        <v>0.0359948615198459</v>
      </c>
    </row>
    <row r="133" customFormat="false" ht="17.15" hidden="false" customHeight="false" outlineLevel="0" collapsed="false">
      <c r="A133" s="0" t="s">
        <v>450</v>
      </c>
      <c r="B133" s="0" t="s">
        <v>184</v>
      </c>
      <c r="D133" s="22" t="n">
        <f aca="false">D128*D132</f>
        <v>700.1598912</v>
      </c>
      <c r="E133" s="22" t="n">
        <f aca="false">E128*E132</f>
        <v>1545.53342816505</v>
      </c>
      <c r="F133" s="22" t="n">
        <f aca="false">F128*F132</f>
        <v>1764.22327203131</v>
      </c>
      <c r="G133" s="22" t="n">
        <f aca="false">G128*G132</f>
        <v>1894.59745217272</v>
      </c>
    </row>
    <row r="134" customFormat="false" ht="17.15" hidden="false" customHeight="false" outlineLevel="0" collapsed="false">
      <c r="A134" s="4" t="s">
        <v>404</v>
      </c>
      <c r="B134" s="0" t="s">
        <v>47</v>
      </c>
      <c r="D134" s="18" t="n">
        <f aca="false">0</f>
        <v>0</v>
      </c>
      <c r="E134" s="18" t="n">
        <f aca="false">cs_27</f>
        <v>0.05</v>
      </c>
      <c r="F134" s="18" t="n">
        <f aca="false">cs_28</f>
        <v>0.1</v>
      </c>
      <c r="G134" s="18" t="n">
        <f aca="false">cs_29</f>
        <v>0.15</v>
      </c>
      <c r="K134" s="8" t="s">
        <v>451</v>
      </c>
    </row>
    <row r="135" customFormat="false" ht="17.15" hidden="false" customHeight="false" outlineLevel="0" collapsed="false">
      <c r="A135" s="0" t="s">
        <v>452</v>
      </c>
      <c r="B135" s="0" t="s">
        <v>184</v>
      </c>
      <c r="C135" s="22" t="n">
        <f aca="false">a25_ai</f>
        <v>475.3315</v>
      </c>
      <c r="D135" s="22" t="n">
        <f aca="false">D133*(1-D134)</f>
        <v>700.1598912</v>
      </c>
      <c r="E135" s="22" t="n">
        <f aca="false">E133*(1-E134)</f>
        <v>1468.25675675679</v>
      </c>
      <c r="F135" s="22" t="n">
        <f aca="false">F133*(1-F134)</f>
        <v>1587.80094482818</v>
      </c>
      <c r="G135" s="22" t="n">
        <f aca="false">G133*(1-G134)</f>
        <v>1610.40783434681</v>
      </c>
    </row>
    <row r="136" customFormat="false" ht="17.15" hidden="false" customHeight="false" outlineLevel="0" collapsed="false">
      <c r="A136" s="6" t="s">
        <v>453</v>
      </c>
    </row>
    <row r="137" customFormat="false" ht="17.15" hidden="false" customHeight="false" outlineLevel="0" collapsed="false">
      <c r="A137" s="4" t="s">
        <v>373</v>
      </c>
      <c r="B137" s="0" t="s">
        <v>184</v>
      </c>
      <c r="C137" s="22" t="n">
        <f aca="false">a25_nai</f>
        <v>475.3315</v>
      </c>
      <c r="D137" s="22" t="n">
        <f aca="false">a26_nai</f>
        <v>758.5065488</v>
      </c>
      <c r="E137" s="22" t="n">
        <f aca="false">D137*(1+g_nai27)</f>
        <v>796.43187624</v>
      </c>
      <c r="F137" s="22" t="n">
        <f aca="false">E137*(1+g_nai28)</f>
        <v>820.3248325272</v>
      </c>
      <c r="G137" s="22" t="n">
        <f aca="false">F137*(1+g_nai29)</f>
        <v>844.934577503016</v>
      </c>
    </row>
    <row r="138" customFormat="false" ht="17.15" hidden="false" customHeight="false" outlineLevel="0" collapsed="false">
      <c r="A138" s="4" t="s">
        <v>342</v>
      </c>
      <c r="B138" s="0" t="s">
        <v>184</v>
      </c>
      <c r="C138" s="22" t="n">
        <f aca="false">C135+C137</f>
        <v>950.663</v>
      </c>
      <c r="D138" s="22" t="n">
        <f aca="false">D135+D137</f>
        <v>1458.66644</v>
      </c>
      <c r="E138" s="22" t="n">
        <f aca="false">E135+E137</f>
        <v>2264.68863299679</v>
      </c>
      <c r="F138" s="22" t="n">
        <f aca="false">F135+F137</f>
        <v>2408.12577735538</v>
      </c>
      <c r="G138" s="22" t="n">
        <f aca="false">G135+G137</f>
        <v>2455.34241184983</v>
      </c>
      <c r="H138" s="25" t="n">
        <f aca="false">G138*(1+H139)</f>
        <v>2536.54420748235</v>
      </c>
      <c r="I138" s="25" t="n">
        <f aca="false">H138*(1+I139)</f>
        <v>2654.5841631075</v>
      </c>
      <c r="J138" s="25" t="n">
        <f aca="false">I138*(1+J139)</f>
        <v>2813.85921289395</v>
      </c>
      <c r="K138" s="8" t="s">
        <v>454</v>
      </c>
    </row>
    <row r="139" customFormat="false" ht="15" hidden="false" customHeight="false" outlineLevel="0" collapsed="false">
      <c r="A139" s="4" t="s">
        <v>455</v>
      </c>
      <c r="B139" s="0" t="s">
        <v>47</v>
      </c>
      <c r="D139" s="18" t="n">
        <f aca="false">D138/C138-1</f>
        <v>0.534367530870561</v>
      </c>
      <c r="E139" s="18" t="n">
        <f aca="false">E138/D138-1</f>
        <v>0.552574715434458</v>
      </c>
      <c r="F139" s="18" t="n">
        <f aca="false">F138/E138-1</f>
        <v>0.0633363643322467</v>
      </c>
      <c r="G139" s="18" t="n">
        <f aca="false">G138/F138-1</f>
        <v>0.0196072127703828</v>
      </c>
      <c r="H139" s="26" t="n">
        <f aca="false">$G139+(fade_gA-$G139)*1/3</f>
        <v>0.0330714751802552</v>
      </c>
      <c r="I139" s="26" t="n">
        <f aca="false">$G139+(fade_gA-$G139)*2/3</f>
        <v>0.0465357375901276</v>
      </c>
      <c r="J139" s="26" t="n">
        <f aca="false">$G139+(fade_gA-$G139)*3/3</f>
        <v>0.06</v>
      </c>
    </row>
    <row r="140" customFormat="false" ht="17.15" hidden="false" customHeight="false" outlineLevel="0" collapsed="false">
      <c r="A140" s="0" t="s">
        <v>456</v>
      </c>
      <c r="B140" s="0" t="s">
        <v>47</v>
      </c>
      <c r="C140" s="18" t="n">
        <f aca="false">C135/C138</f>
        <v>0.5</v>
      </c>
      <c r="D140" s="18" t="n">
        <f aca="false">D135/D138</f>
        <v>0.48</v>
      </c>
      <c r="E140" s="18" t="n">
        <f aca="false">E135/E138</f>
        <v>0.648326103361014</v>
      </c>
      <c r="F140" s="18" t="n">
        <f aca="false">F135/F138</f>
        <v>0.659351334452269</v>
      </c>
      <c r="G140" s="18" t="n">
        <f aca="false">G135/G138</f>
        <v>0.655879125687218</v>
      </c>
    </row>
    <row r="141" customFormat="false" ht="17.15" hidden="false" customHeight="false" outlineLevel="0" collapsed="false">
      <c r="A141" s="4" t="s">
        <v>407</v>
      </c>
      <c r="B141" s="0" t="s">
        <v>408</v>
      </c>
      <c r="D141" s="23" t="n">
        <f aca="false">D135/fx/D125</f>
        <v>0.935061049524468</v>
      </c>
      <c r="E141" s="23" t="n">
        <f aca="false">E135/fx/E125</f>
        <v>1.10171877067907</v>
      </c>
      <c r="F141" s="23" t="n">
        <f aca="false">F135/fx/F125</f>
        <v>0.939889559807722</v>
      </c>
      <c r="G141" s="23" t="n">
        <f aca="false">G135/fx/G125</f>
        <v>0.83682113881491</v>
      </c>
    </row>
    <row r="142" customFormat="false" ht="17.15" hidden="false" customHeight="false" outlineLevel="0" collapsed="false">
      <c r="A142" s="6" t="s">
        <v>457</v>
      </c>
    </row>
    <row r="143" customFormat="false" ht="17.15" hidden="false" customHeight="false" outlineLevel="0" collapsed="false">
      <c r="A143" s="4" t="s">
        <v>458</v>
      </c>
      <c r="B143" s="0" t="s">
        <v>47</v>
      </c>
      <c r="D143" s="17" t="n">
        <f aca="false">a26_gp/D138-d_ai*D140</f>
        <v>0.0882120920201606</v>
      </c>
      <c r="K143" s="8" t="s">
        <v>459</v>
      </c>
    </row>
    <row r="144" customFormat="false" ht="17.15" hidden="false" customHeight="false" outlineLevel="0" collapsed="false">
      <c r="A144" s="0" t="s">
        <v>460</v>
      </c>
      <c r="B144" s="0" t="s">
        <v>184</v>
      </c>
      <c r="D144" s="30" t="n">
        <f aca="false">($D$143+d_ai)*D133*(1-D134*(1-keep))</f>
        <v>54.76096983936</v>
      </c>
      <c r="E144" s="30" t="n">
        <f aca="false">($D$143+d_ai+vrd)*E133*(1-E134*(1-keep))</f>
        <v>117.199394168311</v>
      </c>
      <c r="F144" s="30" t="n">
        <f aca="false">($D$143+d_ai+vrd)*F133*(1-F134*(1-keep))</f>
        <v>133.110594888637</v>
      </c>
      <c r="G144" s="30" t="n">
        <f aca="false">($D$143+d_ai+vrd)*G133*(1-G134*(1-keep))</f>
        <v>142.225366835657</v>
      </c>
      <c r="K144" s="4" t="s">
        <v>461</v>
      </c>
    </row>
    <row r="145" customFormat="false" ht="15" hidden="false" customHeight="false" outlineLevel="0" collapsed="false">
      <c r="A145" s="4" t="s">
        <v>346</v>
      </c>
      <c r="B145" s="0" t="s">
        <v>184</v>
      </c>
      <c r="C145" s="22" t="n">
        <f aca="false">a25_gp</f>
        <v>78.454</v>
      </c>
      <c r="D145" s="22" t="n">
        <f aca="false">a26_gp</f>
        <v>121.67041932</v>
      </c>
      <c r="E145" s="22" t="n">
        <f aca="false">$D$143*E137+E144</f>
        <v>187.454316122983</v>
      </c>
      <c r="F145" s="22" t="n">
        <f aca="false">$D$143*F137+F144</f>
        <v>205.473164501949</v>
      </c>
      <c r="G145" s="22" t="n">
        <f aca="false">$D$143*G137+G144</f>
        <v>216.758813537368</v>
      </c>
    </row>
    <row r="146" customFormat="false" ht="15" hidden="false" customHeight="false" outlineLevel="0" collapsed="false">
      <c r="A146" s="4" t="s">
        <v>349</v>
      </c>
      <c r="B146" s="0" t="s">
        <v>47</v>
      </c>
      <c r="C146" s="17" t="n">
        <f aca="false">C145/C138</f>
        <v>0.0825255637381491</v>
      </c>
      <c r="D146" s="17" t="n">
        <f aca="false">D145/D138</f>
        <v>0.0834120920201606</v>
      </c>
      <c r="E146" s="17" t="n">
        <f aca="false">E145/E138</f>
        <v>0.0827726661368589</v>
      </c>
      <c r="F146" s="17" t="n">
        <f aca="false">F145/F138</f>
        <v>0.0853249304642225</v>
      </c>
      <c r="G146" s="17" t="n">
        <f aca="false">G145/G138</f>
        <v>0.0882804827918338</v>
      </c>
    </row>
    <row r="147" customFormat="false" ht="17.15" hidden="false" customHeight="false" outlineLevel="0" collapsed="false">
      <c r="A147" s="0" t="s">
        <v>462</v>
      </c>
      <c r="B147" s="0" t="s">
        <v>47</v>
      </c>
      <c r="D147" s="17" t="n">
        <f aca="false">D144/D135</f>
        <v>0.0782120920201606</v>
      </c>
      <c r="E147" s="17" t="n">
        <f aca="false">E144/E135</f>
        <v>0.0798221384842734</v>
      </c>
      <c r="F147" s="17" t="n">
        <f aca="false">F144/F135</f>
        <v>0.0838333012221766</v>
      </c>
      <c r="G147" s="17" t="n">
        <f aca="false">G144/G135</f>
        <v>0.0883163654586567</v>
      </c>
      <c r="K147" s="4" t="s">
        <v>463</v>
      </c>
    </row>
    <row r="148" customFormat="false" ht="15" hidden="false" customHeight="false" outlineLevel="0" collapsed="false">
      <c r="A148" s="4" t="s">
        <v>464</v>
      </c>
      <c r="B148" s="0" t="s">
        <v>184</v>
      </c>
      <c r="C148" s="22" t="n">
        <f aca="false">a25_opx</f>
        <v>14.536</v>
      </c>
      <c r="D148" s="22" t="n">
        <f aca="false">a26_opx</f>
        <v>22.5183263</v>
      </c>
      <c r="E148" s="22" t="n">
        <f aca="false">D148*(1+MAX(0,phi*E139))</f>
        <v>32.4727724978262</v>
      </c>
      <c r="F148" s="22" t="n">
        <f aca="false">E148*(1+MAX(0,phi*F139))</f>
        <v>34.1181383776666</v>
      </c>
      <c r="G148" s="22" t="n">
        <f aca="false">F148*(1+MAX(0,phi*G139))</f>
        <v>34.6533076564668</v>
      </c>
    </row>
    <row r="149" customFormat="false" ht="15" hidden="false" customHeight="false" outlineLevel="0" collapsed="false">
      <c r="A149" s="4" t="s">
        <v>350</v>
      </c>
      <c r="B149" s="0" t="s">
        <v>184</v>
      </c>
      <c r="C149" s="22" t="n">
        <f aca="false">C148</f>
        <v>14.536</v>
      </c>
      <c r="D149" s="22" t="n">
        <f aca="false">D148</f>
        <v>22.5183263</v>
      </c>
      <c r="E149" s="22" t="n">
        <f aca="false">E148+0*E138</f>
        <v>32.4727724978262</v>
      </c>
      <c r="F149" s="22" t="n">
        <f aca="false">F148+0*F138</f>
        <v>34.1181383776666</v>
      </c>
      <c r="G149" s="22" t="n">
        <f aca="false">G148+0*G138</f>
        <v>34.6533076564668</v>
      </c>
    </row>
    <row r="150" customFormat="false" ht="15" hidden="false" customHeight="false" outlineLevel="0" collapsed="false">
      <c r="A150" s="4" t="s">
        <v>353</v>
      </c>
      <c r="B150" s="0" t="s">
        <v>184</v>
      </c>
      <c r="C150" s="22" t="n">
        <f aca="false">C145-C149</f>
        <v>63.918</v>
      </c>
      <c r="D150" s="22" t="n">
        <f aca="false">D145-D149</f>
        <v>99.15209302</v>
      </c>
      <c r="E150" s="22" t="n">
        <f aca="false">E145-E149</f>
        <v>154.981543625157</v>
      </c>
      <c r="F150" s="22" t="n">
        <f aca="false">F145-F149</f>
        <v>171.355026124283</v>
      </c>
      <c r="G150" s="22" t="n">
        <f aca="false">G145-G149</f>
        <v>182.105505880901</v>
      </c>
    </row>
    <row r="151" customFormat="false" ht="15" hidden="false" customHeight="false" outlineLevel="0" collapsed="false">
      <c r="A151" s="4" t="s">
        <v>356</v>
      </c>
      <c r="B151" s="0" t="s">
        <v>47</v>
      </c>
      <c r="C151" s="17" t="n">
        <f aca="false">C150/C138</f>
        <v>0.0672351821833815</v>
      </c>
      <c r="D151" s="17" t="n">
        <f aca="false">D150/D138</f>
        <v>0.0679744801834201</v>
      </c>
      <c r="E151" s="17" t="n">
        <f aca="false">E150/E138</f>
        <v>0.068433930107237</v>
      </c>
      <c r="F151" s="17" t="n">
        <f aca="false">F150/F138</f>
        <v>0.0711570083820399</v>
      </c>
      <c r="G151" s="17" t="n">
        <f aca="false">G150/G138</f>
        <v>0.0741670509995</v>
      </c>
    </row>
    <row r="152" customFormat="false" ht="17.15" hidden="false" customHeight="false" outlineLevel="0" collapsed="false">
      <c r="A152" s="4" t="s">
        <v>218</v>
      </c>
      <c r="B152" s="0" t="s">
        <v>47</v>
      </c>
      <c r="C152" s="18" t="n">
        <f aca="false">a25_ni/a25_oi</f>
        <v>0.799743421258488</v>
      </c>
      <c r="D152" s="18" t="n">
        <f aca="false">a26_ni/a26_oi</f>
        <v>0.776911976251089</v>
      </c>
      <c r="E152" s="18" t="n">
        <f aca="false">nio_f</f>
        <v>0.78</v>
      </c>
      <c r="F152" s="18" t="n">
        <f aca="false">nio_f</f>
        <v>0.78</v>
      </c>
      <c r="G152" s="18" t="n">
        <f aca="false">nio_f</f>
        <v>0.78</v>
      </c>
    </row>
    <row r="153" customFormat="false" ht="15" hidden="false" customHeight="false" outlineLevel="0" collapsed="false">
      <c r="A153" s="4" t="s">
        <v>357</v>
      </c>
      <c r="B153" s="0" t="s">
        <v>184</v>
      </c>
      <c r="C153" s="22" t="n">
        <f aca="false">a25_ni</f>
        <v>51.118</v>
      </c>
      <c r="D153" s="22" t="n">
        <f aca="false">a26_ni</f>
        <v>77.0324485376</v>
      </c>
      <c r="E153" s="22" t="n">
        <f aca="false">E150*E152</f>
        <v>120.885604027622</v>
      </c>
      <c r="F153" s="22" t="n">
        <f aca="false">F150*F152</f>
        <v>133.656920376941</v>
      </c>
      <c r="G153" s="22" t="n">
        <f aca="false">G150*G152</f>
        <v>142.042294587103</v>
      </c>
      <c r="H153" s="25" t="n">
        <f aca="false">H138*H157</f>
        <v>147.048561740493</v>
      </c>
      <c r="I153" s="25" t="n">
        <f aca="false">I138*I157</f>
        <v>154.214660419334</v>
      </c>
      <c r="J153" s="25" t="n">
        <f aca="false">J138*J157</f>
        <v>163.810010564974</v>
      </c>
    </row>
    <row r="154" customFormat="false" ht="15" hidden="false" customHeight="false" outlineLevel="0" collapsed="false">
      <c r="A154" s="4" t="s">
        <v>465</v>
      </c>
      <c r="B154" s="4" t="s">
        <v>205</v>
      </c>
      <c r="C154" s="29" t="n">
        <f aca="false">a25_sh</f>
        <v>0.554331761662183</v>
      </c>
      <c r="D154" s="29" t="n">
        <f aca="false">a26_sh</f>
        <v>0.556054338618749</v>
      </c>
      <c r="E154" s="29" t="n">
        <f aca="false">D154*(1+sh_g)</f>
        <v>0.558834610311843</v>
      </c>
      <c r="F154" s="29" t="n">
        <f aca="false">E154*(1+sh_g)</f>
        <v>0.561628783363402</v>
      </c>
      <c r="G154" s="29" t="n">
        <f aca="false">F154*(1+sh_g)</f>
        <v>0.564436927280219</v>
      </c>
      <c r="H154" s="31" t="n">
        <f aca="false">G154*(1+sh_g)</f>
        <v>0.56725911191662</v>
      </c>
      <c r="I154" s="31" t="n">
        <f aca="false">H154*(1+sh_g)</f>
        <v>0.570095407476203</v>
      </c>
      <c r="J154" s="31" t="n">
        <f aca="false">I154*(1+sh_g)</f>
        <v>0.572945884513584</v>
      </c>
    </row>
    <row r="155" customFormat="false" ht="17.15" hidden="false" customHeight="false" outlineLevel="0" collapsed="false">
      <c r="A155" s="0" t="s">
        <v>363</v>
      </c>
      <c r="B155" s="0" t="s">
        <v>235</v>
      </c>
      <c r="C155" s="30" t="n">
        <f aca="false">C153/C154</f>
        <v>92.2155350556153</v>
      </c>
      <c r="D155" s="30" t="n">
        <f aca="false">D153/D154</f>
        <v>138.534030197391</v>
      </c>
      <c r="E155" s="30" t="n">
        <f aca="false">E153/E154</f>
        <v>216.317317855752</v>
      </c>
      <c r="F155" s="30" t="n">
        <f aca="false">F153/F154</f>
        <v>237.980894740677</v>
      </c>
      <c r="G155" s="30" t="n">
        <f aca="false">G153/G154</f>
        <v>251.653085972855</v>
      </c>
      <c r="H155" s="28" t="n">
        <f aca="false">H153/H154</f>
        <v>259.226442821966</v>
      </c>
      <c r="I155" s="28" t="n">
        <f aca="false">I153/I154</f>
        <v>270.506757986418</v>
      </c>
      <c r="J155" s="28" t="n">
        <f aca="false">J153/J154</f>
        <v>285.908346656586</v>
      </c>
    </row>
    <row r="156" customFormat="false" ht="17.15" hidden="false" customHeight="false" outlineLevel="0" collapsed="false">
      <c r="A156" s="0" t="s">
        <v>466</v>
      </c>
      <c r="B156" s="0" t="s">
        <v>47</v>
      </c>
      <c r="D156" s="18" t="n">
        <f aca="false">D155/C155-1</f>
        <v>0.502285163924287</v>
      </c>
      <c r="E156" s="18" t="n">
        <f aca="false">E155/D155-1</f>
        <v>0.561474228011207</v>
      </c>
      <c r="F156" s="18" t="n">
        <f aca="false">F155/E155-1</f>
        <v>0.100147214747602</v>
      </c>
      <c r="G156" s="18" t="n">
        <f aca="false">G155/F155-1</f>
        <v>0.057450793464223</v>
      </c>
      <c r="H156" s="26" t="n">
        <f aca="false">H155/G155-1</f>
        <v>0.0300944326584869</v>
      </c>
      <c r="I156" s="26" t="n">
        <f aca="false">I155/H155-1</f>
        <v>0.0435152951282818</v>
      </c>
      <c r="J156" s="26" t="n">
        <f aca="false">J155/I155-1</f>
        <v>0.0569360587691548</v>
      </c>
    </row>
    <row r="157" customFormat="false" ht="17.15" hidden="false" customHeight="false" outlineLevel="0" collapsed="false">
      <c r="A157" s="4" t="s">
        <v>467</v>
      </c>
      <c r="B157" s="0" t="s">
        <v>47</v>
      </c>
      <c r="C157" s="17" t="n">
        <f aca="false">C153/C138</f>
        <v>0.0537708946282752</v>
      </c>
      <c r="D157" s="17" t="n">
        <f aca="false">D153/D138</f>
        <v>0.0528101877339414</v>
      </c>
      <c r="E157" s="17" t="n">
        <f aca="false">E153/E138</f>
        <v>0.0533784654836449</v>
      </c>
      <c r="F157" s="17" t="n">
        <f aca="false">F153/F138</f>
        <v>0.0555024665379911</v>
      </c>
      <c r="G157" s="17" t="n">
        <f aca="false">G153/G138</f>
        <v>0.05785029977961</v>
      </c>
      <c r="H157" s="27" t="n">
        <f aca="false">$G157+(fade_mA-$G157)*1/3</f>
        <v>0.0579720082570318</v>
      </c>
      <c r="I157" s="27" t="n">
        <f aca="false">$G157+(fade_mA-$G157)*2/3</f>
        <v>0.0580937167344535</v>
      </c>
      <c r="J157" s="27" t="n">
        <f aca="false">$G157+(fade_mA-$G157)*3/3</f>
        <v>0.0582154252118753</v>
      </c>
    </row>
    <row r="160" customFormat="false" ht="17.15" hidden="false" customHeight="false" outlineLevel="0" collapsed="false">
      <c r="A160" s="1" t="s">
        <v>737</v>
      </c>
    </row>
    <row r="161" customFormat="false" ht="17.15" hidden="false" customHeight="false" outlineLevel="0" collapsed="false">
      <c r="A161" s="5" t="s">
        <v>16</v>
      </c>
      <c r="B161" s="5" t="s">
        <v>17</v>
      </c>
      <c r="C161" s="14" t="s">
        <v>336</v>
      </c>
      <c r="D161" s="14" t="s">
        <v>415</v>
      </c>
      <c r="E161" s="14" t="s">
        <v>416</v>
      </c>
      <c r="F161" s="14" t="s">
        <v>417</v>
      </c>
      <c r="G161" s="14" t="s">
        <v>418</v>
      </c>
      <c r="H161" s="14" t="s">
        <v>419</v>
      </c>
      <c r="I161" s="14" t="s">
        <v>420</v>
      </c>
      <c r="J161" s="14" t="s">
        <v>421</v>
      </c>
      <c r="K161" s="5" t="s">
        <v>387</v>
      </c>
    </row>
    <row r="162" customFormat="false" ht="17.15" hidden="false" customHeight="false" outlineLevel="0" collapsed="false">
      <c r="A162" s="6" t="s">
        <v>437</v>
      </c>
    </row>
    <row r="163" customFormat="false" ht="17.15" hidden="false" customHeight="false" outlineLevel="0" collapsed="false">
      <c r="A163" s="0" t="s">
        <v>438</v>
      </c>
      <c r="B163" s="0" t="s">
        <v>27</v>
      </c>
      <c r="D163" s="30" t="n">
        <f aca="false">itc_26</f>
        <v>781.872916666667</v>
      </c>
      <c r="E163" s="30" t="n">
        <f aca="false">itc_27*1</f>
        <v>1565.35</v>
      </c>
      <c r="F163" s="30" t="n">
        <f aca="false">itc_28*um28_A*1</f>
        <v>1984.26388888889</v>
      </c>
      <c r="G163" s="30" t="n">
        <f aca="false">itc_29*um29_A*1</f>
        <v>2260.39027777778</v>
      </c>
    </row>
    <row r="164" customFormat="false" ht="17.15" hidden="false" customHeight="false" outlineLevel="0" collapsed="false">
      <c r="A164" s="4" t="s">
        <v>439</v>
      </c>
      <c r="B164" s="0" t="s">
        <v>27</v>
      </c>
      <c r="D164" s="30" t="n">
        <f aca="false">itpg_gb*(1-vr26)+itpg_vr*vr26</f>
        <v>33.41403216</v>
      </c>
      <c r="E164" s="30" t="n">
        <f aca="false">itpg_vr</f>
        <v>37.586352</v>
      </c>
      <c r="F164" s="30" t="n">
        <f aca="false">itpg_vr</f>
        <v>37.586352</v>
      </c>
      <c r="G164" s="30" t="n">
        <f aca="false">itpg_vr</f>
        <v>37.586352</v>
      </c>
    </row>
    <row r="165" customFormat="false" ht="17.15" hidden="false" customHeight="false" outlineLevel="0" collapsed="false">
      <c r="A165" s="4" t="s">
        <v>440</v>
      </c>
      <c r="B165" s="0" t="s">
        <v>389</v>
      </c>
      <c r="D165" s="21" t="n">
        <f aca="false">D163/D164</f>
        <v>23.3995380420639</v>
      </c>
      <c r="E165" s="21" t="n">
        <f aca="false">E163/E164</f>
        <v>41.6467658260637</v>
      </c>
      <c r="F165" s="21" t="n">
        <f aca="false">F163/F164</f>
        <v>52.792138191248</v>
      </c>
      <c r="G165" s="21" t="n">
        <f aca="false">G163/G164</f>
        <v>60.1385917361116</v>
      </c>
    </row>
    <row r="166" customFormat="false" ht="17.15" hidden="false" customHeight="false" outlineLevel="0" collapsed="false">
      <c r="A166" s="4" t="s">
        <v>441</v>
      </c>
      <c r="B166" s="0" t="s">
        <v>408</v>
      </c>
      <c r="D166" s="19" t="n">
        <f aca="false">(racks_gb*odm_gb*(1-vr26)+racks_vr*odm_vr*vr26)/1000</f>
        <v>27.1209</v>
      </c>
      <c r="E166" s="19" t="n">
        <f aca="false">racks_vr*odm_vr/1000</f>
        <v>27.351</v>
      </c>
      <c r="F166" s="19" t="n">
        <f aca="false">$E166*vpg_28</f>
        <v>27.351</v>
      </c>
      <c r="G166" s="19" t="n">
        <f aca="false">$E166*vpg_29</f>
        <v>27.351</v>
      </c>
      <c r="K166" s="4" t="s">
        <v>442</v>
      </c>
    </row>
    <row r="167" customFormat="false" ht="17.15" hidden="false" customHeight="false" outlineLevel="0" collapsed="false">
      <c r="A167" s="0" t="s">
        <v>443</v>
      </c>
      <c r="B167" s="0" t="s">
        <v>27</v>
      </c>
      <c r="D167" s="22" t="n">
        <f aca="false">D165*D166</f>
        <v>634.616531285011</v>
      </c>
      <c r="E167" s="22" t="n">
        <f aca="false">E165*E166</f>
        <v>1139.08069210867</v>
      </c>
      <c r="F167" s="22" t="n">
        <f aca="false">F165*F166</f>
        <v>1443.91777166882</v>
      </c>
      <c r="G167" s="22" t="n">
        <f aca="false">G165*G166</f>
        <v>1644.85062257439</v>
      </c>
    </row>
    <row r="168" customFormat="false" ht="17.15" hidden="false" customHeight="false" outlineLevel="0" collapsed="false">
      <c r="A168" s="0" t="s">
        <v>444</v>
      </c>
      <c r="B168" s="0" t="s">
        <v>184</v>
      </c>
      <c r="D168" s="22" t="n">
        <f aca="false">D167*fx</f>
        <v>20307.7290011204</v>
      </c>
      <c r="E168" s="22" t="n">
        <f aca="false">E167*fx</f>
        <v>36450.5821474774</v>
      </c>
      <c r="F168" s="22" t="n">
        <f aca="false">F167*fx</f>
        <v>46205.3686934024</v>
      </c>
      <c r="G168" s="22" t="n">
        <f aca="false">G167*fx</f>
        <v>52635.2199223804</v>
      </c>
    </row>
    <row r="169" customFormat="false" ht="17.15" hidden="false" customHeight="false" outlineLevel="0" collapsed="false">
      <c r="A169" s="4" t="s">
        <v>445</v>
      </c>
      <c r="B169" s="0" t="s">
        <v>47</v>
      </c>
      <c r="D169" s="17" t="n">
        <f aca="false">a26_ai/D168</f>
        <v>0.0344775081035094</v>
      </c>
      <c r="K169" s="8" t="s">
        <v>446</v>
      </c>
    </row>
    <row r="170" customFormat="false" ht="17.15" hidden="false" customHeight="false" outlineLevel="0" collapsed="false">
      <c r="A170" s="4" t="s">
        <v>447</v>
      </c>
      <c r="B170" s="0" t="s">
        <v>59</v>
      </c>
      <c r="D170" s="19" t="n">
        <f aca="false">1</f>
        <v>1</v>
      </c>
      <c r="E170" s="19" t="n">
        <f aca="false">rel_27_hi</f>
        <v>1.1</v>
      </c>
      <c r="F170" s="19" t="n">
        <f aca="false">rel_28_hi</f>
        <v>1.1</v>
      </c>
      <c r="G170" s="19" t="n">
        <f aca="false">rel_29_hi</f>
        <v>1.1</v>
      </c>
    </row>
    <row r="171" customFormat="false" ht="17.15" hidden="false" customHeight="false" outlineLevel="0" collapsed="false">
      <c r="A171" s="0" t="s">
        <v>448</v>
      </c>
      <c r="B171" s="0" t="s">
        <v>59</v>
      </c>
      <c r="D171" s="23" t="n">
        <f aca="false">1</f>
        <v>1</v>
      </c>
      <c r="E171" s="23" t="n">
        <f aca="false">asic_mix*((ua_27/ua_26)/(ut_27/ut_26))+(1-asic_mix)</f>
        <v>1.44683544303797</v>
      </c>
      <c r="F171" s="23" t="n">
        <f aca="false">asic_mix*((ua_28/ua_26)/(ut_28/ut_26))+(1-asic_mix)</f>
        <v>1.47660377358491</v>
      </c>
      <c r="G171" s="23" t="n">
        <f aca="false">asic_mix*((ua_29/ua_26)/(ut_29/ut_26))+(1-asic_mix)</f>
        <v>1.49144278606965</v>
      </c>
      <c r="K171" s="8" t="s">
        <v>449</v>
      </c>
    </row>
    <row r="172" customFormat="false" ht="15" hidden="false" customHeight="false" outlineLevel="0" collapsed="false">
      <c r="A172" s="4" t="s">
        <v>398</v>
      </c>
      <c r="B172" s="0" t="s">
        <v>47</v>
      </c>
      <c r="D172" s="17" t="n">
        <f aca="false">$D$169*D170*D171</f>
        <v>0.0344775081035094</v>
      </c>
      <c r="E172" s="17" t="n">
        <f aca="false">$D$169*E170*E171</f>
        <v>0.054871608782965</v>
      </c>
      <c r="F172" s="17" t="n">
        <f aca="false">$D$169*F170*F171</f>
        <v>0.0560005804263907</v>
      </c>
      <c r="G172" s="17" t="n">
        <f aca="false">$D$169*G170*G171</f>
        <v>0.0565633538169008</v>
      </c>
    </row>
    <row r="173" customFormat="false" ht="17.15" hidden="false" customHeight="false" outlineLevel="0" collapsed="false">
      <c r="A173" s="0" t="s">
        <v>450</v>
      </c>
      <c r="B173" s="0" t="s">
        <v>184</v>
      </c>
      <c r="D173" s="22" t="n">
        <f aca="false">D168*D172</f>
        <v>700.1598912</v>
      </c>
      <c r="E173" s="22" t="n">
        <f aca="false">E168*E172</f>
        <v>2000.10208350771</v>
      </c>
      <c r="F173" s="22" t="n">
        <f aca="false">F168*F172</f>
        <v>2587.52746564592</v>
      </c>
      <c r="G173" s="22" t="n">
        <f aca="false">G168*G172</f>
        <v>2977.22456769999</v>
      </c>
    </row>
    <row r="174" customFormat="false" ht="17.15" hidden="false" customHeight="false" outlineLevel="0" collapsed="false">
      <c r="A174" s="4" t="s">
        <v>404</v>
      </c>
      <c r="B174" s="0" t="s">
        <v>47</v>
      </c>
      <c r="D174" s="18" t="n">
        <f aca="false">0</f>
        <v>0</v>
      </c>
      <c r="E174" s="18" t="n">
        <f aca="false">cs_27</f>
        <v>0.05</v>
      </c>
      <c r="F174" s="18" t="n">
        <f aca="false">cs_28</f>
        <v>0.1</v>
      </c>
      <c r="G174" s="18" t="n">
        <f aca="false">cs_29</f>
        <v>0.15</v>
      </c>
      <c r="K174" s="8" t="s">
        <v>451</v>
      </c>
    </row>
    <row r="175" customFormat="false" ht="17.15" hidden="false" customHeight="false" outlineLevel="0" collapsed="false">
      <c r="A175" s="0" t="s">
        <v>452</v>
      </c>
      <c r="B175" s="0" t="s">
        <v>184</v>
      </c>
      <c r="C175" s="22" t="n">
        <f aca="false">a25_ai</f>
        <v>475.3315</v>
      </c>
      <c r="D175" s="22" t="n">
        <f aca="false">D173*(1-D174)</f>
        <v>700.1598912</v>
      </c>
      <c r="E175" s="22" t="n">
        <f aca="false">E173*(1-E174)</f>
        <v>1900.09697933232</v>
      </c>
      <c r="F175" s="22" t="n">
        <f aca="false">F173*(1-F174)</f>
        <v>2328.77471908132</v>
      </c>
      <c r="G175" s="22" t="n">
        <f aca="false">G173*(1-G174)</f>
        <v>2530.64088254499</v>
      </c>
    </row>
    <row r="176" customFormat="false" ht="17.15" hidden="false" customHeight="false" outlineLevel="0" collapsed="false">
      <c r="A176" s="6" t="s">
        <v>453</v>
      </c>
    </row>
    <row r="177" customFormat="false" ht="17.15" hidden="false" customHeight="false" outlineLevel="0" collapsed="false">
      <c r="A177" s="4" t="s">
        <v>373</v>
      </c>
      <c r="B177" s="0" t="s">
        <v>184</v>
      </c>
      <c r="C177" s="22" t="n">
        <f aca="false">a25_nai</f>
        <v>475.3315</v>
      </c>
      <c r="D177" s="22" t="n">
        <f aca="false">a26_nai</f>
        <v>758.5065488</v>
      </c>
      <c r="E177" s="22" t="n">
        <f aca="false">D177*(1+g_nai27)</f>
        <v>796.43187624</v>
      </c>
      <c r="F177" s="22" t="n">
        <f aca="false">E177*(1+g_nai28)</f>
        <v>820.3248325272</v>
      </c>
      <c r="G177" s="22" t="n">
        <f aca="false">F177*(1+g_nai29)</f>
        <v>844.934577503016</v>
      </c>
    </row>
    <row r="178" customFormat="false" ht="17.15" hidden="false" customHeight="false" outlineLevel="0" collapsed="false">
      <c r="A178" s="4" t="s">
        <v>342</v>
      </c>
      <c r="B178" s="0" t="s">
        <v>184</v>
      </c>
      <c r="C178" s="22" t="n">
        <f aca="false">C175+C177</f>
        <v>950.663</v>
      </c>
      <c r="D178" s="22" t="n">
        <f aca="false">D175+D177</f>
        <v>1458.66644</v>
      </c>
      <c r="E178" s="22" t="n">
        <f aca="false">E175+E177</f>
        <v>2696.52885557232</v>
      </c>
      <c r="F178" s="22" t="n">
        <f aca="false">F175+F177</f>
        <v>3149.09955160852</v>
      </c>
      <c r="G178" s="22" t="n">
        <f aca="false">G175+G177</f>
        <v>3375.575460048</v>
      </c>
      <c r="H178" s="25" t="n">
        <f aca="false">G178*(1+H179)</f>
        <v>3604.92932159799</v>
      </c>
      <c r="I178" s="25" t="n">
        <f aca="false">H178*(1+I179)</f>
        <v>3835.54586922699</v>
      </c>
      <c r="J178" s="25" t="n">
        <f aca="false">I178*(1+J179)</f>
        <v>4065.67862138061</v>
      </c>
      <c r="K178" s="8" t="s">
        <v>454</v>
      </c>
    </row>
    <row r="179" customFormat="false" ht="15" hidden="false" customHeight="false" outlineLevel="0" collapsed="false">
      <c r="A179" s="4" t="s">
        <v>455</v>
      </c>
      <c r="B179" s="0" t="s">
        <v>47</v>
      </c>
      <c r="D179" s="18" t="n">
        <f aca="false">D178/C178-1</f>
        <v>0.534367530870561</v>
      </c>
      <c r="E179" s="18" t="n">
        <f aca="false">E178/D178-1</f>
        <v>0.848626102326946</v>
      </c>
      <c r="F179" s="18" t="n">
        <f aca="false">F178/E178-1</f>
        <v>0.167834545920387</v>
      </c>
      <c r="G179" s="18" t="n">
        <f aca="false">G178/F178-1</f>
        <v>0.0719176719338066</v>
      </c>
      <c r="H179" s="26" t="n">
        <f aca="false">$G179+(fade_gA-$G179)*1/3</f>
        <v>0.0679451146225377</v>
      </c>
      <c r="I179" s="26" t="n">
        <f aca="false">$G179+(fade_gA-$G179)*2/3</f>
        <v>0.0639725573112689</v>
      </c>
      <c r="J179" s="26" t="n">
        <f aca="false">$G179+(fade_gA-$G179)*3/3</f>
        <v>0.06</v>
      </c>
    </row>
    <row r="180" customFormat="false" ht="17.15" hidden="false" customHeight="false" outlineLevel="0" collapsed="false">
      <c r="A180" s="0" t="s">
        <v>456</v>
      </c>
      <c r="B180" s="0" t="s">
        <v>47</v>
      </c>
      <c r="C180" s="18" t="n">
        <f aca="false">C175/C178</f>
        <v>0.5</v>
      </c>
      <c r="D180" s="18" t="n">
        <f aca="false">D175/D178</f>
        <v>0.48</v>
      </c>
      <c r="E180" s="18" t="n">
        <f aca="false">E175/E178</f>
        <v>0.704645520631389</v>
      </c>
      <c r="F180" s="18" t="n">
        <f aca="false">F175/F178</f>
        <v>0.739504954008778</v>
      </c>
      <c r="G180" s="18" t="n">
        <f aca="false">G175/G178</f>
        <v>0.749691693311753</v>
      </c>
    </row>
    <row r="181" customFormat="false" ht="17.15" hidden="false" customHeight="false" outlineLevel="0" collapsed="false">
      <c r="A181" s="4" t="s">
        <v>407</v>
      </c>
      <c r="B181" s="0" t="s">
        <v>408</v>
      </c>
      <c r="D181" s="23" t="n">
        <f aca="false">D175/fx/D165</f>
        <v>0.935061049524468</v>
      </c>
      <c r="E181" s="23" t="n">
        <f aca="false">E175/fx/E165</f>
        <v>1.42575370323173</v>
      </c>
      <c r="F181" s="23" t="n">
        <f aca="false">F175/fx/F165</f>
        <v>1.37850468771799</v>
      </c>
      <c r="G181" s="23" t="n">
        <f aca="false">G175/fx/G165</f>
        <v>1.31500464670914</v>
      </c>
    </row>
    <row r="182" customFormat="false" ht="17.15" hidden="false" customHeight="false" outlineLevel="0" collapsed="false">
      <c r="A182" s="6" t="s">
        <v>457</v>
      </c>
    </row>
    <row r="183" customFormat="false" ht="17.15" hidden="false" customHeight="false" outlineLevel="0" collapsed="false">
      <c r="A183" s="4" t="s">
        <v>458</v>
      </c>
      <c r="B183" s="0" t="s">
        <v>47</v>
      </c>
      <c r="D183" s="17" t="n">
        <f aca="false">a26_gp/D178-d_ai*D180</f>
        <v>0.0882120920201606</v>
      </c>
      <c r="K183" s="8" t="s">
        <v>459</v>
      </c>
    </row>
    <row r="184" customFormat="false" ht="17.15" hidden="false" customHeight="false" outlineLevel="0" collapsed="false">
      <c r="A184" s="0" t="s">
        <v>460</v>
      </c>
      <c r="B184" s="0" t="s">
        <v>184</v>
      </c>
      <c r="D184" s="30" t="n">
        <f aca="false">($D$183+d_ai)*D173*(1-D174*(1-keep))</f>
        <v>54.76096983936</v>
      </c>
      <c r="E184" s="30" t="n">
        <f aca="false">($D$183+d_ai+vrd)*E173*(1-E174*(1-keep))</f>
        <v>151.669804217814</v>
      </c>
      <c r="F184" s="30" t="n">
        <f aca="false">($D$183+d_ai+vrd)*F173*(1-F174*(1-keep))</f>
        <v>195.228872503334</v>
      </c>
      <c r="G184" s="30" t="n">
        <f aca="false">($D$183+d_ai+vrd)*G173*(1-G174*(1-keep))</f>
        <v>223.497005027461</v>
      </c>
      <c r="K184" s="4" t="s">
        <v>461</v>
      </c>
    </row>
    <row r="185" customFormat="false" ht="15" hidden="false" customHeight="false" outlineLevel="0" collapsed="false">
      <c r="A185" s="4" t="s">
        <v>346</v>
      </c>
      <c r="B185" s="0" t="s">
        <v>184</v>
      </c>
      <c r="C185" s="22" t="n">
        <f aca="false">a25_gp</f>
        <v>78.454</v>
      </c>
      <c r="D185" s="22" t="n">
        <f aca="false">a26_gp</f>
        <v>121.67041932</v>
      </c>
      <c r="E185" s="22" t="n">
        <f aca="false">$D$183*E177+E184</f>
        <v>221.924726172486</v>
      </c>
      <c r="F185" s="22" t="n">
        <f aca="false">$D$183*F177+F184</f>
        <v>267.591442116647</v>
      </c>
      <c r="G185" s="22" t="n">
        <f aca="false">$D$183*G177+G184</f>
        <v>298.030451729172</v>
      </c>
    </row>
    <row r="186" customFormat="false" ht="15" hidden="false" customHeight="false" outlineLevel="0" collapsed="false">
      <c r="A186" s="4" t="s">
        <v>349</v>
      </c>
      <c r="B186" s="0" t="s">
        <v>47</v>
      </c>
      <c r="C186" s="17" t="n">
        <f aca="false">C185/C178</f>
        <v>0.0825255637381491</v>
      </c>
      <c r="D186" s="17" t="n">
        <f aca="false">D185/D178</f>
        <v>0.0834120920201606</v>
      </c>
      <c r="E186" s="17" t="n">
        <f aca="false">E185/E178</f>
        <v>0.0823001488427922</v>
      </c>
      <c r="F186" s="17" t="n">
        <f aca="false">F185/F178</f>
        <v>0.0849739545324834</v>
      </c>
      <c r="G186" s="17" t="n">
        <f aca="false">G185/G178</f>
        <v>0.0882902649508341</v>
      </c>
    </row>
    <row r="187" customFormat="false" ht="17.15" hidden="false" customHeight="false" outlineLevel="0" collapsed="false">
      <c r="A187" s="0" t="s">
        <v>462</v>
      </c>
      <c r="B187" s="0" t="s">
        <v>47</v>
      </c>
      <c r="D187" s="17" t="n">
        <f aca="false">D184/D175</f>
        <v>0.0782120920201606</v>
      </c>
      <c r="E187" s="17" t="n">
        <f aca="false">E184/E175</f>
        <v>0.0798221384842734</v>
      </c>
      <c r="F187" s="17" t="n">
        <f aca="false">F184/F175</f>
        <v>0.0838333012221766</v>
      </c>
      <c r="G187" s="17" t="n">
        <f aca="false">G184/G175</f>
        <v>0.0883163654586567</v>
      </c>
      <c r="K187" s="4" t="s">
        <v>463</v>
      </c>
    </row>
    <row r="188" customFormat="false" ht="15" hidden="false" customHeight="false" outlineLevel="0" collapsed="false">
      <c r="A188" s="4" t="s">
        <v>464</v>
      </c>
      <c r="B188" s="0" t="s">
        <v>184</v>
      </c>
      <c r="C188" s="22" t="n">
        <f aca="false">a25_opx</f>
        <v>14.536</v>
      </c>
      <c r="D188" s="22" t="n">
        <f aca="false">a26_opx</f>
        <v>22.5183263</v>
      </c>
      <c r="E188" s="22" t="n">
        <f aca="false">D188*(1+MAX(0,phi*E179))</f>
        <v>37.8060378831163</v>
      </c>
      <c r="F188" s="22" t="n">
        <f aca="false">E188*(1+MAX(0,phi*F179))</f>
        <v>42.8821652440457</v>
      </c>
      <c r="G188" s="22" t="n">
        <f aca="false">F188*(1+MAX(0,phi*G179))</f>
        <v>45.3493536375118</v>
      </c>
    </row>
    <row r="189" customFormat="false" ht="15" hidden="false" customHeight="false" outlineLevel="0" collapsed="false">
      <c r="A189" s="4" t="s">
        <v>350</v>
      </c>
      <c r="B189" s="0" t="s">
        <v>184</v>
      </c>
      <c r="C189" s="22" t="n">
        <f aca="false">C188</f>
        <v>14.536</v>
      </c>
      <c r="D189" s="22" t="n">
        <f aca="false">D188</f>
        <v>22.5183263</v>
      </c>
      <c r="E189" s="22" t="n">
        <f aca="false">E188+0*E178</f>
        <v>37.8060378831163</v>
      </c>
      <c r="F189" s="22" t="n">
        <f aca="false">F188+0*F178</f>
        <v>42.8821652440457</v>
      </c>
      <c r="G189" s="22" t="n">
        <f aca="false">G188+0*G178</f>
        <v>45.3493536375118</v>
      </c>
    </row>
    <row r="190" customFormat="false" ht="15" hidden="false" customHeight="false" outlineLevel="0" collapsed="false">
      <c r="A190" s="4" t="s">
        <v>353</v>
      </c>
      <c r="B190" s="0" t="s">
        <v>184</v>
      </c>
      <c r="C190" s="22" t="n">
        <f aca="false">C185-C189</f>
        <v>63.918</v>
      </c>
      <c r="D190" s="22" t="n">
        <f aca="false">D185-D189</f>
        <v>99.15209302</v>
      </c>
      <c r="E190" s="22" t="n">
        <f aca="false">E185-E189</f>
        <v>184.11868828937</v>
      </c>
      <c r="F190" s="22" t="n">
        <f aca="false">F185-F189</f>
        <v>224.709276872601</v>
      </c>
      <c r="G190" s="22" t="n">
        <f aca="false">G185-G189</f>
        <v>252.68109809166</v>
      </c>
    </row>
    <row r="191" customFormat="false" ht="15" hidden="false" customHeight="false" outlineLevel="0" collapsed="false">
      <c r="A191" s="4" t="s">
        <v>356</v>
      </c>
      <c r="B191" s="0" t="s">
        <v>47</v>
      </c>
      <c r="C191" s="17" t="n">
        <f aca="false">C190/C178</f>
        <v>0.0672351821833815</v>
      </c>
      <c r="D191" s="17" t="n">
        <f aca="false">D190/D178</f>
        <v>0.0679744801834201</v>
      </c>
      <c r="E191" s="17" t="n">
        <f aca="false">E190/E178</f>
        <v>0.0682798880156214</v>
      </c>
      <c r="F191" s="17" t="n">
        <f aca="false">F190/F178</f>
        <v>0.0713566761513849</v>
      </c>
      <c r="G191" s="17" t="n">
        <f aca="false">G190/G178</f>
        <v>0.0748557101099636</v>
      </c>
    </row>
    <row r="192" customFormat="false" ht="17.15" hidden="false" customHeight="false" outlineLevel="0" collapsed="false">
      <c r="A192" s="4" t="s">
        <v>218</v>
      </c>
      <c r="B192" s="0" t="s">
        <v>47</v>
      </c>
      <c r="C192" s="18" t="n">
        <f aca="false">a25_ni/a25_oi</f>
        <v>0.799743421258488</v>
      </c>
      <c r="D192" s="18" t="n">
        <f aca="false">a26_ni/a26_oi</f>
        <v>0.776911976251089</v>
      </c>
      <c r="E192" s="18" t="n">
        <f aca="false">nio_f</f>
        <v>0.78</v>
      </c>
      <c r="F192" s="18" t="n">
        <f aca="false">nio_f</f>
        <v>0.78</v>
      </c>
      <c r="G192" s="18" t="n">
        <f aca="false">nio_f</f>
        <v>0.78</v>
      </c>
    </row>
    <row r="193" customFormat="false" ht="15" hidden="false" customHeight="false" outlineLevel="0" collapsed="false">
      <c r="A193" s="4" t="s">
        <v>357</v>
      </c>
      <c r="B193" s="0" t="s">
        <v>184</v>
      </c>
      <c r="C193" s="22" t="n">
        <f aca="false">a25_ni</f>
        <v>51.118</v>
      </c>
      <c r="D193" s="22" t="n">
        <f aca="false">a26_ni</f>
        <v>77.0324485376</v>
      </c>
      <c r="E193" s="22" t="n">
        <f aca="false">E190*E192</f>
        <v>143.612576865709</v>
      </c>
      <c r="F193" s="22" t="n">
        <f aca="false">F190*F192</f>
        <v>175.273235960629</v>
      </c>
      <c r="G193" s="22" t="n">
        <f aca="false">G190*G192</f>
        <v>197.091256511495</v>
      </c>
      <c r="H193" s="25" t="n">
        <f aca="false">H178*H197</f>
        <v>210.27592745604</v>
      </c>
      <c r="I193" s="25" t="n">
        <f aca="false">I178*I197</f>
        <v>223.507874986552</v>
      </c>
      <c r="J193" s="25" t="n">
        <f aca="false">J178*J197</f>
        <v>236.685209718503</v>
      </c>
    </row>
    <row r="194" customFormat="false" ht="15" hidden="false" customHeight="false" outlineLevel="0" collapsed="false">
      <c r="A194" s="4" t="s">
        <v>465</v>
      </c>
      <c r="B194" s="4" t="s">
        <v>205</v>
      </c>
      <c r="C194" s="29" t="n">
        <f aca="false">a25_sh</f>
        <v>0.554331761662183</v>
      </c>
      <c r="D194" s="29" t="n">
        <f aca="false">a26_sh</f>
        <v>0.556054338618749</v>
      </c>
      <c r="E194" s="29" t="n">
        <f aca="false">D194*(1+sh_g)</f>
        <v>0.558834610311843</v>
      </c>
      <c r="F194" s="29" t="n">
        <f aca="false">E194*(1+sh_g)</f>
        <v>0.561628783363402</v>
      </c>
      <c r="G194" s="29" t="n">
        <f aca="false">F194*(1+sh_g)</f>
        <v>0.564436927280219</v>
      </c>
      <c r="H194" s="31" t="n">
        <f aca="false">G194*(1+sh_g)</f>
        <v>0.56725911191662</v>
      </c>
      <c r="I194" s="31" t="n">
        <f aca="false">H194*(1+sh_g)</f>
        <v>0.570095407476203</v>
      </c>
      <c r="J194" s="31" t="n">
        <f aca="false">I194*(1+sh_g)</f>
        <v>0.572945884513584</v>
      </c>
    </row>
    <row r="195" customFormat="false" ht="17.15" hidden="false" customHeight="false" outlineLevel="0" collapsed="false">
      <c r="A195" s="0" t="s">
        <v>363</v>
      </c>
      <c r="B195" s="0" t="s">
        <v>235</v>
      </c>
      <c r="C195" s="30" t="n">
        <f aca="false">C193/C194</f>
        <v>92.2155350556153</v>
      </c>
      <c r="D195" s="30" t="n">
        <f aca="false">D193/D194</f>
        <v>138.534030197391</v>
      </c>
      <c r="E195" s="30" t="n">
        <f aca="false">E193/E194</f>
        <v>256.985831256173</v>
      </c>
      <c r="F195" s="30" t="n">
        <f aca="false">F193/F194</f>
        <v>312.080223009543</v>
      </c>
      <c r="G195" s="30" t="n">
        <f aca="false">G193/G194</f>
        <v>349.182073294166</v>
      </c>
      <c r="H195" s="28" t="n">
        <f aca="false">H193/H194</f>
        <v>370.687615304359</v>
      </c>
      <c r="I195" s="28" t="n">
        <f aca="false">I193/I194</f>
        <v>392.053456413577</v>
      </c>
      <c r="J195" s="28" t="n">
        <f aca="false">J193/J194</f>
        <v>413.102207583606</v>
      </c>
    </row>
    <row r="196" customFormat="false" ht="17.15" hidden="false" customHeight="false" outlineLevel="0" collapsed="false">
      <c r="A196" s="0" t="s">
        <v>466</v>
      </c>
      <c r="B196" s="0" t="s">
        <v>47</v>
      </c>
      <c r="D196" s="18" t="n">
        <f aca="false">D195/C195-1</f>
        <v>0.502285163924287</v>
      </c>
      <c r="E196" s="18" t="n">
        <f aca="false">E195/D195-1</f>
        <v>0.855037573728316</v>
      </c>
      <c r="F196" s="18" t="n">
        <f aca="false">F195/E195-1</f>
        <v>0.214386884615632</v>
      </c>
      <c r="G196" s="18" t="n">
        <f aca="false">G195/F195-1</f>
        <v>0.118885618341437</v>
      </c>
      <c r="H196" s="26" t="n">
        <f aca="false">H195/G195-1</f>
        <v>0.0615883335799898</v>
      </c>
      <c r="I196" s="26" t="n">
        <f aca="false">I195/H195-1</f>
        <v>0.057638400170652</v>
      </c>
      <c r="J196" s="26" t="n">
        <f aca="false">J195/I195-1</f>
        <v>0.0536884723899107</v>
      </c>
    </row>
    <row r="197" customFormat="false" ht="17.15" hidden="false" customHeight="false" outlineLevel="0" collapsed="false">
      <c r="A197" s="4" t="s">
        <v>467</v>
      </c>
      <c r="B197" s="0" t="s">
        <v>47</v>
      </c>
      <c r="C197" s="17" t="n">
        <f aca="false">C193/C178</f>
        <v>0.0537708946282752</v>
      </c>
      <c r="D197" s="17" t="n">
        <f aca="false">D193/D178</f>
        <v>0.0528101877339414</v>
      </c>
      <c r="E197" s="17" t="n">
        <f aca="false">E193/E178</f>
        <v>0.0532583126521847</v>
      </c>
      <c r="F197" s="17" t="n">
        <f aca="false">F193/F178</f>
        <v>0.0556582073980802</v>
      </c>
      <c r="G197" s="17" t="n">
        <f aca="false">G193/G178</f>
        <v>0.0583874538857716</v>
      </c>
      <c r="H197" s="27" t="n">
        <f aca="false">$G197+(fade_mA-$G197)*1/3</f>
        <v>0.0583301109944728</v>
      </c>
      <c r="I197" s="27" t="n">
        <f aca="false">$G197+(fade_mA-$G197)*2/3</f>
        <v>0.0582727681031741</v>
      </c>
      <c r="J197" s="27" t="n">
        <f aca="false">$G197+(fade_mA-$G197)*3/3</f>
        <v>0.0582154252118753</v>
      </c>
    </row>
    <row r="200" customFormat="false" ht="17.15" hidden="false" customHeight="false" outlineLevel="0" collapsed="false">
      <c r="A200" s="1" t="s">
        <v>738</v>
      </c>
    </row>
    <row r="201" customFormat="false" ht="17.15" hidden="false" customHeight="false" outlineLevel="0" collapsed="false">
      <c r="A201" s="5" t="s">
        <v>16</v>
      </c>
      <c r="B201" s="5" t="s">
        <v>17</v>
      </c>
      <c r="C201" s="14" t="s">
        <v>336</v>
      </c>
      <c r="D201" s="14" t="s">
        <v>415</v>
      </c>
      <c r="E201" s="14" t="s">
        <v>416</v>
      </c>
      <c r="F201" s="14" t="s">
        <v>417</v>
      </c>
      <c r="G201" s="14" t="s">
        <v>418</v>
      </c>
      <c r="H201" s="14" t="s">
        <v>419</v>
      </c>
      <c r="I201" s="14" t="s">
        <v>420</v>
      </c>
      <c r="J201" s="14" t="s">
        <v>421</v>
      </c>
      <c r="K201" s="5" t="s">
        <v>387</v>
      </c>
    </row>
    <row r="202" customFormat="false" ht="17.15" hidden="false" customHeight="false" outlineLevel="0" collapsed="false">
      <c r="A202" s="6" t="s">
        <v>437</v>
      </c>
    </row>
    <row r="203" customFormat="false" ht="17.15" hidden="false" customHeight="false" outlineLevel="0" collapsed="false">
      <c r="A203" s="0" t="s">
        <v>438</v>
      </c>
      <c r="B203" s="0" t="s">
        <v>27</v>
      </c>
      <c r="D203" s="30" t="n">
        <f aca="false">itc_26</f>
        <v>781.872916666667</v>
      </c>
      <c r="E203" s="30" t="n">
        <f aca="false">itc_27*1</f>
        <v>1565.35</v>
      </c>
      <c r="F203" s="30" t="n">
        <f aca="false">itc_28*um28_A*1</f>
        <v>1984.26388888889</v>
      </c>
      <c r="G203" s="30" t="n">
        <f aca="false">itc_29*um29_A*1</f>
        <v>2260.39027777778</v>
      </c>
    </row>
    <row r="204" customFormat="false" ht="17.15" hidden="false" customHeight="false" outlineLevel="0" collapsed="false">
      <c r="A204" s="4" t="s">
        <v>439</v>
      </c>
      <c r="B204" s="0" t="s">
        <v>27</v>
      </c>
      <c r="D204" s="30" t="n">
        <f aca="false">itpg_gb*(1-vr26)+itpg_vr*vr26</f>
        <v>33.41403216</v>
      </c>
      <c r="E204" s="30" t="n">
        <f aca="false">itpg_vr</f>
        <v>37.586352</v>
      </c>
      <c r="F204" s="30" t="n">
        <f aca="false">itpg_vr</f>
        <v>37.586352</v>
      </c>
      <c r="G204" s="30" t="n">
        <f aca="false">itpg_vr</f>
        <v>37.586352</v>
      </c>
    </row>
    <row r="205" customFormat="false" ht="17.15" hidden="false" customHeight="false" outlineLevel="0" collapsed="false">
      <c r="A205" s="4" t="s">
        <v>440</v>
      </c>
      <c r="B205" s="0" t="s">
        <v>389</v>
      </c>
      <c r="D205" s="21" t="n">
        <f aca="false">D203/D204</f>
        <v>23.3995380420639</v>
      </c>
      <c r="E205" s="21" t="n">
        <f aca="false">E203/E204</f>
        <v>41.6467658260637</v>
      </c>
      <c r="F205" s="21" t="n">
        <f aca="false">F203/F204</f>
        <v>52.792138191248</v>
      </c>
      <c r="G205" s="21" t="n">
        <f aca="false">G203/G204</f>
        <v>60.1385917361116</v>
      </c>
    </row>
    <row r="206" customFormat="false" ht="17.15" hidden="false" customHeight="false" outlineLevel="0" collapsed="false">
      <c r="A206" s="4" t="s">
        <v>441</v>
      </c>
      <c r="B206" s="0" t="s">
        <v>408</v>
      </c>
      <c r="D206" s="19" t="n">
        <f aca="false">(racks_gb*odm_gb*(1-vr26)+racks_vr*odm_vr*vr26)/1000</f>
        <v>27.1209</v>
      </c>
      <c r="E206" s="19" t="n">
        <f aca="false">racks_vr*odm_vr/1000</f>
        <v>27.351</v>
      </c>
      <c r="F206" s="19" t="n">
        <f aca="false">$E206*vpg_28</f>
        <v>27.351</v>
      </c>
      <c r="G206" s="19" t="n">
        <f aca="false">$E206*vpg_29</f>
        <v>27.351</v>
      </c>
      <c r="K206" s="4" t="s">
        <v>442</v>
      </c>
    </row>
    <row r="207" customFormat="false" ht="17.15" hidden="false" customHeight="false" outlineLevel="0" collapsed="false">
      <c r="A207" s="0" t="s">
        <v>443</v>
      </c>
      <c r="B207" s="0" t="s">
        <v>27</v>
      </c>
      <c r="D207" s="22" t="n">
        <f aca="false">D205*D206</f>
        <v>634.616531285011</v>
      </c>
      <c r="E207" s="22" t="n">
        <f aca="false">E205*E206</f>
        <v>1139.08069210867</v>
      </c>
      <c r="F207" s="22" t="n">
        <f aca="false">F205*F206</f>
        <v>1443.91777166882</v>
      </c>
      <c r="G207" s="22" t="n">
        <f aca="false">G205*G206</f>
        <v>1644.85062257439</v>
      </c>
    </row>
    <row r="208" customFormat="false" ht="17.15" hidden="false" customHeight="false" outlineLevel="0" collapsed="false">
      <c r="A208" s="0" t="s">
        <v>444</v>
      </c>
      <c r="B208" s="0" t="s">
        <v>184</v>
      </c>
      <c r="D208" s="22" t="n">
        <f aca="false">D207*fx</f>
        <v>20307.7290011204</v>
      </c>
      <c r="E208" s="22" t="n">
        <f aca="false">E207*fx</f>
        <v>36450.5821474774</v>
      </c>
      <c r="F208" s="22" t="n">
        <f aca="false">F207*fx</f>
        <v>46205.3686934024</v>
      </c>
      <c r="G208" s="22" t="n">
        <f aca="false">G207*fx</f>
        <v>52635.2199223804</v>
      </c>
    </row>
    <row r="209" customFormat="false" ht="17.15" hidden="false" customHeight="false" outlineLevel="0" collapsed="false">
      <c r="A209" s="4" t="s">
        <v>445</v>
      </c>
      <c r="B209" s="0" t="s">
        <v>47</v>
      </c>
      <c r="D209" s="17" t="n">
        <f aca="false">a26_ai/D208</f>
        <v>0.0344775081035094</v>
      </c>
      <c r="K209" s="8" t="s">
        <v>446</v>
      </c>
    </row>
    <row r="210" customFormat="false" ht="17.15" hidden="false" customHeight="false" outlineLevel="0" collapsed="false">
      <c r="A210" s="4" t="s">
        <v>447</v>
      </c>
      <c r="B210" s="0" t="s">
        <v>59</v>
      </c>
      <c r="D210" s="19" t="n">
        <f aca="false">1</f>
        <v>1</v>
      </c>
      <c r="E210" s="19" t="n">
        <f aca="false">rel_27</f>
        <v>1</v>
      </c>
      <c r="F210" s="19" t="n">
        <f aca="false">rel_28</f>
        <v>1</v>
      </c>
      <c r="G210" s="19" t="n">
        <f aca="false">rel_29</f>
        <v>0.95</v>
      </c>
    </row>
    <row r="211" customFormat="false" ht="17.15" hidden="false" customHeight="false" outlineLevel="0" collapsed="false">
      <c r="A211" s="0" t="s">
        <v>448</v>
      </c>
      <c r="B211" s="0" t="s">
        <v>59</v>
      </c>
      <c r="D211" s="23" t="n">
        <f aca="false">1</f>
        <v>1</v>
      </c>
      <c r="E211" s="23" t="n">
        <f aca="false">0*((ua_27/ua_26)/(ut_27/ut_26))+(1-0)</f>
        <v>1</v>
      </c>
      <c r="F211" s="23" t="n">
        <f aca="false">0*((ua_28/ua_26)/(ut_28/ut_26))+(1-0)</f>
        <v>1</v>
      </c>
      <c r="G211" s="23" t="n">
        <f aca="false">0*((ua_29/ua_26)/(ut_29/ut_26))+(1-0)</f>
        <v>1</v>
      </c>
      <c r="K211" s="8" t="s">
        <v>449</v>
      </c>
    </row>
    <row r="212" customFormat="false" ht="15" hidden="false" customHeight="false" outlineLevel="0" collapsed="false">
      <c r="A212" s="4" t="s">
        <v>398</v>
      </c>
      <c r="B212" s="0" t="s">
        <v>47</v>
      </c>
      <c r="D212" s="17" t="n">
        <f aca="false">$D$209*D210*D211</f>
        <v>0.0344775081035094</v>
      </c>
      <c r="E212" s="17" t="n">
        <f aca="false">$D$209*E210*E211</f>
        <v>0.0344775081035094</v>
      </c>
      <c r="F212" s="17" t="n">
        <f aca="false">$D$209*F210*F211</f>
        <v>0.0344775081035094</v>
      </c>
      <c r="G212" s="17" t="n">
        <f aca="false">$D$209*G210*G211</f>
        <v>0.0327536326983339</v>
      </c>
    </row>
    <row r="213" customFormat="false" ht="17.15" hidden="false" customHeight="false" outlineLevel="0" collapsed="false">
      <c r="A213" s="0" t="s">
        <v>450</v>
      </c>
      <c r="B213" s="0" t="s">
        <v>184</v>
      </c>
      <c r="D213" s="22" t="n">
        <f aca="false">D208*D212</f>
        <v>700.1598912</v>
      </c>
      <c r="E213" s="22" t="n">
        <f aca="false">E208*E212</f>
        <v>1256.72524136729</v>
      </c>
      <c r="F213" s="22" t="n">
        <f aca="false">F208*F212</f>
        <v>1593.04597355242</v>
      </c>
      <c r="G213" s="22" t="n">
        <f aca="false">G208*G212</f>
        <v>1723.99466033368</v>
      </c>
    </row>
    <row r="214" customFormat="false" ht="17.15" hidden="false" customHeight="false" outlineLevel="0" collapsed="false">
      <c r="A214" s="4" t="s">
        <v>404</v>
      </c>
      <c r="B214" s="0" t="s">
        <v>47</v>
      </c>
      <c r="D214" s="18" t="n">
        <f aca="false">0</f>
        <v>0</v>
      </c>
      <c r="E214" s="18" t="n">
        <f aca="false">cs_27</f>
        <v>0.05</v>
      </c>
      <c r="F214" s="18" t="n">
        <f aca="false">cs_28</f>
        <v>0.1</v>
      </c>
      <c r="G214" s="18" t="n">
        <f aca="false">cs_29</f>
        <v>0.15</v>
      </c>
      <c r="K214" s="8" t="s">
        <v>451</v>
      </c>
    </row>
    <row r="215" customFormat="false" ht="17.15" hidden="false" customHeight="false" outlineLevel="0" collapsed="false">
      <c r="A215" s="0" t="s">
        <v>452</v>
      </c>
      <c r="B215" s="0" t="s">
        <v>184</v>
      </c>
      <c r="C215" s="22" t="n">
        <f aca="false">a25_ai</f>
        <v>475.3315</v>
      </c>
      <c r="D215" s="22" t="n">
        <f aca="false">D213*(1-D214)</f>
        <v>700.1598912</v>
      </c>
      <c r="E215" s="22" t="n">
        <f aca="false">E213*(1-E214)</f>
        <v>1193.88897929892</v>
      </c>
      <c r="F215" s="22" t="n">
        <f aca="false">F213*(1-F214)</f>
        <v>1433.74137619718</v>
      </c>
      <c r="G215" s="22" t="n">
        <f aca="false">G213*(1-G214)</f>
        <v>1465.39546128362</v>
      </c>
    </row>
    <row r="216" customFormat="false" ht="17.15" hidden="false" customHeight="false" outlineLevel="0" collapsed="false">
      <c r="A216" s="6" t="s">
        <v>453</v>
      </c>
    </row>
    <row r="217" customFormat="false" ht="17.15" hidden="false" customHeight="false" outlineLevel="0" collapsed="false">
      <c r="A217" s="4" t="s">
        <v>373</v>
      </c>
      <c r="B217" s="0" t="s">
        <v>184</v>
      </c>
      <c r="C217" s="22" t="n">
        <f aca="false">a25_nai</f>
        <v>475.3315</v>
      </c>
      <c r="D217" s="22" t="n">
        <f aca="false">a26_nai</f>
        <v>758.5065488</v>
      </c>
      <c r="E217" s="22" t="n">
        <f aca="false">D217*(1+g_nai27)</f>
        <v>796.43187624</v>
      </c>
      <c r="F217" s="22" t="n">
        <f aca="false">E217*(1+g_nai28)</f>
        <v>820.3248325272</v>
      </c>
      <c r="G217" s="22" t="n">
        <f aca="false">F217*(1+g_nai29)</f>
        <v>844.934577503016</v>
      </c>
    </row>
    <row r="218" customFormat="false" ht="17.15" hidden="false" customHeight="false" outlineLevel="0" collapsed="false">
      <c r="A218" s="4" t="s">
        <v>342</v>
      </c>
      <c r="B218" s="0" t="s">
        <v>184</v>
      </c>
      <c r="C218" s="22" t="n">
        <f aca="false">C215+C217</f>
        <v>950.663</v>
      </c>
      <c r="D218" s="22" t="n">
        <f aca="false">D215+D217</f>
        <v>1458.66644</v>
      </c>
      <c r="E218" s="22" t="n">
        <f aca="false">E215+E217</f>
        <v>1990.32085553892</v>
      </c>
      <c r="F218" s="22" t="n">
        <f aca="false">F215+F217</f>
        <v>2254.06620872438</v>
      </c>
      <c r="G218" s="22" t="n">
        <f aca="false">G215+G217</f>
        <v>2310.33003878664</v>
      </c>
      <c r="H218" s="25" t="n">
        <f aca="false">G218*(1+H219)</f>
        <v>2394.98212863361</v>
      </c>
      <c r="I218" s="25" t="n">
        <f aca="false">H218*(1+I219)</f>
        <v>2510.70849296383</v>
      </c>
      <c r="J218" s="25" t="n">
        <f aca="false">I218*(1+J219)</f>
        <v>2661.35100254166</v>
      </c>
      <c r="K218" s="8" t="s">
        <v>454</v>
      </c>
    </row>
    <row r="219" customFormat="false" ht="15" hidden="false" customHeight="false" outlineLevel="0" collapsed="false">
      <c r="A219" s="4" t="s">
        <v>455</v>
      </c>
      <c r="B219" s="0" t="s">
        <v>47</v>
      </c>
      <c r="D219" s="18" t="n">
        <f aca="false">D218/C218-1</f>
        <v>0.534367530870561</v>
      </c>
      <c r="E219" s="18" t="n">
        <f aca="false">E218/D218-1</f>
        <v>0.36447977478588</v>
      </c>
      <c r="F219" s="18" t="n">
        <f aca="false">F218/E218-1</f>
        <v>0.13251398760731</v>
      </c>
      <c r="G219" s="18" t="n">
        <f aca="false">G218/F218-1</f>
        <v>0.0249610370114655</v>
      </c>
      <c r="H219" s="26" t="n">
        <f aca="false">$G219+(fade_gA-$G219)*1/3</f>
        <v>0.036640691340977</v>
      </c>
      <c r="I219" s="26" t="n">
        <f aca="false">$G219+(fade_gA-$G219)*2/3</f>
        <v>0.0483203456704885</v>
      </c>
      <c r="J219" s="26" t="n">
        <f aca="false">$G219+(fade_gA-$G219)*3/3</f>
        <v>0.06</v>
      </c>
    </row>
    <row r="220" customFormat="false" ht="17.15" hidden="false" customHeight="false" outlineLevel="0" collapsed="false">
      <c r="A220" s="0" t="s">
        <v>456</v>
      </c>
      <c r="B220" s="0" t="s">
        <v>47</v>
      </c>
      <c r="C220" s="18" t="n">
        <f aca="false">C215/C218</f>
        <v>0.5</v>
      </c>
      <c r="D220" s="18" t="n">
        <f aca="false">D215/D218</f>
        <v>0.48</v>
      </c>
      <c r="E220" s="18" t="n">
        <f aca="false">E215/E218</f>
        <v>0.599847494928475</v>
      </c>
      <c r="F220" s="18" t="n">
        <f aca="false">F215/F218</f>
        <v>0.636068883268767</v>
      </c>
      <c r="G220" s="18" t="n">
        <f aca="false">G215/G218</f>
        <v>0.634279707523187</v>
      </c>
    </row>
    <row r="221" customFormat="false" ht="17.15" hidden="false" customHeight="false" outlineLevel="0" collapsed="false">
      <c r="A221" s="4" t="s">
        <v>407</v>
      </c>
      <c r="B221" s="0" t="s">
        <v>408</v>
      </c>
      <c r="D221" s="23" t="n">
        <f aca="false">D215/fx/D205</f>
        <v>0.935061049524468</v>
      </c>
      <c r="E221" s="23" t="n">
        <f aca="false">E215/fx/E205</f>
        <v>0.895844607932131</v>
      </c>
      <c r="F221" s="23" t="n">
        <f aca="false">F215/fx/F205</f>
        <v>0.848694891725177</v>
      </c>
      <c r="G221" s="23" t="n">
        <f aca="false">G215/fx/G205</f>
        <v>0.761467916742311</v>
      </c>
    </row>
    <row r="222" customFormat="false" ht="17.15" hidden="false" customHeight="false" outlineLevel="0" collapsed="false">
      <c r="A222" s="6" t="s">
        <v>457</v>
      </c>
    </row>
    <row r="223" customFormat="false" ht="17.15" hidden="false" customHeight="false" outlineLevel="0" collapsed="false">
      <c r="A223" s="4" t="s">
        <v>458</v>
      </c>
      <c r="B223" s="0" t="s">
        <v>47</v>
      </c>
      <c r="D223" s="17" t="n">
        <f aca="false">a26_gp/D218-d_ai*D220</f>
        <v>0.0882120920201606</v>
      </c>
      <c r="K223" s="8" t="s">
        <v>459</v>
      </c>
    </row>
    <row r="224" customFormat="false" ht="17.15" hidden="false" customHeight="false" outlineLevel="0" collapsed="false">
      <c r="A224" s="0" t="s">
        <v>460</v>
      </c>
      <c r="B224" s="0" t="s">
        <v>184</v>
      </c>
      <c r="D224" s="30" t="n">
        <f aca="false">($D$223+d_ai)*D213*(1-D214*(1-keep))</f>
        <v>54.76096983936</v>
      </c>
      <c r="E224" s="30" t="n">
        <f aca="false">($D$223+d_ai+vrd)*E213*(1-E214*(1-keep))</f>
        <v>95.2987714404463</v>
      </c>
      <c r="F224" s="30" t="n">
        <f aca="false">($D$223+d_ai+vrd)*F213*(1-F214*(1-keep))</f>
        <v>120.195272665436</v>
      </c>
      <c r="G224" s="30" t="n">
        <f aca="false">($D$223+d_ai+vrd)*G213*(1-G214*(1-keep))</f>
        <v>129.418401100181</v>
      </c>
      <c r="K224" s="4" t="s">
        <v>461</v>
      </c>
    </row>
    <row r="225" customFormat="false" ht="15" hidden="false" customHeight="false" outlineLevel="0" collapsed="false">
      <c r="A225" s="4" t="s">
        <v>346</v>
      </c>
      <c r="B225" s="0" t="s">
        <v>184</v>
      </c>
      <c r="C225" s="22" t="n">
        <f aca="false">a25_gp</f>
        <v>78.454</v>
      </c>
      <c r="D225" s="22" t="n">
        <f aca="false">a26_gp</f>
        <v>121.67041932</v>
      </c>
      <c r="E225" s="22" t="n">
        <f aca="false">$D$223*E217+E224</f>
        <v>165.553693395118</v>
      </c>
      <c r="F225" s="22" t="n">
        <f aca="false">$D$223*F217+F224</f>
        <v>192.557842278748</v>
      </c>
      <c r="G225" s="22" t="n">
        <f aca="false">$D$223*G217+G224</f>
        <v>203.951847801893</v>
      </c>
    </row>
    <row r="226" customFormat="false" ht="15" hidden="false" customHeight="false" outlineLevel="0" collapsed="false">
      <c r="A226" s="4" t="s">
        <v>349</v>
      </c>
      <c r="B226" s="0" t="s">
        <v>47</v>
      </c>
      <c r="C226" s="17" t="n">
        <f aca="false">C225/C218</f>
        <v>0.0825255637381491</v>
      </c>
      <c r="D226" s="17" t="n">
        <f aca="false">D225/D218</f>
        <v>0.0834120920201606</v>
      </c>
      <c r="E226" s="17" t="n">
        <f aca="false">E225/E218</f>
        <v>0.0831793994090924</v>
      </c>
      <c r="F226" s="17" t="n">
        <f aca="false">F225/F218</f>
        <v>0.0854268794472194</v>
      </c>
      <c r="G226" s="17" t="n">
        <f aca="false">G225/G218</f>
        <v>0.0882782305462323</v>
      </c>
    </row>
    <row r="227" customFormat="false" ht="17.15" hidden="false" customHeight="false" outlineLevel="0" collapsed="false">
      <c r="A227" s="0" t="s">
        <v>462</v>
      </c>
      <c r="B227" s="0" t="s">
        <v>47</v>
      </c>
      <c r="D227" s="17" t="n">
        <f aca="false">D224/D215</f>
        <v>0.0782120920201606</v>
      </c>
      <c r="E227" s="17" t="n">
        <f aca="false">E224/E215</f>
        <v>0.0798221384842734</v>
      </c>
      <c r="F227" s="17" t="n">
        <f aca="false">F224/F215</f>
        <v>0.0838333012221766</v>
      </c>
      <c r="G227" s="17" t="n">
        <f aca="false">G224/G215</f>
        <v>0.0883163654586567</v>
      </c>
      <c r="K227" s="4" t="s">
        <v>463</v>
      </c>
    </row>
    <row r="228" customFormat="false" ht="15" hidden="false" customHeight="false" outlineLevel="0" collapsed="false">
      <c r="A228" s="4" t="s">
        <v>464</v>
      </c>
      <c r="B228" s="0" t="s">
        <v>184</v>
      </c>
      <c r="C228" s="22" t="n">
        <f aca="false">a25_opx</f>
        <v>14.536</v>
      </c>
      <c r="D228" s="22" t="n">
        <f aca="false">a26_opx</f>
        <v>22.5183263</v>
      </c>
      <c r="E228" s="22" t="n">
        <f aca="false">D228*(1+MAX(0,phi*E219))</f>
        <v>29.0843058987032</v>
      </c>
      <c r="F228" s="22" t="n">
        <f aca="false">E228*(1+MAX(0,phi*F219))</f>
        <v>32.1675677798456</v>
      </c>
      <c r="G228" s="22" t="n">
        <f aca="false">F228*(1+MAX(0,phi*G219))</f>
        <v>32.8099164597828</v>
      </c>
    </row>
    <row r="229" customFormat="false" ht="15" hidden="false" customHeight="false" outlineLevel="0" collapsed="false">
      <c r="A229" s="4" t="s">
        <v>350</v>
      </c>
      <c r="B229" s="0" t="s">
        <v>184</v>
      </c>
      <c r="C229" s="22" t="n">
        <f aca="false">C228</f>
        <v>14.536</v>
      </c>
      <c r="D229" s="22" t="n">
        <f aca="false">D228</f>
        <v>22.5183263</v>
      </c>
      <c r="E229" s="22" t="n">
        <f aca="false">E228+0*E218</f>
        <v>29.0843058987032</v>
      </c>
      <c r="F229" s="22" t="n">
        <f aca="false">F228+0*F218</f>
        <v>32.1675677798456</v>
      </c>
      <c r="G229" s="22" t="n">
        <f aca="false">G228+0*G218</f>
        <v>32.8099164597828</v>
      </c>
    </row>
    <row r="230" customFormat="false" ht="15" hidden="false" customHeight="false" outlineLevel="0" collapsed="false">
      <c r="A230" s="4" t="s">
        <v>353</v>
      </c>
      <c r="B230" s="0" t="s">
        <v>184</v>
      </c>
      <c r="C230" s="22" t="n">
        <f aca="false">C225-C229</f>
        <v>63.918</v>
      </c>
      <c r="D230" s="22" t="n">
        <f aca="false">D225-D229</f>
        <v>99.15209302</v>
      </c>
      <c r="E230" s="22" t="n">
        <f aca="false">E225-E229</f>
        <v>136.469387496415</v>
      </c>
      <c r="F230" s="22" t="n">
        <f aca="false">F225-F229</f>
        <v>160.390274498903</v>
      </c>
      <c r="G230" s="22" t="n">
        <f aca="false">G225-G229</f>
        <v>171.14193134211</v>
      </c>
    </row>
    <row r="231" customFormat="false" ht="15" hidden="false" customHeight="false" outlineLevel="0" collapsed="false">
      <c r="A231" s="4" t="s">
        <v>356</v>
      </c>
      <c r="B231" s="0" t="s">
        <v>47</v>
      </c>
      <c r="C231" s="17" t="n">
        <f aca="false">C230/C218</f>
        <v>0.0672351821833815</v>
      </c>
      <c r="D231" s="17" t="n">
        <f aca="false">D230/D218</f>
        <v>0.0679744801834201</v>
      </c>
      <c r="E231" s="17" t="n">
        <f aca="false">E230/E218</f>
        <v>0.0685665264053434</v>
      </c>
      <c r="F231" s="17" t="n">
        <f aca="false">F230/F218</f>
        <v>0.0711559730934749</v>
      </c>
      <c r="G231" s="17" t="n">
        <f aca="false">G230/G218</f>
        <v>0.0740768325169645</v>
      </c>
    </row>
    <row r="232" customFormat="false" ht="17.15" hidden="false" customHeight="false" outlineLevel="0" collapsed="false">
      <c r="A232" s="4" t="s">
        <v>218</v>
      </c>
      <c r="B232" s="0" t="s">
        <v>47</v>
      </c>
      <c r="C232" s="18" t="n">
        <f aca="false">a25_ni/a25_oi</f>
        <v>0.799743421258488</v>
      </c>
      <c r="D232" s="18" t="n">
        <f aca="false">a26_ni/a26_oi</f>
        <v>0.776911976251089</v>
      </c>
      <c r="E232" s="18" t="n">
        <f aca="false">nio_f</f>
        <v>0.78</v>
      </c>
      <c r="F232" s="18" t="n">
        <f aca="false">nio_f</f>
        <v>0.78</v>
      </c>
      <c r="G232" s="18" t="n">
        <f aca="false">nio_f</f>
        <v>0.78</v>
      </c>
    </row>
    <row r="233" customFormat="false" ht="15" hidden="false" customHeight="false" outlineLevel="0" collapsed="false">
      <c r="A233" s="4" t="s">
        <v>357</v>
      </c>
      <c r="B233" s="0" t="s">
        <v>184</v>
      </c>
      <c r="C233" s="22" t="n">
        <f aca="false">a25_ni</f>
        <v>51.118</v>
      </c>
      <c r="D233" s="22" t="n">
        <f aca="false">a26_ni</f>
        <v>77.0324485376</v>
      </c>
      <c r="E233" s="22" t="n">
        <f aca="false">E230*E232</f>
        <v>106.446122247204</v>
      </c>
      <c r="F233" s="22" t="n">
        <f aca="false">F230*F232</f>
        <v>125.104414109144</v>
      </c>
      <c r="G233" s="22" t="n">
        <f aca="false">G230*G232</f>
        <v>133.490706446846</v>
      </c>
      <c r="H233" s="25" t="n">
        <f aca="false">H218*H237</f>
        <v>138.729566476852</v>
      </c>
      <c r="I233" s="25" t="n">
        <f aca="false">I218*I237</f>
        <v>145.797494792343</v>
      </c>
      <c r="J233" s="25" t="n">
        <f aca="false">J218*J237</f>
        <v>154.931680251013</v>
      </c>
    </row>
    <row r="234" customFormat="false" ht="15" hidden="false" customHeight="false" outlineLevel="0" collapsed="false">
      <c r="A234" s="4" t="s">
        <v>465</v>
      </c>
      <c r="B234" s="4" t="s">
        <v>205</v>
      </c>
      <c r="C234" s="29" t="n">
        <f aca="false">a25_sh</f>
        <v>0.554331761662183</v>
      </c>
      <c r="D234" s="29" t="n">
        <f aca="false">a26_sh</f>
        <v>0.556054338618749</v>
      </c>
      <c r="E234" s="29" t="n">
        <f aca="false">D234*(1+sh_g)</f>
        <v>0.558834610311843</v>
      </c>
      <c r="F234" s="29" t="n">
        <f aca="false">E234*(1+sh_g)</f>
        <v>0.561628783363402</v>
      </c>
      <c r="G234" s="29" t="n">
        <f aca="false">F234*(1+sh_g)</f>
        <v>0.564436927280219</v>
      </c>
      <c r="H234" s="31" t="n">
        <f aca="false">G234*(1+sh_g)</f>
        <v>0.56725911191662</v>
      </c>
      <c r="I234" s="31" t="n">
        <f aca="false">H234*(1+sh_g)</f>
        <v>0.570095407476203</v>
      </c>
      <c r="J234" s="31" t="n">
        <f aca="false">I234*(1+sh_g)</f>
        <v>0.572945884513584</v>
      </c>
    </row>
    <row r="235" customFormat="false" ht="17.15" hidden="false" customHeight="false" outlineLevel="0" collapsed="false">
      <c r="A235" s="0" t="s">
        <v>363</v>
      </c>
      <c r="B235" s="0" t="s">
        <v>235</v>
      </c>
      <c r="C235" s="30" t="n">
        <f aca="false">C233/C234</f>
        <v>92.2155350556153</v>
      </c>
      <c r="D235" s="30" t="n">
        <f aca="false">D233/D234</f>
        <v>138.534030197391</v>
      </c>
      <c r="E235" s="30" t="n">
        <f aca="false">E233/E234</f>
        <v>190.478757548328</v>
      </c>
      <c r="F235" s="30" t="n">
        <f aca="false">F233/F234</f>
        <v>222.752853512843</v>
      </c>
      <c r="G235" s="30" t="n">
        <f aca="false">G233/G234</f>
        <v>236.502432769735</v>
      </c>
      <c r="H235" s="28" t="n">
        <f aca="false">H233/H234</f>
        <v>244.561195338266</v>
      </c>
      <c r="I235" s="28" t="n">
        <f aca="false">I233/I234</f>
        <v>255.742272048436</v>
      </c>
      <c r="J235" s="28" t="n">
        <f aca="false">J233/J234</f>
        <v>270.412414922129</v>
      </c>
    </row>
    <row r="236" customFormat="false" ht="17.15" hidden="false" customHeight="false" outlineLevel="0" collapsed="false">
      <c r="A236" s="0" t="s">
        <v>466</v>
      </c>
      <c r="B236" s="0" t="s">
        <v>47</v>
      </c>
      <c r="D236" s="18" t="n">
        <f aca="false">D235/C235-1</f>
        <v>0.502285163924287</v>
      </c>
      <c r="E236" s="18" t="n">
        <f aca="false">E235/D235-1</f>
        <v>0.374960053330748</v>
      </c>
      <c r="F236" s="18" t="n">
        <f aca="false">F235/E235-1</f>
        <v>0.169436720293214</v>
      </c>
      <c r="G236" s="18" t="n">
        <f aca="false">G235/F235-1</f>
        <v>0.0617257154737165</v>
      </c>
      <c r="H236" s="26" t="n">
        <f aca="false">H235/G235-1</f>
        <v>0.0340747554862446</v>
      </c>
      <c r="I236" s="26" t="n">
        <f aca="false">I235/H235-1</f>
        <v>0.045718932207151</v>
      </c>
      <c r="J236" s="26" t="n">
        <f aca="false">J235/I235-1</f>
        <v>0.057362995785516</v>
      </c>
    </row>
    <row r="237" customFormat="false" ht="17.15" hidden="false" customHeight="false" outlineLevel="0" collapsed="false">
      <c r="A237" s="4" t="s">
        <v>467</v>
      </c>
      <c r="B237" s="0" t="s">
        <v>47</v>
      </c>
      <c r="C237" s="17" t="n">
        <f aca="false">C233/C218</f>
        <v>0.0537708946282752</v>
      </c>
      <c r="D237" s="17" t="n">
        <f aca="false">D233/D218</f>
        <v>0.0528101877339414</v>
      </c>
      <c r="E237" s="17" t="n">
        <f aca="false">E233/E218</f>
        <v>0.0534818905961679</v>
      </c>
      <c r="F237" s="17" t="n">
        <f aca="false">F233/F218</f>
        <v>0.0555016590129104</v>
      </c>
      <c r="G237" s="17" t="n">
        <f aca="false">G233/G218</f>
        <v>0.0577799293632323</v>
      </c>
      <c r="H237" s="27" t="n">
        <f aca="false">$G237+(fade_mA-$G237)*1/3</f>
        <v>0.0579250946461133</v>
      </c>
      <c r="I237" s="27" t="n">
        <f aca="false">$G237+(fade_mA-$G237)*2/3</f>
        <v>0.0580702599289943</v>
      </c>
      <c r="J237" s="27" t="n">
        <f aca="false">$G237+(fade_mA-$G237)*3/3</f>
        <v>0.0582154252118753</v>
      </c>
    </row>
    <row r="240" customFormat="false" ht="17.15" hidden="false" customHeight="false" outlineLevel="0" collapsed="false">
      <c r="A240" s="1" t="s">
        <v>739</v>
      </c>
    </row>
    <row r="241" customFormat="false" ht="17.15" hidden="false" customHeight="false" outlineLevel="0" collapsed="false">
      <c r="A241" s="5" t="s">
        <v>16</v>
      </c>
      <c r="B241" s="5" t="s">
        <v>17</v>
      </c>
      <c r="C241" s="14" t="s">
        <v>336</v>
      </c>
      <c r="D241" s="14" t="s">
        <v>415</v>
      </c>
      <c r="E241" s="14" t="s">
        <v>416</v>
      </c>
      <c r="F241" s="14" t="s">
        <v>417</v>
      </c>
      <c r="G241" s="14" t="s">
        <v>418</v>
      </c>
      <c r="H241" s="14" t="s">
        <v>419</v>
      </c>
      <c r="I241" s="14" t="s">
        <v>420</v>
      </c>
      <c r="J241" s="14" t="s">
        <v>421</v>
      </c>
      <c r="K241" s="5" t="s">
        <v>387</v>
      </c>
    </row>
    <row r="242" customFormat="false" ht="17.15" hidden="false" customHeight="false" outlineLevel="0" collapsed="false">
      <c r="A242" s="6" t="s">
        <v>437</v>
      </c>
    </row>
    <row r="243" customFormat="false" ht="17.15" hidden="false" customHeight="false" outlineLevel="0" collapsed="false">
      <c r="A243" s="0" t="s">
        <v>438</v>
      </c>
      <c r="B243" s="0" t="s">
        <v>27</v>
      </c>
      <c r="D243" s="30" t="n">
        <f aca="false">itc_26</f>
        <v>781.872916666667</v>
      </c>
      <c r="E243" s="30" t="n">
        <f aca="false">itc_27*1</f>
        <v>1565.35</v>
      </c>
      <c r="F243" s="30" t="n">
        <f aca="false">itc_28*um28_A*1</f>
        <v>1984.26388888889</v>
      </c>
      <c r="G243" s="30" t="n">
        <f aca="false">itc_29*um29_A*1</f>
        <v>2260.39027777778</v>
      </c>
    </row>
    <row r="244" customFormat="false" ht="17.15" hidden="false" customHeight="false" outlineLevel="0" collapsed="false">
      <c r="A244" s="4" t="s">
        <v>439</v>
      </c>
      <c r="B244" s="0" t="s">
        <v>27</v>
      </c>
      <c r="D244" s="30" t="n">
        <f aca="false">itpg_gb*(1-vr26)+itpg_vr*vr26</f>
        <v>33.41403216</v>
      </c>
      <c r="E244" s="30" t="n">
        <f aca="false">itpg_vr</f>
        <v>37.586352</v>
      </c>
      <c r="F244" s="30" t="n">
        <f aca="false">itpg_vr</f>
        <v>37.586352</v>
      </c>
      <c r="G244" s="30" t="n">
        <f aca="false">itpg_vr</f>
        <v>37.586352</v>
      </c>
    </row>
    <row r="245" customFormat="false" ht="17.15" hidden="false" customHeight="false" outlineLevel="0" collapsed="false">
      <c r="A245" s="4" t="s">
        <v>440</v>
      </c>
      <c r="B245" s="0" t="s">
        <v>389</v>
      </c>
      <c r="D245" s="21" t="n">
        <f aca="false">D243/D244</f>
        <v>23.3995380420639</v>
      </c>
      <c r="E245" s="21" t="n">
        <f aca="false">E243/E244</f>
        <v>41.6467658260637</v>
      </c>
      <c r="F245" s="21" t="n">
        <f aca="false">F243/F244</f>
        <v>52.792138191248</v>
      </c>
      <c r="G245" s="21" t="n">
        <f aca="false">G243/G244</f>
        <v>60.1385917361116</v>
      </c>
    </row>
    <row r="246" customFormat="false" ht="17.15" hidden="false" customHeight="false" outlineLevel="0" collapsed="false">
      <c r="A246" s="4" t="s">
        <v>441</v>
      </c>
      <c r="B246" s="0" t="s">
        <v>408</v>
      </c>
      <c r="D246" s="19" t="n">
        <f aca="false">(racks_gb*odm_gb*(1-vr26)+racks_vr*odm_vr*vr26)/1000</f>
        <v>27.1209</v>
      </c>
      <c r="E246" s="19" t="n">
        <f aca="false">racks_vr*odm_vr/1000</f>
        <v>27.351</v>
      </c>
      <c r="F246" s="19" t="n">
        <f aca="false">$E246*vpg_28</f>
        <v>27.351</v>
      </c>
      <c r="G246" s="19" t="n">
        <f aca="false">$E246*vpg_29</f>
        <v>27.351</v>
      </c>
      <c r="K246" s="4" t="s">
        <v>442</v>
      </c>
    </row>
    <row r="247" customFormat="false" ht="17.15" hidden="false" customHeight="false" outlineLevel="0" collapsed="false">
      <c r="A247" s="0" t="s">
        <v>443</v>
      </c>
      <c r="B247" s="0" t="s">
        <v>27</v>
      </c>
      <c r="D247" s="22" t="n">
        <f aca="false">D245*D246</f>
        <v>634.616531285011</v>
      </c>
      <c r="E247" s="22" t="n">
        <f aca="false">E245*E246</f>
        <v>1139.08069210867</v>
      </c>
      <c r="F247" s="22" t="n">
        <f aca="false">F245*F246</f>
        <v>1443.91777166882</v>
      </c>
      <c r="G247" s="22" t="n">
        <f aca="false">G245*G246</f>
        <v>1644.85062257439</v>
      </c>
    </row>
    <row r="248" customFormat="false" ht="17.15" hidden="false" customHeight="false" outlineLevel="0" collapsed="false">
      <c r="A248" s="0" t="s">
        <v>444</v>
      </c>
      <c r="B248" s="0" t="s">
        <v>184</v>
      </c>
      <c r="D248" s="22" t="n">
        <f aca="false">D247*fx</f>
        <v>20307.7290011204</v>
      </c>
      <c r="E248" s="22" t="n">
        <f aca="false">E247*fx</f>
        <v>36450.5821474774</v>
      </c>
      <c r="F248" s="22" t="n">
        <f aca="false">F247*fx</f>
        <v>46205.3686934024</v>
      </c>
      <c r="G248" s="22" t="n">
        <f aca="false">G247*fx</f>
        <v>52635.2199223804</v>
      </c>
    </row>
    <row r="249" customFormat="false" ht="17.15" hidden="false" customHeight="false" outlineLevel="0" collapsed="false">
      <c r="A249" s="4" t="s">
        <v>445</v>
      </c>
      <c r="B249" s="0" t="s">
        <v>47</v>
      </c>
      <c r="D249" s="17" t="n">
        <f aca="false">a26_ai/D248</f>
        <v>0.0344775081035094</v>
      </c>
      <c r="K249" s="8" t="s">
        <v>446</v>
      </c>
    </row>
    <row r="250" customFormat="false" ht="17.15" hidden="false" customHeight="false" outlineLevel="0" collapsed="false">
      <c r="A250" s="4" t="s">
        <v>447</v>
      </c>
      <c r="B250" s="0" t="s">
        <v>59</v>
      </c>
      <c r="D250" s="19" t="n">
        <f aca="false">1</f>
        <v>1</v>
      </c>
      <c r="E250" s="19" t="n">
        <f aca="false">rel_27</f>
        <v>1</v>
      </c>
      <c r="F250" s="19" t="n">
        <f aca="false">rel_28</f>
        <v>1</v>
      </c>
      <c r="G250" s="19" t="n">
        <f aca="false">rel_29</f>
        <v>0.95</v>
      </c>
    </row>
    <row r="251" customFormat="false" ht="17.15" hidden="false" customHeight="false" outlineLevel="0" collapsed="false">
      <c r="A251" s="0" t="s">
        <v>448</v>
      </c>
      <c r="B251" s="0" t="s">
        <v>59</v>
      </c>
      <c r="D251" s="23" t="n">
        <f aca="false">1</f>
        <v>1</v>
      </c>
      <c r="E251" s="23" t="n">
        <f aca="false">asic_mix_lo*((ua_27/ua_26)/(ut_27/ut_26))+(1-asic_mix_lo)</f>
        <v>1.42201125175809</v>
      </c>
      <c r="F251" s="23" t="n">
        <f aca="false">asic_mix_lo*((ua_28/ua_26)/(ut_28/ut_26))+(1-asic_mix_lo)</f>
        <v>1.45012578616352</v>
      </c>
      <c r="G251" s="23" t="n">
        <f aca="false">asic_mix_lo*((ua_29/ua_26)/(ut_29/ut_26))+(1-asic_mix_lo)</f>
        <v>1.46414040906578</v>
      </c>
      <c r="K251" s="8" t="s">
        <v>449</v>
      </c>
    </row>
    <row r="252" customFormat="false" ht="15" hidden="false" customHeight="false" outlineLevel="0" collapsed="false">
      <c r="A252" s="4" t="s">
        <v>398</v>
      </c>
      <c r="B252" s="0" t="s">
        <v>47</v>
      </c>
      <c r="D252" s="17" t="n">
        <f aca="false">$D$249*D250*D251</f>
        <v>0.0344775081035094</v>
      </c>
      <c r="E252" s="17" t="n">
        <f aca="false">$D$249*E250*E251</f>
        <v>0.049027404455771</v>
      </c>
      <c r="F252" s="17" t="n">
        <f aca="false">$D$249*F250*F251</f>
        <v>0.0499967235435608</v>
      </c>
      <c r="G252" s="17" t="n">
        <f aca="false">$D$249*G250*G251</f>
        <v>0.047955917177329</v>
      </c>
    </row>
    <row r="253" customFormat="false" ht="17.15" hidden="false" customHeight="false" outlineLevel="0" collapsed="false">
      <c r="A253" s="0" t="s">
        <v>450</v>
      </c>
      <c r="B253" s="0" t="s">
        <v>184</v>
      </c>
      <c r="D253" s="22" t="n">
        <f aca="false">D248*D252</f>
        <v>700.1598912</v>
      </c>
      <c r="E253" s="22" t="n">
        <f aca="false">E248*E252</f>
        <v>1787.07743359268</v>
      </c>
      <c r="F253" s="22" t="n">
        <f aca="false">F248*F252</f>
        <v>2310.11704479233</v>
      </c>
      <c r="G253" s="22" t="n">
        <f aca="false">G248*G252</f>
        <v>2524.17024720817</v>
      </c>
    </row>
    <row r="254" customFormat="false" ht="17.15" hidden="false" customHeight="false" outlineLevel="0" collapsed="false">
      <c r="A254" s="4" t="s">
        <v>404</v>
      </c>
      <c r="B254" s="0" t="s">
        <v>47</v>
      </c>
      <c r="D254" s="18" t="n">
        <f aca="false">0</f>
        <v>0</v>
      </c>
      <c r="E254" s="18" t="n">
        <f aca="false">cs_27</f>
        <v>0.05</v>
      </c>
      <c r="F254" s="18" t="n">
        <f aca="false">cs_28</f>
        <v>0.1</v>
      </c>
      <c r="G254" s="18" t="n">
        <f aca="false">cs_29</f>
        <v>0.15</v>
      </c>
      <c r="K254" s="8" t="s">
        <v>451</v>
      </c>
    </row>
    <row r="255" customFormat="false" ht="17.15" hidden="false" customHeight="false" outlineLevel="0" collapsed="false">
      <c r="A255" s="0" t="s">
        <v>452</v>
      </c>
      <c r="B255" s="0" t="s">
        <v>184</v>
      </c>
      <c r="C255" s="22" t="n">
        <f aca="false">a25_ai</f>
        <v>475.3315</v>
      </c>
      <c r="D255" s="22" t="n">
        <f aca="false">D253*(1-D254)</f>
        <v>700.1598912</v>
      </c>
      <c r="E255" s="22" t="n">
        <f aca="false">E253*(1-E254)</f>
        <v>1697.72356191304</v>
      </c>
      <c r="F255" s="22" t="n">
        <f aca="false">F253*(1-F254)</f>
        <v>2079.1053403131</v>
      </c>
      <c r="G255" s="22" t="n">
        <f aca="false">G253*(1-G254)</f>
        <v>2145.54471012695</v>
      </c>
    </row>
    <row r="256" customFormat="false" ht="17.15" hidden="false" customHeight="false" outlineLevel="0" collapsed="false">
      <c r="A256" s="6" t="s">
        <v>453</v>
      </c>
    </row>
    <row r="257" customFormat="false" ht="17.15" hidden="false" customHeight="false" outlineLevel="0" collapsed="false">
      <c r="A257" s="4" t="s">
        <v>373</v>
      </c>
      <c r="B257" s="0" t="s">
        <v>184</v>
      </c>
      <c r="C257" s="22" t="n">
        <f aca="false">a25_nai</f>
        <v>475.3315</v>
      </c>
      <c r="D257" s="22" t="n">
        <f aca="false">a26_nai</f>
        <v>758.5065488</v>
      </c>
      <c r="E257" s="22" t="n">
        <f aca="false">D257*(1+g_nai27)</f>
        <v>796.43187624</v>
      </c>
      <c r="F257" s="22" t="n">
        <f aca="false">E257*(1+g_nai28)</f>
        <v>820.3248325272</v>
      </c>
      <c r="G257" s="22" t="n">
        <f aca="false">F257*(1+g_nai29)</f>
        <v>844.934577503016</v>
      </c>
    </row>
    <row r="258" customFormat="false" ht="17.15" hidden="false" customHeight="false" outlineLevel="0" collapsed="false">
      <c r="A258" s="4" t="s">
        <v>342</v>
      </c>
      <c r="B258" s="0" t="s">
        <v>184</v>
      </c>
      <c r="C258" s="22" t="n">
        <f aca="false">C255+C257</f>
        <v>950.663</v>
      </c>
      <c r="D258" s="22" t="n">
        <f aca="false">D255+D257</f>
        <v>1458.66644</v>
      </c>
      <c r="E258" s="22" t="n">
        <f aca="false">E255+E257</f>
        <v>2494.15543815304</v>
      </c>
      <c r="F258" s="22" t="n">
        <f aca="false">F255+F257</f>
        <v>2899.4301728403</v>
      </c>
      <c r="G258" s="22" t="n">
        <f aca="false">G255+G257</f>
        <v>2990.47928762996</v>
      </c>
      <c r="H258" s="25" t="n">
        <f aca="false">G258*(1+H259)</f>
        <v>3112.89439141068</v>
      </c>
      <c r="I258" s="25" t="n">
        <f aca="false">H258*(1+I259)</f>
        <v>3269.99430278528</v>
      </c>
      <c r="J258" s="25" t="n">
        <f aca="false">I258*(1+J259)</f>
        <v>3466.1939609524</v>
      </c>
      <c r="K258" s="8" t="s">
        <v>454</v>
      </c>
    </row>
    <row r="259" customFormat="false" ht="15" hidden="false" customHeight="false" outlineLevel="0" collapsed="false">
      <c r="A259" s="4" t="s">
        <v>455</v>
      </c>
      <c r="B259" s="0" t="s">
        <v>47</v>
      </c>
      <c r="D259" s="18" t="n">
        <f aca="false">D258/C258-1</f>
        <v>0.534367530870561</v>
      </c>
      <c r="E259" s="18" t="n">
        <f aca="false">E258/D258-1</f>
        <v>0.709887449081946</v>
      </c>
      <c r="F259" s="18" t="n">
        <f aca="false">F258/E258-1</f>
        <v>0.162489766470757</v>
      </c>
      <c r="G259" s="18" t="n">
        <f aca="false">G258/F258-1</f>
        <v>0.0314024168067713</v>
      </c>
      <c r="H259" s="26" t="n">
        <f aca="false">$G259+(fade_gA-$G259)*1/3</f>
        <v>0.0409349445378475</v>
      </c>
      <c r="I259" s="26" t="n">
        <f aca="false">$G259+(fade_gA-$G259)*2/3</f>
        <v>0.0504674722689237</v>
      </c>
      <c r="J259" s="26" t="n">
        <f aca="false">$G259+(fade_gA-$G259)*3/3</f>
        <v>0.06</v>
      </c>
    </row>
    <row r="260" customFormat="false" ht="17.15" hidden="false" customHeight="false" outlineLevel="0" collapsed="false">
      <c r="A260" s="0" t="s">
        <v>456</v>
      </c>
      <c r="B260" s="0" t="s">
        <v>47</v>
      </c>
      <c r="C260" s="18" t="n">
        <f aca="false">C255/C258</f>
        <v>0.5</v>
      </c>
      <c r="D260" s="18" t="n">
        <f aca="false">D255/D258</f>
        <v>0.48</v>
      </c>
      <c r="E260" s="18" t="n">
        <f aca="false">E255/E258</f>
        <v>0.680680737031462</v>
      </c>
      <c r="F260" s="18" t="n">
        <f aca="false">F255/F258</f>
        <v>0.717073775319236</v>
      </c>
      <c r="G260" s="18" t="n">
        <f aca="false">G255/G258</f>
        <v>0.717458475302583</v>
      </c>
    </row>
    <row r="261" customFormat="false" ht="17.15" hidden="false" customHeight="false" outlineLevel="0" collapsed="false">
      <c r="A261" s="4" t="s">
        <v>407</v>
      </c>
      <c r="B261" s="0" t="s">
        <v>408</v>
      </c>
      <c r="D261" s="23" t="n">
        <f aca="false">D255/fx/D245</f>
        <v>0.935061049524468</v>
      </c>
      <c r="E261" s="23" t="n">
        <f aca="false">E255/fx/E245</f>
        <v>1.2739011123063</v>
      </c>
      <c r="F261" s="23" t="n">
        <f aca="false">F255/fx/F245</f>
        <v>1.23071434707594</v>
      </c>
      <c r="G261" s="23" t="n">
        <f aca="false">G255/fx/G245</f>
        <v>1.11489594710956</v>
      </c>
    </row>
    <row r="262" customFormat="false" ht="17.15" hidden="false" customHeight="false" outlineLevel="0" collapsed="false">
      <c r="A262" s="6" t="s">
        <v>457</v>
      </c>
    </row>
    <row r="263" customFormat="false" ht="17.15" hidden="false" customHeight="false" outlineLevel="0" collapsed="false">
      <c r="A263" s="4" t="s">
        <v>458</v>
      </c>
      <c r="B263" s="0" t="s">
        <v>47</v>
      </c>
      <c r="D263" s="17" t="n">
        <f aca="false">a26_gp/D258-d_ai*D260</f>
        <v>0.0882120920201606</v>
      </c>
      <c r="K263" s="8" t="s">
        <v>459</v>
      </c>
    </row>
    <row r="264" customFormat="false" ht="17.15" hidden="false" customHeight="false" outlineLevel="0" collapsed="false">
      <c r="A264" s="0" t="s">
        <v>460</v>
      </c>
      <c r="B264" s="0" t="s">
        <v>184</v>
      </c>
      <c r="D264" s="30" t="n">
        <f aca="false">($D$263+d_ai)*D253*(1-D254*(1-keep))</f>
        <v>54.76096983936</v>
      </c>
      <c r="E264" s="30" t="n">
        <f aca="false">($D$263+d_ai+vrd)*E253*(1-E254*(1-keep))</f>
        <v>135.515925267037</v>
      </c>
      <c r="F264" s="30" t="n">
        <f aca="false">($D$263+d_ai+vrd)*F253*(1-F254*(1-keep))</f>
        <v>174.298264267104</v>
      </c>
      <c r="G264" s="30" t="n">
        <f aca="false">($D$263+d_ai+vrd)*G253*(1-G254*(1-keep))</f>
        <v>189.486710727459</v>
      </c>
      <c r="K264" s="4" t="s">
        <v>461</v>
      </c>
    </row>
    <row r="265" customFormat="false" ht="15" hidden="false" customHeight="false" outlineLevel="0" collapsed="false">
      <c r="A265" s="4" t="s">
        <v>346</v>
      </c>
      <c r="B265" s="0" t="s">
        <v>184</v>
      </c>
      <c r="C265" s="22" t="n">
        <f aca="false">a25_gp</f>
        <v>78.454</v>
      </c>
      <c r="D265" s="22" t="n">
        <f aca="false">a26_gp</f>
        <v>121.67041932</v>
      </c>
      <c r="E265" s="22" t="n">
        <f aca="false">$D$263*E257+E264</f>
        <v>205.770847221709</v>
      </c>
      <c r="F265" s="22" t="n">
        <f aca="false">$D$263*F257+F264</f>
        <v>246.660833880416</v>
      </c>
      <c r="G265" s="22" t="n">
        <f aca="false">$D$263*G257+G264</f>
        <v>264.02015742917</v>
      </c>
    </row>
    <row r="266" customFormat="false" ht="15" hidden="false" customHeight="false" outlineLevel="0" collapsed="false">
      <c r="A266" s="4" t="s">
        <v>349</v>
      </c>
      <c r="B266" s="0" t="s">
        <v>47</v>
      </c>
      <c r="C266" s="17" t="n">
        <f aca="false">C265/C258</f>
        <v>0.0825255637381491</v>
      </c>
      <c r="D266" s="17" t="n">
        <f aca="false">D265/D258</f>
        <v>0.0834120920201606</v>
      </c>
      <c r="E266" s="17" t="n">
        <f aca="false">E265/E258</f>
        <v>0.0825012122636932</v>
      </c>
      <c r="F266" s="17" t="n">
        <f aca="false">F265/F258</f>
        <v>0.0850721759713171</v>
      </c>
      <c r="G266" s="17" t="n">
        <f aca="false">G265/G258</f>
        <v>0.0882869038823586</v>
      </c>
    </row>
    <row r="267" customFormat="false" ht="17.15" hidden="false" customHeight="false" outlineLevel="0" collapsed="false">
      <c r="A267" s="0" t="s">
        <v>462</v>
      </c>
      <c r="B267" s="0" t="s">
        <v>47</v>
      </c>
      <c r="D267" s="17" t="n">
        <f aca="false">D264/D255</f>
        <v>0.0782120920201606</v>
      </c>
      <c r="E267" s="17" t="n">
        <f aca="false">E264/E255</f>
        <v>0.0798221384842734</v>
      </c>
      <c r="F267" s="17" t="n">
        <f aca="false">F264/F255</f>
        <v>0.0838333012221766</v>
      </c>
      <c r="G267" s="17" t="n">
        <f aca="false">G264/G255</f>
        <v>0.0883163654586567</v>
      </c>
      <c r="K267" s="4" t="s">
        <v>463</v>
      </c>
    </row>
    <row r="268" customFormat="false" ht="15" hidden="false" customHeight="false" outlineLevel="0" collapsed="false">
      <c r="A268" s="4" t="s">
        <v>464</v>
      </c>
      <c r="B268" s="0" t="s">
        <v>184</v>
      </c>
      <c r="C268" s="22" t="n">
        <f aca="false">a25_opx</f>
        <v>14.536</v>
      </c>
      <c r="D268" s="22" t="n">
        <f aca="false">a26_opx</f>
        <v>22.5183263</v>
      </c>
      <c r="E268" s="22" t="n">
        <f aca="false">D268*(1+MAX(0,phi*E259))</f>
        <v>35.3067080717615</v>
      </c>
      <c r="F268" s="22" t="n">
        <f aca="false">E268*(1+MAX(0,phi*F259))</f>
        <v>39.8962910713069</v>
      </c>
      <c r="G268" s="22" t="n">
        <f aca="false">F268*(1+MAX(0,phi*G259))</f>
        <v>40.8985630403193</v>
      </c>
    </row>
    <row r="269" customFormat="false" ht="15" hidden="false" customHeight="false" outlineLevel="0" collapsed="false">
      <c r="A269" s="4" t="s">
        <v>350</v>
      </c>
      <c r="B269" s="0" t="s">
        <v>184</v>
      </c>
      <c r="C269" s="22" t="n">
        <f aca="false">C268</f>
        <v>14.536</v>
      </c>
      <c r="D269" s="22" t="n">
        <f aca="false">D268</f>
        <v>22.5183263</v>
      </c>
      <c r="E269" s="22" t="n">
        <f aca="false">E268+0*E258</f>
        <v>35.3067080717615</v>
      </c>
      <c r="F269" s="22" t="n">
        <f aca="false">F268+0*F258</f>
        <v>39.8962910713069</v>
      </c>
      <c r="G269" s="22" t="n">
        <f aca="false">G268+0*G258</f>
        <v>40.8985630403193</v>
      </c>
    </row>
    <row r="270" customFormat="false" ht="15" hidden="false" customHeight="false" outlineLevel="0" collapsed="false">
      <c r="A270" s="4" t="s">
        <v>353</v>
      </c>
      <c r="B270" s="0" t="s">
        <v>184</v>
      </c>
      <c r="C270" s="22" t="n">
        <f aca="false">C265-C269</f>
        <v>63.918</v>
      </c>
      <c r="D270" s="22" t="n">
        <f aca="false">D265-D269</f>
        <v>99.15209302</v>
      </c>
      <c r="E270" s="22" t="n">
        <f aca="false">E265-E269</f>
        <v>170.464139149947</v>
      </c>
      <c r="F270" s="22" t="n">
        <f aca="false">F265-F269</f>
        <v>206.76454280911</v>
      </c>
      <c r="G270" s="22" t="n">
        <f aca="false">G265-G269</f>
        <v>223.121594388851</v>
      </c>
    </row>
    <row r="271" customFormat="false" ht="15" hidden="false" customHeight="false" outlineLevel="0" collapsed="false">
      <c r="A271" s="4" t="s">
        <v>356</v>
      </c>
      <c r="B271" s="0" t="s">
        <v>47</v>
      </c>
      <c r="C271" s="17" t="n">
        <f aca="false">C270/C258</f>
        <v>0.0672351821833815</v>
      </c>
      <c r="D271" s="17" t="n">
        <f aca="false">D270/D258</f>
        <v>0.0679744801834201</v>
      </c>
      <c r="E271" s="17" t="n">
        <f aca="false">E270/E258</f>
        <v>0.0683454353094282</v>
      </c>
      <c r="F271" s="17" t="n">
        <f aca="false">F270/F258</f>
        <v>0.0713121304820256</v>
      </c>
      <c r="G271" s="17" t="n">
        <f aca="false">G270/G258</f>
        <v>0.0746106469661194</v>
      </c>
    </row>
    <row r="272" customFormat="false" ht="17.15" hidden="false" customHeight="false" outlineLevel="0" collapsed="false">
      <c r="A272" s="4" t="s">
        <v>218</v>
      </c>
      <c r="B272" s="0" t="s">
        <v>47</v>
      </c>
      <c r="C272" s="18" t="n">
        <f aca="false">a25_ni/a25_oi</f>
        <v>0.799743421258488</v>
      </c>
      <c r="D272" s="18" t="n">
        <f aca="false">a26_ni/a26_oi</f>
        <v>0.776911976251089</v>
      </c>
      <c r="E272" s="18" t="n">
        <f aca="false">nio_f</f>
        <v>0.78</v>
      </c>
      <c r="F272" s="18" t="n">
        <f aca="false">nio_f</f>
        <v>0.78</v>
      </c>
      <c r="G272" s="18" t="n">
        <f aca="false">nio_f</f>
        <v>0.78</v>
      </c>
    </row>
    <row r="273" customFormat="false" ht="15" hidden="false" customHeight="false" outlineLevel="0" collapsed="false">
      <c r="A273" s="4" t="s">
        <v>357</v>
      </c>
      <c r="B273" s="0" t="s">
        <v>184</v>
      </c>
      <c r="C273" s="22" t="n">
        <f aca="false">a25_ni</f>
        <v>51.118</v>
      </c>
      <c r="D273" s="22" t="n">
        <f aca="false">a26_ni</f>
        <v>77.0324485376</v>
      </c>
      <c r="E273" s="22" t="n">
        <f aca="false">E270*E272</f>
        <v>132.962028536959</v>
      </c>
      <c r="F273" s="22" t="n">
        <f aca="false">F270*F272</f>
        <v>161.276343391105</v>
      </c>
      <c r="G273" s="22" t="n">
        <f aca="false">G270*G272</f>
        <v>174.034843623304</v>
      </c>
      <c r="H273" s="25" t="n">
        <f aca="false">H258*H277</f>
        <v>181.178790408329</v>
      </c>
      <c r="I273" s="25" t="n">
        <f aca="false">I258*I277</f>
        <v>190.343267383017</v>
      </c>
      <c r="J273" s="25" t="n">
        <f aca="false">J258*J277</f>
        <v>201.785955303678</v>
      </c>
    </row>
    <row r="274" customFormat="false" ht="15" hidden="false" customHeight="false" outlineLevel="0" collapsed="false">
      <c r="A274" s="4" t="s">
        <v>465</v>
      </c>
      <c r="B274" s="4" t="s">
        <v>205</v>
      </c>
      <c r="C274" s="29" t="n">
        <f aca="false">a25_sh</f>
        <v>0.554331761662183</v>
      </c>
      <c r="D274" s="29" t="n">
        <f aca="false">a26_sh</f>
        <v>0.556054338618749</v>
      </c>
      <c r="E274" s="29" t="n">
        <f aca="false">D274*(1+sh_g)</f>
        <v>0.558834610311843</v>
      </c>
      <c r="F274" s="29" t="n">
        <f aca="false">E274*(1+sh_g)</f>
        <v>0.561628783363402</v>
      </c>
      <c r="G274" s="29" t="n">
        <f aca="false">F274*(1+sh_g)</f>
        <v>0.564436927280219</v>
      </c>
      <c r="H274" s="31" t="n">
        <f aca="false">G274*(1+sh_g)</f>
        <v>0.56725911191662</v>
      </c>
      <c r="I274" s="31" t="n">
        <f aca="false">H274*(1+sh_g)</f>
        <v>0.570095407476203</v>
      </c>
      <c r="J274" s="31" t="n">
        <f aca="false">I274*(1+sh_g)</f>
        <v>0.572945884513584</v>
      </c>
    </row>
    <row r="275" customFormat="false" ht="17.15" hidden="false" customHeight="false" outlineLevel="0" collapsed="false">
      <c r="A275" s="0" t="s">
        <v>363</v>
      </c>
      <c r="B275" s="0" t="s">
        <v>235</v>
      </c>
      <c r="C275" s="30" t="n">
        <f aca="false">C273/C274</f>
        <v>92.2155350556153</v>
      </c>
      <c r="D275" s="30" t="n">
        <f aca="false">D273/D274</f>
        <v>138.534030197391</v>
      </c>
      <c r="E275" s="30" t="n">
        <f aca="false">E273/E274</f>
        <v>237.927333210023</v>
      </c>
      <c r="F275" s="30" t="n">
        <f aca="false">F273/F274</f>
        <v>287.158258565875</v>
      </c>
      <c r="G275" s="30" t="n">
        <f aca="false">G273/G274</f>
        <v>308.333553692002</v>
      </c>
      <c r="H275" s="28" t="n">
        <f aca="false">H273/H274</f>
        <v>319.393354116734</v>
      </c>
      <c r="I275" s="28" t="n">
        <f aca="false">I273/I274</f>
        <v>333.879671519652</v>
      </c>
      <c r="J275" s="28" t="n">
        <f aca="false">J273/J274</f>
        <v>352.190251746008</v>
      </c>
    </row>
    <row r="276" customFormat="false" ht="17.15" hidden="false" customHeight="false" outlineLevel="0" collapsed="false">
      <c r="A276" s="0" t="s">
        <v>466</v>
      </c>
      <c r="B276" s="0" t="s">
        <v>47</v>
      </c>
      <c r="D276" s="18" t="n">
        <f aca="false">D275/C275-1</f>
        <v>0.502285163924287</v>
      </c>
      <c r="E276" s="18" t="n">
        <f aca="false">E275/D275-1</f>
        <v>0.717464891990876</v>
      </c>
      <c r="F276" s="18" t="n">
        <f aca="false">F275/E275-1</f>
        <v>0.206915803626459</v>
      </c>
      <c r="G276" s="18" t="n">
        <f aca="false">G275/F275-1</f>
        <v>0.0737408536737922</v>
      </c>
      <c r="H276" s="26" t="n">
        <f aca="false">H275/G275-1</f>
        <v>0.0358695973639651</v>
      </c>
      <c r="I276" s="26" t="n">
        <f aca="false">I275/H275-1</f>
        <v>0.0453557258352439</v>
      </c>
      <c r="J276" s="26" t="n">
        <f aca="false">J275/I275-1</f>
        <v>0.0548418540817868</v>
      </c>
    </row>
    <row r="277" customFormat="false" ht="17.15" hidden="false" customHeight="false" outlineLevel="0" collapsed="false">
      <c r="A277" s="4" t="s">
        <v>467</v>
      </c>
      <c r="B277" s="0" t="s">
        <v>47</v>
      </c>
      <c r="C277" s="17" t="n">
        <f aca="false">C273/C258</f>
        <v>0.0537708946282752</v>
      </c>
      <c r="D277" s="17" t="n">
        <f aca="false">D273/D258</f>
        <v>0.0528101877339414</v>
      </c>
      <c r="E277" s="17" t="n">
        <f aca="false">E273/E258</f>
        <v>0.053309439541354</v>
      </c>
      <c r="F277" s="17" t="n">
        <f aca="false">F273/F258</f>
        <v>0.0556234617759799</v>
      </c>
      <c r="G277" s="17" t="n">
        <f aca="false">G273/G258</f>
        <v>0.0581963046335731</v>
      </c>
      <c r="H277" s="27" t="n">
        <f aca="false">$G277+(fade_mA-$G277)*1/3</f>
        <v>0.0582026781596738</v>
      </c>
      <c r="I277" s="27" t="n">
        <f aca="false">$G277+(fade_mA-$G277)*2/3</f>
        <v>0.0582090516857746</v>
      </c>
      <c r="J277" s="27" t="n">
        <f aca="false">$G277+(fade_mA-$G277)*3/3</f>
        <v>0.0582154252118753</v>
      </c>
    </row>
    <row r="280" customFormat="false" ht="17.15" hidden="false" customHeight="false" outlineLevel="0" collapsed="false">
      <c r="A280" s="1" t="s">
        <v>740</v>
      </c>
    </row>
    <row r="281" customFormat="false" ht="17.15" hidden="false" customHeight="false" outlineLevel="0" collapsed="false">
      <c r="A281" s="5" t="s">
        <v>16</v>
      </c>
      <c r="B281" s="5" t="s">
        <v>17</v>
      </c>
      <c r="C281" s="14" t="s">
        <v>336</v>
      </c>
      <c r="D281" s="14" t="s">
        <v>415</v>
      </c>
      <c r="E281" s="14" t="s">
        <v>416</v>
      </c>
      <c r="F281" s="14" t="s">
        <v>417</v>
      </c>
      <c r="G281" s="14" t="s">
        <v>418</v>
      </c>
      <c r="H281" s="14" t="s">
        <v>419</v>
      </c>
      <c r="I281" s="14" t="s">
        <v>420</v>
      </c>
      <c r="J281" s="14" t="s">
        <v>421</v>
      </c>
      <c r="K281" s="5" t="s">
        <v>387</v>
      </c>
    </row>
    <row r="282" customFormat="false" ht="17.15" hidden="false" customHeight="false" outlineLevel="0" collapsed="false">
      <c r="A282" s="6" t="s">
        <v>437</v>
      </c>
    </row>
    <row r="283" customFormat="false" ht="17.15" hidden="false" customHeight="false" outlineLevel="0" collapsed="false">
      <c r="A283" s="0" t="s">
        <v>438</v>
      </c>
      <c r="B283" s="0" t="s">
        <v>27</v>
      </c>
      <c r="D283" s="30" t="n">
        <f aca="false">itc_26</f>
        <v>781.872916666667</v>
      </c>
      <c r="E283" s="30" t="n">
        <f aca="false">itc_27*1</f>
        <v>1565.35</v>
      </c>
      <c r="F283" s="30" t="n">
        <f aca="false">itc_28*um28_A*1</f>
        <v>1984.26388888889</v>
      </c>
      <c r="G283" s="30" t="n">
        <f aca="false">itc_29*um29_A*1</f>
        <v>2260.39027777778</v>
      </c>
    </row>
    <row r="284" customFormat="false" ht="17.15" hidden="false" customHeight="false" outlineLevel="0" collapsed="false">
      <c r="A284" s="4" t="s">
        <v>439</v>
      </c>
      <c r="B284" s="0" t="s">
        <v>27</v>
      </c>
      <c r="D284" s="30" t="n">
        <f aca="false">itpg_gb*(1-vr26)+itpg_vr*vr26</f>
        <v>33.41403216</v>
      </c>
      <c r="E284" s="30" t="n">
        <f aca="false">itpg_vr</f>
        <v>37.586352</v>
      </c>
      <c r="F284" s="30" t="n">
        <f aca="false">itpg_vr</f>
        <v>37.586352</v>
      </c>
      <c r="G284" s="30" t="n">
        <f aca="false">itpg_vr</f>
        <v>37.586352</v>
      </c>
    </row>
    <row r="285" customFormat="false" ht="17.15" hidden="false" customHeight="false" outlineLevel="0" collapsed="false">
      <c r="A285" s="4" t="s">
        <v>440</v>
      </c>
      <c r="B285" s="0" t="s">
        <v>389</v>
      </c>
      <c r="D285" s="21" t="n">
        <f aca="false">D283/D284</f>
        <v>23.3995380420639</v>
      </c>
      <c r="E285" s="21" t="n">
        <f aca="false">E283/E284</f>
        <v>41.6467658260637</v>
      </c>
      <c r="F285" s="21" t="n">
        <f aca="false">F283/F284</f>
        <v>52.792138191248</v>
      </c>
      <c r="G285" s="21" t="n">
        <f aca="false">G283/G284</f>
        <v>60.1385917361116</v>
      </c>
    </row>
    <row r="286" customFormat="false" ht="17.15" hidden="false" customHeight="false" outlineLevel="0" collapsed="false">
      <c r="A286" s="4" t="s">
        <v>441</v>
      </c>
      <c r="B286" s="0" t="s">
        <v>408</v>
      </c>
      <c r="D286" s="19" t="n">
        <f aca="false">(racks_gb*odm_gb*(1-vr26)+racks_vr*odm_vr*vr26)/1000</f>
        <v>27.1209</v>
      </c>
      <c r="E286" s="19" t="n">
        <f aca="false">racks_vr*odm_vr/1000</f>
        <v>27.351</v>
      </c>
      <c r="F286" s="19" t="n">
        <f aca="false">$E286*vpg_28</f>
        <v>27.351</v>
      </c>
      <c r="G286" s="19" t="n">
        <f aca="false">$E286*vpg_29</f>
        <v>27.351</v>
      </c>
      <c r="K286" s="4" t="s">
        <v>442</v>
      </c>
    </row>
    <row r="287" customFormat="false" ht="17.15" hidden="false" customHeight="false" outlineLevel="0" collapsed="false">
      <c r="A287" s="0" t="s">
        <v>443</v>
      </c>
      <c r="B287" s="0" t="s">
        <v>27</v>
      </c>
      <c r="D287" s="22" t="n">
        <f aca="false">D285*D286</f>
        <v>634.616531285011</v>
      </c>
      <c r="E287" s="22" t="n">
        <f aca="false">E285*E286</f>
        <v>1139.08069210867</v>
      </c>
      <c r="F287" s="22" t="n">
        <f aca="false">F285*F286</f>
        <v>1443.91777166882</v>
      </c>
      <c r="G287" s="22" t="n">
        <f aca="false">G285*G286</f>
        <v>1644.85062257439</v>
      </c>
    </row>
    <row r="288" customFormat="false" ht="17.15" hidden="false" customHeight="false" outlineLevel="0" collapsed="false">
      <c r="A288" s="0" t="s">
        <v>444</v>
      </c>
      <c r="B288" s="0" t="s">
        <v>184</v>
      </c>
      <c r="D288" s="22" t="n">
        <f aca="false">D287*fx</f>
        <v>20307.7290011204</v>
      </c>
      <c r="E288" s="22" t="n">
        <f aca="false">E287*fx</f>
        <v>36450.5821474774</v>
      </c>
      <c r="F288" s="22" t="n">
        <f aca="false">F287*fx</f>
        <v>46205.3686934024</v>
      </c>
      <c r="G288" s="22" t="n">
        <f aca="false">G287*fx</f>
        <v>52635.2199223804</v>
      </c>
    </row>
    <row r="289" customFormat="false" ht="17.15" hidden="false" customHeight="false" outlineLevel="0" collapsed="false">
      <c r="A289" s="4" t="s">
        <v>445</v>
      </c>
      <c r="B289" s="0" t="s">
        <v>47</v>
      </c>
      <c r="D289" s="17" t="n">
        <f aca="false">a26_ai/D288</f>
        <v>0.0344775081035094</v>
      </c>
      <c r="K289" s="8" t="s">
        <v>446</v>
      </c>
    </row>
    <row r="290" customFormat="false" ht="17.15" hidden="false" customHeight="false" outlineLevel="0" collapsed="false">
      <c r="A290" s="4" t="s">
        <v>447</v>
      </c>
      <c r="B290" s="0" t="s">
        <v>59</v>
      </c>
      <c r="D290" s="19" t="n">
        <f aca="false">1</f>
        <v>1</v>
      </c>
      <c r="E290" s="19" t="n">
        <f aca="false">rel_27</f>
        <v>1</v>
      </c>
      <c r="F290" s="19" t="n">
        <f aca="false">rel_28</f>
        <v>1</v>
      </c>
      <c r="G290" s="19" t="n">
        <f aca="false">rel_29</f>
        <v>0.95</v>
      </c>
    </row>
    <row r="291" customFormat="false" ht="17.15" hidden="false" customHeight="false" outlineLevel="0" collapsed="false">
      <c r="A291" s="0" t="s">
        <v>448</v>
      </c>
      <c r="B291" s="0" t="s">
        <v>59</v>
      </c>
      <c r="D291" s="23" t="n">
        <f aca="false">1</f>
        <v>1</v>
      </c>
      <c r="E291" s="23" t="n">
        <f aca="false">asic_mix*((ua_27/ua_26)/(ut_27/ut_26))+(1-asic_mix)</f>
        <v>1.44683544303797</v>
      </c>
      <c r="F291" s="23" t="n">
        <f aca="false">asic_mix*((ua_28/ua_26)/(ut_28/ut_26))+(1-asic_mix)</f>
        <v>1.47660377358491</v>
      </c>
      <c r="G291" s="23" t="n">
        <f aca="false">asic_mix*((ua_29/ua_26)/(ut_29/ut_26))+(1-asic_mix)</f>
        <v>1.49144278606965</v>
      </c>
      <c r="K291" s="8" t="s">
        <v>449</v>
      </c>
    </row>
    <row r="292" customFormat="false" ht="15" hidden="false" customHeight="false" outlineLevel="0" collapsed="false">
      <c r="A292" s="4" t="s">
        <v>398</v>
      </c>
      <c r="B292" s="0" t="s">
        <v>47</v>
      </c>
      <c r="D292" s="17" t="n">
        <f aca="false">$D$289*D290*D291</f>
        <v>0.0344775081035094</v>
      </c>
      <c r="E292" s="17" t="n">
        <f aca="false">$D$289*E290*E291</f>
        <v>0.0498832807117864</v>
      </c>
      <c r="F292" s="17" t="n">
        <f aca="false">$D$289*F290*F291</f>
        <v>0.0509096185694461</v>
      </c>
      <c r="G292" s="17" t="n">
        <f aca="false">$D$289*G290*G291</f>
        <v>0.0488501692055052</v>
      </c>
    </row>
    <row r="293" customFormat="false" ht="17.15" hidden="false" customHeight="false" outlineLevel="0" collapsed="false">
      <c r="A293" s="0" t="s">
        <v>450</v>
      </c>
      <c r="B293" s="0" t="s">
        <v>184</v>
      </c>
      <c r="D293" s="22" t="n">
        <f aca="false">D288*D292</f>
        <v>700.1598912</v>
      </c>
      <c r="E293" s="22" t="n">
        <f aca="false">E288*E292</f>
        <v>1818.27462137064</v>
      </c>
      <c r="F293" s="22" t="n">
        <f aca="false">F288*F292</f>
        <v>2352.29769604174</v>
      </c>
      <c r="G293" s="22" t="n">
        <f aca="false">G288*G292</f>
        <v>2571.23939937726</v>
      </c>
    </row>
    <row r="294" customFormat="false" ht="17.15" hidden="false" customHeight="false" outlineLevel="0" collapsed="false">
      <c r="A294" s="4" t="s">
        <v>404</v>
      </c>
      <c r="B294" s="0" t="s">
        <v>47</v>
      </c>
      <c r="D294" s="18" t="n">
        <f aca="false">0</f>
        <v>0</v>
      </c>
      <c r="E294" s="18" t="n">
        <f aca="false">cs_27_lo</f>
        <v>0</v>
      </c>
      <c r="F294" s="18" t="n">
        <f aca="false">cs_28_lo</f>
        <v>0</v>
      </c>
      <c r="G294" s="18" t="n">
        <f aca="false">cs_29_lo</f>
        <v>0</v>
      </c>
      <c r="K294" s="8" t="s">
        <v>451</v>
      </c>
    </row>
    <row r="295" customFormat="false" ht="17.15" hidden="false" customHeight="false" outlineLevel="0" collapsed="false">
      <c r="A295" s="0" t="s">
        <v>452</v>
      </c>
      <c r="B295" s="0" t="s">
        <v>184</v>
      </c>
      <c r="C295" s="22" t="n">
        <f aca="false">a25_ai</f>
        <v>475.3315</v>
      </c>
      <c r="D295" s="22" t="n">
        <f aca="false">D293*(1-D294)</f>
        <v>700.1598912</v>
      </c>
      <c r="E295" s="22" t="n">
        <f aca="false">E293*(1-E294)</f>
        <v>1818.27462137064</v>
      </c>
      <c r="F295" s="22" t="n">
        <f aca="false">F293*(1-F294)</f>
        <v>2352.29769604174</v>
      </c>
      <c r="G295" s="22" t="n">
        <f aca="false">G293*(1-G294)</f>
        <v>2571.23939937726</v>
      </c>
    </row>
    <row r="296" customFormat="false" ht="17.15" hidden="false" customHeight="false" outlineLevel="0" collapsed="false">
      <c r="A296" s="6" t="s">
        <v>453</v>
      </c>
    </row>
    <row r="297" customFormat="false" ht="17.15" hidden="false" customHeight="false" outlineLevel="0" collapsed="false">
      <c r="A297" s="4" t="s">
        <v>373</v>
      </c>
      <c r="B297" s="0" t="s">
        <v>184</v>
      </c>
      <c r="C297" s="22" t="n">
        <f aca="false">a25_nai</f>
        <v>475.3315</v>
      </c>
      <c r="D297" s="22" t="n">
        <f aca="false">a26_nai</f>
        <v>758.5065488</v>
      </c>
      <c r="E297" s="22" t="n">
        <f aca="false">D297*(1+g_nai27)</f>
        <v>796.43187624</v>
      </c>
      <c r="F297" s="22" t="n">
        <f aca="false">E297*(1+g_nai28)</f>
        <v>820.3248325272</v>
      </c>
      <c r="G297" s="22" t="n">
        <f aca="false">F297*(1+g_nai29)</f>
        <v>844.934577503016</v>
      </c>
    </row>
    <row r="298" customFormat="false" ht="17.15" hidden="false" customHeight="false" outlineLevel="0" collapsed="false">
      <c r="A298" s="4" t="s">
        <v>342</v>
      </c>
      <c r="B298" s="0" t="s">
        <v>184</v>
      </c>
      <c r="C298" s="22" t="n">
        <f aca="false">C295+C297</f>
        <v>950.663</v>
      </c>
      <c r="D298" s="22" t="n">
        <f aca="false">D295+D297</f>
        <v>1458.66644</v>
      </c>
      <c r="E298" s="22" t="n">
        <f aca="false">E295+E297</f>
        <v>2614.70649761064</v>
      </c>
      <c r="F298" s="22" t="n">
        <f aca="false">F295+F297</f>
        <v>3172.62252856894</v>
      </c>
      <c r="G298" s="22" t="n">
        <f aca="false">G295+G297</f>
        <v>3416.17397688028</v>
      </c>
      <c r="H298" s="25" t="n">
        <f aca="false">G298*(1+H299)</f>
        <v>3659.32949988992</v>
      </c>
      <c r="I298" s="25" t="n">
        <f aca="false">H298*(1+I299)</f>
        <v>3899.34077597386</v>
      </c>
      <c r="J298" s="25" t="n">
        <f aca="false">I298*(1+J299)</f>
        <v>4133.30122253229</v>
      </c>
      <c r="K298" s="8" t="s">
        <v>454</v>
      </c>
    </row>
    <row r="299" customFormat="false" ht="15" hidden="false" customHeight="false" outlineLevel="0" collapsed="false">
      <c r="A299" s="4" t="s">
        <v>455</v>
      </c>
      <c r="B299" s="0" t="s">
        <v>47</v>
      </c>
      <c r="D299" s="18" t="n">
        <f aca="false">D298/C298-1</f>
        <v>0.534367530870561</v>
      </c>
      <c r="E299" s="18" t="n">
        <f aca="false">E298/D298-1</f>
        <v>0.79253215533679</v>
      </c>
      <c r="F299" s="18" t="n">
        <f aca="false">F298/E298-1</f>
        <v>0.213376159606492</v>
      </c>
      <c r="G299" s="18" t="n">
        <f aca="false">G298/F298-1</f>
        <v>0.0767666011692831</v>
      </c>
      <c r="H299" s="26" t="n">
        <f aca="false">$G299+(fade_gA-$G299)*1/3</f>
        <v>0.0711777341128554</v>
      </c>
      <c r="I299" s="26" t="n">
        <f aca="false">$G299+(fade_gA-$G299)*2/3</f>
        <v>0.0655888670564277</v>
      </c>
      <c r="J299" s="26" t="n">
        <f aca="false">$G299+(fade_gA-$G299)*3/3</f>
        <v>0.06</v>
      </c>
    </row>
    <row r="300" customFormat="false" ht="17.15" hidden="false" customHeight="false" outlineLevel="0" collapsed="false">
      <c r="A300" s="0" t="s">
        <v>456</v>
      </c>
      <c r="B300" s="0" t="s">
        <v>47</v>
      </c>
      <c r="C300" s="18" t="n">
        <f aca="false">C295/C298</f>
        <v>0.5</v>
      </c>
      <c r="D300" s="18" t="n">
        <f aca="false">D295/D298</f>
        <v>0.48</v>
      </c>
      <c r="E300" s="18" t="n">
        <f aca="false">E295/E298</f>
        <v>0.695402953651666</v>
      </c>
      <c r="F300" s="18" t="n">
        <f aca="false">F295/F298</f>
        <v>0.741436358993132</v>
      </c>
      <c r="G300" s="18" t="n">
        <f aca="false">G295/G298</f>
        <v>0.752666408906191</v>
      </c>
    </row>
    <row r="301" customFormat="false" ht="17.15" hidden="false" customHeight="false" outlineLevel="0" collapsed="false">
      <c r="A301" s="4" t="s">
        <v>407</v>
      </c>
      <c r="B301" s="0" t="s">
        <v>408</v>
      </c>
      <c r="D301" s="23" t="n">
        <f aca="false">D295/fx/D285</f>
        <v>0.935061049524468</v>
      </c>
      <c r="E301" s="23" t="n">
        <f aca="false">E295/fx/E285</f>
        <v>1.36435761074807</v>
      </c>
      <c r="F301" s="23" t="n">
        <f aca="false">F295/fx/F285</f>
        <v>1.39242897749292</v>
      </c>
      <c r="G301" s="23" t="n">
        <f aca="false">G295/fx/G285</f>
        <v>1.33610097793977</v>
      </c>
    </row>
    <row r="302" customFormat="false" ht="17.15" hidden="false" customHeight="false" outlineLevel="0" collapsed="false">
      <c r="A302" s="6" t="s">
        <v>457</v>
      </c>
    </row>
    <row r="303" customFormat="false" ht="17.15" hidden="false" customHeight="false" outlineLevel="0" collapsed="false">
      <c r="A303" s="4" t="s">
        <v>458</v>
      </c>
      <c r="B303" s="0" t="s">
        <v>47</v>
      </c>
      <c r="D303" s="17" t="n">
        <f aca="false">a26_gp/D298-d_ai*D300</f>
        <v>0.0882120920201606</v>
      </c>
      <c r="K303" s="8" t="s">
        <v>459</v>
      </c>
    </row>
    <row r="304" customFormat="false" ht="17.15" hidden="false" customHeight="false" outlineLevel="0" collapsed="false">
      <c r="A304" s="0" t="s">
        <v>460</v>
      </c>
      <c r="B304" s="0" t="s">
        <v>184</v>
      </c>
      <c r="D304" s="30" t="n">
        <f aca="false">($D$303+d_ai)*D293*(1-D294*(1-keep))</f>
        <v>54.76096983936</v>
      </c>
      <c r="E304" s="30" t="n">
        <f aca="false">($D$303+d_ai+vrd)*E293*(1-E294*(1-keep))</f>
        <v>138.574512761822</v>
      </c>
      <c r="F304" s="30" t="n">
        <f aca="false">($D$303+d_ai+vrd)*F293*(1-F294*(1-keep))</f>
        <v>179.273528469545</v>
      </c>
      <c r="G304" s="30" t="n">
        <f aca="false">($D$303+d_ai+vrd)*G293*(1-G294*(1-keep))</f>
        <v>195.959533711202</v>
      </c>
      <c r="K304" s="4" t="s">
        <v>461</v>
      </c>
    </row>
    <row r="305" customFormat="false" ht="15" hidden="false" customHeight="false" outlineLevel="0" collapsed="false">
      <c r="A305" s="4" t="s">
        <v>346</v>
      </c>
      <c r="B305" s="0" t="s">
        <v>184</v>
      </c>
      <c r="C305" s="22" t="n">
        <f aca="false">a25_gp</f>
        <v>78.454</v>
      </c>
      <c r="D305" s="22" t="n">
        <f aca="false">a26_gp</f>
        <v>121.67041932</v>
      </c>
      <c r="E305" s="22" t="n">
        <f aca="false">$D$303*E297+E304</f>
        <v>208.829434716494</v>
      </c>
      <c r="F305" s="22" t="n">
        <f aca="false">$D$303*F297+F304</f>
        <v>251.636098082857</v>
      </c>
      <c r="G305" s="22" t="n">
        <f aca="false">$D$303*G297+G304</f>
        <v>270.492980412914</v>
      </c>
    </row>
    <row r="306" customFormat="false" ht="15" hidden="false" customHeight="false" outlineLevel="0" collapsed="false">
      <c r="A306" s="4" t="s">
        <v>349</v>
      </c>
      <c r="B306" s="0" t="s">
        <v>47</v>
      </c>
      <c r="C306" s="17" t="n">
        <f aca="false">C305/C298</f>
        <v>0.0825255637381491</v>
      </c>
      <c r="D306" s="17" t="n">
        <f aca="false">D305/D298</f>
        <v>0.0834120920201606</v>
      </c>
      <c r="E306" s="17" t="n">
        <f aca="false">E305/E298</f>
        <v>0.0798672565763406</v>
      </c>
      <c r="F306" s="17" t="n">
        <f aca="false">F305/F298</f>
        <v>0.079314855712243</v>
      </c>
      <c r="G306" s="17" t="n">
        <f aca="false">G305/G298</f>
        <v>0.0791800951132863</v>
      </c>
    </row>
    <row r="307" customFormat="false" ht="17.15" hidden="false" customHeight="false" outlineLevel="0" collapsed="false">
      <c r="A307" s="0" t="s">
        <v>462</v>
      </c>
      <c r="B307" s="0" t="s">
        <v>47</v>
      </c>
      <c r="D307" s="17" t="n">
        <f aca="false">D304/D295</f>
        <v>0.0782120920201606</v>
      </c>
      <c r="E307" s="17" t="n">
        <f aca="false">E304/E295</f>
        <v>0.0762120920201606</v>
      </c>
      <c r="F307" s="17" t="n">
        <f aca="false">F304/F295</f>
        <v>0.0762120920201606</v>
      </c>
      <c r="G307" s="17" t="n">
        <f aca="false">G304/G295</f>
        <v>0.0762120920201606</v>
      </c>
      <c r="K307" s="4" t="s">
        <v>463</v>
      </c>
    </row>
    <row r="308" customFormat="false" ht="15" hidden="false" customHeight="false" outlineLevel="0" collapsed="false">
      <c r="A308" s="4" t="s">
        <v>464</v>
      </c>
      <c r="B308" s="0" t="s">
        <v>184</v>
      </c>
      <c r="C308" s="22" t="n">
        <f aca="false">a25_opx</f>
        <v>14.536</v>
      </c>
      <c r="D308" s="22" t="n">
        <f aca="false">a26_opx</f>
        <v>22.5183263</v>
      </c>
      <c r="E308" s="22" t="n">
        <f aca="false">D308*(1+MAX(0,phi*E299))</f>
        <v>36.7955244416929</v>
      </c>
      <c r="F308" s="22" t="n">
        <f aca="false">E308*(1+MAX(0,phi*F299))</f>
        <v>43.0765545985531</v>
      </c>
      <c r="G308" s="22" t="n">
        <f aca="false">F308*(1+MAX(0,phi*G299))</f>
        <v>45.7220271478442</v>
      </c>
    </row>
    <row r="309" customFormat="false" ht="15" hidden="false" customHeight="false" outlineLevel="0" collapsed="false">
      <c r="A309" s="4" t="s">
        <v>350</v>
      </c>
      <c r="B309" s="0" t="s">
        <v>184</v>
      </c>
      <c r="C309" s="22" t="n">
        <f aca="false">C308</f>
        <v>14.536</v>
      </c>
      <c r="D309" s="22" t="n">
        <f aca="false">D308</f>
        <v>22.5183263</v>
      </c>
      <c r="E309" s="22" t="n">
        <f aca="false">E308+0*E298</f>
        <v>36.7955244416929</v>
      </c>
      <c r="F309" s="22" t="n">
        <f aca="false">F308+0*F298</f>
        <v>43.0765545985531</v>
      </c>
      <c r="G309" s="22" t="n">
        <f aca="false">G308+0*G298</f>
        <v>45.7220271478442</v>
      </c>
    </row>
    <row r="310" customFormat="false" ht="15" hidden="false" customHeight="false" outlineLevel="0" collapsed="false">
      <c r="A310" s="4" t="s">
        <v>353</v>
      </c>
      <c r="B310" s="0" t="s">
        <v>184</v>
      </c>
      <c r="C310" s="22" t="n">
        <f aca="false">C305-C309</f>
        <v>63.918</v>
      </c>
      <c r="D310" s="22" t="n">
        <f aca="false">D305-D309</f>
        <v>99.15209302</v>
      </c>
      <c r="E310" s="22" t="n">
        <f aca="false">E305-E309</f>
        <v>172.033910274801</v>
      </c>
      <c r="F310" s="22" t="n">
        <f aca="false">F305-F309</f>
        <v>208.559543484304</v>
      </c>
      <c r="G310" s="22" t="n">
        <f aca="false">G305-G309</f>
        <v>224.770953265069</v>
      </c>
    </row>
    <row r="311" customFormat="false" ht="15" hidden="false" customHeight="false" outlineLevel="0" collapsed="false">
      <c r="A311" s="4" t="s">
        <v>356</v>
      </c>
      <c r="B311" s="0" t="s">
        <v>47</v>
      </c>
      <c r="C311" s="17" t="n">
        <f aca="false">C310/C298</f>
        <v>0.0672351821833815</v>
      </c>
      <c r="D311" s="17" t="n">
        <f aca="false">D310/D298</f>
        <v>0.0679744801834201</v>
      </c>
      <c r="E311" s="17" t="n">
        <f aca="false">E310/E298</f>
        <v>0.0657947308548811</v>
      </c>
      <c r="F311" s="17" t="n">
        <f aca="false">F310/F298</f>
        <v>0.0657372699103848</v>
      </c>
      <c r="G311" s="17" t="n">
        <f aca="false">G310/G298</f>
        <v>0.0657961083909243</v>
      </c>
    </row>
    <row r="312" customFormat="false" ht="17.15" hidden="false" customHeight="false" outlineLevel="0" collapsed="false">
      <c r="A312" s="4" t="s">
        <v>218</v>
      </c>
      <c r="B312" s="0" t="s">
        <v>47</v>
      </c>
      <c r="C312" s="18" t="n">
        <f aca="false">a25_ni/a25_oi</f>
        <v>0.799743421258488</v>
      </c>
      <c r="D312" s="18" t="n">
        <f aca="false">a26_ni/a26_oi</f>
        <v>0.776911976251089</v>
      </c>
      <c r="E312" s="18" t="n">
        <f aca="false">nio_f</f>
        <v>0.78</v>
      </c>
      <c r="F312" s="18" t="n">
        <f aca="false">nio_f</f>
        <v>0.78</v>
      </c>
      <c r="G312" s="18" t="n">
        <f aca="false">nio_f</f>
        <v>0.78</v>
      </c>
    </row>
    <row r="313" customFormat="false" ht="15" hidden="false" customHeight="false" outlineLevel="0" collapsed="false">
      <c r="A313" s="4" t="s">
        <v>357</v>
      </c>
      <c r="B313" s="0" t="s">
        <v>184</v>
      </c>
      <c r="C313" s="22" t="n">
        <f aca="false">a25_ni</f>
        <v>51.118</v>
      </c>
      <c r="D313" s="22" t="n">
        <f aca="false">a26_ni</f>
        <v>77.0324485376</v>
      </c>
      <c r="E313" s="22" t="n">
        <f aca="false">E310*E312</f>
        <v>134.186450014345</v>
      </c>
      <c r="F313" s="22" t="n">
        <f aca="false">F310*F312</f>
        <v>162.676443917757</v>
      </c>
      <c r="G313" s="22" t="n">
        <f aca="false">G310*G312</f>
        <v>175.321343546754</v>
      </c>
      <c r="H313" s="25" t="n">
        <f aca="false">H298*H317</f>
        <v>196.210020623506</v>
      </c>
      <c r="I313" s="25" t="n">
        <f aca="false">I298*I317</f>
        <v>218.040497450321</v>
      </c>
      <c r="J313" s="25" t="n">
        <f aca="false">J298*J317</f>
        <v>240.621888198481</v>
      </c>
    </row>
    <row r="314" customFormat="false" ht="15" hidden="false" customHeight="false" outlineLevel="0" collapsed="false">
      <c r="A314" s="4" t="s">
        <v>465</v>
      </c>
      <c r="B314" s="4" t="s">
        <v>205</v>
      </c>
      <c r="C314" s="29" t="n">
        <f aca="false">a25_sh</f>
        <v>0.554331761662183</v>
      </c>
      <c r="D314" s="29" t="n">
        <f aca="false">a26_sh</f>
        <v>0.556054338618749</v>
      </c>
      <c r="E314" s="29" t="n">
        <f aca="false">D314*(1+sh_g)</f>
        <v>0.558834610311843</v>
      </c>
      <c r="F314" s="29" t="n">
        <f aca="false">E314*(1+sh_g)</f>
        <v>0.561628783363402</v>
      </c>
      <c r="G314" s="29" t="n">
        <f aca="false">F314*(1+sh_g)</f>
        <v>0.564436927280219</v>
      </c>
      <c r="H314" s="31" t="n">
        <f aca="false">G314*(1+sh_g)</f>
        <v>0.56725911191662</v>
      </c>
      <c r="I314" s="31" t="n">
        <f aca="false">H314*(1+sh_g)</f>
        <v>0.570095407476203</v>
      </c>
      <c r="J314" s="31" t="n">
        <f aca="false">I314*(1+sh_g)</f>
        <v>0.572945884513584</v>
      </c>
    </row>
    <row r="315" customFormat="false" ht="17.15" hidden="false" customHeight="false" outlineLevel="0" collapsed="false">
      <c r="A315" s="0" t="s">
        <v>363</v>
      </c>
      <c r="B315" s="0" t="s">
        <v>235</v>
      </c>
      <c r="C315" s="30" t="n">
        <f aca="false">C313/C314</f>
        <v>92.2155350556153</v>
      </c>
      <c r="D315" s="30" t="n">
        <f aca="false">D313/D314</f>
        <v>138.534030197391</v>
      </c>
      <c r="E315" s="30" t="n">
        <f aca="false">E313/E314</f>
        <v>240.118359776367</v>
      </c>
      <c r="F315" s="30" t="n">
        <f aca="false">F313/F314</f>
        <v>289.651187290551</v>
      </c>
      <c r="G315" s="30" t="n">
        <f aca="false">G313/G314</f>
        <v>310.612816194633</v>
      </c>
      <c r="H315" s="28" t="n">
        <f aca="false">H313/H314</f>
        <v>345.891351062768</v>
      </c>
      <c r="I315" s="28" t="n">
        <f aca="false">I313/I314</f>
        <v>382.463171235812</v>
      </c>
      <c r="J315" s="28" t="n">
        <f aca="false">J313/J314</f>
        <v>419.973150523217</v>
      </c>
    </row>
    <row r="316" customFormat="false" ht="17.15" hidden="false" customHeight="false" outlineLevel="0" collapsed="false">
      <c r="A316" s="0" t="s">
        <v>466</v>
      </c>
      <c r="B316" s="0" t="s">
        <v>47</v>
      </c>
      <c r="D316" s="18" t="n">
        <f aca="false">D315/C315-1</f>
        <v>0.502285163924287</v>
      </c>
      <c r="E316" s="18" t="n">
        <f aca="false">E315/D315-1</f>
        <v>0.733280692362975</v>
      </c>
      <c r="F316" s="18" t="n">
        <f aca="false">F315/E315-1</f>
        <v>0.206285048591521</v>
      </c>
      <c r="G316" s="18" t="n">
        <f aca="false">G315/F315-1</f>
        <v>0.0723685240173217</v>
      </c>
      <c r="H316" s="26" t="n">
        <f aca="false">H315/G315-1</f>
        <v>0.113577202963929</v>
      </c>
      <c r="I316" s="26" t="n">
        <f aca="false">I315/H315-1</f>
        <v>0.105732103623507</v>
      </c>
      <c r="J316" s="26" t="n">
        <f aca="false">J315/I315-1</f>
        <v>0.0980747483900311</v>
      </c>
    </row>
    <row r="317" customFormat="false" ht="17.15" hidden="false" customHeight="false" outlineLevel="0" collapsed="false">
      <c r="A317" s="4" t="s">
        <v>467</v>
      </c>
      <c r="B317" s="0" t="s">
        <v>47</v>
      </c>
      <c r="C317" s="17" t="n">
        <f aca="false">C313/C298</f>
        <v>0.0537708946282752</v>
      </c>
      <c r="D317" s="17" t="n">
        <f aca="false">D313/D298</f>
        <v>0.0528101877339414</v>
      </c>
      <c r="E317" s="17" t="n">
        <f aca="false">E313/E298</f>
        <v>0.0513198900668073</v>
      </c>
      <c r="F317" s="17" t="n">
        <f aca="false">F313/F298</f>
        <v>0.0512750705301001</v>
      </c>
      <c r="G317" s="17" t="n">
        <f aca="false">G313/G298</f>
        <v>0.0513209645449209</v>
      </c>
      <c r="H317" s="27" t="n">
        <f aca="false">$G317+(fade_mA-$G317)*1/3</f>
        <v>0.0536191181005724</v>
      </c>
      <c r="I317" s="27" t="n">
        <f aca="false">$G317+(fade_mA-$G317)*2/3</f>
        <v>0.0559172716562238</v>
      </c>
      <c r="J317" s="27" t="n">
        <f aca="false">$G317+(fade_mA-$G317)*3/3</f>
        <v>0.0582154252118753</v>
      </c>
    </row>
    <row r="320" customFormat="false" ht="17.15" hidden="false" customHeight="false" outlineLevel="0" collapsed="false">
      <c r="A320" s="1" t="s">
        <v>741</v>
      </c>
    </row>
    <row r="321" customFormat="false" ht="17.15" hidden="false" customHeight="false" outlineLevel="0" collapsed="false">
      <c r="A321" s="5" t="s">
        <v>16</v>
      </c>
      <c r="B321" s="5" t="s">
        <v>17</v>
      </c>
      <c r="C321" s="14" t="s">
        <v>336</v>
      </c>
      <c r="D321" s="14" t="s">
        <v>415</v>
      </c>
      <c r="E321" s="14" t="s">
        <v>416</v>
      </c>
      <c r="F321" s="14" t="s">
        <v>417</v>
      </c>
      <c r="G321" s="14" t="s">
        <v>418</v>
      </c>
      <c r="H321" s="14" t="s">
        <v>419</v>
      </c>
      <c r="I321" s="14" t="s">
        <v>420</v>
      </c>
      <c r="J321" s="14" t="s">
        <v>421</v>
      </c>
      <c r="K321" s="5" t="s">
        <v>387</v>
      </c>
    </row>
    <row r="322" customFormat="false" ht="17.15" hidden="false" customHeight="false" outlineLevel="0" collapsed="false">
      <c r="A322" s="6" t="s">
        <v>437</v>
      </c>
    </row>
    <row r="323" customFormat="false" ht="17.15" hidden="false" customHeight="false" outlineLevel="0" collapsed="false">
      <c r="A323" s="0" t="s">
        <v>438</v>
      </c>
      <c r="B323" s="0" t="s">
        <v>27</v>
      </c>
      <c r="D323" s="30" t="n">
        <f aca="false">itc_26</f>
        <v>781.872916666667</v>
      </c>
      <c r="E323" s="30" t="n">
        <f aca="false">itc_27*1</f>
        <v>1565.35</v>
      </c>
      <c r="F323" s="30" t="n">
        <f aca="false">itc_28*um28_A*1</f>
        <v>1984.26388888889</v>
      </c>
      <c r="G323" s="30" t="n">
        <f aca="false">itc_29*um29_A*1</f>
        <v>2260.39027777778</v>
      </c>
    </row>
    <row r="324" customFormat="false" ht="17.15" hidden="false" customHeight="false" outlineLevel="0" collapsed="false">
      <c r="A324" s="4" t="s">
        <v>439</v>
      </c>
      <c r="B324" s="0" t="s">
        <v>27</v>
      </c>
      <c r="D324" s="30" t="n">
        <f aca="false">itpg_gb*(1-vr26)+itpg_vr*vr26</f>
        <v>33.41403216</v>
      </c>
      <c r="E324" s="30" t="n">
        <f aca="false">itpg_vr</f>
        <v>37.586352</v>
      </c>
      <c r="F324" s="30" t="n">
        <f aca="false">itpg_vr</f>
        <v>37.586352</v>
      </c>
      <c r="G324" s="30" t="n">
        <f aca="false">itpg_vr</f>
        <v>37.586352</v>
      </c>
    </row>
    <row r="325" customFormat="false" ht="17.15" hidden="false" customHeight="false" outlineLevel="0" collapsed="false">
      <c r="A325" s="4" t="s">
        <v>440</v>
      </c>
      <c r="B325" s="0" t="s">
        <v>389</v>
      </c>
      <c r="D325" s="21" t="n">
        <f aca="false">D323/D324</f>
        <v>23.3995380420639</v>
      </c>
      <c r="E325" s="21" t="n">
        <f aca="false">E323/E324</f>
        <v>41.6467658260637</v>
      </c>
      <c r="F325" s="21" t="n">
        <f aca="false">F323/F324</f>
        <v>52.792138191248</v>
      </c>
      <c r="G325" s="21" t="n">
        <f aca="false">G323/G324</f>
        <v>60.1385917361116</v>
      </c>
    </row>
    <row r="326" customFormat="false" ht="17.15" hidden="false" customHeight="false" outlineLevel="0" collapsed="false">
      <c r="A326" s="4" t="s">
        <v>441</v>
      </c>
      <c r="B326" s="0" t="s">
        <v>408</v>
      </c>
      <c r="D326" s="19" t="n">
        <f aca="false">(racks_gb*odm_gb*(1-vr26)+racks_vr*odm_vr*vr26)/1000</f>
        <v>27.1209</v>
      </c>
      <c r="E326" s="19" t="n">
        <f aca="false">racks_vr*odm_vr/1000</f>
        <v>27.351</v>
      </c>
      <c r="F326" s="19" t="n">
        <f aca="false">$E326*vpg_28</f>
        <v>27.351</v>
      </c>
      <c r="G326" s="19" t="n">
        <f aca="false">$E326*vpg_29</f>
        <v>27.351</v>
      </c>
      <c r="K326" s="4" t="s">
        <v>442</v>
      </c>
    </row>
    <row r="327" customFormat="false" ht="17.15" hidden="false" customHeight="false" outlineLevel="0" collapsed="false">
      <c r="A327" s="0" t="s">
        <v>443</v>
      </c>
      <c r="B327" s="0" t="s">
        <v>27</v>
      </c>
      <c r="D327" s="22" t="n">
        <f aca="false">D325*D326</f>
        <v>634.616531285011</v>
      </c>
      <c r="E327" s="22" t="n">
        <f aca="false">E325*E326</f>
        <v>1139.08069210867</v>
      </c>
      <c r="F327" s="22" t="n">
        <f aca="false">F325*F326</f>
        <v>1443.91777166882</v>
      </c>
      <c r="G327" s="22" t="n">
        <f aca="false">G325*G326</f>
        <v>1644.85062257439</v>
      </c>
    </row>
    <row r="328" customFormat="false" ht="17.15" hidden="false" customHeight="false" outlineLevel="0" collapsed="false">
      <c r="A328" s="0" t="s">
        <v>444</v>
      </c>
      <c r="B328" s="0" t="s">
        <v>184</v>
      </c>
      <c r="D328" s="22" t="n">
        <f aca="false">D327*fx</f>
        <v>20307.7290011204</v>
      </c>
      <c r="E328" s="22" t="n">
        <f aca="false">E327*fx</f>
        <v>36450.5821474774</v>
      </c>
      <c r="F328" s="22" t="n">
        <f aca="false">F327*fx</f>
        <v>46205.3686934024</v>
      </c>
      <c r="G328" s="22" t="n">
        <f aca="false">G327*fx</f>
        <v>52635.2199223804</v>
      </c>
    </row>
    <row r="329" customFormat="false" ht="17.15" hidden="false" customHeight="false" outlineLevel="0" collapsed="false">
      <c r="A329" s="4" t="s">
        <v>445</v>
      </c>
      <c r="B329" s="0" t="s">
        <v>47</v>
      </c>
      <c r="D329" s="17" t="n">
        <f aca="false">a26_ai/D328</f>
        <v>0.0344775081035094</v>
      </c>
      <c r="K329" s="8" t="s">
        <v>446</v>
      </c>
    </row>
    <row r="330" customFormat="false" ht="17.15" hidden="false" customHeight="false" outlineLevel="0" collapsed="false">
      <c r="A330" s="4" t="s">
        <v>447</v>
      </c>
      <c r="B330" s="0" t="s">
        <v>59</v>
      </c>
      <c r="D330" s="19" t="n">
        <f aca="false">1</f>
        <v>1</v>
      </c>
      <c r="E330" s="19" t="n">
        <f aca="false">rel_27</f>
        <v>1</v>
      </c>
      <c r="F330" s="19" t="n">
        <f aca="false">rel_28</f>
        <v>1</v>
      </c>
      <c r="G330" s="19" t="n">
        <f aca="false">rel_29</f>
        <v>0.95</v>
      </c>
    </row>
    <row r="331" customFormat="false" ht="17.15" hidden="false" customHeight="false" outlineLevel="0" collapsed="false">
      <c r="A331" s="0" t="s">
        <v>448</v>
      </c>
      <c r="B331" s="0" t="s">
        <v>59</v>
      </c>
      <c r="D331" s="23" t="n">
        <f aca="false">1</f>
        <v>1</v>
      </c>
      <c r="E331" s="23" t="n">
        <f aca="false">asic_mix*((ua_27/ua_26)/(ut_27/ut_26))+(1-asic_mix)</f>
        <v>1.44683544303797</v>
      </c>
      <c r="F331" s="23" t="n">
        <f aca="false">asic_mix*((ua_28/ua_26)/(ut_28/ut_26))+(1-asic_mix)</f>
        <v>1.47660377358491</v>
      </c>
      <c r="G331" s="23" t="n">
        <f aca="false">asic_mix*((ua_29/ua_26)/(ut_29/ut_26))+(1-asic_mix)</f>
        <v>1.49144278606965</v>
      </c>
      <c r="K331" s="8" t="s">
        <v>449</v>
      </c>
    </row>
    <row r="332" customFormat="false" ht="15" hidden="false" customHeight="false" outlineLevel="0" collapsed="false">
      <c r="A332" s="4" t="s">
        <v>398</v>
      </c>
      <c r="B332" s="0" t="s">
        <v>47</v>
      </c>
      <c r="D332" s="17" t="n">
        <f aca="false">$D$329*D330*D331</f>
        <v>0.0344775081035094</v>
      </c>
      <c r="E332" s="17" t="n">
        <f aca="false">$D$329*E330*E331</f>
        <v>0.0498832807117864</v>
      </c>
      <c r="F332" s="17" t="n">
        <f aca="false">$D$329*F330*F331</f>
        <v>0.0509096185694461</v>
      </c>
      <c r="G332" s="17" t="n">
        <f aca="false">$D$329*G330*G331</f>
        <v>0.0488501692055052</v>
      </c>
    </row>
    <row r="333" customFormat="false" ht="17.15" hidden="false" customHeight="false" outlineLevel="0" collapsed="false">
      <c r="A333" s="0" t="s">
        <v>450</v>
      </c>
      <c r="B333" s="0" t="s">
        <v>184</v>
      </c>
      <c r="D333" s="22" t="n">
        <f aca="false">D328*D332</f>
        <v>700.1598912</v>
      </c>
      <c r="E333" s="22" t="n">
        <f aca="false">E328*E332</f>
        <v>1818.27462137064</v>
      </c>
      <c r="F333" s="22" t="n">
        <f aca="false">F328*F332</f>
        <v>2352.29769604174</v>
      </c>
      <c r="G333" s="22" t="n">
        <f aca="false">G328*G332</f>
        <v>2571.23939937726</v>
      </c>
    </row>
    <row r="334" customFormat="false" ht="17.15" hidden="false" customHeight="false" outlineLevel="0" collapsed="false">
      <c r="A334" s="4" t="s">
        <v>404</v>
      </c>
      <c r="B334" s="0" t="s">
        <v>47</v>
      </c>
      <c r="D334" s="18" t="n">
        <f aca="false">0</f>
        <v>0</v>
      </c>
      <c r="E334" s="18" t="n">
        <f aca="false">cs_27_hi</f>
        <v>0.15</v>
      </c>
      <c r="F334" s="18" t="n">
        <f aca="false">cs_28_hi</f>
        <v>0.25</v>
      </c>
      <c r="G334" s="18" t="n">
        <f aca="false">cs_29_hi</f>
        <v>0.35</v>
      </c>
      <c r="K334" s="8" t="s">
        <v>451</v>
      </c>
    </row>
    <row r="335" customFormat="false" ht="17.15" hidden="false" customHeight="false" outlineLevel="0" collapsed="false">
      <c r="A335" s="0" t="s">
        <v>452</v>
      </c>
      <c r="B335" s="0" t="s">
        <v>184</v>
      </c>
      <c r="C335" s="22" t="n">
        <f aca="false">a25_ai</f>
        <v>475.3315</v>
      </c>
      <c r="D335" s="22" t="n">
        <f aca="false">D333*(1-D334)</f>
        <v>700.1598912</v>
      </c>
      <c r="E335" s="22" t="n">
        <f aca="false">E333*(1-E334)</f>
        <v>1545.53342816505</v>
      </c>
      <c r="F335" s="22" t="n">
        <f aca="false">F333*(1-F334)</f>
        <v>1764.22327203131</v>
      </c>
      <c r="G335" s="22" t="n">
        <f aca="false">G333*(1-G334)</f>
        <v>1671.30560959522</v>
      </c>
    </row>
    <row r="336" customFormat="false" ht="17.15" hidden="false" customHeight="false" outlineLevel="0" collapsed="false">
      <c r="A336" s="6" t="s">
        <v>453</v>
      </c>
    </row>
    <row r="337" customFormat="false" ht="17.15" hidden="false" customHeight="false" outlineLevel="0" collapsed="false">
      <c r="A337" s="4" t="s">
        <v>373</v>
      </c>
      <c r="B337" s="0" t="s">
        <v>184</v>
      </c>
      <c r="C337" s="22" t="n">
        <f aca="false">a25_nai</f>
        <v>475.3315</v>
      </c>
      <c r="D337" s="22" t="n">
        <f aca="false">a26_nai</f>
        <v>758.5065488</v>
      </c>
      <c r="E337" s="22" t="n">
        <f aca="false">D337*(1+g_nai27)</f>
        <v>796.43187624</v>
      </c>
      <c r="F337" s="22" t="n">
        <f aca="false">E337*(1+g_nai28)</f>
        <v>820.3248325272</v>
      </c>
      <c r="G337" s="22" t="n">
        <f aca="false">F337*(1+g_nai29)</f>
        <v>844.934577503016</v>
      </c>
    </row>
    <row r="338" customFormat="false" ht="17.15" hidden="false" customHeight="false" outlineLevel="0" collapsed="false">
      <c r="A338" s="4" t="s">
        <v>342</v>
      </c>
      <c r="B338" s="0" t="s">
        <v>184</v>
      </c>
      <c r="C338" s="22" t="n">
        <f aca="false">C335+C337</f>
        <v>950.663</v>
      </c>
      <c r="D338" s="22" t="n">
        <f aca="false">D335+D337</f>
        <v>1458.66644</v>
      </c>
      <c r="E338" s="22" t="n">
        <f aca="false">E335+E337</f>
        <v>2341.96530440505</v>
      </c>
      <c r="F338" s="22" t="n">
        <f aca="false">F335+F337</f>
        <v>2584.54810455851</v>
      </c>
      <c r="G338" s="22" t="n">
        <f aca="false">G335+G337</f>
        <v>2516.24018709824</v>
      </c>
      <c r="H338" s="25" t="n">
        <f aca="false">G338*(1+H339)</f>
        <v>2522.22993494723</v>
      </c>
      <c r="I338" s="25" t="n">
        <f aca="false">H338*(1+I339)</f>
        <v>2600.8988360248</v>
      </c>
      <c r="J338" s="25" t="n">
        <f aca="false">I338*(1+J339)</f>
        <v>2756.95276618629</v>
      </c>
      <c r="K338" s="8" t="s">
        <v>454</v>
      </c>
    </row>
    <row r="339" customFormat="false" ht="15" hidden="false" customHeight="false" outlineLevel="0" collapsed="false">
      <c r="A339" s="4" t="s">
        <v>455</v>
      </c>
      <c r="B339" s="0" t="s">
        <v>47</v>
      </c>
      <c r="D339" s="18" t="n">
        <f aca="false">D338/C338-1</f>
        <v>0.534367530870561</v>
      </c>
      <c r="E339" s="18" t="n">
        <f aca="false">E338/D338-1</f>
        <v>0.605552332036271</v>
      </c>
      <c r="F339" s="18" t="n">
        <f aca="false">F338/E338-1</f>
        <v>0.103580868468539</v>
      </c>
      <c r="G339" s="18" t="n">
        <f aca="false">G338/F338-1</f>
        <v>-0.0264293465228186</v>
      </c>
      <c r="H339" s="26" t="n">
        <f aca="false">$G339+(fade_gA-$G339)*1/3</f>
        <v>0.00238043565145428</v>
      </c>
      <c r="I339" s="26" t="n">
        <f aca="false">$G339+(fade_gA-$G339)*2/3</f>
        <v>0.0311902178257271</v>
      </c>
      <c r="J339" s="26" t="n">
        <f aca="false">$G339+(fade_gA-$G339)*3/3</f>
        <v>0.06</v>
      </c>
    </row>
    <row r="340" customFormat="false" ht="17.15" hidden="false" customHeight="false" outlineLevel="0" collapsed="false">
      <c r="A340" s="0" t="s">
        <v>456</v>
      </c>
      <c r="B340" s="0" t="s">
        <v>47</v>
      </c>
      <c r="C340" s="18" t="n">
        <f aca="false">C335/C338</f>
        <v>0.5</v>
      </c>
      <c r="D340" s="18" t="n">
        <f aca="false">D335/D338</f>
        <v>0.48</v>
      </c>
      <c r="E340" s="18" t="n">
        <f aca="false">E335/E338</f>
        <v>0.659930113079824</v>
      </c>
      <c r="F340" s="18" t="n">
        <f aca="false">F335/F338</f>
        <v>0.682604153863358</v>
      </c>
      <c r="G340" s="18" t="n">
        <f aca="false">G335/G338</f>
        <v>0.664207502195008</v>
      </c>
    </row>
    <row r="341" customFormat="false" ht="17.15" hidden="false" customHeight="false" outlineLevel="0" collapsed="false">
      <c r="A341" s="4" t="s">
        <v>407</v>
      </c>
      <c r="B341" s="0" t="s">
        <v>408</v>
      </c>
      <c r="D341" s="23" t="n">
        <f aca="false">D335/fx/D325</f>
        <v>0.935061049524468</v>
      </c>
      <c r="E341" s="23" t="n">
        <f aca="false">E335/fx/E325</f>
        <v>1.15970396913586</v>
      </c>
      <c r="F341" s="23" t="n">
        <f aca="false">F335/fx/F325</f>
        <v>1.04432173311969</v>
      </c>
      <c r="G341" s="23" t="n">
        <f aca="false">G335/fx/G325</f>
        <v>0.868465635660852</v>
      </c>
    </row>
    <row r="342" customFormat="false" ht="17.15" hidden="false" customHeight="false" outlineLevel="0" collapsed="false">
      <c r="A342" s="6" t="s">
        <v>457</v>
      </c>
    </row>
    <row r="343" customFormat="false" ht="17.15" hidden="false" customHeight="false" outlineLevel="0" collapsed="false">
      <c r="A343" s="4" t="s">
        <v>458</v>
      </c>
      <c r="B343" s="0" t="s">
        <v>47</v>
      </c>
      <c r="D343" s="17" t="n">
        <f aca="false">a26_gp/D338-d_ai*D340</f>
        <v>0.0882120920201606</v>
      </c>
      <c r="K343" s="8" t="s">
        <v>459</v>
      </c>
    </row>
    <row r="344" customFormat="false" ht="17.15" hidden="false" customHeight="false" outlineLevel="0" collapsed="false">
      <c r="A344" s="0" t="s">
        <v>460</v>
      </c>
      <c r="B344" s="0" t="s">
        <v>184</v>
      </c>
      <c r="D344" s="30" t="n">
        <f aca="false">($D$343+d_ai)*D333*(1-D334*(1-keep))</f>
        <v>54.76096983936</v>
      </c>
      <c r="E344" s="30" t="n">
        <f aca="false">($D$343+d_ai+vrd)*E333*(1-E334*(1-keep))</f>
        <v>136.495895070395</v>
      </c>
      <c r="F344" s="30" t="n">
        <f aca="false">($D$343+d_ai+vrd)*F333*(1-F334*(1-keep))</f>
        <v>174.791690257806</v>
      </c>
      <c r="G344" s="30" t="n">
        <f aca="false">($D$343+d_ai+vrd)*G333*(1-G334*(1-keep))</f>
        <v>189.10095003131</v>
      </c>
      <c r="K344" s="4" t="s">
        <v>461</v>
      </c>
    </row>
    <row r="345" customFormat="false" ht="15" hidden="false" customHeight="false" outlineLevel="0" collapsed="false">
      <c r="A345" s="4" t="s">
        <v>346</v>
      </c>
      <c r="B345" s="0" t="s">
        <v>184</v>
      </c>
      <c r="C345" s="22" t="n">
        <f aca="false">a25_gp</f>
        <v>78.454</v>
      </c>
      <c r="D345" s="22" t="n">
        <f aca="false">a26_gp</f>
        <v>121.67041932</v>
      </c>
      <c r="E345" s="22" t="n">
        <f aca="false">$D$343*E337+E344</f>
        <v>206.750817025067</v>
      </c>
      <c r="F345" s="22" t="n">
        <f aca="false">$D$343*F337+F344</f>
        <v>247.154259871118</v>
      </c>
      <c r="G345" s="22" t="n">
        <f aca="false">$D$343*G337+G344</f>
        <v>263.634396733022</v>
      </c>
    </row>
    <row r="346" customFormat="false" ht="15" hidden="false" customHeight="false" outlineLevel="0" collapsed="false">
      <c r="A346" s="4" t="s">
        <v>349</v>
      </c>
      <c r="B346" s="0" t="s">
        <v>47</v>
      </c>
      <c r="C346" s="17" t="n">
        <f aca="false">C345/C338</f>
        <v>0.0825255637381491</v>
      </c>
      <c r="D346" s="17" t="n">
        <f aca="false">D345/D338</f>
        <v>0.0834120920201606</v>
      </c>
      <c r="E346" s="17" t="n">
        <f aca="false">E345/E338</f>
        <v>0.0882809052022185</v>
      </c>
      <c r="F346" s="17" t="n">
        <f aca="false">F345/F338</f>
        <v>0.0956276493500737</v>
      </c>
      <c r="G346" s="17" t="n">
        <f aca="false">G345/G338</f>
        <v>0.104773144505354</v>
      </c>
    </row>
    <row r="347" customFormat="false" ht="17.15" hidden="false" customHeight="false" outlineLevel="0" collapsed="false">
      <c r="A347" s="0" t="s">
        <v>462</v>
      </c>
      <c r="B347" s="0" t="s">
        <v>47</v>
      </c>
      <c r="D347" s="17" t="n">
        <f aca="false">D344/D335</f>
        <v>0.0782120920201606</v>
      </c>
      <c r="E347" s="17" t="n">
        <f aca="false">E344/E335</f>
        <v>0.0883163654586567</v>
      </c>
      <c r="F347" s="17" t="n">
        <f aca="false">F344/F335</f>
        <v>0.0990757196262087</v>
      </c>
      <c r="G347" s="17" t="n">
        <f aca="false">G344/G335</f>
        <v>0.113145644306854</v>
      </c>
      <c r="K347" s="4" t="s">
        <v>463</v>
      </c>
    </row>
    <row r="348" customFormat="false" ht="15" hidden="false" customHeight="false" outlineLevel="0" collapsed="false">
      <c r="A348" s="4" t="s">
        <v>464</v>
      </c>
      <c r="B348" s="0" t="s">
        <v>184</v>
      </c>
      <c r="C348" s="22" t="n">
        <f aca="false">a25_opx</f>
        <v>14.536</v>
      </c>
      <c r="D348" s="22" t="n">
        <f aca="false">a26_opx</f>
        <v>22.5183263</v>
      </c>
      <c r="E348" s="22" t="n">
        <f aca="false">D348*(1+MAX(0,phi*E339))</f>
        <v>33.427146303615</v>
      </c>
      <c r="F348" s="22" t="n">
        <f aca="false">E348*(1+MAX(0,phi*F339))</f>
        <v>36.1970765792576</v>
      </c>
      <c r="G348" s="22" t="n">
        <f aca="false">F348*(1+MAX(0,phi*G339))</f>
        <v>36.1970765792576</v>
      </c>
    </row>
    <row r="349" customFormat="false" ht="15" hidden="false" customHeight="false" outlineLevel="0" collapsed="false">
      <c r="A349" s="4" t="s">
        <v>350</v>
      </c>
      <c r="B349" s="0" t="s">
        <v>184</v>
      </c>
      <c r="C349" s="22" t="n">
        <f aca="false">C348</f>
        <v>14.536</v>
      </c>
      <c r="D349" s="22" t="n">
        <f aca="false">D348</f>
        <v>22.5183263</v>
      </c>
      <c r="E349" s="22" t="n">
        <f aca="false">E348+0*E338</f>
        <v>33.427146303615</v>
      </c>
      <c r="F349" s="22" t="n">
        <f aca="false">F348+0*F338</f>
        <v>36.1970765792576</v>
      </c>
      <c r="G349" s="22" t="n">
        <f aca="false">G348+0*G338</f>
        <v>36.1970765792576</v>
      </c>
    </row>
    <row r="350" customFormat="false" ht="15" hidden="false" customHeight="false" outlineLevel="0" collapsed="false">
      <c r="A350" s="4" t="s">
        <v>353</v>
      </c>
      <c r="B350" s="0" t="s">
        <v>184</v>
      </c>
      <c r="C350" s="22" t="n">
        <f aca="false">C345-C349</f>
        <v>63.918</v>
      </c>
      <c r="D350" s="22" t="n">
        <f aca="false">D345-D349</f>
        <v>99.15209302</v>
      </c>
      <c r="E350" s="22" t="n">
        <f aca="false">E345-E349</f>
        <v>173.323670721452</v>
      </c>
      <c r="F350" s="22" t="n">
        <f aca="false">F345-F349</f>
        <v>210.957183291861</v>
      </c>
      <c r="G350" s="22" t="n">
        <f aca="false">G345-G349</f>
        <v>227.437320153764</v>
      </c>
    </row>
    <row r="351" customFormat="false" ht="15" hidden="false" customHeight="false" outlineLevel="0" collapsed="false">
      <c r="A351" s="4" t="s">
        <v>356</v>
      </c>
      <c r="B351" s="0" t="s">
        <v>47</v>
      </c>
      <c r="C351" s="17" t="n">
        <f aca="false">C350/C338</f>
        <v>0.0672351821833815</v>
      </c>
      <c r="D351" s="17" t="n">
        <f aca="false">D350/D338</f>
        <v>0.0679744801834201</v>
      </c>
      <c r="E351" s="17" t="n">
        <f aca="false">E350/E338</f>
        <v>0.0740077875600651</v>
      </c>
      <c r="F351" s="17" t="n">
        <f aca="false">F350/F338</f>
        <v>0.0816224634858931</v>
      </c>
      <c r="G351" s="17" t="n">
        <f aca="false">G350/G338</f>
        <v>0.0903877623924479</v>
      </c>
    </row>
    <row r="352" customFormat="false" ht="17.15" hidden="false" customHeight="false" outlineLevel="0" collapsed="false">
      <c r="A352" s="4" t="s">
        <v>218</v>
      </c>
      <c r="B352" s="0" t="s">
        <v>47</v>
      </c>
      <c r="C352" s="18" t="n">
        <f aca="false">a25_ni/a25_oi</f>
        <v>0.799743421258488</v>
      </c>
      <c r="D352" s="18" t="n">
        <f aca="false">a26_ni/a26_oi</f>
        <v>0.776911976251089</v>
      </c>
      <c r="E352" s="18" t="n">
        <f aca="false">nio_f</f>
        <v>0.78</v>
      </c>
      <c r="F352" s="18" t="n">
        <f aca="false">nio_f</f>
        <v>0.78</v>
      </c>
      <c r="G352" s="18" t="n">
        <f aca="false">nio_f</f>
        <v>0.78</v>
      </c>
    </row>
    <row r="353" customFormat="false" ht="15" hidden="false" customHeight="false" outlineLevel="0" collapsed="false">
      <c r="A353" s="4" t="s">
        <v>357</v>
      </c>
      <c r="B353" s="0" t="s">
        <v>184</v>
      </c>
      <c r="C353" s="22" t="n">
        <f aca="false">a25_ni</f>
        <v>51.118</v>
      </c>
      <c r="D353" s="22" t="n">
        <f aca="false">a26_ni</f>
        <v>77.0324485376</v>
      </c>
      <c r="E353" s="22" t="n">
        <f aca="false">E350*E352</f>
        <v>135.192463162732</v>
      </c>
      <c r="F353" s="22" t="n">
        <f aca="false">F350*F352</f>
        <v>164.546602967651</v>
      </c>
      <c r="G353" s="22" t="n">
        <f aca="false">G350*G352</f>
        <v>177.401109719936</v>
      </c>
      <c r="H353" s="25" t="n">
        <f aca="false">H338*H357</f>
        <v>167.493163812438</v>
      </c>
      <c r="I353" s="25" t="n">
        <f aca="false">I338*I357</f>
        <v>162.064871874162</v>
      </c>
      <c r="J353" s="25" t="n">
        <f aca="false">J338*J357</f>
        <v>160.497177572591</v>
      </c>
    </row>
    <row r="354" customFormat="false" ht="15" hidden="false" customHeight="false" outlineLevel="0" collapsed="false">
      <c r="A354" s="4" t="s">
        <v>465</v>
      </c>
      <c r="B354" s="4" t="s">
        <v>205</v>
      </c>
      <c r="C354" s="29" t="n">
        <f aca="false">a25_sh</f>
        <v>0.554331761662183</v>
      </c>
      <c r="D354" s="29" t="n">
        <f aca="false">a26_sh</f>
        <v>0.556054338618749</v>
      </c>
      <c r="E354" s="29" t="n">
        <f aca="false">D354*(1+sh_g)</f>
        <v>0.558834610311843</v>
      </c>
      <c r="F354" s="29" t="n">
        <f aca="false">E354*(1+sh_g)</f>
        <v>0.561628783363402</v>
      </c>
      <c r="G354" s="29" t="n">
        <f aca="false">F354*(1+sh_g)</f>
        <v>0.564436927280219</v>
      </c>
      <c r="H354" s="31" t="n">
        <f aca="false">G354*(1+sh_g)</f>
        <v>0.56725911191662</v>
      </c>
      <c r="I354" s="31" t="n">
        <f aca="false">H354*(1+sh_g)</f>
        <v>0.570095407476203</v>
      </c>
      <c r="J354" s="31" t="n">
        <f aca="false">I354*(1+sh_g)</f>
        <v>0.572945884513584</v>
      </c>
    </row>
    <row r="355" customFormat="false" ht="17.15" hidden="false" customHeight="false" outlineLevel="0" collapsed="false">
      <c r="A355" s="0" t="s">
        <v>363</v>
      </c>
      <c r="B355" s="0" t="s">
        <v>235</v>
      </c>
      <c r="C355" s="30" t="n">
        <f aca="false">C353/C354</f>
        <v>92.2155350556153</v>
      </c>
      <c r="D355" s="30" t="n">
        <f aca="false">D353/D354</f>
        <v>138.534030197391</v>
      </c>
      <c r="E355" s="30" t="n">
        <f aca="false">E353/E354</f>
        <v>241.91855813528</v>
      </c>
      <c r="F355" s="30" t="n">
        <f aca="false">F353/F354</f>
        <v>292.981071914154</v>
      </c>
      <c r="G355" s="30" t="n">
        <f aca="false">G353/G354</f>
        <v>314.297490376394</v>
      </c>
      <c r="H355" s="28" t="n">
        <f aca="false">H353/H354</f>
        <v>295.267471767043</v>
      </c>
      <c r="I355" s="28" t="n">
        <f aca="false">I353/I354</f>
        <v>284.276753941272</v>
      </c>
      <c r="J355" s="28" t="n">
        <f aca="false">J353/J354</f>
        <v>280.126242129915</v>
      </c>
    </row>
    <row r="356" customFormat="false" ht="17.15" hidden="false" customHeight="false" outlineLevel="0" collapsed="false">
      <c r="A356" s="0" t="s">
        <v>466</v>
      </c>
      <c r="B356" s="0" t="s">
        <v>47</v>
      </c>
      <c r="D356" s="18" t="n">
        <f aca="false">D355/C355-1</f>
        <v>0.502285163924287</v>
      </c>
      <c r="E356" s="18" t="n">
        <f aca="false">E355/D355-1</f>
        <v>0.746275321598467</v>
      </c>
      <c r="F356" s="18" t="n">
        <f aca="false">F355/E355-1</f>
        <v>0.211073156902328</v>
      </c>
      <c r="G356" s="18" t="n">
        <f aca="false">G355/F355-1</f>
        <v>0.0727569816130858</v>
      </c>
      <c r="H356" s="26" t="n">
        <f aca="false">H355/G355-1</f>
        <v>-0.0605477905234346</v>
      </c>
      <c r="I356" s="26" t="n">
        <f aca="false">I355/H355-1</f>
        <v>-0.0372229211704089</v>
      </c>
      <c r="J356" s="26" t="n">
        <f aca="false">J355/I355-1</f>
        <v>-0.0146002504735738</v>
      </c>
    </row>
    <row r="357" customFormat="false" ht="17.15" hidden="false" customHeight="false" outlineLevel="0" collapsed="false">
      <c r="A357" s="4" t="s">
        <v>467</v>
      </c>
      <c r="B357" s="0" t="s">
        <v>47</v>
      </c>
      <c r="C357" s="17" t="n">
        <f aca="false">C353/C338</f>
        <v>0.0537708946282752</v>
      </c>
      <c r="D357" s="17" t="n">
        <f aca="false">D353/D338</f>
        <v>0.0528101877339414</v>
      </c>
      <c r="E357" s="17" t="n">
        <f aca="false">E353/E338</f>
        <v>0.0577260742968508</v>
      </c>
      <c r="F357" s="17" t="n">
        <f aca="false">F353/F338</f>
        <v>0.0636655215189966</v>
      </c>
      <c r="G357" s="17" t="n">
        <f aca="false">G353/G338</f>
        <v>0.0705024546661094</v>
      </c>
      <c r="H357" s="27" t="n">
        <f aca="false">$G357+(fade_mA-$G357)*1/3</f>
        <v>0.0664067781813647</v>
      </c>
      <c r="I357" s="27" t="n">
        <f aca="false">$G357+(fade_mA-$G357)*2/3</f>
        <v>0.06231110169662</v>
      </c>
      <c r="J357" s="27" t="n">
        <f aca="false">$G357+(fade_mA-$G357)*3/3</f>
        <v>0.0582154252118753</v>
      </c>
    </row>
    <row r="360" customFormat="false" ht="17.15" hidden="false" customHeight="false" outlineLevel="0" collapsed="false">
      <c r="A360" s="1" t="s">
        <v>742</v>
      </c>
    </row>
    <row r="361" customFormat="false" ht="17.15" hidden="false" customHeight="false" outlineLevel="0" collapsed="false">
      <c r="A361" s="5" t="s">
        <v>16</v>
      </c>
      <c r="B361" s="5" t="s">
        <v>17</v>
      </c>
      <c r="C361" s="14" t="s">
        <v>336</v>
      </c>
      <c r="D361" s="14" t="s">
        <v>415</v>
      </c>
      <c r="E361" s="14" t="s">
        <v>416</v>
      </c>
      <c r="F361" s="14" t="s">
        <v>417</v>
      </c>
      <c r="G361" s="14" t="s">
        <v>418</v>
      </c>
      <c r="H361" s="14" t="s">
        <v>419</v>
      </c>
      <c r="I361" s="14" t="s">
        <v>420</v>
      </c>
      <c r="J361" s="14" t="s">
        <v>421</v>
      </c>
      <c r="K361" s="5" t="s">
        <v>387</v>
      </c>
    </row>
    <row r="362" customFormat="false" ht="17.15" hidden="false" customHeight="false" outlineLevel="0" collapsed="false">
      <c r="A362" s="6" t="s">
        <v>437</v>
      </c>
    </row>
    <row r="363" customFormat="false" ht="17.15" hidden="false" customHeight="false" outlineLevel="0" collapsed="false">
      <c r="A363" s="0" t="s">
        <v>438</v>
      </c>
      <c r="B363" s="0" t="s">
        <v>27</v>
      </c>
      <c r="D363" s="30" t="n">
        <f aca="false">itc_26</f>
        <v>781.872916666667</v>
      </c>
      <c r="E363" s="30" t="n">
        <f aca="false">itc_27*1</f>
        <v>1565.35</v>
      </c>
      <c r="F363" s="30" t="n">
        <f aca="false">itc_28*um28_A*1</f>
        <v>1984.26388888889</v>
      </c>
      <c r="G363" s="30" t="n">
        <f aca="false">itc_29*um29_A*1</f>
        <v>2260.39027777778</v>
      </c>
    </row>
    <row r="364" customFormat="false" ht="17.15" hidden="false" customHeight="false" outlineLevel="0" collapsed="false">
      <c r="A364" s="4" t="s">
        <v>439</v>
      </c>
      <c r="B364" s="0" t="s">
        <v>27</v>
      </c>
      <c r="D364" s="30" t="n">
        <f aca="false">itpg_gb*(1-vr26)+itpg_vr*vr26</f>
        <v>33.41403216</v>
      </c>
      <c r="E364" s="30" t="n">
        <f aca="false">itpg_vr</f>
        <v>37.586352</v>
      </c>
      <c r="F364" s="30" t="n">
        <f aca="false">itpg_vr</f>
        <v>37.586352</v>
      </c>
      <c r="G364" s="30" t="n">
        <f aca="false">itpg_vr</f>
        <v>37.586352</v>
      </c>
    </row>
    <row r="365" customFormat="false" ht="17.15" hidden="false" customHeight="false" outlineLevel="0" collapsed="false">
      <c r="A365" s="4" t="s">
        <v>440</v>
      </c>
      <c r="B365" s="0" t="s">
        <v>389</v>
      </c>
      <c r="D365" s="21" t="n">
        <f aca="false">D363/D364</f>
        <v>23.3995380420639</v>
      </c>
      <c r="E365" s="21" t="n">
        <f aca="false">E363/E364</f>
        <v>41.6467658260637</v>
      </c>
      <c r="F365" s="21" t="n">
        <f aca="false">F363/F364</f>
        <v>52.792138191248</v>
      </c>
      <c r="G365" s="21" t="n">
        <f aca="false">G363/G364</f>
        <v>60.1385917361116</v>
      </c>
    </row>
    <row r="366" customFormat="false" ht="17.15" hidden="false" customHeight="false" outlineLevel="0" collapsed="false">
      <c r="A366" s="4" t="s">
        <v>441</v>
      </c>
      <c r="B366" s="0" t="s">
        <v>408</v>
      </c>
      <c r="D366" s="19" t="n">
        <f aca="false">(racks_gb*odm_gb*(1-vr26)+racks_vr*odm_vr*vr26)/1000</f>
        <v>27.1209</v>
      </c>
      <c r="E366" s="19" t="n">
        <f aca="false">racks_vr*odm_vr/1000</f>
        <v>27.351</v>
      </c>
      <c r="F366" s="19" t="n">
        <f aca="false">$E366*vpg_28</f>
        <v>27.351</v>
      </c>
      <c r="G366" s="19" t="n">
        <f aca="false">$E366*vpg_29</f>
        <v>27.351</v>
      </c>
      <c r="K366" s="4" t="s">
        <v>442</v>
      </c>
    </row>
    <row r="367" customFormat="false" ht="17.15" hidden="false" customHeight="false" outlineLevel="0" collapsed="false">
      <c r="A367" s="0" t="s">
        <v>443</v>
      </c>
      <c r="B367" s="0" t="s">
        <v>27</v>
      </c>
      <c r="D367" s="22" t="n">
        <f aca="false">D365*D366</f>
        <v>634.616531285011</v>
      </c>
      <c r="E367" s="22" t="n">
        <f aca="false">E365*E366</f>
        <v>1139.08069210867</v>
      </c>
      <c r="F367" s="22" t="n">
        <f aca="false">F365*F366</f>
        <v>1443.91777166882</v>
      </c>
      <c r="G367" s="22" t="n">
        <f aca="false">G365*G366</f>
        <v>1644.85062257439</v>
      </c>
    </row>
    <row r="368" customFormat="false" ht="17.15" hidden="false" customHeight="false" outlineLevel="0" collapsed="false">
      <c r="A368" s="0" t="s">
        <v>444</v>
      </c>
      <c r="B368" s="0" t="s">
        <v>184</v>
      </c>
      <c r="D368" s="22" t="n">
        <f aca="false">D367*fx</f>
        <v>20307.7290011204</v>
      </c>
      <c r="E368" s="22" t="n">
        <f aca="false">E367*fx</f>
        <v>36450.5821474774</v>
      </c>
      <c r="F368" s="22" t="n">
        <f aca="false">F367*fx</f>
        <v>46205.3686934024</v>
      </c>
      <c r="G368" s="22" t="n">
        <f aca="false">G367*fx</f>
        <v>52635.2199223804</v>
      </c>
    </row>
    <row r="369" customFormat="false" ht="17.15" hidden="false" customHeight="false" outlineLevel="0" collapsed="false">
      <c r="A369" s="4" t="s">
        <v>445</v>
      </c>
      <c r="B369" s="0" t="s">
        <v>47</v>
      </c>
      <c r="D369" s="17" t="n">
        <f aca="false">a26_ai/D368</f>
        <v>0.0344775081035094</v>
      </c>
      <c r="K369" s="8" t="s">
        <v>446</v>
      </c>
    </row>
    <row r="370" customFormat="false" ht="17.15" hidden="false" customHeight="false" outlineLevel="0" collapsed="false">
      <c r="A370" s="4" t="s">
        <v>447</v>
      </c>
      <c r="B370" s="0" t="s">
        <v>59</v>
      </c>
      <c r="D370" s="19" t="n">
        <f aca="false">1</f>
        <v>1</v>
      </c>
      <c r="E370" s="19" t="n">
        <f aca="false">rel_27</f>
        <v>1</v>
      </c>
      <c r="F370" s="19" t="n">
        <f aca="false">rel_28</f>
        <v>1</v>
      </c>
      <c r="G370" s="19" t="n">
        <f aca="false">rel_29</f>
        <v>0.95</v>
      </c>
    </row>
    <row r="371" customFormat="false" ht="17.15" hidden="false" customHeight="false" outlineLevel="0" collapsed="false">
      <c r="A371" s="0" t="s">
        <v>448</v>
      </c>
      <c r="B371" s="0" t="s">
        <v>59</v>
      </c>
      <c r="D371" s="23" t="n">
        <f aca="false">1</f>
        <v>1</v>
      </c>
      <c r="E371" s="23" t="n">
        <f aca="false">asic_mix*((ua_27/ua_26)/(ut_27/ut_26))+(1-asic_mix)</f>
        <v>1.44683544303797</v>
      </c>
      <c r="F371" s="23" t="n">
        <f aca="false">asic_mix*((ua_28/ua_26)/(ut_28/ut_26))+(1-asic_mix)</f>
        <v>1.47660377358491</v>
      </c>
      <c r="G371" s="23" t="n">
        <f aca="false">asic_mix*((ua_29/ua_26)/(ut_29/ut_26))+(1-asic_mix)</f>
        <v>1.49144278606965</v>
      </c>
      <c r="K371" s="8" t="s">
        <v>449</v>
      </c>
    </row>
    <row r="372" customFormat="false" ht="15" hidden="false" customHeight="false" outlineLevel="0" collapsed="false">
      <c r="A372" s="4" t="s">
        <v>398</v>
      </c>
      <c r="B372" s="0" t="s">
        <v>47</v>
      </c>
      <c r="D372" s="17" t="n">
        <f aca="false">$D$369*D370*D371</f>
        <v>0.0344775081035094</v>
      </c>
      <c r="E372" s="17" t="n">
        <f aca="false">$D$369*E370*E371</f>
        <v>0.0498832807117864</v>
      </c>
      <c r="F372" s="17" t="n">
        <f aca="false">$D$369*F370*F371</f>
        <v>0.0509096185694461</v>
      </c>
      <c r="G372" s="17" t="n">
        <f aca="false">$D$369*G370*G371</f>
        <v>0.0488501692055052</v>
      </c>
    </row>
    <row r="373" customFormat="false" ht="17.15" hidden="false" customHeight="false" outlineLevel="0" collapsed="false">
      <c r="A373" s="0" t="s">
        <v>450</v>
      </c>
      <c r="B373" s="0" t="s">
        <v>184</v>
      </c>
      <c r="D373" s="22" t="n">
        <f aca="false">D368*D372</f>
        <v>700.1598912</v>
      </c>
      <c r="E373" s="22" t="n">
        <f aca="false">E368*E372</f>
        <v>1818.27462137064</v>
      </c>
      <c r="F373" s="22" t="n">
        <f aca="false">F368*F372</f>
        <v>2352.29769604174</v>
      </c>
      <c r="G373" s="22" t="n">
        <f aca="false">G368*G372</f>
        <v>2571.23939937726</v>
      </c>
    </row>
    <row r="374" customFormat="false" ht="17.15" hidden="false" customHeight="false" outlineLevel="0" collapsed="false">
      <c r="A374" s="4" t="s">
        <v>404</v>
      </c>
      <c r="B374" s="0" t="s">
        <v>47</v>
      </c>
      <c r="D374" s="18" t="n">
        <f aca="false">0</f>
        <v>0</v>
      </c>
      <c r="E374" s="18" t="n">
        <f aca="false">cs_27</f>
        <v>0.05</v>
      </c>
      <c r="F374" s="18" t="n">
        <f aca="false">cs_28</f>
        <v>0.1</v>
      </c>
      <c r="G374" s="18" t="n">
        <f aca="false">cs_29</f>
        <v>0.15</v>
      </c>
      <c r="K374" s="8" t="s">
        <v>451</v>
      </c>
    </row>
    <row r="375" customFormat="false" ht="17.15" hidden="false" customHeight="false" outlineLevel="0" collapsed="false">
      <c r="A375" s="0" t="s">
        <v>452</v>
      </c>
      <c r="B375" s="0" t="s">
        <v>184</v>
      </c>
      <c r="C375" s="22" t="n">
        <f aca="false">a25_ai</f>
        <v>475.3315</v>
      </c>
      <c r="D375" s="22" t="n">
        <f aca="false">D373*(1-D374)</f>
        <v>700.1598912</v>
      </c>
      <c r="E375" s="22" t="n">
        <f aca="false">E373*(1-E374)</f>
        <v>1727.36089030211</v>
      </c>
      <c r="F375" s="22" t="n">
        <f aca="false">F373*(1-F374)</f>
        <v>2117.06792643757</v>
      </c>
      <c r="G375" s="22" t="n">
        <f aca="false">G373*(1-G374)</f>
        <v>2185.55348947067</v>
      </c>
    </row>
    <row r="376" customFormat="false" ht="17.15" hidden="false" customHeight="false" outlineLevel="0" collapsed="false">
      <c r="A376" s="6" t="s">
        <v>453</v>
      </c>
    </row>
    <row r="377" customFormat="false" ht="17.15" hidden="false" customHeight="false" outlineLevel="0" collapsed="false">
      <c r="A377" s="4" t="s">
        <v>373</v>
      </c>
      <c r="B377" s="0" t="s">
        <v>184</v>
      </c>
      <c r="C377" s="22" t="n">
        <f aca="false">a25_nai</f>
        <v>475.3315</v>
      </c>
      <c r="D377" s="22" t="n">
        <f aca="false">a26_nai</f>
        <v>758.5065488</v>
      </c>
      <c r="E377" s="22" t="n">
        <f aca="false">D377*(1+g_nai27)</f>
        <v>796.43187624</v>
      </c>
      <c r="F377" s="22" t="n">
        <f aca="false">E377*(1+g_nai28)</f>
        <v>820.3248325272</v>
      </c>
      <c r="G377" s="22" t="n">
        <f aca="false">F377*(1+g_nai29)</f>
        <v>844.934577503016</v>
      </c>
    </row>
    <row r="378" customFormat="false" ht="17.15" hidden="false" customHeight="false" outlineLevel="0" collapsed="false">
      <c r="A378" s="4" t="s">
        <v>342</v>
      </c>
      <c r="B378" s="0" t="s">
        <v>184</v>
      </c>
      <c r="C378" s="22" t="n">
        <f aca="false">C375+C377</f>
        <v>950.663</v>
      </c>
      <c r="D378" s="22" t="n">
        <f aca="false">D375+D377</f>
        <v>1458.66644</v>
      </c>
      <c r="E378" s="22" t="n">
        <f aca="false">E375+E377</f>
        <v>2523.79276654211</v>
      </c>
      <c r="F378" s="22" t="n">
        <f aca="false">F375+F377</f>
        <v>2937.39275896477</v>
      </c>
      <c r="G378" s="22" t="n">
        <f aca="false">G375+G377</f>
        <v>3030.48806697369</v>
      </c>
      <c r="H378" s="25" t="n">
        <f aca="false">G378*(1+H379)</f>
        <v>3155.12835768908</v>
      </c>
      <c r="I378" s="25" t="n">
        <f aca="false">H378*(1+I379)</f>
        <v>3314.6655056075</v>
      </c>
      <c r="J378" s="25" t="n">
        <f aca="false">I378*(1+J379)</f>
        <v>3513.54543594395</v>
      </c>
      <c r="K378" s="8" t="s">
        <v>454</v>
      </c>
    </row>
    <row r="379" customFormat="false" ht="15" hidden="false" customHeight="false" outlineLevel="0" collapsed="false">
      <c r="A379" s="4" t="s">
        <v>455</v>
      </c>
      <c r="B379" s="0" t="s">
        <v>47</v>
      </c>
      <c r="D379" s="18" t="n">
        <f aca="false">D378/C378-1</f>
        <v>0.534367530870561</v>
      </c>
      <c r="E379" s="18" t="n">
        <f aca="false">E378/D378-1</f>
        <v>0.730205547569951</v>
      </c>
      <c r="F379" s="18" t="n">
        <f aca="false">F378/E378-1</f>
        <v>0.163880330392316</v>
      </c>
      <c r="G379" s="18" t="n">
        <f aca="false">G378/F378-1</f>
        <v>0.0316931767891091</v>
      </c>
      <c r="H379" s="26" t="n">
        <f aca="false">$G379+(fade_gA-$G379)*1/3</f>
        <v>0.0411287845260727</v>
      </c>
      <c r="I379" s="26" t="n">
        <f aca="false">$G379+(fade_gA-$G379)*2/3</f>
        <v>0.0505643922630364</v>
      </c>
      <c r="J379" s="26" t="n">
        <f aca="false">$G379+(fade_gA-$G379)*3/3</f>
        <v>0.06</v>
      </c>
    </row>
    <row r="380" customFormat="false" ht="17.15" hidden="false" customHeight="false" outlineLevel="0" collapsed="false">
      <c r="A380" s="0" t="s">
        <v>456</v>
      </c>
      <c r="B380" s="0" t="s">
        <v>47</v>
      </c>
      <c r="C380" s="18" t="n">
        <f aca="false">C375/C378</f>
        <v>0.5</v>
      </c>
      <c r="D380" s="18" t="n">
        <f aca="false">D375/D378</f>
        <v>0.48</v>
      </c>
      <c r="E380" s="18" t="n">
        <f aca="false">E375/E378</f>
        <v>0.684430557532977</v>
      </c>
      <c r="F380" s="18" t="n">
        <f aca="false">F375/F378</f>
        <v>0.720730287080741</v>
      </c>
      <c r="G380" s="18" t="n">
        <f aca="false">G375/G378</f>
        <v>0.721188614233091</v>
      </c>
    </row>
    <row r="381" customFormat="false" ht="17.15" hidden="false" customHeight="false" outlineLevel="0" collapsed="false">
      <c r="A381" s="4" t="s">
        <v>407</v>
      </c>
      <c r="B381" s="0" t="s">
        <v>408</v>
      </c>
      <c r="D381" s="23" t="n">
        <f aca="false">D375/fx/D365</f>
        <v>0.935061049524468</v>
      </c>
      <c r="E381" s="23" t="n">
        <f aca="false">E375/fx/E365</f>
        <v>1.29613973021067</v>
      </c>
      <c r="F381" s="23" t="n">
        <f aca="false">F375/fx/F365</f>
        <v>1.25318607974363</v>
      </c>
      <c r="G381" s="23" t="n">
        <f aca="false">G375/fx/G365</f>
        <v>1.13568583124881</v>
      </c>
    </row>
    <row r="382" customFormat="false" ht="17.15" hidden="false" customHeight="false" outlineLevel="0" collapsed="false">
      <c r="A382" s="6" t="s">
        <v>457</v>
      </c>
    </row>
    <row r="383" customFormat="false" ht="17.15" hidden="false" customHeight="false" outlineLevel="0" collapsed="false">
      <c r="A383" s="4" t="s">
        <v>458</v>
      </c>
      <c r="B383" s="0" t="s">
        <v>47</v>
      </c>
      <c r="D383" s="17" t="n">
        <f aca="false">a26_gp/D378-d_ai*D380</f>
        <v>0.0882120920201606</v>
      </c>
      <c r="K383" s="8" t="s">
        <v>459</v>
      </c>
    </row>
    <row r="384" customFormat="false" ht="17.15" hidden="false" customHeight="false" outlineLevel="0" collapsed="false">
      <c r="A384" s="0" t="s">
        <v>460</v>
      </c>
      <c r="B384" s="0" t="s">
        <v>184</v>
      </c>
      <c r="D384" s="30" t="n">
        <f aca="false">($D$383+d_ai)*D373*(1-D374*(1-keep_lo))</f>
        <v>54.76096983936</v>
      </c>
      <c r="E384" s="30" t="n">
        <f aca="false">($D$383+d_ai+vrd)*E373*(1-E374*(1-keep_lo))</f>
        <v>136.495895070395</v>
      </c>
      <c r="F384" s="30" t="n">
        <f aca="false">($D$383+d_ai+vrd)*F373*(1-F374*(1-keep_lo))</f>
        <v>173.895322615459</v>
      </c>
      <c r="G384" s="30" t="n">
        <f aca="false">($D$383+d_ai+vrd)*G373*(1-G374*(1-keep_lo))</f>
        <v>187.141354694198</v>
      </c>
      <c r="K384" s="4" t="s">
        <v>461</v>
      </c>
    </row>
    <row r="385" customFormat="false" ht="15" hidden="false" customHeight="false" outlineLevel="0" collapsed="false">
      <c r="A385" s="4" t="s">
        <v>346</v>
      </c>
      <c r="B385" s="0" t="s">
        <v>184</v>
      </c>
      <c r="C385" s="22" t="n">
        <f aca="false">a25_gp</f>
        <v>78.454</v>
      </c>
      <c r="D385" s="22" t="n">
        <f aca="false">a26_gp</f>
        <v>121.67041932</v>
      </c>
      <c r="E385" s="22" t="n">
        <f aca="false">$D$383*E377+E384</f>
        <v>206.750817025067</v>
      </c>
      <c r="F385" s="22" t="n">
        <f aca="false">$D$383*F377+F384</f>
        <v>246.257892228771</v>
      </c>
      <c r="G385" s="22" t="n">
        <f aca="false">$D$383*G377+G384</f>
        <v>261.67480139591</v>
      </c>
    </row>
    <row r="386" customFormat="false" ht="15" hidden="false" customHeight="false" outlineLevel="0" collapsed="false">
      <c r="A386" s="4" t="s">
        <v>349</v>
      </c>
      <c r="B386" s="0" t="s">
        <v>47</v>
      </c>
      <c r="C386" s="17" t="n">
        <f aca="false">C385/C378</f>
        <v>0.0825255637381491</v>
      </c>
      <c r="D386" s="17" t="n">
        <f aca="false">D385/D378</f>
        <v>0.0834120920201606</v>
      </c>
      <c r="E386" s="17" t="n">
        <f aca="false">E385/E378</f>
        <v>0.0819206789741059</v>
      </c>
      <c r="F386" s="17" t="n">
        <f aca="false">F385/F378</f>
        <v>0.0838355345832472</v>
      </c>
      <c r="G386" s="17" t="n">
        <f aca="false">G385/G378</f>
        <v>0.0863474119062359</v>
      </c>
    </row>
    <row r="387" customFormat="false" ht="17.15" hidden="false" customHeight="false" outlineLevel="0" collapsed="false">
      <c r="A387" s="0" t="s">
        <v>462</v>
      </c>
      <c r="B387" s="0" t="s">
        <v>47</v>
      </c>
      <c r="D387" s="17" t="n">
        <f aca="false">D384/D375</f>
        <v>0.0782120920201606</v>
      </c>
      <c r="E387" s="17" t="n">
        <f aca="false">E384/E375</f>
        <v>0.0790199059366928</v>
      </c>
      <c r="F387" s="17" t="n">
        <f aca="false">F384/F375</f>
        <v>0.0821396991772842</v>
      </c>
      <c r="G387" s="17" t="n">
        <f aca="false">G384/G375</f>
        <v>0.0856265269167686</v>
      </c>
      <c r="K387" s="4" t="s">
        <v>463</v>
      </c>
    </row>
    <row r="388" customFormat="false" ht="15" hidden="false" customHeight="false" outlineLevel="0" collapsed="false">
      <c r="A388" s="4" t="s">
        <v>464</v>
      </c>
      <c r="B388" s="0" t="s">
        <v>184</v>
      </c>
      <c r="C388" s="22" t="n">
        <f aca="false">a25_opx</f>
        <v>14.536</v>
      </c>
      <c r="D388" s="22" t="n">
        <f aca="false">a26_opx</f>
        <v>22.5183263</v>
      </c>
      <c r="E388" s="22" t="n">
        <f aca="false">D388*(1+MAX(0,phi*E379))</f>
        <v>35.6727317290002</v>
      </c>
      <c r="F388" s="22" t="n">
        <f aca="false">E388*(1+MAX(0,phi*F379))</f>
        <v>40.3495789783962</v>
      </c>
      <c r="G388" s="22" t="n">
        <f aca="false">F388*(1+MAX(0,phi*G379))</f>
        <v>41.372624050339</v>
      </c>
    </row>
    <row r="389" customFormat="false" ht="15" hidden="false" customHeight="false" outlineLevel="0" collapsed="false">
      <c r="A389" s="4" t="s">
        <v>350</v>
      </c>
      <c r="B389" s="0" t="s">
        <v>184</v>
      </c>
      <c r="C389" s="22" t="n">
        <f aca="false">C388</f>
        <v>14.536</v>
      </c>
      <c r="D389" s="22" t="n">
        <f aca="false">D388</f>
        <v>22.5183263</v>
      </c>
      <c r="E389" s="22" t="n">
        <f aca="false">E388+0*E378</f>
        <v>35.6727317290002</v>
      </c>
      <c r="F389" s="22" t="n">
        <f aca="false">F388+0*F378</f>
        <v>40.3495789783962</v>
      </c>
      <c r="G389" s="22" t="n">
        <f aca="false">G388+0*G378</f>
        <v>41.372624050339</v>
      </c>
    </row>
    <row r="390" customFormat="false" ht="15" hidden="false" customHeight="false" outlineLevel="0" collapsed="false">
      <c r="A390" s="4" t="s">
        <v>353</v>
      </c>
      <c r="B390" s="0" t="s">
        <v>184</v>
      </c>
      <c r="C390" s="22" t="n">
        <f aca="false">C385-C389</f>
        <v>63.918</v>
      </c>
      <c r="D390" s="22" t="n">
        <f aca="false">D385-D389</f>
        <v>99.15209302</v>
      </c>
      <c r="E390" s="22" t="n">
        <f aca="false">E385-E389</f>
        <v>171.078085296066</v>
      </c>
      <c r="F390" s="22" t="n">
        <f aca="false">F385-F389</f>
        <v>205.908313250374</v>
      </c>
      <c r="G390" s="22" t="n">
        <f aca="false">G385-G389</f>
        <v>220.302177345571</v>
      </c>
    </row>
    <row r="391" customFormat="false" ht="15" hidden="false" customHeight="false" outlineLevel="0" collapsed="false">
      <c r="A391" s="4" t="s">
        <v>356</v>
      </c>
      <c r="B391" s="0" t="s">
        <v>47</v>
      </c>
      <c r="C391" s="17" t="n">
        <f aca="false">C390/C378</f>
        <v>0.0672351821833815</v>
      </c>
      <c r="D391" s="17" t="n">
        <f aca="false">D390/D378</f>
        <v>0.0679744801834201</v>
      </c>
      <c r="E391" s="17" t="n">
        <f aca="false">E390/E378</f>
        <v>0.0677861065155771</v>
      </c>
      <c r="F391" s="17" t="n">
        <f aca="false">F390/F378</f>
        <v>0.0700990062094874</v>
      </c>
      <c r="G391" s="17" t="n">
        <f aca="false">G390/G378</f>
        <v>0.0726952795975103</v>
      </c>
    </row>
    <row r="392" customFormat="false" ht="17.15" hidden="false" customHeight="false" outlineLevel="0" collapsed="false">
      <c r="A392" s="4" t="s">
        <v>218</v>
      </c>
      <c r="B392" s="0" t="s">
        <v>47</v>
      </c>
      <c r="C392" s="18" t="n">
        <f aca="false">a25_ni/a25_oi</f>
        <v>0.799743421258488</v>
      </c>
      <c r="D392" s="18" t="n">
        <f aca="false">a26_ni/a26_oi</f>
        <v>0.776911976251089</v>
      </c>
      <c r="E392" s="18" t="n">
        <f aca="false">nio_f</f>
        <v>0.78</v>
      </c>
      <c r="F392" s="18" t="n">
        <f aca="false">nio_f</f>
        <v>0.78</v>
      </c>
      <c r="G392" s="18" t="n">
        <f aca="false">nio_f</f>
        <v>0.78</v>
      </c>
    </row>
    <row r="393" customFormat="false" ht="15" hidden="false" customHeight="false" outlineLevel="0" collapsed="false">
      <c r="A393" s="4" t="s">
        <v>357</v>
      </c>
      <c r="B393" s="0" t="s">
        <v>184</v>
      </c>
      <c r="C393" s="22" t="n">
        <f aca="false">a25_ni</f>
        <v>51.118</v>
      </c>
      <c r="D393" s="22" t="n">
        <f aca="false">a26_ni</f>
        <v>77.0324485376</v>
      </c>
      <c r="E393" s="22" t="n">
        <f aca="false">E390*E392</f>
        <v>133.440906530932</v>
      </c>
      <c r="F393" s="22" t="n">
        <f aca="false">F390*F392</f>
        <v>160.608484335292</v>
      </c>
      <c r="G393" s="22" t="n">
        <f aca="false">G390*G392</f>
        <v>171.835698329545</v>
      </c>
      <c r="H393" s="25" t="n">
        <f aca="false">H378*H397</f>
        <v>180.494440806991</v>
      </c>
      <c r="I393" s="25" t="n">
        <f aca="false">I378*I397</f>
        <v>191.292847178665</v>
      </c>
      <c r="J393" s="25" t="n">
        <f aca="false">J378*J397</f>
        <v>204.542541554721</v>
      </c>
    </row>
    <row r="394" customFormat="false" ht="15" hidden="false" customHeight="false" outlineLevel="0" collapsed="false">
      <c r="A394" s="4" t="s">
        <v>465</v>
      </c>
      <c r="B394" s="4" t="s">
        <v>205</v>
      </c>
      <c r="C394" s="29" t="n">
        <f aca="false">a25_sh</f>
        <v>0.554331761662183</v>
      </c>
      <c r="D394" s="29" t="n">
        <f aca="false">a26_sh</f>
        <v>0.556054338618749</v>
      </c>
      <c r="E394" s="29" t="n">
        <f aca="false">D394*(1+sh_g)</f>
        <v>0.558834610311843</v>
      </c>
      <c r="F394" s="29" t="n">
        <f aca="false">E394*(1+sh_g)</f>
        <v>0.561628783363402</v>
      </c>
      <c r="G394" s="29" t="n">
        <f aca="false">F394*(1+sh_g)</f>
        <v>0.564436927280219</v>
      </c>
      <c r="H394" s="31" t="n">
        <f aca="false">G394*(1+sh_g)</f>
        <v>0.56725911191662</v>
      </c>
      <c r="I394" s="31" t="n">
        <f aca="false">H394*(1+sh_g)</f>
        <v>0.570095407476203</v>
      </c>
      <c r="J394" s="31" t="n">
        <f aca="false">I394*(1+sh_g)</f>
        <v>0.572945884513584</v>
      </c>
    </row>
    <row r="395" customFormat="false" ht="17.15" hidden="false" customHeight="false" outlineLevel="0" collapsed="false">
      <c r="A395" s="0" t="s">
        <v>363</v>
      </c>
      <c r="B395" s="0" t="s">
        <v>235</v>
      </c>
      <c r="C395" s="30" t="n">
        <f aca="false">C393/C394</f>
        <v>92.2155350556153</v>
      </c>
      <c r="D395" s="30" t="n">
        <f aca="false">D393/D394</f>
        <v>138.534030197391</v>
      </c>
      <c r="E395" s="30" t="n">
        <f aca="false">E393/E394</f>
        <v>238.784255786285</v>
      </c>
      <c r="F395" s="30" t="n">
        <f aca="false">F393/F394</f>
        <v>285.969111792068</v>
      </c>
      <c r="G395" s="30" t="n">
        <f aca="false">G393/G394</f>
        <v>304.43737825154</v>
      </c>
      <c r="H395" s="28" t="n">
        <f aca="false">H393/H394</f>
        <v>318.186939645883</v>
      </c>
      <c r="I395" s="28" t="n">
        <f aca="false">I393/I394</f>
        <v>335.545322186532</v>
      </c>
      <c r="J395" s="28" t="n">
        <f aca="false">J393/J394</f>
        <v>357.001502381629</v>
      </c>
    </row>
    <row r="396" customFormat="false" ht="17.15" hidden="false" customHeight="false" outlineLevel="0" collapsed="false">
      <c r="A396" s="0" t="s">
        <v>466</v>
      </c>
      <c r="B396" s="0" t="s">
        <v>47</v>
      </c>
      <c r="D396" s="18" t="n">
        <f aca="false">D395/C395-1</f>
        <v>0.502285163924287</v>
      </c>
      <c r="E396" s="18" t="n">
        <f aca="false">E395/D395-1</f>
        <v>0.723650538759695</v>
      </c>
      <c r="F396" s="18" t="n">
        <f aca="false">F395/E395-1</f>
        <v>0.197604552487811</v>
      </c>
      <c r="G396" s="18" t="n">
        <f aca="false">G395/F395-1</f>
        <v>0.0645813330808265</v>
      </c>
      <c r="H396" s="26" t="n">
        <f aca="false">H395/G395-1</f>
        <v>0.04516384115942</v>
      </c>
      <c r="I396" s="26" t="n">
        <f aca="false">I395/H395-1</f>
        <v>0.0545540384528895</v>
      </c>
      <c r="J396" s="26" t="n">
        <f aca="false">J395/I395-1</f>
        <v>0.0639442089530016</v>
      </c>
    </row>
    <row r="397" customFormat="false" ht="17.15" hidden="false" customHeight="false" outlineLevel="0" collapsed="false">
      <c r="A397" s="4" t="s">
        <v>467</v>
      </c>
      <c r="B397" s="0" t="s">
        <v>47</v>
      </c>
      <c r="C397" s="17" t="n">
        <f aca="false">C393/C378</f>
        <v>0.0537708946282752</v>
      </c>
      <c r="D397" s="17" t="n">
        <f aca="false">D393/D378</f>
        <v>0.0528101877339414</v>
      </c>
      <c r="E397" s="17" t="n">
        <f aca="false">E393/E378</f>
        <v>0.0528731630821501</v>
      </c>
      <c r="F397" s="17" t="n">
        <f aca="false">F393/F378</f>
        <v>0.0546772248434001</v>
      </c>
      <c r="G397" s="17" t="n">
        <f aca="false">G393/G378</f>
        <v>0.056702318086058</v>
      </c>
      <c r="H397" s="27" t="n">
        <f aca="false">$G397+(fade_mA-$G397)*1/3</f>
        <v>0.0572066871279971</v>
      </c>
      <c r="I397" s="27" t="n">
        <f aca="false">$G397+(fade_mA-$G397)*2/3</f>
        <v>0.0577110561699362</v>
      </c>
      <c r="J397" s="27" t="n">
        <f aca="false">$G397+(fade_mA-$G397)*3/3</f>
        <v>0.0582154252118753</v>
      </c>
    </row>
    <row r="400" customFormat="false" ht="17.15" hidden="false" customHeight="false" outlineLevel="0" collapsed="false">
      <c r="A400" s="1" t="s">
        <v>743</v>
      </c>
    </row>
    <row r="401" customFormat="false" ht="17.15" hidden="false" customHeight="false" outlineLevel="0" collapsed="false">
      <c r="A401" s="5" t="s">
        <v>16</v>
      </c>
      <c r="B401" s="5" t="s">
        <v>17</v>
      </c>
      <c r="C401" s="14" t="s">
        <v>336</v>
      </c>
      <c r="D401" s="14" t="s">
        <v>415</v>
      </c>
      <c r="E401" s="14" t="s">
        <v>416</v>
      </c>
      <c r="F401" s="14" t="s">
        <v>417</v>
      </c>
      <c r="G401" s="14" t="s">
        <v>418</v>
      </c>
      <c r="H401" s="14" t="s">
        <v>419</v>
      </c>
      <c r="I401" s="14" t="s">
        <v>420</v>
      </c>
      <c r="J401" s="14" t="s">
        <v>421</v>
      </c>
      <c r="K401" s="5" t="s">
        <v>387</v>
      </c>
    </row>
    <row r="402" customFormat="false" ht="17.15" hidden="false" customHeight="false" outlineLevel="0" collapsed="false">
      <c r="A402" s="6" t="s">
        <v>437</v>
      </c>
    </row>
    <row r="403" customFormat="false" ht="17.15" hidden="false" customHeight="false" outlineLevel="0" collapsed="false">
      <c r="A403" s="0" t="s">
        <v>438</v>
      </c>
      <c r="B403" s="0" t="s">
        <v>27</v>
      </c>
      <c r="D403" s="30" t="n">
        <f aca="false">itc_26</f>
        <v>781.872916666667</v>
      </c>
      <c r="E403" s="30" t="n">
        <f aca="false">itc_27*1</f>
        <v>1565.35</v>
      </c>
      <c r="F403" s="30" t="n">
        <f aca="false">itc_28*um28_A*1</f>
        <v>1984.26388888889</v>
      </c>
      <c r="G403" s="30" t="n">
        <f aca="false">itc_29*um29_A*1</f>
        <v>2260.39027777778</v>
      </c>
    </row>
    <row r="404" customFormat="false" ht="17.15" hidden="false" customHeight="false" outlineLevel="0" collapsed="false">
      <c r="A404" s="4" t="s">
        <v>439</v>
      </c>
      <c r="B404" s="0" t="s">
        <v>27</v>
      </c>
      <c r="D404" s="30" t="n">
        <f aca="false">itpg_gb*(1-vr26)+itpg_vr*vr26</f>
        <v>33.41403216</v>
      </c>
      <c r="E404" s="30" t="n">
        <f aca="false">itpg_vr</f>
        <v>37.586352</v>
      </c>
      <c r="F404" s="30" t="n">
        <f aca="false">itpg_vr</f>
        <v>37.586352</v>
      </c>
      <c r="G404" s="30" t="n">
        <f aca="false">itpg_vr</f>
        <v>37.586352</v>
      </c>
    </row>
    <row r="405" customFormat="false" ht="17.15" hidden="false" customHeight="false" outlineLevel="0" collapsed="false">
      <c r="A405" s="4" t="s">
        <v>440</v>
      </c>
      <c r="B405" s="0" t="s">
        <v>389</v>
      </c>
      <c r="D405" s="21" t="n">
        <f aca="false">D403/D404</f>
        <v>23.3995380420639</v>
      </c>
      <c r="E405" s="21" t="n">
        <f aca="false">E403/E404</f>
        <v>41.6467658260637</v>
      </c>
      <c r="F405" s="21" t="n">
        <f aca="false">F403/F404</f>
        <v>52.792138191248</v>
      </c>
      <c r="G405" s="21" t="n">
        <f aca="false">G403/G404</f>
        <v>60.1385917361116</v>
      </c>
    </row>
    <row r="406" customFormat="false" ht="17.15" hidden="false" customHeight="false" outlineLevel="0" collapsed="false">
      <c r="A406" s="4" t="s">
        <v>441</v>
      </c>
      <c r="B406" s="0" t="s">
        <v>408</v>
      </c>
      <c r="D406" s="19" t="n">
        <f aca="false">(racks_gb*odm_gb*(1-vr26)+racks_vr*odm_vr*vr26)/1000</f>
        <v>27.1209</v>
      </c>
      <c r="E406" s="19" t="n">
        <f aca="false">racks_vr*odm_vr/1000</f>
        <v>27.351</v>
      </c>
      <c r="F406" s="19" t="n">
        <f aca="false">$E406*vpg_28_lo</f>
        <v>23.24835</v>
      </c>
      <c r="G406" s="19" t="n">
        <f aca="false">$E406*vpg_29_lo</f>
        <v>23.24835</v>
      </c>
      <c r="K406" s="4" t="s">
        <v>442</v>
      </c>
    </row>
    <row r="407" customFormat="false" ht="17.15" hidden="false" customHeight="false" outlineLevel="0" collapsed="false">
      <c r="A407" s="0" t="s">
        <v>443</v>
      </c>
      <c r="B407" s="0" t="s">
        <v>27</v>
      </c>
      <c r="D407" s="22" t="n">
        <f aca="false">D405*D406</f>
        <v>634.616531285011</v>
      </c>
      <c r="E407" s="22" t="n">
        <f aca="false">E405*E406</f>
        <v>1139.08069210867</v>
      </c>
      <c r="F407" s="22" t="n">
        <f aca="false">F405*F406</f>
        <v>1227.3301059185</v>
      </c>
      <c r="G407" s="22" t="n">
        <f aca="false">G405*G406</f>
        <v>1398.12302918823</v>
      </c>
    </row>
    <row r="408" customFormat="false" ht="17.15" hidden="false" customHeight="false" outlineLevel="0" collapsed="false">
      <c r="A408" s="0" t="s">
        <v>444</v>
      </c>
      <c r="B408" s="0" t="s">
        <v>184</v>
      </c>
      <c r="D408" s="22" t="n">
        <f aca="false">D407*fx</f>
        <v>20307.7290011204</v>
      </c>
      <c r="E408" s="22" t="n">
        <f aca="false">E407*fx</f>
        <v>36450.5821474774</v>
      </c>
      <c r="F408" s="22" t="n">
        <f aca="false">F407*fx</f>
        <v>39274.563389392</v>
      </c>
      <c r="G408" s="22" t="n">
        <f aca="false">G407*fx</f>
        <v>44739.9369340233</v>
      </c>
    </row>
    <row r="409" customFormat="false" ht="17.15" hidden="false" customHeight="false" outlineLevel="0" collapsed="false">
      <c r="A409" s="4" t="s">
        <v>445</v>
      </c>
      <c r="B409" s="0" t="s">
        <v>47</v>
      </c>
      <c r="D409" s="17" t="n">
        <f aca="false">a26_ai/D408</f>
        <v>0.0344775081035094</v>
      </c>
      <c r="K409" s="8" t="s">
        <v>446</v>
      </c>
    </row>
    <row r="410" customFormat="false" ht="17.15" hidden="false" customHeight="false" outlineLevel="0" collapsed="false">
      <c r="A410" s="4" t="s">
        <v>447</v>
      </c>
      <c r="B410" s="0" t="s">
        <v>59</v>
      </c>
      <c r="D410" s="19" t="n">
        <f aca="false">1</f>
        <v>1</v>
      </c>
      <c r="E410" s="19" t="n">
        <f aca="false">rel_27</f>
        <v>1</v>
      </c>
      <c r="F410" s="19" t="n">
        <f aca="false">rel_28</f>
        <v>1</v>
      </c>
      <c r="G410" s="19" t="n">
        <f aca="false">rel_29</f>
        <v>0.95</v>
      </c>
    </row>
    <row r="411" customFormat="false" ht="17.15" hidden="false" customHeight="false" outlineLevel="0" collapsed="false">
      <c r="A411" s="0" t="s">
        <v>448</v>
      </c>
      <c r="B411" s="0" t="s">
        <v>59</v>
      </c>
      <c r="D411" s="23" t="n">
        <f aca="false">1</f>
        <v>1</v>
      </c>
      <c r="E411" s="23" t="n">
        <f aca="false">asic_mix*((ua_27/ua_26)/(ut_27/ut_26))+(1-asic_mix)</f>
        <v>1.44683544303797</v>
      </c>
      <c r="F411" s="23" t="n">
        <f aca="false">asic_mix*((ua_28/ua_26)/(ut_28/ut_26))+(1-asic_mix)</f>
        <v>1.47660377358491</v>
      </c>
      <c r="G411" s="23" t="n">
        <f aca="false">asic_mix*((ua_29/ua_26)/(ut_29/ut_26))+(1-asic_mix)</f>
        <v>1.49144278606965</v>
      </c>
      <c r="K411" s="8" t="s">
        <v>449</v>
      </c>
    </row>
    <row r="412" customFormat="false" ht="15" hidden="false" customHeight="false" outlineLevel="0" collapsed="false">
      <c r="A412" s="4" t="s">
        <v>398</v>
      </c>
      <c r="B412" s="0" t="s">
        <v>47</v>
      </c>
      <c r="D412" s="17" t="n">
        <f aca="false">$D$409*D410*D411</f>
        <v>0.0344775081035094</v>
      </c>
      <c r="E412" s="17" t="n">
        <f aca="false">$D$409*E410*E411</f>
        <v>0.0498832807117864</v>
      </c>
      <c r="F412" s="17" t="n">
        <f aca="false">$D$409*F410*F411</f>
        <v>0.0509096185694461</v>
      </c>
      <c r="G412" s="17" t="n">
        <f aca="false">$D$409*G410*G411</f>
        <v>0.0488501692055052</v>
      </c>
    </row>
    <row r="413" customFormat="false" ht="17.15" hidden="false" customHeight="false" outlineLevel="0" collapsed="false">
      <c r="A413" s="0" t="s">
        <v>450</v>
      </c>
      <c r="B413" s="0" t="s">
        <v>184</v>
      </c>
      <c r="D413" s="22" t="n">
        <f aca="false">D408*D412</f>
        <v>700.1598912</v>
      </c>
      <c r="E413" s="22" t="n">
        <f aca="false">E408*E412</f>
        <v>1818.27462137064</v>
      </c>
      <c r="F413" s="22" t="n">
        <f aca="false">F408*F412</f>
        <v>1999.45304163548</v>
      </c>
      <c r="G413" s="22" t="n">
        <f aca="false">G408*G412</f>
        <v>2185.55348947067</v>
      </c>
    </row>
    <row r="414" customFormat="false" ht="17.15" hidden="false" customHeight="false" outlineLevel="0" collapsed="false">
      <c r="A414" s="4" t="s">
        <v>404</v>
      </c>
      <c r="B414" s="0" t="s">
        <v>47</v>
      </c>
      <c r="D414" s="18" t="n">
        <f aca="false">0</f>
        <v>0</v>
      </c>
      <c r="E414" s="18" t="n">
        <f aca="false">cs_27</f>
        <v>0.05</v>
      </c>
      <c r="F414" s="18" t="n">
        <f aca="false">cs_28</f>
        <v>0.1</v>
      </c>
      <c r="G414" s="18" t="n">
        <f aca="false">cs_29</f>
        <v>0.15</v>
      </c>
      <c r="K414" s="8" t="s">
        <v>451</v>
      </c>
    </row>
    <row r="415" customFormat="false" ht="17.15" hidden="false" customHeight="false" outlineLevel="0" collapsed="false">
      <c r="A415" s="0" t="s">
        <v>452</v>
      </c>
      <c r="B415" s="0" t="s">
        <v>184</v>
      </c>
      <c r="C415" s="22" t="n">
        <f aca="false">a25_ai</f>
        <v>475.3315</v>
      </c>
      <c r="D415" s="22" t="n">
        <f aca="false">D413*(1-D414)</f>
        <v>700.1598912</v>
      </c>
      <c r="E415" s="22" t="n">
        <f aca="false">E413*(1-E414)</f>
        <v>1727.36089030211</v>
      </c>
      <c r="F415" s="22" t="n">
        <f aca="false">F413*(1-F414)</f>
        <v>1799.50773747193</v>
      </c>
      <c r="G415" s="22" t="n">
        <f aca="false">G413*(1-G414)</f>
        <v>1857.72046605007</v>
      </c>
    </row>
    <row r="416" customFormat="false" ht="17.15" hidden="false" customHeight="false" outlineLevel="0" collapsed="false">
      <c r="A416" s="6" t="s">
        <v>453</v>
      </c>
    </row>
    <row r="417" customFormat="false" ht="17.15" hidden="false" customHeight="false" outlineLevel="0" collapsed="false">
      <c r="A417" s="4" t="s">
        <v>373</v>
      </c>
      <c r="B417" s="0" t="s">
        <v>184</v>
      </c>
      <c r="C417" s="22" t="n">
        <f aca="false">a25_nai</f>
        <v>475.3315</v>
      </c>
      <c r="D417" s="22" t="n">
        <f aca="false">a26_nai</f>
        <v>758.5065488</v>
      </c>
      <c r="E417" s="22" t="n">
        <f aca="false">D417*(1+g_nai27)</f>
        <v>796.43187624</v>
      </c>
      <c r="F417" s="22" t="n">
        <f aca="false">E417*(1+g_nai28)</f>
        <v>820.3248325272</v>
      </c>
      <c r="G417" s="22" t="n">
        <f aca="false">F417*(1+g_nai29)</f>
        <v>844.934577503016</v>
      </c>
    </row>
    <row r="418" customFormat="false" ht="17.15" hidden="false" customHeight="false" outlineLevel="0" collapsed="false">
      <c r="A418" s="4" t="s">
        <v>342</v>
      </c>
      <c r="B418" s="0" t="s">
        <v>184</v>
      </c>
      <c r="C418" s="22" t="n">
        <f aca="false">C415+C417</f>
        <v>950.663</v>
      </c>
      <c r="D418" s="22" t="n">
        <f aca="false">D415+D417</f>
        <v>1458.66644</v>
      </c>
      <c r="E418" s="22" t="n">
        <f aca="false">E415+E417</f>
        <v>2523.79276654211</v>
      </c>
      <c r="F418" s="22" t="n">
        <f aca="false">F415+F417</f>
        <v>2619.83256999913</v>
      </c>
      <c r="G418" s="22" t="n">
        <f aca="false">G415+G417</f>
        <v>2702.65504355309</v>
      </c>
      <c r="H418" s="25" t="n">
        <f aca="false">G418*(1+H419)</f>
        <v>2813.66867399728</v>
      </c>
      <c r="I418" s="25" t="n">
        <f aca="false">H418*(1+I419)</f>
        <v>2955.865534481</v>
      </c>
      <c r="J418" s="25" t="n">
        <f aca="false">I418*(1+J419)</f>
        <v>3133.21746654987</v>
      </c>
      <c r="K418" s="8" t="s">
        <v>454</v>
      </c>
    </row>
    <row r="419" customFormat="false" ht="15" hidden="false" customHeight="false" outlineLevel="0" collapsed="false">
      <c r="A419" s="4" t="s">
        <v>455</v>
      </c>
      <c r="B419" s="0" t="s">
        <v>47</v>
      </c>
      <c r="D419" s="18" t="n">
        <f aca="false">D418/C418-1</f>
        <v>0.534367530870561</v>
      </c>
      <c r="E419" s="18" t="n">
        <f aca="false">E418/D418-1</f>
        <v>0.730205547569951</v>
      </c>
      <c r="F419" s="18" t="n">
        <f aca="false">F418/E418-1</f>
        <v>0.0380537596946233</v>
      </c>
      <c r="G419" s="18" t="n">
        <f aca="false">G418/F418-1</f>
        <v>0.0316136513845926</v>
      </c>
      <c r="H419" s="26" t="n">
        <f aca="false">$G419+(fade_gA-$G419)*1/3</f>
        <v>0.0410757675897284</v>
      </c>
      <c r="I419" s="26" t="n">
        <f aca="false">$G419+(fade_gA-$G419)*2/3</f>
        <v>0.0505378837948642</v>
      </c>
      <c r="J419" s="26" t="n">
        <f aca="false">$G419+(fade_gA-$G419)*3/3</f>
        <v>0.06</v>
      </c>
    </row>
    <row r="420" customFormat="false" ht="17.15" hidden="false" customHeight="false" outlineLevel="0" collapsed="false">
      <c r="A420" s="0" t="s">
        <v>456</v>
      </c>
      <c r="B420" s="0" t="s">
        <v>47</v>
      </c>
      <c r="C420" s="18" t="n">
        <f aca="false">C415/C418</f>
        <v>0.5</v>
      </c>
      <c r="D420" s="18" t="n">
        <f aca="false">D415/D418</f>
        <v>0.48</v>
      </c>
      <c r="E420" s="18" t="n">
        <f aca="false">E415/E418</f>
        <v>0.684430557532977</v>
      </c>
      <c r="F420" s="18" t="n">
        <f aca="false">F415/F418</f>
        <v>0.686878909010788</v>
      </c>
      <c r="G420" s="18" t="n">
        <f aca="false">G415/G418</f>
        <v>0.687368693419264</v>
      </c>
    </row>
    <row r="421" customFormat="false" ht="17.15" hidden="false" customHeight="false" outlineLevel="0" collapsed="false">
      <c r="A421" s="4" t="s">
        <v>407</v>
      </c>
      <c r="B421" s="0" t="s">
        <v>408</v>
      </c>
      <c r="D421" s="23" t="n">
        <f aca="false">D415/fx/D405</f>
        <v>0.935061049524468</v>
      </c>
      <c r="E421" s="23" t="n">
        <f aca="false">E415/fx/E405</f>
        <v>1.29613973021067</v>
      </c>
      <c r="F421" s="23" t="n">
        <f aca="false">F415/fx/F405</f>
        <v>1.06520816778208</v>
      </c>
      <c r="G421" s="23" t="n">
        <f aca="false">G415/fx/G405</f>
        <v>0.965332956561486</v>
      </c>
    </row>
    <row r="422" customFormat="false" ht="17.15" hidden="false" customHeight="false" outlineLevel="0" collapsed="false">
      <c r="A422" s="6" t="s">
        <v>457</v>
      </c>
    </row>
    <row r="423" customFormat="false" ht="17.15" hidden="false" customHeight="false" outlineLevel="0" collapsed="false">
      <c r="A423" s="4" t="s">
        <v>458</v>
      </c>
      <c r="B423" s="0" t="s">
        <v>47</v>
      </c>
      <c r="D423" s="17" t="n">
        <f aca="false">a26_gp/D418-d_ai*D420</f>
        <v>0.0882120920201606</v>
      </c>
      <c r="K423" s="8" t="s">
        <v>459</v>
      </c>
    </row>
    <row r="424" customFormat="false" ht="17.15" hidden="false" customHeight="false" outlineLevel="0" collapsed="false">
      <c r="A424" s="0" t="s">
        <v>460</v>
      </c>
      <c r="B424" s="0" t="s">
        <v>184</v>
      </c>
      <c r="D424" s="30" t="n">
        <f aca="false">($D$423+d_ai)*D413*(1-D414*(1-keep))</f>
        <v>54.76096983936</v>
      </c>
      <c r="E424" s="30" t="n">
        <f aca="false">($D$423+d_ai+vrd)*E413*(1-E414*(1-keep))</f>
        <v>137.881640198013</v>
      </c>
      <c r="F424" s="30" t="n">
        <f aca="false">($D$423+d_ai+vrd)*F413*(1-F414*(1-keep))</f>
        <v>150.858674207122</v>
      </c>
      <c r="G424" s="30" t="n">
        <f aca="false">($D$423+d_ai+vrd)*G413*(1-G414*(1-keep))</f>
        <v>164.067119599704</v>
      </c>
      <c r="K424" s="4" t="s">
        <v>461</v>
      </c>
    </row>
    <row r="425" customFormat="false" ht="15" hidden="false" customHeight="false" outlineLevel="0" collapsed="false">
      <c r="A425" s="4" t="s">
        <v>346</v>
      </c>
      <c r="B425" s="0" t="s">
        <v>184</v>
      </c>
      <c r="C425" s="22" t="n">
        <f aca="false">a25_gp</f>
        <v>78.454</v>
      </c>
      <c r="D425" s="22" t="n">
        <f aca="false">a26_gp</f>
        <v>121.67041932</v>
      </c>
      <c r="E425" s="22" t="n">
        <f aca="false">$D$423*E417+E424</f>
        <v>208.136562152685</v>
      </c>
      <c r="F425" s="22" t="n">
        <f aca="false">$D$423*F417+F424</f>
        <v>223.221243820434</v>
      </c>
      <c r="G425" s="22" t="n">
        <f aca="false">$D$423*G417+G424</f>
        <v>238.600566301415</v>
      </c>
    </row>
    <row r="426" customFormat="false" ht="15" hidden="false" customHeight="false" outlineLevel="0" collapsed="false">
      <c r="A426" s="4" t="s">
        <v>349</v>
      </c>
      <c r="B426" s="0" t="s">
        <v>47</v>
      </c>
      <c r="C426" s="17" t="n">
        <f aca="false">C425/C418</f>
        <v>0.0825255637381491</v>
      </c>
      <c r="D426" s="17" t="n">
        <f aca="false">D425/D418</f>
        <v>0.0834120920201606</v>
      </c>
      <c r="E426" s="17" t="n">
        <f aca="false">E425/E418</f>
        <v>0.0824697514439176</v>
      </c>
      <c r="F426" s="17" t="n">
        <f aca="false">F425/F418</f>
        <v>0.0852043929740549</v>
      </c>
      <c r="G426" s="17" t="n">
        <f aca="false">G425/G418</f>
        <v>0.088283766317338</v>
      </c>
    </row>
    <row r="427" customFormat="false" ht="17.15" hidden="false" customHeight="false" outlineLevel="0" collapsed="false">
      <c r="A427" s="0" t="s">
        <v>462</v>
      </c>
      <c r="B427" s="0" t="s">
        <v>47</v>
      </c>
      <c r="D427" s="17" t="n">
        <f aca="false">D424/D415</f>
        <v>0.0782120920201606</v>
      </c>
      <c r="E427" s="17" t="n">
        <f aca="false">E424/E415</f>
        <v>0.0798221384842734</v>
      </c>
      <c r="F427" s="17" t="n">
        <f aca="false">F424/F415</f>
        <v>0.0838333012221766</v>
      </c>
      <c r="G427" s="17" t="n">
        <f aca="false">G424/G415</f>
        <v>0.0883163654586567</v>
      </c>
      <c r="K427" s="4" t="s">
        <v>463</v>
      </c>
    </row>
    <row r="428" customFormat="false" ht="15" hidden="false" customHeight="false" outlineLevel="0" collapsed="false">
      <c r="A428" s="4" t="s">
        <v>464</v>
      </c>
      <c r="B428" s="0" t="s">
        <v>184</v>
      </c>
      <c r="C428" s="22" t="n">
        <f aca="false">a25_opx</f>
        <v>14.536</v>
      </c>
      <c r="D428" s="22" t="n">
        <f aca="false">a26_opx</f>
        <v>22.5183263</v>
      </c>
      <c r="E428" s="22" t="n">
        <f aca="false">D428*(1+MAX(0,phi*E419))</f>
        <v>35.6727317290002</v>
      </c>
      <c r="F428" s="22" t="n">
        <f aca="false">E428*(1+MAX(0,phi*F419))</f>
        <v>36.7587169776932</v>
      </c>
      <c r="G428" s="22" t="n">
        <f aca="false">F428*(1+MAX(0,phi*G419))</f>
        <v>37.6883787887953</v>
      </c>
    </row>
    <row r="429" customFormat="false" ht="15" hidden="false" customHeight="false" outlineLevel="0" collapsed="false">
      <c r="A429" s="4" t="s">
        <v>350</v>
      </c>
      <c r="B429" s="0" t="s">
        <v>184</v>
      </c>
      <c r="C429" s="22" t="n">
        <f aca="false">C428</f>
        <v>14.536</v>
      </c>
      <c r="D429" s="22" t="n">
        <f aca="false">D428</f>
        <v>22.5183263</v>
      </c>
      <c r="E429" s="22" t="n">
        <f aca="false">E428+0*E418</f>
        <v>35.6727317290002</v>
      </c>
      <c r="F429" s="22" t="n">
        <f aca="false">F428+0*F418</f>
        <v>36.7587169776932</v>
      </c>
      <c r="G429" s="22" t="n">
        <f aca="false">G428+0*G418</f>
        <v>37.6883787887953</v>
      </c>
    </row>
    <row r="430" customFormat="false" ht="15" hidden="false" customHeight="false" outlineLevel="0" collapsed="false">
      <c r="A430" s="4" t="s">
        <v>353</v>
      </c>
      <c r="B430" s="0" t="s">
        <v>184</v>
      </c>
      <c r="C430" s="22" t="n">
        <f aca="false">C425-C429</f>
        <v>63.918</v>
      </c>
      <c r="D430" s="22" t="n">
        <f aca="false">D425-D429</f>
        <v>99.15209302</v>
      </c>
      <c r="E430" s="22" t="n">
        <f aca="false">E425-E429</f>
        <v>172.463830423685</v>
      </c>
      <c r="F430" s="22" t="n">
        <f aca="false">F425-F429</f>
        <v>186.462526842741</v>
      </c>
      <c r="G430" s="22" t="n">
        <f aca="false">G425-G429</f>
        <v>200.91218751262</v>
      </c>
    </row>
    <row r="431" customFormat="false" ht="15" hidden="false" customHeight="false" outlineLevel="0" collapsed="false">
      <c r="A431" s="4" t="s">
        <v>356</v>
      </c>
      <c r="B431" s="0" t="s">
        <v>47</v>
      </c>
      <c r="C431" s="17" t="n">
        <f aca="false">C430/C418</f>
        <v>0.0672351821833815</v>
      </c>
      <c r="D431" s="17" t="n">
        <f aca="false">D430/D418</f>
        <v>0.0679744801834201</v>
      </c>
      <c r="E431" s="17" t="n">
        <f aca="false">E430/E418</f>
        <v>0.0683351789853888</v>
      </c>
      <c r="F431" s="17" t="n">
        <f aca="false">F430/F418</f>
        <v>0.0711734516846635</v>
      </c>
      <c r="G431" s="17" t="n">
        <f aca="false">G430/G418</f>
        <v>0.0743388202619036</v>
      </c>
    </row>
    <row r="432" customFormat="false" ht="17.15" hidden="false" customHeight="false" outlineLevel="0" collapsed="false">
      <c r="A432" s="4" t="s">
        <v>218</v>
      </c>
      <c r="B432" s="0" t="s">
        <v>47</v>
      </c>
      <c r="C432" s="18" t="n">
        <f aca="false">a25_ni/a25_oi</f>
        <v>0.799743421258488</v>
      </c>
      <c r="D432" s="18" t="n">
        <f aca="false">a26_ni/a26_oi</f>
        <v>0.776911976251089</v>
      </c>
      <c r="E432" s="18" t="n">
        <f aca="false">nio_f</f>
        <v>0.78</v>
      </c>
      <c r="F432" s="18" t="n">
        <f aca="false">nio_f</f>
        <v>0.78</v>
      </c>
      <c r="G432" s="18" t="n">
        <f aca="false">nio_f</f>
        <v>0.78</v>
      </c>
    </row>
    <row r="433" customFormat="false" ht="15" hidden="false" customHeight="false" outlineLevel="0" collapsed="false">
      <c r="A433" s="4" t="s">
        <v>357</v>
      </c>
      <c r="B433" s="0" t="s">
        <v>184</v>
      </c>
      <c r="C433" s="22" t="n">
        <f aca="false">a25_ni</f>
        <v>51.118</v>
      </c>
      <c r="D433" s="22" t="n">
        <f aca="false">a26_ni</f>
        <v>77.0324485376</v>
      </c>
      <c r="E433" s="22" t="n">
        <f aca="false">E430*E432</f>
        <v>134.521787730474</v>
      </c>
      <c r="F433" s="22" t="n">
        <f aca="false">F430*F432</f>
        <v>145.440770937338</v>
      </c>
      <c r="G433" s="22" t="n">
        <f aca="false">G430*G432</f>
        <v>156.711506259844</v>
      </c>
      <c r="H433" s="25" t="n">
        <f aca="false">H418*H437</f>
        <v>163.365340533768</v>
      </c>
      <c r="I433" s="25" t="n">
        <f aca="false">I418*I437</f>
        <v>171.849224044355</v>
      </c>
      <c r="J433" s="25" t="n">
        <f aca="false">J418*J437</f>
        <v>182.401587096475</v>
      </c>
    </row>
    <row r="434" customFormat="false" ht="15" hidden="false" customHeight="false" outlineLevel="0" collapsed="false">
      <c r="A434" s="4" t="s">
        <v>465</v>
      </c>
      <c r="B434" s="4" t="s">
        <v>205</v>
      </c>
      <c r="C434" s="29" t="n">
        <f aca="false">a25_sh</f>
        <v>0.554331761662183</v>
      </c>
      <c r="D434" s="29" t="n">
        <f aca="false">a26_sh</f>
        <v>0.556054338618749</v>
      </c>
      <c r="E434" s="29" t="n">
        <f aca="false">D434*(1+sh_g)</f>
        <v>0.558834610311843</v>
      </c>
      <c r="F434" s="29" t="n">
        <f aca="false">E434*(1+sh_g)</f>
        <v>0.561628783363402</v>
      </c>
      <c r="G434" s="29" t="n">
        <f aca="false">F434*(1+sh_g)</f>
        <v>0.564436927280219</v>
      </c>
      <c r="H434" s="31" t="n">
        <f aca="false">G434*(1+sh_g)</f>
        <v>0.56725911191662</v>
      </c>
      <c r="I434" s="31" t="n">
        <f aca="false">H434*(1+sh_g)</f>
        <v>0.570095407476203</v>
      </c>
      <c r="J434" s="31" t="n">
        <f aca="false">I434*(1+sh_g)</f>
        <v>0.572945884513584</v>
      </c>
    </row>
    <row r="435" customFormat="false" ht="17.15" hidden="false" customHeight="false" outlineLevel="0" collapsed="false">
      <c r="A435" s="0" t="s">
        <v>363</v>
      </c>
      <c r="B435" s="0" t="s">
        <v>235</v>
      </c>
      <c r="C435" s="30" t="n">
        <f aca="false">C433/C434</f>
        <v>92.2155350556153</v>
      </c>
      <c r="D435" s="30" t="n">
        <f aca="false">D433/D434</f>
        <v>138.534030197391</v>
      </c>
      <c r="E435" s="30" t="n">
        <f aca="false">E433/E434</f>
        <v>240.718425896005</v>
      </c>
      <c r="F435" s="30" t="n">
        <f aca="false">F433/F434</f>
        <v>258.962459271306</v>
      </c>
      <c r="G435" s="30" t="n">
        <f aca="false">G433/G434</f>
        <v>277.642192928393</v>
      </c>
      <c r="H435" s="28" t="n">
        <f aca="false">H433/H434</f>
        <v>287.990685564837</v>
      </c>
      <c r="I435" s="28" t="n">
        <f aca="false">I433/I434</f>
        <v>301.439411352439</v>
      </c>
      <c r="J435" s="28" t="n">
        <f aca="false">J433/J434</f>
        <v>318.357443567867</v>
      </c>
    </row>
    <row r="436" customFormat="false" ht="17.15" hidden="false" customHeight="false" outlineLevel="0" collapsed="false">
      <c r="A436" s="0" t="s">
        <v>466</v>
      </c>
      <c r="B436" s="0" t="s">
        <v>47</v>
      </c>
      <c r="D436" s="18" t="n">
        <f aca="false">D435/C435-1</f>
        <v>0.502285163924287</v>
      </c>
      <c r="E436" s="18" t="n">
        <f aca="false">E435/D435-1</f>
        <v>0.737612235441472</v>
      </c>
      <c r="F436" s="18" t="n">
        <f aca="false">F435/E435-1</f>
        <v>0.0757899330198466</v>
      </c>
      <c r="G436" s="18" t="n">
        <f aca="false">G435/F435-1</f>
        <v>0.0721329790798631</v>
      </c>
      <c r="H436" s="26" t="n">
        <f aca="false">H435/G435-1</f>
        <v>0.0372727665319697</v>
      </c>
      <c r="I436" s="26" t="n">
        <f aca="false">I435/H435-1</f>
        <v>0.0466984748524935</v>
      </c>
      <c r="J436" s="26" t="n">
        <f aca="false">J435/I435-1</f>
        <v>0.0561241548990692</v>
      </c>
    </row>
    <row r="437" customFormat="false" ht="17.15" hidden="false" customHeight="false" outlineLevel="0" collapsed="false">
      <c r="A437" s="4" t="s">
        <v>467</v>
      </c>
      <c r="B437" s="0" t="s">
        <v>47</v>
      </c>
      <c r="C437" s="17" t="n">
        <f aca="false">C433/C418</f>
        <v>0.0537708946282752</v>
      </c>
      <c r="D437" s="17" t="n">
        <f aca="false">D433/D418</f>
        <v>0.0528101877339414</v>
      </c>
      <c r="E437" s="17" t="n">
        <f aca="false">E433/E418</f>
        <v>0.0533014396086032</v>
      </c>
      <c r="F437" s="17" t="n">
        <f aca="false">F433/F418</f>
        <v>0.0555152923140375</v>
      </c>
      <c r="G437" s="17" t="n">
        <f aca="false">G433/G418</f>
        <v>0.0579842798042848</v>
      </c>
      <c r="H437" s="27" t="n">
        <f aca="false">$G437+(fade_mA-$G437)*1/3</f>
        <v>0.0580613282734817</v>
      </c>
      <c r="I437" s="27" t="n">
        <f aca="false">$G437+(fade_mA-$G437)*2/3</f>
        <v>0.0581383767426785</v>
      </c>
      <c r="J437" s="27" t="n">
        <f aca="false">$G437+(fade_mA-$G437)*3/3</f>
        <v>0.0582154252118753</v>
      </c>
    </row>
    <row r="440" customFormat="false" ht="17.15" hidden="false" customHeight="false" outlineLevel="0" collapsed="false">
      <c r="A440" s="1" t="s">
        <v>744</v>
      </c>
    </row>
    <row r="441" customFormat="false" ht="17.15" hidden="false" customHeight="false" outlineLevel="0" collapsed="false">
      <c r="A441" s="5" t="s">
        <v>16</v>
      </c>
      <c r="B441" s="5" t="s">
        <v>17</v>
      </c>
      <c r="C441" s="14" t="s">
        <v>336</v>
      </c>
      <c r="D441" s="14" t="s">
        <v>415</v>
      </c>
      <c r="E441" s="14" t="s">
        <v>416</v>
      </c>
      <c r="F441" s="14" t="s">
        <v>417</v>
      </c>
      <c r="G441" s="14" t="s">
        <v>418</v>
      </c>
      <c r="H441" s="14" t="s">
        <v>419</v>
      </c>
      <c r="I441" s="14" t="s">
        <v>420</v>
      </c>
      <c r="J441" s="14" t="s">
        <v>421</v>
      </c>
      <c r="K441" s="5" t="s">
        <v>387</v>
      </c>
    </row>
    <row r="442" customFormat="false" ht="17.15" hidden="false" customHeight="false" outlineLevel="0" collapsed="false">
      <c r="A442" s="6" t="s">
        <v>437</v>
      </c>
    </row>
    <row r="443" customFormat="false" ht="17.15" hidden="false" customHeight="false" outlineLevel="0" collapsed="false">
      <c r="A443" s="0" t="s">
        <v>438</v>
      </c>
      <c r="B443" s="0" t="s">
        <v>27</v>
      </c>
      <c r="D443" s="30" t="n">
        <f aca="false">itc_26</f>
        <v>781.872916666667</v>
      </c>
      <c r="E443" s="30" t="n">
        <f aca="false">itc_27*1</f>
        <v>1565.35</v>
      </c>
      <c r="F443" s="30" t="n">
        <f aca="false">itc_28*um28_A*1</f>
        <v>1984.26388888889</v>
      </c>
      <c r="G443" s="30" t="n">
        <f aca="false">itc_29*um29_A*1</f>
        <v>2260.39027777778</v>
      </c>
    </row>
    <row r="444" customFormat="false" ht="17.15" hidden="false" customHeight="false" outlineLevel="0" collapsed="false">
      <c r="A444" s="4" t="s">
        <v>439</v>
      </c>
      <c r="B444" s="0" t="s">
        <v>27</v>
      </c>
      <c r="D444" s="30" t="n">
        <f aca="false">itpg_gb*(1-vr26)+itpg_vr*vr26</f>
        <v>33.41403216</v>
      </c>
      <c r="E444" s="30" t="n">
        <f aca="false">itpg_vr</f>
        <v>37.586352</v>
      </c>
      <c r="F444" s="30" t="n">
        <f aca="false">itpg_vr</f>
        <v>37.586352</v>
      </c>
      <c r="G444" s="30" t="n">
        <f aca="false">itpg_vr</f>
        <v>37.586352</v>
      </c>
    </row>
    <row r="445" customFormat="false" ht="17.15" hidden="false" customHeight="false" outlineLevel="0" collapsed="false">
      <c r="A445" s="4" t="s">
        <v>440</v>
      </c>
      <c r="B445" s="0" t="s">
        <v>389</v>
      </c>
      <c r="D445" s="21" t="n">
        <f aca="false">D443/D444</f>
        <v>23.3995380420639</v>
      </c>
      <c r="E445" s="21" t="n">
        <f aca="false">E443/E444</f>
        <v>41.6467658260637</v>
      </c>
      <c r="F445" s="21" t="n">
        <f aca="false">F443/F444</f>
        <v>52.792138191248</v>
      </c>
      <c r="G445" s="21" t="n">
        <f aca="false">G443/G444</f>
        <v>60.1385917361116</v>
      </c>
    </row>
    <row r="446" customFormat="false" ht="17.15" hidden="false" customHeight="false" outlineLevel="0" collapsed="false">
      <c r="A446" s="4" t="s">
        <v>441</v>
      </c>
      <c r="B446" s="0" t="s">
        <v>408</v>
      </c>
      <c r="D446" s="19" t="n">
        <f aca="false">(racks_gb*odm_gb*(1-vr26)+racks_vr*odm_vr*vr26)/1000</f>
        <v>27.1209</v>
      </c>
      <c r="E446" s="19" t="n">
        <f aca="false">racks_vr*odm_vr/1000</f>
        <v>27.351</v>
      </c>
      <c r="F446" s="19" t="n">
        <f aca="false">$E446*vpg_28_hi</f>
        <v>32.8212</v>
      </c>
      <c r="G446" s="19" t="n">
        <f aca="false">$E446*vpg_29_hi</f>
        <v>32.8212</v>
      </c>
      <c r="K446" s="4" t="s">
        <v>442</v>
      </c>
    </row>
    <row r="447" customFormat="false" ht="17.15" hidden="false" customHeight="false" outlineLevel="0" collapsed="false">
      <c r="A447" s="0" t="s">
        <v>443</v>
      </c>
      <c r="B447" s="0" t="s">
        <v>27</v>
      </c>
      <c r="D447" s="22" t="n">
        <f aca="false">D445*D446</f>
        <v>634.616531285011</v>
      </c>
      <c r="E447" s="22" t="n">
        <f aca="false">E445*E446</f>
        <v>1139.08069210867</v>
      </c>
      <c r="F447" s="22" t="n">
        <f aca="false">F445*F446</f>
        <v>1732.70132600259</v>
      </c>
      <c r="G447" s="22" t="n">
        <f aca="false">G445*G446</f>
        <v>1973.82074708926</v>
      </c>
    </row>
    <row r="448" customFormat="false" ht="17.15" hidden="false" customHeight="false" outlineLevel="0" collapsed="false">
      <c r="A448" s="0" t="s">
        <v>444</v>
      </c>
      <c r="B448" s="0" t="s">
        <v>184</v>
      </c>
      <c r="D448" s="22" t="n">
        <f aca="false">D447*fx</f>
        <v>20307.7290011204</v>
      </c>
      <c r="E448" s="22" t="n">
        <f aca="false">E447*fx</f>
        <v>36450.5821474774</v>
      </c>
      <c r="F448" s="22" t="n">
        <f aca="false">F447*fx</f>
        <v>55446.4424320828</v>
      </c>
      <c r="G448" s="22" t="n">
        <f aca="false">G447*fx</f>
        <v>63162.2639068565</v>
      </c>
    </row>
    <row r="449" customFormat="false" ht="17.15" hidden="false" customHeight="false" outlineLevel="0" collapsed="false">
      <c r="A449" s="4" t="s">
        <v>445</v>
      </c>
      <c r="B449" s="0" t="s">
        <v>47</v>
      </c>
      <c r="D449" s="17" t="n">
        <f aca="false">a26_ai/D448</f>
        <v>0.0344775081035094</v>
      </c>
      <c r="K449" s="8" t="s">
        <v>446</v>
      </c>
    </row>
    <row r="450" customFormat="false" ht="17.15" hidden="false" customHeight="false" outlineLevel="0" collapsed="false">
      <c r="A450" s="4" t="s">
        <v>447</v>
      </c>
      <c r="B450" s="0" t="s">
        <v>59</v>
      </c>
      <c r="D450" s="19" t="n">
        <f aca="false">1</f>
        <v>1</v>
      </c>
      <c r="E450" s="19" t="n">
        <f aca="false">rel_27</f>
        <v>1</v>
      </c>
      <c r="F450" s="19" t="n">
        <f aca="false">rel_28</f>
        <v>1</v>
      </c>
      <c r="G450" s="19" t="n">
        <f aca="false">rel_29</f>
        <v>0.95</v>
      </c>
    </row>
    <row r="451" customFormat="false" ht="17.15" hidden="false" customHeight="false" outlineLevel="0" collapsed="false">
      <c r="A451" s="0" t="s">
        <v>448</v>
      </c>
      <c r="B451" s="0" t="s">
        <v>59</v>
      </c>
      <c r="D451" s="23" t="n">
        <f aca="false">1</f>
        <v>1</v>
      </c>
      <c r="E451" s="23" t="n">
        <f aca="false">asic_mix*((ua_27/ua_26)/(ut_27/ut_26))+(1-asic_mix)</f>
        <v>1.44683544303797</v>
      </c>
      <c r="F451" s="23" t="n">
        <f aca="false">asic_mix*((ua_28/ua_26)/(ut_28/ut_26))+(1-asic_mix)</f>
        <v>1.47660377358491</v>
      </c>
      <c r="G451" s="23" t="n">
        <f aca="false">asic_mix*((ua_29/ua_26)/(ut_29/ut_26))+(1-asic_mix)</f>
        <v>1.49144278606965</v>
      </c>
      <c r="K451" s="8" t="s">
        <v>449</v>
      </c>
    </row>
    <row r="452" customFormat="false" ht="15" hidden="false" customHeight="false" outlineLevel="0" collapsed="false">
      <c r="A452" s="4" t="s">
        <v>398</v>
      </c>
      <c r="B452" s="0" t="s">
        <v>47</v>
      </c>
      <c r="D452" s="17" t="n">
        <f aca="false">$D$449*D450*D451</f>
        <v>0.0344775081035094</v>
      </c>
      <c r="E452" s="17" t="n">
        <f aca="false">$D$449*E450*E451</f>
        <v>0.0498832807117864</v>
      </c>
      <c r="F452" s="17" t="n">
        <f aca="false">$D$449*F450*F451</f>
        <v>0.0509096185694461</v>
      </c>
      <c r="G452" s="17" t="n">
        <f aca="false">$D$449*G450*G451</f>
        <v>0.0488501692055052</v>
      </c>
    </row>
    <row r="453" customFormat="false" ht="17.15" hidden="false" customHeight="false" outlineLevel="0" collapsed="false">
      <c r="A453" s="0" t="s">
        <v>450</v>
      </c>
      <c r="B453" s="0" t="s">
        <v>184</v>
      </c>
      <c r="D453" s="22" t="n">
        <f aca="false">D448*D452</f>
        <v>700.1598912</v>
      </c>
      <c r="E453" s="22" t="n">
        <f aca="false">E448*E452</f>
        <v>1818.27462137064</v>
      </c>
      <c r="F453" s="22" t="n">
        <f aca="false">F448*F452</f>
        <v>2822.75723525009</v>
      </c>
      <c r="G453" s="22" t="n">
        <f aca="false">G448*G452</f>
        <v>3085.48727925271</v>
      </c>
    </row>
    <row r="454" customFormat="false" ht="17.15" hidden="false" customHeight="false" outlineLevel="0" collapsed="false">
      <c r="A454" s="4" t="s">
        <v>404</v>
      </c>
      <c r="B454" s="0" t="s">
        <v>47</v>
      </c>
      <c r="D454" s="18" t="n">
        <f aca="false">0</f>
        <v>0</v>
      </c>
      <c r="E454" s="18" t="n">
        <f aca="false">cs_27</f>
        <v>0.05</v>
      </c>
      <c r="F454" s="18" t="n">
        <f aca="false">cs_28</f>
        <v>0.1</v>
      </c>
      <c r="G454" s="18" t="n">
        <f aca="false">cs_29</f>
        <v>0.15</v>
      </c>
      <c r="K454" s="8" t="s">
        <v>451</v>
      </c>
    </row>
    <row r="455" customFormat="false" ht="17.15" hidden="false" customHeight="false" outlineLevel="0" collapsed="false">
      <c r="A455" s="0" t="s">
        <v>452</v>
      </c>
      <c r="B455" s="0" t="s">
        <v>184</v>
      </c>
      <c r="C455" s="22" t="n">
        <f aca="false">a25_ai</f>
        <v>475.3315</v>
      </c>
      <c r="D455" s="22" t="n">
        <f aca="false">D453*(1-D454)</f>
        <v>700.1598912</v>
      </c>
      <c r="E455" s="22" t="n">
        <f aca="false">E453*(1-E454)</f>
        <v>1727.36089030211</v>
      </c>
      <c r="F455" s="22" t="n">
        <f aca="false">F453*(1-F454)</f>
        <v>2540.48151172508</v>
      </c>
      <c r="G455" s="22" t="n">
        <f aca="false">G453*(1-G454)</f>
        <v>2622.6641873648</v>
      </c>
    </row>
    <row r="456" customFormat="false" ht="17.15" hidden="false" customHeight="false" outlineLevel="0" collapsed="false">
      <c r="A456" s="6" t="s">
        <v>453</v>
      </c>
    </row>
    <row r="457" customFormat="false" ht="17.15" hidden="false" customHeight="false" outlineLevel="0" collapsed="false">
      <c r="A457" s="4" t="s">
        <v>373</v>
      </c>
      <c r="B457" s="0" t="s">
        <v>184</v>
      </c>
      <c r="C457" s="22" t="n">
        <f aca="false">a25_nai</f>
        <v>475.3315</v>
      </c>
      <c r="D457" s="22" t="n">
        <f aca="false">a26_nai</f>
        <v>758.5065488</v>
      </c>
      <c r="E457" s="22" t="n">
        <f aca="false">D457*(1+g_nai27)</f>
        <v>796.43187624</v>
      </c>
      <c r="F457" s="22" t="n">
        <f aca="false">E457*(1+g_nai28)</f>
        <v>820.3248325272</v>
      </c>
      <c r="G457" s="22" t="n">
        <f aca="false">F457*(1+g_nai29)</f>
        <v>844.934577503016</v>
      </c>
    </row>
    <row r="458" customFormat="false" ht="17.15" hidden="false" customHeight="false" outlineLevel="0" collapsed="false">
      <c r="A458" s="4" t="s">
        <v>342</v>
      </c>
      <c r="B458" s="0" t="s">
        <v>184</v>
      </c>
      <c r="C458" s="22" t="n">
        <f aca="false">C455+C457</f>
        <v>950.663</v>
      </c>
      <c r="D458" s="22" t="n">
        <f aca="false">D455+D457</f>
        <v>1458.66644</v>
      </c>
      <c r="E458" s="22" t="n">
        <f aca="false">E455+E457</f>
        <v>2523.79276654211</v>
      </c>
      <c r="F458" s="22" t="n">
        <f aca="false">F455+F457</f>
        <v>3360.80634425228</v>
      </c>
      <c r="G458" s="22" t="n">
        <f aca="false">G455+G457</f>
        <v>3467.59876486782</v>
      </c>
      <c r="H458" s="25" t="n">
        <f aca="false">G458*(1+H459)</f>
        <v>3610.40796597985</v>
      </c>
      <c r="I458" s="25" t="n">
        <f aca="false">H458*(1+I459)</f>
        <v>3793.06552462742</v>
      </c>
      <c r="J458" s="25" t="n">
        <f aca="false">I458*(1+J459)</f>
        <v>4020.64945610506</v>
      </c>
      <c r="K458" s="8" t="s">
        <v>454</v>
      </c>
    </row>
    <row r="459" customFormat="false" ht="15" hidden="false" customHeight="false" outlineLevel="0" collapsed="false">
      <c r="A459" s="4" t="s">
        <v>455</v>
      </c>
      <c r="B459" s="0" t="s">
        <v>47</v>
      </c>
      <c r="D459" s="18" t="n">
        <f aca="false">D458/C458-1</f>
        <v>0.534367530870561</v>
      </c>
      <c r="E459" s="18" t="n">
        <f aca="false">E458/D458-1</f>
        <v>0.730205547569951</v>
      </c>
      <c r="F459" s="18" t="n">
        <f aca="false">F458/E458-1</f>
        <v>0.331649091322572</v>
      </c>
      <c r="G459" s="18" t="n">
        <f aca="false">G458/F458-1</f>
        <v>0.0317758328438587</v>
      </c>
      <c r="H459" s="26" t="n">
        <f aca="false">$G459+(fade_gA-$G459)*1/3</f>
        <v>0.0411838885625724</v>
      </c>
      <c r="I459" s="26" t="n">
        <f aca="false">$G459+(fade_gA-$G459)*2/3</f>
        <v>0.0505919442812862</v>
      </c>
      <c r="J459" s="26" t="n">
        <f aca="false">$G459+(fade_gA-$G459)*3/3</f>
        <v>0.06</v>
      </c>
    </row>
    <row r="460" customFormat="false" ht="17.15" hidden="false" customHeight="false" outlineLevel="0" collapsed="false">
      <c r="A460" s="0" t="s">
        <v>456</v>
      </c>
      <c r="B460" s="0" t="s">
        <v>47</v>
      </c>
      <c r="C460" s="18" t="n">
        <f aca="false">C455/C458</f>
        <v>0.5</v>
      </c>
      <c r="D460" s="18" t="n">
        <f aca="false">D455/D458</f>
        <v>0.48</v>
      </c>
      <c r="E460" s="18" t="n">
        <f aca="false">E455/E458</f>
        <v>0.684430557532977</v>
      </c>
      <c r="F460" s="18" t="n">
        <f aca="false">F455/F458</f>
        <v>0.755914281127761</v>
      </c>
      <c r="G460" s="18" t="n">
        <f aca="false">G455/G458</f>
        <v>0.756334387339297</v>
      </c>
    </row>
    <row r="461" customFormat="false" ht="17.15" hidden="false" customHeight="false" outlineLevel="0" collapsed="false">
      <c r="A461" s="4" t="s">
        <v>407</v>
      </c>
      <c r="B461" s="0" t="s">
        <v>408</v>
      </c>
      <c r="D461" s="23" t="n">
        <f aca="false">D455/fx/D445</f>
        <v>0.935061049524468</v>
      </c>
      <c r="E461" s="23" t="n">
        <f aca="false">E455/fx/E445</f>
        <v>1.29613973021067</v>
      </c>
      <c r="F461" s="23" t="n">
        <f aca="false">F455/fx/F445</f>
        <v>1.50382329569235</v>
      </c>
      <c r="G461" s="23" t="n">
        <f aca="false">G455/fx/G445</f>
        <v>1.36282299749857</v>
      </c>
    </row>
    <row r="462" customFormat="false" ht="17.15" hidden="false" customHeight="false" outlineLevel="0" collapsed="false">
      <c r="A462" s="6" t="s">
        <v>457</v>
      </c>
    </row>
    <row r="463" customFormat="false" ht="17.15" hidden="false" customHeight="false" outlineLevel="0" collapsed="false">
      <c r="A463" s="4" t="s">
        <v>458</v>
      </c>
      <c r="B463" s="0" t="s">
        <v>47</v>
      </c>
      <c r="D463" s="17" t="n">
        <f aca="false">a26_gp/D458-d_ai*D460</f>
        <v>0.0882120920201606</v>
      </c>
      <c r="K463" s="8" t="s">
        <v>459</v>
      </c>
    </row>
    <row r="464" customFormat="false" ht="17.15" hidden="false" customHeight="false" outlineLevel="0" collapsed="false">
      <c r="A464" s="0" t="s">
        <v>460</v>
      </c>
      <c r="B464" s="0" t="s">
        <v>184</v>
      </c>
      <c r="D464" s="30" t="n">
        <f aca="false">($D$463+d_ai)*D453*(1-D454*(1-keep))</f>
        <v>54.76096983936</v>
      </c>
      <c r="E464" s="30" t="n">
        <f aca="false">($D$463+d_ai+vrd)*E453*(1-E454*(1-keep))</f>
        <v>137.881640198013</v>
      </c>
      <c r="F464" s="30" t="n">
        <f aca="false">($D$463+d_ai+vrd)*F453*(1-F454*(1-keep))</f>
        <v>212.976951821819</v>
      </c>
      <c r="G464" s="30" t="n">
        <f aca="false">($D$463+d_ai+vrd)*G453*(1-G454*(1-keep))</f>
        <v>231.624168846641</v>
      </c>
      <c r="K464" s="4" t="s">
        <v>461</v>
      </c>
    </row>
    <row r="465" customFormat="false" ht="15" hidden="false" customHeight="false" outlineLevel="0" collapsed="false">
      <c r="A465" s="4" t="s">
        <v>346</v>
      </c>
      <c r="B465" s="0" t="s">
        <v>184</v>
      </c>
      <c r="C465" s="22" t="n">
        <f aca="false">a25_gp</f>
        <v>78.454</v>
      </c>
      <c r="D465" s="22" t="n">
        <f aca="false">a26_gp</f>
        <v>121.67041932</v>
      </c>
      <c r="E465" s="22" t="n">
        <f aca="false">$D$463*E457+E464</f>
        <v>208.136562152685</v>
      </c>
      <c r="F465" s="22" t="n">
        <f aca="false">$D$463*F457+F464</f>
        <v>285.339521435132</v>
      </c>
      <c r="G465" s="22" t="n">
        <f aca="false">$D$463*G457+G464</f>
        <v>306.157615548352</v>
      </c>
    </row>
    <row r="466" customFormat="false" ht="15" hidden="false" customHeight="false" outlineLevel="0" collapsed="false">
      <c r="A466" s="4" t="s">
        <v>349</v>
      </c>
      <c r="B466" s="0" t="s">
        <v>47</v>
      </c>
      <c r="C466" s="17" t="n">
        <f aca="false">C465/C458</f>
        <v>0.0825255637381491</v>
      </c>
      <c r="D466" s="17" t="n">
        <f aca="false">D465/D458</f>
        <v>0.0834120920201606</v>
      </c>
      <c r="E466" s="17" t="n">
        <f aca="false">E465/E458</f>
        <v>0.0824697514439176</v>
      </c>
      <c r="F466" s="17" t="n">
        <f aca="false">F465/F458</f>
        <v>0.0849021015218937</v>
      </c>
      <c r="G466" s="17" t="n">
        <f aca="false">G465/G458</f>
        <v>0.0882909576073813</v>
      </c>
    </row>
    <row r="467" customFormat="false" ht="17.15" hidden="false" customHeight="false" outlineLevel="0" collapsed="false">
      <c r="A467" s="0" t="s">
        <v>462</v>
      </c>
      <c r="B467" s="0" t="s">
        <v>47</v>
      </c>
      <c r="D467" s="17" t="n">
        <f aca="false">D464/D455</f>
        <v>0.0782120920201606</v>
      </c>
      <c r="E467" s="17" t="n">
        <f aca="false">E464/E455</f>
        <v>0.0798221384842734</v>
      </c>
      <c r="F467" s="17" t="n">
        <f aca="false">F464/F455</f>
        <v>0.0838333012221766</v>
      </c>
      <c r="G467" s="17" t="n">
        <f aca="false">G464/G455</f>
        <v>0.0883163654586567</v>
      </c>
      <c r="K467" s="4" t="s">
        <v>463</v>
      </c>
    </row>
    <row r="468" customFormat="false" ht="15" hidden="false" customHeight="false" outlineLevel="0" collapsed="false">
      <c r="A468" s="4" t="s">
        <v>464</v>
      </c>
      <c r="B468" s="0" t="s">
        <v>184</v>
      </c>
      <c r="C468" s="22" t="n">
        <f aca="false">a25_opx</f>
        <v>14.536</v>
      </c>
      <c r="D468" s="22" t="n">
        <f aca="false">a26_opx</f>
        <v>22.5183263</v>
      </c>
      <c r="E468" s="22" t="n">
        <f aca="false">D468*(1+MAX(0,phi*E459))</f>
        <v>35.6727317290002</v>
      </c>
      <c r="F468" s="22" t="n">
        <f aca="false">E468*(1+MAX(0,phi*F459))</f>
        <v>45.1373949793337</v>
      </c>
      <c r="G468" s="22" t="n">
        <f aca="false">F468*(1+MAX(0,phi*G459))</f>
        <v>46.2848176336301</v>
      </c>
    </row>
    <row r="469" customFormat="false" ht="15" hidden="false" customHeight="false" outlineLevel="0" collapsed="false">
      <c r="A469" s="4" t="s">
        <v>350</v>
      </c>
      <c r="B469" s="0" t="s">
        <v>184</v>
      </c>
      <c r="C469" s="22" t="n">
        <f aca="false">C468</f>
        <v>14.536</v>
      </c>
      <c r="D469" s="22" t="n">
        <f aca="false">D468</f>
        <v>22.5183263</v>
      </c>
      <c r="E469" s="22" t="n">
        <f aca="false">E468+0*E458</f>
        <v>35.6727317290002</v>
      </c>
      <c r="F469" s="22" t="n">
        <f aca="false">F468+0*F458</f>
        <v>45.1373949793337</v>
      </c>
      <c r="G469" s="22" t="n">
        <f aca="false">G468+0*G458</f>
        <v>46.2848176336301</v>
      </c>
    </row>
    <row r="470" customFormat="false" ht="15" hidden="false" customHeight="false" outlineLevel="0" collapsed="false">
      <c r="A470" s="4" t="s">
        <v>353</v>
      </c>
      <c r="B470" s="0" t="s">
        <v>184</v>
      </c>
      <c r="C470" s="22" t="n">
        <f aca="false">C465-C469</f>
        <v>63.918</v>
      </c>
      <c r="D470" s="22" t="n">
        <f aca="false">D465-D469</f>
        <v>99.15209302</v>
      </c>
      <c r="E470" s="22" t="n">
        <f aca="false">E465-E469</f>
        <v>172.463830423685</v>
      </c>
      <c r="F470" s="22" t="n">
        <f aca="false">F465-F469</f>
        <v>240.202126455798</v>
      </c>
      <c r="G470" s="22" t="n">
        <f aca="false">G465-G469</f>
        <v>259.872797914722</v>
      </c>
    </row>
    <row r="471" customFormat="false" ht="15" hidden="false" customHeight="false" outlineLevel="0" collapsed="false">
      <c r="A471" s="4" t="s">
        <v>356</v>
      </c>
      <c r="B471" s="0" t="s">
        <v>47</v>
      </c>
      <c r="C471" s="17" t="n">
        <f aca="false">C470/C458</f>
        <v>0.0672351821833815</v>
      </c>
      <c r="D471" s="17" t="n">
        <f aca="false">D470/D458</f>
        <v>0.0679744801834201</v>
      </c>
      <c r="E471" s="17" t="n">
        <f aca="false">E470/E458</f>
        <v>0.0683351789853888</v>
      </c>
      <c r="F471" s="17" t="n">
        <f aca="false">F470/F458</f>
        <v>0.0714715761194025</v>
      </c>
      <c r="G471" s="17" t="n">
        <f aca="false">G470/G458</f>
        <v>0.0749431567883916</v>
      </c>
    </row>
    <row r="472" customFormat="false" ht="17.15" hidden="false" customHeight="false" outlineLevel="0" collapsed="false">
      <c r="A472" s="4" t="s">
        <v>218</v>
      </c>
      <c r="B472" s="0" t="s">
        <v>47</v>
      </c>
      <c r="C472" s="18" t="n">
        <f aca="false">a25_ni/a25_oi</f>
        <v>0.799743421258488</v>
      </c>
      <c r="D472" s="18" t="n">
        <f aca="false">a26_ni/a26_oi</f>
        <v>0.776911976251089</v>
      </c>
      <c r="E472" s="18" t="n">
        <f aca="false">nio_f</f>
        <v>0.78</v>
      </c>
      <c r="F472" s="18" t="n">
        <f aca="false">nio_f</f>
        <v>0.78</v>
      </c>
      <c r="G472" s="18" t="n">
        <f aca="false">nio_f</f>
        <v>0.78</v>
      </c>
    </row>
    <row r="473" customFormat="false" ht="15" hidden="false" customHeight="false" outlineLevel="0" collapsed="false">
      <c r="A473" s="4" t="s">
        <v>357</v>
      </c>
      <c r="B473" s="0" t="s">
        <v>184</v>
      </c>
      <c r="C473" s="22" t="n">
        <f aca="false">a25_ni</f>
        <v>51.118</v>
      </c>
      <c r="D473" s="22" t="n">
        <f aca="false">a26_ni</f>
        <v>77.0324485376</v>
      </c>
      <c r="E473" s="22" t="n">
        <f aca="false">E470*E472</f>
        <v>134.521787730474</v>
      </c>
      <c r="F473" s="22" t="n">
        <f aca="false">F470*F472</f>
        <v>187.357658635522</v>
      </c>
      <c r="G473" s="22" t="n">
        <f aca="false">G470*G472</f>
        <v>202.700782373483</v>
      </c>
      <c r="H473" s="25" t="n">
        <f aca="false">H458*H477</f>
        <v>210.759670846819</v>
      </c>
      <c r="I473" s="25" t="n">
        <f aca="false">I458*I477</f>
        <v>221.118667371867</v>
      </c>
      <c r="J473" s="25" t="n">
        <f aca="false">J458*J477</f>
        <v>234.063817715051</v>
      </c>
    </row>
    <row r="474" customFormat="false" ht="15" hidden="false" customHeight="false" outlineLevel="0" collapsed="false">
      <c r="A474" s="4" t="s">
        <v>465</v>
      </c>
      <c r="B474" s="4" t="s">
        <v>205</v>
      </c>
      <c r="C474" s="29" t="n">
        <f aca="false">a25_sh</f>
        <v>0.554331761662183</v>
      </c>
      <c r="D474" s="29" t="n">
        <f aca="false">a26_sh</f>
        <v>0.556054338618749</v>
      </c>
      <c r="E474" s="29" t="n">
        <f aca="false">D474*(1+sh_g)</f>
        <v>0.558834610311843</v>
      </c>
      <c r="F474" s="29" t="n">
        <f aca="false">E474*(1+sh_g)</f>
        <v>0.561628783363402</v>
      </c>
      <c r="G474" s="29" t="n">
        <f aca="false">F474*(1+sh_g)</f>
        <v>0.564436927280219</v>
      </c>
      <c r="H474" s="31" t="n">
        <f aca="false">G474*(1+sh_g)</f>
        <v>0.56725911191662</v>
      </c>
      <c r="I474" s="31" t="n">
        <f aca="false">H474*(1+sh_g)</f>
        <v>0.570095407476203</v>
      </c>
      <c r="J474" s="31" t="n">
        <f aca="false">I474*(1+sh_g)</f>
        <v>0.572945884513584</v>
      </c>
    </row>
    <row r="475" customFormat="false" ht="17.15" hidden="false" customHeight="false" outlineLevel="0" collapsed="false">
      <c r="A475" s="0" t="s">
        <v>363</v>
      </c>
      <c r="B475" s="0" t="s">
        <v>235</v>
      </c>
      <c r="C475" s="30" t="n">
        <f aca="false">C473/C474</f>
        <v>92.2155350556153</v>
      </c>
      <c r="D475" s="30" t="n">
        <f aca="false">D473/D474</f>
        <v>138.534030197391</v>
      </c>
      <c r="E475" s="30" t="n">
        <f aca="false">E473/E474</f>
        <v>240.718425896005</v>
      </c>
      <c r="F475" s="30" t="n">
        <f aca="false">F473/F474</f>
        <v>333.596966867513</v>
      </c>
      <c r="G475" s="30" t="n">
        <f aca="false">G473/G474</f>
        <v>359.120342019811</v>
      </c>
      <c r="H475" s="28" t="n">
        <f aca="false">H473/H474</f>
        <v>371.540388544341</v>
      </c>
      <c r="I475" s="28" t="n">
        <f aca="false">I473/I474</f>
        <v>387.862565584861</v>
      </c>
      <c r="J475" s="28" t="n">
        <f aca="false">J473/J474</f>
        <v>408.5269203282</v>
      </c>
    </row>
    <row r="476" customFormat="false" ht="17.15" hidden="false" customHeight="false" outlineLevel="0" collapsed="false">
      <c r="A476" s="0" t="s">
        <v>466</v>
      </c>
      <c r="B476" s="0" t="s">
        <v>47</v>
      </c>
      <c r="D476" s="18" t="n">
        <f aca="false">D475/C475-1</f>
        <v>0.502285163924287</v>
      </c>
      <c r="E476" s="18" t="n">
        <f aca="false">E475/D475-1</f>
        <v>0.737612235441472</v>
      </c>
      <c r="F476" s="18" t="n">
        <f aca="false">F475/E475-1</f>
        <v>0.385838934538536</v>
      </c>
      <c r="G476" s="18" t="n">
        <f aca="false">G475/F475-1</f>
        <v>0.0765096139571162</v>
      </c>
      <c r="H476" s="26" t="n">
        <f aca="false">H475/G475-1</f>
        <v>0.0345846366002995</v>
      </c>
      <c r="I476" s="26" t="n">
        <f aca="false">I475/H475-1</f>
        <v>0.0439310975166602</v>
      </c>
      <c r="J476" s="26" t="n">
        <f aca="false">J475/I475-1</f>
        <v>0.0532775178037088</v>
      </c>
    </row>
    <row r="477" customFormat="false" ht="17.15" hidden="false" customHeight="false" outlineLevel="0" collapsed="false">
      <c r="A477" s="4" t="s">
        <v>467</v>
      </c>
      <c r="B477" s="0" t="s">
        <v>47</v>
      </c>
      <c r="C477" s="17" t="n">
        <f aca="false">C473/C458</f>
        <v>0.0537708946282752</v>
      </c>
      <c r="D477" s="17" t="n">
        <f aca="false">D473/D458</f>
        <v>0.0528101877339414</v>
      </c>
      <c r="E477" s="17" t="n">
        <f aca="false">E473/E458</f>
        <v>0.0533014396086032</v>
      </c>
      <c r="F477" s="17" t="n">
        <f aca="false">F473/F458</f>
        <v>0.055747829373134</v>
      </c>
      <c r="G477" s="17" t="n">
        <f aca="false">G473/G458</f>
        <v>0.0584556622949455</v>
      </c>
      <c r="H477" s="27" t="n">
        <f aca="false">$G477+(fade_mA-$G477)*1/3</f>
        <v>0.0583755832672554</v>
      </c>
      <c r="I477" s="27" t="n">
        <f aca="false">$G477+(fade_mA-$G477)*2/3</f>
        <v>0.0582955042395654</v>
      </c>
      <c r="J477" s="27" t="n">
        <f aca="false">$G477+(fade_mA-$G477)*3/3</f>
        <v>0.0582154252118753</v>
      </c>
    </row>
    <row r="480" customFormat="false" ht="17.15" hidden="false" customHeight="false" outlineLevel="0" collapsed="false">
      <c r="A480" s="1" t="s">
        <v>745</v>
      </c>
    </row>
    <row r="481" customFormat="false" ht="17.15" hidden="false" customHeight="false" outlineLevel="0" collapsed="false">
      <c r="A481" s="5" t="s">
        <v>16</v>
      </c>
      <c r="B481" s="5" t="s">
        <v>17</v>
      </c>
      <c r="C481" s="14" t="s">
        <v>336</v>
      </c>
      <c r="D481" s="14" t="s">
        <v>415</v>
      </c>
      <c r="E481" s="14" t="s">
        <v>416</v>
      </c>
      <c r="F481" s="14" t="s">
        <v>417</v>
      </c>
      <c r="G481" s="14" t="s">
        <v>418</v>
      </c>
      <c r="H481" s="14" t="s">
        <v>419</v>
      </c>
      <c r="I481" s="14" t="s">
        <v>420</v>
      </c>
      <c r="J481" s="14" t="s">
        <v>421</v>
      </c>
      <c r="K481" s="5" t="s">
        <v>387</v>
      </c>
    </row>
    <row r="482" customFormat="false" ht="17.15" hidden="false" customHeight="false" outlineLevel="0" collapsed="false">
      <c r="A482" s="6" t="s">
        <v>437</v>
      </c>
    </row>
    <row r="483" customFormat="false" ht="17.15" hidden="false" customHeight="false" outlineLevel="0" collapsed="false">
      <c r="A483" s="0" t="s">
        <v>438</v>
      </c>
      <c r="B483" s="0" t="s">
        <v>27</v>
      </c>
      <c r="D483" s="30" t="n">
        <f aca="false">itc_26</f>
        <v>781.872916666667</v>
      </c>
      <c r="E483" s="30" t="n">
        <f aca="false">itc_27*1</f>
        <v>1565.35</v>
      </c>
      <c r="F483" s="30" t="n">
        <f aca="false">itc_28*um28_A*1</f>
        <v>1984.26388888889</v>
      </c>
      <c r="G483" s="30" t="n">
        <f aca="false">itc_29*um29_A*1</f>
        <v>2260.39027777778</v>
      </c>
    </row>
    <row r="484" customFormat="false" ht="17.15" hidden="false" customHeight="false" outlineLevel="0" collapsed="false">
      <c r="A484" s="4" t="s">
        <v>439</v>
      </c>
      <c r="B484" s="0" t="s">
        <v>27</v>
      </c>
      <c r="D484" s="30" t="n">
        <f aca="false">itpg_gb*(1-vr26)+itpg_vr*vr26</f>
        <v>33.41403216</v>
      </c>
      <c r="E484" s="30" t="n">
        <f aca="false">itpg_vr</f>
        <v>37.586352</v>
      </c>
      <c r="F484" s="30" t="n">
        <f aca="false">itpg_vr</f>
        <v>37.586352</v>
      </c>
      <c r="G484" s="30" t="n">
        <f aca="false">itpg_vr</f>
        <v>37.586352</v>
      </c>
    </row>
    <row r="485" customFormat="false" ht="17.15" hidden="false" customHeight="false" outlineLevel="0" collapsed="false">
      <c r="A485" s="4" t="s">
        <v>440</v>
      </c>
      <c r="B485" s="0" t="s">
        <v>389</v>
      </c>
      <c r="D485" s="21" t="n">
        <f aca="false">D483/D484</f>
        <v>23.3995380420639</v>
      </c>
      <c r="E485" s="21" t="n">
        <f aca="false">E483/E484</f>
        <v>41.6467658260637</v>
      </c>
      <c r="F485" s="21" t="n">
        <f aca="false">F483/F484</f>
        <v>52.792138191248</v>
      </c>
      <c r="G485" s="21" t="n">
        <f aca="false">G483/G484</f>
        <v>60.1385917361116</v>
      </c>
    </row>
    <row r="486" customFormat="false" ht="17.15" hidden="false" customHeight="false" outlineLevel="0" collapsed="false">
      <c r="A486" s="4" t="s">
        <v>441</v>
      </c>
      <c r="B486" s="0" t="s">
        <v>408</v>
      </c>
      <c r="D486" s="19" t="n">
        <f aca="false">(racks_gb*odm_gb*(1-vr26)+racks_vr*odm_vr*vr26)/1000</f>
        <v>27.1209</v>
      </c>
      <c r="E486" s="19" t="n">
        <f aca="false">racks_vr*odm_vr/1000</f>
        <v>27.351</v>
      </c>
      <c r="F486" s="19" t="n">
        <f aca="false">$E486*vpg_28</f>
        <v>27.351</v>
      </c>
      <c r="G486" s="19" t="n">
        <f aca="false">$E486*vpg_29</f>
        <v>27.351</v>
      </c>
      <c r="K486" s="4" t="s">
        <v>442</v>
      </c>
    </row>
    <row r="487" customFormat="false" ht="17.15" hidden="false" customHeight="false" outlineLevel="0" collapsed="false">
      <c r="A487" s="0" t="s">
        <v>443</v>
      </c>
      <c r="B487" s="0" t="s">
        <v>27</v>
      </c>
      <c r="D487" s="22" t="n">
        <f aca="false">D485*D486</f>
        <v>634.616531285011</v>
      </c>
      <c r="E487" s="22" t="n">
        <f aca="false">E485*E486</f>
        <v>1139.08069210867</v>
      </c>
      <c r="F487" s="22" t="n">
        <f aca="false">F485*F486</f>
        <v>1443.91777166882</v>
      </c>
      <c r="G487" s="22" t="n">
        <f aca="false">G485*G486</f>
        <v>1644.85062257439</v>
      </c>
    </row>
    <row r="488" customFormat="false" ht="17.15" hidden="false" customHeight="false" outlineLevel="0" collapsed="false">
      <c r="A488" s="0" t="s">
        <v>444</v>
      </c>
      <c r="B488" s="0" t="s">
        <v>184</v>
      </c>
      <c r="D488" s="22" t="n">
        <f aca="false">D487*fx</f>
        <v>20307.7290011204</v>
      </c>
      <c r="E488" s="22" t="n">
        <f aca="false">E487*fx</f>
        <v>36450.5821474774</v>
      </c>
      <c r="F488" s="22" t="n">
        <f aca="false">F487*fx</f>
        <v>46205.3686934024</v>
      </c>
      <c r="G488" s="22" t="n">
        <f aca="false">G487*fx</f>
        <v>52635.2199223804</v>
      </c>
    </row>
    <row r="489" customFormat="false" ht="17.15" hidden="false" customHeight="false" outlineLevel="0" collapsed="false">
      <c r="A489" s="4" t="s">
        <v>445</v>
      </c>
      <c r="B489" s="0" t="s">
        <v>47</v>
      </c>
      <c r="D489" s="17" t="n">
        <f aca="false">a26_ai/D488</f>
        <v>0.0344775081035094</v>
      </c>
      <c r="K489" s="8" t="s">
        <v>446</v>
      </c>
    </row>
    <row r="490" customFormat="false" ht="17.15" hidden="false" customHeight="false" outlineLevel="0" collapsed="false">
      <c r="A490" s="4" t="s">
        <v>447</v>
      </c>
      <c r="B490" s="0" t="s">
        <v>59</v>
      </c>
      <c r="D490" s="19" t="n">
        <f aca="false">1</f>
        <v>1</v>
      </c>
      <c r="E490" s="19" t="n">
        <f aca="false">rel_27</f>
        <v>1</v>
      </c>
      <c r="F490" s="19" t="n">
        <f aca="false">rel_28</f>
        <v>1</v>
      </c>
      <c r="G490" s="19" t="n">
        <f aca="false">rel_29</f>
        <v>0.95</v>
      </c>
    </row>
    <row r="491" customFormat="false" ht="17.15" hidden="false" customHeight="false" outlineLevel="0" collapsed="false">
      <c r="A491" s="0" t="s">
        <v>448</v>
      </c>
      <c r="B491" s="0" t="s">
        <v>59</v>
      </c>
      <c r="D491" s="23" t="n">
        <f aca="false">1</f>
        <v>1</v>
      </c>
      <c r="E491" s="23" t="n">
        <f aca="false">asic_mix*((ua_27/ua_26)/(ut_27/ut_26))+(1-asic_mix)</f>
        <v>1.44683544303797</v>
      </c>
      <c r="F491" s="23" t="n">
        <f aca="false">asic_mix*((ua_28/ua_26)/(ut_28/ut_26))+(1-asic_mix)</f>
        <v>1.47660377358491</v>
      </c>
      <c r="G491" s="23" t="n">
        <f aca="false">asic_mix*((ua_29/ua_26)/(ut_29/ut_26))+(1-asic_mix)</f>
        <v>1.49144278606965</v>
      </c>
      <c r="K491" s="8" t="s">
        <v>449</v>
      </c>
    </row>
    <row r="492" customFormat="false" ht="15" hidden="false" customHeight="false" outlineLevel="0" collapsed="false">
      <c r="A492" s="4" t="s">
        <v>398</v>
      </c>
      <c r="B492" s="0" t="s">
        <v>47</v>
      </c>
      <c r="D492" s="17" t="n">
        <f aca="false">$D$489*D490*D491</f>
        <v>0.0344775081035094</v>
      </c>
      <c r="E492" s="17" t="n">
        <f aca="false">$D$489*E490*E491</f>
        <v>0.0498832807117864</v>
      </c>
      <c r="F492" s="17" t="n">
        <f aca="false">$D$489*F490*F491</f>
        <v>0.0509096185694461</v>
      </c>
      <c r="G492" s="17" t="n">
        <f aca="false">$D$489*G490*G491</f>
        <v>0.0488501692055052</v>
      </c>
    </row>
    <row r="493" customFormat="false" ht="17.15" hidden="false" customHeight="false" outlineLevel="0" collapsed="false">
      <c r="A493" s="0" t="s">
        <v>450</v>
      </c>
      <c r="B493" s="0" t="s">
        <v>184</v>
      </c>
      <c r="D493" s="22" t="n">
        <f aca="false">D488*D492</f>
        <v>700.1598912</v>
      </c>
      <c r="E493" s="22" t="n">
        <f aca="false">E488*E492</f>
        <v>1818.27462137064</v>
      </c>
      <c r="F493" s="22" t="n">
        <f aca="false">F488*F492</f>
        <v>2352.29769604174</v>
      </c>
      <c r="G493" s="22" t="n">
        <f aca="false">G488*G492</f>
        <v>2571.23939937726</v>
      </c>
    </row>
    <row r="494" customFormat="false" ht="17.15" hidden="false" customHeight="false" outlineLevel="0" collapsed="false">
      <c r="A494" s="4" t="s">
        <v>404</v>
      </c>
      <c r="B494" s="0" t="s">
        <v>47</v>
      </c>
      <c r="D494" s="18" t="n">
        <f aca="false">0</f>
        <v>0</v>
      </c>
      <c r="E494" s="18" t="n">
        <f aca="false">cs_27</f>
        <v>0.05</v>
      </c>
      <c r="F494" s="18" t="n">
        <f aca="false">cs_28</f>
        <v>0.1</v>
      </c>
      <c r="G494" s="18" t="n">
        <f aca="false">cs_29</f>
        <v>0.15</v>
      </c>
      <c r="K494" s="8" t="s">
        <v>451</v>
      </c>
    </row>
    <row r="495" customFormat="false" ht="17.15" hidden="false" customHeight="false" outlineLevel="0" collapsed="false">
      <c r="A495" s="0" t="s">
        <v>452</v>
      </c>
      <c r="B495" s="0" t="s">
        <v>184</v>
      </c>
      <c r="C495" s="22" t="n">
        <f aca="false">a25_ai</f>
        <v>475.3315</v>
      </c>
      <c r="D495" s="22" t="n">
        <f aca="false">D493*(1-D494)</f>
        <v>700.1598912</v>
      </c>
      <c r="E495" s="22" t="n">
        <f aca="false">E493*(1-E494)</f>
        <v>1727.36089030211</v>
      </c>
      <c r="F495" s="22" t="n">
        <f aca="false">F493*(1-F494)</f>
        <v>2117.06792643757</v>
      </c>
      <c r="G495" s="22" t="n">
        <f aca="false">G493*(1-G494)</f>
        <v>2185.55348947067</v>
      </c>
    </row>
    <row r="496" customFormat="false" ht="17.15" hidden="false" customHeight="false" outlineLevel="0" collapsed="false">
      <c r="A496" s="6" t="s">
        <v>453</v>
      </c>
    </row>
    <row r="497" customFormat="false" ht="17.15" hidden="false" customHeight="false" outlineLevel="0" collapsed="false">
      <c r="A497" s="4" t="s">
        <v>373</v>
      </c>
      <c r="B497" s="0" t="s">
        <v>184</v>
      </c>
      <c r="C497" s="22" t="n">
        <f aca="false">a25_nai</f>
        <v>475.3315</v>
      </c>
      <c r="D497" s="22" t="n">
        <f aca="false">a26_nai</f>
        <v>758.5065488</v>
      </c>
      <c r="E497" s="22" t="n">
        <f aca="false">D497*(1+g_nai27_lo)</f>
        <v>682.65589392</v>
      </c>
      <c r="F497" s="22" t="n">
        <f aca="false">E497*(1+g_nai28_lo)</f>
        <v>648.523099224</v>
      </c>
      <c r="G497" s="22" t="n">
        <f aca="false">F497*(1+g_nai29_lo)</f>
        <v>616.0969442628</v>
      </c>
    </row>
    <row r="498" customFormat="false" ht="17.15" hidden="false" customHeight="false" outlineLevel="0" collapsed="false">
      <c r="A498" s="4" t="s">
        <v>342</v>
      </c>
      <c r="B498" s="0" t="s">
        <v>184</v>
      </c>
      <c r="C498" s="22" t="n">
        <f aca="false">C495+C497</f>
        <v>950.663</v>
      </c>
      <c r="D498" s="22" t="n">
        <f aca="false">D495+D497</f>
        <v>1458.66644</v>
      </c>
      <c r="E498" s="22" t="n">
        <f aca="false">E495+E497</f>
        <v>2410.01678422211</v>
      </c>
      <c r="F498" s="22" t="n">
        <f aca="false">F495+F497</f>
        <v>2765.59102566157</v>
      </c>
      <c r="G498" s="22" t="n">
        <f aca="false">G495+G497</f>
        <v>2801.65043373347</v>
      </c>
      <c r="H498" s="25" t="n">
        <f aca="false">G498*(1+H499)</f>
        <v>2882.03649035278</v>
      </c>
      <c r="I498" s="25" t="n">
        <f aca="false">H498*(1+I499)</f>
        <v>3009.84384755617</v>
      </c>
      <c r="J498" s="25" t="n">
        <f aca="false">I498*(1+J499)</f>
        <v>3190.43447840954</v>
      </c>
      <c r="K498" s="8" t="s">
        <v>454</v>
      </c>
    </row>
    <row r="499" customFormat="false" ht="15" hidden="false" customHeight="false" outlineLevel="0" collapsed="false">
      <c r="A499" s="4" t="s">
        <v>455</v>
      </c>
      <c r="B499" s="0" t="s">
        <v>47</v>
      </c>
      <c r="D499" s="18" t="n">
        <f aca="false">D498/C498-1</f>
        <v>0.534367530870561</v>
      </c>
      <c r="E499" s="18" t="n">
        <f aca="false">E498/D498-1</f>
        <v>0.65220554756995</v>
      </c>
      <c r="F499" s="18" t="n">
        <f aca="false">F498/E498-1</f>
        <v>0.147540151490782</v>
      </c>
      <c r="G499" s="18" t="n">
        <f aca="false">G498/F498-1</f>
        <v>0.0130385902099455</v>
      </c>
      <c r="H499" s="26" t="n">
        <f aca="false">$G499+(fade_gA-$G499)*1/3</f>
        <v>0.028692393473297</v>
      </c>
      <c r="I499" s="26" t="n">
        <f aca="false">$G499+(fade_gA-$G499)*2/3</f>
        <v>0.0443461967366485</v>
      </c>
      <c r="J499" s="26" t="n">
        <f aca="false">$G499+(fade_gA-$G499)*3/3</f>
        <v>0.06</v>
      </c>
    </row>
    <row r="500" customFormat="false" ht="17.15" hidden="false" customHeight="false" outlineLevel="0" collapsed="false">
      <c r="A500" s="0" t="s">
        <v>456</v>
      </c>
      <c r="B500" s="0" t="s">
        <v>47</v>
      </c>
      <c r="C500" s="18" t="n">
        <f aca="false">C495/C498</f>
        <v>0.5</v>
      </c>
      <c r="D500" s="18" t="n">
        <f aca="false">D495/D498</f>
        <v>0.48</v>
      </c>
      <c r="E500" s="18" t="n">
        <f aca="false">E495/E498</f>
        <v>0.716742265701546</v>
      </c>
      <c r="F500" s="18" t="n">
        <f aca="false">F495/F498</f>
        <v>0.765502891350732</v>
      </c>
      <c r="G500" s="18" t="n">
        <f aca="false">G495/G498</f>
        <v>0.780094997989527</v>
      </c>
    </row>
    <row r="501" customFormat="false" ht="17.15" hidden="false" customHeight="false" outlineLevel="0" collapsed="false">
      <c r="A501" s="4" t="s">
        <v>407</v>
      </c>
      <c r="B501" s="0" t="s">
        <v>408</v>
      </c>
      <c r="D501" s="23" t="n">
        <f aca="false">D495/fx/D485</f>
        <v>0.935061049524468</v>
      </c>
      <c r="E501" s="23" t="n">
        <f aca="false">E495/fx/E485</f>
        <v>1.29613973021067</v>
      </c>
      <c r="F501" s="23" t="n">
        <f aca="false">F495/fx/F485</f>
        <v>1.25318607974363</v>
      </c>
      <c r="G501" s="23" t="n">
        <f aca="false">G495/fx/G485</f>
        <v>1.13568583124881</v>
      </c>
    </row>
    <row r="502" customFormat="false" ht="17.15" hidden="false" customHeight="false" outlineLevel="0" collapsed="false">
      <c r="A502" s="6" t="s">
        <v>457</v>
      </c>
    </row>
    <row r="503" customFormat="false" ht="17.15" hidden="false" customHeight="false" outlineLevel="0" collapsed="false">
      <c r="A503" s="4" t="s">
        <v>458</v>
      </c>
      <c r="B503" s="0" t="s">
        <v>47</v>
      </c>
      <c r="D503" s="17" t="n">
        <f aca="false">a26_gp/D498-d_ai*D500</f>
        <v>0.0882120920201606</v>
      </c>
      <c r="K503" s="8" t="s">
        <v>459</v>
      </c>
    </row>
    <row r="504" customFormat="false" ht="17.15" hidden="false" customHeight="false" outlineLevel="0" collapsed="false">
      <c r="A504" s="0" t="s">
        <v>460</v>
      </c>
      <c r="B504" s="0" t="s">
        <v>184</v>
      </c>
      <c r="D504" s="30" t="n">
        <f aca="false">($D$503+d_ai)*D493*(1-D494*(1-keep))</f>
        <v>54.76096983936</v>
      </c>
      <c r="E504" s="30" t="n">
        <f aca="false">($D$503+d_ai+vrd)*E493*(1-E494*(1-keep))</f>
        <v>137.881640198013</v>
      </c>
      <c r="F504" s="30" t="n">
        <f aca="false">($D$503+d_ai+vrd)*F493*(1-F494*(1-keep))</f>
        <v>177.480793184849</v>
      </c>
      <c r="G504" s="30" t="n">
        <f aca="false">($D$503+d_ai+vrd)*G493*(1-G494*(1-keep))</f>
        <v>193.020140705534</v>
      </c>
      <c r="K504" s="4" t="s">
        <v>461</v>
      </c>
    </row>
    <row r="505" customFormat="false" ht="15" hidden="false" customHeight="false" outlineLevel="0" collapsed="false">
      <c r="A505" s="4" t="s">
        <v>346</v>
      </c>
      <c r="B505" s="0" t="s">
        <v>184</v>
      </c>
      <c r="C505" s="22" t="n">
        <f aca="false">a25_gp</f>
        <v>78.454</v>
      </c>
      <c r="D505" s="22" t="n">
        <f aca="false">a26_gp</f>
        <v>121.67041932</v>
      </c>
      <c r="E505" s="22" t="n">
        <f aca="false">$D$503*E497+E504</f>
        <v>198.100144730589</v>
      </c>
      <c r="F505" s="22" t="n">
        <f aca="false">$D$503*F497+F504</f>
        <v>234.688372490797</v>
      </c>
      <c r="G505" s="22" t="n">
        <f aca="false">$D$503*G497+G504</f>
        <v>247.367341046184</v>
      </c>
    </row>
    <row r="506" customFormat="false" ht="15" hidden="false" customHeight="false" outlineLevel="0" collapsed="false">
      <c r="A506" s="4" t="s">
        <v>349</v>
      </c>
      <c r="B506" s="0" t="s">
        <v>47</v>
      </c>
      <c r="C506" s="17" t="n">
        <f aca="false">C505/C498</f>
        <v>0.0825255637381491</v>
      </c>
      <c r="D506" s="17" t="n">
        <f aca="false">D505/D498</f>
        <v>0.0834120920201606</v>
      </c>
      <c r="E506" s="17" t="n">
        <f aca="false">E505/E498</f>
        <v>0.0821986577137181</v>
      </c>
      <c r="F506" s="17" t="n">
        <f aca="false">F505/F498</f>
        <v>0.0848601150036839</v>
      </c>
      <c r="G506" s="17" t="n">
        <f aca="false">G505/G498</f>
        <v>0.0882934352079545</v>
      </c>
    </row>
    <row r="507" customFormat="false" ht="17.15" hidden="false" customHeight="false" outlineLevel="0" collapsed="false">
      <c r="A507" s="0" t="s">
        <v>462</v>
      </c>
      <c r="B507" s="0" t="s">
        <v>47</v>
      </c>
      <c r="D507" s="17" t="n">
        <f aca="false">D504/D495</f>
        <v>0.0782120920201606</v>
      </c>
      <c r="E507" s="17" t="n">
        <f aca="false">E504/E495</f>
        <v>0.0798221384842734</v>
      </c>
      <c r="F507" s="17" t="n">
        <f aca="false">F504/F495</f>
        <v>0.0838333012221766</v>
      </c>
      <c r="G507" s="17" t="n">
        <f aca="false">G504/G495</f>
        <v>0.0883163654586567</v>
      </c>
      <c r="K507" s="4" t="s">
        <v>463</v>
      </c>
    </row>
    <row r="508" customFormat="false" ht="15" hidden="false" customHeight="false" outlineLevel="0" collapsed="false">
      <c r="A508" s="4" t="s">
        <v>464</v>
      </c>
      <c r="B508" s="0" t="s">
        <v>184</v>
      </c>
      <c r="C508" s="22" t="n">
        <f aca="false">a25_opx</f>
        <v>14.536</v>
      </c>
      <c r="D508" s="22" t="n">
        <f aca="false">a26_opx</f>
        <v>22.5183263</v>
      </c>
      <c r="E508" s="22" t="n">
        <f aca="false">D508*(1+MAX(0,phi*E499))</f>
        <v>34.2675881678802</v>
      </c>
      <c r="F508" s="22" t="n">
        <f aca="false">E508*(1+MAX(0,phi*F499))</f>
        <v>38.3122642874905</v>
      </c>
      <c r="G508" s="22" t="n">
        <f aca="false">F508*(1+MAX(0,phi*G499))</f>
        <v>38.7118946187382</v>
      </c>
    </row>
    <row r="509" customFormat="false" ht="15" hidden="false" customHeight="false" outlineLevel="0" collapsed="false">
      <c r="A509" s="4" t="s">
        <v>350</v>
      </c>
      <c r="B509" s="0" t="s">
        <v>184</v>
      </c>
      <c r="C509" s="22" t="n">
        <f aca="false">C508</f>
        <v>14.536</v>
      </c>
      <c r="D509" s="22" t="n">
        <f aca="false">D508</f>
        <v>22.5183263</v>
      </c>
      <c r="E509" s="22" t="n">
        <f aca="false">E508+0*E498</f>
        <v>34.2675881678802</v>
      </c>
      <c r="F509" s="22" t="n">
        <f aca="false">F508+0*F498</f>
        <v>38.3122642874905</v>
      </c>
      <c r="G509" s="22" t="n">
        <f aca="false">G508+0*G498</f>
        <v>38.7118946187382</v>
      </c>
    </row>
    <row r="510" customFormat="false" ht="15" hidden="false" customHeight="false" outlineLevel="0" collapsed="false">
      <c r="A510" s="4" t="s">
        <v>353</v>
      </c>
      <c r="B510" s="0" t="s">
        <v>184</v>
      </c>
      <c r="C510" s="22" t="n">
        <f aca="false">C505-C509</f>
        <v>63.918</v>
      </c>
      <c r="D510" s="22" t="n">
        <f aca="false">D505-D509</f>
        <v>99.15209302</v>
      </c>
      <c r="E510" s="22" t="n">
        <f aca="false">E505-E509</f>
        <v>163.832556562709</v>
      </c>
      <c r="F510" s="22" t="n">
        <f aca="false">F505-F509</f>
        <v>196.376108203306</v>
      </c>
      <c r="G510" s="22" t="n">
        <f aca="false">G505-G509</f>
        <v>208.655446427446</v>
      </c>
    </row>
    <row r="511" customFormat="false" ht="15" hidden="false" customHeight="false" outlineLevel="0" collapsed="false">
      <c r="A511" s="4" t="s">
        <v>356</v>
      </c>
      <c r="B511" s="0" t="s">
        <v>47</v>
      </c>
      <c r="C511" s="17" t="n">
        <f aca="false">C510/C498</f>
        <v>0.0672351821833815</v>
      </c>
      <c r="D511" s="17" t="n">
        <f aca="false">D510/D498</f>
        <v>0.0679744801834201</v>
      </c>
      <c r="E511" s="17" t="n">
        <f aca="false">E510/E498</f>
        <v>0.0679798404871232</v>
      </c>
      <c r="F511" s="17" t="n">
        <f aca="false">F510/F498</f>
        <v>0.0710069227088016</v>
      </c>
      <c r="G511" s="17" t="n">
        <f aca="false">G510/G498</f>
        <v>0.0744759031730422</v>
      </c>
    </row>
    <row r="512" customFormat="false" ht="17.15" hidden="false" customHeight="false" outlineLevel="0" collapsed="false">
      <c r="A512" s="4" t="s">
        <v>218</v>
      </c>
      <c r="B512" s="0" t="s">
        <v>47</v>
      </c>
      <c r="C512" s="18" t="n">
        <f aca="false">a25_ni/a25_oi</f>
        <v>0.799743421258488</v>
      </c>
      <c r="D512" s="18" t="n">
        <f aca="false">a26_ni/a26_oi</f>
        <v>0.776911976251089</v>
      </c>
      <c r="E512" s="18" t="n">
        <f aca="false">nio_f</f>
        <v>0.78</v>
      </c>
      <c r="F512" s="18" t="n">
        <f aca="false">nio_f</f>
        <v>0.78</v>
      </c>
      <c r="G512" s="18" t="n">
        <f aca="false">nio_f</f>
        <v>0.78</v>
      </c>
    </row>
    <row r="513" customFormat="false" ht="15" hidden="false" customHeight="false" outlineLevel="0" collapsed="false">
      <c r="A513" s="4" t="s">
        <v>357</v>
      </c>
      <c r="B513" s="0" t="s">
        <v>184</v>
      </c>
      <c r="C513" s="22" t="n">
        <f aca="false">a25_ni</f>
        <v>51.118</v>
      </c>
      <c r="D513" s="22" t="n">
        <f aca="false">a26_ni</f>
        <v>77.0324485376</v>
      </c>
      <c r="E513" s="22" t="n">
        <f aca="false">E510*E512</f>
        <v>127.789394118913</v>
      </c>
      <c r="F513" s="22" t="n">
        <f aca="false">F510*F512</f>
        <v>153.173364398579</v>
      </c>
      <c r="G513" s="22" t="n">
        <f aca="false">G510*G512</f>
        <v>162.751248213408</v>
      </c>
      <c r="H513" s="25" t="n">
        <f aca="false">H498*H517</f>
        <v>167.540307297621</v>
      </c>
      <c r="I513" s="25" t="n">
        <f aca="false">I498*I517</f>
        <v>175.094711066594</v>
      </c>
      <c r="J513" s="25" t="n">
        <f aca="false">J498*J517</f>
        <v>185.732499771239</v>
      </c>
    </row>
    <row r="514" customFormat="false" ht="15" hidden="false" customHeight="false" outlineLevel="0" collapsed="false">
      <c r="A514" s="4" t="s">
        <v>465</v>
      </c>
      <c r="B514" s="4" t="s">
        <v>205</v>
      </c>
      <c r="C514" s="29" t="n">
        <f aca="false">a25_sh</f>
        <v>0.554331761662183</v>
      </c>
      <c r="D514" s="29" t="n">
        <f aca="false">a26_sh</f>
        <v>0.556054338618749</v>
      </c>
      <c r="E514" s="29" t="n">
        <f aca="false">D514*(1+sh_g)</f>
        <v>0.558834610311843</v>
      </c>
      <c r="F514" s="29" t="n">
        <f aca="false">E514*(1+sh_g)</f>
        <v>0.561628783363402</v>
      </c>
      <c r="G514" s="29" t="n">
        <f aca="false">F514*(1+sh_g)</f>
        <v>0.564436927280219</v>
      </c>
      <c r="H514" s="31" t="n">
        <f aca="false">G514*(1+sh_g)</f>
        <v>0.56725911191662</v>
      </c>
      <c r="I514" s="31" t="n">
        <f aca="false">H514*(1+sh_g)</f>
        <v>0.570095407476203</v>
      </c>
      <c r="J514" s="31" t="n">
        <f aca="false">I514*(1+sh_g)</f>
        <v>0.572945884513584</v>
      </c>
    </row>
    <row r="515" customFormat="false" ht="17.15" hidden="false" customHeight="false" outlineLevel="0" collapsed="false">
      <c r="A515" s="0" t="s">
        <v>363</v>
      </c>
      <c r="B515" s="0" t="s">
        <v>235</v>
      </c>
      <c r="C515" s="30" t="n">
        <f aca="false">C513/C514</f>
        <v>92.2155350556153</v>
      </c>
      <c r="D515" s="30" t="n">
        <f aca="false">D513/D514</f>
        <v>138.534030197391</v>
      </c>
      <c r="E515" s="30" t="n">
        <f aca="false">E513/E514</f>
        <v>228.671223580092</v>
      </c>
      <c r="F515" s="30" t="n">
        <f aca="false">F513/F514</f>
        <v>272.730616620601</v>
      </c>
      <c r="G515" s="30" t="n">
        <f aca="false">G513/G514</f>
        <v>288.342665667954</v>
      </c>
      <c r="H515" s="28" t="n">
        <f aca="false">H513/H514</f>
        <v>295.350579264467</v>
      </c>
      <c r="I515" s="28" t="n">
        <f aca="false">I513/I514</f>
        <v>307.132295349885</v>
      </c>
      <c r="J515" s="28" t="n">
        <f aca="false">J513/J514</f>
        <v>324.171103749041</v>
      </c>
    </row>
    <row r="516" customFormat="false" ht="17.15" hidden="false" customHeight="false" outlineLevel="0" collapsed="false">
      <c r="A516" s="0" t="s">
        <v>466</v>
      </c>
      <c r="B516" s="0" t="s">
        <v>47</v>
      </c>
      <c r="D516" s="18" t="n">
        <f aca="false">D515/C515-1</f>
        <v>0.502285163924287</v>
      </c>
      <c r="E516" s="18" t="n">
        <f aca="false">E515/D515-1</f>
        <v>0.650650192261557</v>
      </c>
      <c r="F516" s="18" t="n">
        <f aca="false">F515/E515-1</f>
        <v>0.192675721722713</v>
      </c>
      <c r="G516" s="18" t="n">
        <f aca="false">G515/F515-1</f>
        <v>0.0572434779813189</v>
      </c>
      <c r="H516" s="26" t="n">
        <f aca="false">H515/G515-1</f>
        <v>0.0243041160082167</v>
      </c>
      <c r="I516" s="26" t="n">
        <f aca="false">I515/H515-1</f>
        <v>0.0398906144513387</v>
      </c>
      <c r="J516" s="26" t="n">
        <f aca="false">J515/I515-1</f>
        <v>0.0554770978406716</v>
      </c>
    </row>
    <row r="517" customFormat="false" ht="17.15" hidden="false" customHeight="false" outlineLevel="0" collapsed="false">
      <c r="A517" s="4" t="s">
        <v>467</v>
      </c>
      <c r="B517" s="0" t="s">
        <v>47</v>
      </c>
      <c r="C517" s="17" t="n">
        <f aca="false">C513/C498</f>
        <v>0.0537708946282752</v>
      </c>
      <c r="D517" s="17" t="n">
        <f aca="false">D513/D498</f>
        <v>0.0528101877339414</v>
      </c>
      <c r="E517" s="17" t="n">
        <f aca="false">E513/E498</f>
        <v>0.0530242755799561</v>
      </c>
      <c r="F517" s="17" t="n">
        <f aca="false">F513/F498</f>
        <v>0.0553853997128652</v>
      </c>
      <c r="G517" s="17" t="n">
        <f aca="false">G513/G498</f>
        <v>0.0580912044749729</v>
      </c>
      <c r="H517" s="27" t="n">
        <f aca="false">$G517+(fade_mA-$G517)*1/3</f>
        <v>0.0581326113872737</v>
      </c>
      <c r="I517" s="27" t="n">
        <f aca="false">$G517+(fade_mA-$G517)*2/3</f>
        <v>0.0581740182995745</v>
      </c>
      <c r="J517" s="27" t="n">
        <f aca="false">$G517+(fade_mA-$G517)*3/3</f>
        <v>0.0582154252118753</v>
      </c>
    </row>
    <row r="520" customFormat="false" ht="17.15" hidden="false" customHeight="false" outlineLevel="0" collapsed="false">
      <c r="A520" s="1" t="s">
        <v>746</v>
      </c>
    </row>
    <row r="521" customFormat="false" ht="17.15" hidden="false" customHeight="false" outlineLevel="0" collapsed="false">
      <c r="A521" s="5" t="s">
        <v>16</v>
      </c>
      <c r="B521" s="5" t="s">
        <v>17</v>
      </c>
      <c r="C521" s="14" t="s">
        <v>336</v>
      </c>
      <c r="D521" s="14" t="s">
        <v>415</v>
      </c>
      <c r="E521" s="14" t="s">
        <v>416</v>
      </c>
      <c r="F521" s="14" t="s">
        <v>417</v>
      </c>
      <c r="G521" s="14" t="s">
        <v>418</v>
      </c>
      <c r="H521" s="14" t="s">
        <v>419</v>
      </c>
      <c r="I521" s="14" t="s">
        <v>420</v>
      </c>
      <c r="J521" s="14" t="s">
        <v>421</v>
      </c>
      <c r="K521" s="5" t="s">
        <v>387</v>
      </c>
    </row>
    <row r="522" customFormat="false" ht="17.15" hidden="false" customHeight="false" outlineLevel="0" collapsed="false">
      <c r="A522" s="6" t="s">
        <v>437</v>
      </c>
    </row>
    <row r="523" customFormat="false" ht="17.15" hidden="false" customHeight="false" outlineLevel="0" collapsed="false">
      <c r="A523" s="0" t="s">
        <v>438</v>
      </c>
      <c r="B523" s="0" t="s">
        <v>27</v>
      </c>
      <c r="D523" s="30" t="n">
        <f aca="false">itc_26</f>
        <v>781.872916666667</v>
      </c>
      <c r="E523" s="30" t="n">
        <f aca="false">itc_27*1</f>
        <v>1565.35</v>
      </c>
      <c r="F523" s="30" t="n">
        <f aca="false">itc_28*um28_A*1</f>
        <v>1984.26388888889</v>
      </c>
      <c r="G523" s="30" t="n">
        <f aca="false">itc_29*um29_A*1</f>
        <v>2260.39027777778</v>
      </c>
    </row>
    <row r="524" customFormat="false" ht="17.15" hidden="false" customHeight="false" outlineLevel="0" collapsed="false">
      <c r="A524" s="4" t="s">
        <v>439</v>
      </c>
      <c r="B524" s="0" t="s">
        <v>27</v>
      </c>
      <c r="D524" s="30" t="n">
        <f aca="false">itpg_gb*(1-vr26)+itpg_vr*vr26</f>
        <v>33.41403216</v>
      </c>
      <c r="E524" s="30" t="n">
        <f aca="false">itpg_vr</f>
        <v>37.586352</v>
      </c>
      <c r="F524" s="30" t="n">
        <f aca="false">itpg_vr</f>
        <v>37.586352</v>
      </c>
      <c r="G524" s="30" t="n">
        <f aca="false">itpg_vr</f>
        <v>37.586352</v>
      </c>
    </row>
    <row r="525" customFormat="false" ht="17.15" hidden="false" customHeight="false" outlineLevel="0" collapsed="false">
      <c r="A525" s="4" t="s">
        <v>440</v>
      </c>
      <c r="B525" s="0" t="s">
        <v>389</v>
      </c>
      <c r="D525" s="21" t="n">
        <f aca="false">D523/D524</f>
        <v>23.3995380420639</v>
      </c>
      <c r="E525" s="21" t="n">
        <f aca="false">E523/E524</f>
        <v>41.6467658260637</v>
      </c>
      <c r="F525" s="21" t="n">
        <f aca="false">F523/F524</f>
        <v>52.792138191248</v>
      </c>
      <c r="G525" s="21" t="n">
        <f aca="false">G523/G524</f>
        <v>60.1385917361116</v>
      </c>
    </row>
    <row r="526" customFormat="false" ht="17.15" hidden="false" customHeight="false" outlineLevel="0" collapsed="false">
      <c r="A526" s="4" t="s">
        <v>441</v>
      </c>
      <c r="B526" s="0" t="s">
        <v>408</v>
      </c>
      <c r="D526" s="19" t="n">
        <f aca="false">(racks_gb*odm_gb*(1-vr26)+racks_vr*odm_vr*vr26)/1000</f>
        <v>27.1209</v>
      </c>
      <c r="E526" s="19" t="n">
        <f aca="false">racks_vr*odm_vr/1000</f>
        <v>27.351</v>
      </c>
      <c r="F526" s="19" t="n">
        <f aca="false">$E526*vpg_28</f>
        <v>27.351</v>
      </c>
      <c r="G526" s="19" t="n">
        <f aca="false">$E526*vpg_29</f>
        <v>27.351</v>
      </c>
      <c r="K526" s="4" t="s">
        <v>442</v>
      </c>
    </row>
    <row r="527" customFormat="false" ht="17.15" hidden="false" customHeight="false" outlineLevel="0" collapsed="false">
      <c r="A527" s="0" t="s">
        <v>443</v>
      </c>
      <c r="B527" s="0" t="s">
        <v>27</v>
      </c>
      <c r="D527" s="22" t="n">
        <f aca="false">D525*D526</f>
        <v>634.616531285011</v>
      </c>
      <c r="E527" s="22" t="n">
        <f aca="false">E525*E526</f>
        <v>1139.08069210867</v>
      </c>
      <c r="F527" s="22" t="n">
        <f aca="false">F525*F526</f>
        <v>1443.91777166882</v>
      </c>
      <c r="G527" s="22" t="n">
        <f aca="false">G525*G526</f>
        <v>1644.85062257439</v>
      </c>
    </row>
    <row r="528" customFormat="false" ht="17.15" hidden="false" customHeight="false" outlineLevel="0" collapsed="false">
      <c r="A528" s="0" t="s">
        <v>444</v>
      </c>
      <c r="B528" s="0" t="s">
        <v>184</v>
      </c>
      <c r="D528" s="22" t="n">
        <f aca="false">D527*fx</f>
        <v>20307.7290011204</v>
      </c>
      <c r="E528" s="22" t="n">
        <f aca="false">E527*fx</f>
        <v>36450.5821474774</v>
      </c>
      <c r="F528" s="22" t="n">
        <f aca="false">F527*fx</f>
        <v>46205.3686934024</v>
      </c>
      <c r="G528" s="22" t="n">
        <f aca="false">G527*fx</f>
        <v>52635.2199223804</v>
      </c>
    </row>
    <row r="529" customFormat="false" ht="17.15" hidden="false" customHeight="false" outlineLevel="0" collapsed="false">
      <c r="A529" s="4" t="s">
        <v>445</v>
      </c>
      <c r="B529" s="0" t="s">
        <v>47</v>
      </c>
      <c r="D529" s="17" t="n">
        <f aca="false">a26_ai/D528</f>
        <v>0.0344775081035094</v>
      </c>
      <c r="K529" s="8" t="s">
        <v>446</v>
      </c>
    </row>
    <row r="530" customFormat="false" ht="17.15" hidden="false" customHeight="false" outlineLevel="0" collapsed="false">
      <c r="A530" s="4" t="s">
        <v>447</v>
      </c>
      <c r="B530" s="0" t="s">
        <v>59</v>
      </c>
      <c r="D530" s="19" t="n">
        <f aca="false">1</f>
        <v>1</v>
      </c>
      <c r="E530" s="19" t="n">
        <f aca="false">rel_27</f>
        <v>1</v>
      </c>
      <c r="F530" s="19" t="n">
        <f aca="false">rel_28</f>
        <v>1</v>
      </c>
      <c r="G530" s="19" t="n">
        <f aca="false">rel_29</f>
        <v>0.95</v>
      </c>
    </row>
    <row r="531" customFormat="false" ht="17.15" hidden="false" customHeight="false" outlineLevel="0" collapsed="false">
      <c r="A531" s="0" t="s">
        <v>448</v>
      </c>
      <c r="B531" s="0" t="s">
        <v>59</v>
      </c>
      <c r="D531" s="23" t="n">
        <f aca="false">1</f>
        <v>1</v>
      </c>
      <c r="E531" s="23" t="n">
        <f aca="false">asic_mix*((ua_27/ua_26)/(ut_27/ut_26))+(1-asic_mix)</f>
        <v>1.44683544303797</v>
      </c>
      <c r="F531" s="23" t="n">
        <f aca="false">asic_mix*((ua_28/ua_26)/(ut_28/ut_26))+(1-asic_mix)</f>
        <v>1.47660377358491</v>
      </c>
      <c r="G531" s="23" t="n">
        <f aca="false">asic_mix*((ua_29/ua_26)/(ut_29/ut_26))+(1-asic_mix)</f>
        <v>1.49144278606965</v>
      </c>
      <c r="K531" s="8" t="s">
        <v>449</v>
      </c>
    </row>
    <row r="532" customFormat="false" ht="15" hidden="false" customHeight="false" outlineLevel="0" collapsed="false">
      <c r="A532" s="4" t="s">
        <v>398</v>
      </c>
      <c r="B532" s="0" t="s">
        <v>47</v>
      </c>
      <c r="D532" s="17" t="n">
        <f aca="false">$D$529*D530*D531</f>
        <v>0.0344775081035094</v>
      </c>
      <c r="E532" s="17" t="n">
        <f aca="false">$D$529*E530*E531</f>
        <v>0.0498832807117864</v>
      </c>
      <c r="F532" s="17" t="n">
        <f aca="false">$D$529*F530*F531</f>
        <v>0.0509096185694461</v>
      </c>
      <c r="G532" s="17" t="n">
        <f aca="false">$D$529*G530*G531</f>
        <v>0.0488501692055052</v>
      </c>
    </row>
    <row r="533" customFormat="false" ht="17.15" hidden="false" customHeight="false" outlineLevel="0" collapsed="false">
      <c r="A533" s="0" t="s">
        <v>450</v>
      </c>
      <c r="B533" s="0" t="s">
        <v>184</v>
      </c>
      <c r="D533" s="22" t="n">
        <f aca="false">D528*D532</f>
        <v>700.1598912</v>
      </c>
      <c r="E533" s="22" t="n">
        <f aca="false">E528*E532</f>
        <v>1818.27462137064</v>
      </c>
      <c r="F533" s="22" t="n">
        <f aca="false">F528*F532</f>
        <v>2352.29769604174</v>
      </c>
      <c r="G533" s="22" t="n">
        <f aca="false">G528*G532</f>
        <v>2571.23939937726</v>
      </c>
    </row>
    <row r="534" customFormat="false" ht="17.15" hidden="false" customHeight="false" outlineLevel="0" collapsed="false">
      <c r="A534" s="4" t="s">
        <v>404</v>
      </c>
      <c r="B534" s="0" t="s">
        <v>47</v>
      </c>
      <c r="D534" s="18" t="n">
        <f aca="false">0</f>
        <v>0</v>
      </c>
      <c r="E534" s="18" t="n">
        <f aca="false">cs_27</f>
        <v>0.05</v>
      </c>
      <c r="F534" s="18" t="n">
        <f aca="false">cs_28</f>
        <v>0.1</v>
      </c>
      <c r="G534" s="18" t="n">
        <f aca="false">cs_29</f>
        <v>0.15</v>
      </c>
      <c r="K534" s="8" t="s">
        <v>451</v>
      </c>
    </row>
    <row r="535" customFormat="false" ht="17.15" hidden="false" customHeight="false" outlineLevel="0" collapsed="false">
      <c r="A535" s="0" t="s">
        <v>452</v>
      </c>
      <c r="B535" s="0" t="s">
        <v>184</v>
      </c>
      <c r="C535" s="22" t="n">
        <f aca="false">a25_ai</f>
        <v>475.3315</v>
      </c>
      <c r="D535" s="22" t="n">
        <f aca="false">D533*(1-D534)</f>
        <v>700.1598912</v>
      </c>
      <c r="E535" s="22" t="n">
        <f aca="false">E533*(1-E534)</f>
        <v>1727.36089030211</v>
      </c>
      <c r="F535" s="22" t="n">
        <f aca="false">F533*(1-F534)</f>
        <v>2117.06792643757</v>
      </c>
      <c r="G535" s="22" t="n">
        <f aca="false">G533*(1-G534)</f>
        <v>2185.55348947067</v>
      </c>
    </row>
    <row r="536" customFormat="false" ht="17.15" hidden="false" customHeight="false" outlineLevel="0" collapsed="false">
      <c r="A536" s="6" t="s">
        <v>453</v>
      </c>
    </row>
    <row r="537" customFormat="false" ht="17.15" hidden="false" customHeight="false" outlineLevel="0" collapsed="false">
      <c r="A537" s="4" t="s">
        <v>373</v>
      </c>
      <c r="B537" s="0" t="s">
        <v>184</v>
      </c>
      <c r="C537" s="22" t="n">
        <f aca="false">a25_nai</f>
        <v>475.3315</v>
      </c>
      <c r="D537" s="22" t="n">
        <f aca="false">a26_nai</f>
        <v>758.5065488</v>
      </c>
      <c r="E537" s="22" t="n">
        <f aca="false">D537*(1+g_nai27_hi)</f>
        <v>872.28253112</v>
      </c>
      <c r="F537" s="22" t="n">
        <f aca="false">E537*(1+g_nai28_hi)</f>
        <v>959.510784232</v>
      </c>
      <c r="G537" s="22" t="n">
        <f aca="false">F537*(1+g_nai29_hi)</f>
        <v>1036.27164697056</v>
      </c>
    </row>
    <row r="538" customFormat="false" ht="17.15" hidden="false" customHeight="false" outlineLevel="0" collapsed="false">
      <c r="A538" s="4" t="s">
        <v>342</v>
      </c>
      <c r="B538" s="0" t="s">
        <v>184</v>
      </c>
      <c r="C538" s="22" t="n">
        <f aca="false">C535+C537</f>
        <v>950.663</v>
      </c>
      <c r="D538" s="22" t="n">
        <f aca="false">D535+D537</f>
        <v>1458.66644</v>
      </c>
      <c r="E538" s="22" t="n">
        <f aca="false">E535+E537</f>
        <v>2599.64342142211</v>
      </c>
      <c r="F538" s="22" t="n">
        <f aca="false">F535+F537</f>
        <v>3076.57871066957</v>
      </c>
      <c r="G538" s="22" t="n">
        <f aca="false">G535+G537</f>
        <v>3221.82513644123</v>
      </c>
      <c r="H538" s="25" t="n">
        <f aca="false">G538*(1+H539)</f>
        <v>3387.66401489053</v>
      </c>
      <c r="I538" s="25" t="n">
        <f aca="false">H538*(1+I539)</f>
        <v>3576.48153506729</v>
      </c>
      <c r="J538" s="25" t="n">
        <f aca="false">I538*(1+J539)</f>
        <v>3791.07042717133</v>
      </c>
      <c r="K538" s="8" t="s">
        <v>454</v>
      </c>
    </row>
    <row r="539" customFormat="false" ht="15" hidden="false" customHeight="false" outlineLevel="0" collapsed="false">
      <c r="A539" s="4" t="s">
        <v>455</v>
      </c>
      <c r="B539" s="0" t="s">
        <v>47</v>
      </c>
      <c r="D539" s="18" t="n">
        <f aca="false">D538/C538-1</f>
        <v>0.534367530870561</v>
      </c>
      <c r="E539" s="18" t="n">
        <f aca="false">E538/D538-1</f>
        <v>0.78220554756995</v>
      </c>
      <c r="F539" s="18" t="n">
        <f aca="false">F538/E538-1</f>
        <v>0.183461810691927</v>
      </c>
      <c r="G539" s="18" t="n">
        <f aca="false">G538/F538-1</f>
        <v>0.0472103721149566</v>
      </c>
      <c r="H539" s="26" t="n">
        <f aca="false">$G539+(fade_gA-$G539)*1/3</f>
        <v>0.0514735814099711</v>
      </c>
      <c r="I539" s="26" t="n">
        <f aca="false">$G539+(fade_gA-$G539)*2/3</f>
        <v>0.0557367907049855</v>
      </c>
      <c r="J539" s="26" t="n">
        <f aca="false">$G539+(fade_gA-$G539)*3/3</f>
        <v>0.06</v>
      </c>
    </row>
    <row r="540" customFormat="false" ht="17.15" hidden="false" customHeight="false" outlineLevel="0" collapsed="false">
      <c r="A540" s="0" t="s">
        <v>456</v>
      </c>
      <c r="B540" s="0" t="s">
        <v>47</v>
      </c>
      <c r="C540" s="18" t="n">
        <f aca="false">C535/C538</f>
        <v>0.5</v>
      </c>
      <c r="D540" s="18" t="n">
        <f aca="false">D535/D538</f>
        <v>0.48</v>
      </c>
      <c r="E540" s="18" t="n">
        <f aca="false">E535/E538</f>
        <v>0.664460701059214</v>
      </c>
      <c r="F540" s="18" t="n">
        <f aca="false">F535/F538</f>
        <v>0.688124090274558</v>
      </c>
      <c r="G540" s="18" t="n">
        <f aca="false">G535/G538</f>
        <v>0.678358817413906</v>
      </c>
    </row>
    <row r="541" customFormat="false" ht="17.15" hidden="false" customHeight="false" outlineLevel="0" collapsed="false">
      <c r="A541" s="4" t="s">
        <v>407</v>
      </c>
      <c r="B541" s="0" t="s">
        <v>408</v>
      </c>
      <c r="D541" s="23" t="n">
        <f aca="false">D535/fx/D525</f>
        <v>0.935061049524468</v>
      </c>
      <c r="E541" s="23" t="n">
        <f aca="false">E535/fx/E525</f>
        <v>1.29613973021067</v>
      </c>
      <c r="F541" s="23" t="n">
        <f aca="false">F535/fx/F525</f>
        <v>1.25318607974363</v>
      </c>
      <c r="G541" s="23" t="n">
        <f aca="false">G535/fx/G525</f>
        <v>1.13568583124881</v>
      </c>
    </row>
    <row r="542" customFormat="false" ht="17.15" hidden="false" customHeight="false" outlineLevel="0" collapsed="false">
      <c r="A542" s="6" t="s">
        <v>457</v>
      </c>
    </row>
    <row r="543" customFormat="false" ht="17.15" hidden="false" customHeight="false" outlineLevel="0" collapsed="false">
      <c r="A543" s="4" t="s">
        <v>458</v>
      </c>
      <c r="B543" s="0" t="s">
        <v>47</v>
      </c>
      <c r="D543" s="17" t="n">
        <f aca="false">a26_gp/D538-d_ai*D540</f>
        <v>0.0882120920201606</v>
      </c>
      <c r="K543" s="8" t="s">
        <v>459</v>
      </c>
    </row>
    <row r="544" customFormat="false" ht="17.15" hidden="false" customHeight="false" outlineLevel="0" collapsed="false">
      <c r="A544" s="0" t="s">
        <v>460</v>
      </c>
      <c r="B544" s="0" t="s">
        <v>184</v>
      </c>
      <c r="D544" s="30" t="n">
        <f aca="false">($D$543+d_ai)*D533*(1-D534*(1-keep))</f>
        <v>54.76096983936</v>
      </c>
      <c r="E544" s="30" t="n">
        <f aca="false">($D$543+d_ai+vrd)*E533*(1-E534*(1-keep))</f>
        <v>137.881640198013</v>
      </c>
      <c r="F544" s="30" t="n">
        <f aca="false">($D$543+d_ai+vrd)*F533*(1-F534*(1-keep))</f>
        <v>177.480793184849</v>
      </c>
      <c r="G544" s="30" t="n">
        <f aca="false">($D$543+d_ai+vrd)*G533*(1-G534*(1-keep))</f>
        <v>193.020140705534</v>
      </c>
      <c r="K544" s="4" t="s">
        <v>461</v>
      </c>
    </row>
    <row r="545" customFormat="false" ht="15" hidden="false" customHeight="false" outlineLevel="0" collapsed="false">
      <c r="A545" s="4" t="s">
        <v>346</v>
      </c>
      <c r="B545" s="0" t="s">
        <v>184</v>
      </c>
      <c r="C545" s="22" t="n">
        <f aca="false">a25_gp</f>
        <v>78.454</v>
      </c>
      <c r="D545" s="22" t="n">
        <f aca="false">a26_gp</f>
        <v>121.67041932</v>
      </c>
      <c r="E545" s="22" t="n">
        <f aca="false">$D$543*E537+E544</f>
        <v>214.827507100749</v>
      </c>
      <c r="F545" s="22" t="n">
        <f aca="false">$D$543*F537+F544</f>
        <v>262.121246777859</v>
      </c>
      <c r="G545" s="22" t="n">
        <f aca="false">$D$543*G537+G544</f>
        <v>284.431830585984</v>
      </c>
    </row>
    <row r="546" customFormat="false" ht="15" hidden="false" customHeight="false" outlineLevel="0" collapsed="false">
      <c r="A546" s="4" t="s">
        <v>349</v>
      </c>
      <c r="B546" s="0" t="s">
        <v>47</v>
      </c>
      <c r="C546" s="17" t="n">
        <f aca="false">C545/C538</f>
        <v>0.0825255637381491</v>
      </c>
      <c r="D546" s="17" t="n">
        <f aca="false">D545/D538</f>
        <v>0.0834120920201606</v>
      </c>
      <c r="E546" s="17" t="n">
        <f aca="false">E545/E538</f>
        <v>0.0826372976118508</v>
      </c>
      <c r="F546" s="17" t="n">
        <f aca="false">F545/F538</f>
        <v>0.0851989405857953</v>
      </c>
      <c r="G546" s="17" t="n">
        <f aca="false">G545/G538</f>
        <v>0.0882828268265865</v>
      </c>
    </row>
    <row r="547" customFormat="false" ht="17.15" hidden="false" customHeight="false" outlineLevel="0" collapsed="false">
      <c r="A547" s="0" t="s">
        <v>462</v>
      </c>
      <c r="B547" s="0" t="s">
        <v>47</v>
      </c>
      <c r="D547" s="17" t="n">
        <f aca="false">D544/D535</f>
        <v>0.0782120920201606</v>
      </c>
      <c r="E547" s="17" t="n">
        <f aca="false">E544/E535</f>
        <v>0.0798221384842734</v>
      </c>
      <c r="F547" s="17" t="n">
        <f aca="false">F544/F535</f>
        <v>0.0838333012221766</v>
      </c>
      <c r="G547" s="17" t="n">
        <f aca="false">G544/G535</f>
        <v>0.0883163654586567</v>
      </c>
      <c r="K547" s="4" t="s">
        <v>463</v>
      </c>
    </row>
    <row r="548" customFormat="false" ht="15" hidden="false" customHeight="false" outlineLevel="0" collapsed="false">
      <c r="A548" s="4" t="s">
        <v>464</v>
      </c>
      <c r="B548" s="0" t="s">
        <v>184</v>
      </c>
      <c r="C548" s="22" t="n">
        <f aca="false">a25_opx</f>
        <v>14.536</v>
      </c>
      <c r="D548" s="22" t="n">
        <f aca="false">a26_opx</f>
        <v>22.5183263</v>
      </c>
      <c r="E548" s="22" t="n">
        <f aca="false">D548*(1+MAX(0,phi*E539))</f>
        <v>36.6094941030802</v>
      </c>
      <c r="F548" s="22" t="n">
        <f aca="false">E548*(1+MAX(0,phi*F539))</f>
        <v>41.9826493644135</v>
      </c>
      <c r="G548" s="22" t="n">
        <f aca="false">F548*(1+MAX(0,phi*G539))</f>
        <v>43.568262563506</v>
      </c>
    </row>
    <row r="549" customFormat="false" ht="15" hidden="false" customHeight="false" outlineLevel="0" collapsed="false">
      <c r="A549" s="4" t="s">
        <v>350</v>
      </c>
      <c r="B549" s="0" t="s">
        <v>184</v>
      </c>
      <c r="C549" s="22" t="n">
        <f aca="false">C548</f>
        <v>14.536</v>
      </c>
      <c r="D549" s="22" t="n">
        <f aca="false">D548</f>
        <v>22.5183263</v>
      </c>
      <c r="E549" s="22" t="n">
        <f aca="false">E548+0*E538</f>
        <v>36.6094941030802</v>
      </c>
      <c r="F549" s="22" t="n">
        <f aca="false">F548+0*F538</f>
        <v>41.9826493644135</v>
      </c>
      <c r="G549" s="22" t="n">
        <f aca="false">G548+0*G538</f>
        <v>43.568262563506</v>
      </c>
    </row>
    <row r="550" customFormat="false" ht="15" hidden="false" customHeight="false" outlineLevel="0" collapsed="false">
      <c r="A550" s="4" t="s">
        <v>353</v>
      </c>
      <c r="B550" s="0" t="s">
        <v>184</v>
      </c>
      <c r="C550" s="22" t="n">
        <f aca="false">C545-C549</f>
        <v>63.918</v>
      </c>
      <c r="D550" s="22" t="n">
        <f aca="false">D545-D549</f>
        <v>99.15209302</v>
      </c>
      <c r="E550" s="22" t="n">
        <f aca="false">E545-E549</f>
        <v>178.218012997669</v>
      </c>
      <c r="F550" s="22" t="n">
        <f aca="false">F545-F549</f>
        <v>220.138597413446</v>
      </c>
      <c r="G550" s="22" t="n">
        <f aca="false">G545-G549</f>
        <v>240.863568022478</v>
      </c>
    </row>
    <row r="551" customFormat="false" ht="15" hidden="false" customHeight="false" outlineLevel="0" collapsed="false">
      <c r="A551" s="4" t="s">
        <v>356</v>
      </c>
      <c r="B551" s="0" t="s">
        <v>47</v>
      </c>
      <c r="C551" s="17" t="n">
        <f aca="false">C550/C538</f>
        <v>0.0672351821833815</v>
      </c>
      <c r="D551" s="17" t="n">
        <f aca="false">D550/D538</f>
        <v>0.0679744801834201</v>
      </c>
      <c r="E551" s="17" t="n">
        <f aca="false">E550/E538</f>
        <v>0.0685547916029869</v>
      </c>
      <c r="F551" s="17" t="n">
        <f aca="false">F550/F538</f>
        <v>0.0715530523077487</v>
      </c>
      <c r="G551" s="17" t="n">
        <f aca="false">G550/G538</f>
        <v>0.0747599754245297</v>
      </c>
    </row>
    <row r="552" customFormat="false" ht="17.15" hidden="false" customHeight="false" outlineLevel="0" collapsed="false">
      <c r="A552" s="4" t="s">
        <v>218</v>
      </c>
      <c r="B552" s="0" t="s">
        <v>47</v>
      </c>
      <c r="C552" s="18" t="n">
        <f aca="false">a25_ni/a25_oi</f>
        <v>0.799743421258488</v>
      </c>
      <c r="D552" s="18" t="n">
        <f aca="false">a26_ni/a26_oi</f>
        <v>0.776911976251089</v>
      </c>
      <c r="E552" s="18" t="n">
        <f aca="false">nio_f</f>
        <v>0.78</v>
      </c>
      <c r="F552" s="18" t="n">
        <f aca="false">nio_f</f>
        <v>0.78</v>
      </c>
      <c r="G552" s="18" t="n">
        <f aca="false">nio_f</f>
        <v>0.78</v>
      </c>
    </row>
    <row r="553" customFormat="false" ht="15" hidden="false" customHeight="false" outlineLevel="0" collapsed="false">
      <c r="A553" s="4" t="s">
        <v>357</v>
      </c>
      <c r="B553" s="0" t="s">
        <v>184</v>
      </c>
      <c r="C553" s="22" t="n">
        <f aca="false">a25_ni</f>
        <v>51.118</v>
      </c>
      <c r="D553" s="22" t="n">
        <f aca="false">a26_ni</f>
        <v>77.0324485376</v>
      </c>
      <c r="E553" s="22" t="n">
        <f aca="false">E550*E552</f>
        <v>139.010050138182</v>
      </c>
      <c r="F553" s="22" t="n">
        <f aca="false">F550*F552</f>
        <v>171.708105982488</v>
      </c>
      <c r="G553" s="22" t="n">
        <f aca="false">G550*G552</f>
        <v>187.873583057533</v>
      </c>
      <c r="H553" s="25" t="n">
        <f aca="false">H538*H557</f>
        <v>197.434173187159</v>
      </c>
      <c r="I553" s="25" t="n">
        <f aca="false">I538*I557</f>
        <v>208.322456851233</v>
      </c>
      <c r="J553" s="25" t="n">
        <f aca="false">J538*J557</f>
        <v>220.698776925945</v>
      </c>
    </row>
    <row r="554" customFormat="false" ht="15" hidden="false" customHeight="false" outlineLevel="0" collapsed="false">
      <c r="A554" s="4" t="s">
        <v>465</v>
      </c>
      <c r="B554" s="4" t="s">
        <v>205</v>
      </c>
      <c r="C554" s="29" t="n">
        <f aca="false">a25_sh</f>
        <v>0.554331761662183</v>
      </c>
      <c r="D554" s="29" t="n">
        <f aca="false">a26_sh</f>
        <v>0.556054338618749</v>
      </c>
      <c r="E554" s="29" t="n">
        <f aca="false">D554*(1+sh_g)</f>
        <v>0.558834610311843</v>
      </c>
      <c r="F554" s="29" t="n">
        <f aca="false">E554*(1+sh_g)</f>
        <v>0.561628783363402</v>
      </c>
      <c r="G554" s="29" t="n">
        <f aca="false">F554*(1+sh_g)</f>
        <v>0.564436927280219</v>
      </c>
      <c r="H554" s="31" t="n">
        <f aca="false">G554*(1+sh_g)</f>
        <v>0.56725911191662</v>
      </c>
      <c r="I554" s="31" t="n">
        <f aca="false">H554*(1+sh_g)</f>
        <v>0.570095407476203</v>
      </c>
      <c r="J554" s="31" t="n">
        <f aca="false">I554*(1+sh_g)</f>
        <v>0.572945884513584</v>
      </c>
    </row>
    <row r="555" customFormat="false" ht="17.15" hidden="false" customHeight="false" outlineLevel="0" collapsed="false">
      <c r="A555" s="0" t="s">
        <v>363</v>
      </c>
      <c r="B555" s="0" t="s">
        <v>235</v>
      </c>
      <c r="C555" s="30" t="n">
        <f aca="false">C553/C554</f>
        <v>92.2155350556153</v>
      </c>
      <c r="D555" s="30" t="n">
        <f aca="false">D553/D554</f>
        <v>138.534030197391</v>
      </c>
      <c r="E555" s="30" t="n">
        <f aca="false">E553/E554</f>
        <v>248.749894106613</v>
      </c>
      <c r="F555" s="30" t="n">
        <f aca="false">F553/F554</f>
        <v>305.732382436289</v>
      </c>
      <c r="G555" s="30" t="n">
        <f aca="false">G553/G554</f>
        <v>332.851331968686</v>
      </c>
      <c r="H555" s="28" t="n">
        <f aca="false">H553/H554</f>
        <v>348.049364108195</v>
      </c>
      <c r="I555" s="28" t="n">
        <f aca="false">I553/I554</f>
        <v>365.41683044505</v>
      </c>
      <c r="J555" s="28" t="n">
        <f aca="false">J553/J554</f>
        <v>385.200038766859</v>
      </c>
    </row>
    <row r="556" customFormat="false" ht="17.15" hidden="false" customHeight="false" outlineLevel="0" collapsed="false">
      <c r="A556" s="0" t="s">
        <v>466</v>
      </c>
      <c r="B556" s="0" t="s">
        <v>47</v>
      </c>
      <c r="D556" s="18" t="n">
        <f aca="false">D555/C555-1</f>
        <v>0.502285163924287</v>
      </c>
      <c r="E556" s="18" t="n">
        <f aca="false">E555/D555-1</f>
        <v>0.795586930894749</v>
      </c>
      <c r="F556" s="18" t="n">
        <f aca="false">F555/E555-1</f>
        <v>0.229075427486427</v>
      </c>
      <c r="G556" s="18" t="n">
        <f aca="false">G555/F555-1</f>
        <v>0.0887015935842119</v>
      </c>
      <c r="H556" s="26" t="n">
        <f aca="false">H555/G555-1</f>
        <v>0.0456601211406265</v>
      </c>
      <c r="I556" s="26" t="n">
        <f aca="false">I555/H555-1</f>
        <v>0.0498994341832959</v>
      </c>
      <c r="J556" s="26" t="n">
        <f aca="false">J555/I555-1</f>
        <v>0.0541387442327563</v>
      </c>
    </row>
    <row r="557" customFormat="false" ht="17.15" hidden="false" customHeight="false" outlineLevel="0" collapsed="false">
      <c r="A557" s="4" t="s">
        <v>467</v>
      </c>
      <c r="B557" s="0" t="s">
        <v>47</v>
      </c>
      <c r="C557" s="17" t="n">
        <f aca="false">C553/C538</f>
        <v>0.0537708946282752</v>
      </c>
      <c r="D557" s="17" t="n">
        <f aca="false">D553/D538</f>
        <v>0.0528101877339414</v>
      </c>
      <c r="E557" s="17" t="n">
        <f aca="false">E553/E538</f>
        <v>0.0534727374503298</v>
      </c>
      <c r="F557" s="17" t="n">
        <f aca="false">F553/F538</f>
        <v>0.055811380800044</v>
      </c>
      <c r="G557" s="17" t="n">
        <f aca="false">G553/G538</f>
        <v>0.0583127808311332</v>
      </c>
      <c r="H557" s="27" t="n">
        <f aca="false">$G557+(fade_mA-$G557)*1/3</f>
        <v>0.0582803289580472</v>
      </c>
      <c r="I557" s="27" t="n">
        <f aca="false">$G557+(fade_mA-$G557)*2/3</f>
        <v>0.0582478770849613</v>
      </c>
      <c r="J557" s="27" t="n">
        <f aca="false">$G557+(fade_mA-$G557)*3/3</f>
        <v>0.0582154252118753</v>
      </c>
    </row>
    <row r="560" customFormat="false" ht="17.15" hidden="false" customHeight="false" outlineLevel="0" collapsed="false">
      <c r="A560" s="1" t="s">
        <v>747</v>
      </c>
    </row>
    <row r="561" customFormat="false" ht="17.15" hidden="false" customHeight="false" outlineLevel="0" collapsed="false">
      <c r="A561" s="5" t="s">
        <v>16</v>
      </c>
      <c r="B561" s="5" t="s">
        <v>17</v>
      </c>
      <c r="C561" s="14" t="s">
        <v>336</v>
      </c>
      <c r="D561" s="14" t="s">
        <v>415</v>
      </c>
      <c r="E561" s="14" t="s">
        <v>416</v>
      </c>
      <c r="F561" s="14" t="s">
        <v>417</v>
      </c>
      <c r="G561" s="14" t="s">
        <v>418</v>
      </c>
      <c r="H561" s="14" t="s">
        <v>419</v>
      </c>
      <c r="I561" s="14" t="s">
        <v>420</v>
      </c>
      <c r="J561" s="14" t="s">
        <v>421</v>
      </c>
      <c r="K561" s="5" t="s">
        <v>387</v>
      </c>
    </row>
    <row r="562" customFormat="false" ht="17.15" hidden="false" customHeight="false" outlineLevel="0" collapsed="false">
      <c r="A562" s="6" t="s">
        <v>437</v>
      </c>
    </row>
    <row r="563" customFormat="false" ht="17.15" hidden="false" customHeight="false" outlineLevel="0" collapsed="false">
      <c r="A563" s="0" t="s">
        <v>438</v>
      </c>
      <c r="B563" s="0" t="s">
        <v>27</v>
      </c>
      <c r="D563" s="30" t="n">
        <f aca="false">itc_26</f>
        <v>781.872916666667</v>
      </c>
      <c r="E563" s="30" t="n">
        <f aca="false">itc_27*1</f>
        <v>1565.35</v>
      </c>
      <c r="F563" s="30" t="n">
        <f aca="false">itc_28*um28_A*1</f>
        <v>1984.26388888889</v>
      </c>
      <c r="G563" s="30" t="n">
        <f aca="false">itc_29*um29_A*1</f>
        <v>2260.39027777778</v>
      </c>
    </row>
    <row r="564" customFormat="false" ht="17.15" hidden="false" customHeight="false" outlineLevel="0" collapsed="false">
      <c r="A564" s="4" t="s">
        <v>439</v>
      </c>
      <c r="B564" s="0" t="s">
        <v>27</v>
      </c>
      <c r="D564" s="30" t="n">
        <f aca="false">itpg_gb*(1-vr26)+itpg_vr*vr26</f>
        <v>33.41403216</v>
      </c>
      <c r="E564" s="30" t="n">
        <f aca="false">itpg_vr</f>
        <v>37.586352</v>
      </c>
      <c r="F564" s="30" t="n">
        <f aca="false">itpg_vr</f>
        <v>37.586352</v>
      </c>
      <c r="G564" s="30" t="n">
        <f aca="false">itpg_vr</f>
        <v>37.586352</v>
      </c>
    </row>
    <row r="565" customFormat="false" ht="17.15" hidden="false" customHeight="false" outlineLevel="0" collapsed="false">
      <c r="A565" s="4" t="s">
        <v>440</v>
      </c>
      <c r="B565" s="0" t="s">
        <v>389</v>
      </c>
      <c r="D565" s="21" t="n">
        <f aca="false">D563/D564</f>
        <v>23.3995380420639</v>
      </c>
      <c r="E565" s="21" t="n">
        <f aca="false">E563/E564</f>
        <v>41.6467658260637</v>
      </c>
      <c r="F565" s="21" t="n">
        <f aca="false">F563/F564</f>
        <v>52.792138191248</v>
      </c>
      <c r="G565" s="21" t="n">
        <f aca="false">G563/G564</f>
        <v>60.1385917361116</v>
      </c>
    </row>
    <row r="566" customFormat="false" ht="17.15" hidden="false" customHeight="false" outlineLevel="0" collapsed="false">
      <c r="A566" s="4" t="s">
        <v>441</v>
      </c>
      <c r="B566" s="0" t="s">
        <v>408</v>
      </c>
      <c r="D566" s="19" t="n">
        <f aca="false">(racks_gb*odm_gb*(1-vr26)+racks_vr*odm_vr*vr26)/1000</f>
        <v>27.1209</v>
      </c>
      <c r="E566" s="19" t="n">
        <f aca="false">racks_vr*odm_vr/1000</f>
        <v>27.351</v>
      </c>
      <c r="F566" s="19" t="n">
        <f aca="false">$E566*vpg_28</f>
        <v>27.351</v>
      </c>
      <c r="G566" s="19" t="n">
        <f aca="false">$E566*vpg_29</f>
        <v>27.351</v>
      </c>
      <c r="K566" s="4" t="s">
        <v>442</v>
      </c>
    </row>
    <row r="567" customFormat="false" ht="17.15" hidden="false" customHeight="false" outlineLevel="0" collapsed="false">
      <c r="A567" s="0" t="s">
        <v>443</v>
      </c>
      <c r="B567" s="0" t="s">
        <v>27</v>
      </c>
      <c r="D567" s="22" t="n">
        <f aca="false">D565*D566</f>
        <v>634.616531285011</v>
      </c>
      <c r="E567" s="22" t="n">
        <f aca="false">E565*E566</f>
        <v>1139.08069210867</v>
      </c>
      <c r="F567" s="22" t="n">
        <f aca="false">F565*F566</f>
        <v>1443.91777166882</v>
      </c>
      <c r="G567" s="22" t="n">
        <f aca="false">G565*G566</f>
        <v>1644.85062257439</v>
      </c>
    </row>
    <row r="568" customFormat="false" ht="17.15" hidden="false" customHeight="false" outlineLevel="0" collapsed="false">
      <c r="A568" s="0" t="s">
        <v>444</v>
      </c>
      <c r="B568" s="0" t="s">
        <v>184</v>
      </c>
      <c r="D568" s="22" t="n">
        <f aca="false">D567*fx</f>
        <v>20307.7290011204</v>
      </c>
      <c r="E568" s="22" t="n">
        <f aca="false">E567*fx</f>
        <v>36450.5821474774</v>
      </c>
      <c r="F568" s="22" t="n">
        <f aca="false">F567*fx</f>
        <v>46205.3686934024</v>
      </c>
      <c r="G568" s="22" t="n">
        <f aca="false">G567*fx</f>
        <v>52635.2199223804</v>
      </c>
    </row>
    <row r="569" customFormat="false" ht="17.15" hidden="false" customHeight="false" outlineLevel="0" collapsed="false">
      <c r="A569" s="4" t="s">
        <v>445</v>
      </c>
      <c r="B569" s="0" t="s">
        <v>47</v>
      </c>
      <c r="D569" s="17" t="n">
        <f aca="false">a26_ai/D568</f>
        <v>0.0344775081035094</v>
      </c>
      <c r="K569" s="8" t="s">
        <v>446</v>
      </c>
    </row>
    <row r="570" customFormat="false" ht="17.15" hidden="false" customHeight="false" outlineLevel="0" collapsed="false">
      <c r="A570" s="4" t="s">
        <v>447</v>
      </c>
      <c r="B570" s="0" t="s">
        <v>59</v>
      </c>
      <c r="D570" s="19" t="n">
        <f aca="false">1</f>
        <v>1</v>
      </c>
      <c r="E570" s="19" t="n">
        <f aca="false">rel_27</f>
        <v>1</v>
      </c>
      <c r="F570" s="19" t="n">
        <f aca="false">rel_28</f>
        <v>1</v>
      </c>
      <c r="G570" s="19" t="n">
        <f aca="false">rel_29</f>
        <v>0.95</v>
      </c>
    </row>
    <row r="571" customFormat="false" ht="17.15" hidden="false" customHeight="false" outlineLevel="0" collapsed="false">
      <c r="A571" s="0" t="s">
        <v>448</v>
      </c>
      <c r="B571" s="0" t="s">
        <v>59</v>
      </c>
      <c r="D571" s="23" t="n">
        <f aca="false">1</f>
        <v>1</v>
      </c>
      <c r="E571" s="23" t="n">
        <f aca="false">asic_mix*((ua_27/ua_26)/(ut_27/ut_26))+(1-asic_mix)</f>
        <v>1.44683544303797</v>
      </c>
      <c r="F571" s="23" t="n">
        <f aca="false">asic_mix*((ua_28/ua_26)/(ut_28/ut_26))+(1-asic_mix)</f>
        <v>1.47660377358491</v>
      </c>
      <c r="G571" s="23" t="n">
        <f aca="false">asic_mix*((ua_29/ua_26)/(ut_29/ut_26))+(1-asic_mix)</f>
        <v>1.49144278606965</v>
      </c>
      <c r="K571" s="8" t="s">
        <v>449</v>
      </c>
    </row>
    <row r="572" customFormat="false" ht="15" hidden="false" customHeight="false" outlineLevel="0" collapsed="false">
      <c r="A572" s="4" t="s">
        <v>398</v>
      </c>
      <c r="B572" s="0" t="s">
        <v>47</v>
      </c>
      <c r="D572" s="17" t="n">
        <f aca="false">$D$569*D570*D571</f>
        <v>0.0344775081035094</v>
      </c>
      <c r="E572" s="17" t="n">
        <f aca="false">$D$569*E570*E571</f>
        <v>0.0498832807117864</v>
      </c>
      <c r="F572" s="17" t="n">
        <f aca="false">$D$569*F570*F571</f>
        <v>0.0509096185694461</v>
      </c>
      <c r="G572" s="17" t="n">
        <f aca="false">$D$569*G570*G571</f>
        <v>0.0488501692055052</v>
      </c>
    </row>
    <row r="573" customFormat="false" ht="17.15" hidden="false" customHeight="false" outlineLevel="0" collapsed="false">
      <c r="A573" s="0" t="s">
        <v>450</v>
      </c>
      <c r="B573" s="0" t="s">
        <v>184</v>
      </c>
      <c r="D573" s="22" t="n">
        <f aca="false">D568*D572</f>
        <v>700.1598912</v>
      </c>
      <c r="E573" s="22" t="n">
        <f aca="false">E568*E572</f>
        <v>1818.27462137064</v>
      </c>
      <c r="F573" s="22" t="n">
        <f aca="false">F568*F572</f>
        <v>2352.29769604174</v>
      </c>
      <c r="G573" s="22" t="n">
        <f aca="false">G568*G572</f>
        <v>2571.23939937726</v>
      </c>
    </row>
    <row r="574" customFormat="false" ht="17.15" hidden="false" customHeight="false" outlineLevel="0" collapsed="false">
      <c r="A574" s="4" t="s">
        <v>404</v>
      </c>
      <c r="B574" s="0" t="s">
        <v>47</v>
      </c>
      <c r="D574" s="18" t="n">
        <f aca="false">0</f>
        <v>0</v>
      </c>
      <c r="E574" s="18" t="n">
        <f aca="false">cs_27</f>
        <v>0.05</v>
      </c>
      <c r="F574" s="18" t="n">
        <f aca="false">cs_28</f>
        <v>0.1</v>
      </c>
      <c r="G574" s="18" t="n">
        <f aca="false">cs_29</f>
        <v>0.15</v>
      </c>
      <c r="K574" s="8" t="s">
        <v>451</v>
      </c>
    </row>
    <row r="575" customFormat="false" ht="17.15" hidden="false" customHeight="false" outlineLevel="0" collapsed="false">
      <c r="A575" s="0" t="s">
        <v>452</v>
      </c>
      <c r="B575" s="0" t="s">
        <v>184</v>
      </c>
      <c r="C575" s="22" t="n">
        <f aca="false">a25_ai</f>
        <v>475.3315</v>
      </c>
      <c r="D575" s="22" t="n">
        <f aca="false">D573*(1-D574)</f>
        <v>700.1598912</v>
      </c>
      <c r="E575" s="22" t="n">
        <f aca="false">E573*(1-E574)</f>
        <v>1727.36089030211</v>
      </c>
      <c r="F575" s="22" t="n">
        <f aca="false">F573*(1-F574)</f>
        <v>2117.06792643757</v>
      </c>
      <c r="G575" s="22" t="n">
        <f aca="false">G573*(1-G574)</f>
        <v>2185.55348947067</v>
      </c>
    </row>
    <row r="576" customFormat="false" ht="17.15" hidden="false" customHeight="false" outlineLevel="0" collapsed="false">
      <c r="A576" s="6" t="s">
        <v>453</v>
      </c>
    </row>
    <row r="577" customFormat="false" ht="17.15" hidden="false" customHeight="false" outlineLevel="0" collapsed="false">
      <c r="A577" s="4" t="s">
        <v>373</v>
      </c>
      <c r="B577" s="0" t="s">
        <v>184</v>
      </c>
      <c r="C577" s="22" t="n">
        <f aca="false">a25_nai</f>
        <v>475.3315</v>
      </c>
      <c r="D577" s="22" t="n">
        <f aca="false">a26_nai</f>
        <v>758.5065488</v>
      </c>
      <c r="E577" s="22" t="n">
        <f aca="false">D577*(1+g_nai27)</f>
        <v>796.43187624</v>
      </c>
      <c r="F577" s="22" t="n">
        <f aca="false">E577*(1+g_nai28)</f>
        <v>820.3248325272</v>
      </c>
      <c r="G577" s="22" t="n">
        <f aca="false">F577*(1+g_nai29)</f>
        <v>844.934577503016</v>
      </c>
    </row>
    <row r="578" customFormat="false" ht="17.15" hidden="false" customHeight="false" outlineLevel="0" collapsed="false">
      <c r="A578" s="4" t="s">
        <v>342</v>
      </c>
      <c r="B578" s="0" t="s">
        <v>184</v>
      </c>
      <c r="C578" s="22" t="n">
        <f aca="false">C575+C577</f>
        <v>950.663</v>
      </c>
      <c r="D578" s="22" t="n">
        <f aca="false">D575+D577</f>
        <v>1458.66644</v>
      </c>
      <c r="E578" s="22" t="n">
        <f aca="false">E575+E577</f>
        <v>2523.79276654211</v>
      </c>
      <c r="F578" s="22" t="n">
        <f aca="false">F575+F577</f>
        <v>2937.39275896477</v>
      </c>
      <c r="G578" s="22" t="n">
        <f aca="false">G575+G577</f>
        <v>3030.48806697369</v>
      </c>
      <c r="H578" s="25" t="n">
        <f aca="false">G578*(1+H579)</f>
        <v>3155.12835768908</v>
      </c>
      <c r="I578" s="25" t="n">
        <f aca="false">H578*(1+I579)</f>
        <v>3314.6655056075</v>
      </c>
      <c r="J578" s="25" t="n">
        <f aca="false">I578*(1+J579)</f>
        <v>3513.54543594395</v>
      </c>
      <c r="K578" s="8" t="s">
        <v>454</v>
      </c>
    </row>
    <row r="579" customFormat="false" ht="15" hidden="false" customHeight="false" outlineLevel="0" collapsed="false">
      <c r="A579" s="4" t="s">
        <v>455</v>
      </c>
      <c r="B579" s="0" t="s">
        <v>47</v>
      </c>
      <c r="D579" s="18" t="n">
        <f aca="false">D578/C578-1</f>
        <v>0.534367530870561</v>
      </c>
      <c r="E579" s="18" t="n">
        <f aca="false">E578/D578-1</f>
        <v>0.730205547569951</v>
      </c>
      <c r="F579" s="18" t="n">
        <f aca="false">F578/E578-1</f>
        <v>0.163880330392316</v>
      </c>
      <c r="G579" s="18" t="n">
        <f aca="false">G578/F578-1</f>
        <v>0.0316931767891091</v>
      </c>
      <c r="H579" s="26" t="n">
        <f aca="false">$G579+(fade_gA-$G579)*1/3</f>
        <v>0.0411287845260727</v>
      </c>
      <c r="I579" s="26" t="n">
        <f aca="false">$G579+(fade_gA-$G579)*2/3</f>
        <v>0.0505643922630364</v>
      </c>
      <c r="J579" s="26" t="n">
        <f aca="false">$G579+(fade_gA-$G579)*3/3</f>
        <v>0.06</v>
      </c>
    </row>
    <row r="580" customFormat="false" ht="17.15" hidden="false" customHeight="false" outlineLevel="0" collapsed="false">
      <c r="A580" s="0" t="s">
        <v>456</v>
      </c>
      <c r="B580" s="0" t="s">
        <v>47</v>
      </c>
      <c r="C580" s="18" t="n">
        <f aca="false">C575/C578</f>
        <v>0.5</v>
      </c>
      <c r="D580" s="18" t="n">
        <f aca="false">D575/D578</f>
        <v>0.48</v>
      </c>
      <c r="E580" s="18" t="n">
        <f aca="false">E575/E578</f>
        <v>0.684430557532977</v>
      </c>
      <c r="F580" s="18" t="n">
        <f aca="false">F575/F578</f>
        <v>0.720730287080741</v>
      </c>
      <c r="G580" s="18" t="n">
        <f aca="false">G575/G578</f>
        <v>0.721188614233091</v>
      </c>
    </row>
    <row r="581" customFormat="false" ht="17.15" hidden="false" customHeight="false" outlineLevel="0" collapsed="false">
      <c r="A581" s="4" t="s">
        <v>407</v>
      </c>
      <c r="B581" s="0" t="s">
        <v>408</v>
      </c>
      <c r="D581" s="23" t="n">
        <f aca="false">D575/fx/D565</f>
        <v>0.935061049524468</v>
      </c>
      <c r="E581" s="23" t="n">
        <f aca="false">E575/fx/E565</f>
        <v>1.29613973021067</v>
      </c>
      <c r="F581" s="23" t="n">
        <f aca="false">F575/fx/F565</f>
        <v>1.25318607974363</v>
      </c>
      <c r="G581" s="23" t="n">
        <f aca="false">G575/fx/G565</f>
        <v>1.13568583124881</v>
      </c>
    </row>
    <row r="582" customFormat="false" ht="17.15" hidden="false" customHeight="false" outlineLevel="0" collapsed="false">
      <c r="A582" s="6" t="s">
        <v>457</v>
      </c>
    </row>
    <row r="583" customFormat="false" ht="17.15" hidden="false" customHeight="false" outlineLevel="0" collapsed="false">
      <c r="A583" s="4" t="s">
        <v>458</v>
      </c>
      <c r="B583" s="0" t="s">
        <v>47</v>
      </c>
      <c r="D583" s="17" t="n">
        <f aca="false">a26_gp/D578-d_ai_lo*D580</f>
        <v>0.0930120920201606</v>
      </c>
      <c r="K583" s="8" t="s">
        <v>459</v>
      </c>
    </row>
    <row r="584" customFormat="false" ht="17.15" hidden="false" customHeight="false" outlineLevel="0" collapsed="false">
      <c r="A584" s="0" t="s">
        <v>460</v>
      </c>
      <c r="B584" s="0" t="s">
        <v>184</v>
      </c>
      <c r="D584" s="30" t="n">
        <f aca="false">($D$583+d_ai_lo)*D573*(1-D574*(1-keep))</f>
        <v>51.12013840512</v>
      </c>
      <c r="E584" s="30" t="n">
        <f aca="false">($D$583+d_ai_lo+vrd)*E573*(1-E574*(1-keep))</f>
        <v>128.473887307041</v>
      </c>
      <c r="F584" s="30" t="n">
        <f aca="false">($D$583+d_ai_lo+vrd)*F573*(1-F574*(1-keep))</f>
        <v>165.371164645627</v>
      </c>
      <c r="G584" s="30" t="n">
        <f aca="false">($D$583+d_ai_lo+vrd)*G573*(1-G574*(1-keep))</f>
        <v>179.850252501924</v>
      </c>
      <c r="K584" s="4" t="s">
        <v>461</v>
      </c>
    </row>
    <row r="585" customFormat="false" ht="15" hidden="false" customHeight="false" outlineLevel="0" collapsed="false">
      <c r="A585" s="4" t="s">
        <v>346</v>
      </c>
      <c r="B585" s="0" t="s">
        <v>184</v>
      </c>
      <c r="C585" s="22" t="n">
        <f aca="false">a25_gp</f>
        <v>78.454</v>
      </c>
      <c r="D585" s="22" t="n">
        <f aca="false">a26_gp</f>
        <v>121.67041932</v>
      </c>
      <c r="E585" s="22" t="n">
        <f aca="false">$D$583*E577+E584</f>
        <v>202.551682267665</v>
      </c>
      <c r="F585" s="22" t="n">
        <f aca="false">$D$583*F577+F584</f>
        <v>241.671293455069</v>
      </c>
      <c r="G585" s="22" t="n">
        <f aca="false">$D$583*G577+G584</f>
        <v>258.43938517565</v>
      </c>
    </row>
    <row r="586" customFormat="false" ht="15" hidden="false" customHeight="false" outlineLevel="0" collapsed="false">
      <c r="A586" s="4" t="s">
        <v>349</v>
      </c>
      <c r="B586" s="0" t="s">
        <v>47</v>
      </c>
      <c r="C586" s="17" t="n">
        <f aca="false">C585/C578</f>
        <v>0.0825255637381491</v>
      </c>
      <c r="D586" s="17" t="n">
        <f aca="false">D585/D578</f>
        <v>0.0834120920201606</v>
      </c>
      <c r="E586" s="17" t="n">
        <f aca="false">E585/E578</f>
        <v>0.0802568598154691</v>
      </c>
      <c r="F586" s="17" t="n">
        <f aca="false">F585/F578</f>
        <v>0.0822740822511737</v>
      </c>
      <c r="G586" s="17" t="n">
        <f aca="false">G585/G578</f>
        <v>0.0852797897448028</v>
      </c>
    </row>
    <row r="587" customFormat="false" ht="17.15" hidden="false" customHeight="false" outlineLevel="0" collapsed="false">
      <c r="A587" s="0" t="s">
        <v>462</v>
      </c>
      <c r="B587" s="0" t="s">
        <v>47</v>
      </c>
      <c r="D587" s="17" t="n">
        <f aca="false">D584/D575</f>
        <v>0.0730120920201606</v>
      </c>
      <c r="E587" s="17" t="n">
        <f aca="false">E584/E575</f>
        <v>0.0743758226947997</v>
      </c>
      <c r="F587" s="17" t="n">
        <f aca="false">F584/F575</f>
        <v>0.0781133012221766</v>
      </c>
      <c r="G587" s="17" t="n">
        <f aca="false">G584/G575</f>
        <v>0.0822904831057155</v>
      </c>
      <c r="K587" s="4" t="s">
        <v>463</v>
      </c>
    </row>
    <row r="588" customFormat="false" ht="15" hidden="false" customHeight="false" outlineLevel="0" collapsed="false">
      <c r="A588" s="4" t="s">
        <v>464</v>
      </c>
      <c r="B588" s="0" t="s">
        <v>184</v>
      </c>
      <c r="C588" s="22" t="n">
        <f aca="false">a25_opx</f>
        <v>14.536</v>
      </c>
      <c r="D588" s="22" t="n">
        <f aca="false">a26_opx</f>
        <v>22.5183263</v>
      </c>
      <c r="E588" s="22" t="n">
        <f aca="false">D588*(1+MAX(0,phi*E579))</f>
        <v>35.6727317290002</v>
      </c>
      <c r="F588" s="22" t="n">
        <f aca="false">E588*(1+MAX(0,phi*F579))</f>
        <v>40.3495789783962</v>
      </c>
      <c r="G588" s="22" t="n">
        <f aca="false">F588*(1+MAX(0,phi*G579))</f>
        <v>41.372624050339</v>
      </c>
    </row>
    <row r="589" customFormat="false" ht="15" hidden="false" customHeight="false" outlineLevel="0" collapsed="false">
      <c r="A589" s="4" t="s">
        <v>350</v>
      </c>
      <c r="B589" s="0" t="s">
        <v>184</v>
      </c>
      <c r="C589" s="22" t="n">
        <f aca="false">C588</f>
        <v>14.536</v>
      </c>
      <c r="D589" s="22" t="n">
        <f aca="false">D588</f>
        <v>22.5183263</v>
      </c>
      <c r="E589" s="22" t="n">
        <f aca="false">E588+0*E578</f>
        <v>35.6727317290002</v>
      </c>
      <c r="F589" s="22" t="n">
        <f aca="false">F588+0*F578</f>
        <v>40.3495789783962</v>
      </c>
      <c r="G589" s="22" t="n">
        <f aca="false">G588+0*G578</f>
        <v>41.372624050339</v>
      </c>
    </row>
    <row r="590" customFormat="false" ht="15" hidden="false" customHeight="false" outlineLevel="0" collapsed="false">
      <c r="A590" s="4" t="s">
        <v>353</v>
      </c>
      <c r="B590" s="0" t="s">
        <v>184</v>
      </c>
      <c r="C590" s="22" t="n">
        <f aca="false">C585-C589</f>
        <v>63.918</v>
      </c>
      <c r="D590" s="22" t="n">
        <f aca="false">D585-D589</f>
        <v>99.15209302</v>
      </c>
      <c r="E590" s="22" t="n">
        <f aca="false">E585-E589</f>
        <v>166.878950538665</v>
      </c>
      <c r="F590" s="22" t="n">
        <f aca="false">F585-F589</f>
        <v>201.321714476673</v>
      </c>
      <c r="G590" s="22" t="n">
        <f aca="false">G585-G589</f>
        <v>217.066761125311</v>
      </c>
    </row>
    <row r="591" customFormat="false" ht="15" hidden="false" customHeight="false" outlineLevel="0" collapsed="false">
      <c r="A591" s="4" t="s">
        <v>356</v>
      </c>
      <c r="B591" s="0" t="s">
        <v>47</v>
      </c>
      <c r="C591" s="17" t="n">
        <f aca="false">C590/C578</f>
        <v>0.0672351821833815</v>
      </c>
      <c r="D591" s="17" t="n">
        <f aca="false">D590/D578</f>
        <v>0.0679744801834201</v>
      </c>
      <c r="E591" s="17" t="n">
        <f aca="false">E590/E578</f>
        <v>0.0661222873569404</v>
      </c>
      <c r="F591" s="17" t="n">
        <f aca="false">F590/F578</f>
        <v>0.0685375538774138</v>
      </c>
      <c r="G591" s="17" t="n">
        <f aca="false">G590/G578</f>
        <v>0.0716276574360771</v>
      </c>
    </row>
    <row r="592" customFormat="false" ht="17.15" hidden="false" customHeight="false" outlineLevel="0" collapsed="false">
      <c r="A592" s="4" t="s">
        <v>218</v>
      </c>
      <c r="B592" s="0" t="s">
        <v>47</v>
      </c>
      <c r="C592" s="18" t="n">
        <f aca="false">a25_ni/a25_oi</f>
        <v>0.799743421258488</v>
      </c>
      <c r="D592" s="18" t="n">
        <f aca="false">a26_ni/a26_oi</f>
        <v>0.776911976251089</v>
      </c>
      <c r="E592" s="18" t="n">
        <f aca="false">nio_f</f>
        <v>0.78</v>
      </c>
      <c r="F592" s="18" t="n">
        <f aca="false">nio_f</f>
        <v>0.78</v>
      </c>
      <c r="G592" s="18" t="n">
        <f aca="false">nio_f</f>
        <v>0.78</v>
      </c>
    </row>
    <row r="593" customFormat="false" ht="15" hidden="false" customHeight="false" outlineLevel="0" collapsed="false">
      <c r="A593" s="4" t="s">
        <v>357</v>
      </c>
      <c r="B593" s="0" t="s">
        <v>184</v>
      </c>
      <c r="C593" s="22" t="n">
        <f aca="false">a25_ni</f>
        <v>51.118</v>
      </c>
      <c r="D593" s="22" t="n">
        <f aca="false">a26_ni</f>
        <v>77.0324485376</v>
      </c>
      <c r="E593" s="22" t="n">
        <f aca="false">E590*E592</f>
        <v>130.165581420159</v>
      </c>
      <c r="F593" s="22" t="n">
        <f aca="false">F590*F592</f>
        <v>157.030937291805</v>
      </c>
      <c r="G593" s="22" t="n">
        <f aca="false">G590*G592</f>
        <v>169.312073677742</v>
      </c>
      <c r="H593" s="25" t="n">
        <f aca="false">H578*H597</f>
        <v>178.742828629436</v>
      </c>
      <c r="I593" s="25" t="n">
        <f aca="false">I578*I597</f>
        <v>190.372756487268</v>
      </c>
      <c r="J593" s="25" t="n">
        <f aca="false">J578*J597</f>
        <v>204.542541554721</v>
      </c>
    </row>
    <row r="594" customFormat="false" ht="15" hidden="false" customHeight="false" outlineLevel="0" collapsed="false">
      <c r="A594" s="4" t="s">
        <v>465</v>
      </c>
      <c r="B594" s="4" t="s">
        <v>205</v>
      </c>
      <c r="C594" s="29" t="n">
        <f aca="false">a25_sh</f>
        <v>0.554331761662183</v>
      </c>
      <c r="D594" s="29" t="n">
        <f aca="false">a26_sh</f>
        <v>0.556054338618749</v>
      </c>
      <c r="E594" s="29" t="n">
        <f aca="false">D594*(1+sh_g)</f>
        <v>0.558834610311843</v>
      </c>
      <c r="F594" s="29" t="n">
        <f aca="false">E594*(1+sh_g)</f>
        <v>0.561628783363402</v>
      </c>
      <c r="G594" s="29" t="n">
        <f aca="false">F594*(1+sh_g)</f>
        <v>0.564436927280219</v>
      </c>
      <c r="H594" s="31" t="n">
        <f aca="false">G594*(1+sh_g)</f>
        <v>0.56725911191662</v>
      </c>
      <c r="I594" s="31" t="n">
        <f aca="false">H594*(1+sh_g)</f>
        <v>0.570095407476203</v>
      </c>
      <c r="J594" s="31" t="n">
        <f aca="false">I594*(1+sh_g)</f>
        <v>0.572945884513584</v>
      </c>
    </row>
    <row r="595" customFormat="false" ht="17.15" hidden="false" customHeight="false" outlineLevel="0" collapsed="false">
      <c r="A595" s="0" t="s">
        <v>363</v>
      </c>
      <c r="B595" s="0" t="s">
        <v>235</v>
      </c>
      <c r="C595" s="30" t="n">
        <f aca="false">C593/C594</f>
        <v>92.2155350556153</v>
      </c>
      <c r="D595" s="30" t="n">
        <f aca="false">D593/D594</f>
        <v>138.534030197391</v>
      </c>
      <c r="E595" s="30" t="n">
        <f aca="false">E593/E594</f>
        <v>232.923263910808</v>
      </c>
      <c r="F595" s="30" t="n">
        <f aca="false">F593/F594</f>
        <v>279.599162192864</v>
      </c>
      <c r="G595" s="30" t="n">
        <f aca="false">G593/G594</f>
        <v>299.966330150625</v>
      </c>
      <c r="H595" s="28" t="n">
        <f aca="false">H593/H594</f>
        <v>315.099087655924</v>
      </c>
      <c r="I595" s="28" t="n">
        <f aca="false">I593/I594</f>
        <v>333.931398132189</v>
      </c>
      <c r="J595" s="28" t="n">
        <f aca="false">J593/J594</f>
        <v>357.001502381629</v>
      </c>
    </row>
    <row r="596" customFormat="false" ht="17.15" hidden="false" customHeight="false" outlineLevel="0" collapsed="false">
      <c r="A596" s="0" t="s">
        <v>466</v>
      </c>
      <c r="B596" s="0" t="s">
        <v>47</v>
      </c>
      <c r="D596" s="18" t="n">
        <f aca="false">D595/C595-1</f>
        <v>0.502285163924287</v>
      </c>
      <c r="E596" s="18" t="n">
        <f aca="false">E595/D595-1</f>
        <v>0.681343303005953</v>
      </c>
      <c r="F596" s="18" t="n">
        <f aca="false">F595/E595-1</f>
        <v>0.200391740603164</v>
      </c>
      <c r="G596" s="18" t="n">
        <f aca="false">G595/F595-1</f>
        <v>0.0728441666206119</v>
      </c>
      <c r="H596" s="26" t="n">
        <f aca="false">H595/G595-1</f>
        <v>0.0504481869605165</v>
      </c>
      <c r="I596" s="26" t="n">
        <f aca="false">I595/H595-1</f>
        <v>0.0597663122935761</v>
      </c>
      <c r="J596" s="26" t="n">
        <f aca="false">J595/I595-1</f>
        <v>0.0690863583912178</v>
      </c>
    </row>
    <row r="597" customFormat="false" ht="17.15" hidden="false" customHeight="false" outlineLevel="0" collapsed="false">
      <c r="A597" s="4" t="s">
        <v>467</v>
      </c>
      <c r="B597" s="0" t="s">
        <v>47</v>
      </c>
      <c r="C597" s="17" t="n">
        <f aca="false">C593/C578</f>
        <v>0.0537708946282752</v>
      </c>
      <c r="D597" s="17" t="n">
        <f aca="false">D593/D578</f>
        <v>0.0528101877339414</v>
      </c>
      <c r="E597" s="17" t="n">
        <f aca="false">E593/E578</f>
        <v>0.0515753841384135</v>
      </c>
      <c r="F597" s="17" t="n">
        <f aca="false">F593/F578</f>
        <v>0.0534592920243828</v>
      </c>
      <c r="G597" s="17" t="n">
        <f aca="false">G593/G578</f>
        <v>0.0558695728001402</v>
      </c>
      <c r="H597" s="27" t="n">
        <f aca="false">$G597+(fade_mA-$G597)*1/3</f>
        <v>0.0566515236040519</v>
      </c>
      <c r="I597" s="27" t="n">
        <f aca="false">$G597+(fade_mA-$G597)*2/3</f>
        <v>0.0574334744079636</v>
      </c>
      <c r="J597" s="27" t="n">
        <f aca="false">$G597+(fade_mA-$G597)*3/3</f>
        <v>0.0582154252118753</v>
      </c>
    </row>
    <row r="600" customFormat="false" ht="17.15" hidden="false" customHeight="false" outlineLevel="0" collapsed="false">
      <c r="A600" s="1" t="s">
        <v>748</v>
      </c>
    </row>
    <row r="601" customFormat="false" ht="17.15" hidden="false" customHeight="false" outlineLevel="0" collapsed="false">
      <c r="A601" s="5" t="s">
        <v>16</v>
      </c>
      <c r="B601" s="5" t="s">
        <v>17</v>
      </c>
      <c r="C601" s="14" t="s">
        <v>336</v>
      </c>
      <c r="D601" s="14" t="s">
        <v>415</v>
      </c>
      <c r="E601" s="14" t="s">
        <v>416</v>
      </c>
      <c r="F601" s="14" t="s">
        <v>417</v>
      </c>
      <c r="G601" s="14" t="s">
        <v>418</v>
      </c>
      <c r="H601" s="14" t="s">
        <v>419</v>
      </c>
      <c r="I601" s="14" t="s">
        <v>420</v>
      </c>
      <c r="J601" s="14" t="s">
        <v>421</v>
      </c>
      <c r="K601" s="5" t="s">
        <v>387</v>
      </c>
    </row>
    <row r="602" customFormat="false" ht="17.15" hidden="false" customHeight="false" outlineLevel="0" collapsed="false">
      <c r="A602" s="6" t="s">
        <v>437</v>
      </c>
    </row>
    <row r="603" customFormat="false" ht="17.15" hidden="false" customHeight="false" outlineLevel="0" collapsed="false">
      <c r="A603" s="0" t="s">
        <v>438</v>
      </c>
      <c r="B603" s="0" t="s">
        <v>27</v>
      </c>
      <c r="D603" s="30" t="n">
        <f aca="false">itc_26</f>
        <v>781.872916666667</v>
      </c>
      <c r="E603" s="30" t="n">
        <f aca="false">itc_27*1</f>
        <v>1565.35</v>
      </c>
      <c r="F603" s="30" t="n">
        <f aca="false">itc_28*um28_A*1</f>
        <v>1984.26388888889</v>
      </c>
      <c r="G603" s="30" t="n">
        <f aca="false">itc_29*um29_A*1</f>
        <v>2260.39027777778</v>
      </c>
    </row>
    <row r="604" customFormat="false" ht="17.15" hidden="false" customHeight="false" outlineLevel="0" collapsed="false">
      <c r="A604" s="4" t="s">
        <v>439</v>
      </c>
      <c r="B604" s="0" t="s">
        <v>27</v>
      </c>
      <c r="D604" s="30" t="n">
        <f aca="false">itpg_gb*(1-vr26)+itpg_vr*vr26</f>
        <v>33.41403216</v>
      </c>
      <c r="E604" s="30" t="n">
        <f aca="false">itpg_vr</f>
        <v>37.586352</v>
      </c>
      <c r="F604" s="30" t="n">
        <f aca="false">itpg_vr</f>
        <v>37.586352</v>
      </c>
      <c r="G604" s="30" t="n">
        <f aca="false">itpg_vr</f>
        <v>37.586352</v>
      </c>
    </row>
    <row r="605" customFormat="false" ht="17.15" hidden="false" customHeight="false" outlineLevel="0" collapsed="false">
      <c r="A605" s="4" t="s">
        <v>440</v>
      </c>
      <c r="B605" s="0" t="s">
        <v>389</v>
      </c>
      <c r="D605" s="21" t="n">
        <f aca="false">D603/D604</f>
        <v>23.3995380420639</v>
      </c>
      <c r="E605" s="21" t="n">
        <f aca="false">E603/E604</f>
        <v>41.6467658260637</v>
      </c>
      <c r="F605" s="21" t="n">
        <f aca="false">F603/F604</f>
        <v>52.792138191248</v>
      </c>
      <c r="G605" s="21" t="n">
        <f aca="false">G603/G604</f>
        <v>60.1385917361116</v>
      </c>
    </row>
    <row r="606" customFormat="false" ht="17.15" hidden="false" customHeight="false" outlineLevel="0" collapsed="false">
      <c r="A606" s="4" t="s">
        <v>441</v>
      </c>
      <c r="B606" s="0" t="s">
        <v>408</v>
      </c>
      <c r="D606" s="19" t="n">
        <f aca="false">(racks_gb*odm_gb*(1-vr26)+racks_vr*odm_vr*vr26)/1000</f>
        <v>27.1209</v>
      </c>
      <c r="E606" s="19" t="n">
        <f aca="false">racks_vr*odm_vr/1000</f>
        <v>27.351</v>
      </c>
      <c r="F606" s="19" t="n">
        <f aca="false">$E606*vpg_28</f>
        <v>27.351</v>
      </c>
      <c r="G606" s="19" t="n">
        <f aca="false">$E606*vpg_29</f>
        <v>27.351</v>
      </c>
      <c r="K606" s="4" t="s">
        <v>442</v>
      </c>
    </row>
    <row r="607" customFormat="false" ht="17.15" hidden="false" customHeight="false" outlineLevel="0" collapsed="false">
      <c r="A607" s="0" t="s">
        <v>443</v>
      </c>
      <c r="B607" s="0" t="s">
        <v>27</v>
      </c>
      <c r="D607" s="22" t="n">
        <f aca="false">D605*D606</f>
        <v>634.616531285011</v>
      </c>
      <c r="E607" s="22" t="n">
        <f aca="false">E605*E606</f>
        <v>1139.08069210867</v>
      </c>
      <c r="F607" s="22" t="n">
        <f aca="false">F605*F606</f>
        <v>1443.91777166882</v>
      </c>
      <c r="G607" s="22" t="n">
        <f aca="false">G605*G606</f>
        <v>1644.85062257439</v>
      </c>
    </row>
    <row r="608" customFormat="false" ht="17.15" hidden="false" customHeight="false" outlineLevel="0" collapsed="false">
      <c r="A608" s="0" t="s">
        <v>444</v>
      </c>
      <c r="B608" s="0" t="s">
        <v>184</v>
      </c>
      <c r="D608" s="22" t="n">
        <f aca="false">D607*fx</f>
        <v>20307.7290011204</v>
      </c>
      <c r="E608" s="22" t="n">
        <f aca="false">E607*fx</f>
        <v>36450.5821474774</v>
      </c>
      <c r="F608" s="22" t="n">
        <f aca="false">F607*fx</f>
        <v>46205.3686934024</v>
      </c>
      <c r="G608" s="22" t="n">
        <f aca="false">G607*fx</f>
        <v>52635.2199223804</v>
      </c>
    </row>
    <row r="609" customFormat="false" ht="17.15" hidden="false" customHeight="false" outlineLevel="0" collapsed="false">
      <c r="A609" s="4" t="s">
        <v>445</v>
      </c>
      <c r="B609" s="0" t="s">
        <v>47</v>
      </c>
      <c r="D609" s="17" t="n">
        <f aca="false">a26_ai/D608</f>
        <v>0.0344775081035094</v>
      </c>
      <c r="K609" s="8" t="s">
        <v>446</v>
      </c>
    </row>
    <row r="610" customFormat="false" ht="17.15" hidden="false" customHeight="false" outlineLevel="0" collapsed="false">
      <c r="A610" s="4" t="s">
        <v>447</v>
      </c>
      <c r="B610" s="0" t="s">
        <v>59</v>
      </c>
      <c r="D610" s="19" t="n">
        <f aca="false">1</f>
        <v>1</v>
      </c>
      <c r="E610" s="19" t="n">
        <f aca="false">rel_27</f>
        <v>1</v>
      </c>
      <c r="F610" s="19" t="n">
        <f aca="false">rel_28</f>
        <v>1</v>
      </c>
      <c r="G610" s="19" t="n">
        <f aca="false">rel_29</f>
        <v>0.95</v>
      </c>
    </row>
    <row r="611" customFormat="false" ht="17.15" hidden="false" customHeight="false" outlineLevel="0" collapsed="false">
      <c r="A611" s="0" t="s">
        <v>448</v>
      </c>
      <c r="B611" s="0" t="s">
        <v>59</v>
      </c>
      <c r="D611" s="23" t="n">
        <f aca="false">1</f>
        <v>1</v>
      </c>
      <c r="E611" s="23" t="n">
        <f aca="false">asic_mix*((ua_27/ua_26)/(ut_27/ut_26))+(1-asic_mix)</f>
        <v>1.44683544303797</v>
      </c>
      <c r="F611" s="23" t="n">
        <f aca="false">asic_mix*((ua_28/ua_26)/(ut_28/ut_26))+(1-asic_mix)</f>
        <v>1.47660377358491</v>
      </c>
      <c r="G611" s="23" t="n">
        <f aca="false">asic_mix*((ua_29/ua_26)/(ut_29/ut_26))+(1-asic_mix)</f>
        <v>1.49144278606965</v>
      </c>
      <c r="K611" s="8" t="s">
        <v>449</v>
      </c>
    </row>
    <row r="612" customFormat="false" ht="15" hidden="false" customHeight="false" outlineLevel="0" collapsed="false">
      <c r="A612" s="4" t="s">
        <v>398</v>
      </c>
      <c r="B612" s="0" t="s">
        <v>47</v>
      </c>
      <c r="D612" s="17" t="n">
        <f aca="false">$D$609*D610*D611</f>
        <v>0.0344775081035094</v>
      </c>
      <c r="E612" s="17" t="n">
        <f aca="false">$D$609*E610*E611</f>
        <v>0.0498832807117864</v>
      </c>
      <c r="F612" s="17" t="n">
        <f aca="false">$D$609*F610*F611</f>
        <v>0.0509096185694461</v>
      </c>
      <c r="G612" s="17" t="n">
        <f aca="false">$D$609*G610*G611</f>
        <v>0.0488501692055052</v>
      </c>
    </row>
    <row r="613" customFormat="false" ht="17.15" hidden="false" customHeight="false" outlineLevel="0" collapsed="false">
      <c r="A613" s="0" t="s">
        <v>450</v>
      </c>
      <c r="B613" s="0" t="s">
        <v>184</v>
      </c>
      <c r="D613" s="22" t="n">
        <f aca="false">D608*D612</f>
        <v>700.1598912</v>
      </c>
      <c r="E613" s="22" t="n">
        <f aca="false">E608*E612</f>
        <v>1818.27462137064</v>
      </c>
      <c r="F613" s="22" t="n">
        <f aca="false">F608*F612</f>
        <v>2352.29769604174</v>
      </c>
      <c r="G613" s="22" t="n">
        <f aca="false">G608*G612</f>
        <v>2571.23939937726</v>
      </c>
    </row>
    <row r="614" customFormat="false" ht="17.15" hidden="false" customHeight="false" outlineLevel="0" collapsed="false">
      <c r="A614" s="4" t="s">
        <v>404</v>
      </c>
      <c r="B614" s="0" t="s">
        <v>47</v>
      </c>
      <c r="D614" s="18" t="n">
        <f aca="false">0</f>
        <v>0</v>
      </c>
      <c r="E614" s="18" t="n">
        <f aca="false">cs_27</f>
        <v>0.05</v>
      </c>
      <c r="F614" s="18" t="n">
        <f aca="false">cs_28</f>
        <v>0.1</v>
      </c>
      <c r="G614" s="18" t="n">
        <f aca="false">cs_29</f>
        <v>0.15</v>
      </c>
      <c r="K614" s="8" t="s">
        <v>451</v>
      </c>
    </row>
    <row r="615" customFormat="false" ht="17.15" hidden="false" customHeight="false" outlineLevel="0" collapsed="false">
      <c r="A615" s="0" t="s">
        <v>452</v>
      </c>
      <c r="B615" s="0" t="s">
        <v>184</v>
      </c>
      <c r="C615" s="22" t="n">
        <f aca="false">a25_ai</f>
        <v>475.3315</v>
      </c>
      <c r="D615" s="22" t="n">
        <f aca="false">D613*(1-D614)</f>
        <v>700.1598912</v>
      </c>
      <c r="E615" s="22" t="n">
        <f aca="false">E613*(1-E614)</f>
        <v>1727.36089030211</v>
      </c>
      <c r="F615" s="22" t="n">
        <f aca="false">F613*(1-F614)</f>
        <v>2117.06792643757</v>
      </c>
      <c r="G615" s="22" t="n">
        <f aca="false">G613*(1-G614)</f>
        <v>2185.55348947067</v>
      </c>
    </row>
    <row r="616" customFormat="false" ht="17.15" hidden="false" customHeight="false" outlineLevel="0" collapsed="false">
      <c r="A616" s="6" t="s">
        <v>453</v>
      </c>
    </row>
    <row r="617" customFormat="false" ht="17.15" hidden="false" customHeight="false" outlineLevel="0" collapsed="false">
      <c r="A617" s="4" t="s">
        <v>373</v>
      </c>
      <c r="B617" s="0" t="s">
        <v>184</v>
      </c>
      <c r="C617" s="22" t="n">
        <f aca="false">a25_nai</f>
        <v>475.3315</v>
      </c>
      <c r="D617" s="22" t="n">
        <f aca="false">a26_nai</f>
        <v>758.5065488</v>
      </c>
      <c r="E617" s="22" t="n">
        <f aca="false">D617*(1+g_nai27)</f>
        <v>796.43187624</v>
      </c>
      <c r="F617" s="22" t="n">
        <f aca="false">E617*(1+g_nai28)</f>
        <v>820.3248325272</v>
      </c>
      <c r="G617" s="22" t="n">
        <f aca="false">F617*(1+g_nai29)</f>
        <v>844.934577503016</v>
      </c>
    </row>
    <row r="618" customFormat="false" ht="17.15" hidden="false" customHeight="false" outlineLevel="0" collapsed="false">
      <c r="A618" s="4" t="s">
        <v>342</v>
      </c>
      <c r="B618" s="0" t="s">
        <v>184</v>
      </c>
      <c r="C618" s="22" t="n">
        <f aca="false">C615+C617</f>
        <v>950.663</v>
      </c>
      <c r="D618" s="22" t="n">
        <f aca="false">D615+D617</f>
        <v>1458.66644</v>
      </c>
      <c r="E618" s="22" t="n">
        <f aca="false">E615+E617</f>
        <v>2523.79276654211</v>
      </c>
      <c r="F618" s="22" t="n">
        <f aca="false">F615+F617</f>
        <v>2937.39275896477</v>
      </c>
      <c r="G618" s="22" t="n">
        <f aca="false">G615+G617</f>
        <v>3030.48806697369</v>
      </c>
      <c r="H618" s="25" t="n">
        <f aca="false">G618*(1+H619)</f>
        <v>3155.12835768908</v>
      </c>
      <c r="I618" s="25" t="n">
        <f aca="false">H618*(1+I619)</f>
        <v>3314.6655056075</v>
      </c>
      <c r="J618" s="25" t="n">
        <f aca="false">I618*(1+J619)</f>
        <v>3513.54543594395</v>
      </c>
      <c r="K618" s="8" t="s">
        <v>454</v>
      </c>
    </row>
    <row r="619" customFormat="false" ht="15" hidden="false" customHeight="false" outlineLevel="0" collapsed="false">
      <c r="A619" s="4" t="s">
        <v>455</v>
      </c>
      <c r="B619" s="0" t="s">
        <v>47</v>
      </c>
      <c r="D619" s="18" t="n">
        <f aca="false">D618/C618-1</f>
        <v>0.534367530870561</v>
      </c>
      <c r="E619" s="18" t="n">
        <f aca="false">E618/D618-1</f>
        <v>0.730205547569951</v>
      </c>
      <c r="F619" s="18" t="n">
        <f aca="false">F618/E618-1</f>
        <v>0.163880330392316</v>
      </c>
      <c r="G619" s="18" t="n">
        <f aca="false">G618/F618-1</f>
        <v>0.0316931767891091</v>
      </c>
      <c r="H619" s="26" t="n">
        <f aca="false">$G619+(fade_gA-$G619)*1/3</f>
        <v>0.0411287845260727</v>
      </c>
      <c r="I619" s="26" t="n">
        <f aca="false">$G619+(fade_gA-$G619)*2/3</f>
        <v>0.0505643922630364</v>
      </c>
      <c r="J619" s="26" t="n">
        <f aca="false">$G619+(fade_gA-$G619)*3/3</f>
        <v>0.06</v>
      </c>
    </row>
    <row r="620" customFormat="false" ht="17.15" hidden="false" customHeight="false" outlineLevel="0" collapsed="false">
      <c r="A620" s="0" t="s">
        <v>456</v>
      </c>
      <c r="B620" s="0" t="s">
        <v>47</v>
      </c>
      <c r="C620" s="18" t="n">
        <f aca="false">C615/C618</f>
        <v>0.5</v>
      </c>
      <c r="D620" s="18" t="n">
        <f aca="false">D615/D618</f>
        <v>0.48</v>
      </c>
      <c r="E620" s="18" t="n">
        <f aca="false">E615/E618</f>
        <v>0.684430557532977</v>
      </c>
      <c r="F620" s="18" t="n">
        <f aca="false">F615/F618</f>
        <v>0.720730287080741</v>
      </c>
      <c r="G620" s="18" t="n">
        <f aca="false">G615/G618</f>
        <v>0.721188614233091</v>
      </c>
    </row>
    <row r="621" customFormat="false" ht="17.15" hidden="false" customHeight="false" outlineLevel="0" collapsed="false">
      <c r="A621" s="4" t="s">
        <v>407</v>
      </c>
      <c r="B621" s="0" t="s">
        <v>408</v>
      </c>
      <c r="D621" s="23" t="n">
        <f aca="false">D615/fx/D605</f>
        <v>0.935061049524468</v>
      </c>
      <c r="E621" s="23" t="n">
        <f aca="false">E615/fx/E605</f>
        <v>1.29613973021067</v>
      </c>
      <c r="F621" s="23" t="n">
        <f aca="false">F615/fx/F605</f>
        <v>1.25318607974363</v>
      </c>
      <c r="G621" s="23" t="n">
        <f aca="false">G615/fx/G605</f>
        <v>1.13568583124881</v>
      </c>
    </row>
    <row r="622" customFormat="false" ht="17.15" hidden="false" customHeight="false" outlineLevel="0" collapsed="false">
      <c r="A622" s="6" t="s">
        <v>457</v>
      </c>
    </row>
    <row r="623" customFormat="false" ht="17.15" hidden="false" customHeight="false" outlineLevel="0" collapsed="false">
      <c r="A623" s="4" t="s">
        <v>458</v>
      </c>
      <c r="B623" s="0" t="s">
        <v>47</v>
      </c>
      <c r="D623" s="17" t="n">
        <f aca="false">a26_gp/D618-d_ai_hi*D620</f>
        <v>0.0834120920201606</v>
      </c>
      <c r="K623" s="8" t="s">
        <v>459</v>
      </c>
    </row>
    <row r="624" customFormat="false" ht="17.15" hidden="false" customHeight="false" outlineLevel="0" collapsed="false">
      <c r="A624" s="0" t="s">
        <v>460</v>
      </c>
      <c r="B624" s="0" t="s">
        <v>184</v>
      </c>
      <c r="D624" s="30" t="n">
        <f aca="false">($D$623+d_ai_hi)*D613*(1-D614*(1-keep))</f>
        <v>58.4018012736</v>
      </c>
      <c r="E624" s="30" t="n">
        <f aca="false">($D$623+d_ai_hi+vrd)*E613*(1-E614*(1-keep))</f>
        <v>147.289393088985</v>
      </c>
      <c r="F624" s="30" t="n">
        <f aca="false">($D$623+d_ai_hi+vrd)*F613*(1-F614*(1-keep))</f>
        <v>189.590421724072</v>
      </c>
      <c r="G624" s="30" t="n">
        <f aca="false">($D$623+d_ai_hi+vrd)*G613*(1-G614*(1-keep))</f>
        <v>206.190028909144</v>
      </c>
      <c r="K624" s="4" t="s">
        <v>461</v>
      </c>
    </row>
    <row r="625" customFormat="false" ht="15" hidden="false" customHeight="false" outlineLevel="0" collapsed="false">
      <c r="A625" s="4" t="s">
        <v>346</v>
      </c>
      <c r="B625" s="0" t="s">
        <v>184</v>
      </c>
      <c r="C625" s="22" t="n">
        <f aca="false">a25_gp</f>
        <v>78.454</v>
      </c>
      <c r="D625" s="22" t="n">
        <f aca="false">a26_gp</f>
        <v>121.67041932</v>
      </c>
      <c r="E625" s="22" t="n">
        <f aca="false">$D$623*E617+E624</f>
        <v>213.721442037705</v>
      </c>
      <c r="F625" s="22" t="n">
        <f aca="false">$D$623*F617+F624</f>
        <v>258.015432141254</v>
      </c>
      <c r="G625" s="22" t="n">
        <f aca="false">$D$623*G617+G624</f>
        <v>276.667789638841</v>
      </c>
    </row>
    <row r="626" customFormat="false" ht="15" hidden="false" customHeight="false" outlineLevel="0" collapsed="false">
      <c r="A626" s="4" t="s">
        <v>349</v>
      </c>
      <c r="B626" s="0" t="s">
        <v>47</v>
      </c>
      <c r="C626" s="17" t="n">
        <f aca="false">C625/C618</f>
        <v>0.0825255637381491</v>
      </c>
      <c r="D626" s="17" t="n">
        <f aca="false">D625/D618</f>
        <v>0.0834120920201606</v>
      </c>
      <c r="E626" s="17" t="n">
        <f aca="false">E625/E618</f>
        <v>0.084682643072366</v>
      </c>
      <c r="F626" s="17" t="n">
        <f aca="false">F625/F618</f>
        <v>0.0878382474913525</v>
      </c>
      <c r="G626" s="17" t="n">
        <f aca="false">G625/G618</f>
        <v>0.091294795928739</v>
      </c>
    </row>
    <row r="627" customFormat="false" ht="17.15" hidden="false" customHeight="false" outlineLevel="0" collapsed="false">
      <c r="A627" s="0" t="s">
        <v>462</v>
      </c>
      <c r="B627" s="0" t="s">
        <v>47</v>
      </c>
      <c r="D627" s="17" t="n">
        <f aca="false">D624/D615</f>
        <v>0.0834120920201606</v>
      </c>
      <c r="E627" s="17" t="n">
        <f aca="false">E624/E615</f>
        <v>0.0852684542737471</v>
      </c>
      <c r="F627" s="17" t="n">
        <f aca="false">F624/F615</f>
        <v>0.0895533012221766</v>
      </c>
      <c r="G627" s="17" t="n">
        <f aca="false">G624/G615</f>
        <v>0.0943422478115978</v>
      </c>
      <c r="K627" s="4" t="s">
        <v>463</v>
      </c>
    </row>
    <row r="628" customFormat="false" ht="15" hidden="false" customHeight="false" outlineLevel="0" collapsed="false">
      <c r="A628" s="4" t="s">
        <v>464</v>
      </c>
      <c r="B628" s="0" t="s">
        <v>184</v>
      </c>
      <c r="C628" s="22" t="n">
        <f aca="false">a25_opx</f>
        <v>14.536</v>
      </c>
      <c r="D628" s="22" t="n">
        <f aca="false">a26_opx</f>
        <v>22.5183263</v>
      </c>
      <c r="E628" s="22" t="n">
        <f aca="false">D628*(1+MAX(0,phi*E619))</f>
        <v>35.6727317290002</v>
      </c>
      <c r="F628" s="22" t="n">
        <f aca="false">E628*(1+MAX(0,phi*F619))</f>
        <v>40.3495789783962</v>
      </c>
      <c r="G628" s="22" t="n">
        <f aca="false">F628*(1+MAX(0,phi*G619))</f>
        <v>41.372624050339</v>
      </c>
    </row>
    <row r="629" customFormat="false" ht="15" hidden="false" customHeight="false" outlineLevel="0" collapsed="false">
      <c r="A629" s="4" t="s">
        <v>350</v>
      </c>
      <c r="B629" s="0" t="s">
        <v>184</v>
      </c>
      <c r="C629" s="22" t="n">
        <f aca="false">C628</f>
        <v>14.536</v>
      </c>
      <c r="D629" s="22" t="n">
        <f aca="false">D628</f>
        <v>22.5183263</v>
      </c>
      <c r="E629" s="22" t="n">
        <f aca="false">E628+0*E618</f>
        <v>35.6727317290002</v>
      </c>
      <c r="F629" s="22" t="n">
        <f aca="false">F628+0*F618</f>
        <v>40.3495789783962</v>
      </c>
      <c r="G629" s="22" t="n">
        <f aca="false">G628+0*G618</f>
        <v>41.372624050339</v>
      </c>
    </row>
    <row r="630" customFormat="false" ht="15" hidden="false" customHeight="false" outlineLevel="0" collapsed="false">
      <c r="A630" s="4" t="s">
        <v>353</v>
      </c>
      <c r="B630" s="0" t="s">
        <v>184</v>
      </c>
      <c r="C630" s="22" t="n">
        <f aca="false">C625-C629</f>
        <v>63.918</v>
      </c>
      <c r="D630" s="22" t="n">
        <f aca="false">D625-D629</f>
        <v>99.15209302</v>
      </c>
      <c r="E630" s="22" t="n">
        <f aca="false">E625-E629</f>
        <v>178.048710308704</v>
      </c>
      <c r="F630" s="22" t="n">
        <f aca="false">F625-F629</f>
        <v>217.665853162858</v>
      </c>
      <c r="G630" s="22" t="n">
        <f aca="false">G625-G629</f>
        <v>235.295165588502</v>
      </c>
    </row>
    <row r="631" customFormat="false" ht="15" hidden="false" customHeight="false" outlineLevel="0" collapsed="false">
      <c r="A631" s="4" t="s">
        <v>356</v>
      </c>
      <c r="B631" s="0" t="s">
        <v>47</v>
      </c>
      <c r="C631" s="17" t="n">
        <f aca="false">C630/C618</f>
        <v>0.0672351821833815</v>
      </c>
      <c r="D631" s="17" t="n">
        <f aca="false">D630/D618</f>
        <v>0.0679744801834201</v>
      </c>
      <c r="E631" s="17" t="n">
        <f aca="false">E630/E618</f>
        <v>0.0705480706138372</v>
      </c>
      <c r="F631" s="17" t="n">
        <f aca="false">F630/F618</f>
        <v>0.0741017191175926</v>
      </c>
      <c r="G631" s="17" t="n">
        <f aca="false">G630/G618</f>
        <v>0.0776426636200134</v>
      </c>
    </row>
    <row r="632" customFormat="false" ht="17.15" hidden="false" customHeight="false" outlineLevel="0" collapsed="false">
      <c r="A632" s="4" t="s">
        <v>218</v>
      </c>
      <c r="B632" s="0" t="s">
        <v>47</v>
      </c>
      <c r="C632" s="18" t="n">
        <f aca="false">a25_ni/a25_oi</f>
        <v>0.799743421258488</v>
      </c>
      <c r="D632" s="18" t="n">
        <f aca="false">a26_ni/a26_oi</f>
        <v>0.776911976251089</v>
      </c>
      <c r="E632" s="18" t="n">
        <f aca="false">nio_f</f>
        <v>0.78</v>
      </c>
      <c r="F632" s="18" t="n">
        <f aca="false">nio_f</f>
        <v>0.78</v>
      </c>
      <c r="G632" s="18" t="n">
        <f aca="false">nio_f</f>
        <v>0.78</v>
      </c>
    </row>
    <row r="633" customFormat="false" ht="15" hidden="false" customHeight="false" outlineLevel="0" collapsed="false">
      <c r="A633" s="4" t="s">
        <v>357</v>
      </c>
      <c r="B633" s="0" t="s">
        <v>184</v>
      </c>
      <c r="C633" s="22" t="n">
        <f aca="false">a25_ni</f>
        <v>51.118</v>
      </c>
      <c r="D633" s="22" t="n">
        <f aca="false">a26_ni</f>
        <v>77.0324485376</v>
      </c>
      <c r="E633" s="22" t="n">
        <f aca="false">E630*E632</f>
        <v>138.877994040789</v>
      </c>
      <c r="F633" s="22" t="n">
        <f aca="false">F630*F632</f>
        <v>169.779365467029</v>
      </c>
      <c r="G633" s="22" t="n">
        <f aca="false">G630*G632</f>
        <v>183.530229159032</v>
      </c>
      <c r="H633" s="25" t="n">
        <f aca="false">H618*H637</f>
        <v>188.611449252395</v>
      </c>
      <c r="I633" s="25" t="n">
        <f aca="false">I618*I637</f>
        <v>195.556567200885</v>
      </c>
      <c r="J633" s="25" t="n">
        <f aca="false">J618*J637</f>
        <v>204.542541554721</v>
      </c>
    </row>
    <row r="634" customFormat="false" ht="15" hidden="false" customHeight="false" outlineLevel="0" collapsed="false">
      <c r="A634" s="4" t="s">
        <v>465</v>
      </c>
      <c r="B634" s="4" t="s">
        <v>205</v>
      </c>
      <c r="C634" s="29" t="n">
        <f aca="false">a25_sh</f>
        <v>0.554331761662183</v>
      </c>
      <c r="D634" s="29" t="n">
        <f aca="false">a26_sh</f>
        <v>0.556054338618749</v>
      </c>
      <c r="E634" s="29" t="n">
        <f aca="false">D634*(1+sh_g)</f>
        <v>0.558834610311843</v>
      </c>
      <c r="F634" s="29" t="n">
        <f aca="false">E634*(1+sh_g)</f>
        <v>0.561628783363402</v>
      </c>
      <c r="G634" s="29" t="n">
        <f aca="false">F634*(1+sh_g)</f>
        <v>0.564436927280219</v>
      </c>
      <c r="H634" s="31" t="n">
        <f aca="false">G634*(1+sh_g)</f>
        <v>0.56725911191662</v>
      </c>
      <c r="I634" s="31" t="n">
        <f aca="false">H634*(1+sh_g)</f>
        <v>0.570095407476203</v>
      </c>
      <c r="J634" s="31" t="n">
        <f aca="false">I634*(1+sh_g)</f>
        <v>0.572945884513584</v>
      </c>
    </row>
    <row r="635" customFormat="false" ht="17.15" hidden="false" customHeight="false" outlineLevel="0" collapsed="false">
      <c r="A635" s="0" t="s">
        <v>363</v>
      </c>
      <c r="B635" s="0" t="s">
        <v>235</v>
      </c>
      <c r="C635" s="30" t="n">
        <f aca="false">C633/C634</f>
        <v>92.2155350556153</v>
      </c>
      <c r="D635" s="30" t="n">
        <f aca="false">D633/D634</f>
        <v>138.534030197391</v>
      </c>
      <c r="E635" s="30" t="n">
        <f aca="false">E633/E634</f>
        <v>248.513587881202</v>
      </c>
      <c r="F635" s="30" t="n">
        <f aca="false">F633/F634</f>
        <v>302.29819143221</v>
      </c>
      <c r="G635" s="30" t="n">
        <f aca="false">G633/G634</f>
        <v>325.15631116374</v>
      </c>
      <c r="H635" s="28" t="n">
        <f aca="false">H633/H634</f>
        <v>332.496112076766</v>
      </c>
      <c r="I635" s="28" t="n">
        <f aca="false">I633/I634</f>
        <v>343.024280912222</v>
      </c>
      <c r="J635" s="28" t="n">
        <f aca="false">J633/J634</f>
        <v>357.001502381629</v>
      </c>
    </row>
    <row r="636" customFormat="false" ht="17.15" hidden="false" customHeight="false" outlineLevel="0" collapsed="false">
      <c r="A636" s="0" t="s">
        <v>466</v>
      </c>
      <c r="B636" s="0" t="s">
        <v>47</v>
      </c>
      <c r="D636" s="18" t="n">
        <f aca="false">D635/C635-1</f>
        <v>0.502285163924287</v>
      </c>
      <c r="E636" s="18" t="n">
        <f aca="false">E635/D635-1</f>
        <v>0.793881167876992</v>
      </c>
      <c r="F636" s="18" t="n">
        <f aca="false">F635/E635-1</f>
        <v>0.216425202378548</v>
      </c>
      <c r="G636" s="18" t="n">
        <f aca="false">G635/F635-1</f>
        <v>0.075614477292218</v>
      </c>
      <c r="H636" s="26" t="n">
        <f aca="false">H635/G635-1</f>
        <v>0.0225731460870515</v>
      </c>
      <c r="I636" s="26" t="n">
        <f aca="false">I635/H635-1</f>
        <v>0.031664035918187</v>
      </c>
      <c r="J636" s="26" t="n">
        <f aca="false">J635/I635-1</f>
        <v>0.0407470323448744</v>
      </c>
    </row>
    <row r="637" customFormat="false" ht="17.15" hidden="false" customHeight="false" outlineLevel="0" collapsed="false">
      <c r="A637" s="4" t="s">
        <v>467</v>
      </c>
      <c r="B637" s="0" t="s">
        <v>47</v>
      </c>
      <c r="C637" s="17" t="n">
        <f aca="false">C633/C618</f>
        <v>0.0537708946282752</v>
      </c>
      <c r="D637" s="17" t="n">
        <f aca="false">D633/D618</f>
        <v>0.0528101877339414</v>
      </c>
      <c r="E637" s="17" t="n">
        <f aca="false">E633/E618</f>
        <v>0.055027495078793</v>
      </c>
      <c r="F637" s="17" t="n">
        <f aca="false">F633/F618</f>
        <v>0.0577993409117223</v>
      </c>
      <c r="G637" s="17" t="n">
        <f aca="false">G633/G618</f>
        <v>0.0605612776236104</v>
      </c>
      <c r="H637" s="27" t="n">
        <f aca="false">$G637+(fade_mA-$G637)*1/3</f>
        <v>0.0597793268196987</v>
      </c>
      <c r="I637" s="27" t="n">
        <f aca="false">$G637+(fade_mA-$G637)*2/3</f>
        <v>0.058997376015787</v>
      </c>
      <c r="J637" s="27" t="n">
        <f aca="false">$G637+(fade_mA-$G637)*3/3</f>
        <v>0.0582154252118753</v>
      </c>
    </row>
    <row r="640" customFormat="false" ht="17.15" hidden="false" customHeight="false" outlineLevel="0" collapsed="false">
      <c r="A640" s="1" t="s">
        <v>749</v>
      </c>
    </row>
    <row r="641" customFormat="false" ht="17.15" hidden="false" customHeight="false" outlineLevel="0" collapsed="false">
      <c r="A641" s="5" t="s">
        <v>16</v>
      </c>
      <c r="B641" s="5" t="s">
        <v>17</v>
      </c>
      <c r="C641" s="14" t="s">
        <v>336</v>
      </c>
      <c r="D641" s="14" t="s">
        <v>415</v>
      </c>
      <c r="E641" s="14" t="s">
        <v>416</v>
      </c>
      <c r="F641" s="14" t="s">
        <v>417</v>
      </c>
      <c r="G641" s="14" t="s">
        <v>418</v>
      </c>
      <c r="H641" s="14" t="s">
        <v>419</v>
      </c>
      <c r="I641" s="14" t="s">
        <v>420</v>
      </c>
      <c r="J641" s="14" t="s">
        <v>421</v>
      </c>
      <c r="K641" s="5" t="s">
        <v>387</v>
      </c>
    </row>
    <row r="642" customFormat="false" ht="17.15" hidden="false" customHeight="false" outlineLevel="0" collapsed="false">
      <c r="A642" s="6" t="s">
        <v>437</v>
      </c>
    </row>
    <row r="643" customFormat="false" ht="17.15" hidden="false" customHeight="false" outlineLevel="0" collapsed="false">
      <c r="A643" s="0" t="s">
        <v>438</v>
      </c>
      <c r="B643" s="0" t="s">
        <v>27</v>
      </c>
      <c r="D643" s="30" t="n">
        <f aca="false">itc_26</f>
        <v>781.872916666667</v>
      </c>
      <c r="E643" s="30" t="n">
        <f aca="false">itc_27*1</f>
        <v>1565.35</v>
      </c>
      <c r="F643" s="30" t="n">
        <f aca="false">itc_28*um28_A*1</f>
        <v>1984.26388888889</v>
      </c>
      <c r="G643" s="30" t="n">
        <f aca="false">itc_29*um29_A*1</f>
        <v>2260.39027777778</v>
      </c>
    </row>
    <row r="644" customFormat="false" ht="17.15" hidden="false" customHeight="false" outlineLevel="0" collapsed="false">
      <c r="A644" s="4" t="s">
        <v>439</v>
      </c>
      <c r="B644" s="0" t="s">
        <v>27</v>
      </c>
      <c r="D644" s="30" t="n">
        <f aca="false">itpg_gb*(1-vr26)+itpg_vr*vr26</f>
        <v>33.41403216</v>
      </c>
      <c r="E644" s="30" t="n">
        <f aca="false">itpg_vr</f>
        <v>37.586352</v>
      </c>
      <c r="F644" s="30" t="n">
        <f aca="false">itpg_vr</f>
        <v>37.586352</v>
      </c>
      <c r="G644" s="30" t="n">
        <f aca="false">itpg_vr</f>
        <v>37.586352</v>
      </c>
    </row>
    <row r="645" customFormat="false" ht="17.15" hidden="false" customHeight="false" outlineLevel="0" collapsed="false">
      <c r="A645" s="4" t="s">
        <v>440</v>
      </c>
      <c r="B645" s="0" t="s">
        <v>389</v>
      </c>
      <c r="D645" s="21" t="n">
        <f aca="false">D643/D644</f>
        <v>23.3995380420639</v>
      </c>
      <c r="E645" s="21" t="n">
        <f aca="false">E643/E644</f>
        <v>41.6467658260637</v>
      </c>
      <c r="F645" s="21" t="n">
        <f aca="false">F643/F644</f>
        <v>52.792138191248</v>
      </c>
      <c r="G645" s="21" t="n">
        <f aca="false">G643/G644</f>
        <v>60.1385917361116</v>
      </c>
    </row>
    <row r="646" customFormat="false" ht="17.15" hidden="false" customHeight="false" outlineLevel="0" collapsed="false">
      <c r="A646" s="4" t="s">
        <v>441</v>
      </c>
      <c r="B646" s="0" t="s">
        <v>408</v>
      </c>
      <c r="D646" s="19" t="n">
        <f aca="false">(racks_gb*odm_gb*(1-vr26)+racks_vr*odm_vr*vr26)/1000</f>
        <v>27.1209</v>
      </c>
      <c r="E646" s="19" t="n">
        <f aca="false">racks_vr*odm_vr/1000</f>
        <v>27.351</v>
      </c>
      <c r="F646" s="19" t="n">
        <f aca="false">$E646*vpg_28</f>
        <v>27.351</v>
      </c>
      <c r="G646" s="19" t="n">
        <f aca="false">$E646*vpg_29</f>
        <v>27.351</v>
      </c>
      <c r="K646" s="4" t="s">
        <v>442</v>
      </c>
    </row>
    <row r="647" customFormat="false" ht="17.15" hidden="false" customHeight="false" outlineLevel="0" collapsed="false">
      <c r="A647" s="0" t="s">
        <v>443</v>
      </c>
      <c r="B647" s="0" t="s">
        <v>27</v>
      </c>
      <c r="D647" s="22" t="n">
        <f aca="false">D645*D646</f>
        <v>634.616531285011</v>
      </c>
      <c r="E647" s="22" t="n">
        <f aca="false">E645*E646</f>
        <v>1139.08069210867</v>
      </c>
      <c r="F647" s="22" t="n">
        <f aca="false">F645*F646</f>
        <v>1443.91777166882</v>
      </c>
      <c r="G647" s="22" t="n">
        <f aca="false">G645*G646</f>
        <v>1644.85062257439</v>
      </c>
    </row>
    <row r="648" customFormat="false" ht="17.15" hidden="false" customHeight="false" outlineLevel="0" collapsed="false">
      <c r="A648" s="0" t="s">
        <v>444</v>
      </c>
      <c r="B648" s="0" t="s">
        <v>184</v>
      </c>
      <c r="D648" s="22" t="n">
        <f aca="false">D647*fx</f>
        <v>20307.7290011204</v>
      </c>
      <c r="E648" s="22" t="n">
        <f aca="false">E647*fx</f>
        <v>36450.5821474774</v>
      </c>
      <c r="F648" s="22" t="n">
        <f aca="false">F647*fx</f>
        <v>46205.3686934024</v>
      </c>
      <c r="G648" s="22" t="n">
        <f aca="false">G647*fx</f>
        <v>52635.2199223804</v>
      </c>
    </row>
    <row r="649" customFormat="false" ht="17.15" hidden="false" customHeight="false" outlineLevel="0" collapsed="false">
      <c r="A649" s="4" t="s">
        <v>445</v>
      </c>
      <c r="B649" s="0" t="s">
        <v>47</v>
      </c>
      <c r="D649" s="17" t="n">
        <f aca="false">a26_ai/D648</f>
        <v>0.0344775081035094</v>
      </c>
      <c r="K649" s="8" t="s">
        <v>446</v>
      </c>
    </row>
    <row r="650" customFormat="false" ht="17.15" hidden="false" customHeight="false" outlineLevel="0" collapsed="false">
      <c r="A650" s="4" t="s">
        <v>447</v>
      </c>
      <c r="B650" s="0" t="s">
        <v>59</v>
      </c>
      <c r="D650" s="19" t="n">
        <f aca="false">1</f>
        <v>1</v>
      </c>
      <c r="E650" s="19" t="n">
        <f aca="false">rel_27</f>
        <v>1</v>
      </c>
      <c r="F650" s="19" t="n">
        <f aca="false">rel_28</f>
        <v>1</v>
      </c>
      <c r="G650" s="19" t="n">
        <f aca="false">rel_29</f>
        <v>0.95</v>
      </c>
    </row>
    <row r="651" customFormat="false" ht="17.15" hidden="false" customHeight="false" outlineLevel="0" collapsed="false">
      <c r="A651" s="0" t="s">
        <v>448</v>
      </c>
      <c r="B651" s="0" t="s">
        <v>59</v>
      </c>
      <c r="D651" s="23" t="n">
        <f aca="false">1</f>
        <v>1</v>
      </c>
      <c r="E651" s="23" t="n">
        <f aca="false">asic_mix*((ua_27/ua_26)/(ut_27/ut_26))+(1-asic_mix)</f>
        <v>1.44683544303797</v>
      </c>
      <c r="F651" s="23" t="n">
        <f aca="false">asic_mix*((ua_28/ua_26)/(ut_28/ut_26))+(1-asic_mix)</f>
        <v>1.47660377358491</v>
      </c>
      <c r="G651" s="23" t="n">
        <f aca="false">asic_mix*((ua_29/ua_26)/(ut_29/ut_26))+(1-asic_mix)</f>
        <v>1.49144278606965</v>
      </c>
      <c r="K651" s="8" t="s">
        <v>449</v>
      </c>
    </row>
    <row r="652" customFormat="false" ht="15" hidden="false" customHeight="false" outlineLevel="0" collapsed="false">
      <c r="A652" s="4" t="s">
        <v>398</v>
      </c>
      <c r="B652" s="0" t="s">
        <v>47</v>
      </c>
      <c r="D652" s="17" t="n">
        <f aca="false">$D$649*D650*D651</f>
        <v>0.0344775081035094</v>
      </c>
      <c r="E652" s="17" t="n">
        <f aca="false">$D$649*E650*E651</f>
        <v>0.0498832807117864</v>
      </c>
      <c r="F652" s="17" t="n">
        <f aca="false">$D$649*F650*F651</f>
        <v>0.0509096185694461</v>
      </c>
      <c r="G652" s="17" t="n">
        <f aca="false">$D$649*G650*G651</f>
        <v>0.0488501692055052</v>
      </c>
    </row>
    <row r="653" customFormat="false" ht="17.15" hidden="false" customHeight="false" outlineLevel="0" collapsed="false">
      <c r="A653" s="0" t="s">
        <v>450</v>
      </c>
      <c r="B653" s="0" t="s">
        <v>184</v>
      </c>
      <c r="D653" s="22" t="n">
        <f aca="false">D648*D652</f>
        <v>700.1598912</v>
      </c>
      <c r="E653" s="22" t="n">
        <f aca="false">E648*E652</f>
        <v>1818.27462137064</v>
      </c>
      <c r="F653" s="22" t="n">
        <f aca="false">F648*F652</f>
        <v>2352.29769604174</v>
      </c>
      <c r="G653" s="22" t="n">
        <f aca="false">G648*G652</f>
        <v>2571.23939937726</v>
      </c>
    </row>
    <row r="654" customFormat="false" ht="17.15" hidden="false" customHeight="false" outlineLevel="0" collapsed="false">
      <c r="A654" s="4" t="s">
        <v>404</v>
      </c>
      <c r="B654" s="0" t="s">
        <v>47</v>
      </c>
      <c r="D654" s="18" t="n">
        <f aca="false">0</f>
        <v>0</v>
      </c>
      <c r="E654" s="18" t="n">
        <f aca="false">cs_27</f>
        <v>0.05</v>
      </c>
      <c r="F654" s="18" t="n">
        <f aca="false">cs_28</f>
        <v>0.1</v>
      </c>
      <c r="G654" s="18" t="n">
        <f aca="false">cs_29</f>
        <v>0.15</v>
      </c>
      <c r="K654" s="8" t="s">
        <v>451</v>
      </c>
    </row>
    <row r="655" customFormat="false" ht="17.15" hidden="false" customHeight="false" outlineLevel="0" collapsed="false">
      <c r="A655" s="0" t="s">
        <v>452</v>
      </c>
      <c r="B655" s="0" t="s">
        <v>184</v>
      </c>
      <c r="C655" s="22" t="n">
        <f aca="false">a25_ai</f>
        <v>475.3315</v>
      </c>
      <c r="D655" s="22" t="n">
        <f aca="false">D653*(1-D654)</f>
        <v>700.1598912</v>
      </c>
      <c r="E655" s="22" t="n">
        <f aca="false">E653*(1-E654)</f>
        <v>1727.36089030211</v>
      </c>
      <c r="F655" s="22" t="n">
        <f aca="false">F653*(1-F654)</f>
        <v>2117.06792643757</v>
      </c>
      <c r="G655" s="22" t="n">
        <f aca="false">G653*(1-G654)</f>
        <v>2185.55348947067</v>
      </c>
    </row>
    <row r="656" customFormat="false" ht="17.15" hidden="false" customHeight="false" outlineLevel="0" collapsed="false">
      <c r="A656" s="6" t="s">
        <v>453</v>
      </c>
    </row>
    <row r="657" customFormat="false" ht="17.15" hidden="false" customHeight="false" outlineLevel="0" collapsed="false">
      <c r="A657" s="4" t="s">
        <v>373</v>
      </c>
      <c r="B657" s="0" t="s">
        <v>184</v>
      </c>
      <c r="C657" s="22" t="n">
        <f aca="false">a25_nai</f>
        <v>475.3315</v>
      </c>
      <c r="D657" s="22" t="n">
        <f aca="false">a26_nai</f>
        <v>758.5065488</v>
      </c>
      <c r="E657" s="22" t="n">
        <f aca="false">D657*(1+g_nai27)</f>
        <v>796.43187624</v>
      </c>
      <c r="F657" s="22" t="n">
        <f aca="false">E657*(1+g_nai28)</f>
        <v>820.3248325272</v>
      </c>
      <c r="G657" s="22" t="n">
        <f aca="false">F657*(1+g_nai29)</f>
        <v>844.934577503016</v>
      </c>
    </row>
    <row r="658" customFormat="false" ht="17.15" hidden="false" customHeight="false" outlineLevel="0" collapsed="false">
      <c r="A658" s="4" t="s">
        <v>342</v>
      </c>
      <c r="B658" s="0" t="s">
        <v>184</v>
      </c>
      <c r="C658" s="22" t="n">
        <f aca="false">C655+C657</f>
        <v>950.663</v>
      </c>
      <c r="D658" s="22" t="n">
        <f aca="false">D655+D657</f>
        <v>1458.66644</v>
      </c>
      <c r="E658" s="22" t="n">
        <f aca="false">E655+E657</f>
        <v>2523.79276654211</v>
      </c>
      <c r="F658" s="22" t="n">
        <f aca="false">F655+F657</f>
        <v>2937.39275896477</v>
      </c>
      <c r="G658" s="22" t="n">
        <f aca="false">G655+G657</f>
        <v>3030.48806697369</v>
      </c>
      <c r="H658" s="25" t="n">
        <f aca="false">G658*(1+H659)</f>
        <v>3155.12835768908</v>
      </c>
      <c r="I658" s="25" t="n">
        <f aca="false">H658*(1+I659)</f>
        <v>3314.6655056075</v>
      </c>
      <c r="J658" s="25" t="n">
        <f aca="false">I658*(1+J659)</f>
        <v>3513.54543594395</v>
      </c>
      <c r="K658" s="8" t="s">
        <v>454</v>
      </c>
    </row>
    <row r="659" customFormat="false" ht="15" hidden="false" customHeight="false" outlineLevel="0" collapsed="false">
      <c r="A659" s="4" t="s">
        <v>455</v>
      </c>
      <c r="B659" s="0" t="s">
        <v>47</v>
      </c>
      <c r="D659" s="18" t="n">
        <f aca="false">D658/C658-1</f>
        <v>0.534367530870561</v>
      </c>
      <c r="E659" s="18" t="n">
        <f aca="false">E658/D658-1</f>
        <v>0.730205547569951</v>
      </c>
      <c r="F659" s="18" t="n">
        <f aca="false">F658/E658-1</f>
        <v>0.163880330392316</v>
      </c>
      <c r="G659" s="18" t="n">
        <f aca="false">G658/F658-1</f>
        <v>0.0316931767891091</v>
      </c>
      <c r="H659" s="26" t="n">
        <f aca="false">$G659+(fade_gA-$G659)*1/3</f>
        <v>0.0411287845260727</v>
      </c>
      <c r="I659" s="26" t="n">
        <f aca="false">$G659+(fade_gA-$G659)*2/3</f>
        <v>0.0505643922630364</v>
      </c>
      <c r="J659" s="26" t="n">
        <f aca="false">$G659+(fade_gA-$G659)*3/3</f>
        <v>0.06</v>
      </c>
    </row>
    <row r="660" customFormat="false" ht="17.15" hidden="false" customHeight="false" outlineLevel="0" collapsed="false">
      <c r="A660" s="0" t="s">
        <v>456</v>
      </c>
      <c r="B660" s="0" t="s">
        <v>47</v>
      </c>
      <c r="C660" s="18" t="n">
        <f aca="false">C655/C658</f>
        <v>0.5</v>
      </c>
      <c r="D660" s="18" t="n">
        <f aca="false">D655/D658</f>
        <v>0.48</v>
      </c>
      <c r="E660" s="18" t="n">
        <f aca="false">E655/E658</f>
        <v>0.684430557532977</v>
      </c>
      <c r="F660" s="18" t="n">
        <f aca="false">F655/F658</f>
        <v>0.720730287080741</v>
      </c>
      <c r="G660" s="18" t="n">
        <f aca="false">G655/G658</f>
        <v>0.721188614233091</v>
      </c>
    </row>
    <row r="661" customFormat="false" ht="17.15" hidden="false" customHeight="false" outlineLevel="0" collapsed="false">
      <c r="A661" s="4" t="s">
        <v>407</v>
      </c>
      <c r="B661" s="0" t="s">
        <v>408</v>
      </c>
      <c r="D661" s="23" t="n">
        <f aca="false">D655/fx/D645</f>
        <v>0.935061049524468</v>
      </c>
      <c r="E661" s="23" t="n">
        <f aca="false">E655/fx/E645</f>
        <v>1.29613973021067</v>
      </c>
      <c r="F661" s="23" t="n">
        <f aca="false">F655/fx/F645</f>
        <v>1.25318607974363</v>
      </c>
      <c r="G661" s="23" t="n">
        <f aca="false">G655/fx/G645</f>
        <v>1.13568583124881</v>
      </c>
    </row>
    <row r="662" customFormat="false" ht="17.15" hidden="false" customHeight="false" outlineLevel="0" collapsed="false">
      <c r="A662" s="6" t="s">
        <v>457</v>
      </c>
    </row>
    <row r="663" customFormat="false" ht="17.15" hidden="false" customHeight="false" outlineLevel="0" collapsed="false">
      <c r="A663" s="4" t="s">
        <v>458</v>
      </c>
      <c r="B663" s="0" t="s">
        <v>47</v>
      </c>
      <c r="D663" s="17" t="n">
        <f aca="false">a26_gp/D658-d_ai*D660</f>
        <v>0.0882120920201606</v>
      </c>
      <c r="K663" s="8" t="s">
        <v>459</v>
      </c>
    </row>
    <row r="664" customFormat="false" ht="17.15" hidden="false" customHeight="false" outlineLevel="0" collapsed="false">
      <c r="A664" s="0" t="s">
        <v>460</v>
      </c>
      <c r="B664" s="0" t="s">
        <v>184</v>
      </c>
      <c r="D664" s="30" t="n">
        <f aca="false">($D$663+d_ai)*D653*(1-D654*(1-keep))</f>
        <v>54.76096983936</v>
      </c>
      <c r="E664" s="30" t="n">
        <f aca="false">($D$663+d_ai+vrd_lo)*E653*(1-E654*(1-keep))</f>
        <v>132.454090453222</v>
      </c>
      <c r="F664" s="30" t="n">
        <f aca="false">($D$663+d_ai+vrd_lo)*F653*(1-F654*(1-keep))</f>
        <v>170.494469027605</v>
      </c>
      <c r="G664" s="30" t="n">
        <f aca="false">($D$663+d_ai+vrd_lo)*G653*(1-G654*(1-keep))</f>
        <v>185.422128280374</v>
      </c>
      <c r="K664" s="4" t="s">
        <v>461</v>
      </c>
    </row>
    <row r="665" customFormat="false" ht="15" hidden="false" customHeight="false" outlineLevel="0" collapsed="false">
      <c r="A665" s="4" t="s">
        <v>346</v>
      </c>
      <c r="B665" s="0" t="s">
        <v>184</v>
      </c>
      <c r="C665" s="22" t="n">
        <f aca="false">a25_gp</f>
        <v>78.454</v>
      </c>
      <c r="D665" s="22" t="n">
        <f aca="false">a26_gp</f>
        <v>121.67041932</v>
      </c>
      <c r="E665" s="22" t="n">
        <f aca="false">$D$663*E657+E664</f>
        <v>202.709012407894</v>
      </c>
      <c r="F665" s="22" t="n">
        <f aca="false">$D$663*F657+F664</f>
        <v>242.857038640918</v>
      </c>
      <c r="G665" s="22" t="n">
        <f aca="false">$D$663*G657+G664</f>
        <v>259.955574982086</v>
      </c>
    </row>
    <row r="666" customFormat="false" ht="15" hidden="false" customHeight="false" outlineLevel="0" collapsed="false">
      <c r="A666" s="4" t="s">
        <v>349</v>
      </c>
      <c r="B666" s="0" t="s">
        <v>47</v>
      </c>
      <c r="C666" s="17" t="n">
        <f aca="false">C665/C658</f>
        <v>0.0825255637381491</v>
      </c>
      <c r="D666" s="17" t="n">
        <f aca="false">D665/D658</f>
        <v>0.0834120920201606</v>
      </c>
      <c r="E666" s="17" t="n">
        <f aca="false">E665/E658</f>
        <v>0.0803191985868271</v>
      </c>
      <c r="F666" s="17" t="n">
        <f aca="false">F665/F658</f>
        <v>0.0826777549238966</v>
      </c>
      <c r="G666" s="17" t="n">
        <f aca="false">G665/G658</f>
        <v>0.0857801018308194</v>
      </c>
    </row>
    <row r="667" customFormat="false" ht="17.15" hidden="false" customHeight="false" outlineLevel="0" collapsed="false">
      <c r="A667" s="0" t="s">
        <v>462</v>
      </c>
      <c r="B667" s="0" t="s">
        <v>47</v>
      </c>
      <c r="D667" s="17" t="n">
        <f aca="false">D664/D655</f>
        <v>0.0782120920201606</v>
      </c>
      <c r="E667" s="17" t="n">
        <f aca="false">E664/E655</f>
        <v>0.0766800332211155</v>
      </c>
      <c r="F667" s="17" t="n">
        <f aca="false">F664/F655</f>
        <v>0.0805333012221766</v>
      </c>
      <c r="G667" s="17" t="n">
        <f aca="false">G664/G655</f>
        <v>0.0848398948704214</v>
      </c>
      <c r="K667" s="4" t="s">
        <v>463</v>
      </c>
    </row>
    <row r="668" customFormat="false" ht="15" hidden="false" customHeight="false" outlineLevel="0" collapsed="false">
      <c r="A668" s="4" t="s">
        <v>464</v>
      </c>
      <c r="B668" s="0" t="s">
        <v>184</v>
      </c>
      <c r="C668" s="22" t="n">
        <f aca="false">a25_opx</f>
        <v>14.536</v>
      </c>
      <c r="D668" s="22" t="n">
        <f aca="false">a26_opx</f>
        <v>22.5183263</v>
      </c>
      <c r="E668" s="22" t="n">
        <f aca="false">D668*(1+MAX(0,phi*E659))</f>
        <v>35.6727317290002</v>
      </c>
      <c r="F668" s="22" t="n">
        <f aca="false">E668*(1+MAX(0,phi*F659))</f>
        <v>40.3495789783962</v>
      </c>
      <c r="G668" s="22" t="n">
        <f aca="false">F668*(1+MAX(0,phi*G659))</f>
        <v>41.372624050339</v>
      </c>
    </row>
    <row r="669" customFormat="false" ht="15" hidden="false" customHeight="false" outlineLevel="0" collapsed="false">
      <c r="A669" s="4" t="s">
        <v>350</v>
      </c>
      <c r="B669" s="0" t="s">
        <v>184</v>
      </c>
      <c r="C669" s="22" t="n">
        <f aca="false">C668</f>
        <v>14.536</v>
      </c>
      <c r="D669" s="22" t="n">
        <f aca="false">D668</f>
        <v>22.5183263</v>
      </c>
      <c r="E669" s="22" t="n">
        <f aca="false">E668+0*E658</f>
        <v>35.6727317290002</v>
      </c>
      <c r="F669" s="22" t="n">
        <f aca="false">F668+0*F658</f>
        <v>40.3495789783962</v>
      </c>
      <c r="G669" s="22" t="n">
        <f aca="false">G668+0*G658</f>
        <v>41.372624050339</v>
      </c>
    </row>
    <row r="670" customFormat="false" ht="15" hidden="false" customHeight="false" outlineLevel="0" collapsed="false">
      <c r="A670" s="4" t="s">
        <v>353</v>
      </c>
      <c r="B670" s="0" t="s">
        <v>184</v>
      </c>
      <c r="C670" s="22" t="n">
        <f aca="false">C665-C669</f>
        <v>63.918</v>
      </c>
      <c r="D670" s="22" t="n">
        <f aca="false">D665-D669</f>
        <v>99.15209302</v>
      </c>
      <c r="E670" s="22" t="n">
        <f aca="false">E665-E669</f>
        <v>167.036280678893</v>
      </c>
      <c r="F670" s="22" t="n">
        <f aca="false">F665-F669</f>
        <v>202.507459662521</v>
      </c>
      <c r="G670" s="22" t="n">
        <f aca="false">G665-G669</f>
        <v>218.582950931747</v>
      </c>
    </row>
    <row r="671" customFormat="false" ht="15" hidden="false" customHeight="false" outlineLevel="0" collapsed="false">
      <c r="A671" s="4" t="s">
        <v>356</v>
      </c>
      <c r="B671" s="0" t="s">
        <v>47</v>
      </c>
      <c r="C671" s="17" t="n">
        <f aca="false">C670/C658</f>
        <v>0.0672351821833815</v>
      </c>
      <c r="D671" s="17" t="n">
        <f aca="false">D670/D658</f>
        <v>0.0679744801834201</v>
      </c>
      <c r="E671" s="17" t="n">
        <f aca="false">E670/E658</f>
        <v>0.0661846261282983</v>
      </c>
      <c r="F671" s="17" t="n">
        <f aca="false">F670/F658</f>
        <v>0.0689412265501368</v>
      </c>
      <c r="G671" s="17" t="n">
        <f aca="false">G670/G658</f>
        <v>0.0721279695220937</v>
      </c>
    </row>
    <row r="672" customFormat="false" ht="17.15" hidden="false" customHeight="false" outlineLevel="0" collapsed="false">
      <c r="A672" s="4" t="s">
        <v>218</v>
      </c>
      <c r="B672" s="0" t="s">
        <v>47</v>
      </c>
      <c r="C672" s="18" t="n">
        <f aca="false">a25_ni/a25_oi</f>
        <v>0.799743421258488</v>
      </c>
      <c r="D672" s="18" t="n">
        <f aca="false">a26_ni/a26_oi</f>
        <v>0.776911976251089</v>
      </c>
      <c r="E672" s="18" t="n">
        <f aca="false">nio_f</f>
        <v>0.78</v>
      </c>
      <c r="F672" s="18" t="n">
        <f aca="false">nio_f</f>
        <v>0.78</v>
      </c>
      <c r="G672" s="18" t="n">
        <f aca="false">nio_f</f>
        <v>0.78</v>
      </c>
    </row>
    <row r="673" customFormat="false" ht="15" hidden="false" customHeight="false" outlineLevel="0" collapsed="false">
      <c r="A673" s="4" t="s">
        <v>357</v>
      </c>
      <c r="B673" s="0" t="s">
        <v>184</v>
      </c>
      <c r="C673" s="22" t="n">
        <f aca="false">a25_ni</f>
        <v>51.118</v>
      </c>
      <c r="D673" s="22" t="n">
        <f aca="false">a26_ni</f>
        <v>77.0324485376</v>
      </c>
      <c r="E673" s="22" t="n">
        <f aca="false">E670*E672</f>
        <v>130.288298929537</v>
      </c>
      <c r="F673" s="22" t="n">
        <f aca="false">F670*F672</f>
        <v>157.955818536767</v>
      </c>
      <c r="G673" s="22" t="n">
        <f aca="false">G670*G672</f>
        <v>170.494701726763</v>
      </c>
      <c r="H673" s="25" t="n">
        <f aca="false">H658*H677</f>
        <v>179.563674031585</v>
      </c>
      <c r="I673" s="25" t="n">
        <f aca="false">I658*I677</f>
        <v>190.803931962793</v>
      </c>
      <c r="J673" s="25" t="n">
        <f aca="false">J658*J677</f>
        <v>204.542541554721</v>
      </c>
    </row>
    <row r="674" customFormat="false" ht="15" hidden="false" customHeight="false" outlineLevel="0" collapsed="false">
      <c r="A674" s="4" t="s">
        <v>465</v>
      </c>
      <c r="B674" s="4" t="s">
        <v>205</v>
      </c>
      <c r="C674" s="29" t="n">
        <f aca="false">a25_sh</f>
        <v>0.554331761662183</v>
      </c>
      <c r="D674" s="29" t="n">
        <f aca="false">a26_sh</f>
        <v>0.556054338618749</v>
      </c>
      <c r="E674" s="29" t="n">
        <f aca="false">D674*(1+sh_g)</f>
        <v>0.558834610311843</v>
      </c>
      <c r="F674" s="29" t="n">
        <f aca="false">E674*(1+sh_g)</f>
        <v>0.561628783363402</v>
      </c>
      <c r="G674" s="29" t="n">
        <f aca="false">F674*(1+sh_g)</f>
        <v>0.564436927280219</v>
      </c>
      <c r="H674" s="31" t="n">
        <f aca="false">G674*(1+sh_g)</f>
        <v>0.56725911191662</v>
      </c>
      <c r="I674" s="31" t="n">
        <f aca="false">H674*(1+sh_g)</f>
        <v>0.570095407476203</v>
      </c>
      <c r="J674" s="31" t="n">
        <f aca="false">I674*(1+sh_g)</f>
        <v>0.572945884513584</v>
      </c>
    </row>
    <row r="675" customFormat="false" ht="17.15" hidden="false" customHeight="false" outlineLevel="0" collapsed="false">
      <c r="A675" s="0" t="s">
        <v>363</v>
      </c>
      <c r="B675" s="0" t="s">
        <v>235</v>
      </c>
      <c r="C675" s="30" t="n">
        <f aca="false">C673/C674</f>
        <v>92.2155350556153</v>
      </c>
      <c r="D675" s="30" t="n">
        <f aca="false">D673/D674</f>
        <v>138.534030197391</v>
      </c>
      <c r="E675" s="30" t="n">
        <f aca="false">E673/E674</f>
        <v>233.142859310079</v>
      </c>
      <c r="F675" s="30" t="n">
        <f aca="false">F673/F674</f>
        <v>281.245946104869</v>
      </c>
      <c r="G675" s="30" t="n">
        <f aca="false">G673/G674</f>
        <v>302.06156522803</v>
      </c>
      <c r="H675" s="28" t="n">
        <f aca="false">H673/H674</f>
        <v>316.546125499662</v>
      </c>
      <c r="I675" s="28" t="n">
        <f aca="false">I673/I674</f>
        <v>334.687719740591</v>
      </c>
      <c r="J675" s="28" t="n">
        <f aca="false">J673/J674</f>
        <v>357.001502381629</v>
      </c>
    </row>
    <row r="676" customFormat="false" ht="17.15" hidden="false" customHeight="false" outlineLevel="0" collapsed="false">
      <c r="A676" s="0" t="s">
        <v>466</v>
      </c>
      <c r="B676" s="0" t="s">
        <v>47</v>
      </c>
      <c r="D676" s="18" t="n">
        <f aca="false">D675/C675-1</f>
        <v>0.502285163924287</v>
      </c>
      <c r="E676" s="18" t="n">
        <f aca="false">E675/D675-1</f>
        <v>0.682928439877799</v>
      </c>
      <c r="F676" s="18" t="n">
        <f aca="false">F675/E675-1</f>
        <v>0.206324512520512</v>
      </c>
      <c r="G676" s="18" t="n">
        <f aca="false">G675/F675-1</f>
        <v>0.0740121570157633</v>
      </c>
      <c r="H676" s="26" t="n">
        <f aca="false">H675/G675-1</f>
        <v>0.0479523446178838</v>
      </c>
      <c r="I676" s="26" t="n">
        <f aca="false">I675/H675-1</f>
        <v>0.0573110607886695</v>
      </c>
      <c r="J676" s="26" t="n">
        <f aca="false">J675/I675-1</f>
        <v>0.0666704552480555</v>
      </c>
    </row>
    <row r="677" customFormat="false" ht="17.15" hidden="false" customHeight="false" outlineLevel="0" collapsed="false">
      <c r="A677" s="4" t="s">
        <v>467</v>
      </c>
      <c r="B677" s="0" t="s">
        <v>47</v>
      </c>
      <c r="C677" s="17" t="n">
        <f aca="false">C673/C658</f>
        <v>0.0537708946282752</v>
      </c>
      <c r="D677" s="17" t="n">
        <f aca="false">D673/D658</f>
        <v>0.0528101877339414</v>
      </c>
      <c r="E677" s="17" t="n">
        <f aca="false">E673/E658</f>
        <v>0.0516240083800727</v>
      </c>
      <c r="F677" s="17" t="n">
        <f aca="false">F673/F658</f>
        <v>0.0537741567091067</v>
      </c>
      <c r="G677" s="17" t="n">
        <f aca="false">G673/G658</f>
        <v>0.0562598162272331</v>
      </c>
      <c r="H677" s="27" t="n">
        <f aca="false">$G677+(fade_mA-$G677)*1/3</f>
        <v>0.0569116858887805</v>
      </c>
      <c r="I677" s="27" t="n">
        <f aca="false">$G677+(fade_mA-$G677)*2/3</f>
        <v>0.0575635555503279</v>
      </c>
      <c r="J677" s="27" t="n">
        <f aca="false">$G677+(fade_mA-$G677)*3/3</f>
        <v>0.0582154252118753</v>
      </c>
    </row>
    <row r="680" customFormat="false" ht="17.15" hidden="false" customHeight="false" outlineLevel="0" collapsed="false">
      <c r="A680" s="1" t="s">
        <v>750</v>
      </c>
    </row>
    <row r="681" customFormat="false" ht="17.15" hidden="false" customHeight="false" outlineLevel="0" collapsed="false">
      <c r="A681" s="5" t="s">
        <v>16</v>
      </c>
      <c r="B681" s="5" t="s">
        <v>17</v>
      </c>
      <c r="C681" s="14" t="s">
        <v>336</v>
      </c>
      <c r="D681" s="14" t="s">
        <v>415</v>
      </c>
      <c r="E681" s="14" t="s">
        <v>416</v>
      </c>
      <c r="F681" s="14" t="s">
        <v>417</v>
      </c>
      <c r="G681" s="14" t="s">
        <v>418</v>
      </c>
      <c r="H681" s="14" t="s">
        <v>419</v>
      </c>
      <c r="I681" s="14" t="s">
        <v>420</v>
      </c>
      <c r="J681" s="14" t="s">
        <v>421</v>
      </c>
      <c r="K681" s="5" t="s">
        <v>387</v>
      </c>
    </row>
    <row r="682" customFormat="false" ht="17.15" hidden="false" customHeight="false" outlineLevel="0" collapsed="false">
      <c r="A682" s="6" t="s">
        <v>437</v>
      </c>
    </row>
    <row r="683" customFormat="false" ht="17.15" hidden="false" customHeight="false" outlineLevel="0" collapsed="false">
      <c r="A683" s="0" t="s">
        <v>438</v>
      </c>
      <c r="B683" s="0" t="s">
        <v>27</v>
      </c>
      <c r="D683" s="30" t="n">
        <f aca="false">itc_26</f>
        <v>781.872916666667</v>
      </c>
      <c r="E683" s="30" t="n">
        <f aca="false">itc_27*1</f>
        <v>1565.35</v>
      </c>
      <c r="F683" s="30" t="n">
        <f aca="false">itc_28*um28_A*1</f>
        <v>1984.26388888889</v>
      </c>
      <c r="G683" s="30" t="n">
        <f aca="false">itc_29*um29_A*1</f>
        <v>2260.39027777778</v>
      </c>
    </row>
    <row r="684" customFormat="false" ht="17.15" hidden="false" customHeight="false" outlineLevel="0" collapsed="false">
      <c r="A684" s="4" t="s">
        <v>439</v>
      </c>
      <c r="B684" s="0" t="s">
        <v>27</v>
      </c>
      <c r="D684" s="30" t="n">
        <f aca="false">itpg_gb*(1-vr26)+itpg_vr*vr26</f>
        <v>33.41403216</v>
      </c>
      <c r="E684" s="30" t="n">
        <f aca="false">itpg_vr</f>
        <v>37.586352</v>
      </c>
      <c r="F684" s="30" t="n">
        <f aca="false">itpg_vr</f>
        <v>37.586352</v>
      </c>
      <c r="G684" s="30" t="n">
        <f aca="false">itpg_vr</f>
        <v>37.586352</v>
      </c>
    </row>
    <row r="685" customFormat="false" ht="17.15" hidden="false" customHeight="false" outlineLevel="0" collapsed="false">
      <c r="A685" s="4" t="s">
        <v>440</v>
      </c>
      <c r="B685" s="0" t="s">
        <v>389</v>
      </c>
      <c r="D685" s="21" t="n">
        <f aca="false">D683/D684</f>
        <v>23.3995380420639</v>
      </c>
      <c r="E685" s="21" t="n">
        <f aca="false">E683/E684</f>
        <v>41.6467658260637</v>
      </c>
      <c r="F685" s="21" t="n">
        <f aca="false">F683/F684</f>
        <v>52.792138191248</v>
      </c>
      <c r="G685" s="21" t="n">
        <f aca="false">G683/G684</f>
        <v>60.1385917361116</v>
      </c>
    </row>
    <row r="686" customFormat="false" ht="17.15" hidden="false" customHeight="false" outlineLevel="0" collapsed="false">
      <c r="A686" s="4" t="s">
        <v>441</v>
      </c>
      <c r="B686" s="0" t="s">
        <v>408</v>
      </c>
      <c r="D686" s="19" t="n">
        <f aca="false">(racks_gb*odm_gb*(1-vr26)+racks_vr*odm_vr*vr26)/1000</f>
        <v>27.1209</v>
      </c>
      <c r="E686" s="19" t="n">
        <f aca="false">racks_vr*odm_vr/1000</f>
        <v>27.351</v>
      </c>
      <c r="F686" s="19" t="n">
        <f aca="false">$E686*vpg_28</f>
        <v>27.351</v>
      </c>
      <c r="G686" s="19" t="n">
        <f aca="false">$E686*vpg_29</f>
        <v>27.351</v>
      </c>
      <c r="K686" s="4" t="s">
        <v>442</v>
      </c>
    </row>
    <row r="687" customFormat="false" ht="17.15" hidden="false" customHeight="false" outlineLevel="0" collapsed="false">
      <c r="A687" s="0" t="s">
        <v>443</v>
      </c>
      <c r="B687" s="0" t="s">
        <v>27</v>
      </c>
      <c r="D687" s="22" t="n">
        <f aca="false">D685*D686</f>
        <v>634.616531285011</v>
      </c>
      <c r="E687" s="22" t="n">
        <f aca="false">E685*E686</f>
        <v>1139.08069210867</v>
      </c>
      <c r="F687" s="22" t="n">
        <f aca="false">F685*F686</f>
        <v>1443.91777166882</v>
      </c>
      <c r="G687" s="22" t="n">
        <f aca="false">G685*G686</f>
        <v>1644.85062257439</v>
      </c>
    </row>
    <row r="688" customFormat="false" ht="17.15" hidden="false" customHeight="false" outlineLevel="0" collapsed="false">
      <c r="A688" s="0" t="s">
        <v>444</v>
      </c>
      <c r="B688" s="0" t="s">
        <v>184</v>
      </c>
      <c r="D688" s="22" t="n">
        <f aca="false">D687*fx</f>
        <v>20307.7290011204</v>
      </c>
      <c r="E688" s="22" t="n">
        <f aca="false">E687*fx</f>
        <v>36450.5821474774</v>
      </c>
      <c r="F688" s="22" t="n">
        <f aca="false">F687*fx</f>
        <v>46205.3686934024</v>
      </c>
      <c r="G688" s="22" t="n">
        <f aca="false">G687*fx</f>
        <v>52635.2199223804</v>
      </c>
    </row>
    <row r="689" customFormat="false" ht="17.15" hidden="false" customHeight="false" outlineLevel="0" collapsed="false">
      <c r="A689" s="4" t="s">
        <v>445</v>
      </c>
      <c r="B689" s="0" t="s">
        <v>47</v>
      </c>
      <c r="D689" s="17" t="n">
        <f aca="false">a26_ai/D688</f>
        <v>0.0344775081035094</v>
      </c>
      <c r="K689" s="8" t="s">
        <v>446</v>
      </c>
    </row>
    <row r="690" customFormat="false" ht="17.15" hidden="false" customHeight="false" outlineLevel="0" collapsed="false">
      <c r="A690" s="4" t="s">
        <v>447</v>
      </c>
      <c r="B690" s="0" t="s">
        <v>59</v>
      </c>
      <c r="D690" s="19" t="n">
        <f aca="false">1</f>
        <v>1</v>
      </c>
      <c r="E690" s="19" t="n">
        <f aca="false">rel_27</f>
        <v>1</v>
      </c>
      <c r="F690" s="19" t="n">
        <f aca="false">rel_28</f>
        <v>1</v>
      </c>
      <c r="G690" s="19" t="n">
        <f aca="false">rel_29</f>
        <v>0.95</v>
      </c>
    </row>
    <row r="691" customFormat="false" ht="17.15" hidden="false" customHeight="false" outlineLevel="0" collapsed="false">
      <c r="A691" s="0" t="s">
        <v>448</v>
      </c>
      <c r="B691" s="0" t="s">
        <v>59</v>
      </c>
      <c r="D691" s="23" t="n">
        <f aca="false">1</f>
        <v>1</v>
      </c>
      <c r="E691" s="23" t="n">
        <f aca="false">asic_mix*((ua_27/ua_26)/(ut_27/ut_26))+(1-asic_mix)</f>
        <v>1.44683544303797</v>
      </c>
      <c r="F691" s="23" t="n">
        <f aca="false">asic_mix*((ua_28/ua_26)/(ut_28/ut_26))+(1-asic_mix)</f>
        <v>1.47660377358491</v>
      </c>
      <c r="G691" s="23" t="n">
        <f aca="false">asic_mix*((ua_29/ua_26)/(ut_29/ut_26))+(1-asic_mix)</f>
        <v>1.49144278606965</v>
      </c>
      <c r="K691" s="8" t="s">
        <v>449</v>
      </c>
    </row>
    <row r="692" customFormat="false" ht="15" hidden="false" customHeight="false" outlineLevel="0" collapsed="false">
      <c r="A692" s="4" t="s">
        <v>398</v>
      </c>
      <c r="B692" s="0" t="s">
        <v>47</v>
      </c>
      <c r="D692" s="17" t="n">
        <f aca="false">$D$689*D690*D691</f>
        <v>0.0344775081035094</v>
      </c>
      <c r="E692" s="17" t="n">
        <f aca="false">$D$689*E690*E691</f>
        <v>0.0498832807117864</v>
      </c>
      <c r="F692" s="17" t="n">
        <f aca="false">$D$689*F690*F691</f>
        <v>0.0509096185694461</v>
      </c>
      <c r="G692" s="17" t="n">
        <f aca="false">$D$689*G690*G691</f>
        <v>0.0488501692055052</v>
      </c>
    </row>
    <row r="693" customFormat="false" ht="17.15" hidden="false" customHeight="false" outlineLevel="0" collapsed="false">
      <c r="A693" s="0" t="s">
        <v>450</v>
      </c>
      <c r="B693" s="0" t="s">
        <v>184</v>
      </c>
      <c r="D693" s="22" t="n">
        <f aca="false">D688*D692</f>
        <v>700.1598912</v>
      </c>
      <c r="E693" s="22" t="n">
        <f aca="false">E688*E692</f>
        <v>1818.27462137064</v>
      </c>
      <c r="F693" s="22" t="n">
        <f aca="false">F688*F692</f>
        <v>2352.29769604174</v>
      </c>
      <c r="G693" s="22" t="n">
        <f aca="false">G688*G692</f>
        <v>2571.23939937726</v>
      </c>
    </row>
    <row r="694" customFormat="false" ht="17.15" hidden="false" customHeight="false" outlineLevel="0" collapsed="false">
      <c r="A694" s="4" t="s">
        <v>404</v>
      </c>
      <c r="B694" s="0" t="s">
        <v>47</v>
      </c>
      <c r="D694" s="18" t="n">
        <f aca="false">0</f>
        <v>0</v>
      </c>
      <c r="E694" s="18" t="n">
        <f aca="false">cs_27</f>
        <v>0.05</v>
      </c>
      <c r="F694" s="18" t="n">
        <f aca="false">cs_28</f>
        <v>0.1</v>
      </c>
      <c r="G694" s="18" t="n">
        <f aca="false">cs_29</f>
        <v>0.15</v>
      </c>
      <c r="K694" s="8" t="s">
        <v>451</v>
      </c>
    </row>
    <row r="695" customFormat="false" ht="17.15" hidden="false" customHeight="false" outlineLevel="0" collapsed="false">
      <c r="A695" s="0" t="s">
        <v>452</v>
      </c>
      <c r="B695" s="0" t="s">
        <v>184</v>
      </c>
      <c r="C695" s="22" t="n">
        <f aca="false">a25_ai</f>
        <v>475.3315</v>
      </c>
      <c r="D695" s="22" t="n">
        <f aca="false">D693*(1-D694)</f>
        <v>700.1598912</v>
      </c>
      <c r="E695" s="22" t="n">
        <f aca="false">E693*(1-E694)</f>
        <v>1727.36089030211</v>
      </c>
      <c r="F695" s="22" t="n">
        <f aca="false">F693*(1-F694)</f>
        <v>2117.06792643757</v>
      </c>
      <c r="G695" s="22" t="n">
        <f aca="false">G693*(1-G694)</f>
        <v>2185.55348947067</v>
      </c>
    </row>
    <row r="696" customFormat="false" ht="17.15" hidden="false" customHeight="false" outlineLevel="0" collapsed="false">
      <c r="A696" s="6" t="s">
        <v>453</v>
      </c>
    </row>
    <row r="697" customFormat="false" ht="17.15" hidden="false" customHeight="false" outlineLevel="0" collapsed="false">
      <c r="A697" s="4" t="s">
        <v>373</v>
      </c>
      <c r="B697" s="0" t="s">
        <v>184</v>
      </c>
      <c r="C697" s="22" t="n">
        <f aca="false">a25_nai</f>
        <v>475.3315</v>
      </c>
      <c r="D697" s="22" t="n">
        <f aca="false">a26_nai</f>
        <v>758.5065488</v>
      </c>
      <c r="E697" s="22" t="n">
        <f aca="false">D697*(1+g_nai27)</f>
        <v>796.43187624</v>
      </c>
      <c r="F697" s="22" t="n">
        <f aca="false">E697*(1+g_nai28)</f>
        <v>820.3248325272</v>
      </c>
      <c r="G697" s="22" t="n">
        <f aca="false">F697*(1+g_nai29)</f>
        <v>844.934577503016</v>
      </c>
    </row>
    <row r="698" customFormat="false" ht="17.15" hidden="false" customHeight="false" outlineLevel="0" collapsed="false">
      <c r="A698" s="4" t="s">
        <v>342</v>
      </c>
      <c r="B698" s="0" t="s">
        <v>184</v>
      </c>
      <c r="C698" s="22" t="n">
        <f aca="false">C695+C697</f>
        <v>950.663</v>
      </c>
      <c r="D698" s="22" t="n">
        <f aca="false">D695+D697</f>
        <v>1458.66644</v>
      </c>
      <c r="E698" s="22" t="n">
        <f aca="false">E695+E697</f>
        <v>2523.79276654211</v>
      </c>
      <c r="F698" s="22" t="n">
        <f aca="false">F695+F697</f>
        <v>2937.39275896477</v>
      </c>
      <c r="G698" s="22" t="n">
        <f aca="false">G695+G697</f>
        <v>3030.48806697369</v>
      </c>
      <c r="H698" s="25" t="n">
        <f aca="false">G698*(1+H699)</f>
        <v>3155.12835768908</v>
      </c>
      <c r="I698" s="25" t="n">
        <f aca="false">H698*(1+I699)</f>
        <v>3314.6655056075</v>
      </c>
      <c r="J698" s="25" t="n">
        <f aca="false">I698*(1+J699)</f>
        <v>3513.54543594395</v>
      </c>
      <c r="K698" s="8" t="s">
        <v>454</v>
      </c>
    </row>
    <row r="699" customFormat="false" ht="15" hidden="false" customHeight="false" outlineLevel="0" collapsed="false">
      <c r="A699" s="4" t="s">
        <v>455</v>
      </c>
      <c r="B699" s="0" t="s">
        <v>47</v>
      </c>
      <c r="D699" s="18" t="n">
        <f aca="false">D698/C698-1</f>
        <v>0.534367530870561</v>
      </c>
      <c r="E699" s="18" t="n">
        <f aca="false">E698/D698-1</f>
        <v>0.730205547569951</v>
      </c>
      <c r="F699" s="18" t="n">
        <f aca="false">F698/E698-1</f>
        <v>0.163880330392316</v>
      </c>
      <c r="G699" s="18" t="n">
        <f aca="false">G698/F698-1</f>
        <v>0.0316931767891091</v>
      </c>
      <c r="H699" s="26" t="n">
        <f aca="false">$G699+(fade_gA-$G699)*1/3</f>
        <v>0.0411287845260727</v>
      </c>
      <c r="I699" s="26" t="n">
        <f aca="false">$G699+(fade_gA-$G699)*2/3</f>
        <v>0.0505643922630364</v>
      </c>
      <c r="J699" s="26" t="n">
        <f aca="false">$G699+(fade_gA-$G699)*3/3</f>
        <v>0.06</v>
      </c>
    </row>
    <row r="700" customFormat="false" ht="17.15" hidden="false" customHeight="false" outlineLevel="0" collapsed="false">
      <c r="A700" s="0" t="s">
        <v>456</v>
      </c>
      <c r="B700" s="0" t="s">
        <v>47</v>
      </c>
      <c r="C700" s="18" t="n">
        <f aca="false">C695/C698</f>
        <v>0.5</v>
      </c>
      <c r="D700" s="18" t="n">
        <f aca="false">D695/D698</f>
        <v>0.48</v>
      </c>
      <c r="E700" s="18" t="n">
        <f aca="false">E695/E698</f>
        <v>0.684430557532977</v>
      </c>
      <c r="F700" s="18" t="n">
        <f aca="false">F695/F698</f>
        <v>0.720730287080741</v>
      </c>
      <c r="G700" s="18" t="n">
        <f aca="false">G695/G698</f>
        <v>0.721188614233091</v>
      </c>
    </row>
    <row r="701" customFormat="false" ht="17.15" hidden="false" customHeight="false" outlineLevel="0" collapsed="false">
      <c r="A701" s="4" t="s">
        <v>407</v>
      </c>
      <c r="B701" s="0" t="s">
        <v>408</v>
      </c>
      <c r="D701" s="23" t="n">
        <f aca="false">D695/fx/D685</f>
        <v>0.935061049524468</v>
      </c>
      <c r="E701" s="23" t="n">
        <f aca="false">E695/fx/E685</f>
        <v>1.29613973021067</v>
      </c>
      <c r="F701" s="23" t="n">
        <f aca="false">F695/fx/F685</f>
        <v>1.25318607974363</v>
      </c>
      <c r="G701" s="23" t="n">
        <f aca="false">G695/fx/G685</f>
        <v>1.13568583124881</v>
      </c>
    </row>
    <row r="702" customFormat="false" ht="17.15" hidden="false" customHeight="false" outlineLevel="0" collapsed="false">
      <c r="A702" s="6" t="s">
        <v>457</v>
      </c>
    </row>
    <row r="703" customFormat="false" ht="17.15" hidden="false" customHeight="false" outlineLevel="0" collapsed="false">
      <c r="A703" s="4" t="s">
        <v>458</v>
      </c>
      <c r="B703" s="0" t="s">
        <v>47</v>
      </c>
      <c r="D703" s="17" t="n">
        <f aca="false">a26_gp/D698-d_ai*D700</f>
        <v>0.0882120920201606</v>
      </c>
      <c r="K703" s="8" t="s">
        <v>459</v>
      </c>
    </row>
    <row r="704" customFormat="false" ht="17.15" hidden="false" customHeight="false" outlineLevel="0" collapsed="false">
      <c r="A704" s="0" t="s">
        <v>460</v>
      </c>
      <c r="B704" s="0" t="s">
        <v>184</v>
      </c>
      <c r="D704" s="30" t="n">
        <f aca="false">($D$703+d_ai)*D693*(1-D694*(1-keep))</f>
        <v>54.76096983936</v>
      </c>
      <c r="E704" s="30" t="n">
        <f aca="false">($D$703+d_ai+vrd)*E693*(1-E694*(1-keep))</f>
        <v>137.881640198013</v>
      </c>
      <c r="F704" s="30" t="n">
        <f aca="false">($D$703+d_ai+vrd)*F693*(1-F694*(1-keep))</f>
        <v>177.480793184849</v>
      </c>
      <c r="G704" s="30" t="n">
        <f aca="false">($D$703+d_ai+vrd)*G693*(1-G694*(1-keep))</f>
        <v>193.020140705534</v>
      </c>
      <c r="K704" s="4" t="s">
        <v>461</v>
      </c>
    </row>
    <row r="705" customFormat="false" ht="15" hidden="false" customHeight="false" outlineLevel="0" collapsed="false">
      <c r="A705" s="4" t="s">
        <v>346</v>
      </c>
      <c r="B705" s="0" t="s">
        <v>184</v>
      </c>
      <c r="C705" s="22" t="n">
        <f aca="false">a25_gp</f>
        <v>78.454</v>
      </c>
      <c r="D705" s="22" t="n">
        <f aca="false">a26_gp</f>
        <v>121.67041932</v>
      </c>
      <c r="E705" s="22" t="n">
        <f aca="false">$D$703*E697+E704</f>
        <v>208.136562152685</v>
      </c>
      <c r="F705" s="22" t="n">
        <f aca="false">$D$703*F697+F704</f>
        <v>249.843362798162</v>
      </c>
      <c r="G705" s="22" t="n">
        <f aca="false">$D$703*G697+G704</f>
        <v>267.553587407246</v>
      </c>
    </row>
    <row r="706" customFormat="false" ht="15" hidden="false" customHeight="false" outlineLevel="0" collapsed="false">
      <c r="A706" s="4" t="s">
        <v>349</v>
      </c>
      <c r="B706" s="0" t="s">
        <v>47</v>
      </c>
      <c r="C706" s="17" t="n">
        <f aca="false">C705/C698</f>
        <v>0.0825255637381491</v>
      </c>
      <c r="D706" s="17" t="n">
        <f aca="false">D705/D698</f>
        <v>0.0834120920201606</v>
      </c>
      <c r="E706" s="17" t="n">
        <f aca="false">E705/E698</f>
        <v>0.0824697514439176</v>
      </c>
      <c r="F706" s="17" t="n">
        <f aca="false">F705/F698</f>
        <v>0.0850561648712631</v>
      </c>
      <c r="G706" s="17" t="n">
        <f aca="false">G705/G698</f>
        <v>0.0882872928367709</v>
      </c>
    </row>
    <row r="707" customFormat="false" ht="17.15" hidden="false" customHeight="false" outlineLevel="0" collapsed="false">
      <c r="A707" s="0" t="s">
        <v>462</v>
      </c>
      <c r="B707" s="0" t="s">
        <v>47</v>
      </c>
      <c r="D707" s="17" t="n">
        <f aca="false">D704/D695</f>
        <v>0.0782120920201606</v>
      </c>
      <c r="E707" s="17" t="n">
        <f aca="false">E704/E695</f>
        <v>0.0798221384842734</v>
      </c>
      <c r="F707" s="17" t="n">
        <f aca="false">F704/F695</f>
        <v>0.0838333012221766</v>
      </c>
      <c r="G707" s="17" t="n">
        <f aca="false">G704/G695</f>
        <v>0.0883163654586567</v>
      </c>
      <c r="K707" s="4" t="s">
        <v>463</v>
      </c>
    </row>
    <row r="708" customFormat="false" ht="15" hidden="false" customHeight="false" outlineLevel="0" collapsed="false">
      <c r="A708" s="4" t="s">
        <v>464</v>
      </c>
      <c r="B708" s="0" t="s">
        <v>184</v>
      </c>
      <c r="C708" s="22" t="n">
        <f aca="false">a25_opx</f>
        <v>14.536</v>
      </c>
      <c r="D708" s="22" t="n">
        <f aca="false">a26_opx</f>
        <v>22.5183263</v>
      </c>
      <c r="E708" s="22" t="n">
        <f aca="false">D708*(1+MAX(0,phi*E699))</f>
        <v>35.6727317290002</v>
      </c>
      <c r="F708" s="22" t="n">
        <f aca="false">E708*(1+MAX(0,phi*F699))</f>
        <v>40.3495789783962</v>
      </c>
      <c r="G708" s="22" t="n">
        <f aca="false">F708*(1+MAX(0,phi*G699))</f>
        <v>41.372624050339</v>
      </c>
    </row>
    <row r="709" customFormat="false" ht="15" hidden="false" customHeight="false" outlineLevel="0" collapsed="false">
      <c r="A709" s="4" t="s">
        <v>350</v>
      </c>
      <c r="B709" s="0" t="s">
        <v>184</v>
      </c>
      <c r="C709" s="22" t="n">
        <f aca="false">C708</f>
        <v>14.536</v>
      </c>
      <c r="D709" s="22" t="n">
        <f aca="false">D708</f>
        <v>22.5183263</v>
      </c>
      <c r="E709" s="22" t="n">
        <f aca="false">E708+opx_adj_hi*E698</f>
        <v>40.7203172620845</v>
      </c>
      <c r="F709" s="22" t="n">
        <f aca="false">F708+opx_adj_hi*F698</f>
        <v>46.2243644963258</v>
      </c>
      <c r="G709" s="22" t="n">
        <f aca="false">G708+opx_adj_hi*G698</f>
        <v>47.4336001842864</v>
      </c>
    </row>
    <row r="710" customFormat="false" ht="15" hidden="false" customHeight="false" outlineLevel="0" collapsed="false">
      <c r="A710" s="4" t="s">
        <v>353</v>
      </c>
      <c r="B710" s="0" t="s">
        <v>184</v>
      </c>
      <c r="C710" s="22" t="n">
        <f aca="false">C705-C709</f>
        <v>63.918</v>
      </c>
      <c r="D710" s="22" t="n">
        <f aca="false">D705-D709</f>
        <v>99.15209302</v>
      </c>
      <c r="E710" s="22" t="n">
        <f aca="false">E705-E709</f>
        <v>167.4162448906</v>
      </c>
      <c r="F710" s="22" t="n">
        <f aca="false">F705-F709</f>
        <v>203.618998301836</v>
      </c>
      <c r="G710" s="22" t="n">
        <f aca="false">G705-G709</f>
        <v>220.119987222959</v>
      </c>
    </row>
    <row r="711" customFormat="false" ht="15" hidden="false" customHeight="false" outlineLevel="0" collapsed="false">
      <c r="A711" s="4" t="s">
        <v>356</v>
      </c>
      <c r="B711" s="0" t="s">
        <v>47</v>
      </c>
      <c r="C711" s="17" t="n">
        <f aca="false">C710/C698</f>
        <v>0.0672351821833815</v>
      </c>
      <c r="D711" s="17" t="n">
        <f aca="false">D710/D698</f>
        <v>0.0679744801834201</v>
      </c>
      <c r="E711" s="17" t="n">
        <f aca="false">E710/E698</f>
        <v>0.0663351789853888</v>
      </c>
      <c r="F711" s="17" t="n">
        <f aca="false">F710/F698</f>
        <v>0.0693196364975032</v>
      </c>
      <c r="G711" s="17" t="n">
        <f aca="false">G710/G698</f>
        <v>0.0726351605280453</v>
      </c>
    </row>
    <row r="712" customFormat="false" ht="17.15" hidden="false" customHeight="false" outlineLevel="0" collapsed="false">
      <c r="A712" s="4" t="s">
        <v>218</v>
      </c>
      <c r="B712" s="0" t="s">
        <v>47</v>
      </c>
      <c r="C712" s="18" t="n">
        <f aca="false">a25_ni/a25_oi</f>
        <v>0.799743421258488</v>
      </c>
      <c r="D712" s="18" t="n">
        <f aca="false">a26_ni/a26_oi</f>
        <v>0.776911976251089</v>
      </c>
      <c r="E712" s="18" t="n">
        <f aca="false">nio_f</f>
        <v>0.78</v>
      </c>
      <c r="F712" s="18" t="n">
        <f aca="false">nio_f</f>
        <v>0.78</v>
      </c>
      <c r="G712" s="18" t="n">
        <f aca="false">nio_f</f>
        <v>0.78</v>
      </c>
    </row>
    <row r="713" customFormat="false" ht="15" hidden="false" customHeight="false" outlineLevel="0" collapsed="false">
      <c r="A713" s="4" t="s">
        <v>357</v>
      </c>
      <c r="B713" s="0" t="s">
        <v>184</v>
      </c>
      <c r="C713" s="22" t="n">
        <f aca="false">a25_ni</f>
        <v>51.118</v>
      </c>
      <c r="D713" s="22" t="n">
        <f aca="false">a26_ni</f>
        <v>77.0324485376</v>
      </c>
      <c r="E713" s="22" t="n">
        <f aca="false">E710*E712</f>
        <v>130.584671014668</v>
      </c>
      <c r="F713" s="22" t="n">
        <f aca="false">F710*F712</f>
        <v>158.822818675432</v>
      </c>
      <c r="G713" s="22" t="n">
        <f aca="false">G710*G712</f>
        <v>171.693590033908</v>
      </c>
      <c r="H713" s="25" t="n">
        <f aca="false">H698*H717</f>
        <v>180.395805448919</v>
      </c>
      <c r="I713" s="25" t="n">
        <f aca="false">I698*I717</f>
        <v>191.241035781161</v>
      </c>
      <c r="J713" s="25" t="n">
        <f aca="false">J698*J717</f>
        <v>204.542541554721</v>
      </c>
    </row>
    <row r="714" customFormat="false" ht="15" hidden="false" customHeight="false" outlineLevel="0" collapsed="false">
      <c r="A714" s="4" t="s">
        <v>465</v>
      </c>
      <c r="B714" s="4" t="s">
        <v>205</v>
      </c>
      <c r="C714" s="29" t="n">
        <f aca="false">a25_sh</f>
        <v>0.554331761662183</v>
      </c>
      <c r="D714" s="29" t="n">
        <f aca="false">a26_sh</f>
        <v>0.556054338618749</v>
      </c>
      <c r="E714" s="29" t="n">
        <f aca="false">D714*(1+sh_g)</f>
        <v>0.558834610311843</v>
      </c>
      <c r="F714" s="29" t="n">
        <f aca="false">E714*(1+sh_g)</f>
        <v>0.561628783363402</v>
      </c>
      <c r="G714" s="29" t="n">
        <f aca="false">F714*(1+sh_g)</f>
        <v>0.564436927280219</v>
      </c>
      <c r="H714" s="31" t="n">
        <f aca="false">G714*(1+sh_g)</f>
        <v>0.56725911191662</v>
      </c>
      <c r="I714" s="31" t="n">
        <f aca="false">H714*(1+sh_g)</f>
        <v>0.570095407476203</v>
      </c>
      <c r="J714" s="31" t="n">
        <f aca="false">I714*(1+sh_g)</f>
        <v>0.572945884513584</v>
      </c>
    </row>
    <row r="715" customFormat="false" ht="17.15" hidden="false" customHeight="false" outlineLevel="0" collapsed="false">
      <c r="A715" s="0" t="s">
        <v>363</v>
      </c>
      <c r="B715" s="0" t="s">
        <v>235</v>
      </c>
      <c r="C715" s="30" t="n">
        <f aca="false">C713/C714</f>
        <v>92.2155350556153</v>
      </c>
      <c r="D715" s="30" t="n">
        <f aca="false">D713/D714</f>
        <v>138.534030197391</v>
      </c>
      <c r="E715" s="30" t="n">
        <f aca="false">E713/E714</f>
        <v>233.673198841065</v>
      </c>
      <c r="F715" s="30" t="n">
        <f aca="false">F713/F714</f>
        <v>282.789670650953</v>
      </c>
      <c r="G715" s="30" t="n">
        <f aca="false">G713/G714</f>
        <v>304.185608233016</v>
      </c>
      <c r="H715" s="28" t="n">
        <f aca="false">H713/H714</f>
        <v>318.013059040002</v>
      </c>
      <c r="I715" s="28" t="n">
        <f aca="false">I713/I714</f>
        <v>335.454440209893</v>
      </c>
      <c r="J715" s="28" t="n">
        <f aca="false">J713/J714</f>
        <v>357.001502381629</v>
      </c>
    </row>
    <row r="716" customFormat="false" ht="17.15" hidden="false" customHeight="false" outlineLevel="0" collapsed="false">
      <c r="A716" s="0" t="s">
        <v>466</v>
      </c>
      <c r="B716" s="0" t="s">
        <v>47</v>
      </c>
      <c r="D716" s="18" t="n">
        <f aca="false">D715/C715-1</f>
        <v>0.502285163924287</v>
      </c>
      <c r="E716" s="18" t="n">
        <f aca="false">E715/D715-1</f>
        <v>0.686756665550801</v>
      </c>
      <c r="F716" s="18" t="n">
        <f aca="false">F715/E715-1</f>
        <v>0.210193004818217</v>
      </c>
      <c r="G716" s="18" t="n">
        <f aca="false">G715/F715-1</f>
        <v>0.0756602514257754</v>
      </c>
      <c r="H716" s="26" t="n">
        <f aca="false">H715/G715-1</f>
        <v>0.0454572814516363</v>
      </c>
      <c r="I716" s="26" t="n">
        <f aca="false">I715/H715-1</f>
        <v>0.0548448583292214</v>
      </c>
      <c r="J716" s="26" t="n">
        <f aca="false">J715/I715-1</f>
        <v>0.0642324548104192</v>
      </c>
    </row>
    <row r="717" customFormat="false" ht="17.15" hidden="false" customHeight="false" outlineLevel="0" collapsed="false">
      <c r="A717" s="4" t="s">
        <v>467</v>
      </c>
      <c r="B717" s="0" t="s">
        <v>47</v>
      </c>
      <c r="C717" s="17" t="n">
        <f aca="false">C713/C698</f>
        <v>0.0537708946282752</v>
      </c>
      <c r="D717" s="17" t="n">
        <f aca="false">D713/D698</f>
        <v>0.0528101877339414</v>
      </c>
      <c r="E717" s="17" t="n">
        <f aca="false">E713/E698</f>
        <v>0.0517414396086033</v>
      </c>
      <c r="F717" s="17" t="n">
        <f aca="false">F713/F698</f>
        <v>0.0540693164680525</v>
      </c>
      <c r="G717" s="17" t="n">
        <f aca="false">G713/G698</f>
        <v>0.0566554252118753</v>
      </c>
      <c r="H717" s="27" t="n">
        <f aca="false">$G717+(fade_mA-$G717)*1/3</f>
        <v>0.0571754252118753</v>
      </c>
      <c r="I717" s="27" t="n">
        <f aca="false">$G717+(fade_mA-$G717)*2/3</f>
        <v>0.0576954252118753</v>
      </c>
      <c r="J717" s="27" t="n">
        <f aca="false">$G717+(fade_mA-$G717)*3/3</f>
        <v>0.0582154252118753</v>
      </c>
    </row>
    <row r="720" customFormat="false" ht="17.15" hidden="false" customHeight="false" outlineLevel="0" collapsed="false">
      <c r="A720" s="1" t="s">
        <v>751</v>
      </c>
    </row>
    <row r="721" customFormat="false" ht="17.15" hidden="false" customHeight="false" outlineLevel="0" collapsed="false">
      <c r="A721" s="5" t="s">
        <v>16</v>
      </c>
      <c r="B721" s="5" t="s">
        <v>17</v>
      </c>
      <c r="C721" s="14" t="s">
        <v>336</v>
      </c>
      <c r="D721" s="14" t="s">
        <v>415</v>
      </c>
      <c r="E721" s="14" t="s">
        <v>416</v>
      </c>
      <c r="F721" s="14" t="s">
        <v>417</v>
      </c>
      <c r="G721" s="14" t="s">
        <v>418</v>
      </c>
      <c r="H721" s="14" t="s">
        <v>419</v>
      </c>
      <c r="I721" s="14" t="s">
        <v>420</v>
      </c>
      <c r="J721" s="14" t="s">
        <v>421</v>
      </c>
      <c r="K721" s="5" t="s">
        <v>387</v>
      </c>
    </row>
    <row r="722" customFormat="false" ht="17.15" hidden="false" customHeight="false" outlineLevel="0" collapsed="false">
      <c r="A722" s="6" t="s">
        <v>437</v>
      </c>
    </row>
    <row r="723" customFormat="false" ht="17.15" hidden="false" customHeight="false" outlineLevel="0" collapsed="false">
      <c r="A723" s="0" t="s">
        <v>438</v>
      </c>
      <c r="B723" s="0" t="s">
        <v>27</v>
      </c>
      <c r="D723" s="30" t="n">
        <f aca="false">itc_26</f>
        <v>781.872916666667</v>
      </c>
      <c r="E723" s="30" t="n">
        <f aca="false">itc_27*1</f>
        <v>1565.35</v>
      </c>
      <c r="F723" s="30" t="n">
        <f aca="false">itc_28*um28_A*1</f>
        <v>1984.26388888889</v>
      </c>
      <c r="G723" s="30" t="n">
        <f aca="false">itc_29*um29_A*1</f>
        <v>2260.39027777778</v>
      </c>
    </row>
    <row r="724" customFormat="false" ht="17.15" hidden="false" customHeight="false" outlineLevel="0" collapsed="false">
      <c r="A724" s="4" t="s">
        <v>439</v>
      </c>
      <c r="B724" s="0" t="s">
        <v>27</v>
      </c>
      <c r="D724" s="30" t="n">
        <f aca="false">itpg_gb*(1-vr26)+itpg_vr*vr26</f>
        <v>33.41403216</v>
      </c>
      <c r="E724" s="30" t="n">
        <f aca="false">itpg_vr</f>
        <v>37.586352</v>
      </c>
      <c r="F724" s="30" t="n">
        <f aca="false">itpg_vr</f>
        <v>37.586352</v>
      </c>
      <c r="G724" s="30" t="n">
        <f aca="false">itpg_vr</f>
        <v>37.586352</v>
      </c>
    </row>
    <row r="725" customFormat="false" ht="17.15" hidden="false" customHeight="false" outlineLevel="0" collapsed="false">
      <c r="A725" s="4" t="s">
        <v>440</v>
      </c>
      <c r="B725" s="0" t="s">
        <v>389</v>
      </c>
      <c r="D725" s="21" t="n">
        <f aca="false">D723/D724</f>
        <v>23.3995380420639</v>
      </c>
      <c r="E725" s="21" t="n">
        <f aca="false">E723/E724</f>
        <v>41.6467658260637</v>
      </c>
      <c r="F725" s="21" t="n">
        <f aca="false">F723/F724</f>
        <v>52.792138191248</v>
      </c>
      <c r="G725" s="21" t="n">
        <f aca="false">G723/G724</f>
        <v>60.1385917361116</v>
      </c>
    </row>
    <row r="726" customFormat="false" ht="17.15" hidden="false" customHeight="false" outlineLevel="0" collapsed="false">
      <c r="A726" s="4" t="s">
        <v>441</v>
      </c>
      <c r="B726" s="0" t="s">
        <v>408</v>
      </c>
      <c r="D726" s="19" t="n">
        <f aca="false">(racks_gb*odm_gb*(1-vr26)+racks_vr*odm_vr*vr26)/1000</f>
        <v>27.1209</v>
      </c>
      <c r="E726" s="19" t="n">
        <f aca="false">racks_vr*odm_vr/1000</f>
        <v>27.351</v>
      </c>
      <c r="F726" s="19" t="n">
        <f aca="false">$E726*vpg_28</f>
        <v>27.351</v>
      </c>
      <c r="G726" s="19" t="n">
        <f aca="false">$E726*vpg_29</f>
        <v>27.351</v>
      </c>
      <c r="K726" s="4" t="s">
        <v>442</v>
      </c>
    </row>
    <row r="727" customFormat="false" ht="17.15" hidden="false" customHeight="false" outlineLevel="0" collapsed="false">
      <c r="A727" s="0" t="s">
        <v>443</v>
      </c>
      <c r="B727" s="0" t="s">
        <v>27</v>
      </c>
      <c r="D727" s="22" t="n">
        <f aca="false">D725*D726</f>
        <v>634.616531285011</v>
      </c>
      <c r="E727" s="22" t="n">
        <f aca="false">E725*E726</f>
        <v>1139.08069210867</v>
      </c>
      <c r="F727" s="22" t="n">
        <f aca="false">F725*F726</f>
        <v>1443.91777166882</v>
      </c>
      <c r="G727" s="22" t="n">
        <f aca="false">G725*G726</f>
        <v>1644.85062257439</v>
      </c>
    </row>
    <row r="728" customFormat="false" ht="17.15" hidden="false" customHeight="false" outlineLevel="0" collapsed="false">
      <c r="A728" s="0" t="s">
        <v>444</v>
      </c>
      <c r="B728" s="0" t="s">
        <v>184</v>
      </c>
      <c r="D728" s="22" t="n">
        <f aca="false">D727*fx</f>
        <v>20307.7290011204</v>
      </c>
      <c r="E728" s="22" t="n">
        <f aca="false">E727*fx</f>
        <v>36450.5821474774</v>
      </c>
      <c r="F728" s="22" t="n">
        <f aca="false">F727*fx</f>
        <v>46205.3686934024</v>
      </c>
      <c r="G728" s="22" t="n">
        <f aca="false">G727*fx</f>
        <v>52635.2199223804</v>
      </c>
    </row>
    <row r="729" customFormat="false" ht="17.15" hidden="false" customHeight="false" outlineLevel="0" collapsed="false">
      <c r="A729" s="4" t="s">
        <v>445</v>
      </c>
      <c r="B729" s="0" t="s">
        <v>47</v>
      </c>
      <c r="D729" s="17" t="n">
        <f aca="false">a26_ai/D728</f>
        <v>0.0344775081035094</v>
      </c>
      <c r="K729" s="8" t="s">
        <v>446</v>
      </c>
    </row>
    <row r="730" customFormat="false" ht="17.15" hidden="false" customHeight="false" outlineLevel="0" collapsed="false">
      <c r="A730" s="4" t="s">
        <v>447</v>
      </c>
      <c r="B730" s="0" t="s">
        <v>59</v>
      </c>
      <c r="D730" s="19" t="n">
        <f aca="false">1</f>
        <v>1</v>
      </c>
      <c r="E730" s="19" t="n">
        <f aca="false">rel_27</f>
        <v>1</v>
      </c>
      <c r="F730" s="19" t="n">
        <f aca="false">rel_28</f>
        <v>1</v>
      </c>
      <c r="G730" s="19" t="n">
        <f aca="false">rel_29</f>
        <v>0.95</v>
      </c>
    </row>
    <row r="731" customFormat="false" ht="17.15" hidden="false" customHeight="false" outlineLevel="0" collapsed="false">
      <c r="A731" s="0" t="s">
        <v>448</v>
      </c>
      <c r="B731" s="0" t="s">
        <v>59</v>
      </c>
      <c r="D731" s="23" t="n">
        <f aca="false">1</f>
        <v>1</v>
      </c>
      <c r="E731" s="23" t="n">
        <f aca="false">asic_mix*((ua_27/ua_26)/(ut_27/ut_26))+(1-asic_mix)</f>
        <v>1.44683544303797</v>
      </c>
      <c r="F731" s="23" t="n">
        <f aca="false">asic_mix*((ua_28/ua_26)/(ut_28/ut_26))+(1-asic_mix)</f>
        <v>1.47660377358491</v>
      </c>
      <c r="G731" s="23" t="n">
        <f aca="false">asic_mix*((ua_29/ua_26)/(ut_29/ut_26))+(1-asic_mix)</f>
        <v>1.49144278606965</v>
      </c>
      <c r="K731" s="8" t="s">
        <v>449</v>
      </c>
    </row>
    <row r="732" customFormat="false" ht="15" hidden="false" customHeight="false" outlineLevel="0" collapsed="false">
      <c r="A732" s="4" t="s">
        <v>398</v>
      </c>
      <c r="B732" s="0" t="s">
        <v>47</v>
      </c>
      <c r="D732" s="17" t="n">
        <f aca="false">$D$729*D730*D731</f>
        <v>0.0344775081035094</v>
      </c>
      <c r="E732" s="17" t="n">
        <f aca="false">$D$729*E730*E731</f>
        <v>0.0498832807117864</v>
      </c>
      <c r="F732" s="17" t="n">
        <f aca="false">$D$729*F730*F731</f>
        <v>0.0509096185694461</v>
      </c>
      <c r="G732" s="17" t="n">
        <f aca="false">$D$729*G730*G731</f>
        <v>0.0488501692055052</v>
      </c>
    </row>
    <row r="733" customFormat="false" ht="17.15" hidden="false" customHeight="false" outlineLevel="0" collapsed="false">
      <c r="A733" s="0" t="s">
        <v>450</v>
      </c>
      <c r="B733" s="0" t="s">
        <v>184</v>
      </c>
      <c r="D733" s="22" t="n">
        <f aca="false">D728*D732</f>
        <v>700.1598912</v>
      </c>
      <c r="E733" s="22" t="n">
        <f aca="false">E728*E732</f>
        <v>1818.27462137064</v>
      </c>
      <c r="F733" s="22" t="n">
        <f aca="false">F728*F732</f>
        <v>2352.29769604174</v>
      </c>
      <c r="G733" s="22" t="n">
        <f aca="false">G728*G732</f>
        <v>2571.23939937726</v>
      </c>
    </row>
    <row r="734" customFormat="false" ht="17.15" hidden="false" customHeight="false" outlineLevel="0" collapsed="false">
      <c r="A734" s="4" t="s">
        <v>404</v>
      </c>
      <c r="B734" s="0" t="s">
        <v>47</v>
      </c>
      <c r="D734" s="18" t="n">
        <f aca="false">0</f>
        <v>0</v>
      </c>
      <c r="E734" s="18" t="n">
        <f aca="false">cs_27</f>
        <v>0.05</v>
      </c>
      <c r="F734" s="18" t="n">
        <f aca="false">cs_28</f>
        <v>0.1</v>
      </c>
      <c r="G734" s="18" t="n">
        <f aca="false">cs_29</f>
        <v>0.15</v>
      </c>
      <c r="K734" s="8" t="s">
        <v>451</v>
      </c>
    </row>
    <row r="735" customFormat="false" ht="17.15" hidden="false" customHeight="false" outlineLevel="0" collapsed="false">
      <c r="A735" s="0" t="s">
        <v>452</v>
      </c>
      <c r="B735" s="0" t="s">
        <v>184</v>
      </c>
      <c r="C735" s="22" t="n">
        <f aca="false">a25_ai</f>
        <v>475.3315</v>
      </c>
      <c r="D735" s="22" t="n">
        <f aca="false">D733*(1-D734)</f>
        <v>700.1598912</v>
      </c>
      <c r="E735" s="22" t="n">
        <f aca="false">E733*(1-E734)</f>
        <v>1727.36089030211</v>
      </c>
      <c r="F735" s="22" t="n">
        <f aca="false">F733*(1-F734)</f>
        <v>2117.06792643757</v>
      </c>
      <c r="G735" s="22" t="n">
        <f aca="false">G733*(1-G734)</f>
        <v>2185.55348947067</v>
      </c>
    </row>
    <row r="736" customFormat="false" ht="17.15" hidden="false" customHeight="false" outlineLevel="0" collapsed="false">
      <c r="A736" s="6" t="s">
        <v>453</v>
      </c>
    </row>
    <row r="737" customFormat="false" ht="17.15" hidden="false" customHeight="false" outlineLevel="0" collapsed="false">
      <c r="A737" s="4" t="s">
        <v>373</v>
      </c>
      <c r="B737" s="0" t="s">
        <v>184</v>
      </c>
      <c r="C737" s="22" t="n">
        <f aca="false">a25_nai</f>
        <v>475.3315</v>
      </c>
      <c r="D737" s="22" t="n">
        <f aca="false">a26_nai</f>
        <v>758.5065488</v>
      </c>
      <c r="E737" s="22" t="n">
        <f aca="false">D737*(1+g_nai27)</f>
        <v>796.43187624</v>
      </c>
      <c r="F737" s="22" t="n">
        <f aca="false">E737*(1+g_nai28)</f>
        <v>820.3248325272</v>
      </c>
      <c r="G737" s="22" t="n">
        <f aca="false">F737*(1+g_nai29)</f>
        <v>844.934577503016</v>
      </c>
    </row>
    <row r="738" customFormat="false" ht="17.15" hidden="false" customHeight="false" outlineLevel="0" collapsed="false">
      <c r="A738" s="4" t="s">
        <v>342</v>
      </c>
      <c r="B738" s="0" t="s">
        <v>184</v>
      </c>
      <c r="C738" s="22" t="n">
        <f aca="false">C735+C737</f>
        <v>950.663</v>
      </c>
      <c r="D738" s="22" t="n">
        <f aca="false">D735+D737</f>
        <v>1458.66644</v>
      </c>
      <c r="E738" s="22" t="n">
        <f aca="false">E735+E737</f>
        <v>2523.79276654211</v>
      </c>
      <c r="F738" s="22" t="n">
        <f aca="false">F735+F737</f>
        <v>2937.39275896477</v>
      </c>
      <c r="G738" s="22" t="n">
        <f aca="false">G735+G737</f>
        <v>3030.48806697369</v>
      </c>
      <c r="H738" s="25" t="n">
        <f aca="false">G738*(1+H739)</f>
        <v>3155.12835768908</v>
      </c>
      <c r="I738" s="25" t="n">
        <f aca="false">H738*(1+I739)</f>
        <v>3314.6655056075</v>
      </c>
      <c r="J738" s="25" t="n">
        <f aca="false">I738*(1+J739)</f>
        <v>3513.54543594395</v>
      </c>
      <c r="K738" s="8" t="s">
        <v>454</v>
      </c>
    </row>
    <row r="739" customFormat="false" ht="15" hidden="false" customHeight="false" outlineLevel="0" collapsed="false">
      <c r="A739" s="4" t="s">
        <v>455</v>
      </c>
      <c r="B739" s="0" t="s">
        <v>47</v>
      </c>
      <c r="D739" s="18" t="n">
        <f aca="false">D738/C738-1</f>
        <v>0.534367530870561</v>
      </c>
      <c r="E739" s="18" t="n">
        <f aca="false">E738/D738-1</f>
        <v>0.730205547569951</v>
      </c>
      <c r="F739" s="18" t="n">
        <f aca="false">F738/E738-1</f>
        <v>0.163880330392316</v>
      </c>
      <c r="G739" s="18" t="n">
        <f aca="false">G738/F738-1</f>
        <v>0.0316931767891091</v>
      </c>
      <c r="H739" s="26" t="n">
        <f aca="false">$G739+(fade_gA-$G739)*1/3</f>
        <v>0.0411287845260727</v>
      </c>
      <c r="I739" s="26" t="n">
        <f aca="false">$G739+(fade_gA-$G739)*2/3</f>
        <v>0.0505643922630364</v>
      </c>
      <c r="J739" s="26" t="n">
        <f aca="false">$G739+(fade_gA-$G739)*3/3</f>
        <v>0.06</v>
      </c>
    </row>
    <row r="740" customFormat="false" ht="17.15" hidden="false" customHeight="false" outlineLevel="0" collapsed="false">
      <c r="A740" s="0" t="s">
        <v>456</v>
      </c>
      <c r="B740" s="0" t="s">
        <v>47</v>
      </c>
      <c r="C740" s="18" t="n">
        <f aca="false">C735/C738</f>
        <v>0.5</v>
      </c>
      <c r="D740" s="18" t="n">
        <f aca="false">D735/D738</f>
        <v>0.48</v>
      </c>
      <c r="E740" s="18" t="n">
        <f aca="false">E735/E738</f>
        <v>0.684430557532977</v>
      </c>
      <c r="F740" s="18" t="n">
        <f aca="false">F735/F738</f>
        <v>0.720730287080741</v>
      </c>
      <c r="G740" s="18" t="n">
        <f aca="false">G735/G738</f>
        <v>0.721188614233091</v>
      </c>
    </row>
    <row r="741" customFormat="false" ht="17.15" hidden="false" customHeight="false" outlineLevel="0" collapsed="false">
      <c r="A741" s="4" t="s">
        <v>407</v>
      </c>
      <c r="B741" s="0" t="s">
        <v>408</v>
      </c>
      <c r="D741" s="23" t="n">
        <f aca="false">D735/fx/D725</f>
        <v>0.935061049524468</v>
      </c>
      <c r="E741" s="23" t="n">
        <f aca="false">E735/fx/E725</f>
        <v>1.29613973021067</v>
      </c>
      <c r="F741" s="23" t="n">
        <f aca="false">F735/fx/F725</f>
        <v>1.25318607974363</v>
      </c>
      <c r="G741" s="23" t="n">
        <f aca="false">G735/fx/G725</f>
        <v>1.13568583124881</v>
      </c>
    </row>
    <row r="742" customFormat="false" ht="17.15" hidden="false" customHeight="false" outlineLevel="0" collapsed="false">
      <c r="A742" s="6" t="s">
        <v>457</v>
      </c>
    </row>
    <row r="743" customFormat="false" ht="17.15" hidden="false" customHeight="false" outlineLevel="0" collapsed="false">
      <c r="A743" s="4" t="s">
        <v>458</v>
      </c>
      <c r="B743" s="0" t="s">
        <v>47</v>
      </c>
      <c r="D743" s="17" t="n">
        <f aca="false">a26_gp/D738-d_ai*D740</f>
        <v>0.0882120920201606</v>
      </c>
      <c r="K743" s="8" t="s">
        <v>459</v>
      </c>
    </row>
    <row r="744" customFormat="false" ht="17.15" hidden="false" customHeight="false" outlineLevel="0" collapsed="false">
      <c r="A744" s="0" t="s">
        <v>460</v>
      </c>
      <c r="B744" s="0" t="s">
        <v>184</v>
      </c>
      <c r="D744" s="30" t="n">
        <f aca="false">($D$743+d_ai)*D733*(1-D734*(1-keep))</f>
        <v>54.76096983936</v>
      </c>
      <c r="E744" s="30" t="n">
        <f aca="false">($D$743+d_ai+vrd)*E733*(1-E734*(1-keep))</f>
        <v>137.881640198013</v>
      </c>
      <c r="F744" s="30" t="n">
        <f aca="false">($D$743+d_ai+vrd)*F733*(1-F734*(1-keep))</f>
        <v>177.480793184849</v>
      </c>
      <c r="G744" s="30" t="n">
        <f aca="false">($D$743+d_ai+vrd)*G733*(1-G734*(1-keep))</f>
        <v>193.020140705534</v>
      </c>
      <c r="K744" s="4" t="s">
        <v>461</v>
      </c>
    </row>
    <row r="745" customFormat="false" ht="15" hidden="false" customHeight="false" outlineLevel="0" collapsed="false">
      <c r="A745" s="4" t="s">
        <v>346</v>
      </c>
      <c r="B745" s="0" t="s">
        <v>184</v>
      </c>
      <c r="C745" s="22" t="n">
        <f aca="false">a25_gp</f>
        <v>78.454</v>
      </c>
      <c r="D745" s="22" t="n">
        <f aca="false">a26_gp</f>
        <v>121.67041932</v>
      </c>
      <c r="E745" s="22" t="n">
        <f aca="false">$D$743*E737+E744</f>
        <v>208.136562152685</v>
      </c>
      <c r="F745" s="22" t="n">
        <f aca="false">$D$743*F737+F744</f>
        <v>249.843362798162</v>
      </c>
      <c r="G745" s="22" t="n">
        <f aca="false">$D$743*G737+G744</f>
        <v>267.553587407246</v>
      </c>
    </row>
    <row r="746" customFormat="false" ht="15" hidden="false" customHeight="false" outlineLevel="0" collapsed="false">
      <c r="A746" s="4" t="s">
        <v>349</v>
      </c>
      <c r="B746" s="0" t="s">
        <v>47</v>
      </c>
      <c r="C746" s="17" t="n">
        <f aca="false">C745/C738</f>
        <v>0.0825255637381491</v>
      </c>
      <c r="D746" s="17" t="n">
        <f aca="false">D745/D738</f>
        <v>0.0834120920201606</v>
      </c>
      <c r="E746" s="17" t="n">
        <f aca="false">E745/E738</f>
        <v>0.0824697514439176</v>
      </c>
      <c r="F746" s="17" t="n">
        <f aca="false">F745/F738</f>
        <v>0.0850561648712631</v>
      </c>
      <c r="G746" s="17" t="n">
        <f aca="false">G745/G738</f>
        <v>0.0882872928367709</v>
      </c>
    </row>
    <row r="747" customFormat="false" ht="17.15" hidden="false" customHeight="false" outlineLevel="0" collapsed="false">
      <c r="A747" s="0" t="s">
        <v>462</v>
      </c>
      <c r="B747" s="0" t="s">
        <v>47</v>
      </c>
      <c r="D747" s="17" t="n">
        <f aca="false">D744/D735</f>
        <v>0.0782120920201606</v>
      </c>
      <c r="E747" s="17" t="n">
        <f aca="false">E744/E735</f>
        <v>0.0798221384842734</v>
      </c>
      <c r="F747" s="17" t="n">
        <f aca="false">F744/F735</f>
        <v>0.0838333012221766</v>
      </c>
      <c r="G747" s="17" t="n">
        <f aca="false">G744/G735</f>
        <v>0.0883163654586567</v>
      </c>
      <c r="K747" s="4" t="s">
        <v>463</v>
      </c>
    </row>
    <row r="748" customFormat="false" ht="15" hidden="false" customHeight="false" outlineLevel="0" collapsed="false">
      <c r="A748" s="4" t="s">
        <v>464</v>
      </c>
      <c r="B748" s="0" t="s">
        <v>184</v>
      </c>
      <c r="C748" s="22" t="n">
        <f aca="false">a25_opx</f>
        <v>14.536</v>
      </c>
      <c r="D748" s="22" t="n">
        <f aca="false">a26_opx</f>
        <v>22.5183263</v>
      </c>
      <c r="E748" s="22" t="n">
        <f aca="false">D748*(1+MAX(0,phi_hi*E739))</f>
        <v>38.9613330862503</v>
      </c>
      <c r="F748" s="22" t="n">
        <f aca="false">E748*(1+MAX(0,phi_hi*F739))</f>
        <v>45.3463292249501</v>
      </c>
      <c r="G748" s="22" t="n">
        <f aca="false">F748*(1+MAX(0,phi_hi*G739))</f>
        <v>46.7834984538136</v>
      </c>
    </row>
    <row r="749" customFormat="false" ht="15" hidden="false" customHeight="false" outlineLevel="0" collapsed="false">
      <c r="A749" s="4" t="s">
        <v>350</v>
      </c>
      <c r="B749" s="0" t="s">
        <v>184</v>
      </c>
      <c r="C749" s="22" t="n">
        <f aca="false">C748</f>
        <v>14.536</v>
      </c>
      <c r="D749" s="22" t="n">
        <f aca="false">D748</f>
        <v>22.5183263</v>
      </c>
      <c r="E749" s="22" t="n">
        <f aca="false">E748+0*E738</f>
        <v>38.9613330862503</v>
      </c>
      <c r="F749" s="22" t="n">
        <f aca="false">F748+0*F738</f>
        <v>45.3463292249501</v>
      </c>
      <c r="G749" s="22" t="n">
        <f aca="false">G748+0*G738</f>
        <v>46.7834984538136</v>
      </c>
    </row>
    <row r="750" customFormat="false" ht="15" hidden="false" customHeight="false" outlineLevel="0" collapsed="false">
      <c r="A750" s="4" t="s">
        <v>353</v>
      </c>
      <c r="B750" s="0" t="s">
        <v>184</v>
      </c>
      <c r="C750" s="22" t="n">
        <f aca="false">C745-C749</f>
        <v>63.918</v>
      </c>
      <c r="D750" s="22" t="n">
        <f aca="false">D745-D749</f>
        <v>99.15209302</v>
      </c>
      <c r="E750" s="22" t="n">
        <f aca="false">E745-E749</f>
        <v>169.175229066435</v>
      </c>
      <c r="F750" s="22" t="n">
        <f aca="false">F745-F749</f>
        <v>204.497033573212</v>
      </c>
      <c r="G750" s="22" t="n">
        <f aca="false">G745-G749</f>
        <v>220.770088953432</v>
      </c>
    </row>
    <row r="751" customFormat="false" ht="15" hidden="false" customHeight="false" outlineLevel="0" collapsed="false">
      <c r="A751" s="4" t="s">
        <v>356</v>
      </c>
      <c r="B751" s="0" t="s">
        <v>47</v>
      </c>
      <c r="C751" s="17" t="n">
        <f aca="false">C750/C738</f>
        <v>0.0672351821833815</v>
      </c>
      <c r="D751" s="17" t="n">
        <f aca="false">D750/D738</f>
        <v>0.0679744801834201</v>
      </c>
      <c r="E751" s="17" t="n">
        <f aca="false">E750/E738</f>
        <v>0.0670321396071771</v>
      </c>
      <c r="F751" s="17" t="n">
        <f aca="false">F750/F738</f>
        <v>0.0696185530345227</v>
      </c>
      <c r="G751" s="17" t="n">
        <f aca="false">G750/G738</f>
        <v>0.0728496810000305</v>
      </c>
    </row>
    <row r="752" customFormat="false" ht="17.15" hidden="false" customHeight="false" outlineLevel="0" collapsed="false">
      <c r="A752" s="4" t="s">
        <v>218</v>
      </c>
      <c r="B752" s="0" t="s">
        <v>47</v>
      </c>
      <c r="C752" s="18" t="n">
        <f aca="false">a25_ni/a25_oi</f>
        <v>0.799743421258488</v>
      </c>
      <c r="D752" s="18" t="n">
        <f aca="false">a26_ni/a26_oi</f>
        <v>0.776911976251089</v>
      </c>
      <c r="E752" s="18" t="n">
        <f aca="false">nio_f</f>
        <v>0.78</v>
      </c>
      <c r="F752" s="18" t="n">
        <f aca="false">nio_f</f>
        <v>0.78</v>
      </c>
      <c r="G752" s="18" t="n">
        <f aca="false">nio_f</f>
        <v>0.78</v>
      </c>
    </row>
    <row r="753" customFormat="false" ht="15" hidden="false" customHeight="false" outlineLevel="0" collapsed="false">
      <c r="A753" s="4" t="s">
        <v>357</v>
      </c>
      <c r="B753" s="0" t="s">
        <v>184</v>
      </c>
      <c r="C753" s="22" t="n">
        <f aca="false">a25_ni</f>
        <v>51.118</v>
      </c>
      <c r="D753" s="22" t="n">
        <f aca="false">a26_ni</f>
        <v>77.0324485376</v>
      </c>
      <c r="E753" s="22" t="n">
        <f aca="false">E750*E752</f>
        <v>131.956678671819</v>
      </c>
      <c r="F753" s="22" t="n">
        <f aca="false">F750*F752</f>
        <v>159.507686187105</v>
      </c>
      <c r="G753" s="22" t="n">
        <f aca="false">G750*G752</f>
        <v>172.200669383677</v>
      </c>
      <c r="H753" s="25" t="n">
        <f aca="false">H738*H757</f>
        <v>180.747762053641</v>
      </c>
      <c r="I753" s="25" t="n">
        <f aca="false">I738*I757</f>
        <v>191.425912319432</v>
      </c>
      <c r="J753" s="25" t="n">
        <f aca="false">J738*J757</f>
        <v>204.542541554721</v>
      </c>
    </row>
    <row r="754" customFormat="false" ht="15" hidden="false" customHeight="false" outlineLevel="0" collapsed="false">
      <c r="A754" s="4" t="s">
        <v>465</v>
      </c>
      <c r="B754" s="4" t="s">
        <v>205</v>
      </c>
      <c r="C754" s="29" t="n">
        <f aca="false">a25_sh</f>
        <v>0.554331761662183</v>
      </c>
      <c r="D754" s="29" t="n">
        <f aca="false">a26_sh</f>
        <v>0.556054338618749</v>
      </c>
      <c r="E754" s="29" t="n">
        <f aca="false">D754*(1+sh_g)</f>
        <v>0.558834610311843</v>
      </c>
      <c r="F754" s="29" t="n">
        <f aca="false">E754*(1+sh_g)</f>
        <v>0.561628783363402</v>
      </c>
      <c r="G754" s="29" t="n">
        <f aca="false">F754*(1+sh_g)</f>
        <v>0.564436927280219</v>
      </c>
      <c r="H754" s="31" t="n">
        <f aca="false">G754*(1+sh_g)</f>
        <v>0.56725911191662</v>
      </c>
      <c r="I754" s="31" t="n">
        <f aca="false">H754*(1+sh_g)</f>
        <v>0.570095407476203</v>
      </c>
      <c r="J754" s="31" t="n">
        <f aca="false">I754*(1+sh_g)</f>
        <v>0.572945884513584</v>
      </c>
    </row>
    <row r="755" customFormat="false" ht="17.15" hidden="false" customHeight="false" outlineLevel="0" collapsed="false">
      <c r="A755" s="0" t="s">
        <v>363</v>
      </c>
      <c r="B755" s="0" t="s">
        <v>235</v>
      </c>
      <c r="C755" s="30" t="n">
        <f aca="false">C753/C754</f>
        <v>92.2155350556153</v>
      </c>
      <c r="D755" s="30" t="n">
        <f aca="false">D753/D754</f>
        <v>138.534030197391</v>
      </c>
      <c r="E755" s="30" t="n">
        <f aca="false">E753/E754</f>
        <v>236.12832175549</v>
      </c>
      <c r="F755" s="30" t="n">
        <f aca="false">F753/F754</f>
        <v>284.009101584624</v>
      </c>
      <c r="G755" s="30" t="n">
        <f aca="false">G753/G754</f>
        <v>305.083989124239</v>
      </c>
      <c r="H755" s="28" t="n">
        <f aca="false">H753/H754</f>
        <v>318.633510254144</v>
      </c>
      <c r="I755" s="28" t="n">
        <f aca="false">I753/I754</f>
        <v>335.778730733631</v>
      </c>
      <c r="J755" s="28" t="n">
        <f aca="false">J753/J754</f>
        <v>357.001502381629</v>
      </c>
    </row>
    <row r="756" customFormat="false" ht="17.15" hidden="false" customHeight="false" outlineLevel="0" collapsed="false">
      <c r="A756" s="0" t="s">
        <v>466</v>
      </c>
      <c r="B756" s="0" t="s">
        <v>47</v>
      </c>
      <c r="D756" s="18" t="n">
        <f aca="false">D755/C755-1</f>
        <v>0.502285163924287</v>
      </c>
      <c r="E756" s="18" t="n">
        <f aca="false">E755/D755-1</f>
        <v>0.704478830357003</v>
      </c>
      <c r="F756" s="18" t="n">
        <f aca="false">F755/E755-1</f>
        <v>0.202774404498218</v>
      </c>
      <c r="G756" s="18" t="n">
        <f aca="false">G755/F755-1</f>
        <v>0.0742049723830265</v>
      </c>
      <c r="H756" s="26" t="n">
        <f aca="false">H755/G755-1</f>
        <v>0.0444124294060801</v>
      </c>
      <c r="I756" s="26" t="n">
        <f aca="false">I755/H755-1</f>
        <v>0.0538085917762134</v>
      </c>
      <c r="J756" s="26" t="n">
        <f aca="false">J755/I755-1</f>
        <v>0.0632046336038885</v>
      </c>
    </row>
    <row r="757" customFormat="false" ht="17.15" hidden="false" customHeight="false" outlineLevel="0" collapsed="false">
      <c r="A757" s="4" t="s">
        <v>467</v>
      </c>
      <c r="B757" s="0" t="s">
        <v>47</v>
      </c>
      <c r="C757" s="17" t="n">
        <f aca="false">C753/C738</f>
        <v>0.0537708946282752</v>
      </c>
      <c r="D757" s="17" t="n">
        <f aca="false">D753/D738</f>
        <v>0.0528101877339414</v>
      </c>
      <c r="E757" s="17" t="n">
        <f aca="false">E753/E738</f>
        <v>0.0522850688935982</v>
      </c>
      <c r="F757" s="17" t="n">
        <f aca="false">F753/F738</f>
        <v>0.0543024713669277</v>
      </c>
      <c r="G757" s="17" t="n">
        <f aca="false">G753/G738</f>
        <v>0.0568227511800238</v>
      </c>
      <c r="H757" s="27" t="n">
        <f aca="false">$G757+(fade_mA-$G757)*1/3</f>
        <v>0.0572869758573076</v>
      </c>
      <c r="I757" s="27" t="n">
        <f aca="false">$G757+(fade_mA-$G757)*2/3</f>
        <v>0.0577512005345915</v>
      </c>
      <c r="J757" s="27" t="n">
        <f aca="false">$G757+(fade_mA-$G757)*3/3</f>
        <v>0.0582154252118753</v>
      </c>
    </row>
    <row r="760" customFormat="false" ht="17.15" hidden="false" customHeight="false" outlineLevel="0" collapsed="false">
      <c r="A760" s="1" t="s">
        <v>752</v>
      </c>
    </row>
    <row r="761" customFormat="false" ht="17.15" hidden="false" customHeight="false" outlineLevel="0" collapsed="false">
      <c r="A761" s="5" t="s">
        <v>16</v>
      </c>
      <c r="B761" s="5" t="s">
        <v>17</v>
      </c>
      <c r="C761" s="14" t="s">
        <v>336</v>
      </c>
      <c r="D761" s="14" t="s">
        <v>415</v>
      </c>
      <c r="E761" s="14" t="s">
        <v>416</v>
      </c>
      <c r="F761" s="14" t="s">
        <v>417</v>
      </c>
      <c r="G761" s="14" t="s">
        <v>418</v>
      </c>
      <c r="H761" s="14" t="s">
        <v>419</v>
      </c>
      <c r="I761" s="14" t="s">
        <v>420</v>
      </c>
      <c r="J761" s="14" t="s">
        <v>421</v>
      </c>
      <c r="K761" s="5" t="s">
        <v>387</v>
      </c>
    </row>
    <row r="762" customFormat="false" ht="17.15" hidden="false" customHeight="false" outlineLevel="0" collapsed="false">
      <c r="A762" s="6" t="s">
        <v>437</v>
      </c>
    </row>
    <row r="763" customFormat="false" ht="17.15" hidden="false" customHeight="false" outlineLevel="0" collapsed="false">
      <c r="A763" s="0" t="s">
        <v>438</v>
      </c>
      <c r="B763" s="0" t="s">
        <v>27</v>
      </c>
      <c r="D763" s="30" t="n">
        <f aca="false">itc_26</f>
        <v>781.872916666667</v>
      </c>
      <c r="E763" s="30" t="n">
        <f aca="false">itc_27*1</f>
        <v>1565.35</v>
      </c>
      <c r="F763" s="30" t="n">
        <f aca="false">itc_28*um28_A*1</f>
        <v>1984.26388888889</v>
      </c>
      <c r="G763" s="30" t="n">
        <f aca="false">itc_29*um29_A*1</f>
        <v>2260.39027777778</v>
      </c>
    </row>
    <row r="764" customFormat="false" ht="17.15" hidden="false" customHeight="false" outlineLevel="0" collapsed="false">
      <c r="A764" s="4" t="s">
        <v>439</v>
      </c>
      <c r="B764" s="0" t="s">
        <v>27</v>
      </c>
      <c r="D764" s="30" t="n">
        <f aca="false">itpg_gb*(1-vr26)+itpg_vr*vr26</f>
        <v>33.41403216</v>
      </c>
      <c r="E764" s="30" t="n">
        <f aca="false">itpg_vr</f>
        <v>37.586352</v>
      </c>
      <c r="F764" s="30" t="n">
        <f aca="false">itpg_vr</f>
        <v>37.586352</v>
      </c>
      <c r="G764" s="30" t="n">
        <f aca="false">itpg_vr</f>
        <v>37.586352</v>
      </c>
    </row>
    <row r="765" customFormat="false" ht="17.15" hidden="false" customHeight="false" outlineLevel="0" collapsed="false">
      <c r="A765" s="4" t="s">
        <v>440</v>
      </c>
      <c r="B765" s="0" t="s">
        <v>389</v>
      </c>
      <c r="D765" s="21" t="n">
        <f aca="false">D763/D764</f>
        <v>23.3995380420639</v>
      </c>
      <c r="E765" s="21" t="n">
        <f aca="false">E763/E764</f>
        <v>41.6467658260637</v>
      </c>
      <c r="F765" s="21" t="n">
        <f aca="false">F763/F764</f>
        <v>52.792138191248</v>
      </c>
      <c r="G765" s="21" t="n">
        <f aca="false">G763/G764</f>
        <v>60.1385917361116</v>
      </c>
    </row>
    <row r="766" customFormat="false" ht="17.15" hidden="false" customHeight="false" outlineLevel="0" collapsed="false">
      <c r="A766" s="4" t="s">
        <v>441</v>
      </c>
      <c r="B766" s="0" t="s">
        <v>408</v>
      </c>
      <c r="D766" s="19" t="n">
        <f aca="false">(racks_gb*odm_gb*(1-vr26)+racks_vr*odm_vr*vr26)/1000</f>
        <v>27.1209</v>
      </c>
      <c r="E766" s="19" t="n">
        <f aca="false">racks_vr*odm_vr/1000</f>
        <v>27.351</v>
      </c>
      <c r="F766" s="19" t="n">
        <f aca="false">$E766*vpg_28</f>
        <v>27.351</v>
      </c>
      <c r="G766" s="19" t="n">
        <f aca="false">$E766*vpg_29</f>
        <v>27.351</v>
      </c>
      <c r="K766" s="4" t="s">
        <v>442</v>
      </c>
    </row>
    <row r="767" customFormat="false" ht="17.15" hidden="false" customHeight="false" outlineLevel="0" collapsed="false">
      <c r="A767" s="0" t="s">
        <v>443</v>
      </c>
      <c r="B767" s="0" t="s">
        <v>27</v>
      </c>
      <c r="D767" s="22" t="n">
        <f aca="false">D765*D766</f>
        <v>634.616531285011</v>
      </c>
      <c r="E767" s="22" t="n">
        <f aca="false">E765*E766</f>
        <v>1139.08069210867</v>
      </c>
      <c r="F767" s="22" t="n">
        <f aca="false">F765*F766</f>
        <v>1443.91777166882</v>
      </c>
      <c r="G767" s="22" t="n">
        <f aca="false">G765*G766</f>
        <v>1644.85062257439</v>
      </c>
    </row>
    <row r="768" customFormat="false" ht="17.15" hidden="false" customHeight="false" outlineLevel="0" collapsed="false">
      <c r="A768" s="0" t="s">
        <v>444</v>
      </c>
      <c r="B768" s="0" t="s">
        <v>184</v>
      </c>
      <c r="D768" s="22" t="n">
        <f aca="false">D767*fx</f>
        <v>20307.7290011204</v>
      </c>
      <c r="E768" s="22" t="n">
        <f aca="false">E767*fx</f>
        <v>36450.5821474774</v>
      </c>
      <c r="F768" s="22" t="n">
        <f aca="false">F767*fx</f>
        <v>46205.3686934024</v>
      </c>
      <c r="G768" s="22" t="n">
        <f aca="false">G767*fx</f>
        <v>52635.2199223804</v>
      </c>
    </row>
    <row r="769" customFormat="false" ht="17.15" hidden="false" customHeight="false" outlineLevel="0" collapsed="false">
      <c r="A769" s="4" t="s">
        <v>445</v>
      </c>
      <c r="B769" s="0" t="s">
        <v>47</v>
      </c>
      <c r="D769" s="17" t="n">
        <f aca="false">a26_ai/D768</f>
        <v>0.0344775081035094</v>
      </c>
      <c r="K769" s="8" t="s">
        <v>446</v>
      </c>
    </row>
    <row r="770" customFormat="false" ht="17.15" hidden="false" customHeight="false" outlineLevel="0" collapsed="false">
      <c r="A770" s="4" t="s">
        <v>447</v>
      </c>
      <c r="B770" s="0" t="s">
        <v>59</v>
      </c>
      <c r="D770" s="19" t="n">
        <f aca="false">1</f>
        <v>1</v>
      </c>
      <c r="E770" s="19" t="n">
        <f aca="false">rel_27</f>
        <v>1</v>
      </c>
      <c r="F770" s="19" t="n">
        <f aca="false">rel_28</f>
        <v>1</v>
      </c>
      <c r="G770" s="19" t="n">
        <f aca="false">rel_29</f>
        <v>0.95</v>
      </c>
    </row>
    <row r="771" customFormat="false" ht="17.15" hidden="false" customHeight="false" outlineLevel="0" collapsed="false">
      <c r="A771" s="0" t="s">
        <v>448</v>
      </c>
      <c r="B771" s="0" t="s">
        <v>59</v>
      </c>
      <c r="D771" s="23" t="n">
        <f aca="false">1</f>
        <v>1</v>
      </c>
      <c r="E771" s="23" t="n">
        <f aca="false">asic_mix*((ua_27/ua_26)/(ut_27/ut_26))+(1-asic_mix)</f>
        <v>1.44683544303797</v>
      </c>
      <c r="F771" s="23" t="n">
        <f aca="false">asic_mix*((ua_28/ua_26)/(ut_28/ut_26))+(1-asic_mix)</f>
        <v>1.47660377358491</v>
      </c>
      <c r="G771" s="23" t="n">
        <f aca="false">asic_mix*((ua_29/ua_26)/(ut_29/ut_26))+(1-asic_mix)</f>
        <v>1.49144278606965</v>
      </c>
      <c r="K771" s="8" t="s">
        <v>449</v>
      </c>
    </row>
    <row r="772" customFormat="false" ht="15" hidden="false" customHeight="false" outlineLevel="0" collapsed="false">
      <c r="A772" s="4" t="s">
        <v>398</v>
      </c>
      <c r="B772" s="0" t="s">
        <v>47</v>
      </c>
      <c r="D772" s="17" t="n">
        <f aca="false">$D$769*D770*D771</f>
        <v>0.0344775081035094</v>
      </c>
      <c r="E772" s="17" t="n">
        <f aca="false">$D$769*E770*E771</f>
        <v>0.0498832807117864</v>
      </c>
      <c r="F772" s="17" t="n">
        <f aca="false">$D$769*F770*F771</f>
        <v>0.0509096185694461</v>
      </c>
      <c r="G772" s="17" t="n">
        <f aca="false">$D$769*G770*G771</f>
        <v>0.0488501692055052</v>
      </c>
    </row>
    <row r="773" customFormat="false" ht="17.15" hidden="false" customHeight="false" outlineLevel="0" collapsed="false">
      <c r="A773" s="0" t="s">
        <v>450</v>
      </c>
      <c r="B773" s="0" t="s">
        <v>184</v>
      </c>
      <c r="D773" s="22" t="n">
        <f aca="false">D768*D772</f>
        <v>700.1598912</v>
      </c>
      <c r="E773" s="22" t="n">
        <f aca="false">E768*E772</f>
        <v>1818.27462137064</v>
      </c>
      <c r="F773" s="22" t="n">
        <f aca="false">F768*F772</f>
        <v>2352.29769604174</v>
      </c>
      <c r="G773" s="22" t="n">
        <f aca="false">G768*G772</f>
        <v>2571.23939937726</v>
      </c>
    </row>
    <row r="774" customFormat="false" ht="17.15" hidden="false" customHeight="false" outlineLevel="0" collapsed="false">
      <c r="A774" s="4" t="s">
        <v>404</v>
      </c>
      <c r="B774" s="0" t="s">
        <v>47</v>
      </c>
      <c r="D774" s="18" t="n">
        <f aca="false">0</f>
        <v>0</v>
      </c>
      <c r="E774" s="18" t="n">
        <f aca="false">cs_27</f>
        <v>0.05</v>
      </c>
      <c r="F774" s="18" t="n">
        <f aca="false">cs_28</f>
        <v>0.1</v>
      </c>
      <c r="G774" s="18" t="n">
        <f aca="false">cs_29</f>
        <v>0.15</v>
      </c>
      <c r="K774" s="8" t="s">
        <v>451</v>
      </c>
    </row>
    <row r="775" customFormat="false" ht="17.15" hidden="false" customHeight="false" outlineLevel="0" collapsed="false">
      <c r="A775" s="0" t="s">
        <v>452</v>
      </c>
      <c r="B775" s="0" t="s">
        <v>184</v>
      </c>
      <c r="C775" s="22" t="n">
        <f aca="false">a25_ai</f>
        <v>475.3315</v>
      </c>
      <c r="D775" s="22" t="n">
        <f aca="false">D773*(1-D774)</f>
        <v>700.1598912</v>
      </c>
      <c r="E775" s="22" t="n">
        <f aca="false">E773*(1-E774)</f>
        <v>1727.36089030211</v>
      </c>
      <c r="F775" s="22" t="n">
        <f aca="false">F773*(1-F774)</f>
        <v>2117.06792643757</v>
      </c>
      <c r="G775" s="22" t="n">
        <f aca="false">G773*(1-G774)</f>
        <v>2185.55348947067</v>
      </c>
    </row>
    <row r="776" customFormat="false" ht="17.15" hidden="false" customHeight="false" outlineLevel="0" collapsed="false">
      <c r="A776" s="6" t="s">
        <v>453</v>
      </c>
    </row>
    <row r="777" customFormat="false" ht="17.15" hidden="false" customHeight="false" outlineLevel="0" collapsed="false">
      <c r="A777" s="4" t="s">
        <v>373</v>
      </c>
      <c r="B777" s="0" t="s">
        <v>184</v>
      </c>
      <c r="C777" s="22" t="n">
        <f aca="false">a25_nai</f>
        <v>475.3315</v>
      </c>
      <c r="D777" s="22" t="n">
        <f aca="false">a26_nai</f>
        <v>758.5065488</v>
      </c>
      <c r="E777" s="22" t="n">
        <f aca="false">D777*(1+g_nai27)</f>
        <v>796.43187624</v>
      </c>
      <c r="F777" s="22" t="n">
        <f aca="false">E777*(1+g_nai28)</f>
        <v>820.3248325272</v>
      </c>
      <c r="G777" s="22" t="n">
        <f aca="false">F777*(1+g_nai29)</f>
        <v>844.934577503016</v>
      </c>
    </row>
    <row r="778" customFormat="false" ht="17.15" hidden="false" customHeight="false" outlineLevel="0" collapsed="false">
      <c r="A778" s="4" t="s">
        <v>342</v>
      </c>
      <c r="B778" s="0" t="s">
        <v>184</v>
      </c>
      <c r="C778" s="22" t="n">
        <f aca="false">C775+C777</f>
        <v>950.663</v>
      </c>
      <c r="D778" s="22" t="n">
        <f aca="false">D775+D777</f>
        <v>1458.66644</v>
      </c>
      <c r="E778" s="22" t="n">
        <f aca="false">E775+E777</f>
        <v>2523.79276654211</v>
      </c>
      <c r="F778" s="22" t="n">
        <f aca="false">F775+F777</f>
        <v>2937.39275896477</v>
      </c>
      <c r="G778" s="22" t="n">
        <f aca="false">G775+G777</f>
        <v>3030.48806697369</v>
      </c>
      <c r="H778" s="25" t="n">
        <f aca="false">G778*(1+H779)</f>
        <v>3155.12835768908</v>
      </c>
      <c r="I778" s="25" t="n">
        <f aca="false">H778*(1+I779)</f>
        <v>3314.6655056075</v>
      </c>
      <c r="J778" s="25" t="n">
        <f aca="false">I778*(1+J779)</f>
        <v>3513.54543594395</v>
      </c>
      <c r="K778" s="8" t="s">
        <v>454</v>
      </c>
    </row>
    <row r="779" customFormat="false" ht="15" hidden="false" customHeight="false" outlineLevel="0" collapsed="false">
      <c r="A779" s="4" t="s">
        <v>455</v>
      </c>
      <c r="B779" s="0" t="s">
        <v>47</v>
      </c>
      <c r="D779" s="18" t="n">
        <f aca="false">D778/C778-1</f>
        <v>0.534367530870561</v>
      </c>
      <c r="E779" s="18" t="n">
        <f aca="false">E778/D778-1</f>
        <v>0.730205547569951</v>
      </c>
      <c r="F779" s="18" t="n">
        <f aca="false">F778/E778-1</f>
        <v>0.163880330392316</v>
      </c>
      <c r="G779" s="18" t="n">
        <f aca="false">G778/F778-1</f>
        <v>0.0316931767891091</v>
      </c>
      <c r="H779" s="26" t="n">
        <f aca="false">$G779+(fade_gA-$G779)*1/3</f>
        <v>0.0411287845260727</v>
      </c>
      <c r="I779" s="26" t="n">
        <f aca="false">$G779+(fade_gA-$G779)*2/3</f>
        <v>0.0505643922630364</v>
      </c>
      <c r="J779" s="26" t="n">
        <f aca="false">$G779+(fade_gA-$G779)*3/3</f>
        <v>0.06</v>
      </c>
    </row>
    <row r="780" customFormat="false" ht="17.15" hidden="false" customHeight="false" outlineLevel="0" collapsed="false">
      <c r="A780" s="0" t="s">
        <v>456</v>
      </c>
      <c r="B780" s="0" t="s">
        <v>47</v>
      </c>
      <c r="C780" s="18" t="n">
        <f aca="false">C775/C778</f>
        <v>0.5</v>
      </c>
      <c r="D780" s="18" t="n">
        <f aca="false">D775/D778</f>
        <v>0.48</v>
      </c>
      <c r="E780" s="18" t="n">
        <f aca="false">E775/E778</f>
        <v>0.684430557532977</v>
      </c>
      <c r="F780" s="18" t="n">
        <f aca="false">F775/F778</f>
        <v>0.720730287080741</v>
      </c>
      <c r="G780" s="18" t="n">
        <f aca="false">G775/G778</f>
        <v>0.721188614233091</v>
      </c>
    </row>
    <row r="781" customFormat="false" ht="17.15" hidden="false" customHeight="false" outlineLevel="0" collapsed="false">
      <c r="A781" s="4" t="s">
        <v>407</v>
      </c>
      <c r="B781" s="0" t="s">
        <v>408</v>
      </c>
      <c r="D781" s="23" t="n">
        <f aca="false">D775/fx/D765</f>
        <v>0.935061049524468</v>
      </c>
      <c r="E781" s="23" t="n">
        <f aca="false">E775/fx/E765</f>
        <v>1.29613973021067</v>
      </c>
      <c r="F781" s="23" t="n">
        <f aca="false">F775/fx/F765</f>
        <v>1.25318607974363</v>
      </c>
      <c r="G781" s="23" t="n">
        <f aca="false">G775/fx/G765</f>
        <v>1.13568583124881</v>
      </c>
    </row>
    <row r="782" customFormat="false" ht="17.15" hidden="false" customHeight="false" outlineLevel="0" collapsed="false">
      <c r="A782" s="6" t="s">
        <v>457</v>
      </c>
    </row>
    <row r="783" customFormat="false" ht="17.15" hidden="false" customHeight="false" outlineLevel="0" collapsed="false">
      <c r="A783" s="4" t="s">
        <v>458</v>
      </c>
      <c r="B783" s="0" t="s">
        <v>47</v>
      </c>
      <c r="D783" s="17" t="n">
        <f aca="false">a26_gp/D778-d_ai*D780</f>
        <v>0.0882120920201606</v>
      </c>
      <c r="K783" s="8" t="s">
        <v>459</v>
      </c>
    </row>
    <row r="784" customFormat="false" ht="17.15" hidden="false" customHeight="false" outlineLevel="0" collapsed="false">
      <c r="A784" s="0" t="s">
        <v>460</v>
      </c>
      <c r="B784" s="0" t="s">
        <v>184</v>
      </c>
      <c r="D784" s="30" t="n">
        <f aca="false">($D$783+d_ai)*D773*(1-D774*(1-keep))</f>
        <v>54.76096983936</v>
      </c>
      <c r="E784" s="30" t="n">
        <f aca="false">($D$783+d_ai+vrd)*E773*(1-E774*(1-keep))</f>
        <v>137.881640198013</v>
      </c>
      <c r="F784" s="30" t="n">
        <f aca="false">($D$783+d_ai+vrd)*F773*(1-F774*(1-keep))</f>
        <v>177.480793184849</v>
      </c>
      <c r="G784" s="30" t="n">
        <f aca="false">($D$783+d_ai+vrd)*G773*(1-G774*(1-keep))</f>
        <v>193.020140705534</v>
      </c>
      <c r="K784" s="4" t="s">
        <v>461</v>
      </c>
    </row>
    <row r="785" customFormat="false" ht="15" hidden="false" customHeight="false" outlineLevel="0" collapsed="false">
      <c r="A785" s="4" t="s">
        <v>346</v>
      </c>
      <c r="B785" s="0" t="s">
        <v>184</v>
      </c>
      <c r="C785" s="22" t="n">
        <f aca="false">a25_gp</f>
        <v>78.454</v>
      </c>
      <c r="D785" s="22" t="n">
        <f aca="false">a26_gp</f>
        <v>121.67041932</v>
      </c>
      <c r="E785" s="22" t="n">
        <f aca="false">$D$783*E777+E784</f>
        <v>208.136562152685</v>
      </c>
      <c r="F785" s="22" t="n">
        <f aca="false">$D$783*F777+F784</f>
        <v>249.843362798162</v>
      </c>
      <c r="G785" s="22" t="n">
        <f aca="false">$D$783*G777+G784</f>
        <v>267.553587407246</v>
      </c>
    </row>
    <row r="786" customFormat="false" ht="15" hidden="false" customHeight="false" outlineLevel="0" collapsed="false">
      <c r="A786" s="4" t="s">
        <v>349</v>
      </c>
      <c r="B786" s="0" t="s">
        <v>47</v>
      </c>
      <c r="C786" s="17" t="n">
        <f aca="false">C785/C778</f>
        <v>0.0825255637381491</v>
      </c>
      <c r="D786" s="17" t="n">
        <f aca="false">D785/D778</f>
        <v>0.0834120920201606</v>
      </c>
      <c r="E786" s="17" t="n">
        <f aca="false">E785/E778</f>
        <v>0.0824697514439176</v>
      </c>
      <c r="F786" s="17" t="n">
        <f aca="false">F785/F778</f>
        <v>0.0850561648712631</v>
      </c>
      <c r="G786" s="17" t="n">
        <f aca="false">G785/G778</f>
        <v>0.0882872928367709</v>
      </c>
    </row>
    <row r="787" customFormat="false" ht="17.15" hidden="false" customHeight="false" outlineLevel="0" collapsed="false">
      <c r="A787" s="0" t="s">
        <v>462</v>
      </c>
      <c r="B787" s="0" t="s">
        <v>47</v>
      </c>
      <c r="D787" s="17" t="n">
        <f aca="false">D784/D775</f>
        <v>0.0782120920201606</v>
      </c>
      <c r="E787" s="17" t="n">
        <f aca="false">E784/E775</f>
        <v>0.0798221384842734</v>
      </c>
      <c r="F787" s="17" t="n">
        <f aca="false">F784/F775</f>
        <v>0.0838333012221766</v>
      </c>
      <c r="G787" s="17" t="n">
        <f aca="false">G784/G775</f>
        <v>0.0883163654586567</v>
      </c>
      <c r="K787" s="4" t="s">
        <v>463</v>
      </c>
    </row>
    <row r="788" customFormat="false" ht="15" hidden="false" customHeight="false" outlineLevel="0" collapsed="false">
      <c r="A788" s="4" t="s">
        <v>464</v>
      </c>
      <c r="B788" s="0" t="s">
        <v>184</v>
      </c>
      <c r="C788" s="22" t="n">
        <f aca="false">a25_opx</f>
        <v>14.536</v>
      </c>
      <c r="D788" s="22" t="n">
        <f aca="false">a26_opx</f>
        <v>22.5183263</v>
      </c>
      <c r="E788" s="22" t="n">
        <f aca="false">D788*(1+MAX(0,phi*E779))</f>
        <v>35.6727317290002</v>
      </c>
      <c r="F788" s="22" t="n">
        <f aca="false">E788*(1+MAX(0,phi*F779))</f>
        <v>40.3495789783962</v>
      </c>
      <c r="G788" s="22" t="n">
        <f aca="false">F788*(1+MAX(0,phi*G779))</f>
        <v>41.372624050339</v>
      </c>
    </row>
    <row r="789" customFormat="false" ht="15" hidden="false" customHeight="false" outlineLevel="0" collapsed="false">
      <c r="A789" s="4" t="s">
        <v>350</v>
      </c>
      <c r="B789" s="0" t="s">
        <v>184</v>
      </c>
      <c r="C789" s="22" t="n">
        <f aca="false">C788</f>
        <v>14.536</v>
      </c>
      <c r="D789" s="22" t="n">
        <f aca="false">D788</f>
        <v>22.5183263</v>
      </c>
      <c r="E789" s="22" t="n">
        <f aca="false">E788+0*E778</f>
        <v>35.6727317290002</v>
      </c>
      <c r="F789" s="22" t="n">
        <f aca="false">F788+0*F778</f>
        <v>40.3495789783962</v>
      </c>
      <c r="G789" s="22" t="n">
        <f aca="false">G788+0*G778</f>
        <v>41.372624050339</v>
      </c>
    </row>
    <row r="790" customFormat="false" ht="15" hidden="false" customHeight="false" outlineLevel="0" collapsed="false">
      <c r="A790" s="4" t="s">
        <v>353</v>
      </c>
      <c r="B790" s="0" t="s">
        <v>184</v>
      </c>
      <c r="C790" s="22" t="n">
        <f aca="false">C785-C789</f>
        <v>63.918</v>
      </c>
      <c r="D790" s="22" t="n">
        <f aca="false">D785-D789</f>
        <v>99.15209302</v>
      </c>
      <c r="E790" s="22" t="n">
        <f aca="false">E785-E789</f>
        <v>172.463830423685</v>
      </c>
      <c r="F790" s="22" t="n">
        <f aca="false">F785-F789</f>
        <v>209.493783819765</v>
      </c>
      <c r="G790" s="22" t="n">
        <f aca="false">G785-G789</f>
        <v>226.180963356907</v>
      </c>
    </row>
    <row r="791" customFormat="false" ht="15" hidden="false" customHeight="false" outlineLevel="0" collapsed="false">
      <c r="A791" s="4" t="s">
        <v>356</v>
      </c>
      <c r="B791" s="0" t="s">
        <v>47</v>
      </c>
      <c r="C791" s="17" t="n">
        <f aca="false">C790/C778</f>
        <v>0.0672351821833815</v>
      </c>
      <c r="D791" s="17" t="n">
        <f aca="false">D790/D778</f>
        <v>0.0679744801834201</v>
      </c>
      <c r="E791" s="17" t="n">
        <f aca="false">E790/E778</f>
        <v>0.0683351789853888</v>
      </c>
      <c r="F791" s="17" t="n">
        <f aca="false">F790/F778</f>
        <v>0.0713196364975032</v>
      </c>
      <c r="G791" s="17" t="n">
        <f aca="false">G790/G778</f>
        <v>0.0746351605280453</v>
      </c>
    </row>
    <row r="792" customFormat="false" ht="17.15" hidden="false" customHeight="false" outlineLevel="0" collapsed="false">
      <c r="A792" s="4" t="s">
        <v>218</v>
      </c>
      <c r="B792" s="0" t="s">
        <v>47</v>
      </c>
      <c r="C792" s="18" t="n">
        <f aca="false">a25_ni/a25_oi</f>
        <v>0.799743421258488</v>
      </c>
      <c r="D792" s="18" t="n">
        <f aca="false">a26_ni/a26_oi</f>
        <v>0.776911976251089</v>
      </c>
      <c r="E792" s="18" t="n">
        <f aca="false">nio_f_lo</f>
        <v>0.72</v>
      </c>
      <c r="F792" s="18" t="n">
        <f aca="false">nio_f_lo</f>
        <v>0.72</v>
      </c>
      <c r="G792" s="18" t="n">
        <f aca="false">nio_f_lo</f>
        <v>0.72</v>
      </c>
    </row>
    <row r="793" customFormat="false" ht="15" hidden="false" customHeight="false" outlineLevel="0" collapsed="false">
      <c r="A793" s="4" t="s">
        <v>357</v>
      </c>
      <c r="B793" s="0" t="s">
        <v>184</v>
      </c>
      <c r="C793" s="22" t="n">
        <f aca="false">a25_ni</f>
        <v>51.118</v>
      </c>
      <c r="D793" s="22" t="n">
        <f aca="false">a26_ni</f>
        <v>77.0324485376</v>
      </c>
      <c r="E793" s="22" t="n">
        <f aca="false">E790*E792</f>
        <v>124.173957905053</v>
      </c>
      <c r="F793" s="22" t="n">
        <f aca="false">F790*F792</f>
        <v>150.835524350231</v>
      </c>
      <c r="G793" s="22" t="n">
        <f aca="false">G790*G792</f>
        <v>162.850293616973</v>
      </c>
      <c r="H793" s="25" t="n">
        <f aca="false">H778*H797</f>
        <v>174.257798482407</v>
      </c>
      <c r="I793" s="25" t="n">
        <f aca="false">I778*I797</f>
        <v>188.016850001921</v>
      </c>
      <c r="J793" s="25" t="n">
        <f aca="false">J778*J797</f>
        <v>204.542541554721</v>
      </c>
    </row>
    <row r="794" customFormat="false" ht="15" hidden="false" customHeight="false" outlineLevel="0" collapsed="false">
      <c r="A794" s="4" t="s">
        <v>465</v>
      </c>
      <c r="B794" s="4" t="s">
        <v>205</v>
      </c>
      <c r="C794" s="29" t="n">
        <f aca="false">a25_sh</f>
        <v>0.554331761662183</v>
      </c>
      <c r="D794" s="29" t="n">
        <f aca="false">a26_sh</f>
        <v>0.556054338618749</v>
      </c>
      <c r="E794" s="29" t="n">
        <f aca="false">D794*(1+sh_g)</f>
        <v>0.558834610311843</v>
      </c>
      <c r="F794" s="29" t="n">
        <f aca="false">E794*(1+sh_g)</f>
        <v>0.561628783363402</v>
      </c>
      <c r="G794" s="29" t="n">
        <f aca="false">F794*(1+sh_g)</f>
        <v>0.564436927280219</v>
      </c>
      <c r="H794" s="31" t="n">
        <f aca="false">G794*(1+sh_g)</f>
        <v>0.56725911191662</v>
      </c>
      <c r="I794" s="31" t="n">
        <f aca="false">H794*(1+sh_g)</f>
        <v>0.570095407476203</v>
      </c>
      <c r="J794" s="31" t="n">
        <f aca="false">I794*(1+sh_g)</f>
        <v>0.572945884513584</v>
      </c>
    </row>
    <row r="795" customFormat="false" ht="17.15" hidden="false" customHeight="false" outlineLevel="0" collapsed="false">
      <c r="A795" s="0" t="s">
        <v>363</v>
      </c>
      <c r="B795" s="0" t="s">
        <v>235</v>
      </c>
      <c r="C795" s="30" t="n">
        <f aca="false">C793/C794</f>
        <v>92.2155350556153</v>
      </c>
      <c r="D795" s="30" t="n">
        <f aca="false">D793/D794</f>
        <v>138.534030197391</v>
      </c>
      <c r="E795" s="30" t="n">
        <f aca="false">E793/E794</f>
        <v>222.201623904004</v>
      </c>
      <c r="F795" s="30" t="n">
        <f aca="false">F793/F794</f>
        <v>268.568009365419</v>
      </c>
      <c r="G795" s="30" t="n">
        <f aca="false">G793/G794</f>
        <v>288.518142145091</v>
      </c>
      <c r="H795" s="28" t="n">
        <f aca="false">H793/H794</f>
        <v>307.192594744994</v>
      </c>
      <c r="I795" s="28" t="n">
        <f aca="false">I793/I794</f>
        <v>329.798920560097</v>
      </c>
      <c r="J795" s="28" t="n">
        <f aca="false">J793/J794</f>
        <v>357.001502381629</v>
      </c>
    </row>
    <row r="796" customFormat="false" ht="17.15" hidden="false" customHeight="false" outlineLevel="0" collapsed="false">
      <c r="A796" s="0" t="s">
        <v>466</v>
      </c>
      <c r="B796" s="0" t="s">
        <v>47</v>
      </c>
      <c r="D796" s="18" t="n">
        <f aca="false">D795/C795-1</f>
        <v>0.502285163924287</v>
      </c>
      <c r="E796" s="18" t="n">
        <f aca="false">E795/D795-1</f>
        <v>0.603949755792128</v>
      </c>
      <c r="F796" s="18" t="n">
        <f aca="false">F795/E795-1</f>
        <v>0.208668076527856</v>
      </c>
      <c r="G796" s="18" t="n">
        <f aca="false">G795/F795-1</f>
        <v>0.07428335499381</v>
      </c>
      <c r="H796" s="26" t="n">
        <f aca="false">H795/G795-1</f>
        <v>0.0647254015330208</v>
      </c>
      <c r="I796" s="26" t="n">
        <f aca="false">I795/H795-1</f>
        <v>0.0735900741157829</v>
      </c>
      <c r="J796" s="26" t="n">
        <f aca="false">J795/I795-1</f>
        <v>0.0824823252160254</v>
      </c>
    </row>
    <row r="797" customFormat="false" ht="17.15" hidden="false" customHeight="false" outlineLevel="0" collapsed="false">
      <c r="A797" s="4" t="s">
        <v>467</v>
      </c>
      <c r="B797" s="0" t="s">
        <v>47</v>
      </c>
      <c r="C797" s="17" t="n">
        <f aca="false">C793/C778</f>
        <v>0.0537708946282752</v>
      </c>
      <c r="D797" s="17" t="n">
        <f aca="false">D793/D778</f>
        <v>0.0528101877339414</v>
      </c>
      <c r="E797" s="17" t="n">
        <f aca="false">E793/E778</f>
        <v>0.0492013288694799</v>
      </c>
      <c r="F797" s="17" t="n">
        <f aca="false">F793/F778</f>
        <v>0.0513501382782023</v>
      </c>
      <c r="G797" s="17" t="n">
        <f aca="false">G793/G778</f>
        <v>0.0537373155801926</v>
      </c>
      <c r="H797" s="27" t="n">
        <f aca="false">$G797+(fade_mA-$G797)*1/3</f>
        <v>0.0552300187907535</v>
      </c>
      <c r="I797" s="27" t="n">
        <f aca="false">$G797+(fade_mA-$G797)*2/3</f>
        <v>0.0567227220013144</v>
      </c>
      <c r="J797" s="27" t="n">
        <f aca="false">$G797+(fade_mA-$G797)*3/3</f>
        <v>0.0582154252118753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753</v>
      </c>
    </row>
    <row r="2" customFormat="false" ht="17.15" hidden="false" customHeight="false" outlineLevel="0" collapsed="false">
      <c r="A2" s="4" t="s">
        <v>754</v>
      </c>
      <c r="B2" s="0" t="s">
        <v>755</v>
      </c>
    </row>
    <row r="3" customFormat="false" ht="17.15" hidden="false" customHeight="false" outlineLevel="0" collapsed="false">
      <c r="A3" s="4" t="s">
        <v>756</v>
      </c>
      <c r="B3" s="0" t="s">
        <v>757</v>
      </c>
    </row>
    <row r="4" customFormat="false" ht="17.15" hidden="false" customHeight="false" outlineLevel="0" collapsed="false">
      <c r="A4" s="4" t="s">
        <v>758</v>
      </c>
      <c r="B4" s="0" t="s">
        <v>759</v>
      </c>
    </row>
    <row r="5" customFormat="false" ht="17.15" hidden="false" customHeight="false" outlineLevel="0" collapsed="false">
      <c r="A5" s="4" t="s">
        <v>760</v>
      </c>
      <c r="B5" s="0" t="s">
        <v>761</v>
      </c>
    </row>
    <row r="6" customFormat="false" ht="17.15" hidden="false" customHeight="false" outlineLevel="0" collapsed="false">
      <c r="A6" s="4" t="s">
        <v>762</v>
      </c>
      <c r="B6" s="0" t="s">
        <v>763</v>
      </c>
    </row>
    <row r="7" customFormat="false" ht="17.15" hidden="false" customHeight="false" outlineLevel="0" collapsed="false">
      <c r="A7" s="4" t="s">
        <v>764</v>
      </c>
      <c r="B7" s="0" t="s">
        <v>765</v>
      </c>
    </row>
    <row r="8" customFormat="false" ht="17.15" hidden="false" customHeight="false" outlineLevel="0" collapsed="false">
      <c r="A8" s="4" t="s">
        <v>766</v>
      </c>
      <c r="B8" s="0" t="s">
        <v>767</v>
      </c>
    </row>
    <row r="9" customFormat="false" ht="17.15" hidden="false" customHeight="false" outlineLevel="0" collapsed="false">
      <c r="A9" s="4" t="s">
        <v>768</v>
      </c>
      <c r="B9" s="0" t="s">
        <v>769</v>
      </c>
    </row>
    <row r="10" customFormat="false" ht="17.15" hidden="false" customHeight="false" outlineLevel="0" collapsed="false">
      <c r="A10" s="4" t="s">
        <v>770</v>
      </c>
      <c r="B10" s="0" t="s">
        <v>771</v>
      </c>
    </row>
    <row r="11" customFormat="false" ht="17.15" hidden="false" customHeight="false" outlineLevel="0" collapsed="false">
      <c r="A11" s="4" t="s">
        <v>772</v>
      </c>
      <c r="B11" s="0" t="s">
        <v>773</v>
      </c>
    </row>
    <row r="12" customFormat="false" ht="17.15" hidden="false" customHeight="false" outlineLevel="0" collapsed="false">
      <c r="A12" s="4" t="s">
        <v>774</v>
      </c>
      <c r="B12" s="0" t="s">
        <v>775</v>
      </c>
    </row>
    <row r="13" customFormat="false" ht="17.15" hidden="false" customHeight="false" outlineLevel="0" collapsed="false">
      <c r="A13" s="4" t="s">
        <v>776</v>
      </c>
      <c r="B13" s="0" t="s">
        <v>777</v>
      </c>
    </row>
    <row r="14" customFormat="false" ht="17.15" hidden="false" customHeight="false" outlineLevel="0" collapsed="false">
      <c r="A14" s="4" t="s">
        <v>778</v>
      </c>
      <c r="B14" s="0" t="s">
        <v>779</v>
      </c>
    </row>
    <row r="15" customFormat="false" ht="17.15" hidden="false" customHeight="false" outlineLevel="0" collapsed="false">
      <c r="A15" s="4" t="s">
        <v>780</v>
      </c>
      <c r="B15" s="0" t="s">
        <v>781</v>
      </c>
    </row>
    <row r="16" customFormat="false" ht="17.15" hidden="false" customHeight="false" outlineLevel="0" collapsed="false">
      <c r="A16" s="4" t="s">
        <v>782</v>
      </c>
      <c r="B16" s="0" t="s">
        <v>783</v>
      </c>
    </row>
    <row r="17" customFormat="false" ht="17.15" hidden="false" customHeight="false" outlineLevel="0" collapsed="false">
      <c r="A17" s="4" t="s">
        <v>784</v>
      </c>
      <c r="B17" s="0" t="s">
        <v>785</v>
      </c>
    </row>
    <row r="18" customFormat="false" ht="17.15" hidden="false" customHeight="false" outlineLevel="0" collapsed="false">
      <c r="A18" s="4" t="s">
        <v>786</v>
      </c>
      <c r="B18" s="0" t="s">
        <v>787</v>
      </c>
    </row>
    <row r="19" customFormat="false" ht="17.15" hidden="false" customHeight="false" outlineLevel="0" collapsed="false">
      <c r="A19" s="4" t="s">
        <v>788</v>
      </c>
      <c r="B19" s="0" t="s">
        <v>789</v>
      </c>
    </row>
    <row r="20" customFormat="false" ht="17.15" hidden="false" customHeight="false" outlineLevel="0" collapsed="false">
      <c r="A20" s="4" t="s">
        <v>790</v>
      </c>
      <c r="B20" s="0" t="s">
        <v>791</v>
      </c>
    </row>
    <row r="21" customFormat="false" ht="17.15" hidden="false" customHeight="false" outlineLevel="0" collapsed="false">
      <c r="A21" s="4" t="s">
        <v>792</v>
      </c>
      <c r="B21" s="0" t="s">
        <v>793</v>
      </c>
    </row>
    <row r="22" customFormat="false" ht="17.15" hidden="false" customHeight="false" outlineLevel="0" collapsed="false">
      <c r="A22" s="4" t="s">
        <v>794</v>
      </c>
      <c r="B22" s="0" t="s">
        <v>795</v>
      </c>
    </row>
    <row r="23" customFormat="false" ht="17.15" hidden="false" customHeight="false" outlineLevel="0" collapsed="false">
      <c r="A23" s="4" t="s">
        <v>796</v>
      </c>
      <c r="B23" s="4" t="s">
        <v>797</v>
      </c>
    </row>
    <row r="24" customFormat="false" ht="15" hidden="false" customHeight="false" outlineLevel="0" collapsed="false">
      <c r="A24" s="0" t="s">
        <v>798</v>
      </c>
      <c r="B24" s="4" t="s">
        <v>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2026-10-25T04:16:37Z</dcterms:created>
  <dc:creator>openpyxl</dc:creator>
  <dc:description/>
  <dc:language>en-US</dc:language>
  <cp:lastModifiedBy/>
  <dcterms:modified xsi:type="dcterms:W3CDTF">2026-10-25T04:16:38Z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