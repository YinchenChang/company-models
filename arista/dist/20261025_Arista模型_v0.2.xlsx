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In!$E$31</definedName>
    <definedName function="false" hidden="false" name="ai25_hi" vbProcedure="false">In!$F$31</definedName>
    <definedName function="false" hidden="false" name="ai25_lo" vbProcedure="false">In!$D$31</definedName>
    <definedName function="false" hidden="false" name="ai26" vbProcedure="false">In!$E$44</definedName>
    <definedName function="false" hidden="false" name="ai26_hi" vbProcedure="false">In!$F$44</definedName>
    <definedName function="false" hidden="false" name="ai26_lo" vbProcedure="false">In!$D$44</definedName>
    <definedName function="false" hidden="false" name="cons_eps26" vbProcedure="false">In!$E$54</definedName>
    <definedName function="false" hidden="false" name="cons_rev26" vbProcedure="false">In!$E$53</definedName>
    <definedName function="false" hidden="false" name="cons_tp" vbProcedure="false">In!$E$75</definedName>
    <definedName function="false" hidden="false" name="dell_top2" vbProcedure="false">In!$E$56</definedName>
    <definedName function="false" hidden="false" name="d_ai" vbProcedure="false">In!$E$33</definedName>
    <definedName function="false" hidden="false" name="d_ai_hi" vbProcedure="false">In!$F$33</definedName>
    <definedName function="false" hidden="false" name="d_ai_lo" vbProcedure="false">In!$D$33</definedName>
    <definedName function="false" hidden="false" name="erste_eps27" vbProcedure="false">In!$E$55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y_gm" vbProcedure="false">In!$E$36</definedName>
    <definedName function="false" hidden="false" name="fy_gm_hi" vbProcedure="false">In!$F$36</definedName>
    <definedName function="false" hidden="false" name="fy_gm_lo" vbProcedure="false">In!$D$36</definedName>
    <definedName function="false" hidden="false" name="fy_oim" vbProcedure="false">In!$E$37</definedName>
    <definedName function="false" hidden="false" name="fy_oim_hi" vbProcedure="false">In!$F$37</definedName>
    <definedName function="false" hidden="false" name="fy_oim_lo" vbProcedure="false">In!$D$37</definedName>
    <definedName function="false" hidden="false" name="fy_rev" vbProcedure="false">In!$E$35</definedName>
    <definedName function="false" hidden="false" name="g2n" vbProcedure="false">In!$E$63</definedName>
    <definedName function="false" hidden="false" name="GNHI27" vbProcedure="false">In!$F$28</definedName>
    <definedName function="false" hidden="false" name="GNHI28" vbProcedure="false">In!$F$29</definedName>
    <definedName function="false" hidden="false" name="GNHI29" vbProcedure="false">In!$F$30</definedName>
    <definedName function="false" hidden="false" name="GNLO27" vbProcedure="false">In!$D$28</definedName>
    <definedName function="false" hidden="false" name="GNLO28" vbProcedure="false">In!$D$29</definedName>
    <definedName function="false" hidden="false" name="GNLO29" vbProcedure="false">In!$D$30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In!$E$29</definedName>
    <definedName function="false" hidden="false" name="g_nai28_hi" vbProcedure="false">In!$F$29</definedName>
    <definedName function="false" hidden="false" name="g_nai28_lo" vbProcedure="false">In!$D$29</definedName>
    <definedName function="false" hidden="false" name="g_nai29" vbProcedure="false">In!$E$30</definedName>
    <definedName function="false" hidden="false" name="g_nai29_hi" vbProcedure="false">In!$F$30</definedName>
    <definedName function="false" hidden="false" name="g_nai29_lo" vbProcedure="false">In!$D$30</definedName>
    <definedName function="false" hidden="false" name="idc_anet" vbProcedure="false">In!$E$57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In!$E$51</definedName>
    <definedName function="false" hidden="false" name="mf_hi" vbProcedure="false">In!$F$51</definedName>
    <definedName function="false" hidden="false" name="mf_lo" vbProcedure="false">In!$D$51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m10_k" vbProcedure="false">In!$E$74</definedName>
    <definedName function="false" hidden="false" name="opx_adj" vbProcedure="false">In!$E$47</definedName>
    <definedName function="false" hidden="false" name="opx_adj_hi" vbProcedure="false">In!$F$47</definedName>
    <definedName function="false" hidden="false" name="opx_adj_lo" vbProcedure="false">In!$D$47</definedName>
    <definedName function="false" hidden="false" name="oth_f" vbProcedure="false">In!$E$48</definedName>
    <definedName function="false" hidden="false" name="oth_f_hi" vbProcedure="false">In!$F$48</definedName>
    <definedName function="false" hidden="false" name="oth_f_lo" vbProcedure="false">In!$D$48</definedName>
    <definedName function="false" hidden="false" name="pe_fair_andy" vbProcedure="false">In!$E$58</definedName>
    <definedName function="false" hidden="false" name="pe_fwd_sa" vbProcedure="false">In!$E$62</definedName>
    <definedName function="false" hidden="false" name="pe_mid" vbProcedure="false">Val!$C$130</definedName>
    <definedName function="false" hidden="false" name="pe_peak" vbProcedure="false">Val!$C$129</definedName>
    <definedName function="false" hidden="false" name="pe_trough" vbProcedure="false">Val!$C$131</definedName>
    <definedName function="false" hidden="false" name="pe_ttm_gaap" vbProcedure="false">In!$E$61</definedName>
    <definedName function="false" hidden="false" name="phi" vbProcedure="false">In!$E$46</definedName>
    <definedName function="false" hidden="false" name="phi_hi" vbProcedure="false">In!$F$46</definedName>
    <definedName function="false" hidden="false" name="phi_lo" vbProcedure="false">In!$D$46</definedName>
    <definedName function="false" hidden="false" name="px" vbProcedure="false">In!$E$60</definedName>
    <definedName function="false" hidden="false" name="q3_gm" vbProcedure="false">In!$E$39</definedName>
    <definedName function="false" hidden="false" name="q3_gm_hi" vbProcedure="false">In!$F$39</definedName>
    <definedName function="false" hidden="false" name="q3_gm_lo" vbProcedure="false">In!$D$39</definedName>
    <definedName function="false" hidden="false" name="q3_oim" vbProcedure="false">In!$E$40</definedName>
    <definedName function="false" hidden="false" name="q3_oim_hi" vbProcedure="false">In!$F$40</definedName>
    <definedName function="false" hidden="false" name="q3_oim_lo" vbProcedure="false">In!$D$40</definedName>
    <definedName function="false" hidden="false" name="q3_rev" vbProcedure="false">In!$E$38</definedName>
    <definedName function="false" hidden="false" name="q_oth" vbProcedure="false">In!$E$41</definedName>
    <definedName function="false" hidden="false" name="q_oth_hi" vbProcedure="false">In!$F$41</definedName>
    <definedName function="false" hidden="false" name="q_oth_lo" vbProcedure="false">In!$D$41</definedName>
    <definedName function="false" hidden="false" name="q_sh" vbProcedure="false">In!$E$43</definedName>
    <definedName function="false" hidden="false" name="q_tx" vbProcedure="false">In!$E$42</definedName>
    <definedName function="false" hidden="false" name="q_tx_hi" vbProcedure="false">In!$F$42</definedName>
    <definedName function="false" hidden="false" name="q_tx_lo" vbProcedure="false">In!$D$42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_g" vbProcedure="false">In!$E$50</definedName>
    <definedName function="false" hidden="false" name="sh_g_hi" vbProcedure="false">In!$F$50</definedName>
    <definedName function="false" hidden="false" name="sh_g_lo" vbProcedure="false">In!$D$50</definedName>
    <definedName function="false" hidden="false" name="tp_g" vbProcedure="false">In!$E$70</definedName>
    <definedName function="false" hidden="false" name="tp_gd" vbProcedure="false">In!$E$71</definedName>
    <definedName function="false" hidden="false" name="tp_r" vbProcedure="false">In!$E$69</definedName>
    <definedName function="false" hidden="false" name="tp_roe" vbProcedure="false">In!$E$72</definedName>
    <definedName function="false" hidden="false" name="tp_wA" vbProcedure="false">In!$E$65</definedName>
    <definedName function="false" hidden="false" name="tp_wB" vbProcedure="false">In!$E$66</definedName>
    <definedName function="false" hidden="false" name="tp_wC" vbProcedure="false">In!$E$67</definedName>
    <definedName function="false" hidden="false" name="tp_w_dcf" vbProcedure="false">In!$E$73</definedName>
    <definedName function="false" hidden="false" name="tx_f" vbProcedure="false">In!$E$49</definedName>
    <definedName function="false" hidden="false" name="tx_f_hi" vbProcedure="false">In!$F$49</definedName>
    <definedName function="false" hidden="false" name="tx_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<sst xmlns="http://schemas.openxmlformats.org/spreadsheetml/2006/main" count="1884" uniqueCount="688">
  <si>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</si>
  <si>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</si>
  <si>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</si>
  <si>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</si>
  <si>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</si>
  <si>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</si>
  <si>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</si>
  <si>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</si>
  <si>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</si>
  <si>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</si>
  <si>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</si>
  <si>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</si>
  <si>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</si>
  <si>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</si>
  <si>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</si>
  <si>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</si>
  <si>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</si>
  <si>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</si>
  <si>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</si>
  <si>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</si>
  <si>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</si>
  <si>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</si>
  <si>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</si>
  <si>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</si>
  <si>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</si>
  <si>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</si>
  <si>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</si>
  <si>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</si>
  <si>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</si>
  <si>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</si>
  <si>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</si>
  <si>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</si>
  <si>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</si>
  <si>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</si>
  <si>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</si>
  <si>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</si>
  <si>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</si>
  <si>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</si>
  <si>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</si>
  <si>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</si>
  <si>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</si>
  <si>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</si>
  <si>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</si>
  <si>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</si>
  <si>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</si>
  <si>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</si>
  <si>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</si>
  <si>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</si>
  <si>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</si>
  <si>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</si>
  <si>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</si>
  <si>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</si>
  <si>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</si>
  <si>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</si>
  <si>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</si>
  <si>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</si>
  <si>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</si>
  <si>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</si>
  <si>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</si>
  <si>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</si>
  <si>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</si>
  <si>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</si>
  <si>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</si>
  <si>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</si>
  <si>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</si>
  <si>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</si>
  <si>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</si>
  <si>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</si>
  <si>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</si>
  <si>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</si>
  <si>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</si>
  <si>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</si>
  <si>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</si>
  <si>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</si>
  <si>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</si>
  <si>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</si>
  <si>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</si>
  <si>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</si>
  <si>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</si>
  <si>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</si>
  <si>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</si>
  <si>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</si>
  <si>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</si>
  <si>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</si>
  <si>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</si>
  <si>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</si>
  <si>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</si>
  <si>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</si>
  <si>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</si>
  <si>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</si>
  <si>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</si>
  <si>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</si>
  <si>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</si>
  <si>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</si>
  <si>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</si>
  <si>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</si>
  <si>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</si>
  <si>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</si>
  <si>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</si>
  <si>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</si>
  <si>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</si>
  <si>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</si>
  <si>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</si>
  <si>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</si>
  <si>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</si>
  <si>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</si>
  <si>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</si>
  <si>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</si>
  <si>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</si>
  <si>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</si>
  <si>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</si>
  <si>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</si>
  <si>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</si>
  <si>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</si>
  <si>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</si>
  <si>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</si>
  <si>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</si>
  <si>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</si>
  <si>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</si>
  <si>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</si>
  <si>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</si>
  <si>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</si>
  <si>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</si>
  <si>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</si>
  <si>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</si>
  <si>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</si>
  <si>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</si>
  <si>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</si>
  <si>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</si>
  <si>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</si>
  <si>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</si>
  <si>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</si>
  <si>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</si>
  <si>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</si>
  <si>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</si>
  <si>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</si>
  <si>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</si>
  <si>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</si>
  <si>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</si>
  <si>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</si>
  <si>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</si>
  <si>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</si>
  <si>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</si>
  <si>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</si>
  <si>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</si>
  <si>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</si>
  <si>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</si>
  <si>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</si>
  <si>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</si>
  <si>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</si>
  <si>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</si>
  <si>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</si>
  <si>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</si>
  <si>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</si>
  <si>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</si>
  <si>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</si>
  <si>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</si>
  <si>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</si>
  <si>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</si>
  <si>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</si>
  <si>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</si>
  <si>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</si>
  <si>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</si>
  <si>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</si>
  <si>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</si>
  <si>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</si>
  <si>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</si>
  <si>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</si>
  <si>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</si>
  <si>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</si>
  <si>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</si>
  <si>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</si>
  <si>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</si>
  <si>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</si>
  <si>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</si>
  <si>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</si>
  <si>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</si>
  <si>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</si>
  <si>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</si>
  <si>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</si>
  <si>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</si>
  <si>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</si>
  <si>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</si>
  <si>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</si>
  <si>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</si>
  <si>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</si>
  <si>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</si>
  <si>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</si>
  <si>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</si>
  <si>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</si>
  <si>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</si>
  <si>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</si>
  <si>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</si>
  <si>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</si>
  <si>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</si>
  <si>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</si>
  <si>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</si>
  <si>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</si>
  <si>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</si>
  <si>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</si>
  <si>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</si>
  <si>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</si>
  <si>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</si>
  <si>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</si>
  <si>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</si>
  <si>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</si>
  <si>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</si>
  <si>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</si>
  <si>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</si>
  <si>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</si>
  <si>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</si>
  <si>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</si>
  <si>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</si>
  <si>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</si>
  <si>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</si>
  <si>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</si>
  <si>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</si>
  <si>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</si>
  <si>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</si>
  <si>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</si>
  <si>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</si>
  <si>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</si>
  <si>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</si>
  <si>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</si>
  <si>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</si>
  <si>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</si>
  <si>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</si>
  <si>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</si>
  <si>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</si>
  <si>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</si>
  <si>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</si>
  <si>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</si>
  <si>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</si>
  <si>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</si>
  <si>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</si>
  <si>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</si>
  <si>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</si>
  <si>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</si>
  <si>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stockalarm.io ANET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2023 28.91%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2025 28.39%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28.61%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</si>
  <si>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31.48%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OpenCapital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31.4–33.6%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</si>
  <si>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</si>
  <si>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</si>
  <si>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</si>
  <si>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</si>
  <si>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</si>
  <si>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</si>
  <si>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</si>
  <si>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29.51%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38.99%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</si>
  <si>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</si>
  <si>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</si>
  <si>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</si>
  <si>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</si>
  <si>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</si>
  <si>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</si>
  <si>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</si>
  <si>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</si>
  <si>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</si>
  <si>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</si>
  <si>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</si>
  <si>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</si>
  <si>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</si>
  <si>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</si>
  <si>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</si>
  <si>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</si>
  <si>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</si>
  <si>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</si>
  <si>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</si>
  <si>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</si>
  <si>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</si>
  <si>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</si>
  <si>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</si>
  <si>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</si>
  <si>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</si>
  <si>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</si>
  <si>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</si>
  <si>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</si>
  <si>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</si>
  <si>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</si>
  <si>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</si>
  <si>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</si>
  <si>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</si>
  <si>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</si>
  <si>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</si>
  <si>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</si>
  <si>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</si>
  <si>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</si>
  <si>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</si>
  <si>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</si>
  <si>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</si>
  <si>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</si>
  <si>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</si>
  <si>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</si>
  <si>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</si>
  <si>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</si>
  <si>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</si>
  <si>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</si>
  <si>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</si>
  <si>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</si>
  <si>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</si>
  <si>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</si>
  <si>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</si>
  <si>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</si>
  <si>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</si>
  <si>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</si>
  <si>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</si>
  <si>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</si>
  <si>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</si>
  <si>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</si>
  <si>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</si>
  <si>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</si>
  <si>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</si>
  <si>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</si>
  <si>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</si>
  <si>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</si>
  <si>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</si>
  <si>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</si>
  <si>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</si>
  <si>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</si>
  <si>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</si>
  <si>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</si>
  <si>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</si>
  <si>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</si>
  <si>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</si>
  <si>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</si>
  <si>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</si>
  <si>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</si>
  <si>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</si>
  <si>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</si>
  <si>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</si>
  <si>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</si>
  <si>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</si>
  <si>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</si>
  <si>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</si>
  <si>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</si>
  <si>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</si>
  <si>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</si>
  <si>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</si>
  <si>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</si>
  <si>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</si>
  <si>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</si>
  <si>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</si>
  <si>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</si>
  <si>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</si>
  <si>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</si>
  <si>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</si>
  <si>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</si>
  <si>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</si>
  <si>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</si>
  <si>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</si>
  <si>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</si>
  <si>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</si>
  <si>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</si>
  <si>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</si>
  <si>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</si>
  <si>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</si>
  <si>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</si>
  <si>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</si>
  <si>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</si>
  <si>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</si>
  <si>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</si>
  <si>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</si>
  <si>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</si>
  <si>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</si>
  <si>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</si>
  <si>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</si>
  <si>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</si>
  <si>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</si>
  <si>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</si>
  <si>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</si>
  <si>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</si>
  <si>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</si>
  <si>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</si>
  <si>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</si>
  <si>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</si>
  <si>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</si>
  <si>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</si>
  <si>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</si>
  <si>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</si>
  <si>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</si>
  <si>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</si>
  <si>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</si>
  <si>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</si>
  <si>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</si>
  <si>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</si>
  <si>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</si>
  <si>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</si>
  <si>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</si>
  <si>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</si>
  <si>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</si>
  <si>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</si>
  <si>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</si>
  <si>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</si>
  <si>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</si>
  <si>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</si>
  <si>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</si>
  <si>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</si>
  <si>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</si>
  <si>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</si>
  <si>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</si>
  <si>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</si>
  <si>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</si>
  <si>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</si>
  <si>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</si>
  <si>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</si>
  <si>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</si>
  <si>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</si>
  <si>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</si>
  <si>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</si>
  <si>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</si>
  <si>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</si>
  <si>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</si>
  <si>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</si>
  <si>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</si>
  <si>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</si>
  <si>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</si>
  <si>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</si>
  <si>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</si>
  <si>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</si>
  <si>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</si>
  <si>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Cisco</t>
  </si>
  <si>
    <t xml:space="preserve">CSCO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</si>
  <si>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</si>
  <si>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</si>
  <si>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</si>
  <si>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Ciena</t>
  </si>
  <si>
    <t xml:space="preserve">CIEN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</si>
  <si>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</si>
  <si>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</si>
  <si>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</si>
  <si>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Hewlett Packard Enterprise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）</t>
    </r>
  </si>
  <si>
    <t xml:space="preserve">HPE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</si>
  <si>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</si>
  <si>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</si>
  <si>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</si>
  <si>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券商常用的資料中心網通同業（交換器：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；光傳輸：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；白牌交換器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互連：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</si>
  <si>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</si>
  <si>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</si>
  <si>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</si>
  <si>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</si>
  <si>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</si>
  <si>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</si>
  <si>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</si>
  <si>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</si>
  <si>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</si>
  <si>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</si>
  <si>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</si>
  <si>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</si>
  <si>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</si>
  <si>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</si>
  <si>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</si>
  <si>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</si>
  <si>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以後共識未找到）；比較窗為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用同窗的情境加權 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</si>
  <si>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</si>
  <si>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</si>
  <si>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</si>
  <si>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</si>
  <si>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</si>
  <si>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</si>
  <si>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Val!B106:B115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</si>
  <si>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</si>
  <si>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28.6%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。偏誤方向：同業成長低於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</si>
  <si>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</si>
  <si>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</si>
  <si>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</si>
  <si>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</si>
  <si>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</si>
  <si>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</si>
  <si>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</si>
  <si>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</si>
  <si>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</si>
  <si>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</si>
  <si>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</si>
  <si>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</si>
  <si>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</si>
  <si>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</si>
  <si>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</si>
  <si>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</si>
  <si>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</si>
  <si>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</si>
  <si>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</si>
  <si>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</si>
  <si>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</si>
  <si>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</si>
  <si>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</si>
  <si>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</si>
  <si>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</si>
  <si>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</si>
  <si>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</si>
  <si>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</si>
  <si>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</si>
  <si>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</si>
  <si>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</si>
  <si>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</si>
  <si>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</si>
  <si>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</si>
  <si>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</si>
  <si>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</si>
  <si>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</si>
  <si>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</si>
  <si>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</si>
  <si>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</si>
  <si>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</si>
  <si>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</si>
  <si>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</si>
  <si>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</si>
  <si>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</si>
  <si>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</si>
  <si>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</si>
  <si>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</si>
  <si>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</si>
  <si>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</si>
  <si>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</si>
  <si>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</si>
  <si>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</si>
  <si>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</si>
  <si>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</si>
  <si>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</si>
  <si>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</si>
  <si>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</si>
  <si>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</si>
  <si>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</si>
  <si>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</si>
  <si>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</si>
  <si>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</si>
  <si>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</si>
  <si>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</si>
  <si>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</si>
  <si>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</si>
  <si>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</si>
  <si>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</si>
  <si>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</si>
  <si>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</si>
  <si>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</si>
  <si>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</si>
  <si>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</si>
  <si>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</si>
  <si>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</si>
  <si>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</si>
  <si>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</si>
  <si>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</si>
  <si>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</si>
  <si>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</si>
  <si>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</si>
  <si>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</si>
  <si>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</si>
  <si>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</si>
  <si>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</si>
  <si>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</si>
  <si>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</si>
  <si>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兩來源平均）。十年倍數含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年與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年高成長期的高倍數，偏誤方向為高估；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</si>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</sst>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5" t="s">
        <v>16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32.0719</v>
      </c>
      <c r="G5" s="8" t="s">
        <v>30</v>
      </c>
      <c r="H5" s="8" t="s">
        <v>31</v>
      </c>
      <c r="I5" s="5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61.085</v>
      </c>
      <c r="G6" s="8" t="s">
        <v>30</v>
      </c>
      <c r="H6" s="8" t="s">
        <v>31</v>
      </c>
      <c r="I6" s="5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69.005</v>
      </c>
      <c r="G7" s="8" t="s">
        <v>30</v>
      </c>
      <c r="H7" s="8" t="s">
        <v>31</v>
      </c>
      <c r="I7" s="5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78.48215</v>
      </c>
      <c r="G8" s="8" t="s">
        <v>30</v>
      </c>
      <c r="H8" s="8" t="s">
        <v>31</v>
      </c>
      <c r="I8" s="5" t="s">
        <v>35</v>
      </c>
    </row>
    <row r="9" customFormat="false" ht="17.15" hidden="false" customHeight="false" outlineLevel="0" collapsed="false">
      <c r="A9" s="0" t="s">
        <v>40</v>
      </c>
      <c r="B9" s="0" t="s">
        <v>41</v>
      </c>
      <c r="C9" s="0" t="s">
        <v>29</v>
      </c>
      <c r="E9" s="7" t="n">
        <v>781.872916666667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0" t="s">
        <v>29</v>
      </c>
      <c r="E10" s="7" t="n">
        <v>1565.35</v>
      </c>
      <c r="G10" s="8" t="s">
        <v>30</v>
      </c>
      <c r="H10" s="8" t="s">
        <v>42</v>
      </c>
      <c r="I10" s="5" t="s">
        <v>35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29</v>
      </c>
      <c r="E11" s="7" t="n">
        <v>1984.26388888889</v>
      </c>
      <c r="G11" s="8" t="s">
        <v>30</v>
      </c>
      <c r="H11" s="8" t="s">
        <v>42</v>
      </c>
      <c r="I11" s="5" t="s">
        <v>35</v>
      </c>
    </row>
    <row r="12" customFormat="false" ht="17.15" hidden="false" customHeight="false" outlineLevel="0" collapsed="false">
      <c r="A12" s="0" t="s">
        <v>48</v>
      </c>
      <c r="B12" s="0" t="s">
        <v>49</v>
      </c>
      <c r="C12" s="0" t="s">
        <v>29</v>
      </c>
      <c r="E12" s="7" t="n">
        <v>2260.39027777778</v>
      </c>
      <c r="G12" s="8" t="s">
        <v>30</v>
      </c>
      <c r="H12" s="8" t="s">
        <v>42</v>
      </c>
      <c r="I12" s="5" t="s">
        <v>35</v>
      </c>
    </row>
    <row r="13" customFormat="false" ht="17.15" hidden="false" customHeight="false" outlineLevel="0" collapsed="false">
      <c r="A13" s="0" t="s">
        <v>50</v>
      </c>
      <c r="B13" s="5" t="s">
        <v>51</v>
      </c>
      <c r="C13" s="0" t="s">
        <v>52</v>
      </c>
      <c r="E13" s="7" t="n">
        <v>1</v>
      </c>
      <c r="G13" s="8" t="s">
        <v>53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5" t="s">
        <v>57</v>
      </c>
      <c r="C14" s="0" t="s">
        <v>52</v>
      </c>
      <c r="E14" s="7" t="n">
        <v>1</v>
      </c>
      <c r="G14" s="8" t="s">
        <v>53</v>
      </c>
      <c r="H14" s="8" t="s">
        <v>58</v>
      </c>
      <c r="I14" s="5" t="s">
        <v>35</v>
      </c>
    </row>
    <row r="15" customFormat="false" ht="17.15" hidden="false" customHeight="false" outlineLevel="0" collapsed="false">
      <c r="A15" s="0" t="s">
        <v>59</v>
      </c>
      <c r="B15" s="5" t="s">
        <v>60</v>
      </c>
      <c r="C15" s="0" t="s">
        <v>52</v>
      </c>
      <c r="E15" s="7" t="n">
        <v>0.8</v>
      </c>
      <c r="G15" s="8" t="s">
        <v>53</v>
      </c>
      <c r="H15" s="8" t="s">
        <v>61</v>
      </c>
      <c r="I15" s="8" t="s">
        <v>55</v>
      </c>
    </row>
    <row r="16" customFormat="false" ht="17.15" hidden="false" customHeight="false" outlineLevel="0" collapsed="false">
      <c r="A16" s="0" t="s">
        <v>62</v>
      </c>
      <c r="B16" s="5" t="s">
        <v>63</v>
      </c>
      <c r="C16" s="0" t="s">
        <v>52</v>
      </c>
      <c r="E16" s="7" t="n">
        <v>0.85</v>
      </c>
      <c r="G16" s="8" t="s">
        <v>53</v>
      </c>
      <c r="H16" s="8" t="s">
        <v>64</v>
      </c>
      <c r="I16" s="5" t="s">
        <v>35</v>
      </c>
    </row>
    <row r="17" customFormat="false" ht="17.15" hidden="false" customHeight="false" outlineLevel="0" collapsed="false">
      <c r="A17" s="0" t="s">
        <v>65</v>
      </c>
      <c r="B17" s="5" t="s">
        <v>66</v>
      </c>
      <c r="C17" s="0" t="s">
        <v>52</v>
      </c>
      <c r="E17" s="7" t="n">
        <v>0.6</v>
      </c>
      <c r="G17" s="8" t="s">
        <v>53</v>
      </c>
      <c r="H17" s="8" t="s">
        <v>67</v>
      </c>
      <c r="I17" s="8" t="s">
        <v>55</v>
      </c>
    </row>
    <row r="18" customFormat="false" ht="17.15" hidden="false" customHeight="false" outlineLevel="0" collapsed="false">
      <c r="A18" s="0" t="s">
        <v>68</v>
      </c>
      <c r="B18" s="5" t="s">
        <v>69</v>
      </c>
      <c r="C18" s="0" t="s">
        <v>52</v>
      </c>
      <c r="E18" s="7" t="n">
        <v>0.6</v>
      </c>
      <c r="G18" s="8" t="s">
        <v>53</v>
      </c>
      <c r="H18" s="8" t="s">
        <v>70</v>
      </c>
      <c r="I18" s="5" t="s">
        <v>35</v>
      </c>
    </row>
    <row r="19" customFormat="false" ht="17.15" hidden="false" customHeight="false" outlineLevel="0" collapsed="false">
      <c r="A19" s="1" t="s">
        <v>71</v>
      </c>
    </row>
    <row r="20" customFormat="false" ht="17.15" hidden="false" customHeight="false" outlineLevel="0" collapsed="false">
      <c r="A20" s="0" t="s">
        <v>72</v>
      </c>
      <c r="B20" s="5" t="s">
        <v>73</v>
      </c>
      <c r="C20" s="0" t="s">
        <v>74</v>
      </c>
      <c r="D20" s="7" t="n">
        <v>0.7</v>
      </c>
      <c r="E20" s="7" t="n">
        <v>0.75</v>
      </c>
      <c r="F20" s="7" t="n">
        <v>0.8</v>
      </c>
      <c r="G20" s="8" t="s">
        <v>53</v>
      </c>
      <c r="H20" s="8" t="s">
        <v>75</v>
      </c>
      <c r="I20" s="8" t="s">
        <v>76</v>
      </c>
    </row>
    <row r="21" customFormat="false" ht="17.15" hidden="false" customHeight="false" outlineLevel="0" collapsed="false">
      <c r="A21" s="0" t="s">
        <v>77</v>
      </c>
      <c r="B21" s="5" t="s">
        <v>78</v>
      </c>
      <c r="C21" s="0" t="s">
        <v>74</v>
      </c>
      <c r="D21" s="7" t="n">
        <v>0.72</v>
      </c>
      <c r="E21" s="7" t="n">
        <v>0.8</v>
      </c>
      <c r="F21" s="7" t="n">
        <v>0.88</v>
      </c>
      <c r="G21" s="8" t="s">
        <v>53</v>
      </c>
      <c r="H21" s="5" t="s">
        <v>79</v>
      </c>
      <c r="I21" s="5" t="s">
        <v>80</v>
      </c>
    </row>
    <row r="22" customFormat="false" ht="17.15" hidden="false" customHeight="false" outlineLevel="0" collapsed="false">
      <c r="A22" s="0" t="s">
        <v>81</v>
      </c>
      <c r="B22" s="5" t="s">
        <v>82</v>
      </c>
      <c r="C22" s="0" t="s">
        <v>74</v>
      </c>
      <c r="D22" s="7" t="n">
        <v>0.74</v>
      </c>
      <c r="E22" s="7" t="n">
        <v>0.83</v>
      </c>
      <c r="F22" s="7" t="n">
        <v>0.9</v>
      </c>
      <c r="G22" s="8" t="s">
        <v>53</v>
      </c>
      <c r="H22" s="5" t="s">
        <v>35</v>
      </c>
      <c r="I22" s="8" t="s">
        <v>83</v>
      </c>
    </row>
    <row r="23" customFormat="false" ht="17.15" hidden="false" customHeight="false" outlineLevel="0" collapsed="false">
      <c r="A23" s="0" t="s">
        <v>84</v>
      </c>
      <c r="B23" s="5" t="s">
        <v>85</v>
      </c>
      <c r="C23" s="0" t="s">
        <v>74</v>
      </c>
      <c r="D23" s="7" t="n">
        <v>0.75</v>
      </c>
      <c r="E23" s="7" t="n">
        <v>0.85</v>
      </c>
      <c r="F23" s="7" t="n">
        <v>0.92</v>
      </c>
      <c r="G23" s="8" t="s">
        <v>53</v>
      </c>
      <c r="H23" s="5" t="s">
        <v>35</v>
      </c>
      <c r="I23" s="8" t="s">
        <v>83</v>
      </c>
    </row>
    <row r="24" customFormat="false" ht="17.15" hidden="false" customHeight="false" outlineLevel="0" collapsed="false">
      <c r="A24" s="0" t="s">
        <v>86</v>
      </c>
      <c r="B24" s="0" t="s">
        <v>87</v>
      </c>
      <c r="C24" s="0" t="s">
        <v>52</v>
      </c>
      <c r="D24" s="7" t="n">
        <v>0.8</v>
      </c>
      <c r="E24" s="7" t="n">
        <v>0.95</v>
      </c>
      <c r="F24" s="7" t="n">
        <v>1.05</v>
      </c>
      <c r="G24" s="8" t="s">
        <v>53</v>
      </c>
      <c r="H24" s="8" t="s">
        <v>88</v>
      </c>
      <c r="I24" s="8" t="s">
        <v>89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0" t="s">
        <v>52</v>
      </c>
      <c r="D25" s="7" t="n">
        <v>0.7</v>
      </c>
      <c r="E25" s="7" t="n">
        <v>0.9</v>
      </c>
      <c r="F25" s="7" t="n">
        <v>1.05</v>
      </c>
      <c r="G25" s="8" t="s">
        <v>53</v>
      </c>
      <c r="H25" s="5" t="s">
        <v>35</v>
      </c>
      <c r="I25" s="8" t="s">
        <v>83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0" t="s">
        <v>52</v>
      </c>
      <c r="D26" s="7" t="n">
        <v>0.65</v>
      </c>
      <c r="E26" s="7" t="n">
        <v>0.88</v>
      </c>
      <c r="F26" s="7" t="n">
        <v>1.05</v>
      </c>
      <c r="G26" s="8" t="s">
        <v>53</v>
      </c>
      <c r="H26" s="5" t="s">
        <v>35</v>
      </c>
      <c r="I26" s="8" t="s">
        <v>83</v>
      </c>
    </row>
    <row r="27" customFormat="false" ht="17.15" hidden="false" customHeight="false" outlineLevel="0" collapsed="false">
      <c r="A27" s="1" t="s">
        <v>94</v>
      </c>
    </row>
    <row r="28" customFormat="false" ht="17.15" hidden="false" customHeight="false" outlineLevel="0" collapsed="false">
      <c r="A28" s="0" t="s">
        <v>95</v>
      </c>
      <c r="B28" s="5" t="s">
        <v>96</v>
      </c>
      <c r="C28" s="0" t="s">
        <v>74</v>
      </c>
      <c r="D28" s="7" t="n">
        <v>0.03</v>
      </c>
      <c r="E28" s="7" t="n">
        <v>0.1</v>
      </c>
      <c r="F28" s="7" t="n">
        <v>0.15</v>
      </c>
      <c r="G28" s="8" t="s">
        <v>53</v>
      </c>
      <c r="H28" s="8" t="s">
        <v>97</v>
      </c>
      <c r="I28" s="5" t="s">
        <v>98</v>
      </c>
    </row>
    <row r="29" customFormat="false" ht="17.15" hidden="false" customHeight="false" outlineLevel="0" collapsed="false">
      <c r="A29" s="0" t="s">
        <v>99</v>
      </c>
      <c r="B29" s="5" t="s">
        <v>100</v>
      </c>
      <c r="C29" s="0" t="s">
        <v>74</v>
      </c>
      <c r="D29" s="7" t="n">
        <v>0.02</v>
      </c>
      <c r="E29" s="7" t="n">
        <v>0.08</v>
      </c>
      <c r="F29" s="7" t="n">
        <v>0.12</v>
      </c>
      <c r="G29" s="8" t="s">
        <v>53</v>
      </c>
      <c r="H29" s="5" t="s">
        <v>35</v>
      </c>
      <c r="I29" s="8" t="s">
        <v>83</v>
      </c>
    </row>
    <row r="30" customFormat="false" ht="17.15" hidden="false" customHeight="false" outlineLevel="0" collapsed="false">
      <c r="A30" s="0" t="s">
        <v>101</v>
      </c>
      <c r="B30" s="5" t="s">
        <v>102</v>
      </c>
      <c r="C30" s="0" t="s">
        <v>74</v>
      </c>
      <c r="D30" s="7" t="n">
        <v>0.02</v>
      </c>
      <c r="E30" s="7" t="n">
        <v>0.06</v>
      </c>
      <c r="F30" s="7" t="n">
        <v>0.1</v>
      </c>
      <c r="G30" s="8" t="s">
        <v>53</v>
      </c>
      <c r="H30" s="5" t="s">
        <v>35</v>
      </c>
      <c r="I30" s="8" t="s">
        <v>83</v>
      </c>
    </row>
    <row r="31" customFormat="false" ht="17.15" hidden="false" customHeight="false" outlineLevel="0" collapsed="false">
      <c r="A31" s="0" t="s">
        <v>103</v>
      </c>
      <c r="B31" s="0" t="s">
        <v>104</v>
      </c>
      <c r="C31" s="0" t="s">
        <v>29</v>
      </c>
      <c r="D31" s="7" t="n">
        <v>1.5</v>
      </c>
      <c r="E31" s="7" t="n">
        <v>1.63</v>
      </c>
      <c r="F31" s="7" t="n">
        <v>1.8</v>
      </c>
      <c r="G31" s="8" t="s">
        <v>30</v>
      </c>
      <c r="H31" s="8" t="s">
        <v>105</v>
      </c>
      <c r="I31" s="5" t="s">
        <v>106</v>
      </c>
    </row>
    <row r="32" customFormat="false" ht="17.15" hidden="false" customHeight="false" outlineLevel="0" collapsed="false">
      <c r="A32" s="1" t="s">
        <v>107</v>
      </c>
    </row>
    <row r="33" customFormat="false" ht="17.15" hidden="false" customHeight="false" outlineLevel="0" collapsed="false">
      <c r="A33" s="0" t="s">
        <v>108</v>
      </c>
      <c r="B33" s="0" t="s">
        <v>109</v>
      </c>
      <c r="C33" s="0" t="s">
        <v>110</v>
      </c>
      <c r="D33" s="7" t="n">
        <v>0.03</v>
      </c>
      <c r="E33" s="7" t="n">
        <v>0.06</v>
      </c>
      <c r="F33" s="7" t="n">
        <v>0.1</v>
      </c>
      <c r="G33" s="8" t="s">
        <v>53</v>
      </c>
      <c r="H33" s="5" t="s">
        <v>111</v>
      </c>
      <c r="I33" s="5" t="s">
        <v>112</v>
      </c>
    </row>
    <row r="34" customFormat="false" ht="17.15" hidden="false" customHeight="false" outlineLevel="0" collapsed="false">
      <c r="A34" s="1" t="s">
        <v>113</v>
      </c>
    </row>
    <row r="35" customFormat="false" ht="17.15" hidden="false" customHeight="false" outlineLevel="0" collapsed="false">
      <c r="A35" s="0" t="s">
        <v>114</v>
      </c>
      <c r="B35" s="0" t="s">
        <v>115</v>
      </c>
      <c r="C35" s="0" t="s">
        <v>29</v>
      </c>
      <c r="E35" s="7" t="n">
        <v>12.6</v>
      </c>
      <c r="G35" s="8" t="s">
        <v>116</v>
      </c>
      <c r="H35" s="5" t="s">
        <v>117</v>
      </c>
      <c r="I35" s="8" t="s">
        <v>118</v>
      </c>
    </row>
    <row r="36" customFormat="false" ht="17.15" hidden="false" customHeight="false" outlineLevel="0" collapsed="false">
      <c r="A36" s="0" t="s">
        <v>119</v>
      </c>
      <c r="B36" s="0" t="s">
        <v>120</v>
      </c>
      <c r="C36" s="0" t="s">
        <v>74</v>
      </c>
      <c r="D36" s="7" t="n">
        <v>0.62</v>
      </c>
      <c r="E36" s="7" t="n">
        <v>0.63</v>
      </c>
      <c r="F36" s="7" t="n">
        <v>0.64</v>
      </c>
      <c r="G36" s="8" t="s">
        <v>116</v>
      </c>
      <c r="H36" s="5" t="s">
        <v>121</v>
      </c>
      <c r="I36" s="8" t="s">
        <v>122</v>
      </c>
    </row>
    <row r="37" customFormat="false" ht="17.15" hidden="false" customHeight="false" outlineLevel="0" collapsed="false">
      <c r="A37" s="0" t="s">
        <v>123</v>
      </c>
      <c r="B37" s="0" t="s">
        <v>124</v>
      </c>
      <c r="C37" s="0" t="s">
        <v>74</v>
      </c>
      <c r="D37" s="7" t="n">
        <v>0.48</v>
      </c>
      <c r="E37" s="7" t="n">
        <v>0.485</v>
      </c>
      <c r="F37" s="7" t="n">
        <v>0.49</v>
      </c>
      <c r="G37" s="8" t="s">
        <v>116</v>
      </c>
      <c r="H37" s="5" t="s">
        <v>125</v>
      </c>
      <c r="I37" s="8" t="s">
        <v>122</v>
      </c>
    </row>
    <row r="38" customFormat="false" ht="17.15" hidden="false" customHeight="false" outlineLevel="0" collapsed="false">
      <c r="A38" s="0" t="s">
        <v>126</v>
      </c>
      <c r="B38" s="0" t="s">
        <v>127</v>
      </c>
      <c r="C38" s="0" t="s">
        <v>29</v>
      </c>
      <c r="E38" s="7" t="n">
        <v>3.3</v>
      </c>
      <c r="G38" s="8" t="s">
        <v>116</v>
      </c>
      <c r="H38" s="8" t="s">
        <v>128</v>
      </c>
      <c r="I38" s="8" t="s">
        <v>129</v>
      </c>
    </row>
    <row r="39" customFormat="false" ht="17.15" hidden="false" customHeight="false" outlineLevel="0" collapsed="false">
      <c r="A39" s="0" t="s">
        <v>130</v>
      </c>
      <c r="B39" s="0" t="s">
        <v>131</v>
      </c>
      <c r="C39" s="0" t="s">
        <v>74</v>
      </c>
      <c r="D39" s="7" t="n">
        <v>0.62</v>
      </c>
      <c r="E39" s="7" t="n">
        <v>0.63</v>
      </c>
      <c r="F39" s="7" t="n">
        <v>0.64</v>
      </c>
      <c r="G39" s="8" t="s">
        <v>116</v>
      </c>
      <c r="H39" s="5" t="s">
        <v>132</v>
      </c>
      <c r="I39" s="5" t="s">
        <v>133</v>
      </c>
    </row>
    <row r="40" customFormat="false" ht="17.15" hidden="false" customHeight="false" outlineLevel="0" collapsed="false">
      <c r="A40" s="0" t="s">
        <v>134</v>
      </c>
      <c r="B40" s="0" t="s">
        <v>135</v>
      </c>
      <c r="C40" s="0" t="s">
        <v>74</v>
      </c>
      <c r="D40" s="7" t="n">
        <v>0.48</v>
      </c>
      <c r="E40" s="7" t="n">
        <v>0.485</v>
      </c>
      <c r="F40" s="7" t="n">
        <v>0.49</v>
      </c>
      <c r="G40" s="8" t="s">
        <v>116</v>
      </c>
      <c r="H40" s="8" t="s">
        <v>136</v>
      </c>
      <c r="I40" s="8" t="s">
        <v>83</v>
      </c>
    </row>
    <row r="41" customFormat="false" ht="17.15" hidden="false" customHeight="false" outlineLevel="0" collapsed="false">
      <c r="A41" s="0" t="s">
        <v>137</v>
      </c>
      <c r="B41" s="0" t="s">
        <v>138</v>
      </c>
      <c r="C41" s="0" t="s">
        <v>29</v>
      </c>
      <c r="D41" s="7" t="n">
        <v>0.12</v>
      </c>
      <c r="E41" s="7" t="n">
        <v>0.13</v>
      </c>
      <c r="F41" s="7" t="n">
        <v>0.14</v>
      </c>
      <c r="G41" s="8" t="s">
        <v>30</v>
      </c>
      <c r="H41" s="8" t="s">
        <v>139</v>
      </c>
      <c r="I41" s="5" t="s">
        <v>140</v>
      </c>
    </row>
    <row r="42" customFormat="false" ht="17.15" hidden="false" customHeight="false" outlineLevel="0" collapsed="false">
      <c r="A42" s="0" t="s">
        <v>141</v>
      </c>
      <c r="B42" s="0" t="s">
        <v>142</v>
      </c>
      <c r="C42" s="0" t="s">
        <v>74</v>
      </c>
      <c r="D42" s="7" t="n">
        <v>0.2</v>
      </c>
      <c r="E42" s="7" t="n">
        <v>0.21</v>
      </c>
      <c r="F42" s="7" t="n">
        <v>0.22</v>
      </c>
      <c r="G42" s="8" t="s">
        <v>30</v>
      </c>
      <c r="H42" s="8" t="s">
        <v>143</v>
      </c>
      <c r="I42" s="8" t="s">
        <v>144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5" t="s">
        <v>147</v>
      </c>
      <c r="E43" s="7" t="n">
        <v>1.277</v>
      </c>
      <c r="G43" s="8" t="s">
        <v>30</v>
      </c>
      <c r="H43" s="8" t="s">
        <v>148</v>
      </c>
      <c r="I43" s="8" t="s">
        <v>83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29</v>
      </c>
      <c r="D44" s="7" t="n">
        <v>3.5</v>
      </c>
      <c r="E44" s="7" t="n">
        <v>3.5</v>
      </c>
      <c r="F44" s="7" t="n">
        <v>4</v>
      </c>
      <c r="G44" s="8" t="s">
        <v>116</v>
      </c>
      <c r="H44" s="5" t="s">
        <v>151</v>
      </c>
      <c r="I44" s="8" t="s">
        <v>152</v>
      </c>
    </row>
    <row r="45" customFormat="false" ht="17.15" hidden="false" customHeight="false" outlineLevel="0" collapsed="false">
      <c r="A45" s="1" t="s">
        <v>153</v>
      </c>
    </row>
    <row r="46" customFormat="false" ht="17.15" hidden="false" customHeight="false" outlineLevel="0" collapsed="false">
      <c r="A46" s="0" t="s">
        <v>154</v>
      </c>
      <c r="B46" s="5" t="s">
        <v>155</v>
      </c>
      <c r="C46" s="0" t="s">
        <v>52</v>
      </c>
      <c r="D46" s="7" t="n">
        <v>0.4</v>
      </c>
      <c r="E46" s="7" t="n">
        <v>0.55</v>
      </c>
      <c r="F46" s="7" t="n">
        <v>0.8</v>
      </c>
      <c r="G46" s="8" t="s">
        <v>30</v>
      </c>
      <c r="H46" s="8" t="s">
        <v>156</v>
      </c>
      <c r="I46" s="5" t="s">
        <v>157</v>
      </c>
    </row>
    <row r="47" customFormat="false" ht="17.15" hidden="false" customHeight="false" outlineLevel="0" collapsed="false">
      <c r="A47" s="0" t="s">
        <v>158</v>
      </c>
      <c r="B47" s="5" t="s">
        <v>159</v>
      </c>
      <c r="C47" s="0" t="s">
        <v>110</v>
      </c>
      <c r="D47" s="7" t="n">
        <v>-0.02</v>
      </c>
      <c r="E47" s="7" t="n">
        <v>0</v>
      </c>
      <c r="F47" s="7" t="n">
        <v>0.02</v>
      </c>
      <c r="G47" s="8" t="s">
        <v>53</v>
      </c>
      <c r="H47" s="5" t="s">
        <v>160</v>
      </c>
      <c r="I47" s="8" t="s">
        <v>161</v>
      </c>
    </row>
    <row r="48" customFormat="false" ht="17.15" hidden="false" customHeight="false" outlineLevel="0" collapsed="false">
      <c r="A48" s="0" t="s">
        <v>162</v>
      </c>
      <c r="B48" s="0" t="s">
        <v>163</v>
      </c>
      <c r="C48" s="0" t="s">
        <v>29</v>
      </c>
      <c r="D48" s="7" t="n">
        <v>0.4</v>
      </c>
      <c r="E48" s="7" t="n">
        <v>0.55</v>
      </c>
      <c r="F48" s="7" t="n">
        <v>0.7</v>
      </c>
      <c r="G48" s="8" t="s">
        <v>53</v>
      </c>
      <c r="H48" s="8" t="s">
        <v>164</v>
      </c>
      <c r="I48" s="8" t="s">
        <v>83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74</v>
      </c>
      <c r="D49" s="7" t="n">
        <v>0.19</v>
      </c>
      <c r="E49" s="7" t="n">
        <v>0.21</v>
      </c>
      <c r="F49" s="7" t="n">
        <v>0.22</v>
      </c>
      <c r="G49" s="8" t="s">
        <v>30</v>
      </c>
      <c r="H49" s="8" t="s">
        <v>167</v>
      </c>
      <c r="I49" s="8" t="s">
        <v>83</v>
      </c>
    </row>
    <row r="50" customFormat="false" ht="17.15" hidden="false" customHeight="false" outlineLevel="0" collapsed="false">
      <c r="A50" s="0" t="s">
        <v>168</v>
      </c>
      <c r="B50" s="5" t="s">
        <v>169</v>
      </c>
      <c r="C50" s="0" t="s">
        <v>74</v>
      </c>
      <c r="D50" s="7" t="n">
        <v>-0.01</v>
      </c>
      <c r="E50" s="7" t="n">
        <v>0</v>
      </c>
      <c r="F50" s="7" t="n">
        <v>0.005</v>
      </c>
      <c r="G50" s="8" t="s">
        <v>30</v>
      </c>
      <c r="H50" s="8" t="s">
        <v>170</v>
      </c>
      <c r="I50" s="5" t="s">
        <v>157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52</v>
      </c>
      <c r="D51" s="7" t="n">
        <v>0.8</v>
      </c>
      <c r="E51" s="7" t="n">
        <v>1</v>
      </c>
      <c r="F51" s="7" t="n">
        <v>1.2</v>
      </c>
      <c r="G51" s="8" t="s">
        <v>53</v>
      </c>
      <c r="H51" s="5" t="s">
        <v>173</v>
      </c>
      <c r="I51" s="8" t="s">
        <v>174</v>
      </c>
    </row>
    <row r="52" customFormat="false" ht="17.15" hidden="false" customHeight="false" outlineLevel="0" collapsed="false">
      <c r="A52" s="1" t="s">
        <v>175</v>
      </c>
    </row>
    <row r="53" customFormat="false" ht="17.15" hidden="false" customHeight="false" outlineLevel="0" collapsed="false">
      <c r="A53" s="0" t="s">
        <v>176</v>
      </c>
      <c r="B53" s="5" t="s">
        <v>177</v>
      </c>
      <c r="C53" s="0" t="s">
        <v>29</v>
      </c>
      <c r="E53" s="7" t="n">
        <v>12.68</v>
      </c>
      <c r="G53" s="8" t="s">
        <v>116</v>
      </c>
      <c r="H53" s="8" t="s">
        <v>178</v>
      </c>
      <c r="I53" s="8" t="s">
        <v>179</v>
      </c>
    </row>
    <row r="54" customFormat="false" ht="17.15" hidden="false" customHeight="false" outlineLevel="0" collapsed="false">
      <c r="A54" s="0" t="s">
        <v>180</v>
      </c>
      <c r="B54" s="5" t="s">
        <v>181</v>
      </c>
      <c r="C54" s="0" t="s">
        <v>182</v>
      </c>
      <c r="E54" s="7" t="n">
        <v>4.12</v>
      </c>
      <c r="G54" s="8" t="s">
        <v>116</v>
      </c>
      <c r="H54" s="8" t="s">
        <v>183</v>
      </c>
      <c r="I54" s="8" t="s">
        <v>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182</v>
      </c>
      <c r="E55" s="7" t="n">
        <v>4.79</v>
      </c>
      <c r="G55" s="8" t="s">
        <v>116</v>
      </c>
      <c r="H55" s="8" t="s">
        <v>186</v>
      </c>
      <c r="I55" s="8" t="s">
        <v>187</v>
      </c>
    </row>
    <row r="56" customFormat="false" ht="17.15" hidden="false" customHeight="false" outlineLevel="0" collapsed="false">
      <c r="A56" s="0" t="s">
        <v>188</v>
      </c>
      <c r="B56" s="0" t="s">
        <v>189</v>
      </c>
      <c r="C56" s="0" t="s">
        <v>74</v>
      </c>
      <c r="E56" s="7" t="n">
        <v>0.5</v>
      </c>
      <c r="G56" s="8" t="s">
        <v>116</v>
      </c>
      <c r="H56" s="8" t="s">
        <v>190</v>
      </c>
      <c r="I56" s="8" t="s">
        <v>83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74</v>
      </c>
      <c r="E57" s="7" t="n">
        <v>0.187</v>
      </c>
      <c r="G57" s="8" t="s">
        <v>116</v>
      </c>
      <c r="H57" s="8" t="s">
        <v>193</v>
      </c>
      <c r="I57" s="8" t="s">
        <v>194</v>
      </c>
    </row>
    <row r="58" customFormat="false" ht="17.15" hidden="false" customHeight="false" outlineLevel="0" collapsed="false">
      <c r="A58" s="0" t="s">
        <v>195</v>
      </c>
      <c r="B58" s="0" t="s">
        <v>196</v>
      </c>
      <c r="C58" s="0" t="s">
        <v>52</v>
      </c>
      <c r="E58" s="7" t="n">
        <v>25</v>
      </c>
      <c r="G58" s="8" t="s">
        <v>53</v>
      </c>
      <c r="H58" s="5" t="s">
        <v>197</v>
      </c>
      <c r="I58" s="5" t="s">
        <v>198</v>
      </c>
    </row>
    <row r="59" customFormat="false" ht="17.15" hidden="false" customHeight="false" outlineLevel="0" collapsed="false">
      <c r="A59" s="1" t="s">
        <v>199</v>
      </c>
    </row>
    <row r="60" customFormat="false" ht="17.15" hidden="false" customHeight="false" outlineLevel="0" collapsed="false">
      <c r="A60" s="0" t="s">
        <v>200</v>
      </c>
      <c r="B60" s="5" t="s">
        <v>201</v>
      </c>
      <c r="C60" s="0" t="s">
        <v>182</v>
      </c>
      <c r="E60" s="7" t="n">
        <v>172.37</v>
      </c>
      <c r="G60" s="8" t="s">
        <v>116</v>
      </c>
      <c r="H60" s="8" t="s">
        <v>202</v>
      </c>
      <c r="I60" s="8" t="s">
        <v>203</v>
      </c>
    </row>
    <row r="61" customFormat="false" ht="17.15" hidden="false" customHeight="false" outlineLevel="0" collapsed="false">
      <c r="A61" s="0" t="s">
        <v>204</v>
      </c>
      <c r="B61" s="5" t="s">
        <v>205</v>
      </c>
      <c r="C61" s="0" t="s">
        <v>52</v>
      </c>
      <c r="E61" s="7" t="n">
        <v>54.55</v>
      </c>
      <c r="G61" s="8" t="s">
        <v>116</v>
      </c>
      <c r="H61" s="8" t="s">
        <v>206</v>
      </c>
      <c r="I61" s="8" t="s">
        <v>207</v>
      </c>
    </row>
    <row r="62" customFormat="false" ht="17.15" hidden="false" customHeight="false" outlineLevel="0" collapsed="false">
      <c r="A62" s="0" t="s">
        <v>208</v>
      </c>
      <c r="B62" s="5" t="s">
        <v>209</v>
      </c>
      <c r="C62" s="0" t="s">
        <v>52</v>
      </c>
      <c r="E62" s="7" t="n">
        <v>37.06</v>
      </c>
      <c r="G62" s="8" t="s">
        <v>116</v>
      </c>
      <c r="H62" s="8" t="s">
        <v>210</v>
      </c>
      <c r="I62" s="5" t="s">
        <v>133</v>
      </c>
    </row>
    <row r="63" customFormat="false" ht="17.15" hidden="false" customHeight="false" outlineLevel="0" collapsed="false">
      <c r="A63" s="0" t="s">
        <v>211</v>
      </c>
      <c r="B63" s="0" t="s">
        <v>212</v>
      </c>
      <c r="C63" s="0" t="s">
        <v>52</v>
      </c>
      <c r="E63" s="0" t="n">
        <f aca="false">1.75/1.89</f>
        <v>0.925925925925926</v>
      </c>
      <c r="G63" s="0" t="s">
        <v>30</v>
      </c>
      <c r="H63" s="0" t="s">
        <v>213</v>
      </c>
      <c r="I63" s="0" t="s">
        <v>214</v>
      </c>
    </row>
    <row r="64" customFormat="false" ht="17.15" hidden="false" customHeight="false" outlineLevel="0" collapsed="false">
      <c r="A64" s="1" t="s">
        <v>215</v>
      </c>
    </row>
    <row r="65" customFormat="false" ht="17.15" hidden="false" customHeight="false" outlineLevel="0" collapsed="false">
      <c r="A65" s="9" t="s">
        <v>216</v>
      </c>
      <c r="B65" s="10" t="s">
        <v>217</v>
      </c>
      <c r="C65" s="9" t="s">
        <v>74</v>
      </c>
      <c r="D65" s="9"/>
      <c r="E65" s="11" t="n">
        <v>0.3</v>
      </c>
      <c r="F65" s="9"/>
      <c r="G65" s="9" t="s">
        <v>53</v>
      </c>
      <c r="H65" s="9" t="s">
        <v>218</v>
      </c>
      <c r="I65" s="10" t="s">
        <v>219</v>
      </c>
    </row>
    <row r="66" customFormat="false" ht="17.15" hidden="false" customHeight="false" outlineLevel="0" collapsed="false">
      <c r="A66" s="9" t="s">
        <v>220</v>
      </c>
      <c r="B66" s="10" t="s">
        <v>221</v>
      </c>
      <c r="C66" s="9" t="s">
        <v>74</v>
      </c>
      <c r="D66" s="9"/>
      <c r="E66" s="11" t="n">
        <v>0.5</v>
      </c>
      <c r="F66" s="9"/>
      <c r="G66" s="9" t="s">
        <v>53</v>
      </c>
      <c r="H66" s="9" t="s">
        <v>218</v>
      </c>
      <c r="I66" s="10" t="s">
        <v>219</v>
      </c>
    </row>
    <row r="67" customFormat="false" ht="17.15" hidden="false" customHeight="false" outlineLevel="0" collapsed="false">
      <c r="A67" s="9" t="s">
        <v>222</v>
      </c>
      <c r="B67" s="10" t="s">
        <v>223</v>
      </c>
      <c r="C67" s="9" t="s">
        <v>74</v>
      </c>
      <c r="D67" s="9"/>
      <c r="E67" s="11" t="n">
        <v>0.2</v>
      </c>
      <c r="F67" s="9"/>
      <c r="G67" s="9" t="s">
        <v>53</v>
      </c>
      <c r="H67" s="9" t="s">
        <v>218</v>
      </c>
      <c r="I67" s="10" t="s">
        <v>219</v>
      </c>
    </row>
    <row r="68" customFormat="false" ht="17.15" hidden="false" customHeight="false" outlineLevel="0" collapsed="false">
      <c r="A68" s="1" t="s">
        <v>224</v>
      </c>
    </row>
    <row r="69" customFormat="false" ht="17.15" hidden="false" customHeight="false" outlineLevel="0" collapsed="false">
      <c r="A69" s="9" t="s">
        <v>225</v>
      </c>
      <c r="B69" s="9" t="s">
        <v>226</v>
      </c>
      <c r="C69" s="9" t="s">
        <v>74</v>
      </c>
      <c r="D69" s="9"/>
      <c r="E69" s="11" t="n">
        <v>0.1</v>
      </c>
      <c r="F69" s="9"/>
      <c r="G69" s="9" t="s">
        <v>53</v>
      </c>
      <c r="H69" s="9" t="s">
        <v>227</v>
      </c>
      <c r="I69" s="9" t="s">
        <v>228</v>
      </c>
    </row>
    <row r="70" customFormat="false" ht="17.15" hidden="false" customHeight="false" outlineLevel="0" collapsed="false">
      <c r="A70" s="9" t="s">
        <v>229</v>
      </c>
      <c r="B70" s="10" t="s">
        <v>230</v>
      </c>
      <c r="C70" s="9" t="s">
        <v>74</v>
      </c>
      <c r="D70" s="9"/>
      <c r="E70" s="11" t="n">
        <v>0.04</v>
      </c>
      <c r="F70" s="9"/>
      <c r="G70" s="9" t="s">
        <v>53</v>
      </c>
      <c r="H70" s="9" t="s">
        <v>231</v>
      </c>
      <c r="I70" s="9" t="s">
        <v>232</v>
      </c>
    </row>
    <row r="71" customFormat="false" ht="17.15" hidden="false" customHeight="false" outlineLevel="0" collapsed="false">
      <c r="A71" s="9" t="s">
        <v>233</v>
      </c>
      <c r="B71" s="10" t="s">
        <v>234</v>
      </c>
      <c r="C71" s="9" t="s">
        <v>110</v>
      </c>
      <c r="D71" s="9"/>
      <c r="E71" s="11" t="n">
        <v>0.02</v>
      </c>
      <c r="F71" s="9"/>
      <c r="G71" s="9" t="s">
        <v>53</v>
      </c>
      <c r="H71" s="10" t="s">
        <v>235</v>
      </c>
      <c r="I71" s="9" t="s">
        <v>83</v>
      </c>
    </row>
    <row r="72" customFormat="false" ht="17.15" hidden="false" customHeight="false" outlineLevel="0" collapsed="false">
      <c r="A72" s="9" t="s">
        <v>236</v>
      </c>
      <c r="B72" s="10" t="s">
        <v>237</v>
      </c>
      <c r="C72" s="9" t="s">
        <v>74</v>
      </c>
      <c r="D72" s="9"/>
      <c r="E72" s="11" t="n">
        <v>0.2861</v>
      </c>
      <c r="F72" s="9"/>
      <c r="G72" s="9" t="s">
        <v>30</v>
      </c>
      <c r="H72" s="9" t="s">
        <v>238</v>
      </c>
      <c r="I72" s="9" t="s">
        <v>239</v>
      </c>
    </row>
    <row r="73" customFormat="false" ht="17.15" hidden="false" customHeight="false" outlineLevel="0" collapsed="false">
      <c r="A73" s="9" t="s">
        <v>240</v>
      </c>
      <c r="B73" s="10" t="s">
        <v>241</v>
      </c>
      <c r="C73" s="9" t="s">
        <v>74</v>
      </c>
      <c r="D73" s="9"/>
      <c r="E73" s="11" t="n">
        <v>0.5</v>
      </c>
      <c r="F73" s="9"/>
      <c r="G73" s="9" t="s">
        <v>53</v>
      </c>
      <c r="H73" s="9" t="s">
        <v>242</v>
      </c>
      <c r="I73" s="9" t="s">
        <v>243</v>
      </c>
    </row>
    <row r="74" customFormat="false" ht="17.15" hidden="false" customHeight="false" outlineLevel="0" collapsed="false">
      <c r="A74" s="9" t="s">
        <v>244</v>
      </c>
      <c r="B74" s="10" t="s">
        <v>245</v>
      </c>
      <c r="C74" s="9" t="s">
        <v>52</v>
      </c>
      <c r="D74" s="9"/>
      <c r="E74" s="11" t="n">
        <v>0.8</v>
      </c>
      <c r="F74" s="9"/>
      <c r="G74" s="9" t="s">
        <v>53</v>
      </c>
      <c r="H74" s="10" t="s">
        <v>246</v>
      </c>
      <c r="I74" s="10" t="s">
        <v>247</v>
      </c>
    </row>
    <row r="75" customFormat="false" ht="17.15" hidden="false" customHeight="false" outlineLevel="0" collapsed="false">
      <c r="A75" s="0" t="s">
        <v>248</v>
      </c>
      <c r="B75" s="5" t="s">
        <v>249</v>
      </c>
      <c r="C75" s="0" t="s">
        <v>182</v>
      </c>
      <c r="E75" s="7" t="n">
        <v>243.59</v>
      </c>
      <c r="G75" s="8" t="s">
        <v>116</v>
      </c>
      <c r="H75" s="8" t="s">
        <v>250</v>
      </c>
      <c r="I75" s="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252</v>
      </c>
    </row>
    <row r="2" customFormat="false" ht="17.15" hidden="false" customHeight="false" outlineLevel="0" collapsed="false">
      <c r="A2" s="0" t="s">
        <v>253</v>
      </c>
    </row>
    <row r="3" customFormat="false" ht="17.15" hidden="false" customHeight="false" outlineLevel="0" collapsed="false">
      <c r="A3" s="6" t="s">
        <v>18</v>
      </c>
      <c r="B3" s="12" t="s">
        <v>254</v>
      </c>
      <c r="C3" s="12" t="s">
        <v>255</v>
      </c>
      <c r="D3" s="12" t="s">
        <v>256</v>
      </c>
      <c r="E3" s="12" t="s">
        <v>257</v>
      </c>
      <c r="F3" s="12" t="s">
        <v>258</v>
      </c>
      <c r="G3" s="12" t="s">
        <v>259</v>
      </c>
      <c r="H3" s="6" t="s">
        <v>23</v>
      </c>
      <c r="I3" s="6" t="s">
        <v>260</v>
      </c>
      <c r="J3" s="6" t="s">
        <v>25</v>
      </c>
    </row>
    <row r="4" customFormat="false" ht="17.15" hidden="false" customHeight="false" outlineLevel="0" collapsed="false">
      <c r="A4" s="5" t="s">
        <v>261</v>
      </c>
      <c r="B4" s="13" t="n">
        <v>9.0057</v>
      </c>
      <c r="C4" s="14" t="n">
        <f aca="false">5.7447-D4</f>
        <v>2.709</v>
      </c>
      <c r="D4" s="13" t="n">
        <v>3.0357</v>
      </c>
      <c r="E4" s="14" t="n">
        <f aca="false">q3_rev</f>
        <v>3.3</v>
      </c>
      <c r="F4" s="14" t="n">
        <f aca="false">fy_rev-C4-D4-E4</f>
        <v>3.5553</v>
      </c>
      <c r="G4" s="14" t="n">
        <f aca="false">SUM(C4:F4)</f>
        <v>12.6</v>
      </c>
      <c r="H4" s="8" t="s">
        <v>262</v>
      </c>
      <c r="I4" s="8" t="s">
        <v>263</v>
      </c>
      <c r="J4" s="8" t="s">
        <v>264</v>
      </c>
    </row>
    <row r="5" customFormat="false" ht="17.15" hidden="false" customHeight="false" outlineLevel="0" collapsed="false">
      <c r="A5" s="0" t="s">
        <v>265</v>
      </c>
      <c r="B5" s="13" t="n">
        <v>5.8154</v>
      </c>
      <c r="C5" s="14" t="n">
        <f aca="false">3.6155-D5</f>
        <v>1.6908</v>
      </c>
      <c r="D5" s="13" t="n">
        <v>1.9247</v>
      </c>
      <c r="E5" s="14" t="n">
        <f aca="false">E4*q3_gm</f>
        <v>2.079</v>
      </c>
      <c r="F5" s="14" t="n">
        <f aca="false">fy_rev*fy_gm-C5-D5-E5</f>
        <v>2.2435</v>
      </c>
      <c r="G5" s="14" t="n">
        <f aca="false">SUM(C5:F5)</f>
        <v>7.938</v>
      </c>
      <c r="H5" s="8" t="s">
        <v>266</v>
      </c>
      <c r="I5" s="8" t="s">
        <v>263</v>
      </c>
      <c r="J5" s="8" t="s">
        <v>264</v>
      </c>
    </row>
    <row r="6" customFormat="false" ht="17.15" hidden="false" customHeight="false" outlineLevel="0" collapsed="false">
      <c r="A6" s="5" t="s">
        <v>267</v>
      </c>
      <c r="B6" s="15" t="n">
        <f aca="false">B5/B4</f>
        <v>0.645746582719833</v>
      </c>
      <c r="C6" s="15" t="n">
        <f aca="false">C5/C4</f>
        <v>0.624141749723145</v>
      </c>
      <c r="D6" s="15" t="n">
        <f aca="false">D5/D4</f>
        <v>0.634021807161446</v>
      </c>
      <c r="E6" s="15" t="n">
        <f aca="false">E5/E4</f>
        <v>0.63</v>
      </c>
      <c r="F6" s="15" t="n">
        <f aca="false">F5/F4</f>
        <v>0.631029730261863</v>
      </c>
      <c r="G6" s="15" t="n">
        <f aca="false">G5/G4</f>
        <v>0.63</v>
      </c>
      <c r="H6" s="8" t="s">
        <v>30</v>
      </c>
      <c r="I6" s="8" t="s">
        <v>83</v>
      </c>
      <c r="J6" s="8" t="s">
        <v>268</v>
      </c>
    </row>
    <row r="7" customFormat="false" ht="17.15" hidden="false" customHeight="false" outlineLevel="0" collapsed="false">
      <c r="A7" s="0" t="s">
        <v>269</v>
      </c>
      <c r="B7" s="14" t="n">
        <f aca="false">B5-B8</f>
        <v>1.4784</v>
      </c>
      <c r="C7" s="14" t="n">
        <f aca="false">C5-C8</f>
        <v>0.3968</v>
      </c>
      <c r="D7" s="14" t="n">
        <f aca="false">D5-D8</f>
        <v>0.411</v>
      </c>
      <c r="E7" s="14" t="n">
        <f aca="false">E5-E8</f>
        <v>0.4785</v>
      </c>
      <c r="F7" s="14" t="n">
        <f aca="false">F5-F8</f>
        <v>0.5407</v>
      </c>
      <c r="G7" s="14" t="n">
        <f aca="false">SUM(C7:F7)</f>
        <v>1.827</v>
      </c>
      <c r="H7" s="8" t="s">
        <v>270</v>
      </c>
      <c r="I7" s="8" t="s">
        <v>263</v>
      </c>
      <c r="J7" s="8" t="s">
        <v>264</v>
      </c>
    </row>
    <row r="8" customFormat="false" ht="17.15" hidden="false" customHeight="false" outlineLevel="0" collapsed="false">
      <c r="A8" s="0" t="s">
        <v>271</v>
      </c>
      <c r="B8" s="13" t="n">
        <v>4.337</v>
      </c>
      <c r="C8" s="14" t="n">
        <f aca="false">2.8077-D8</f>
        <v>1.294</v>
      </c>
      <c r="D8" s="13" t="n">
        <v>1.5137</v>
      </c>
      <c r="E8" s="14" t="n">
        <f aca="false">E4*q3_oim</f>
        <v>1.6005</v>
      </c>
      <c r="F8" s="14" t="n">
        <f aca="false">fy_rev*fy_oim-C8-D8-E8</f>
        <v>1.7028</v>
      </c>
      <c r="G8" s="14" t="n">
        <f aca="false">SUM(C8:F8)</f>
        <v>6.111</v>
      </c>
      <c r="H8" s="8" t="s">
        <v>266</v>
      </c>
      <c r="I8" s="8" t="s">
        <v>263</v>
      </c>
      <c r="J8" s="8" t="s">
        <v>264</v>
      </c>
    </row>
    <row r="9" customFormat="false" ht="15" hidden="false" customHeight="false" outlineLevel="0" collapsed="false">
      <c r="A9" s="5" t="s">
        <v>272</v>
      </c>
      <c r="B9" s="15" t="n">
        <f aca="false">B8/B4</f>
        <v>0.48158388576124</v>
      </c>
      <c r="C9" s="15" t="n">
        <f aca="false">C8/C4</f>
        <v>0.477667035806571</v>
      </c>
      <c r="D9" s="15" t="n">
        <f aca="false">D8/D4</f>
        <v>0.498632934743222</v>
      </c>
      <c r="E9" s="15" t="n">
        <f aca="false">E8/E4</f>
        <v>0.485</v>
      </c>
      <c r="F9" s="15" t="n">
        <f aca="false">F8/F4</f>
        <v>0.478946924310185</v>
      </c>
      <c r="G9" s="15" t="n">
        <f aca="false">G8/G4</f>
        <v>0.485</v>
      </c>
      <c r="H9" s="8" t="s">
        <v>30</v>
      </c>
      <c r="I9" s="8" t="s">
        <v>83</v>
      </c>
      <c r="J9" s="8" t="s">
        <v>83</v>
      </c>
    </row>
    <row r="10" customFormat="false" ht="17.15" hidden="false" customHeight="false" outlineLevel="0" collapsed="false">
      <c r="A10" s="5" t="s">
        <v>273</v>
      </c>
      <c r="B10" s="13" t="n">
        <v>0.3936</v>
      </c>
      <c r="C10" s="14" t="n">
        <f aca="false">0.2399-D10</f>
        <v>0.1136</v>
      </c>
      <c r="D10" s="13" t="n">
        <v>0.1263</v>
      </c>
      <c r="E10" s="14" t="n">
        <f aca="false">q_oth</f>
        <v>0.13</v>
      </c>
      <c r="F10" s="14" t="n">
        <f aca="false">q_oth</f>
        <v>0.13</v>
      </c>
      <c r="G10" s="14" t="n">
        <f aca="false">SUM(C10:F10)</f>
        <v>0.4999</v>
      </c>
      <c r="H10" s="8" t="s">
        <v>274</v>
      </c>
      <c r="I10" s="8" t="s">
        <v>263</v>
      </c>
      <c r="J10" s="8" t="s">
        <v>264</v>
      </c>
    </row>
    <row r="11" customFormat="false" ht="17.15" hidden="false" customHeight="false" outlineLevel="0" collapsed="false">
      <c r="A11" s="5" t="s">
        <v>275</v>
      </c>
      <c r="B11" s="14" t="n">
        <f aca="false">B8+B10</f>
        <v>4.7306</v>
      </c>
      <c r="C11" s="14" t="n">
        <f aca="false">C8+C10</f>
        <v>1.4076</v>
      </c>
      <c r="D11" s="14" t="n">
        <f aca="false">D8+D10</f>
        <v>1.64</v>
      </c>
      <c r="E11" s="14" t="n">
        <f aca="false">E8+E10</f>
        <v>1.7305</v>
      </c>
      <c r="F11" s="14" t="n">
        <f aca="false">F8+F10</f>
        <v>1.8328</v>
      </c>
      <c r="G11" s="14" t="n">
        <f aca="false">SUM(C11:F11)</f>
        <v>6.6109</v>
      </c>
      <c r="H11" s="8" t="s">
        <v>30</v>
      </c>
      <c r="I11" s="8" t="s">
        <v>263</v>
      </c>
      <c r="J11" s="8" t="s">
        <v>264</v>
      </c>
    </row>
    <row r="12" customFormat="false" ht="17.15" hidden="false" customHeight="false" outlineLevel="0" collapsed="false">
      <c r="A12" s="0" t="s">
        <v>276</v>
      </c>
      <c r="B12" s="13" t="n">
        <v>3.806</v>
      </c>
      <c r="C12" s="14" t="n">
        <f aca="false">2.4099-D12</f>
        <v>1.1082</v>
      </c>
      <c r="D12" s="13" t="n">
        <v>1.3017</v>
      </c>
      <c r="E12" s="14" t="n">
        <f aca="false">E11*(1-q_tx)</f>
        <v>1.367095</v>
      </c>
      <c r="F12" s="14" t="n">
        <f aca="false">F11*(1-q_tx)</f>
        <v>1.447912</v>
      </c>
      <c r="G12" s="14" t="n">
        <f aca="false">SUM(C12:F12)</f>
        <v>5.224907</v>
      </c>
      <c r="H12" s="8" t="s">
        <v>274</v>
      </c>
      <c r="I12" s="8" t="s">
        <v>263</v>
      </c>
      <c r="J12" s="8" t="s">
        <v>264</v>
      </c>
    </row>
    <row r="13" customFormat="false" ht="17.15" hidden="false" customHeight="false" outlineLevel="0" collapsed="false">
      <c r="A13" s="5" t="s">
        <v>277</v>
      </c>
      <c r="B13" s="15" t="n">
        <f aca="false">1-B12/B11</f>
        <v>0.195450894178328</v>
      </c>
      <c r="C13" s="15" t="n">
        <f aca="false">1-C12/C11</f>
        <v>0.212702472293265</v>
      </c>
      <c r="D13" s="15" t="n">
        <f aca="false">1-D12/D11</f>
        <v>0.206280487804878</v>
      </c>
      <c r="E13" s="15" t="n">
        <f aca="false">1-E12/E11</f>
        <v>0.21</v>
      </c>
      <c r="F13" s="15" t="n">
        <f aca="false">1-F12/F11</f>
        <v>0.21</v>
      </c>
      <c r="G13" s="15" t="n">
        <f aca="false">1-G12/G11</f>
        <v>0.209652694791935</v>
      </c>
      <c r="H13" s="8" t="s">
        <v>30</v>
      </c>
      <c r="I13" s="8" t="s">
        <v>83</v>
      </c>
      <c r="J13" s="8" t="s">
        <v>278</v>
      </c>
    </row>
    <row r="14" customFormat="false" ht="17.15" hidden="false" customHeight="false" outlineLevel="0" collapsed="false">
      <c r="A14" s="5" t="s">
        <v>279</v>
      </c>
      <c r="B14" s="13" t="n">
        <v>1.2757</v>
      </c>
      <c r="C14" s="14" t="n">
        <f aca="false">(1.2749*2-D14)</f>
        <v>1.2738</v>
      </c>
      <c r="D14" s="13" t="n">
        <v>1.276</v>
      </c>
      <c r="E14" s="14" t="n">
        <f aca="false">q_sh</f>
        <v>1.277</v>
      </c>
      <c r="F14" s="14" t="n">
        <f aca="false">q_sh</f>
        <v>1.277</v>
      </c>
      <c r="G14" s="14" t="n">
        <f aca="false">AVERAGE(C14:F14)</f>
        <v>1.27595</v>
      </c>
      <c r="H14" s="8" t="s">
        <v>280</v>
      </c>
      <c r="I14" s="8" t="s">
        <v>263</v>
      </c>
      <c r="J14" s="8" t="s">
        <v>281</v>
      </c>
    </row>
    <row r="15" customFormat="false" ht="17.15" hidden="false" customHeight="false" outlineLevel="0" collapsed="false">
      <c r="A15" s="0" t="s">
        <v>282</v>
      </c>
      <c r="B15" s="16" t="n">
        <f aca="false">B12/B14</f>
        <v>2.9834600611429</v>
      </c>
      <c r="C15" s="16" t="n">
        <f aca="false">C12/C14</f>
        <v>0.869995289684409</v>
      </c>
      <c r="D15" s="16" t="n">
        <f aca="false">D12/D14</f>
        <v>1.02014106583072</v>
      </c>
      <c r="E15" s="16" t="n">
        <f aca="false">E12/E14</f>
        <v>1.07055207517619</v>
      </c>
      <c r="F15" s="16" t="n">
        <f aca="false">F12/F14</f>
        <v>1.1338386844166</v>
      </c>
      <c r="G15" s="16" t="n">
        <f aca="false">G12/G14</f>
        <v>4.0949151612524</v>
      </c>
      <c r="H15" s="8" t="s">
        <v>30</v>
      </c>
      <c r="I15" s="5" t="s">
        <v>283</v>
      </c>
      <c r="J15" s="8" t="s">
        <v>83</v>
      </c>
    </row>
    <row r="16" customFormat="false" ht="17.15" hidden="false" customHeight="false" outlineLevel="0" collapsed="false">
      <c r="A16" s="5" t="s">
        <v>284</v>
      </c>
      <c r="B16" s="17" t="n">
        <v>2.98</v>
      </c>
      <c r="D16" s="17" t="n">
        <v>1.02</v>
      </c>
      <c r="H16" s="8" t="s">
        <v>285</v>
      </c>
      <c r="I16" s="8" t="s">
        <v>263</v>
      </c>
      <c r="J16" s="8" t="s">
        <v>286</v>
      </c>
    </row>
    <row r="17" customFormat="false" ht="17.15" hidden="false" customHeight="false" outlineLevel="0" collapsed="false">
      <c r="A17" s="0" t="s">
        <v>287</v>
      </c>
      <c r="B17" s="14" t="n">
        <f aca="false">ai25</f>
        <v>1.63</v>
      </c>
      <c r="G17" s="14" t="n">
        <f aca="false">ai26</f>
        <v>3.5</v>
      </c>
      <c r="H17" s="8" t="s">
        <v>288</v>
      </c>
      <c r="I17" s="8" t="s">
        <v>289</v>
      </c>
      <c r="J17" s="5" t="s">
        <v>290</v>
      </c>
    </row>
    <row r="18" customFormat="false" ht="17.15" hidden="false" customHeight="false" outlineLevel="0" collapsed="false">
      <c r="A18" s="5" t="s">
        <v>291</v>
      </c>
      <c r="B18" s="14" t="n">
        <f aca="false">B4-B17</f>
        <v>7.3757</v>
      </c>
      <c r="G18" s="14" t="n">
        <f aca="false">G4-G17</f>
        <v>9.1</v>
      </c>
      <c r="H18" s="8" t="s">
        <v>30</v>
      </c>
      <c r="I18" s="8" t="s">
        <v>83</v>
      </c>
      <c r="J18" s="8" t="s">
        <v>83</v>
      </c>
    </row>
    <row r="19" customFormat="false" ht="17.15" hidden="false" customHeight="false" outlineLevel="0" collapsed="false">
      <c r="A19" s="0" t="s">
        <v>292</v>
      </c>
      <c r="B19" s="15" t="n">
        <f aca="false">B17/B4</f>
        <v>0.180996480007107</v>
      </c>
      <c r="G19" s="15" t="n">
        <f aca="false">G17/G4</f>
        <v>0.277777777777778</v>
      </c>
      <c r="H19" s="8" t="s">
        <v>30</v>
      </c>
      <c r="I19" s="8" t="s">
        <v>83</v>
      </c>
      <c r="J19" s="8" t="s">
        <v>293</v>
      </c>
    </row>
    <row r="21" customFormat="false" ht="17.15" hidden="false" customHeight="false" outlineLevel="0" collapsed="false">
      <c r="A21" s="1" t="s">
        <v>294</v>
      </c>
    </row>
    <row r="22" customFormat="false" ht="17.15" hidden="false" customHeight="false" outlineLevel="0" collapsed="false">
      <c r="A22" s="0" t="s">
        <v>295</v>
      </c>
      <c r="B22" s="15" t="n">
        <f aca="false">G4/cons_rev26-1</f>
        <v>-0.00630914826498441</v>
      </c>
    </row>
    <row r="23" customFormat="false" ht="17.15" hidden="false" customHeight="false" outlineLevel="0" collapsed="false">
      <c r="A23" s="0" t="s">
        <v>296</v>
      </c>
      <c r="B23" s="15" t="n">
        <f aca="false">G15/cons_eps26-1</f>
        <v>-0.00608855309407763</v>
      </c>
    </row>
    <row r="24" customFormat="false" ht="17.15" hidden="false" customHeight="false" outlineLevel="0" collapsed="false">
      <c r="A24" s="0" t="s">
        <v>297</v>
      </c>
      <c r="B24" s="15" t="n">
        <f aca="false">G4/B4-1</f>
        <v>0.399113894533462</v>
      </c>
    </row>
    <row r="25" customFormat="false" ht="17.15" hidden="false" customHeight="false" outlineLevel="0" collapsed="false">
      <c r="A25" s="0" t="s">
        <v>298</v>
      </c>
      <c r="B25" s="15" t="n">
        <f aca="false">G7/B7-1</f>
        <v>0.235795454545454</v>
      </c>
    </row>
    <row r="26" customFormat="false" ht="17.15" hidden="false" customHeight="false" outlineLevel="0" collapsed="false">
      <c r="A26" s="5" t="s">
        <v>299</v>
      </c>
      <c r="B26" s="18" t="n">
        <f aca="false">B25/B24</f>
        <v>0.590797408396626</v>
      </c>
    </row>
    <row r="27" customFormat="false" ht="17.15" hidden="false" customHeight="false" outlineLevel="0" collapsed="false">
      <c r="A27" s="0" t="s">
        <v>300</v>
      </c>
      <c r="B27" s="15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301</v>
      </c>
    </row>
    <row r="3" customFormat="false" ht="15" hidden="false" customHeight="false" outlineLevel="0" collapsed="false">
      <c r="A3" s="6" t="s">
        <v>18</v>
      </c>
      <c r="B3" s="6" t="s">
        <v>19</v>
      </c>
      <c r="C3" s="12" t="s">
        <v>302</v>
      </c>
      <c r="D3" s="12" t="s">
        <v>303</v>
      </c>
      <c r="E3" s="12" t="s">
        <v>304</v>
      </c>
      <c r="F3" s="12" t="s">
        <v>305</v>
      </c>
      <c r="G3" s="6" t="s">
        <v>306</v>
      </c>
    </row>
    <row r="4" customFormat="false" ht="17.15" hidden="false" customHeight="false" outlineLevel="0" collapsed="false">
      <c r="A4" s="0" t="s">
        <v>307</v>
      </c>
      <c r="B4" s="0" t="s">
        <v>29</v>
      </c>
      <c r="C4" s="19" t="n">
        <f aca="false">PL!D63</f>
        <v>32.0719</v>
      </c>
      <c r="D4" s="19" t="n">
        <f aca="false">PL!E63</f>
        <v>61.085</v>
      </c>
      <c r="E4" s="19" t="n">
        <f aca="false">PL!F63</f>
        <v>69.005</v>
      </c>
      <c r="F4" s="19" t="n">
        <f aca="false">PL!G63</f>
        <v>78.48215</v>
      </c>
      <c r="G4" s="8" t="s">
        <v>308</v>
      </c>
    </row>
    <row r="5" customFormat="false" ht="17.15" hidden="false" customHeight="false" outlineLevel="0" collapsed="false">
      <c r="A5" s="5" t="s">
        <v>309</v>
      </c>
      <c r="B5" s="0" t="s">
        <v>74</v>
      </c>
      <c r="C5" s="15" t="n">
        <f aca="false">PL!D64</f>
        <v>0.75</v>
      </c>
      <c r="D5" s="15" t="n">
        <f aca="false">PL!E64</f>
        <v>0.8</v>
      </c>
      <c r="E5" s="15" t="n">
        <f aca="false">PL!F64</f>
        <v>0.83</v>
      </c>
      <c r="F5" s="15" t="n">
        <f aca="false">PL!G64</f>
        <v>0.85</v>
      </c>
      <c r="G5" s="8" t="s">
        <v>310</v>
      </c>
    </row>
    <row r="6" customFormat="false" ht="17.15" hidden="false" customHeight="false" outlineLevel="0" collapsed="false">
      <c r="A6" s="0" t="s">
        <v>311</v>
      </c>
      <c r="B6" s="0" t="s">
        <v>29</v>
      </c>
      <c r="C6" s="19" t="n">
        <f aca="false">PL!D65</f>
        <v>24.053925</v>
      </c>
      <c r="D6" s="19" t="n">
        <f aca="false">PL!E65</f>
        <v>48.868</v>
      </c>
      <c r="E6" s="19" t="n">
        <f aca="false">PL!F65</f>
        <v>57.27415</v>
      </c>
      <c r="F6" s="19" t="n">
        <f aca="false">PL!G65</f>
        <v>66.7098275</v>
      </c>
    </row>
    <row r="7" customFormat="false" ht="17.15" hidden="false" customHeight="false" outlineLevel="0" collapsed="false">
      <c r="A7" s="0" t="s">
        <v>312</v>
      </c>
      <c r="B7" s="0" t="s">
        <v>29</v>
      </c>
      <c r="C7" s="19" t="n">
        <f aca="false">PL!D63-PL!D65</f>
        <v>8.017975</v>
      </c>
      <c r="D7" s="19" t="n">
        <f aca="false">PL!E63-PL!E65</f>
        <v>12.217</v>
      </c>
      <c r="E7" s="19" t="n">
        <f aca="false">PL!F63-PL!F65</f>
        <v>11.73085</v>
      </c>
      <c r="F7" s="19" t="n">
        <f aca="false">PL!G63-PL!G65</f>
        <v>11.7723225</v>
      </c>
      <c r="G7" s="5" t="s">
        <v>313</v>
      </c>
    </row>
    <row r="8" customFormat="false" ht="17.15" hidden="false" customHeight="false" outlineLevel="0" collapsed="false">
      <c r="A8" s="0" t="s">
        <v>314</v>
      </c>
      <c r="B8" s="0" t="s">
        <v>74</v>
      </c>
      <c r="C8" s="15" t="n">
        <f aca="false">PL!D68</f>
        <v>0.14550639864388</v>
      </c>
      <c r="D8" s="15" t="n">
        <f aca="false">PL!E68</f>
        <v>0.138231078711686</v>
      </c>
      <c r="E8" s="15" t="n">
        <f aca="false">PL!F68</f>
        <v>0.130955758779492</v>
      </c>
      <c r="F8" s="15" t="n">
        <f aca="false">PL!G68</f>
        <v>0.128045630806615</v>
      </c>
      <c r="G8" s="8" t="s">
        <v>315</v>
      </c>
    </row>
    <row r="9" customFormat="false" ht="17.15" hidden="false" customHeight="false" outlineLevel="0" collapsed="false">
      <c r="A9" s="0" t="s">
        <v>316</v>
      </c>
      <c r="B9" s="0" t="s">
        <v>29</v>
      </c>
      <c r="C9" s="20" t="n">
        <f aca="false">PL!D69</f>
        <v>3.5</v>
      </c>
      <c r="D9" s="20" t="n">
        <f aca="false">PL!E69</f>
        <v>6.75507635448269</v>
      </c>
      <c r="E9" s="20" t="n">
        <f aca="false">PL!F69</f>
        <v>7.50037977170046</v>
      </c>
      <c r="F9" s="20" t="n">
        <f aca="false">PL!G69</f>
        <v>8.54190194323796</v>
      </c>
    </row>
    <row r="10" customFormat="false" ht="17.15" hidden="false" customHeight="false" outlineLevel="0" collapsed="false">
      <c r="A10" s="5" t="s">
        <v>317</v>
      </c>
      <c r="B10" s="0" t="s">
        <v>29</v>
      </c>
      <c r="C10" s="19" t="n">
        <f aca="false">PL!D65-PL!D69</f>
        <v>20.553925</v>
      </c>
      <c r="D10" s="19" t="n">
        <f aca="false">PL!E65-PL!E69</f>
        <v>42.1129236455173</v>
      </c>
      <c r="E10" s="19" t="n">
        <f aca="false">PL!F65-PL!F69</f>
        <v>49.7737702282995</v>
      </c>
      <c r="F10" s="19" t="n">
        <f aca="false">PL!G65-PL!G69</f>
        <v>58.167925556762</v>
      </c>
      <c r="G10" s="5" t="s">
        <v>318</v>
      </c>
    </row>
    <row r="11" customFormat="false" ht="17.15" hidden="false" customHeight="false" outlineLevel="0" collapsed="false">
      <c r="A11" s="0" t="s">
        <v>319</v>
      </c>
      <c r="B11" s="0" t="s">
        <v>74</v>
      </c>
      <c r="C11" s="21" t="n">
        <f aca="false">PL!D69/itc_26</f>
        <v>0.00447643079251477</v>
      </c>
      <c r="D11" s="21" t="n">
        <f aca="false">PL!E69/itc_27</f>
        <v>0.00431537761809352</v>
      </c>
      <c r="E11" s="21" t="n">
        <f aca="false">PL!F69/itc_28</f>
        <v>0.00377993058972634</v>
      </c>
      <c r="F11" s="21" t="n">
        <f aca="false">PL!G69/itc_29</f>
        <v>0.00377895004558045</v>
      </c>
      <c r="G11" s="8" t="s">
        <v>320</v>
      </c>
    </row>
    <row r="13" customFormat="false" ht="17.15" hidden="false" customHeight="false" outlineLevel="0" collapsed="false">
      <c r="A13" s="3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322</v>
      </c>
    </row>
    <row r="3" customFormat="false" ht="17.15" hidden="false" customHeight="false" outlineLevel="0" collapsed="false">
      <c r="A3" s="6" t="s">
        <v>323</v>
      </c>
      <c r="B3" s="6" t="s">
        <v>19</v>
      </c>
      <c r="C3" s="12" t="s">
        <v>254</v>
      </c>
      <c r="D3" s="12" t="s">
        <v>324</v>
      </c>
      <c r="E3" s="12" t="s">
        <v>325</v>
      </c>
      <c r="F3" s="12" t="s">
        <v>326</v>
      </c>
      <c r="G3" s="12" t="s">
        <v>327</v>
      </c>
      <c r="H3" s="6" t="s">
        <v>306</v>
      </c>
    </row>
    <row r="4" customFormat="false" ht="17.15" hidden="false" customHeight="false" outlineLevel="0" collapsed="false">
      <c r="A4" s="3" t="s">
        <v>328</v>
      </c>
    </row>
    <row r="5" customFormat="false" ht="15" hidden="false" customHeight="false" outlineLevel="0" collapsed="false">
      <c r="A5" s="5" t="s">
        <v>261</v>
      </c>
      <c r="B5" s="0" t="s">
        <v>29</v>
      </c>
      <c r="C5" s="20" t="n">
        <f aca="false">C72</f>
        <v>9.0057</v>
      </c>
      <c r="D5" s="20" t="n">
        <f aca="false">D72</f>
        <v>12.6</v>
      </c>
      <c r="E5" s="20" t="n">
        <f aca="false">E72</f>
        <v>16.7650763544827</v>
      </c>
      <c r="F5" s="20" t="n">
        <f aca="false">F72</f>
        <v>18.3111797717005</v>
      </c>
      <c r="G5" s="20" t="n">
        <f aca="false">G72</f>
        <v>20.001349943238</v>
      </c>
    </row>
    <row r="6" customFormat="false" ht="15" hidden="false" customHeight="false" outlineLevel="0" collapsed="false">
      <c r="A6" s="5" t="s">
        <v>329</v>
      </c>
      <c r="B6" s="0" t="s">
        <v>74</v>
      </c>
      <c r="D6" s="15" t="n">
        <f aca="false">D73</f>
        <v>0.399113894533462</v>
      </c>
      <c r="E6" s="15" t="n">
        <f aca="false">E73</f>
        <v>0.330561615435134</v>
      </c>
      <c r="F6" s="15" t="n">
        <f aca="false">F73</f>
        <v>0.0922216746602751</v>
      </c>
      <c r="G6" s="15" t="n">
        <f aca="false">G73</f>
        <v>0.092302636564664</v>
      </c>
    </row>
    <row r="7" customFormat="false" ht="17.15" hidden="false" customHeight="false" outlineLevel="0" collapsed="false">
      <c r="A7" s="0" t="s">
        <v>330</v>
      </c>
      <c r="B7" s="0" t="s">
        <v>29</v>
      </c>
      <c r="C7" s="20" t="n">
        <f aca="false">C69</f>
        <v>1.63</v>
      </c>
      <c r="D7" s="20" t="n">
        <f aca="false">D69</f>
        <v>3.5</v>
      </c>
      <c r="E7" s="20" t="n">
        <f aca="false">E69</f>
        <v>6.75507635448269</v>
      </c>
      <c r="F7" s="20" t="n">
        <f aca="false">F69</f>
        <v>7.50037977170046</v>
      </c>
      <c r="G7" s="20" t="n">
        <f aca="false">G69</f>
        <v>8.54190194323796</v>
      </c>
    </row>
    <row r="8" customFormat="false" ht="17.15" hidden="false" customHeight="false" outlineLevel="0" collapsed="false">
      <c r="A8" s="5" t="s">
        <v>331</v>
      </c>
      <c r="B8" s="0" t="s">
        <v>29</v>
      </c>
      <c r="C8" s="20" t="n">
        <f aca="false">C71</f>
        <v>7.3757</v>
      </c>
      <c r="D8" s="20" t="n">
        <f aca="false">D71</f>
        <v>9.1</v>
      </c>
      <c r="E8" s="20" t="n">
        <f aca="false">E71</f>
        <v>10.01</v>
      </c>
      <c r="F8" s="20" t="n">
        <f aca="false">F71</f>
        <v>10.8108</v>
      </c>
      <c r="G8" s="20" t="n">
        <f aca="false">G71</f>
        <v>11.459448</v>
      </c>
    </row>
    <row r="9" customFormat="false" ht="17.15" hidden="false" customHeight="false" outlineLevel="0" collapsed="false">
      <c r="A9" s="0" t="s">
        <v>332</v>
      </c>
      <c r="B9" s="0" t="s">
        <v>74</v>
      </c>
      <c r="C9" s="15" t="n">
        <f aca="false">C74</f>
        <v>0.180996480007107</v>
      </c>
      <c r="D9" s="15" t="n">
        <f aca="false">D74</f>
        <v>0.277777777777778</v>
      </c>
      <c r="E9" s="15" t="n">
        <f aca="false">E74</f>
        <v>0.402925475056157</v>
      </c>
      <c r="F9" s="15" t="n">
        <f aca="false">F74</f>
        <v>0.409606582711407</v>
      </c>
      <c r="G9" s="15" t="n">
        <f aca="false">G74</f>
        <v>0.427066271400636</v>
      </c>
    </row>
    <row r="10" customFormat="false" ht="15" hidden="false" customHeight="false" outlineLevel="0" collapsed="false">
      <c r="A10" s="5" t="s">
        <v>267</v>
      </c>
      <c r="B10" s="0" t="s">
        <v>74</v>
      </c>
      <c r="C10" s="15" t="n">
        <f aca="false">C78</f>
        <v>0.645746582719833</v>
      </c>
      <c r="D10" s="15" t="n">
        <f aca="false">D78</f>
        <v>0.63</v>
      </c>
      <c r="E10" s="15" t="n">
        <f aca="false">E78</f>
        <v>0.622491138163297</v>
      </c>
      <c r="F10" s="15" t="n">
        <f aca="false">F78</f>
        <v>0.622090271703982</v>
      </c>
      <c r="G10" s="15" t="n">
        <f aca="false">G78</f>
        <v>0.621042690382629</v>
      </c>
    </row>
    <row r="11" customFormat="false" ht="15" hidden="false" customHeight="false" outlineLevel="0" collapsed="false">
      <c r="A11" s="5" t="s">
        <v>272</v>
      </c>
      <c r="B11" s="0" t="s">
        <v>74</v>
      </c>
      <c r="C11" s="15" t="n">
        <f aca="false">C82</f>
        <v>0.48158388576124</v>
      </c>
      <c r="D11" s="15" t="n">
        <f aca="false">D82</f>
        <v>0.485</v>
      </c>
      <c r="E11" s="15" t="n">
        <f aca="false">E82</f>
        <v>0.493701695537665</v>
      </c>
      <c r="F11" s="15" t="n">
        <f aca="false">F82</f>
        <v>0.498194277229832</v>
      </c>
      <c r="G11" s="15" t="n">
        <f aca="false">G82</f>
        <v>0.50185799747924</v>
      </c>
    </row>
    <row r="12" customFormat="false" ht="17.15" hidden="false" customHeight="false" outlineLevel="0" collapsed="false">
      <c r="A12" s="5" t="s">
        <v>333</v>
      </c>
      <c r="B12" s="0" t="s">
        <v>29</v>
      </c>
      <c r="C12" s="20" t="n">
        <f aca="false">C85</f>
        <v>3.806</v>
      </c>
      <c r="D12" s="20" t="n">
        <f aca="false">D85</f>
        <v>5.224907</v>
      </c>
      <c r="E12" s="20" t="n">
        <f aca="false">E85</f>
        <v>6.97328783140095</v>
      </c>
      <c r="F12" s="20" t="n">
        <f aca="false">F85</f>
        <v>7.64129472755438</v>
      </c>
      <c r="G12" s="20" t="n">
        <f aca="false">G85</f>
        <v>8.36439156922198</v>
      </c>
    </row>
    <row r="13" customFormat="false" ht="17.15" hidden="false" customHeight="false" outlineLevel="0" collapsed="false">
      <c r="A13" s="0" t="s">
        <v>334</v>
      </c>
      <c r="B13" s="0" t="s">
        <v>182</v>
      </c>
      <c r="C13" s="18" t="n">
        <f aca="false">C87</f>
        <v>2.9834600611429</v>
      </c>
      <c r="D13" s="18" t="n">
        <f aca="false">D87</f>
        <v>4.0949151612524</v>
      </c>
      <c r="E13" s="18" t="n">
        <f aca="false">E87</f>
        <v>5.46517326807551</v>
      </c>
      <c r="F13" s="18" t="n">
        <f aca="false">F87</f>
        <v>5.98871015913977</v>
      </c>
      <c r="G13" s="18" t="n">
        <f aca="false">G87</f>
        <v>6.55542268052979</v>
      </c>
    </row>
    <row r="14" customFormat="false" ht="17.15" hidden="false" customHeight="false" outlineLevel="0" collapsed="false">
      <c r="A14" s="0" t="s">
        <v>335</v>
      </c>
      <c r="B14" s="0" t="s">
        <v>74</v>
      </c>
      <c r="D14" s="15" t="n">
        <f aca="false">D88</f>
        <v>0.372538957227979</v>
      </c>
      <c r="E14" s="15" t="n">
        <f aca="false">E88</f>
        <v>0.334624296930252</v>
      </c>
      <c r="F14" s="15" t="n">
        <f aca="false">F88</f>
        <v>0.0957951130520349</v>
      </c>
      <c r="G14" s="15" t="n">
        <f aca="false">G88</f>
        <v>0.0946301467812936</v>
      </c>
    </row>
    <row r="16" customFormat="false" ht="17.15" hidden="false" customHeight="false" outlineLevel="0" collapsed="false">
      <c r="A16" s="3" t="s">
        <v>336</v>
      </c>
    </row>
    <row r="17" customFormat="false" ht="15" hidden="false" customHeight="false" outlineLevel="0" collapsed="false">
      <c r="A17" s="5" t="s">
        <v>261</v>
      </c>
      <c r="B17" s="0" t="s">
        <v>29</v>
      </c>
      <c r="C17" s="20" t="n">
        <f aca="false">C103</f>
        <v>9.0057</v>
      </c>
      <c r="D17" s="20" t="n">
        <f aca="false">D103</f>
        <v>12.6</v>
      </c>
      <c r="E17" s="20" t="n">
        <f aca="false">E103</f>
        <v>16.7650763544827</v>
      </c>
      <c r="F17" s="20" t="n">
        <f aca="false">F103</f>
        <v>16.8111038173604</v>
      </c>
      <c r="G17" s="20" t="n">
        <f aca="false">G103</f>
        <v>18.7200646517523</v>
      </c>
    </row>
    <row r="18" customFormat="false" ht="15" hidden="false" customHeight="false" outlineLevel="0" collapsed="false">
      <c r="A18" s="5" t="s">
        <v>329</v>
      </c>
      <c r="B18" s="0" t="s">
        <v>74</v>
      </c>
      <c r="D18" s="15" t="n">
        <f aca="false">D104</f>
        <v>0.399113894533462</v>
      </c>
      <c r="E18" s="15" t="n">
        <f aca="false">E104</f>
        <v>0.330561615435134</v>
      </c>
      <c r="F18" s="15" t="n">
        <f aca="false">F104</f>
        <v>0.00274543711609021</v>
      </c>
      <c r="G18" s="15" t="n">
        <f aca="false">G104</f>
        <v>0.11355356882756</v>
      </c>
    </row>
    <row r="19" customFormat="false" ht="17.15" hidden="false" customHeight="false" outlineLevel="0" collapsed="false">
      <c r="A19" s="0" t="s">
        <v>330</v>
      </c>
      <c r="B19" s="0" t="s">
        <v>29</v>
      </c>
      <c r="C19" s="20" t="n">
        <f aca="false">C100</f>
        <v>1.63</v>
      </c>
      <c r="D19" s="20" t="n">
        <f aca="false">D100</f>
        <v>3.5</v>
      </c>
      <c r="E19" s="20" t="n">
        <f aca="false">E100</f>
        <v>6.75507635448269</v>
      </c>
      <c r="F19" s="20" t="n">
        <f aca="false">F100</f>
        <v>6.00030381736037</v>
      </c>
      <c r="G19" s="20" t="n">
        <f aca="false">G100</f>
        <v>7.26061665175226</v>
      </c>
    </row>
    <row r="20" customFormat="false" ht="17.15" hidden="false" customHeight="false" outlineLevel="0" collapsed="false">
      <c r="A20" s="5" t="s">
        <v>331</v>
      </c>
      <c r="B20" s="0" t="s">
        <v>29</v>
      </c>
      <c r="C20" s="20" t="n">
        <f aca="false">C102</f>
        <v>7.3757</v>
      </c>
      <c r="D20" s="20" t="n">
        <f aca="false">D102</f>
        <v>9.1</v>
      </c>
      <c r="E20" s="20" t="n">
        <f aca="false">E102</f>
        <v>10.01</v>
      </c>
      <c r="F20" s="20" t="n">
        <f aca="false">F102</f>
        <v>10.8108</v>
      </c>
      <c r="G20" s="20" t="n">
        <f aca="false">G102</f>
        <v>11.459448</v>
      </c>
    </row>
    <row r="21" customFormat="false" ht="17.15" hidden="false" customHeight="false" outlineLevel="0" collapsed="false">
      <c r="A21" s="0" t="s">
        <v>332</v>
      </c>
      <c r="B21" s="0" t="s">
        <v>74</v>
      </c>
      <c r="C21" s="15" t="n">
        <f aca="false">C105</f>
        <v>0.180996480007107</v>
      </c>
      <c r="D21" s="15" t="n">
        <f aca="false">D105</f>
        <v>0.277777777777778</v>
      </c>
      <c r="E21" s="15" t="n">
        <f aca="false">E105</f>
        <v>0.402925475056157</v>
      </c>
      <c r="F21" s="15" t="n">
        <f aca="false">F105</f>
        <v>0.356925034938159</v>
      </c>
      <c r="G21" s="15" t="n">
        <f aca="false">G105</f>
        <v>0.387852114125719</v>
      </c>
    </row>
    <row r="22" customFormat="false" ht="15" hidden="false" customHeight="false" outlineLevel="0" collapsed="false">
      <c r="A22" s="5" t="s">
        <v>267</v>
      </c>
      <c r="B22" s="0" t="s">
        <v>74</v>
      </c>
      <c r="C22" s="15" t="n">
        <f aca="false">C109</f>
        <v>0.645746582719833</v>
      </c>
      <c r="D22" s="15" t="n">
        <f aca="false">D109</f>
        <v>0.63</v>
      </c>
      <c r="E22" s="15" t="n">
        <f aca="false">E109</f>
        <v>0.622491138163297</v>
      </c>
      <c r="F22" s="15" t="n">
        <f aca="false">F109</f>
        <v>0.625251164570377</v>
      </c>
      <c r="G22" s="15" t="n">
        <f aca="false">G109</f>
        <v>0.623395539819124</v>
      </c>
    </row>
    <row r="23" customFormat="false" ht="15" hidden="false" customHeight="false" outlineLevel="0" collapsed="false">
      <c r="A23" s="5" t="s">
        <v>272</v>
      </c>
      <c r="B23" s="0" t="s">
        <v>74</v>
      </c>
      <c r="C23" s="15" t="n">
        <f aca="false">C113</f>
        <v>0.48158388576124</v>
      </c>
      <c r="D23" s="15" t="n">
        <f aca="false">D113</f>
        <v>0.485</v>
      </c>
      <c r="E23" s="15" t="n">
        <f aca="false">E113</f>
        <v>0.493701695537665</v>
      </c>
      <c r="F23" s="15" t="n">
        <f aca="false">F113</f>
        <v>0.496620398799593</v>
      </c>
      <c r="G23" s="15" t="n">
        <f aca="false">G113</f>
        <v>0.50066742419058</v>
      </c>
    </row>
    <row r="24" customFormat="false" ht="17.15" hidden="false" customHeight="false" outlineLevel="0" collapsed="false">
      <c r="A24" s="5" t="s">
        <v>333</v>
      </c>
      <c r="B24" s="0" t="s">
        <v>29</v>
      </c>
      <c r="C24" s="20" t="n">
        <f aca="false">C116</f>
        <v>3.806</v>
      </c>
      <c r="D24" s="20" t="n">
        <f aca="false">D116</f>
        <v>5.224907</v>
      </c>
      <c r="E24" s="20" t="n">
        <f aca="false">E116</f>
        <v>6.97328783140095</v>
      </c>
      <c r="F24" s="20" t="n">
        <f aca="false">F116</f>
        <v>7.03000229481071</v>
      </c>
      <c r="G24" s="20" t="n">
        <f aca="false">G116</f>
        <v>7.83879597440041</v>
      </c>
    </row>
    <row r="25" customFormat="false" ht="17.15" hidden="false" customHeight="false" outlineLevel="0" collapsed="false">
      <c r="A25" s="0" t="s">
        <v>334</v>
      </c>
      <c r="B25" s="0" t="s">
        <v>182</v>
      </c>
      <c r="C25" s="18" t="n">
        <f aca="false">C118</f>
        <v>2.9834600611429</v>
      </c>
      <c r="D25" s="18" t="n">
        <f aca="false">D118</f>
        <v>4.0949151612524</v>
      </c>
      <c r="E25" s="18" t="n">
        <f aca="false">E118</f>
        <v>5.46517326807551</v>
      </c>
      <c r="F25" s="18" t="n">
        <f aca="false">F118</f>
        <v>5.50962208143792</v>
      </c>
      <c r="G25" s="18" t="n">
        <f aca="false">G118</f>
        <v>6.14349776590024</v>
      </c>
    </row>
    <row r="26" customFormat="false" ht="17.15" hidden="false" customHeight="false" outlineLevel="0" collapsed="false">
      <c r="A26" s="0" t="s">
        <v>335</v>
      </c>
      <c r="B26" s="0" t="s">
        <v>74</v>
      </c>
      <c r="D26" s="15" t="n">
        <f aca="false">D119</f>
        <v>0.372538957227979</v>
      </c>
      <c r="E26" s="15" t="n">
        <f aca="false">E119</f>
        <v>0.334624296930252</v>
      </c>
      <c r="F26" s="15" t="n">
        <f aca="false">F119</f>
        <v>0.00813310231572162</v>
      </c>
      <c r="G26" s="15" t="n">
        <f aca="false">G119</f>
        <v>0.115048850010579</v>
      </c>
    </row>
    <row r="28" customFormat="false" ht="17.15" hidden="false" customHeight="false" outlineLevel="0" collapsed="false">
      <c r="A28" s="3" t="s">
        <v>337</v>
      </c>
    </row>
    <row r="29" customFormat="false" ht="15" hidden="false" customHeight="false" outlineLevel="0" collapsed="false">
      <c r="A29" s="5" t="s">
        <v>261</v>
      </c>
      <c r="B29" s="0" t="s">
        <v>29</v>
      </c>
      <c r="C29" s="20" t="n">
        <f aca="false">C134</f>
        <v>9.0057</v>
      </c>
      <c r="D29" s="20" t="n">
        <f aca="false">D134</f>
        <v>12.6</v>
      </c>
      <c r="E29" s="20" t="n">
        <f aca="false">E134</f>
        <v>16.7650763544827</v>
      </c>
      <c r="F29" s="20" t="n">
        <f aca="false">F134</f>
        <v>15.3110278630203</v>
      </c>
      <c r="G29" s="20" t="n">
        <f aca="false">G134</f>
        <v>16.5845891659428</v>
      </c>
    </row>
    <row r="30" customFormat="false" ht="15" hidden="false" customHeight="false" outlineLevel="0" collapsed="false">
      <c r="A30" s="5" t="s">
        <v>329</v>
      </c>
      <c r="B30" s="0" t="s">
        <v>74</v>
      </c>
      <c r="D30" s="15" t="n">
        <f aca="false">D135</f>
        <v>0.399113894533462</v>
      </c>
      <c r="E30" s="15" t="n">
        <f aca="false">E135</f>
        <v>0.330561615435134</v>
      </c>
      <c r="F30" s="15" t="n">
        <f aca="false">F135</f>
        <v>-0.086730800428095</v>
      </c>
      <c r="G30" s="15" t="n">
        <f aca="false">G135</f>
        <v>0.0831793472206033</v>
      </c>
    </row>
    <row r="31" customFormat="false" ht="17.15" hidden="false" customHeight="false" outlineLevel="0" collapsed="false">
      <c r="A31" s="0" t="s">
        <v>330</v>
      </c>
      <c r="B31" s="0" t="s">
        <v>29</v>
      </c>
      <c r="C31" s="20" t="n">
        <f aca="false">C131</f>
        <v>1.63</v>
      </c>
      <c r="D31" s="20" t="n">
        <f aca="false">D131</f>
        <v>3.5</v>
      </c>
      <c r="E31" s="20" t="n">
        <f aca="false">E131</f>
        <v>6.75507635448269</v>
      </c>
      <c r="F31" s="20" t="n">
        <f aca="false">F131</f>
        <v>4.50022786302028</v>
      </c>
      <c r="G31" s="20" t="n">
        <f aca="false">G131</f>
        <v>5.12514116594277</v>
      </c>
    </row>
    <row r="32" customFormat="false" ht="17.15" hidden="false" customHeight="false" outlineLevel="0" collapsed="false">
      <c r="A32" s="5" t="s">
        <v>331</v>
      </c>
      <c r="B32" s="0" t="s">
        <v>29</v>
      </c>
      <c r="C32" s="20" t="n">
        <f aca="false">C133</f>
        <v>7.3757</v>
      </c>
      <c r="D32" s="20" t="n">
        <f aca="false">D133</f>
        <v>9.1</v>
      </c>
      <c r="E32" s="20" t="n">
        <f aca="false">E133</f>
        <v>10.01</v>
      </c>
      <c r="F32" s="20" t="n">
        <f aca="false">F133</f>
        <v>10.8108</v>
      </c>
      <c r="G32" s="20" t="n">
        <f aca="false">G133</f>
        <v>11.459448</v>
      </c>
    </row>
    <row r="33" customFormat="false" ht="17.15" hidden="false" customHeight="false" outlineLevel="0" collapsed="false">
      <c r="A33" s="0" t="s">
        <v>332</v>
      </c>
      <c r="B33" s="0" t="s">
        <v>74</v>
      </c>
      <c r="C33" s="15" t="n">
        <f aca="false">C136</f>
        <v>0.180996480007107</v>
      </c>
      <c r="D33" s="15" t="n">
        <f aca="false">D136</f>
        <v>0.277777777777778</v>
      </c>
      <c r="E33" s="15" t="n">
        <f aca="false">E136</f>
        <v>0.402925475056157</v>
      </c>
      <c r="F33" s="15" t="n">
        <f aca="false">F136</f>
        <v>0.293920689275825</v>
      </c>
      <c r="G33" s="15" t="n">
        <f aca="false">G136</f>
        <v>0.309030336215231</v>
      </c>
    </row>
    <row r="34" customFormat="false" ht="15" hidden="false" customHeight="false" outlineLevel="0" collapsed="false">
      <c r="A34" s="5" t="s">
        <v>267</v>
      </c>
      <c r="B34" s="0" t="s">
        <v>74</v>
      </c>
      <c r="C34" s="15" t="n">
        <f aca="false">C140</f>
        <v>0.645746582719833</v>
      </c>
      <c r="D34" s="15" t="n">
        <f aca="false">D140</f>
        <v>0.63</v>
      </c>
      <c r="E34" s="15" t="n">
        <f aca="false">E140</f>
        <v>0.622491138163297</v>
      </c>
      <c r="F34" s="15" t="n">
        <f aca="false">F140</f>
        <v>0.629031425310117</v>
      </c>
      <c r="G34" s="15" t="n">
        <f aca="false">G140</f>
        <v>0.628124846493753</v>
      </c>
    </row>
    <row r="35" customFormat="false" ht="15" hidden="false" customHeight="false" outlineLevel="0" collapsed="false">
      <c r="A35" s="5" t="s">
        <v>272</v>
      </c>
      <c r="B35" s="0" t="s">
        <v>74</v>
      </c>
      <c r="C35" s="15" t="n">
        <f aca="false">C144</f>
        <v>0.48158388576124</v>
      </c>
      <c r="D35" s="15" t="n">
        <f aca="false">D144</f>
        <v>0.485</v>
      </c>
      <c r="E35" s="15" t="n">
        <f aca="false">E144</f>
        <v>0.493701695537665</v>
      </c>
      <c r="F35" s="15" t="n">
        <f aca="false">F144</f>
        <v>0.4880111843056</v>
      </c>
      <c r="G35" s="15" t="n">
        <f aca="false">G144</f>
        <v>0.491977747900773</v>
      </c>
    </row>
    <row r="36" customFormat="false" ht="17.15" hidden="false" customHeight="false" outlineLevel="0" collapsed="false">
      <c r="A36" s="5" t="s">
        <v>333</v>
      </c>
      <c r="B36" s="0" t="s">
        <v>29</v>
      </c>
      <c r="C36" s="20" t="n">
        <f aca="false">C147</f>
        <v>3.806</v>
      </c>
      <c r="D36" s="20" t="n">
        <f aca="false">D147</f>
        <v>5.224907</v>
      </c>
      <c r="E36" s="20" t="n">
        <f aca="false">E147</f>
        <v>6.97328783140095</v>
      </c>
      <c r="F36" s="20" t="n">
        <f aca="false">F147</f>
        <v>6.33734274389117</v>
      </c>
      <c r="G36" s="20" t="n">
        <f aca="false">G147</f>
        <v>6.88030657389886</v>
      </c>
    </row>
    <row r="37" customFormat="false" ht="17.15" hidden="false" customHeight="false" outlineLevel="0" collapsed="false">
      <c r="A37" s="0" t="s">
        <v>334</v>
      </c>
      <c r="B37" s="0" t="s">
        <v>182</v>
      </c>
      <c r="C37" s="18" t="n">
        <f aca="false">C149</f>
        <v>2.9834600611429</v>
      </c>
      <c r="D37" s="18" t="n">
        <f aca="false">D149</f>
        <v>4.0949151612524</v>
      </c>
      <c r="E37" s="18" t="n">
        <f aca="false">E149</f>
        <v>5.46517326807551</v>
      </c>
      <c r="F37" s="18" t="n">
        <f aca="false">F149</f>
        <v>4.96676417092454</v>
      </c>
      <c r="G37" s="18" t="n">
        <f aca="false">G149</f>
        <v>5.39230108852139</v>
      </c>
    </row>
    <row r="38" customFormat="false" ht="17.15" hidden="false" customHeight="false" outlineLevel="0" collapsed="false">
      <c r="A38" s="0" t="s">
        <v>335</v>
      </c>
      <c r="B38" s="0" t="s">
        <v>74</v>
      </c>
      <c r="D38" s="15" t="n">
        <f aca="false">D150</f>
        <v>0.372538957227979</v>
      </c>
      <c r="E38" s="15" t="n">
        <f aca="false">E150</f>
        <v>0.334624296930252</v>
      </c>
      <c r="F38" s="15" t="n">
        <f aca="false">F150</f>
        <v>-0.0911973093446821</v>
      </c>
      <c r="G38" s="15" t="n">
        <f aca="false">G150</f>
        <v>0.0856768920271955</v>
      </c>
    </row>
    <row r="40" customFormat="false" ht="17.15" hidden="false" customHeight="false" outlineLevel="0" collapsed="false">
      <c r="A40" s="3" t="s">
        <v>338</v>
      </c>
    </row>
    <row r="41" customFormat="false" ht="17.15" hidden="false" customHeight="false" outlineLevel="0" collapsed="false">
      <c r="A41" s="5" t="s">
        <v>339</v>
      </c>
      <c r="D41" s="22" t="n">
        <f aca="false">D72-a26_rev</f>
        <v>0</v>
      </c>
    </row>
    <row r="42" customFormat="false" ht="17.15" hidden="false" customHeight="false" outlineLevel="0" collapsed="false">
      <c r="A42" s="5" t="s">
        <v>340</v>
      </c>
      <c r="D42" s="22" t="n">
        <f aca="false">D69-a26_ai</f>
        <v>0</v>
      </c>
    </row>
    <row r="43" customFormat="false" ht="17.15" hidden="false" customHeight="false" outlineLevel="0" collapsed="false">
      <c r="A43" s="5" t="s">
        <v>341</v>
      </c>
      <c r="D43" s="22" t="n">
        <f aca="false">D76*D71+(D76-d_ai)*D69-a26_gp</f>
        <v>0</v>
      </c>
    </row>
    <row r="60" customFormat="false" ht="17.15" hidden="false" customHeight="false" outlineLevel="0" collapsed="false">
      <c r="A60" s="3" t="s">
        <v>342</v>
      </c>
    </row>
    <row r="61" customFormat="false" ht="17.15" hidden="false" customHeight="false" outlineLevel="0" collapsed="false">
      <c r="A61" s="6" t="s">
        <v>18</v>
      </c>
      <c r="B61" s="6" t="s">
        <v>19</v>
      </c>
      <c r="C61" s="12" t="s">
        <v>254</v>
      </c>
      <c r="D61" s="12" t="s">
        <v>324</v>
      </c>
      <c r="E61" s="12" t="s">
        <v>325</v>
      </c>
      <c r="F61" s="12" t="s">
        <v>326</v>
      </c>
      <c r="G61" s="12" t="s">
        <v>327</v>
      </c>
      <c r="H61" s="6" t="s">
        <v>306</v>
      </c>
    </row>
    <row r="62" customFormat="false" ht="17.15" hidden="false" customHeight="false" outlineLevel="0" collapsed="false">
      <c r="A62" s="1" t="s">
        <v>343</v>
      </c>
    </row>
    <row r="63" customFormat="false" ht="17.15" hidden="false" customHeight="false" outlineLevel="0" collapsed="false">
      <c r="A63" s="0" t="s">
        <v>344</v>
      </c>
      <c r="B63" s="0" t="s">
        <v>29</v>
      </c>
      <c r="D63" s="20" t="n">
        <f aca="false">mkt_26*1</f>
        <v>32.0719</v>
      </c>
      <c r="E63" s="20" t="n">
        <f aca="false">mkt_27*1*1</f>
        <v>61.085</v>
      </c>
      <c r="F63" s="20" t="n">
        <f aca="false">mkt_28*um28_A*1</f>
        <v>69.005</v>
      </c>
      <c r="G63" s="20" t="n">
        <f aca="false">mkt_29*um29_A*1</f>
        <v>78.48215</v>
      </c>
    </row>
    <row r="64" customFormat="false" ht="15" hidden="false" customHeight="false" outlineLevel="0" collapsed="false">
      <c r="A64" s="5" t="s">
        <v>309</v>
      </c>
      <c r="B64" s="0" t="s">
        <v>74</v>
      </c>
      <c r="D64" s="15" t="n">
        <f aca="false">eth_26</f>
        <v>0.75</v>
      </c>
      <c r="E64" s="15" t="n">
        <f aca="false">eth_27</f>
        <v>0.8</v>
      </c>
      <c r="F64" s="15" t="n">
        <f aca="false">eth_28</f>
        <v>0.83</v>
      </c>
      <c r="G64" s="15" t="n">
        <f aca="false">eth_29</f>
        <v>0.85</v>
      </c>
    </row>
    <row r="65" customFormat="false" ht="17.15" hidden="false" customHeight="false" outlineLevel="0" collapsed="false">
      <c r="A65" s="0" t="s">
        <v>311</v>
      </c>
      <c r="B65" s="0" t="s">
        <v>29</v>
      </c>
      <c r="D65" s="20" t="n">
        <f aca="false">D63*D64</f>
        <v>24.053925</v>
      </c>
      <c r="E65" s="20" t="n">
        <f aca="false">E63*E64</f>
        <v>48.868</v>
      </c>
      <c r="F65" s="20" t="n">
        <f aca="false">F63*F64</f>
        <v>57.27415</v>
      </c>
      <c r="G65" s="20" t="n">
        <f aca="false">G63*G64</f>
        <v>66.7098275</v>
      </c>
    </row>
    <row r="66" customFormat="false" ht="17.15" hidden="false" customHeight="false" outlineLevel="0" collapsed="false">
      <c r="A66" s="0" t="s">
        <v>345</v>
      </c>
      <c r="B66" s="0" t="s">
        <v>74</v>
      </c>
      <c r="D66" s="15" t="n">
        <f aca="false">a26_ai/D65</f>
        <v>0.14550639864388</v>
      </c>
      <c r="H66" s="8" t="s">
        <v>346</v>
      </c>
    </row>
    <row r="67" customFormat="false" ht="17.15" hidden="false" customHeight="false" outlineLevel="0" collapsed="false">
      <c r="A67" s="5" t="s">
        <v>347</v>
      </c>
      <c r="B67" s="0" t="s">
        <v>52</v>
      </c>
      <c r="D67" s="18" t="n">
        <f aca="false">1</f>
        <v>1</v>
      </c>
      <c r="E67" s="18" t="n">
        <f aca="false">rel_27</f>
        <v>0.95</v>
      </c>
      <c r="F67" s="18" t="n">
        <f aca="false">rel_28</f>
        <v>0.9</v>
      </c>
      <c r="G67" s="18" t="n">
        <f aca="false">rel_29</f>
        <v>0.88</v>
      </c>
    </row>
    <row r="68" customFormat="false" ht="17.15" hidden="false" customHeight="false" outlineLevel="0" collapsed="false">
      <c r="A68" s="0" t="s">
        <v>348</v>
      </c>
      <c r="B68" s="0" t="s">
        <v>74</v>
      </c>
      <c r="D68" s="15" t="n">
        <f aca="false">$D$66*D67</f>
        <v>0.14550639864388</v>
      </c>
      <c r="E68" s="15" t="n">
        <f aca="false">$D$66*E67</f>
        <v>0.138231078711686</v>
      </c>
      <c r="F68" s="15" t="n">
        <f aca="false">$D$66*F67</f>
        <v>0.130955758779492</v>
      </c>
      <c r="G68" s="15" t="n">
        <f aca="false">$D$66*G67</f>
        <v>0.128045630806615</v>
      </c>
    </row>
    <row r="69" customFormat="false" ht="17.15" hidden="false" customHeight="false" outlineLevel="0" collapsed="false">
      <c r="A69" s="0" t="s">
        <v>287</v>
      </c>
      <c r="B69" s="0" t="s">
        <v>29</v>
      </c>
      <c r="C69" s="20" t="n">
        <f aca="false">a25_ai</f>
        <v>1.63</v>
      </c>
      <c r="D69" s="20" t="n">
        <f aca="false">D65*D68</f>
        <v>3.5</v>
      </c>
      <c r="E69" s="20" t="n">
        <f aca="false">E65*E68</f>
        <v>6.75507635448269</v>
      </c>
      <c r="F69" s="20" t="n">
        <f aca="false">F65*F68</f>
        <v>7.50037977170046</v>
      </c>
      <c r="G69" s="20" t="n">
        <f aca="false">G65*G68</f>
        <v>8.54190194323796</v>
      </c>
    </row>
    <row r="70" customFormat="false" ht="17.15" hidden="false" customHeight="false" outlineLevel="0" collapsed="false">
      <c r="A70" s="1" t="s">
        <v>349</v>
      </c>
    </row>
    <row r="71" customFormat="false" ht="17.15" hidden="false" customHeight="false" outlineLevel="0" collapsed="false">
      <c r="A71" s="5" t="s">
        <v>350</v>
      </c>
      <c r="B71" s="0" t="s">
        <v>29</v>
      </c>
      <c r="C71" s="20" t="n">
        <f aca="false">a25_nai</f>
        <v>7.3757</v>
      </c>
      <c r="D71" s="20" t="n">
        <f aca="false">a26_nai</f>
        <v>9.1</v>
      </c>
      <c r="E71" s="20" t="n">
        <f aca="false">D71*(1+g_nai27)</f>
        <v>10.01</v>
      </c>
      <c r="F71" s="20" t="n">
        <f aca="false">E71*(1+g_nai28)</f>
        <v>10.8108</v>
      </c>
      <c r="G71" s="20" t="n">
        <f aca="false">F71*(1+g_nai29)</f>
        <v>11.459448</v>
      </c>
    </row>
    <row r="72" customFormat="false" ht="15" hidden="false" customHeight="false" outlineLevel="0" collapsed="false">
      <c r="A72" s="5" t="s">
        <v>261</v>
      </c>
      <c r="B72" s="0" t="s">
        <v>29</v>
      </c>
      <c r="C72" s="20" t="n">
        <f aca="false">a25_rev</f>
        <v>9.0057</v>
      </c>
      <c r="D72" s="20" t="n">
        <f aca="false">D69+D71</f>
        <v>12.6</v>
      </c>
      <c r="E72" s="20" t="n">
        <f aca="false">E69+E71</f>
        <v>16.7650763544827</v>
      </c>
      <c r="F72" s="20" t="n">
        <f aca="false">F69+F71</f>
        <v>18.3111797717005</v>
      </c>
      <c r="G72" s="20" t="n">
        <f aca="false">G69+G71</f>
        <v>20.001349943238</v>
      </c>
    </row>
    <row r="73" customFormat="false" ht="15" hidden="false" customHeight="false" outlineLevel="0" collapsed="false">
      <c r="A73" s="5" t="s">
        <v>351</v>
      </c>
      <c r="B73" s="0" t="s">
        <v>74</v>
      </c>
      <c r="D73" s="15" t="n">
        <f aca="false">D72/C72-1</f>
        <v>0.399113894533462</v>
      </c>
      <c r="E73" s="15" t="n">
        <f aca="false">E72/D72-1</f>
        <v>0.330561615435134</v>
      </c>
      <c r="F73" s="15" t="n">
        <f aca="false">F72/E72-1</f>
        <v>0.0922216746602751</v>
      </c>
      <c r="G73" s="15" t="n">
        <f aca="false">G72/F72-1</f>
        <v>0.092302636564664</v>
      </c>
    </row>
    <row r="74" customFormat="false" ht="17.15" hidden="false" customHeight="false" outlineLevel="0" collapsed="false">
      <c r="A74" s="0" t="s">
        <v>292</v>
      </c>
      <c r="B74" s="0" t="s">
        <v>74</v>
      </c>
      <c r="C74" s="15" t="n">
        <f aca="false">C69/C72</f>
        <v>0.180996480007107</v>
      </c>
      <c r="D74" s="15" t="n">
        <f aca="false">D69/D72</f>
        <v>0.277777777777778</v>
      </c>
      <c r="E74" s="15" t="n">
        <f aca="false">E69/E72</f>
        <v>0.402925475056157</v>
      </c>
      <c r="F74" s="15" t="n">
        <f aca="false">F69/F72</f>
        <v>0.409606582711407</v>
      </c>
      <c r="G74" s="15" t="n">
        <f aca="false">G69/G72</f>
        <v>0.427066271400636</v>
      </c>
    </row>
    <row r="75" customFormat="false" ht="17.15" hidden="false" customHeight="false" outlineLevel="0" collapsed="false">
      <c r="A75" s="1" t="s">
        <v>352</v>
      </c>
    </row>
    <row r="76" customFormat="false" ht="17.15" hidden="false" customHeight="false" outlineLevel="0" collapsed="false">
      <c r="A76" s="5" t="s">
        <v>353</v>
      </c>
      <c r="B76" s="0" t="s">
        <v>74</v>
      </c>
      <c r="D76" s="15" t="n">
        <f aca="false">a26_gp/a26_rev+d_ai*D74</f>
        <v>0.646666666666667</v>
      </c>
      <c r="H76" s="8" t="s">
        <v>354</v>
      </c>
    </row>
    <row r="77" customFormat="false" ht="15" hidden="false" customHeight="false" outlineLevel="0" collapsed="false">
      <c r="A77" s="5" t="s">
        <v>355</v>
      </c>
      <c r="B77" s="0" t="s">
        <v>29</v>
      </c>
      <c r="C77" s="20" t="n">
        <f aca="false">a25_gp</f>
        <v>5.8154</v>
      </c>
      <c r="D77" s="20" t="n">
        <f aca="false">a26_gp</f>
        <v>7.938</v>
      </c>
      <c r="E77" s="20" t="n">
        <f aca="false">$D$76*E71+($D$76-d_ai)*E69</f>
        <v>10.4361114612965</v>
      </c>
      <c r="F77" s="20" t="n">
        <f aca="false">$D$76*F71+($D$76-d_ai)*F69</f>
        <v>11.3912067993976</v>
      </c>
      <c r="G77" s="20" t="n">
        <f aca="false">$D$76*G71+($D$76-d_ai)*G69</f>
        <v>12.4216921800329</v>
      </c>
    </row>
    <row r="78" customFormat="false" ht="15" hidden="false" customHeight="false" outlineLevel="0" collapsed="false">
      <c r="A78" s="5" t="s">
        <v>267</v>
      </c>
      <c r="B78" s="0" t="s">
        <v>74</v>
      </c>
      <c r="C78" s="15" t="n">
        <f aca="false">C77/C72</f>
        <v>0.645746582719833</v>
      </c>
      <c r="D78" s="15" t="n">
        <f aca="false">D77/D72</f>
        <v>0.63</v>
      </c>
      <c r="E78" s="15" t="n">
        <f aca="false">E77/E72</f>
        <v>0.622491138163297</v>
      </c>
      <c r="F78" s="15" t="n">
        <f aca="false">F77/F72</f>
        <v>0.622090271703982</v>
      </c>
      <c r="G78" s="15" t="n">
        <f aca="false">G77/G72</f>
        <v>0.621042690382629</v>
      </c>
    </row>
    <row r="79" customFormat="false" ht="15" hidden="false" customHeight="false" outlineLevel="0" collapsed="false">
      <c r="A79" s="5" t="s">
        <v>356</v>
      </c>
      <c r="B79" s="0" t="s">
        <v>29</v>
      </c>
      <c r="C79" s="20" t="n">
        <f aca="false">a25_opx</f>
        <v>1.4784</v>
      </c>
      <c r="D79" s="20" t="n">
        <f aca="false">a26_opx</f>
        <v>1.827</v>
      </c>
      <c r="E79" s="20" t="n">
        <f aca="false">D79*(1+MAX(0,phi*E73))</f>
        <v>2.15916483926999</v>
      </c>
      <c r="F79" s="20" t="n">
        <f aca="false">E79*(1+MAX(0,phi*F73))</f>
        <v>2.26868182780978</v>
      </c>
      <c r="G79" s="20" t="n">
        <f aca="false">F79*(1+MAX(0,phi*G73))</f>
        <v>2.38385475063803</v>
      </c>
    </row>
    <row r="80" customFormat="false" ht="15" hidden="false" customHeight="false" outlineLevel="0" collapsed="false">
      <c r="A80" s="5" t="s">
        <v>357</v>
      </c>
      <c r="B80" s="0" t="s">
        <v>29</v>
      </c>
      <c r="C80" s="20" t="n">
        <f aca="false">C79</f>
        <v>1.4784</v>
      </c>
      <c r="D80" s="20" t="n">
        <f aca="false">D79</f>
        <v>1.827</v>
      </c>
      <c r="E80" s="20" t="n">
        <f aca="false">E79+0*E72</f>
        <v>2.15916483926999</v>
      </c>
      <c r="F80" s="20" t="n">
        <f aca="false">F79+0*F72</f>
        <v>2.26868182780978</v>
      </c>
      <c r="G80" s="20" t="n">
        <f aca="false">G79+0*G72</f>
        <v>2.38385475063803</v>
      </c>
    </row>
    <row r="81" customFormat="false" ht="15" hidden="false" customHeight="false" outlineLevel="0" collapsed="false">
      <c r="A81" s="5" t="s">
        <v>358</v>
      </c>
      <c r="B81" s="0" t="s">
        <v>29</v>
      </c>
      <c r="C81" s="20" t="n">
        <f aca="false">C77-C80</f>
        <v>4.337</v>
      </c>
      <c r="D81" s="20" t="n">
        <f aca="false">D77-D80</f>
        <v>6.111</v>
      </c>
      <c r="E81" s="20" t="n">
        <f aca="false">E77-E80</f>
        <v>8.27694662202652</v>
      </c>
      <c r="F81" s="20" t="n">
        <f aca="false">F77-F80</f>
        <v>9.12252497158783</v>
      </c>
      <c r="G81" s="20" t="n">
        <f aca="false">G77-G80</f>
        <v>10.0378374293949</v>
      </c>
    </row>
    <row r="82" customFormat="false" ht="15" hidden="false" customHeight="false" outlineLevel="0" collapsed="false">
      <c r="A82" s="5" t="s">
        <v>272</v>
      </c>
      <c r="B82" s="0" t="s">
        <v>74</v>
      </c>
      <c r="C82" s="15" t="n">
        <f aca="false">C81/C72</f>
        <v>0.48158388576124</v>
      </c>
      <c r="D82" s="15" t="n">
        <f aca="false">D81/D72</f>
        <v>0.485</v>
      </c>
      <c r="E82" s="15" t="n">
        <f aca="false">E81/E72</f>
        <v>0.493701695537665</v>
      </c>
      <c r="F82" s="15" t="n">
        <f aca="false">F81/F72</f>
        <v>0.498194277229832</v>
      </c>
      <c r="G82" s="15" t="n">
        <f aca="false">G81/G72</f>
        <v>0.50185799747924</v>
      </c>
    </row>
    <row r="83" customFormat="false" ht="15" hidden="false" customHeight="false" outlineLevel="0" collapsed="false">
      <c r="A83" s="5" t="s">
        <v>359</v>
      </c>
      <c r="B83" s="0" t="s">
        <v>29</v>
      </c>
      <c r="C83" s="20" t="n">
        <f aca="false">a25_oth</f>
        <v>0.3936</v>
      </c>
      <c r="D83" s="20" t="n">
        <f aca="false">a26_oth</f>
        <v>0.4999</v>
      </c>
      <c r="E83" s="20" t="n">
        <f aca="false">oth_f</f>
        <v>0.55</v>
      </c>
      <c r="F83" s="20" t="n">
        <f aca="false">oth_f</f>
        <v>0.55</v>
      </c>
      <c r="G83" s="20" t="n">
        <f aca="false">oth_f</f>
        <v>0.55</v>
      </c>
    </row>
    <row r="84" customFormat="false" ht="15" hidden="false" customHeight="false" outlineLevel="0" collapsed="false">
      <c r="A84" s="5" t="s">
        <v>360</v>
      </c>
      <c r="B84" s="0" t="s">
        <v>74</v>
      </c>
      <c r="C84" s="15" t="n">
        <f aca="false">1-a25_ni/(a25_oi+a25_oth)</f>
        <v>0.195450894178328</v>
      </c>
      <c r="D84" s="15" t="n">
        <f aca="false">1-a26_ni/(a26_oi+a26_oth)</f>
        <v>0.209652694791935</v>
      </c>
      <c r="E84" s="15" t="n">
        <f aca="false">tx_f</f>
        <v>0.21</v>
      </c>
      <c r="F84" s="15" t="n">
        <f aca="false">tx_f</f>
        <v>0.21</v>
      </c>
      <c r="G84" s="15" t="n">
        <f aca="false">tx_f</f>
        <v>0.21</v>
      </c>
    </row>
    <row r="85" customFormat="false" ht="17.15" hidden="false" customHeight="false" outlineLevel="0" collapsed="false">
      <c r="A85" s="5" t="s">
        <v>333</v>
      </c>
      <c r="B85" s="0" t="s">
        <v>29</v>
      </c>
      <c r="C85" s="20" t="n">
        <f aca="false">a25_ni</f>
        <v>3.806</v>
      </c>
      <c r="D85" s="20" t="n">
        <f aca="false">a26_ni</f>
        <v>5.224907</v>
      </c>
      <c r="E85" s="20" t="n">
        <f aca="false">(E81+E83)*(1-E84)</f>
        <v>6.97328783140095</v>
      </c>
      <c r="F85" s="20" t="n">
        <f aca="false">(F81+F83)*(1-F84)</f>
        <v>7.64129472755438</v>
      </c>
      <c r="G85" s="20" t="n">
        <f aca="false">(G81+G83)*(1-G84)</f>
        <v>8.36439156922198</v>
      </c>
    </row>
    <row r="86" customFormat="false" ht="15" hidden="false" customHeight="false" outlineLevel="0" collapsed="false">
      <c r="A86" s="5" t="s">
        <v>361</v>
      </c>
      <c r="B86" s="5" t="s">
        <v>147</v>
      </c>
      <c r="C86" s="16" t="n">
        <f aca="false">a25_sh</f>
        <v>1.2757</v>
      </c>
      <c r="D86" s="16" t="n">
        <f aca="false">a26_sh</f>
        <v>1.27595</v>
      </c>
      <c r="E86" s="16" t="n">
        <f aca="false">D86*(1+sh_g)</f>
        <v>1.27595</v>
      </c>
      <c r="F86" s="16" t="n">
        <f aca="false">E86*(1+sh_g)</f>
        <v>1.27595</v>
      </c>
      <c r="G86" s="16" t="n">
        <f aca="false">F86*(1+sh_g)</f>
        <v>1.27595</v>
      </c>
    </row>
    <row r="87" customFormat="false" ht="17.15" hidden="false" customHeight="false" outlineLevel="0" collapsed="false">
      <c r="A87" s="0" t="s">
        <v>334</v>
      </c>
      <c r="B87" s="0" t="s">
        <v>182</v>
      </c>
      <c r="C87" s="20" t="n">
        <f aca="false">C85/C86</f>
        <v>2.9834600611429</v>
      </c>
      <c r="D87" s="20" t="n">
        <f aca="false">D85/D86</f>
        <v>4.0949151612524</v>
      </c>
      <c r="E87" s="20" t="n">
        <f aca="false">E85/E86</f>
        <v>5.46517326807551</v>
      </c>
      <c r="F87" s="20" t="n">
        <f aca="false">F85/F86</f>
        <v>5.98871015913977</v>
      </c>
      <c r="G87" s="20" t="n">
        <f aca="false">G85/G86</f>
        <v>6.55542268052979</v>
      </c>
    </row>
    <row r="88" customFormat="false" ht="17.15" hidden="false" customHeight="false" outlineLevel="0" collapsed="false">
      <c r="A88" s="0" t="s">
        <v>362</v>
      </c>
      <c r="B88" s="0" t="s">
        <v>74</v>
      </c>
      <c r="D88" s="15" t="n">
        <f aca="false">D87/C87-1</f>
        <v>0.372538957227979</v>
      </c>
      <c r="E88" s="15" t="n">
        <f aca="false">E87/D87-1</f>
        <v>0.334624296930252</v>
      </c>
      <c r="F88" s="15" t="n">
        <f aca="false">F87/E87-1</f>
        <v>0.0957951130520349</v>
      </c>
      <c r="G88" s="15" t="n">
        <f aca="false">G87/F87-1</f>
        <v>0.0946301467812936</v>
      </c>
    </row>
    <row r="91" customFormat="false" ht="17.15" hidden="false" customHeight="false" outlineLevel="0" collapsed="false">
      <c r="A91" s="3" t="s">
        <v>363</v>
      </c>
    </row>
    <row r="92" customFormat="false" ht="17.15" hidden="false" customHeight="false" outlineLevel="0" collapsed="false">
      <c r="A92" s="6" t="s">
        <v>18</v>
      </c>
      <c r="B92" s="6" t="s">
        <v>19</v>
      </c>
      <c r="C92" s="12" t="s">
        <v>254</v>
      </c>
      <c r="D92" s="12" t="s">
        <v>324</v>
      </c>
      <c r="E92" s="12" t="s">
        <v>325</v>
      </c>
      <c r="F92" s="12" t="s">
        <v>326</v>
      </c>
      <c r="G92" s="12" t="s">
        <v>327</v>
      </c>
      <c r="H92" s="6" t="s">
        <v>306</v>
      </c>
    </row>
    <row r="93" customFormat="false" ht="17.15" hidden="false" customHeight="false" outlineLevel="0" collapsed="false">
      <c r="A93" s="1" t="s">
        <v>343</v>
      </c>
    </row>
    <row r="94" customFormat="false" ht="17.15" hidden="false" customHeight="false" outlineLevel="0" collapsed="false">
      <c r="A94" s="0" t="s">
        <v>344</v>
      </c>
      <c r="B94" s="0" t="s">
        <v>29</v>
      </c>
      <c r="D94" s="20" t="n">
        <f aca="false">mkt_26*1</f>
        <v>32.0719</v>
      </c>
      <c r="E94" s="20" t="n">
        <f aca="false">mkt_27*1*1</f>
        <v>61.085</v>
      </c>
      <c r="F94" s="20" t="n">
        <f aca="false">mkt_28*um28_B*1</f>
        <v>55.204</v>
      </c>
      <c r="G94" s="20" t="n">
        <f aca="false">mkt_29*um29_B*1</f>
        <v>66.7098275</v>
      </c>
    </row>
    <row r="95" customFormat="false" ht="15" hidden="false" customHeight="false" outlineLevel="0" collapsed="false">
      <c r="A95" s="5" t="s">
        <v>309</v>
      </c>
      <c r="B95" s="0" t="s">
        <v>74</v>
      </c>
      <c r="D95" s="15" t="n">
        <f aca="false">eth_26</f>
        <v>0.75</v>
      </c>
      <c r="E95" s="15" t="n">
        <f aca="false">eth_27</f>
        <v>0.8</v>
      </c>
      <c r="F95" s="15" t="n">
        <f aca="false">eth_28</f>
        <v>0.83</v>
      </c>
      <c r="G95" s="15" t="n">
        <f aca="false">eth_29</f>
        <v>0.85</v>
      </c>
    </row>
    <row r="96" customFormat="false" ht="17.15" hidden="false" customHeight="false" outlineLevel="0" collapsed="false">
      <c r="A96" s="0" t="s">
        <v>311</v>
      </c>
      <c r="B96" s="0" t="s">
        <v>29</v>
      </c>
      <c r="D96" s="20" t="n">
        <f aca="false">D94*D95</f>
        <v>24.053925</v>
      </c>
      <c r="E96" s="20" t="n">
        <f aca="false">E94*E95</f>
        <v>48.868</v>
      </c>
      <c r="F96" s="20" t="n">
        <f aca="false">F94*F95</f>
        <v>45.81932</v>
      </c>
      <c r="G96" s="20" t="n">
        <f aca="false">G94*G95</f>
        <v>56.703353375</v>
      </c>
    </row>
    <row r="97" customFormat="false" ht="17.15" hidden="false" customHeight="false" outlineLevel="0" collapsed="false">
      <c r="A97" s="0" t="s">
        <v>345</v>
      </c>
      <c r="B97" s="0" t="s">
        <v>74</v>
      </c>
      <c r="D97" s="15" t="n">
        <f aca="false">a26_ai/D96</f>
        <v>0.14550639864388</v>
      </c>
      <c r="H97" s="8" t="s">
        <v>346</v>
      </c>
    </row>
    <row r="98" customFormat="false" ht="17.15" hidden="false" customHeight="false" outlineLevel="0" collapsed="false">
      <c r="A98" s="5" t="s">
        <v>347</v>
      </c>
      <c r="B98" s="0" t="s">
        <v>52</v>
      </c>
      <c r="D98" s="18" t="n">
        <f aca="false">1</f>
        <v>1</v>
      </c>
      <c r="E98" s="18" t="n">
        <f aca="false">rel_27</f>
        <v>0.95</v>
      </c>
      <c r="F98" s="18" t="n">
        <f aca="false">rel_28</f>
        <v>0.9</v>
      </c>
      <c r="G98" s="18" t="n">
        <f aca="false">rel_29</f>
        <v>0.88</v>
      </c>
    </row>
    <row r="99" customFormat="false" ht="17.15" hidden="false" customHeight="false" outlineLevel="0" collapsed="false">
      <c r="A99" s="0" t="s">
        <v>348</v>
      </c>
      <c r="B99" s="0" t="s">
        <v>74</v>
      </c>
      <c r="D99" s="15" t="n">
        <f aca="false">$D$97*D98</f>
        <v>0.14550639864388</v>
      </c>
      <c r="E99" s="15" t="n">
        <f aca="false">$D$97*E98</f>
        <v>0.138231078711686</v>
      </c>
      <c r="F99" s="15" t="n">
        <f aca="false">$D$97*F98</f>
        <v>0.130955758779492</v>
      </c>
      <c r="G99" s="15" t="n">
        <f aca="false">$D$97*G98</f>
        <v>0.128045630806615</v>
      </c>
    </row>
    <row r="100" customFormat="false" ht="17.15" hidden="false" customHeight="false" outlineLevel="0" collapsed="false">
      <c r="A100" s="0" t="s">
        <v>287</v>
      </c>
      <c r="B100" s="0" t="s">
        <v>29</v>
      </c>
      <c r="C100" s="20" t="n">
        <f aca="false">a25_ai</f>
        <v>1.63</v>
      </c>
      <c r="D100" s="20" t="n">
        <f aca="false">D96*D99</f>
        <v>3.5</v>
      </c>
      <c r="E100" s="20" t="n">
        <f aca="false">E96*E99</f>
        <v>6.75507635448269</v>
      </c>
      <c r="F100" s="20" t="n">
        <f aca="false">F96*F99</f>
        <v>6.00030381736037</v>
      </c>
      <c r="G100" s="20" t="n">
        <f aca="false">G96*G99</f>
        <v>7.26061665175226</v>
      </c>
    </row>
    <row r="101" customFormat="false" ht="17.15" hidden="false" customHeight="false" outlineLevel="0" collapsed="false">
      <c r="A101" s="1" t="s">
        <v>349</v>
      </c>
    </row>
    <row r="102" customFormat="false" ht="17.15" hidden="false" customHeight="false" outlineLevel="0" collapsed="false">
      <c r="A102" s="5" t="s">
        <v>350</v>
      </c>
      <c r="B102" s="0" t="s">
        <v>29</v>
      </c>
      <c r="C102" s="20" t="n">
        <f aca="false">a25_nai</f>
        <v>7.3757</v>
      </c>
      <c r="D102" s="20" t="n">
        <f aca="false">a26_nai</f>
        <v>9.1</v>
      </c>
      <c r="E102" s="20" t="n">
        <f aca="false">D102*(1+g_nai27)</f>
        <v>10.01</v>
      </c>
      <c r="F102" s="20" t="n">
        <f aca="false">E102*(1+g_nai28)</f>
        <v>10.8108</v>
      </c>
      <c r="G102" s="20" t="n">
        <f aca="false">F102*(1+g_nai29)</f>
        <v>11.459448</v>
      </c>
    </row>
    <row r="103" customFormat="false" ht="15" hidden="false" customHeight="false" outlineLevel="0" collapsed="false">
      <c r="A103" s="5" t="s">
        <v>261</v>
      </c>
      <c r="B103" s="0" t="s">
        <v>29</v>
      </c>
      <c r="C103" s="20" t="n">
        <f aca="false">a25_rev</f>
        <v>9.0057</v>
      </c>
      <c r="D103" s="20" t="n">
        <f aca="false">D100+D102</f>
        <v>12.6</v>
      </c>
      <c r="E103" s="20" t="n">
        <f aca="false">E100+E102</f>
        <v>16.7650763544827</v>
      </c>
      <c r="F103" s="20" t="n">
        <f aca="false">F100+F102</f>
        <v>16.8111038173604</v>
      </c>
      <c r="G103" s="20" t="n">
        <f aca="false">G100+G102</f>
        <v>18.7200646517523</v>
      </c>
    </row>
    <row r="104" customFormat="false" ht="15" hidden="false" customHeight="false" outlineLevel="0" collapsed="false">
      <c r="A104" s="5" t="s">
        <v>351</v>
      </c>
      <c r="B104" s="0" t="s">
        <v>74</v>
      </c>
      <c r="D104" s="15" t="n">
        <f aca="false">D103/C103-1</f>
        <v>0.399113894533462</v>
      </c>
      <c r="E104" s="15" t="n">
        <f aca="false">E103/D103-1</f>
        <v>0.330561615435134</v>
      </c>
      <c r="F104" s="15" t="n">
        <f aca="false">F103/E103-1</f>
        <v>0.00274543711609021</v>
      </c>
      <c r="G104" s="15" t="n">
        <f aca="false">G103/F103-1</f>
        <v>0.11355356882756</v>
      </c>
    </row>
    <row r="105" customFormat="false" ht="17.15" hidden="false" customHeight="false" outlineLevel="0" collapsed="false">
      <c r="A105" s="0" t="s">
        <v>292</v>
      </c>
      <c r="B105" s="0" t="s">
        <v>74</v>
      </c>
      <c r="C105" s="15" t="n">
        <f aca="false">C100/C103</f>
        <v>0.180996480007107</v>
      </c>
      <c r="D105" s="15" t="n">
        <f aca="false">D100/D103</f>
        <v>0.277777777777778</v>
      </c>
      <c r="E105" s="15" t="n">
        <f aca="false">E100/E103</f>
        <v>0.402925475056157</v>
      </c>
      <c r="F105" s="15" t="n">
        <f aca="false">F100/F103</f>
        <v>0.356925034938159</v>
      </c>
      <c r="G105" s="15" t="n">
        <f aca="false">G100/G103</f>
        <v>0.387852114125719</v>
      </c>
    </row>
    <row r="106" customFormat="false" ht="17.15" hidden="false" customHeight="false" outlineLevel="0" collapsed="false">
      <c r="A106" s="1" t="s">
        <v>352</v>
      </c>
    </row>
    <row r="107" customFormat="false" ht="17.15" hidden="false" customHeight="false" outlineLevel="0" collapsed="false">
      <c r="A107" s="5" t="s">
        <v>353</v>
      </c>
      <c r="B107" s="0" t="s">
        <v>74</v>
      </c>
      <c r="D107" s="15" t="n">
        <f aca="false">a26_gp/a26_rev+d_ai*D105</f>
        <v>0.646666666666667</v>
      </c>
      <c r="H107" s="8" t="s">
        <v>354</v>
      </c>
    </row>
    <row r="108" customFormat="false" ht="15" hidden="false" customHeight="false" outlineLevel="0" collapsed="false">
      <c r="A108" s="5" t="s">
        <v>355</v>
      </c>
      <c r="B108" s="0" t="s">
        <v>29</v>
      </c>
      <c r="C108" s="20" t="n">
        <f aca="false">a25_gp</f>
        <v>5.8154</v>
      </c>
      <c r="D108" s="20" t="n">
        <f aca="false">a26_gp</f>
        <v>7.938</v>
      </c>
      <c r="E108" s="20" t="n">
        <f aca="false">$D$107*E102+($D$107-d_ai)*E100</f>
        <v>10.4361114612965</v>
      </c>
      <c r="F108" s="20" t="n">
        <f aca="false">$D$107*F102+($D$107-d_ai)*F100</f>
        <v>10.5111622395181</v>
      </c>
      <c r="G108" s="20" t="n">
        <f aca="false">$D$107*G102+($D$107-d_ai)*G100</f>
        <v>11.670004809028</v>
      </c>
    </row>
    <row r="109" customFormat="false" ht="15" hidden="false" customHeight="false" outlineLevel="0" collapsed="false">
      <c r="A109" s="5" t="s">
        <v>267</v>
      </c>
      <c r="B109" s="0" t="s">
        <v>74</v>
      </c>
      <c r="C109" s="15" t="n">
        <f aca="false">C108/C103</f>
        <v>0.645746582719833</v>
      </c>
      <c r="D109" s="15" t="n">
        <f aca="false">D108/D103</f>
        <v>0.63</v>
      </c>
      <c r="E109" s="15" t="n">
        <f aca="false">E108/E103</f>
        <v>0.622491138163297</v>
      </c>
      <c r="F109" s="15" t="n">
        <f aca="false">F108/F103</f>
        <v>0.625251164570377</v>
      </c>
      <c r="G109" s="15" t="n">
        <f aca="false">G108/G103</f>
        <v>0.623395539819124</v>
      </c>
    </row>
    <row r="110" customFormat="false" ht="15" hidden="false" customHeight="false" outlineLevel="0" collapsed="false">
      <c r="A110" s="5" t="s">
        <v>356</v>
      </c>
      <c r="B110" s="0" t="s">
        <v>29</v>
      </c>
      <c r="C110" s="20" t="n">
        <f aca="false">a25_opx</f>
        <v>1.4784</v>
      </c>
      <c r="D110" s="20" t="n">
        <f aca="false">a26_opx</f>
        <v>1.827</v>
      </c>
      <c r="E110" s="20" t="n">
        <f aca="false">D110*(1+MAX(0,phi*E104))</f>
        <v>2.15916483926999</v>
      </c>
      <c r="F110" s="20" t="n">
        <f aca="false">E110*(1+MAX(0,phi*F104))</f>
        <v>2.16242515747921</v>
      </c>
      <c r="G110" s="20" t="n">
        <f aca="false">F110*(1+MAX(0,phi*G104))</f>
        <v>2.29747825915406</v>
      </c>
    </row>
    <row r="111" customFormat="false" ht="15" hidden="false" customHeight="false" outlineLevel="0" collapsed="false">
      <c r="A111" s="5" t="s">
        <v>357</v>
      </c>
      <c r="B111" s="0" t="s">
        <v>29</v>
      </c>
      <c r="C111" s="20" t="n">
        <f aca="false">C110</f>
        <v>1.4784</v>
      </c>
      <c r="D111" s="20" t="n">
        <f aca="false">D110</f>
        <v>1.827</v>
      </c>
      <c r="E111" s="20" t="n">
        <f aca="false">E110+0*E103</f>
        <v>2.15916483926999</v>
      </c>
      <c r="F111" s="20" t="n">
        <f aca="false">F110+0*F103</f>
        <v>2.16242515747921</v>
      </c>
      <c r="G111" s="20" t="n">
        <f aca="false">G110+0*G103</f>
        <v>2.29747825915406</v>
      </c>
    </row>
    <row r="112" customFormat="false" ht="15" hidden="false" customHeight="false" outlineLevel="0" collapsed="false">
      <c r="A112" s="5" t="s">
        <v>358</v>
      </c>
      <c r="B112" s="0" t="s">
        <v>29</v>
      </c>
      <c r="C112" s="20" t="n">
        <f aca="false">C108-C111</f>
        <v>4.337</v>
      </c>
      <c r="D112" s="20" t="n">
        <f aca="false">D108-D111</f>
        <v>6.111</v>
      </c>
      <c r="E112" s="20" t="n">
        <f aca="false">E108-E111</f>
        <v>8.27694662202652</v>
      </c>
      <c r="F112" s="20" t="n">
        <f aca="false">F108-F111</f>
        <v>8.34873708203887</v>
      </c>
      <c r="G112" s="20" t="n">
        <f aca="false">G108-G111</f>
        <v>9.37252654987394</v>
      </c>
    </row>
    <row r="113" customFormat="false" ht="15" hidden="false" customHeight="false" outlineLevel="0" collapsed="false">
      <c r="A113" s="5" t="s">
        <v>272</v>
      </c>
      <c r="B113" s="0" t="s">
        <v>74</v>
      </c>
      <c r="C113" s="15" t="n">
        <f aca="false">C112/C103</f>
        <v>0.48158388576124</v>
      </c>
      <c r="D113" s="15" t="n">
        <f aca="false">D112/D103</f>
        <v>0.485</v>
      </c>
      <c r="E113" s="15" t="n">
        <f aca="false">E112/E103</f>
        <v>0.493701695537665</v>
      </c>
      <c r="F113" s="15" t="n">
        <f aca="false">F112/F103</f>
        <v>0.496620398799593</v>
      </c>
      <c r="G113" s="15" t="n">
        <f aca="false">G112/G103</f>
        <v>0.50066742419058</v>
      </c>
    </row>
    <row r="114" customFormat="false" ht="15" hidden="false" customHeight="false" outlineLevel="0" collapsed="false">
      <c r="A114" s="5" t="s">
        <v>359</v>
      </c>
      <c r="B114" s="0" t="s">
        <v>29</v>
      </c>
      <c r="C114" s="20" t="n">
        <f aca="false">a25_oth</f>
        <v>0.3936</v>
      </c>
      <c r="D114" s="20" t="n">
        <f aca="false">a26_oth</f>
        <v>0.4999</v>
      </c>
      <c r="E114" s="20" t="n">
        <f aca="false">oth_f</f>
        <v>0.55</v>
      </c>
      <c r="F114" s="20" t="n">
        <f aca="false">oth_f</f>
        <v>0.55</v>
      </c>
      <c r="G114" s="20" t="n">
        <f aca="false">oth_f</f>
        <v>0.55</v>
      </c>
    </row>
    <row r="115" customFormat="false" ht="15" hidden="false" customHeight="false" outlineLevel="0" collapsed="false">
      <c r="A115" s="5" t="s">
        <v>360</v>
      </c>
      <c r="B115" s="0" t="s">
        <v>74</v>
      </c>
      <c r="C115" s="15" t="n">
        <f aca="false">1-a25_ni/(a25_oi+a25_oth)</f>
        <v>0.195450894178328</v>
      </c>
      <c r="D115" s="15" t="n">
        <f aca="false">1-a26_ni/(a26_oi+a26_oth)</f>
        <v>0.209652694791935</v>
      </c>
      <c r="E115" s="15" t="n">
        <f aca="false">tx_f</f>
        <v>0.21</v>
      </c>
      <c r="F115" s="15" t="n">
        <f aca="false">tx_f</f>
        <v>0.21</v>
      </c>
      <c r="G115" s="15" t="n">
        <f aca="false">tx_f</f>
        <v>0.21</v>
      </c>
    </row>
    <row r="116" customFormat="false" ht="17.15" hidden="false" customHeight="false" outlineLevel="0" collapsed="false">
      <c r="A116" s="5" t="s">
        <v>333</v>
      </c>
      <c r="B116" s="0" t="s">
        <v>29</v>
      </c>
      <c r="C116" s="20" t="n">
        <f aca="false">a25_ni</f>
        <v>3.806</v>
      </c>
      <c r="D116" s="20" t="n">
        <f aca="false">a26_ni</f>
        <v>5.224907</v>
      </c>
      <c r="E116" s="20" t="n">
        <f aca="false">(E112+E114)*(1-E115)</f>
        <v>6.97328783140095</v>
      </c>
      <c r="F116" s="20" t="n">
        <f aca="false">(F112+F114)*(1-F115)</f>
        <v>7.03000229481071</v>
      </c>
      <c r="G116" s="20" t="n">
        <f aca="false">(G112+G114)*(1-G115)</f>
        <v>7.83879597440041</v>
      </c>
    </row>
    <row r="117" customFormat="false" ht="15" hidden="false" customHeight="false" outlineLevel="0" collapsed="false">
      <c r="A117" s="5" t="s">
        <v>361</v>
      </c>
      <c r="B117" s="5" t="s">
        <v>147</v>
      </c>
      <c r="C117" s="16" t="n">
        <f aca="false">a25_sh</f>
        <v>1.2757</v>
      </c>
      <c r="D117" s="16" t="n">
        <f aca="false">a26_sh</f>
        <v>1.27595</v>
      </c>
      <c r="E117" s="16" t="n">
        <f aca="false">D117*(1+sh_g)</f>
        <v>1.27595</v>
      </c>
      <c r="F117" s="16" t="n">
        <f aca="false">E117*(1+sh_g)</f>
        <v>1.27595</v>
      </c>
      <c r="G117" s="16" t="n">
        <f aca="false">F117*(1+sh_g)</f>
        <v>1.27595</v>
      </c>
    </row>
    <row r="118" customFormat="false" ht="17.15" hidden="false" customHeight="false" outlineLevel="0" collapsed="false">
      <c r="A118" s="0" t="s">
        <v>334</v>
      </c>
      <c r="B118" s="0" t="s">
        <v>182</v>
      </c>
      <c r="C118" s="20" t="n">
        <f aca="false">C116/C117</f>
        <v>2.9834600611429</v>
      </c>
      <c r="D118" s="20" t="n">
        <f aca="false">D116/D117</f>
        <v>4.0949151612524</v>
      </c>
      <c r="E118" s="20" t="n">
        <f aca="false">E116/E117</f>
        <v>5.46517326807551</v>
      </c>
      <c r="F118" s="20" t="n">
        <f aca="false">F116/F117</f>
        <v>5.50962208143792</v>
      </c>
      <c r="G118" s="20" t="n">
        <f aca="false">G116/G117</f>
        <v>6.14349776590024</v>
      </c>
    </row>
    <row r="119" customFormat="false" ht="17.15" hidden="false" customHeight="false" outlineLevel="0" collapsed="false">
      <c r="A119" s="0" t="s">
        <v>362</v>
      </c>
      <c r="B119" s="0" t="s">
        <v>74</v>
      </c>
      <c r="D119" s="15" t="n">
        <f aca="false">D118/C118-1</f>
        <v>0.372538957227979</v>
      </c>
      <c r="E119" s="15" t="n">
        <f aca="false">E118/D118-1</f>
        <v>0.334624296930252</v>
      </c>
      <c r="F119" s="15" t="n">
        <f aca="false">F118/E118-1</f>
        <v>0.00813310231572162</v>
      </c>
      <c r="G119" s="15" t="n">
        <f aca="false">G118/F118-1</f>
        <v>0.115048850010579</v>
      </c>
    </row>
    <row r="122" customFormat="false" ht="17.15" hidden="false" customHeight="false" outlineLevel="0" collapsed="false">
      <c r="A122" s="3" t="s">
        <v>364</v>
      </c>
    </row>
    <row r="123" customFormat="false" ht="17.15" hidden="false" customHeight="false" outlineLevel="0" collapsed="false">
      <c r="A123" s="6" t="s">
        <v>18</v>
      </c>
      <c r="B123" s="6" t="s">
        <v>19</v>
      </c>
      <c r="C123" s="12" t="s">
        <v>254</v>
      </c>
      <c r="D123" s="12" t="s">
        <v>324</v>
      </c>
      <c r="E123" s="12" t="s">
        <v>325</v>
      </c>
      <c r="F123" s="12" t="s">
        <v>326</v>
      </c>
      <c r="G123" s="12" t="s">
        <v>327</v>
      </c>
      <c r="H123" s="6" t="s">
        <v>306</v>
      </c>
    </row>
    <row r="124" customFormat="false" ht="17.15" hidden="false" customHeight="false" outlineLevel="0" collapsed="false">
      <c r="A124" s="1" t="s">
        <v>343</v>
      </c>
    </row>
    <row r="125" customFormat="false" ht="17.15" hidden="false" customHeight="false" outlineLevel="0" collapsed="false">
      <c r="A125" s="0" t="s">
        <v>344</v>
      </c>
      <c r="B125" s="0" t="s">
        <v>29</v>
      </c>
      <c r="D125" s="20" t="n">
        <f aca="false">mkt_26*1</f>
        <v>32.0719</v>
      </c>
      <c r="E125" s="20" t="n">
        <f aca="false">mkt_27*1*1</f>
        <v>61.085</v>
      </c>
      <c r="F125" s="20" t="n">
        <f aca="false">mkt_28*um28_C*1</f>
        <v>41.403</v>
      </c>
      <c r="G125" s="20" t="n">
        <f aca="false">mkt_29*um29_C*1</f>
        <v>47.08929</v>
      </c>
    </row>
    <row r="126" customFormat="false" ht="15" hidden="false" customHeight="false" outlineLevel="0" collapsed="false">
      <c r="A126" s="5" t="s">
        <v>309</v>
      </c>
      <c r="B126" s="0" t="s">
        <v>74</v>
      </c>
      <c r="D126" s="15" t="n">
        <f aca="false">eth_26</f>
        <v>0.75</v>
      </c>
      <c r="E126" s="15" t="n">
        <f aca="false">eth_27</f>
        <v>0.8</v>
      </c>
      <c r="F126" s="15" t="n">
        <f aca="false">eth_28</f>
        <v>0.83</v>
      </c>
      <c r="G126" s="15" t="n">
        <f aca="false">eth_29</f>
        <v>0.85</v>
      </c>
    </row>
    <row r="127" customFormat="false" ht="17.15" hidden="false" customHeight="false" outlineLevel="0" collapsed="false">
      <c r="A127" s="0" t="s">
        <v>311</v>
      </c>
      <c r="B127" s="0" t="s">
        <v>29</v>
      </c>
      <c r="D127" s="20" t="n">
        <f aca="false">D125*D126</f>
        <v>24.053925</v>
      </c>
      <c r="E127" s="20" t="n">
        <f aca="false">E125*E126</f>
        <v>48.868</v>
      </c>
      <c r="F127" s="20" t="n">
        <f aca="false">F125*F126</f>
        <v>34.36449</v>
      </c>
      <c r="G127" s="20" t="n">
        <f aca="false">G125*G126</f>
        <v>40.0258965</v>
      </c>
    </row>
    <row r="128" customFormat="false" ht="17.15" hidden="false" customHeight="false" outlineLevel="0" collapsed="false">
      <c r="A128" s="0" t="s">
        <v>345</v>
      </c>
      <c r="B128" s="0" t="s">
        <v>74</v>
      </c>
      <c r="D128" s="15" t="n">
        <f aca="false">a26_ai/D127</f>
        <v>0.14550639864388</v>
      </c>
      <c r="H128" s="8" t="s">
        <v>346</v>
      </c>
    </row>
    <row r="129" customFormat="false" ht="17.15" hidden="false" customHeight="false" outlineLevel="0" collapsed="false">
      <c r="A129" s="5" t="s">
        <v>347</v>
      </c>
      <c r="B129" s="0" t="s">
        <v>52</v>
      </c>
      <c r="D129" s="18" t="n">
        <f aca="false">1</f>
        <v>1</v>
      </c>
      <c r="E129" s="18" t="n">
        <f aca="false">rel_27</f>
        <v>0.95</v>
      </c>
      <c r="F129" s="18" t="n">
        <f aca="false">rel_28</f>
        <v>0.9</v>
      </c>
      <c r="G129" s="18" t="n">
        <f aca="false">rel_29</f>
        <v>0.88</v>
      </c>
    </row>
    <row r="130" customFormat="false" ht="17.15" hidden="false" customHeight="false" outlineLevel="0" collapsed="false">
      <c r="A130" s="0" t="s">
        <v>348</v>
      </c>
      <c r="B130" s="0" t="s">
        <v>74</v>
      </c>
      <c r="D130" s="15" t="n">
        <f aca="false">$D$128*D129</f>
        <v>0.14550639864388</v>
      </c>
      <c r="E130" s="15" t="n">
        <f aca="false">$D$128*E129</f>
        <v>0.138231078711686</v>
      </c>
      <c r="F130" s="15" t="n">
        <f aca="false">$D$128*F129</f>
        <v>0.130955758779492</v>
      </c>
      <c r="G130" s="15" t="n">
        <f aca="false">$D$128*G129</f>
        <v>0.128045630806615</v>
      </c>
    </row>
    <row r="131" customFormat="false" ht="17.15" hidden="false" customHeight="false" outlineLevel="0" collapsed="false">
      <c r="A131" s="0" t="s">
        <v>287</v>
      </c>
      <c r="B131" s="0" t="s">
        <v>29</v>
      </c>
      <c r="C131" s="20" t="n">
        <f aca="false">a25_ai</f>
        <v>1.63</v>
      </c>
      <c r="D131" s="20" t="n">
        <f aca="false">D127*D130</f>
        <v>3.5</v>
      </c>
      <c r="E131" s="20" t="n">
        <f aca="false">E127*E130</f>
        <v>6.75507635448269</v>
      </c>
      <c r="F131" s="20" t="n">
        <f aca="false">F127*F130</f>
        <v>4.50022786302028</v>
      </c>
      <c r="G131" s="20" t="n">
        <f aca="false">G127*G130</f>
        <v>5.12514116594277</v>
      </c>
    </row>
    <row r="132" customFormat="false" ht="17.15" hidden="false" customHeight="false" outlineLevel="0" collapsed="false">
      <c r="A132" s="1" t="s">
        <v>349</v>
      </c>
    </row>
    <row r="133" customFormat="false" ht="17.15" hidden="false" customHeight="false" outlineLevel="0" collapsed="false">
      <c r="A133" s="5" t="s">
        <v>350</v>
      </c>
      <c r="B133" s="0" t="s">
        <v>29</v>
      </c>
      <c r="C133" s="20" t="n">
        <f aca="false">a25_nai</f>
        <v>7.3757</v>
      </c>
      <c r="D133" s="20" t="n">
        <f aca="false">a26_nai</f>
        <v>9.1</v>
      </c>
      <c r="E133" s="20" t="n">
        <f aca="false">D133*(1+g_nai27)</f>
        <v>10.01</v>
      </c>
      <c r="F133" s="20" t="n">
        <f aca="false">E133*(1+g_nai28)</f>
        <v>10.8108</v>
      </c>
      <c r="G133" s="20" t="n">
        <f aca="false">F133*(1+g_nai29)</f>
        <v>11.459448</v>
      </c>
    </row>
    <row r="134" customFormat="false" ht="15" hidden="false" customHeight="false" outlineLevel="0" collapsed="false">
      <c r="A134" s="5" t="s">
        <v>261</v>
      </c>
      <c r="B134" s="0" t="s">
        <v>29</v>
      </c>
      <c r="C134" s="20" t="n">
        <f aca="false">a25_rev</f>
        <v>9.0057</v>
      </c>
      <c r="D134" s="20" t="n">
        <f aca="false">D131+D133</f>
        <v>12.6</v>
      </c>
      <c r="E134" s="20" t="n">
        <f aca="false">E131+E133</f>
        <v>16.7650763544827</v>
      </c>
      <c r="F134" s="20" t="n">
        <f aca="false">F131+F133</f>
        <v>15.3110278630203</v>
      </c>
      <c r="G134" s="20" t="n">
        <f aca="false">G131+G133</f>
        <v>16.5845891659428</v>
      </c>
    </row>
    <row r="135" customFormat="false" ht="15" hidden="false" customHeight="false" outlineLevel="0" collapsed="false">
      <c r="A135" s="5" t="s">
        <v>351</v>
      </c>
      <c r="B135" s="0" t="s">
        <v>74</v>
      </c>
      <c r="D135" s="15" t="n">
        <f aca="false">D134/C134-1</f>
        <v>0.399113894533462</v>
      </c>
      <c r="E135" s="15" t="n">
        <f aca="false">E134/D134-1</f>
        <v>0.330561615435134</v>
      </c>
      <c r="F135" s="15" t="n">
        <f aca="false">F134/E134-1</f>
        <v>-0.086730800428095</v>
      </c>
      <c r="G135" s="15" t="n">
        <f aca="false">G134/F134-1</f>
        <v>0.0831793472206033</v>
      </c>
    </row>
    <row r="136" customFormat="false" ht="17.15" hidden="false" customHeight="false" outlineLevel="0" collapsed="false">
      <c r="A136" s="0" t="s">
        <v>292</v>
      </c>
      <c r="B136" s="0" t="s">
        <v>74</v>
      </c>
      <c r="C136" s="15" t="n">
        <f aca="false">C131/C134</f>
        <v>0.180996480007107</v>
      </c>
      <c r="D136" s="15" t="n">
        <f aca="false">D131/D134</f>
        <v>0.277777777777778</v>
      </c>
      <c r="E136" s="15" t="n">
        <f aca="false">E131/E134</f>
        <v>0.402925475056157</v>
      </c>
      <c r="F136" s="15" t="n">
        <f aca="false">F131/F134</f>
        <v>0.293920689275825</v>
      </c>
      <c r="G136" s="15" t="n">
        <f aca="false">G131/G134</f>
        <v>0.309030336215231</v>
      </c>
    </row>
    <row r="137" customFormat="false" ht="17.15" hidden="false" customHeight="false" outlineLevel="0" collapsed="false">
      <c r="A137" s="1" t="s">
        <v>352</v>
      </c>
    </row>
    <row r="138" customFormat="false" ht="17.15" hidden="false" customHeight="false" outlineLevel="0" collapsed="false">
      <c r="A138" s="5" t="s">
        <v>353</v>
      </c>
      <c r="B138" s="0" t="s">
        <v>74</v>
      </c>
      <c r="D138" s="15" t="n">
        <f aca="false">a26_gp/a26_rev+d_ai*D136</f>
        <v>0.646666666666667</v>
      </c>
      <c r="H138" s="8" t="s">
        <v>354</v>
      </c>
    </row>
    <row r="139" customFormat="false" ht="15" hidden="false" customHeight="false" outlineLevel="0" collapsed="false">
      <c r="A139" s="5" t="s">
        <v>355</v>
      </c>
      <c r="B139" s="0" t="s">
        <v>29</v>
      </c>
      <c r="C139" s="20" t="n">
        <f aca="false">a25_gp</f>
        <v>5.8154</v>
      </c>
      <c r="D139" s="20" t="n">
        <f aca="false">a26_gp</f>
        <v>7.938</v>
      </c>
      <c r="E139" s="20" t="n">
        <f aca="false">$D$138*E133+($D$138-d_ai)*E131</f>
        <v>10.4361114612965</v>
      </c>
      <c r="F139" s="20" t="n">
        <f aca="false">$D$138*F133+($D$138-d_ai)*F131</f>
        <v>9.63111767963856</v>
      </c>
      <c r="G139" s="20" t="n">
        <f aca="false">$D$138*G133+($D$138-d_ai)*G131</f>
        <v>10.4171925240198</v>
      </c>
    </row>
    <row r="140" customFormat="false" ht="15" hidden="false" customHeight="false" outlineLevel="0" collapsed="false">
      <c r="A140" s="5" t="s">
        <v>267</v>
      </c>
      <c r="B140" s="0" t="s">
        <v>74</v>
      </c>
      <c r="C140" s="15" t="n">
        <f aca="false">C139/C134</f>
        <v>0.645746582719833</v>
      </c>
      <c r="D140" s="15" t="n">
        <f aca="false">D139/D134</f>
        <v>0.63</v>
      </c>
      <c r="E140" s="15" t="n">
        <f aca="false">E139/E134</f>
        <v>0.622491138163297</v>
      </c>
      <c r="F140" s="15" t="n">
        <f aca="false">F139/F134</f>
        <v>0.629031425310117</v>
      </c>
      <c r="G140" s="15" t="n">
        <f aca="false">G139/G134</f>
        <v>0.628124846493753</v>
      </c>
    </row>
    <row r="141" customFormat="false" ht="15" hidden="false" customHeight="false" outlineLevel="0" collapsed="false">
      <c r="A141" s="5" t="s">
        <v>356</v>
      </c>
      <c r="B141" s="0" t="s">
        <v>29</v>
      </c>
      <c r="C141" s="20" t="n">
        <f aca="false">a25_opx</f>
        <v>1.4784</v>
      </c>
      <c r="D141" s="20" t="n">
        <f aca="false">a26_opx</f>
        <v>1.827</v>
      </c>
      <c r="E141" s="20" t="n">
        <f aca="false">D141*(1+MAX(0,phi*E135))</f>
        <v>2.15916483926999</v>
      </c>
      <c r="F141" s="20" t="n">
        <f aca="false">E141*(1+MAX(0,phi*F135))</f>
        <v>2.15916483926999</v>
      </c>
      <c r="G141" s="20" t="n">
        <f aca="false">F141*(1+MAX(0,phi*G135))</f>
        <v>2.25794369629968</v>
      </c>
    </row>
    <row r="142" customFormat="false" ht="15" hidden="false" customHeight="false" outlineLevel="0" collapsed="false">
      <c r="A142" s="5" t="s">
        <v>357</v>
      </c>
      <c r="B142" s="0" t="s">
        <v>29</v>
      </c>
      <c r="C142" s="20" t="n">
        <f aca="false">C141</f>
        <v>1.4784</v>
      </c>
      <c r="D142" s="20" t="n">
        <f aca="false">D141</f>
        <v>1.827</v>
      </c>
      <c r="E142" s="20" t="n">
        <f aca="false">E141+0*E134</f>
        <v>2.15916483926999</v>
      </c>
      <c r="F142" s="20" t="n">
        <f aca="false">F141+0*F134</f>
        <v>2.15916483926999</v>
      </c>
      <c r="G142" s="20" t="n">
        <f aca="false">G141+0*G134</f>
        <v>2.25794369629968</v>
      </c>
    </row>
    <row r="143" customFormat="false" ht="15" hidden="false" customHeight="false" outlineLevel="0" collapsed="false">
      <c r="A143" s="5" t="s">
        <v>358</v>
      </c>
      <c r="B143" s="0" t="s">
        <v>29</v>
      </c>
      <c r="C143" s="20" t="n">
        <f aca="false">C139-C142</f>
        <v>4.337</v>
      </c>
      <c r="D143" s="20" t="n">
        <f aca="false">D139-D142</f>
        <v>6.111</v>
      </c>
      <c r="E143" s="20" t="n">
        <f aca="false">E139-E142</f>
        <v>8.27694662202652</v>
      </c>
      <c r="F143" s="20" t="n">
        <f aca="false">F139-F142</f>
        <v>7.47195284036857</v>
      </c>
      <c r="G143" s="20" t="n">
        <f aca="false">G139-G142</f>
        <v>8.15924882772008</v>
      </c>
    </row>
    <row r="144" customFormat="false" ht="15" hidden="false" customHeight="false" outlineLevel="0" collapsed="false">
      <c r="A144" s="5" t="s">
        <v>272</v>
      </c>
      <c r="B144" s="0" t="s">
        <v>74</v>
      </c>
      <c r="C144" s="15" t="n">
        <f aca="false">C143/C134</f>
        <v>0.48158388576124</v>
      </c>
      <c r="D144" s="15" t="n">
        <f aca="false">D143/D134</f>
        <v>0.485</v>
      </c>
      <c r="E144" s="15" t="n">
        <f aca="false">E143/E134</f>
        <v>0.493701695537665</v>
      </c>
      <c r="F144" s="15" t="n">
        <f aca="false">F143/F134</f>
        <v>0.4880111843056</v>
      </c>
      <c r="G144" s="15" t="n">
        <f aca="false">G143/G134</f>
        <v>0.491977747900773</v>
      </c>
    </row>
    <row r="145" customFormat="false" ht="15" hidden="false" customHeight="false" outlineLevel="0" collapsed="false">
      <c r="A145" s="5" t="s">
        <v>359</v>
      </c>
      <c r="B145" s="0" t="s">
        <v>29</v>
      </c>
      <c r="C145" s="20" t="n">
        <f aca="false">a25_oth</f>
        <v>0.3936</v>
      </c>
      <c r="D145" s="20" t="n">
        <f aca="false">a26_oth</f>
        <v>0.4999</v>
      </c>
      <c r="E145" s="20" t="n">
        <f aca="false">oth_f</f>
        <v>0.55</v>
      </c>
      <c r="F145" s="20" t="n">
        <f aca="false">oth_f</f>
        <v>0.55</v>
      </c>
      <c r="G145" s="20" t="n">
        <f aca="false">oth_f</f>
        <v>0.55</v>
      </c>
    </row>
    <row r="146" customFormat="false" ht="15" hidden="false" customHeight="false" outlineLevel="0" collapsed="false">
      <c r="A146" s="5" t="s">
        <v>360</v>
      </c>
      <c r="B146" s="0" t="s">
        <v>74</v>
      </c>
      <c r="C146" s="15" t="n">
        <f aca="false">1-a25_ni/(a25_oi+a25_oth)</f>
        <v>0.195450894178328</v>
      </c>
      <c r="D146" s="15" t="n">
        <f aca="false">1-a26_ni/(a26_oi+a26_oth)</f>
        <v>0.209652694791935</v>
      </c>
      <c r="E146" s="15" t="n">
        <f aca="false">tx_f</f>
        <v>0.21</v>
      </c>
      <c r="F146" s="15" t="n">
        <f aca="false">tx_f</f>
        <v>0.21</v>
      </c>
      <c r="G146" s="15" t="n">
        <f aca="false">tx_f</f>
        <v>0.21</v>
      </c>
    </row>
    <row r="147" customFormat="false" ht="17.15" hidden="false" customHeight="false" outlineLevel="0" collapsed="false">
      <c r="A147" s="5" t="s">
        <v>333</v>
      </c>
      <c r="B147" s="0" t="s">
        <v>29</v>
      </c>
      <c r="C147" s="20" t="n">
        <f aca="false">a25_ni</f>
        <v>3.806</v>
      </c>
      <c r="D147" s="20" t="n">
        <f aca="false">a26_ni</f>
        <v>5.224907</v>
      </c>
      <c r="E147" s="20" t="n">
        <f aca="false">(E143+E145)*(1-E146)</f>
        <v>6.97328783140095</v>
      </c>
      <c r="F147" s="20" t="n">
        <f aca="false">(F143+F145)*(1-F146)</f>
        <v>6.33734274389117</v>
      </c>
      <c r="G147" s="20" t="n">
        <f aca="false">(G143+G145)*(1-G146)</f>
        <v>6.88030657389886</v>
      </c>
    </row>
    <row r="148" customFormat="false" ht="15" hidden="false" customHeight="false" outlineLevel="0" collapsed="false">
      <c r="A148" s="5" t="s">
        <v>361</v>
      </c>
      <c r="B148" s="5" t="s">
        <v>147</v>
      </c>
      <c r="C148" s="16" t="n">
        <f aca="false">a25_sh</f>
        <v>1.2757</v>
      </c>
      <c r="D148" s="16" t="n">
        <f aca="false">a26_sh</f>
        <v>1.27595</v>
      </c>
      <c r="E148" s="16" t="n">
        <f aca="false">D148*(1+sh_g)</f>
        <v>1.27595</v>
      </c>
      <c r="F148" s="16" t="n">
        <f aca="false">E148*(1+sh_g)</f>
        <v>1.27595</v>
      </c>
      <c r="G148" s="16" t="n">
        <f aca="false">F148*(1+sh_g)</f>
        <v>1.27595</v>
      </c>
    </row>
    <row r="149" customFormat="false" ht="17.15" hidden="false" customHeight="false" outlineLevel="0" collapsed="false">
      <c r="A149" s="0" t="s">
        <v>334</v>
      </c>
      <c r="B149" s="0" t="s">
        <v>182</v>
      </c>
      <c r="C149" s="20" t="n">
        <f aca="false">C147/C148</f>
        <v>2.9834600611429</v>
      </c>
      <c r="D149" s="20" t="n">
        <f aca="false">D147/D148</f>
        <v>4.0949151612524</v>
      </c>
      <c r="E149" s="20" t="n">
        <f aca="false">E147/E148</f>
        <v>5.46517326807551</v>
      </c>
      <c r="F149" s="20" t="n">
        <f aca="false">F147/F148</f>
        <v>4.96676417092454</v>
      </c>
      <c r="G149" s="20" t="n">
        <f aca="false">G147/G148</f>
        <v>5.39230108852139</v>
      </c>
    </row>
    <row r="150" customFormat="false" ht="17.15" hidden="false" customHeight="false" outlineLevel="0" collapsed="false">
      <c r="A150" s="0" t="s">
        <v>362</v>
      </c>
      <c r="B150" s="0" t="s">
        <v>74</v>
      </c>
      <c r="D150" s="15" t="n">
        <f aca="false">D149/C149-1</f>
        <v>0.372538957227979</v>
      </c>
      <c r="E150" s="15" t="n">
        <f aca="false">E149/D149-1</f>
        <v>0.334624296930252</v>
      </c>
      <c r="F150" s="15" t="n">
        <f aca="false">F149/E149-1</f>
        <v>-0.0911973093446821</v>
      </c>
      <c r="G150" s="15" t="n">
        <f aca="false">G149/F149-1</f>
        <v>0.0856768920271955</v>
      </c>
    </row>
    <row r="153" customFormat="false" ht="17.15" hidden="false" customHeight="false" outlineLevel="0" collapsed="false">
      <c r="A153" s="3" t="s">
        <v>365</v>
      </c>
    </row>
    <row r="154" customFormat="false" ht="17.15" hidden="false" customHeight="false" outlineLevel="0" collapsed="false">
      <c r="A154" s="5" t="s">
        <v>366</v>
      </c>
    </row>
    <row r="155" customFormat="false" ht="15" hidden="false" customHeight="false" outlineLevel="0" collapsed="false">
      <c r="A155" s="6" t="s">
        <v>367</v>
      </c>
      <c r="B155" s="6" t="s">
        <v>19</v>
      </c>
      <c r="C155" s="12" t="s">
        <v>254</v>
      </c>
      <c r="D155" s="12" t="s">
        <v>368</v>
      </c>
      <c r="E155" s="12" t="s">
        <v>325</v>
      </c>
      <c r="F155" s="12" t="s">
        <v>326</v>
      </c>
      <c r="G155" s="12" t="s">
        <v>327</v>
      </c>
      <c r="H155" s="12" t="s">
        <v>369</v>
      </c>
      <c r="I155" s="12" t="s">
        <v>370</v>
      </c>
      <c r="J155" s="12" t="s">
        <v>371</v>
      </c>
      <c r="K155" s="6" t="s">
        <v>306</v>
      </c>
    </row>
    <row r="156" customFormat="false" ht="17.15" hidden="false" customHeight="false" outlineLevel="0" collapsed="false">
      <c r="A156" s="3" t="s">
        <v>328</v>
      </c>
    </row>
    <row r="157" customFormat="false" ht="15" hidden="false" customHeight="false" outlineLevel="0" collapsed="false">
      <c r="A157" s="5" t="s">
        <v>261</v>
      </c>
      <c r="B157" s="0" t="s">
        <v>29</v>
      </c>
      <c r="C157" s="19" t="n">
        <f aca="false">C72</f>
        <v>9.0057</v>
      </c>
      <c r="D157" s="19" t="n">
        <f aca="false">D72</f>
        <v>12.6</v>
      </c>
      <c r="E157" s="19" t="n">
        <f aca="false">E72</f>
        <v>16.7650763544827</v>
      </c>
      <c r="F157" s="19" t="n">
        <f aca="false">F72</f>
        <v>18.3111797717005</v>
      </c>
      <c r="G157" s="19" t="n">
        <f aca="false">G72</f>
        <v>20.001349943238</v>
      </c>
      <c r="H157" s="23" t="n">
        <f aca="false">G157*(1+H158)</f>
        <v>21.632161831845</v>
      </c>
      <c r="I157" s="23" t="n">
        <f aca="false">H157*(1+I158)</f>
        <v>23.1630168290097</v>
      </c>
      <c r="J157" s="23" t="n">
        <f aca="false">I157*(1+J158)</f>
        <v>24.5527978387503</v>
      </c>
    </row>
    <row r="158" customFormat="false" ht="17.15" hidden="false" customHeight="false" outlineLevel="0" collapsed="false">
      <c r="A158" s="5" t="s">
        <v>329</v>
      </c>
      <c r="B158" s="0" t="s">
        <v>74</v>
      </c>
      <c r="C158" s="15"/>
      <c r="D158" s="15" t="n">
        <f aca="false">D157/C157-1</f>
        <v>0.399113894533462</v>
      </c>
      <c r="E158" s="15" t="n">
        <f aca="false">E157/D157-1</f>
        <v>0.330561615435134</v>
      </c>
      <c r="F158" s="15" t="n">
        <f aca="false">F157/E157-1</f>
        <v>0.0922216746602751</v>
      </c>
      <c r="G158" s="15" t="n">
        <f aca="false">G157/F157-1</f>
        <v>0.092302636564664</v>
      </c>
      <c r="H158" s="24" t="n">
        <f aca="false">$G$158+((tp_g+tp_gd)-$G$158)*1/3</f>
        <v>0.0815350910431093</v>
      </c>
      <c r="I158" s="24" t="n">
        <f aca="false">$G$158+((tp_g+tp_gd)-$G$158)*2/3</f>
        <v>0.0707675455215547</v>
      </c>
      <c r="J158" s="24" t="n">
        <f aca="false">$G$158+((tp_g+tp_gd)-$G$158)*3/3</f>
        <v>0.06</v>
      </c>
      <c r="K158" s="8" t="s">
        <v>372</v>
      </c>
    </row>
    <row r="159" customFormat="false" ht="17.15" hidden="false" customHeight="false" outlineLevel="0" collapsed="false">
      <c r="A159" s="5" t="s">
        <v>373</v>
      </c>
      <c r="B159" s="0" t="s">
        <v>74</v>
      </c>
      <c r="C159" s="15" t="n">
        <f aca="false">C160/C157</f>
        <v>0.42262122877733</v>
      </c>
      <c r="D159" s="15" t="n">
        <f aca="false">D160/D157</f>
        <v>0.414675158730159</v>
      </c>
      <c r="E159" s="15" t="n">
        <f aca="false">E160/E157</f>
        <v>0.415941310612428</v>
      </c>
      <c r="F159" s="15" t="n">
        <f aca="false">F160/F157</f>
        <v>0.41730215217284</v>
      </c>
      <c r="G159" s="15" t="n">
        <f aca="false">G160/G157</f>
        <v>0.418191351731727</v>
      </c>
      <c r="H159" s="24" t="n">
        <f aca="false">$G$159+($G$159-$G$159)*1/3</f>
        <v>0.418191351731727</v>
      </c>
      <c r="I159" s="24" t="n">
        <f aca="false">$G$159+($G$159-$G$159)*2/3</f>
        <v>0.418191351731727</v>
      </c>
      <c r="J159" s="24" t="n">
        <f aca="false">$G$159+($G$159-$G$159)*3/3</f>
        <v>0.418191351731727</v>
      </c>
      <c r="K159" s="8" t="s">
        <v>374</v>
      </c>
    </row>
    <row r="160" customFormat="false" ht="15" hidden="false" customHeight="false" outlineLevel="0" collapsed="false">
      <c r="A160" s="5" t="s">
        <v>375</v>
      </c>
      <c r="B160" s="0" t="s">
        <v>29</v>
      </c>
      <c r="C160" s="19" t="n">
        <f aca="false">C85</f>
        <v>3.806</v>
      </c>
      <c r="D160" s="19" t="n">
        <f aca="false">D85</f>
        <v>5.224907</v>
      </c>
      <c r="E160" s="19" t="n">
        <f aca="false">E85</f>
        <v>6.97328783140095</v>
      </c>
      <c r="F160" s="19" t="n">
        <f aca="false">F85</f>
        <v>7.64129472755438</v>
      </c>
      <c r="G160" s="19" t="n">
        <f aca="false">G85</f>
        <v>8.36439156922198</v>
      </c>
      <c r="H160" s="23" t="n">
        <f aca="false">H157*H159</f>
        <v>9.04638299733871</v>
      </c>
      <c r="I160" s="23" t="n">
        <f aca="false">I157*I159</f>
        <v>9.6865733179083</v>
      </c>
      <c r="J160" s="23" t="n">
        <f aca="false">J157*J159</f>
        <v>10.2677677169828</v>
      </c>
    </row>
    <row r="161" customFormat="false" ht="17.15" hidden="false" customHeight="false" outlineLevel="0" collapsed="false">
      <c r="A161" s="5" t="s">
        <v>361</v>
      </c>
      <c r="B161" s="5" t="s">
        <v>147</v>
      </c>
      <c r="C161" s="16" t="n">
        <f aca="false">C86</f>
        <v>1.2757</v>
      </c>
      <c r="D161" s="16" t="n">
        <f aca="false">D86</f>
        <v>1.27595</v>
      </c>
      <c r="E161" s="16" t="n">
        <f aca="false">E86</f>
        <v>1.27595</v>
      </c>
      <c r="F161" s="16" t="n">
        <f aca="false">F86</f>
        <v>1.27595</v>
      </c>
      <c r="G161" s="16" t="n">
        <f aca="false">G86</f>
        <v>1.27595</v>
      </c>
      <c r="H161" s="25" t="n">
        <f aca="false">G161*(1+$G$161/$F$161-1)</f>
        <v>1.27595</v>
      </c>
      <c r="I161" s="25" t="n">
        <f aca="false">H161*(1+$G$161/$F$161-1)</f>
        <v>1.27595</v>
      </c>
      <c r="J161" s="25" t="n">
        <f aca="false">I161*(1+$G$161/$F$161-1)</f>
        <v>1.27595</v>
      </c>
      <c r="K161" s="8" t="s">
        <v>376</v>
      </c>
    </row>
    <row r="162" customFormat="false" ht="17.15" hidden="false" customHeight="false" outlineLevel="0" collapsed="false">
      <c r="A162" s="0" t="s">
        <v>377</v>
      </c>
      <c r="B162" s="0" t="s">
        <v>182</v>
      </c>
      <c r="C162" s="20" t="n">
        <f aca="false">C87</f>
        <v>2.9834600611429</v>
      </c>
      <c r="D162" s="20" t="n">
        <f aca="false">D87</f>
        <v>4.0949151612524</v>
      </c>
      <c r="E162" s="20" t="n">
        <f aca="false">E87</f>
        <v>5.46517326807551</v>
      </c>
      <c r="F162" s="20" t="n">
        <f aca="false">F87</f>
        <v>5.98871015913977</v>
      </c>
      <c r="G162" s="20" t="n">
        <f aca="false">G87</f>
        <v>6.55542268052979</v>
      </c>
      <c r="H162" s="26" t="n">
        <f aca="false">H160/H161</f>
        <v>7.08991966561285</v>
      </c>
      <c r="I162" s="26" t="n">
        <f aca="false">I160/I161</f>
        <v>7.59165587829327</v>
      </c>
      <c r="J162" s="26" t="n">
        <f aca="false">J160/J161</f>
        <v>8.04715523099086</v>
      </c>
    </row>
    <row r="163" customFormat="false" ht="17.15" hidden="false" customHeight="false" outlineLevel="0" collapsed="false">
      <c r="A163" s="0" t="s">
        <v>335</v>
      </c>
      <c r="B163" s="0" t="s">
        <v>74</v>
      </c>
      <c r="C163" s="15"/>
      <c r="D163" s="15" t="n">
        <f aca="false">D162/C162-1</f>
        <v>0.372538957227979</v>
      </c>
      <c r="E163" s="15" t="n">
        <f aca="false">E162/D162-1</f>
        <v>0.334624296930252</v>
      </c>
      <c r="F163" s="15" t="n">
        <f aca="false">F162/E162-1</f>
        <v>0.0957951130520349</v>
      </c>
      <c r="G163" s="15" t="n">
        <f aca="false">G162/F162-1</f>
        <v>0.0946301467812936</v>
      </c>
      <c r="H163" s="24" t="n">
        <f aca="false">H162/G162-1</f>
        <v>0.0815350910431096</v>
      </c>
      <c r="I163" s="24" t="n">
        <f aca="false">I162/H162-1</f>
        <v>0.0707675455215546</v>
      </c>
      <c r="J163" s="24" t="n">
        <f aca="false">J162/I162-1</f>
        <v>0.0599999999999998</v>
      </c>
    </row>
    <row r="165" customFormat="false" ht="17.15" hidden="false" customHeight="false" outlineLevel="0" collapsed="false">
      <c r="A165" s="3" t="s">
        <v>336</v>
      </c>
    </row>
    <row r="166" customFormat="false" ht="15" hidden="false" customHeight="false" outlineLevel="0" collapsed="false">
      <c r="A166" s="5" t="s">
        <v>261</v>
      </c>
      <c r="B166" s="0" t="s">
        <v>29</v>
      </c>
      <c r="C166" s="19" t="n">
        <f aca="false">C103</f>
        <v>9.0057</v>
      </c>
      <c r="D166" s="19" t="n">
        <f aca="false">D103</f>
        <v>12.6</v>
      </c>
      <c r="E166" s="19" t="n">
        <f aca="false">E103</f>
        <v>16.7650763544827</v>
      </c>
      <c r="F166" s="19" t="n">
        <f aca="false">F103</f>
        <v>16.8111038173604</v>
      </c>
      <c r="G166" s="19" t="n">
        <f aca="false">G103</f>
        <v>18.7200646517523</v>
      </c>
      <c r="H166" s="23" t="n">
        <f aca="false">G166*(1+H167)</f>
        <v>20.386818947035</v>
      </c>
      <c r="I166" s="23" t="n">
        <f aca="false">H166*(1+I167)</f>
        <v>21.7021328017817</v>
      </c>
      <c r="J166" s="23" t="n">
        <f aca="false">I166*(1+J167)</f>
        <v>22.570218113853</v>
      </c>
    </row>
    <row r="167" customFormat="false" ht="17.15" hidden="false" customHeight="false" outlineLevel="0" collapsed="false">
      <c r="A167" s="5" t="s">
        <v>329</v>
      </c>
      <c r="B167" s="0" t="s">
        <v>74</v>
      </c>
      <c r="C167" s="15"/>
      <c r="D167" s="15" t="n">
        <f aca="false">D166/C166-1</f>
        <v>0.399113894533462</v>
      </c>
      <c r="E167" s="15" t="n">
        <f aca="false">E166/D166-1</f>
        <v>0.330561615435134</v>
      </c>
      <c r="F167" s="15" t="n">
        <f aca="false">F166/E166-1</f>
        <v>0.00274543711609021</v>
      </c>
      <c r="G167" s="15" t="n">
        <f aca="false">G166/F166-1</f>
        <v>0.11355356882756</v>
      </c>
      <c r="H167" s="24" t="n">
        <f aca="false">$G$167+(tp_g-$G$167)*1/3</f>
        <v>0.0890357125517068</v>
      </c>
      <c r="I167" s="24" t="n">
        <f aca="false">$G$167+(tp_g-$G$167)*2/3</f>
        <v>0.0645178562758534</v>
      </c>
      <c r="J167" s="24" t="n">
        <f aca="false">$G$167+(tp_g-$G$167)*3/3</f>
        <v>0.04</v>
      </c>
      <c r="K167" s="8" t="s">
        <v>378</v>
      </c>
    </row>
    <row r="168" customFormat="false" ht="17.15" hidden="false" customHeight="false" outlineLevel="0" collapsed="false">
      <c r="A168" s="5" t="s">
        <v>373</v>
      </c>
      <c r="B168" s="0" t="s">
        <v>74</v>
      </c>
      <c r="C168" s="15" t="n">
        <f aca="false">C169/C166</f>
        <v>0.42262122877733</v>
      </c>
      <c r="D168" s="15" t="n">
        <f aca="false">D169/D166</f>
        <v>0.414675158730159</v>
      </c>
      <c r="E168" s="15" t="n">
        <f aca="false">E169/E166</f>
        <v>0.415941310612428</v>
      </c>
      <c r="F168" s="15" t="n">
        <f aca="false">F169/F166</f>
        <v>0.418176127587233</v>
      </c>
      <c r="G168" s="15" t="n">
        <f aca="false">G169/G166</f>
        <v>0.418737655036179</v>
      </c>
      <c r="H168" s="24" t="n">
        <f aca="false">$G$168+(($G$168+$G$168*nm10_k)/2-$G$168)*1/3</f>
        <v>0.40477973320164</v>
      </c>
      <c r="I168" s="24" t="n">
        <f aca="false">$G$168+(($G$168+$G$168*nm10_k)/2-$G$168)*2/3</f>
        <v>0.390821811367101</v>
      </c>
      <c r="J168" s="24" t="n">
        <f aca="false">$G$168+(($G$168+$G$168*nm10_k)/2-$G$168)*3/3</f>
        <v>0.376863889532561</v>
      </c>
      <c r="K168" s="8" t="s">
        <v>379</v>
      </c>
    </row>
    <row r="169" customFormat="false" ht="15" hidden="false" customHeight="false" outlineLevel="0" collapsed="false">
      <c r="A169" s="5" t="s">
        <v>375</v>
      </c>
      <c r="B169" s="0" t="s">
        <v>29</v>
      </c>
      <c r="C169" s="19" t="n">
        <f aca="false">C116</f>
        <v>3.806</v>
      </c>
      <c r="D169" s="19" t="n">
        <f aca="false">D116</f>
        <v>5.224907</v>
      </c>
      <c r="E169" s="19" t="n">
        <f aca="false">E116</f>
        <v>6.97328783140095</v>
      </c>
      <c r="F169" s="19" t="n">
        <f aca="false">F116</f>
        <v>7.03000229481071</v>
      </c>
      <c r="G169" s="19" t="n">
        <f aca="false">G116</f>
        <v>7.83879597440041</v>
      </c>
      <c r="H169" s="23" t="n">
        <f aca="false">H166*H168</f>
        <v>8.25217113421098</v>
      </c>
      <c r="I169" s="23" t="n">
        <f aca="false">I166*I168</f>
        <v>8.48166685212169</v>
      </c>
      <c r="J169" s="23" t="n">
        <f aca="false">J166*J168</f>
        <v>8.5059001859849</v>
      </c>
    </row>
    <row r="170" customFormat="false" ht="17.15" hidden="false" customHeight="false" outlineLevel="0" collapsed="false">
      <c r="A170" s="5" t="s">
        <v>361</v>
      </c>
      <c r="B170" s="5" t="s">
        <v>147</v>
      </c>
      <c r="C170" s="16" t="n">
        <f aca="false">C117</f>
        <v>1.2757</v>
      </c>
      <c r="D170" s="16" t="n">
        <f aca="false">D117</f>
        <v>1.27595</v>
      </c>
      <c r="E170" s="16" t="n">
        <f aca="false">E117</f>
        <v>1.27595</v>
      </c>
      <c r="F170" s="16" t="n">
        <f aca="false">F117</f>
        <v>1.27595</v>
      </c>
      <c r="G170" s="16" t="n">
        <f aca="false">G117</f>
        <v>1.27595</v>
      </c>
      <c r="H170" s="25" t="n">
        <f aca="false">G170*(1+$G$170/$F$170-1)</f>
        <v>1.27595</v>
      </c>
      <c r="I170" s="25" t="n">
        <f aca="false">H170*(1+$G$170/$F$170-1)</f>
        <v>1.27595</v>
      </c>
      <c r="J170" s="25" t="n">
        <f aca="false">I170*(1+$G$170/$F$170-1)</f>
        <v>1.27595</v>
      </c>
      <c r="K170" s="8" t="s">
        <v>376</v>
      </c>
    </row>
    <row r="171" customFormat="false" ht="17.15" hidden="false" customHeight="false" outlineLevel="0" collapsed="false">
      <c r="A171" s="0" t="s">
        <v>377</v>
      </c>
      <c r="B171" s="0" t="s">
        <v>182</v>
      </c>
      <c r="C171" s="20" t="n">
        <f aca="false">C118</f>
        <v>2.9834600611429</v>
      </c>
      <c r="D171" s="20" t="n">
        <f aca="false">D118</f>
        <v>4.0949151612524</v>
      </c>
      <c r="E171" s="20" t="n">
        <f aca="false">E118</f>
        <v>5.46517326807551</v>
      </c>
      <c r="F171" s="20" t="n">
        <f aca="false">F118</f>
        <v>5.50962208143792</v>
      </c>
      <c r="G171" s="20" t="n">
        <f aca="false">G118</f>
        <v>6.14349776590024</v>
      </c>
      <c r="H171" s="26" t="n">
        <f aca="false">H169/H170</f>
        <v>6.46747218481209</v>
      </c>
      <c r="I171" s="26" t="n">
        <f aca="false">I169/I170</f>
        <v>6.64733481102057</v>
      </c>
      <c r="J171" s="26" t="n">
        <f aca="false">J169/J170</f>
        <v>6.66632719619491</v>
      </c>
    </row>
    <row r="172" customFormat="false" ht="17.15" hidden="false" customHeight="false" outlineLevel="0" collapsed="false">
      <c r="A172" s="0" t="s">
        <v>335</v>
      </c>
      <c r="B172" s="0" t="s">
        <v>74</v>
      </c>
      <c r="C172" s="15"/>
      <c r="D172" s="15" t="n">
        <f aca="false">D171/C171-1</f>
        <v>0.372538957227979</v>
      </c>
      <c r="E172" s="15" t="n">
        <f aca="false">E171/D171-1</f>
        <v>0.334624296930252</v>
      </c>
      <c r="F172" s="15" t="n">
        <f aca="false">F171/E171-1</f>
        <v>0.00813310231572162</v>
      </c>
      <c r="G172" s="15" t="n">
        <f aca="false">G171/F171-1</f>
        <v>0.115048850010579</v>
      </c>
      <c r="H172" s="24" t="n">
        <f aca="false">H171/G171-1</f>
        <v>0.0527345221333166</v>
      </c>
      <c r="I172" s="24" t="n">
        <f aca="false">I171/H171-1</f>
        <v>0.0278103439904789</v>
      </c>
      <c r="J172" s="24" t="n">
        <f aca="false">J171/I171-1</f>
        <v>0.00285714285714311</v>
      </c>
    </row>
    <row r="174" customFormat="false" ht="17.15" hidden="false" customHeight="false" outlineLevel="0" collapsed="false">
      <c r="A174" s="3" t="s">
        <v>337</v>
      </c>
    </row>
    <row r="175" customFormat="false" ht="15" hidden="false" customHeight="false" outlineLevel="0" collapsed="false">
      <c r="A175" s="5" t="s">
        <v>261</v>
      </c>
      <c r="B175" s="0" t="s">
        <v>29</v>
      </c>
      <c r="C175" s="19" t="n">
        <f aca="false">C134</f>
        <v>9.0057</v>
      </c>
      <c r="D175" s="19" t="n">
        <f aca="false">D134</f>
        <v>12.6</v>
      </c>
      <c r="E175" s="19" t="n">
        <f aca="false">E134</f>
        <v>16.7650763544827</v>
      </c>
      <c r="F175" s="19" t="n">
        <f aca="false">F134</f>
        <v>15.3110278630203</v>
      </c>
      <c r="G175" s="19" t="n">
        <f aca="false">G134</f>
        <v>16.5845891659428</v>
      </c>
      <c r="H175" s="23" t="n">
        <f aca="false">G175*(1+H176)</f>
        <v>17.6148166275457</v>
      </c>
      <c r="I175" s="23" t="n">
        <f aca="false">H175*(1+I176)</f>
        <v>18.3380771654096</v>
      </c>
      <c r="J175" s="23" t="n">
        <f aca="false">I175*(1+J176)</f>
        <v>18.7048387087178</v>
      </c>
    </row>
    <row r="176" customFormat="false" ht="17.15" hidden="false" customHeight="false" outlineLevel="0" collapsed="false">
      <c r="A176" s="5" t="s">
        <v>329</v>
      </c>
      <c r="B176" s="0" t="s">
        <v>74</v>
      </c>
      <c r="C176" s="15"/>
      <c r="D176" s="15" t="n">
        <f aca="false">D175/C175-1</f>
        <v>0.399113894533462</v>
      </c>
      <c r="E176" s="15" t="n">
        <f aca="false">E175/D175-1</f>
        <v>0.330561615435134</v>
      </c>
      <c r="F176" s="15" t="n">
        <f aca="false">F175/E175-1</f>
        <v>-0.086730800428095</v>
      </c>
      <c r="G176" s="15" t="n">
        <f aca="false">G175/F175-1</f>
        <v>0.0831793472206033</v>
      </c>
      <c r="H176" s="24" t="n">
        <f aca="false">$G$176+((tp_g-tp_gd)-$G$176)*1/3</f>
        <v>0.0621195648137355</v>
      </c>
      <c r="I176" s="24" t="n">
        <f aca="false">$G$176+((tp_g-tp_gd)-$G$176)*2/3</f>
        <v>0.0410597824068678</v>
      </c>
      <c r="J176" s="24" t="n">
        <f aca="false">$G$176+((tp_g-tp_gd)-$G$176)*3/3</f>
        <v>0.02</v>
      </c>
      <c r="K176" s="8" t="s">
        <v>380</v>
      </c>
    </row>
    <row r="177" customFormat="false" ht="17.15" hidden="false" customHeight="false" outlineLevel="0" collapsed="false">
      <c r="A177" s="5" t="s">
        <v>373</v>
      </c>
      <c r="B177" s="0" t="s">
        <v>74</v>
      </c>
      <c r="C177" s="15" t="n">
        <f aca="false">C178/C175</f>
        <v>0.42262122877733</v>
      </c>
      <c r="D177" s="15" t="n">
        <f aca="false">D178/D175</f>
        <v>0.414675158730159</v>
      </c>
      <c r="E177" s="15" t="n">
        <f aca="false">E178/E175</f>
        <v>0.415941310612428</v>
      </c>
      <c r="F177" s="15" t="n">
        <f aca="false">F178/F175</f>
        <v>0.413907074076806</v>
      </c>
      <c r="G177" s="15" t="n">
        <f aca="false">G178/G175</f>
        <v>0.414861441851565</v>
      </c>
      <c r="H177" s="24" t="n">
        <f aca="false">$G$177+($G$177*nm10_k-$G$177)*1/3</f>
        <v>0.387204012394794</v>
      </c>
      <c r="I177" s="24" t="n">
        <f aca="false">$G$177+($G$177*nm10_k-$G$177)*2/3</f>
        <v>0.359546582938023</v>
      </c>
      <c r="J177" s="24" t="n">
        <f aca="false">$G$177+($G$177*nm10_k-$G$177)*3/3</f>
        <v>0.331889153481252</v>
      </c>
      <c r="K177" s="8" t="s">
        <v>381</v>
      </c>
    </row>
    <row r="178" customFormat="false" ht="15" hidden="false" customHeight="false" outlineLevel="0" collapsed="false">
      <c r="A178" s="5" t="s">
        <v>375</v>
      </c>
      <c r="B178" s="0" t="s">
        <v>29</v>
      </c>
      <c r="C178" s="19" t="n">
        <f aca="false">C147</f>
        <v>3.806</v>
      </c>
      <c r="D178" s="19" t="n">
        <f aca="false">D147</f>
        <v>5.224907</v>
      </c>
      <c r="E178" s="19" t="n">
        <f aca="false">E147</f>
        <v>6.97328783140095</v>
      </c>
      <c r="F178" s="19" t="n">
        <f aca="false">F147</f>
        <v>6.33734274389117</v>
      </c>
      <c r="G178" s="19" t="n">
        <f aca="false">G147</f>
        <v>6.88030657389886</v>
      </c>
      <c r="H178" s="23" t="n">
        <f aca="false">H175*H177</f>
        <v>6.82052767578424</v>
      </c>
      <c r="I178" s="23" t="n">
        <f aca="false">I175*I177</f>
        <v>6.59339298247682</v>
      </c>
      <c r="J178" s="23" t="n">
        <f aca="false">J175*J177</f>
        <v>6.20793308503972</v>
      </c>
    </row>
    <row r="179" customFormat="false" ht="17.15" hidden="false" customHeight="false" outlineLevel="0" collapsed="false">
      <c r="A179" s="5" t="s">
        <v>361</v>
      </c>
      <c r="B179" s="5" t="s">
        <v>147</v>
      </c>
      <c r="C179" s="16" t="n">
        <f aca="false">C148</f>
        <v>1.2757</v>
      </c>
      <c r="D179" s="16" t="n">
        <f aca="false">D148</f>
        <v>1.27595</v>
      </c>
      <c r="E179" s="16" t="n">
        <f aca="false">E148</f>
        <v>1.27595</v>
      </c>
      <c r="F179" s="16" t="n">
        <f aca="false">F148</f>
        <v>1.27595</v>
      </c>
      <c r="G179" s="16" t="n">
        <f aca="false">G148</f>
        <v>1.27595</v>
      </c>
      <c r="H179" s="25" t="n">
        <f aca="false">G179*(1+$G$179/$F$179-1)</f>
        <v>1.27595</v>
      </c>
      <c r="I179" s="25" t="n">
        <f aca="false">H179*(1+$G$179/$F$179-1)</f>
        <v>1.27595</v>
      </c>
      <c r="J179" s="25" t="n">
        <f aca="false">I179*(1+$G$179/$F$179-1)</f>
        <v>1.27595</v>
      </c>
      <c r="K179" s="8" t="s">
        <v>376</v>
      </c>
    </row>
    <row r="180" customFormat="false" ht="17.15" hidden="false" customHeight="false" outlineLevel="0" collapsed="false">
      <c r="A180" s="0" t="s">
        <v>377</v>
      </c>
      <c r="B180" s="0" t="s">
        <v>182</v>
      </c>
      <c r="C180" s="20" t="n">
        <f aca="false">C149</f>
        <v>2.9834600611429</v>
      </c>
      <c r="D180" s="20" t="n">
        <f aca="false">D149</f>
        <v>4.0949151612524</v>
      </c>
      <c r="E180" s="20" t="n">
        <f aca="false">E149</f>
        <v>5.46517326807551</v>
      </c>
      <c r="F180" s="20" t="n">
        <f aca="false">F149</f>
        <v>4.96676417092454</v>
      </c>
      <c r="G180" s="20" t="n">
        <f aca="false">G149</f>
        <v>5.39230108852139</v>
      </c>
      <c r="H180" s="26" t="n">
        <f aca="false">H178/H179</f>
        <v>5.34545058645264</v>
      </c>
      <c r="I180" s="26" t="n">
        <f aca="false">I178/I179</f>
        <v>5.1674383655134</v>
      </c>
      <c r="J180" s="26" t="n">
        <f aca="false">J178/J179</f>
        <v>4.86534196876031</v>
      </c>
    </row>
    <row r="181" customFormat="false" ht="17.15" hidden="false" customHeight="false" outlineLevel="0" collapsed="false">
      <c r="A181" s="0" t="s">
        <v>335</v>
      </c>
      <c r="B181" s="0" t="s">
        <v>74</v>
      </c>
      <c r="C181" s="15"/>
      <c r="D181" s="15" t="n">
        <f aca="false">D180/C180-1</f>
        <v>0.372538957227979</v>
      </c>
      <c r="E181" s="15" t="n">
        <f aca="false">E180/D180-1</f>
        <v>0.334624296930252</v>
      </c>
      <c r="F181" s="15" t="n">
        <f aca="false">F180/E180-1</f>
        <v>-0.0911973093446821</v>
      </c>
      <c r="G181" s="15" t="n">
        <f aca="false">G180/F180-1</f>
        <v>0.0856768920271955</v>
      </c>
      <c r="H181" s="24" t="n">
        <f aca="false">H180/G180-1</f>
        <v>-0.00868840617384681</v>
      </c>
      <c r="I181" s="24" t="n">
        <f aca="false">I180/H180-1</f>
        <v>-0.033301630622194</v>
      </c>
      <c r="J181" s="24" t="n">
        <f aca="false">J180/I180-1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382</v>
      </c>
    </row>
    <row r="2" customFormat="false" ht="17.15" hidden="false" customHeight="false" outlineLevel="0" collapsed="false">
      <c r="A2" s="5" t="s">
        <v>383</v>
      </c>
    </row>
    <row r="3" customFormat="false" ht="17.15" hidden="false" customHeight="false" outlineLevel="0" collapsed="false">
      <c r="A3" s="1" t="s">
        <v>384</v>
      </c>
    </row>
    <row r="4" customFormat="false" ht="17.15" hidden="false" customHeight="false" outlineLevel="0" collapsed="false">
      <c r="A4" s="1" t="s">
        <v>385</v>
      </c>
    </row>
    <row r="5" customFormat="false" ht="17.15" hidden="false" customHeight="false" outlineLevel="0" collapsed="false">
      <c r="A5" s="6" t="s">
        <v>18</v>
      </c>
      <c r="B5" s="12" t="s">
        <v>386</v>
      </c>
      <c r="C5" s="12" t="s">
        <v>387</v>
      </c>
      <c r="D5" s="12" t="s">
        <v>388</v>
      </c>
      <c r="E5" s="6" t="s">
        <v>306</v>
      </c>
      <c r="F5" s="6" t="s">
        <v>389</v>
      </c>
      <c r="G5" s="6" t="s">
        <v>390</v>
      </c>
    </row>
    <row r="6" customFormat="false" ht="17.15" hidden="false" customHeight="false" outlineLevel="0" collapsed="false">
      <c r="A6" s="5" t="s">
        <v>391</v>
      </c>
      <c r="E6" s="5" t="s">
        <v>392</v>
      </c>
    </row>
    <row r="7" customFormat="false" ht="15" hidden="false" customHeight="false" outlineLevel="0" collapsed="false">
      <c r="A7" s="0" t="s">
        <v>393</v>
      </c>
      <c r="B7" s="20" t="n">
        <f aca="false">PL!E162</f>
        <v>5.46517326807551</v>
      </c>
      <c r="C7" s="20" t="n">
        <f aca="false">PL!E171</f>
        <v>5.46517326807551</v>
      </c>
      <c r="D7" s="20" t="n">
        <f aca="false">PL!E180</f>
        <v>5.46517326807551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394</v>
      </c>
      <c r="B8" s="20" t="n">
        <f aca="false">PL!F162</f>
        <v>5.98871015913977</v>
      </c>
      <c r="C8" s="20" t="n">
        <f aca="false">PL!F171</f>
        <v>5.50962208143792</v>
      </c>
      <c r="D8" s="20" t="n">
        <f aca="false">PL!F180</f>
        <v>4.96676417092454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395</v>
      </c>
      <c r="B9" s="20" t="n">
        <f aca="false">PL!G162</f>
        <v>6.55542268052979</v>
      </c>
      <c r="C9" s="20" t="n">
        <f aca="false">PL!G171</f>
        <v>6.14349776590024</v>
      </c>
      <c r="D9" s="20" t="n">
        <f aca="false">PL!G180</f>
        <v>5.39230108852139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396</v>
      </c>
      <c r="B10" s="20" t="n">
        <f aca="false">PL!H162</f>
        <v>7.08991966561285</v>
      </c>
      <c r="C10" s="20" t="n">
        <f aca="false">PL!H171</f>
        <v>6.46747218481209</v>
      </c>
      <c r="D10" s="20" t="n">
        <f aca="false">PL!H180</f>
        <v>5.34545058645264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397</v>
      </c>
      <c r="B11" s="20" t="n">
        <f aca="false">PL!I162</f>
        <v>7.59165587829327</v>
      </c>
      <c r="C11" s="20" t="n">
        <f aca="false">PL!I171</f>
        <v>6.64733481102057</v>
      </c>
      <c r="D11" s="20" t="n">
        <f aca="false">PL!I180</f>
        <v>5.1674383655134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398</v>
      </c>
      <c r="B12" s="20" t="n">
        <f aca="false">PL!J162</f>
        <v>8.04715523099086</v>
      </c>
      <c r="C12" s="20" t="n">
        <f aca="false">PL!J171</f>
        <v>6.66632719619491</v>
      </c>
      <c r="D12" s="20" t="n">
        <f aca="false">PL!J180</f>
        <v>4.86534196876031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5" t="s">
        <v>399</v>
      </c>
      <c r="B13" s="15" t="n">
        <f aca="false">1-MIN(0.8,tp_g/tp_roe)</f>
        <v>0.860188745193988</v>
      </c>
      <c r="E13" s="8" t="s">
        <v>400</v>
      </c>
    </row>
    <row r="14" customFormat="false" ht="17.15" hidden="false" customHeight="false" outlineLevel="0" collapsed="false">
      <c r="A14" s="0" t="s">
        <v>401</v>
      </c>
      <c r="B14" s="20" t="n">
        <f aca="false">B7*$B$13*$G$7</f>
        <v>4.7010805357336</v>
      </c>
      <c r="C14" s="20" t="n">
        <f aca="false">C7*$B$13*$G$7</f>
        <v>4.7010805357336</v>
      </c>
      <c r="D14" s="20" t="n">
        <f aca="false">D7*$B$13*$G$7</f>
        <v>4.7010805357336</v>
      </c>
    </row>
    <row r="15" customFormat="false" ht="17.15" hidden="false" customHeight="false" outlineLevel="0" collapsed="false">
      <c r="A15" s="0" t="s">
        <v>402</v>
      </c>
      <c r="B15" s="20" t="n">
        <f aca="false">B8*$B$13*$G$8</f>
        <v>5.15142107712092</v>
      </c>
      <c r="C15" s="20" t="n">
        <f aca="false">C8*$B$13*$G$8</f>
        <v>4.73931490472517</v>
      </c>
      <c r="D15" s="20" t="n">
        <f aca="false">D8*$B$13*$G$8</f>
        <v>4.27235463986204</v>
      </c>
    </row>
    <row r="16" customFormat="false" ht="17.15" hidden="false" customHeight="false" outlineLevel="0" collapsed="false">
      <c r="A16" s="0" t="s">
        <v>403</v>
      </c>
      <c r="B16" s="20" t="n">
        <f aca="false">B9*$B$13*$G$9</f>
        <v>5.63890080978113</v>
      </c>
      <c r="C16" s="20" t="n">
        <f aca="false">C9*$B$13*$G$9</f>
        <v>5.2845676343518</v>
      </c>
      <c r="D16" s="20" t="n">
        <f aca="false">D9*$B$13*$G$9</f>
        <v>4.63839670704339</v>
      </c>
    </row>
    <row r="17" customFormat="false" ht="17.15" hidden="false" customHeight="false" outlineLevel="0" collapsed="false">
      <c r="A17" s="0" t="s">
        <v>404</v>
      </c>
      <c r="B17" s="20" t="n">
        <f aca="false">B10*$B$13*$G$10</f>
        <v>6.0986691006897</v>
      </c>
      <c r="C17" s="20" t="n">
        <f aca="false">C10*$B$13*$G$10</f>
        <v>5.56324678323053</v>
      </c>
      <c r="D17" s="20" t="n">
        <f aca="false">D10*$B$13*$G$10</f>
        <v>4.59809643245716</v>
      </c>
    </row>
    <row r="18" customFormat="false" ht="17.15" hidden="false" customHeight="false" outlineLevel="0" collapsed="false">
      <c r="A18" s="0" t="s">
        <v>405</v>
      </c>
      <c r="B18" s="20" t="n">
        <f aca="false">B11*$B$13*$G$11</f>
        <v>6.53025694389365</v>
      </c>
      <c r="C18" s="20" t="n">
        <f aca="false">C11*$B$13*$G$11</f>
        <v>5.7179625899761</v>
      </c>
      <c r="D18" s="20" t="n">
        <f aca="false">D11*$B$13*$G$11</f>
        <v>4.44497232349825</v>
      </c>
    </row>
    <row r="19" customFormat="false" ht="17.15" hidden="false" customHeight="false" outlineLevel="0" collapsed="false">
      <c r="A19" s="0" t="s">
        <v>406</v>
      </c>
      <c r="B19" s="20" t="n">
        <f aca="false">B12*$B$13*$G$12</f>
        <v>6.92207236052727</v>
      </c>
      <c r="C19" s="20" t="n">
        <f aca="false">C12*$B$13*$G$12</f>
        <v>5.73429962594746</v>
      </c>
      <c r="D19" s="20" t="n">
        <f aca="false">D12*$B$13*$G$12</f>
        <v>4.18511240304758</v>
      </c>
    </row>
    <row r="20" customFormat="false" ht="17.15" hidden="false" customHeight="false" outlineLevel="0" collapsed="false">
      <c r="A20" s="5" t="s">
        <v>407</v>
      </c>
      <c r="B20" s="20" t="n">
        <f aca="false">B19*(1+tp_g)/(tp_r-tp_g)</f>
        <v>119.982587582473</v>
      </c>
      <c r="C20" s="20" t="n">
        <f aca="false">C19*(1+tp_g)/(tp_r-tp_g)</f>
        <v>99.394526849756</v>
      </c>
      <c r="D20" s="20" t="n">
        <f aca="false">D19*(1+tp_g)/(tp_r-tp_g)</f>
        <v>72.5419483194914</v>
      </c>
    </row>
    <row r="21" customFormat="false" ht="17.15" hidden="false" customHeight="false" outlineLevel="0" collapsed="false">
      <c r="A21" s="9" t="s">
        <v>408</v>
      </c>
      <c r="B21" s="27" t="n">
        <f aca="false">MAX(0,B14/(1+tp_r)^$F$7+B15/(1+tp_r)^$F$8+B16/(1+tp_r)^$F$9+B17/(1+tp_r)^$F$10+B18/(1+tp_r)^$F$11+B19/(1+tp_r)^$F$12+B20/(1+tp_r)^$F$12)</f>
        <v>92.6222929854254</v>
      </c>
      <c r="C21" s="27" t="n">
        <f aca="false">MAX(0,C14/(1+tp_r)^$F$7+C15/(1+tp_r)^$F$8+C16/(1+tp_r)^$F$9+C17/(1+tp_r)^$F$10+C18/(1+tp_r)^$F$11+C19/(1+tp_r)^$F$12+C20/(1+tp_r)^$F$12)</f>
        <v>78.8535317831679</v>
      </c>
      <c r="D21" s="27" t="n">
        <f aca="false">MAX(0,D14/(1+tp_r)^$F$7+D15/(1+tp_r)^$F$8+D16/(1+tp_r)^$F$9+D17/(1+tp_r)^$F$10+D18/(1+tp_r)^$F$11+D19/(1+tp_r)^$F$12+D20/(1+tp_r)^$F$12)</f>
        <v>60.5004426156148</v>
      </c>
      <c r="E21" s="10" t="s">
        <v>409</v>
      </c>
    </row>
    <row r="22" customFormat="false" ht="15" hidden="false" customHeight="false" outlineLevel="0" collapsed="false">
      <c r="A22" s="5" t="s">
        <v>410</v>
      </c>
      <c r="B22" s="15" t="n">
        <f aca="false">B20/(1+tp_r)^$F$12/B21</f>
        <v>0.731217513275741</v>
      </c>
      <c r="C22" s="15" t="n">
        <f aca="false">C20/(1+tp_r)^$F$12/C21</f>
        <v>0.711516883619077</v>
      </c>
      <c r="D22" s="15" t="n">
        <f aca="false">D20/(1+tp_r)^$F$12/D21</f>
        <v>0.676822133712668</v>
      </c>
    </row>
    <row r="23" customFormat="false" ht="17.15" hidden="false" customHeight="false" outlineLevel="0" collapsed="false">
      <c r="A23" s="9" t="s">
        <v>411</v>
      </c>
      <c r="B23" s="27" t="n">
        <f aca="false">(tp_wA*B21+tp_wB*C21+tp_wC*D21)*(1+tp_r)</f>
        <v>87.244896541368</v>
      </c>
      <c r="C23" s="9"/>
      <c r="D23" s="9"/>
      <c r="E23" s="9" t="s">
        <v>412</v>
      </c>
    </row>
    <row r="25" customFormat="false" ht="17.15" hidden="false" customHeight="false" outlineLevel="0" collapsed="false">
      <c r="A25" s="1" t="s">
        <v>413</v>
      </c>
    </row>
    <row r="26" customFormat="false" ht="17.15" hidden="false" customHeight="false" outlineLevel="0" collapsed="false">
      <c r="A26" s="6" t="s">
        <v>414</v>
      </c>
      <c r="B26" s="6" t="s">
        <v>415</v>
      </c>
      <c r="C26" s="6" t="s">
        <v>416</v>
      </c>
      <c r="D26" s="6" t="s">
        <v>417</v>
      </c>
      <c r="E26" s="6" t="s">
        <v>418</v>
      </c>
      <c r="F26" s="6" t="s">
        <v>23</v>
      </c>
    </row>
    <row r="27" customFormat="false" ht="17.15" hidden="false" customHeight="false" outlineLevel="0" collapsed="false">
      <c r="A27" s="0" t="s">
        <v>419</v>
      </c>
      <c r="B27" s="0" t="s">
        <v>420</v>
      </c>
      <c r="C27" s="28" t="n">
        <v>20.7</v>
      </c>
      <c r="D27" s="8" t="s">
        <v>421</v>
      </c>
      <c r="E27" s="8" t="s">
        <v>422</v>
      </c>
      <c r="F27" s="8" t="s">
        <v>423</v>
      </c>
    </row>
    <row r="28" customFormat="false" ht="17.15" hidden="false" customHeight="false" outlineLevel="0" collapsed="false">
      <c r="A28" s="0" t="s">
        <v>424</v>
      </c>
      <c r="B28" s="0" t="s">
        <v>425</v>
      </c>
      <c r="C28" s="28" t="n">
        <v>30.77</v>
      </c>
      <c r="D28" s="8" t="s">
        <v>421</v>
      </c>
      <c r="E28" s="5" t="s">
        <v>35</v>
      </c>
      <c r="F28" s="8" t="s">
        <v>426</v>
      </c>
    </row>
    <row r="29" customFormat="false" ht="17.15" hidden="false" customHeight="false" outlineLevel="0" collapsed="false">
      <c r="A29" s="0" t="s">
        <v>427</v>
      </c>
      <c r="B29" s="0" t="s">
        <v>428</v>
      </c>
      <c r="C29" s="28" t="n">
        <v>16.65</v>
      </c>
      <c r="D29" s="8" t="s">
        <v>421</v>
      </c>
      <c r="E29" s="5" t="s">
        <v>35</v>
      </c>
      <c r="F29" s="8" t="s">
        <v>426</v>
      </c>
    </row>
    <row r="30" customFormat="false" ht="17.15" hidden="false" customHeight="false" outlineLevel="0" collapsed="false">
      <c r="A30" s="0" t="s">
        <v>429</v>
      </c>
      <c r="B30" s="0" t="s">
        <v>430</v>
      </c>
      <c r="C30" s="28" t="n">
        <v>12.19</v>
      </c>
      <c r="D30" s="8" t="s">
        <v>421</v>
      </c>
      <c r="E30" s="5" t="s">
        <v>35</v>
      </c>
      <c r="F30" s="8" t="s">
        <v>426</v>
      </c>
    </row>
    <row r="31" customFormat="false" ht="17.15" hidden="false" customHeight="false" outlineLevel="0" collapsed="false">
      <c r="A31" s="0" t="s">
        <v>431</v>
      </c>
      <c r="B31" s="0" t="s">
        <v>432</v>
      </c>
      <c r="C31" s="28" t="n">
        <v>20.19</v>
      </c>
      <c r="D31" s="8" t="s">
        <v>421</v>
      </c>
      <c r="E31" s="5" t="s">
        <v>35</v>
      </c>
      <c r="F31" s="8" t="s">
        <v>426</v>
      </c>
    </row>
    <row r="32" customFormat="false" ht="17.15" hidden="false" customHeight="false" outlineLevel="0" collapsed="false">
      <c r="A32" s="5" t="s">
        <v>433</v>
      </c>
      <c r="E32" s="5" t="s">
        <v>434</v>
      </c>
    </row>
    <row r="33" customFormat="false" ht="17.15" hidden="false" customHeight="false" outlineLevel="0" collapsed="false">
      <c r="A33" s="10" t="s">
        <v>435</v>
      </c>
      <c r="B33" s="29" t="n">
        <f aca="false">MEDIAN(C27:C31)</f>
        <v>20.19</v>
      </c>
      <c r="C33" s="9"/>
      <c r="D33" s="9"/>
      <c r="E33" s="9"/>
    </row>
    <row r="34" customFormat="false" ht="17.15" hidden="false" customHeight="false" outlineLevel="0" collapsed="false">
      <c r="A34" s="5" t="s">
        <v>436</v>
      </c>
      <c r="B34" s="20" t="n">
        <f aca="false">2/12*PL!E162+10/12*PL!F162</f>
        <v>5.90145401062906</v>
      </c>
      <c r="C34" s="20" t="n">
        <f aca="false">2/12*PL!E171+10/12*PL!F171</f>
        <v>5.50221394587752</v>
      </c>
      <c r="D34" s="20" t="n">
        <f aca="false">2/12*PL!E180+10/12*PL!F180</f>
        <v>5.04983235378304</v>
      </c>
      <c r="E34" s="5" t="s">
        <v>437</v>
      </c>
    </row>
    <row r="35" customFormat="false" ht="17.15" hidden="false" customHeight="false" outlineLevel="0" collapsed="false">
      <c r="A35" s="0" t="s">
        <v>438</v>
      </c>
      <c r="B35" s="20" t="n">
        <f aca="false">tp_wA*B34+tp_wB*C34+tp_wC*D34</f>
        <v>5.53150964688408</v>
      </c>
    </row>
    <row r="36" customFormat="false" ht="17.15" hidden="false" customHeight="false" outlineLevel="0" collapsed="false">
      <c r="A36" s="9" t="s">
        <v>439</v>
      </c>
      <c r="B36" s="27" t="n">
        <f aca="false">B33*B35</f>
        <v>111.68117977059</v>
      </c>
      <c r="C36" s="9"/>
      <c r="D36" s="9"/>
      <c r="E36" s="10" t="s">
        <v>440</v>
      </c>
    </row>
    <row r="38" customFormat="false" ht="17.15" hidden="false" customHeight="false" outlineLevel="0" collapsed="false">
      <c r="A38" s="1" t="s">
        <v>441</v>
      </c>
    </row>
    <row r="39" customFormat="false" ht="15" hidden="false" customHeight="false" outlineLevel="0" collapsed="false">
      <c r="A39" s="6" t="s">
        <v>18</v>
      </c>
      <c r="B39" s="6" t="s">
        <v>442</v>
      </c>
      <c r="C39" s="6" t="s">
        <v>443</v>
      </c>
      <c r="D39" s="6" t="s">
        <v>443</v>
      </c>
      <c r="E39" s="6" t="s">
        <v>306</v>
      </c>
    </row>
    <row r="40" customFormat="false" ht="17.15" hidden="false" customHeight="false" outlineLevel="0" collapsed="false">
      <c r="A40" s="10" t="s">
        <v>444</v>
      </c>
      <c r="B40" s="27" t="n">
        <f aca="false">tp_w_dcf*B23+(1-tp_w_dcf)*B36</f>
        <v>99.4630381559788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445</v>
      </c>
      <c r="B41" s="20" t="n">
        <f aca="false">B36</f>
        <v>111.68117977059</v>
      </c>
    </row>
    <row r="42" customFormat="false" ht="17.15" hidden="false" customHeight="false" outlineLevel="0" collapsed="false">
      <c r="A42" s="5" t="s">
        <v>446</v>
      </c>
      <c r="B42" s="20" t="n">
        <f aca="false">cons_tp</f>
        <v>243.59</v>
      </c>
      <c r="E42" s="8" t="s">
        <v>447</v>
      </c>
    </row>
    <row r="43" customFormat="false" ht="15" hidden="false" customHeight="false" outlineLevel="0" collapsed="false">
      <c r="A43" s="5" t="s">
        <v>448</v>
      </c>
      <c r="B43" s="15" t="n">
        <f aca="false">B40/px-1</f>
        <v>-0.422967812519703</v>
      </c>
    </row>
    <row r="44" customFormat="false" ht="17.15" hidden="false" customHeight="false" outlineLevel="0" collapsed="false">
      <c r="A44" s="5" t="s">
        <v>449</v>
      </c>
      <c r="B44" s="15" t="n">
        <f aca="false">B41/px-1</f>
        <v>-0.352084586815631</v>
      </c>
    </row>
    <row r="45" customFormat="false" ht="17.15" hidden="false" customHeight="false" outlineLevel="0" collapsed="false">
      <c r="A45" s="5" t="s">
        <v>450</v>
      </c>
      <c r="B45" s="15" t="n">
        <f aca="false">(tp_wA*(2/12*PL!D162+10/12*PL!E162)+tp_wB*(2/12*PL!D171+10/12*PL!E171)+tp_wC*(2/12*PL!D180+10/12*PL!E180))/C45-1</f>
        <v>0.125925008654258</v>
      </c>
      <c r="C45" s="20" t="n">
        <f aca="false">px/pe_fwd_sa</f>
        <v>4.65110631408527</v>
      </c>
      <c r="E45" s="8" t="s">
        <v>451</v>
      </c>
    </row>
    <row r="46" customFormat="false" ht="17.15" hidden="false" customHeight="false" outlineLevel="0" collapsed="false">
      <c r="A46" s="5" t="s">
        <v>452</v>
      </c>
      <c r="B46" s="15" t="n">
        <f aca="false">C46/B33-1</f>
        <v>1.5939814725818</v>
      </c>
      <c r="C46" s="30" t="n">
        <f aca="false">B42/C45</f>
        <v>52.3724859314266</v>
      </c>
      <c r="D46" s="30" t="n">
        <f aca="false">B33</f>
        <v>20.19</v>
      </c>
      <c r="E46" s="8" t="s">
        <v>453</v>
      </c>
    </row>
    <row r="47" customFormat="false" ht="17.15" hidden="false" customHeight="false" outlineLevel="0" collapsed="false">
      <c r="A47" s="5" t="s">
        <v>454</v>
      </c>
      <c r="B47" s="20" t="n">
        <f aca="false">D21*(1+tp_r)</f>
        <v>66.5504868771763</v>
      </c>
      <c r="C47" s="20" t="n">
        <f aca="false">B21*(1+tp_r)</f>
        <v>101.884522283968</v>
      </c>
      <c r="E47" s="8" t="s">
        <v>455</v>
      </c>
    </row>
    <row r="48" customFormat="false" ht="17.15" hidden="false" customHeight="false" outlineLevel="0" collapsed="false">
      <c r="A48" s="5" t="s">
        <v>456</v>
      </c>
      <c r="B48" s="30" t="n">
        <f aca="false">px/PL!F162</f>
        <v>28.7824916250012</v>
      </c>
      <c r="C48" s="30" t="n">
        <f aca="false">px/PL!F171</f>
        <v>31.2852673835325</v>
      </c>
      <c r="D48" s="30" t="n">
        <f aca="false">px/PL!F180</f>
        <v>34.7046878144637</v>
      </c>
    </row>
    <row r="49" customFormat="false" ht="17.15" hidden="false" customHeight="false" outlineLevel="0" collapsed="false">
      <c r="A49" s="5" t="s">
        <v>457</v>
      </c>
      <c r="B49" s="31" t="n">
        <f aca="false">IF(B48&lt;MIN(B106:B115),0,IF(B48&gt;MAX(B106:B115),1,PERCENTRANK(B106:B115,B48)))</f>
        <v>0.242</v>
      </c>
      <c r="C49" s="31" t="n">
        <f aca="false">IF(C48&lt;MIN(B106:B115),0,IF(C48&gt;MAX(B106:B115),1,PERCENTRANK(B106:B115,C48)))</f>
        <v>0.28</v>
      </c>
      <c r="D49" s="31" t="n">
        <f aca="false">IF(D48&lt;MIN(B106:B115),0,IF(D48&gt;MAX(B106:B115),1,PERCENTRANK(B106:B115,D48)))</f>
        <v>0.332</v>
      </c>
      <c r="E49" s="5" t="s">
        <v>458</v>
      </c>
    </row>
    <row r="50" customFormat="false" ht="17.15" hidden="false" customHeight="false" outlineLevel="0" collapsed="false">
      <c r="A50" s="5" t="s">
        <v>459</v>
      </c>
      <c r="B50" s="0" t="s">
        <v>460</v>
      </c>
    </row>
    <row r="51" customFormat="false" ht="17.15" hidden="false" customHeight="false" outlineLevel="0" collapsed="false">
      <c r="A51" s="5" t="s">
        <v>461</v>
      </c>
      <c r="B51" s="16" t="n">
        <f aca="false">ROUND(tp_wA+tp_wB+tp_wC,6)</f>
        <v>1</v>
      </c>
    </row>
    <row r="55" customFormat="false" ht="17.15" hidden="false" customHeight="false" outlineLevel="0" collapsed="false">
      <c r="A55" s="1" t="s">
        <v>462</v>
      </c>
    </row>
    <row r="56" customFormat="false" ht="15" hidden="false" customHeight="false" outlineLevel="0" collapsed="false">
      <c r="A56" s="6" t="s">
        <v>18</v>
      </c>
      <c r="B56" s="12" t="s">
        <v>386</v>
      </c>
      <c r="C56" s="12" t="s">
        <v>387</v>
      </c>
      <c r="D56" s="12" t="s">
        <v>388</v>
      </c>
      <c r="E56" s="6" t="s">
        <v>306</v>
      </c>
    </row>
    <row r="57" customFormat="false" ht="17.15" hidden="false" customHeight="false" outlineLevel="0" collapsed="false">
      <c r="A57" s="5" t="s">
        <v>463</v>
      </c>
      <c r="B57" s="18" t="n">
        <f aca="false">px</f>
        <v>172.37</v>
      </c>
    </row>
    <row r="58" customFormat="false" ht="17.15" hidden="false" customHeight="false" outlineLevel="0" collapsed="false">
      <c r="A58" s="5" t="s">
        <v>464</v>
      </c>
      <c r="B58" s="30" t="n">
        <f aca="false">px/PL!D13</f>
        <v>42.0936681743809</v>
      </c>
      <c r="C58" s="30" t="n">
        <f aca="false">px/PL!D25</f>
        <v>42.0936681743809</v>
      </c>
      <c r="D58" s="30" t="n">
        <f aca="false">px/PL!D37</f>
        <v>42.0936681743809</v>
      </c>
    </row>
    <row r="59" customFormat="false" ht="17.15" hidden="false" customHeight="false" outlineLevel="0" collapsed="false">
      <c r="A59" s="5" t="s">
        <v>465</v>
      </c>
      <c r="B59" s="30" t="n">
        <f aca="false">px/PL!E13</f>
        <v>31.5397136641375</v>
      </c>
      <c r="C59" s="30" t="n">
        <f aca="false">px/PL!E25</f>
        <v>31.5397136641375</v>
      </c>
      <c r="D59" s="30" t="n">
        <f aca="false">px/PL!E37</f>
        <v>31.5397136641375</v>
      </c>
      <c r="E59" s="8" t="s">
        <v>466</v>
      </c>
    </row>
    <row r="60" customFormat="false" ht="17.15" hidden="false" customHeight="false" outlineLevel="0" collapsed="false">
      <c r="A60" s="5" t="s">
        <v>467</v>
      </c>
      <c r="B60" s="30" t="n">
        <f aca="false">px/PL!F13</f>
        <v>28.7824916250012</v>
      </c>
      <c r="C60" s="30" t="n">
        <f aca="false">px/PL!F25</f>
        <v>31.2852673835325</v>
      </c>
      <c r="D60" s="30" t="n">
        <f aca="false">px/PL!F37</f>
        <v>34.7046878144637</v>
      </c>
    </row>
    <row r="61" customFormat="false" ht="17.15" hidden="false" customHeight="false" outlineLevel="0" collapsed="false">
      <c r="A61" s="5" t="s">
        <v>468</v>
      </c>
      <c r="B61" s="30" t="n">
        <f aca="false">px/PL!G13</f>
        <v>26.2942617738372</v>
      </c>
      <c r="C61" s="30" t="n">
        <f aca="false">px/PL!G25</f>
        <v>28.0573065325664</v>
      </c>
      <c r="D61" s="30" t="n">
        <f aca="false">px/PL!G37</f>
        <v>31.9659449964552</v>
      </c>
    </row>
    <row r="62" customFormat="false" ht="17.15" hidden="false" customHeight="false" outlineLevel="0" collapsed="false">
      <c r="A62" s="5" t="s">
        <v>209</v>
      </c>
      <c r="B62" s="30" t="n">
        <f aca="false">pe_fwd_sa</f>
        <v>37.06</v>
      </c>
      <c r="E62" s="8" t="s">
        <v>469</v>
      </c>
    </row>
    <row r="63" customFormat="false" ht="17.15" hidden="false" customHeight="false" outlineLevel="0" collapsed="false">
      <c r="A63" s="5" t="s">
        <v>470</v>
      </c>
      <c r="B63" s="18" t="n">
        <f aca="false">px/pe_fwd_sa</f>
        <v>4.65110631408527</v>
      </c>
    </row>
    <row r="64" customFormat="false" ht="17.15" hidden="false" customHeight="false" outlineLevel="0" collapsed="false">
      <c r="A64" s="5" t="s">
        <v>471</v>
      </c>
      <c r="B64" s="30" t="n">
        <f aca="false">pe_ttm_gaap</f>
        <v>54.55</v>
      </c>
    </row>
    <row r="66" customFormat="false" ht="17.15" hidden="false" customHeight="false" outlineLevel="0" collapsed="false">
      <c r="A66" s="1" t="s">
        <v>472</v>
      </c>
    </row>
    <row r="67" customFormat="false" ht="17.15" hidden="false" customHeight="false" outlineLevel="0" collapsed="false">
      <c r="A67" s="6" t="s">
        <v>473</v>
      </c>
      <c r="B67" s="6" t="s">
        <v>474</v>
      </c>
      <c r="C67" s="12" t="s">
        <v>475</v>
      </c>
      <c r="D67" s="6" t="s">
        <v>476</v>
      </c>
      <c r="E67" s="6" t="s">
        <v>477</v>
      </c>
      <c r="F67" s="6" t="s">
        <v>306</v>
      </c>
    </row>
    <row r="68" customFormat="false" ht="17.15" hidden="false" customHeight="false" outlineLevel="0" collapsed="false">
      <c r="A68" s="0" t="s">
        <v>386</v>
      </c>
      <c r="B68" s="0" t="n">
        <f aca="false">INDEX({2026,2027,2028,2029},MATCH(MAX(PL!D72:G72),PL!D72:G72,0))</f>
        <v>2029</v>
      </c>
      <c r="C68" s="0" t="str">
        <f aca="false">IF(B68=2029,"中段",IF(2027&lt;B68,"中段",IF(2027=B68,"見頂","谷底")))</f>
        <v>中段</v>
      </c>
      <c r="D68" s="30" t="n">
        <f aca="false">IF(C68="見頂",pe_peak,IF(C68="谷底",pe_trough,pe_mid))</f>
        <v>35.83</v>
      </c>
      <c r="E68" s="0" t="str">
        <f aca="false">IF(B68=2029,"是：營收到觀測期末仍在增加","否")</f>
        <v>是：營收到觀測期末仍在增加</v>
      </c>
      <c r="F68" s="8" t="s">
        <v>478</v>
      </c>
    </row>
    <row r="69" customFormat="false" ht="15" hidden="false" customHeight="false" outlineLevel="0" collapsed="false">
      <c r="A69" s="0" t="s">
        <v>387</v>
      </c>
      <c r="B69" s="0" t="n">
        <f aca="false">INDEX({2026,2027,2028,2029},MATCH(MAX(PL!D103:G103),PL!D103:G103,0))</f>
        <v>2029</v>
      </c>
      <c r="C69" s="0" t="str">
        <f aca="false">IF(B69=2029,"中段",IF(2027&lt;B69,"中段",IF(2027=B69,"見頂","谷底")))</f>
        <v>中段</v>
      </c>
      <c r="D69" s="30" t="n">
        <f aca="false">IF(C69="見頂",pe_peak,IF(C69="谷底",pe_trough,pe_mid))</f>
        <v>35.83</v>
      </c>
      <c r="E69" s="0" t="str">
        <f aca="false">IF(B69=2029,"是：營收到觀測期末仍在增加","否")</f>
        <v>是：營收到觀測期末仍在增加</v>
      </c>
      <c r="F69" s="5" t="s">
        <v>35</v>
      </c>
    </row>
    <row r="70" customFormat="false" ht="15" hidden="false" customHeight="false" outlineLevel="0" collapsed="false">
      <c r="A70" s="0" t="s">
        <v>388</v>
      </c>
      <c r="B70" s="0" t="n">
        <f aca="false">INDEX({2026,2027,2028,2029},MATCH(MAX(PL!D134:G134),PL!D134:G134,0))</f>
        <v>2027</v>
      </c>
      <c r="C70" s="0" t="str">
        <f aca="false">IF(B70=2029,"中段",IF(2027&lt;B70,"中段",IF(2027=B70,"見頂","谷底")))</f>
        <v>見頂</v>
      </c>
      <c r="D70" s="30" t="n">
        <f aca="false">IF(C70="見頂",pe_peak,IF(C70="谷底",pe_trough,pe_mid))</f>
        <v>28.68</v>
      </c>
      <c r="E70" s="0" t="str">
        <f aca="false">IF(B70=2029,"是：營收到觀測期末仍在增加","否")</f>
        <v>否</v>
      </c>
      <c r="F70" s="5" t="s">
        <v>35</v>
      </c>
    </row>
    <row r="72" customFormat="false" ht="17.15" hidden="false" customHeight="false" outlineLevel="0" collapsed="false">
      <c r="A72" s="1" t="s">
        <v>479</v>
      </c>
    </row>
    <row r="73" customFormat="false" ht="17.15" hidden="false" customHeight="false" outlineLevel="0" collapsed="false">
      <c r="A73" s="6" t="s">
        <v>473</v>
      </c>
      <c r="B73" s="12" t="s">
        <v>480</v>
      </c>
      <c r="C73" s="12" t="s">
        <v>481</v>
      </c>
      <c r="D73" s="6" t="s">
        <v>482</v>
      </c>
      <c r="E73" s="6" t="s">
        <v>483</v>
      </c>
      <c r="F73" s="6" t="s">
        <v>484</v>
      </c>
      <c r="G73" s="6" t="s">
        <v>485</v>
      </c>
    </row>
    <row r="74" customFormat="false" ht="15" hidden="false" customHeight="false" outlineLevel="0" collapsed="false">
      <c r="A74" s="9" t="s">
        <v>386</v>
      </c>
      <c r="B74" s="32" t="n">
        <f aca="false">PL!E13</f>
        <v>5.46517326807551</v>
      </c>
      <c r="C74" s="32" t="n">
        <f aca="false">B74*g2n</f>
        <v>5.06034561858844</v>
      </c>
      <c r="D74" s="29" t="n">
        <f aca="false">D68</f>
        <v>35.83</v>
      </c>
      <c r="E74" s="33" t="n">
        <f aca="false">C74*D74</f>
        <v>181.312183514024</v>
      </c>
      <c r="F74" s="34" t="n">
        <f aca="false">E74/px-1</f>
        <v>0.0518778413530412</v>
      </c>
      <c r="G74" s="29" t="n">
        <f aca="false">px/C74</f>
        <v>34.0628907572685</v>
      </c>
    </row>
    <row r="75" customFormat="false" ht="15" hidden="false" customHeight="false" outlineLevel="0" collapsed="false">
      <c r="A75" s="9" t="s">
        <v>387</v>
      </c>
      <c r="B75" s="32" t="n">
        <f aca="false">PL!E25</f>
        <v>5.46517326807551</v>
      </c>
      <c r="C75" s="32" t="n">
        <f aca="false">B75*g2n</f>
        <v>5.06034561858844</v>
      </c>
      <c r="D75" s="29" t="n">
        <f aca="false">D69</f>
        <v>35.83</v>
      </c>
      <c r="E75" s="33" t="n">
        <f aca="false">C75*D75</f>
        <v>181.312183514024</v>
      </c>
      <c r="F75" s="34" t="n">
        <f aca="false">E75/px-1</f>
        <v>0.0518778413530412</v>
      </c>
      <c r="G75" s="29" t="n">
        <f aca="false">px/C75</f>
        <v>34.0628907572685</v>
      </c>
    </row>
    <row r="76" customFormat="false" ht="15" hidden="false" customHeight="false" outlineLevel="0" collapsed="false">
      <c r="A76" s="9" t="s">
        <v>388</v>
      </c>
      <c r="B76" s="32" t="n">
        <f aca="false">PL!E37</f>
        <v>5.46517326807551</v>
      </c>
      <c r="C76" s="32" t="n">
        <f aca="false">B76*g2n</f>
        <v>5.06034561858844</v>
      </c>
      <c r="D76" s="29" t="n">
        <f aca="false">D70</f>
        <v>28.68</v>
      </c>
      <c r="E76" s="33" t="n">
        <f aca="false">C76*D76</f>
        <v>145.130712341116</v>
      </c>
      <c r="F76" s="34" t="n">
        <f aca="false">E76/px-1</f>
        <v>-0.158028007535439</v>
      </c>
      <c r="G76" s="29" t="n">
        <f aca="false">px/C76</f>
        <v>34.0628907572685</v>
      </c>
    </row>
    <row r="77" customFormat="false" ht="17.15" hidden="false" customHeight="false" outlineLevel="0" collapsed="false">
      <c r="A77" s="1" t="s">
        <v>486</v>
      </c>
    </row>
    <row r="78" customFormat="false" ht="17.15" hidden="false" customHeight="false" outlineLevel="0" collapsed="false">
      <c r="A78" s="12" t="s">
        <v>487</v>
      </c>
      <c r="B78" s="6" t="s">
        <v>488</v>
      </c>
      <c r="C78" s="6" t="s">
        <v>489</v>
      </c>
      <c r="D78" s="6" t="s">
        <v>490</v>
      </c>
      <c r="E78" s="6" t="s">
        <v>491</v>
      </c>
    </row>
    <row r="79" customFormat="false" ht="15" hidden="false" customHeight="false" outlineLevel="0" collapsed="false">
      <c r="A79" s="17" t="n">
        <v>1</v>
      </c>
      <c r="B79" s="30" t="n">
        <f aca="false">px*A79/PL!F13</f>
        <v>28.7824916250012</v>
      </c>
      <c r="C79" s="30" t="n">
        <f aca="false">px*A79/PL!F37</f>
        <v>34.7046878144637</v>
      </c>
      <c r="D79" s="30" t="n">
        <f aca="false">pe_fair_andy</f>
        <v>25</v>
      </c>
      <c r="E79" s="30" t="n">
        <f aca="false">pe_mid</f>
        <v>35.83</v>
      </c>
    </row>
    <row r="80" customFormat="false" ht="15" hidden="false" customHeight="false" outlineLevel="0" collapsed="false">
      <c r="A80" s="17" t="n">
        <v>1.1</v>
      </c>
      <c r="B80" s="30" t="n">
        <f aca="false">px*A80/PL!F13</f>
        <v>31.6607407875013</v>
      </c>
      <c r="C80" s="30" t="n">
        <f aca="false">px*A80/PL!F37</f>
        <v>38.1751565959101</v>
      </c>
      <c r="D80" s="30" t="n">
        <f aca="false">pe_fair_andy</f>
        <v>25</v>
      </c>
      <c r="E80" s="30" t="n">
        <f aca="false">pe_mid</f>
        <v>35.83</v>
      </c>
    </row>
    <row r="81" customFormat="false" ht="15" hidden="false" customHeight="false" outlineLevel="0" collapsed="false">
      <c r="A81" s="17" t="n">
        <v>1.21</v>
      </c>
      <c r="B81" s="30" t="n">
        <f aca="false">px*A81/PL!F13</f>
        <v>34.8268148662515</v>
      </c>
      <c r="C81" s="30" t="n">
        <f aca="false">px*A81/PL!F37</f>
        <v>41.9926722555011</v>
      </c>
      <c r="D81" s="30" t="n">
        <f aca="false">pe_fair_andy</f>
        <v>25</v>
      </c>
      <c r="E81" s="30" t="n">
        <f aca="false">pe_mid</f>
        <v>35.83</v>
      </c>
    </row>
    <row r="82" customFormat="false" ht="15" hidden="false" customHeight="false" outlineLevel="0" collapsed="false">
      <c r="A82" s="17" t="n">
        <v>1.5</v>
      </c>
      <c r="B82" s="30" t="n">
        <f aca="false">px*A82/PL!F13</f>
        <v>43.1737374375018</v>
      </c>
      <c r="C82" s="30" t="n">
        <f aca="false">px*A82/PL!F37</f>
        <v>52.0570317216956</v>
      </c>
      <c r="D82" s="30" t="n">
        <f aca="false">pe_fair_andy</f>
        <v>25</v>
      </c>
      <c r="E82" s="30" t="n">
        <f aca="false">pe_mid</f>
        <v>35.83</v>
      </c>
    </row>
    <row r="83" customFormat="false" ht="15" hidden="false" customHeight="false" outlineLevel="0" collapsed="false">
      <c r="A83" s="17" t="n">
        <v>2</v>
      </c>
      <c r="B83" s="30" t="n">
        <f aca="false">px*A83/PL!F13</f>
        <v>57.5649832500024</v>
      </c>
      <c r="C83" s="30" t="n">
        <f aca="false">px*A83/PL!F37</f>
        <v>69.4093756289274</v>
      </c>
      <c r="D83" s="30" t="n">
        <f aca="false">pe_fair_andy</f>
        <v>25</v>
      </c>
      <c r="E83" s="30" t="n">
        <f aca="false">pe_mid</f>
        <v>35.83</v>
      </c>
    </row>
    <row r="84" customFormat="false" ht="17.15" hidden="false" customHeight="false" outlineLevel="0" collapsed="false">
      <c r="A84" s="5" t="s">
        <v>492</v>
      </c>
    </row>
    <row r="86" customFormat="false" ht="17.15" hidden="false" customHeight="false" outlineLevel="0" collapsed="false">
      <c r="A86" s="1" t="s">
        <v>493</v>
      </c>
    </row>
    <row r="87" customFormat="false" ht="15" hidden="false" customHeight="false" outlineLevel="0" collapsed="false">
      <c r="A87" s="6" t="s">
        <v>473</v>
      </c>
      <c r="B87" s="12" t="s">
        <v>494</v>
      </c>
      <c r="C87" s="12" t="s">
        <v>495</v>
      </c>
      <c r="D87" s="6" t="s">
        <v>484</v>
      </c>
      <c r="E87" s="12" t="s">
        <v>496</v>
      </c>
      <c r="F87" s="12" t="s">
        <v>495</v>
      </c>
      <c r="G87" s="6" t="s">
        <v>484</v>
      </c>
    </row>
    <row r="88" customFormat="false" ht="15" hidden="false" customHeight="false" outlineLevel="0" collapsed="false">
      <c r="A88" s="0" t="s">
        <v>386</v>
      </c>
      <c r="B88" s="18" t="n">
        <f aca="false">PL!E13</f>
        <v>5.46517326807551</v>
      </c>
      <c r="C88" s="35" t="n">
        <f aca="false">B88*pe_fair_andy</f>
        <v>136.629331701888</v>
      </c>
      <c r="D88" s="31" t="n">
        <f aca="false">C88/px-1</f>
        <v>-0.207348542658886</v>
      </c>
      <c r="E88" s="18" t="n">
        <f aca="false">PL!F13</f>
        <v>5.98871015913977</v>
      </c>
      <c r="F88" s="35" t="n">
        <f aca="false">E88*pe_fair_andy</f>
        <v>149.717753978494</v>
      </c>
      <c r="G88" s="31" t="n">
        <f aca="false">F88/px-1</f>
        <v>-0.131416406692034</v>
      </c>
    </row>
    <row r="89" customFormat="false" ht="15" hidden="false" customHeight="false" outlineLevel="0" collapsed="false">
      <c r="A89" s="0" t="s">
        <v>387</v>
      </c>
      <c r="B89" s="18" t="n">
        <f aca="false">PL!E25</f>
        <v>5.46517326807551</v>
      </c>
      <c r="C89" s="35" t="n">
        <f aca="false">B89*pe_fair_andy</f>
        <v>136.629331701888</v>
      </c>
      <c r="D89" s="31" t="n">
        <f aca="false">C89/px-1</f>
        <v>-0.207348542658886</v>
      </c>
      <c r="E89" s="18" t="n">
        <f aca="false">PL!F25</f>
        <v>5.50962208143792</v>
      </c>
      <c r="F89" s="35" t="n">
        <f aca="false">E89*pe_fair_andy</f>
        <v>137.740552035948</v>
      </c>
      <c r="G89" s="31" t="n">
        <f aca="false">F89/px-1</f>
        <v>-0.200901827255625</v>
      </c>
    </row>
    <row r="90" customFormat="false" ht="15" hidden="false" customHeight="false" outlineLevel="0" collapsed="false">
      <c r="A90" s="0" t="s">
        <v>388</v>
      </c>
      <c r="B90" s="18" t="n">
        <f aca="false">PL!E37</f>
        <v>5.46517326807551</v>
      </c>
      <c r="C90" s="35" t="n">
        <f aca="false">B90*pe_fair_andy</f>
        <v>136.629331701888</v>
      </c>
      <c r="D90" s="31" t="n">
        <f aca="false">C90/px-1</f>
        <v>-0.207348542658886</v>
      </c>
      <c r="E90" s="18" t="n">
        <f aca="false">PL!F37</f>
        <v>4.96676417092454</v>
      </c>
      <c r="F90" s="35" t="n">
        <f aca="false">E90*pe_fair_andy</f>
        <v>124.169104273114</v>
      </c>
      <c r="G90" s="31" t="n">
        <f aca="false">F90/px-1</f>
        <v>-0.279636222816537</v>
      </c>
    </row>
    <row r="101" customFormat="false" ht="17.15" hidden="false" customHeight="false" outlineLevel="0" collapsed="false">
      <c r="A101" s="1" t="s">
        <v>497</v>
      </c>
    </row>
    <row r="102" customFormat="false" ht="17.15" hidden="false" customHeight="false" outlineLevel="0" collapsed="false">
      <c r="A102" s="5" t="s">
        <v>498</v>
      </c>
    </row>
    <row r="104" customFormat="false" ht="17.15" hidden="false" customHeight="false" outlineLevel="0" collapsed="false">
      <c r="A104" s="1" t="s">
        <v>499</v>
      </c>
    </row>
    <row r="105" customFormat="false" ht="17.15" hidden="false" customHeight="false" outlineLevel="0" collapsed="false">
      <c r="A105" s="6" t="s">
        <v>500</v>
      </c>
      <c r="B105" s="12" t="s">
        <v>501</v>
      </c>
      <c r="C105" s="12" t="s">
        <v>502</v>
      </c>
      <c r="D105" s="6" t="s">
        <v>503</v>
      </c>
    </row>
    <row r="106" customFormat="false" ht="17.15" hidden="false" customHeight="false" outlineLevel="0" collapsed="false">
      <c r="A106" s="0" t="s">
        <v>504</v>
      </c>
      <c r="B106" s="17" t="n">
        <v>36.2</v>
      </c>
      <c r="C106" s="17" t="n">
        <v>38.86</v>
      </c>
      <c r="D106" s="8" t="s">
        <v>505</v>
      </c>
    </row>
    <row r="107" customFormat="false" ht="15" hidden="false" customHeight="false" outlineLevel="0" collapsed="false">
      <c r="A107" s="0" t="s">
        <v>506</v>
      </c>
      <c r="B107" s="17" t="n">
        <v>40.3</v>
      </c>
      <c r="C107" s="17" t="n">
        <v>46.56</v>
      </c>
    </row>
    <row r="108" customFormat="false" ht="15" hidden="false" customHeight="false" outlineLevel="0" collapsed="false">
      <c r="A108" s="0" t="s">
        <v>507</v>
      </c>
      <c r="B108" s="17" t="n">
        <v>24.8</v>
      </c>
      <c r="C108" s="17" t="n">
        <v>26.91</v>
      </c>
    </row>
    <row r="109" customFormat="false" ht="15" hidden="false" customHeight="false" outlineLevel="0" collapsed="false">
      <c r="A109" s="0" t="s">
        <v>508</v>
      </c>
      <c r="B109" s="17" t="n">
        <v>18.1</v>
      </c>
      <c r="C109" s="17" t="n">
        <v>19.12</v>
      </c>
    </row>
    <row r="110" customFormat="false" ht="15" hidden="false" customHeight="false" outlineLevel="0" collapsed="false">
      <c r="A110" s="0" t="s">
        <v>509</v>
      </c>
      <c r="B110" s="17" t="n">
        <v>34.8</v>
      </c>
      <c r="C110" s="17" t="n">
        <v>36.37</v>
      </c>
    </row>
    <row r="111" customFormat="false" ht="15" hidden="false" customHeight="false" outlineLevel="0" collapsed="false">
      <c r="A111" s="0" t="s">
        <v>510</v>
      </c>
      <c r="B111" s="17" t="n">
        <v>52.4</v>
      </c>
      <c r="C111" s="17" t="n">
        <v>54.5</v>
      </c>
    </row>
    <row r="112" customFormat="false" ht="15" hidden="false" customHeight="false" outlineLevel="0" collapsed="false">
      <c r="A112" s="0" t="s">
        <v>511</v>
      </c>
      <c r="B112" s="17" t="n">
        <v>27.5</v>
      </c>
      <c r="C112" s="17" t="n">
        <v>28.42</v>
      </c>
    </row>
    <row r="113" customFormat="false" ht="15" hidden="false" customHeight="false" outlineLevel="0" collapsed="false">
      <c r="A113" s="0" t="s">
        <v>512</v>
      </c>
      <c r="B113" s="17" t="n">
        <v>34.9</v>
      </c>
      <c r="C113" s="17" t="n">
        <v>35.85</v>
      </c>
    </row>
    <row r="114" customFormat="false" ht="15" hidden="false" customHeight="false" outlineLevel="0" collapsed="false">
      <c r="A114" s="0" t="s">
        <v>513</v>
      </c>
      <c r="B114" s="17" t="n">
        <v>48.6</v>
      </c>
    </row>
    <row r="115" customFormat="false" ht="15" hidden="false" customHeight="false" outlineLevel="0" collapsed="false">
      <c r="A115" s="0" t="s">
        <v>514</v>
      </c>
      <c r="B115" s="17" t="n">
        <v>46.8</v>
      </c>
    </row>
    <row r="116" customFormat="false" ht="17.15" hidden="false" customHeight="false" outlineLevel="0" collapsed="false">
      <c r="A116" s="0" t="s">
        <v>515</v>
      </c>
      <c r="B116" s="18" t="n">
        <f aca="false">PERCENTILE(B106:B115,0.25)</f>
        <v>29.325</v>
      </c>
      <c r="C116" s="18" t="n">
        <f aca="false">PERCENTILE(C106:C115,0.25)</f>
        <v>28.0425</v>
      </c>
    </row>
    <row r="117" customFormat="false" ht="15" hidden="false" customHeight="false" outlineLevel="0" collapsed="false">
      <c r="A117" s="5" t="s">
        <v>516</v>
      </c>
      <c r="B117" s="18" t="n">
        <f aca="false">MEDIAN(B106:B115)</f>
        <v>35.55</v>
      </c>
      <c r="C117" s="18" t="n">
        <f aca="false">MEDIAN(C106:C115)</f>
        <v>36.11</v>
      </c>
    </row>
    <row r="118" customFormat="false" ht="17.15" hidden="false" customHeight="false" outlineLevel="0" collapsed="false">
      <c r="A118" s="0" t="s">
        <v>517</v>
      </c>
      <c r="B118" s="18" t="n">
        <f aca="false">PERCENTILE(B106:B115,0.75)</f>
        <v>45.175</v>
      </c>
      <c r="C118" s="18" t="n">
        <f aca="false">PERCENTILE(C106:C115,0.75)</f>
        <v>40.785</v>
      </c>
    </row>
    <row r="119" customFormat="false" ht="15" hidden="false" customHeight="false" outlineLevel="0" collapsed="false">
      <c r="A119" s="5" t="s">
        <v>518</v>
      </c>
      <c r="B119" s="18" t="n">
        <f aca="false">MIN(B106:B115)</f>
        <v>18.1</v>
      </c>
      <c r="C119" s="18" t="n">
        <f aca="false">MIN(C106:C115)</f>
        <v>19.12</v>
      </c>
    </row>
    <row r="120" customFormat="false" ht="15" hidden="false" customHeight="false" outlineLevel="0" collapsed="false">
      <c r="A120" s="5" t="s">
        <v>519</v>
      </c>
      <c r="B120" s="18" t="n">
        <f aca="false">MAX(B106:B115)</f>
        <v>52.4</v>
      </c>
      <c r="C120" s="18" t="n">
        <f aca="false">MAX(C106:C115)</f>
        <v>54.5</v>
      </c>
    </row>
    <row r="121" customFormat="false" ht="17.15" hidden="false" customHeight="false" outlineLevel="0" collapsed="false">
      <c r="A121" s="3" t="s">
        <v>520</v>
      </c>
      <c r="B121" s="18" t="n">
        <f aca="false">ROUND(AVERAGE(B116,C116),2)</f>
        <v>28.68</v>
      </c>
    </row>
    <row r="122" customFormat="false" ht="17.15" hidden="false" customHeight="false" outlineLevel="0" collapsed="false">
      <c r="A122" s="3" t="s">
        <v>521</v>
      </c>
      <c r="B122" s="18" t="n">
        <f aca="false">ROUND(AVERAGE(B117,C117),2)</f>
        <v>35.83</v>
      </c>
    </row>
    <row r="123" customFormat="false" ht="17.15" hidden="false" customHeight="false" outlineLevel="0" collapsed="false">
      <c r="A123" s="3" t="s">
        <v>522</v>
      </c>
      <c r="B123" s="18" t="n">
        <f aca="false">ROUND(AVERAGE(B118,C118),2)</f>
        <v>42.98</v>
      </c>
    </row>
    <row r="124" customFormat="false" ht="17.15" hidden="false" customHeight="false" outlineLevel="0" collapsed="false">
      <c r="A124" s="3" t="s">
        <v>523</v>
      </c>
      <c r="B124" s="18" t="n">
        <f aca="false">ROUND(MIN(B119,C119),2)</f>
        <v>18.1</v>
      </c>
    </row>
    <row r="125" customFormat="false" ht="17.15" hidden="false" customHeight="false" outlineLevel="0" collapsed="false">
      <c r="A125" s="3" t="s">
        <v>524</v>
      </c>
      <c r="B125" s="18" t="n">
        <f aca="false">ROUND(MAX(B120,C120),2)</f>
        <v>54.5</v>
      </c>
    </row>
    <row r="127" customFormat="false" ht="17.15" hidden="false" customHeight="false" outlineLevel="0" collapsed="false">
      <c r="A127" s="1" t="s">
        <v>525</v>
      </c>
    </row>
    <row r="128" customFormat="false" ht="17.15" hidden="false" customHeight="false" outlineLevel="0" collapsed="false">
      <c r="A128" s="6" t="s">
        <v>526</v>
      </c>
      <c r="B128" s="6" t="s">
        <v>527</v>
      </c>
      <c r="C128" s="6" t="s">
        <v>528</v>
      </c>
      <c r="D128" s="6" t="s">
        <v>21</v>
      </c>
      <c r="E128" s="6" t="s">
        <v>529</v>
      </c>
      <c r="F128" s="6" t="s">
        <v>483</v>
      </c>
      <c r="G128" s="6" t="s">
        <v>530</v>
      </c>
      <c r="H128" s="6" t="s">
        <v>531</v>
      </c>
    </row>
    <row r="129" customFormat="false" ht="17.15" hidden="false" customHeight="false" outlineLevel="0" collapsed="false">
      <c r="A129" s="5" t="s">
        <v>532</v>
      </c>
      <c r="B129" s="0" t="s">
        <v>533</v>
      </c>
      <c r="C129" s="18" t="n">
        <f aca="false">B121</f>
        <v>28.68</v>
      </c>
      <c r="D129" s="8" t="s">
        <v>534</v>
      </c>
      <c r="E129" s="18" t="n">
        <f aca="false">C74</f>
        <v>5.06034561858844</v>
      </c>
      <c r="F129" s="19" t="n">
        <f aca="false">C129*E129</f>
        <v>145.130712341116</v>
      </c>
      <c r="G129" s="15" t="n">
        <f aca="false">F129/px-1</f>
        <v>-0.158028007535439</v>
      </c>
      <c r="H129" s="18" t="n">
        <f aca="false">px/E129</f>
        <v>34.0628907572685</v>
      </c>
    </row>
    <row r="130" customFormat="false" ht="17.15" hidden="false" customHeight="false" outlineLevel="0" collapsed="false">
      <c r="A130" s="5" t="s">
        <v>535</v>
      </c>
      <c r="B130" s="5" t="s">
        <v>536</v>
      </c>
      <c r="C130" s="18" t="n">
        <f aca="false">B122</f>
        <v>35.83</v>
      </c>
      <c r="D130" s="8" t="s">
        <v>534</v>
      </c>
      <c r="E130" s="18" t="n">
        <f aca="false">C74</f>
        <v>5.06034561858844</v>
      </c>
      <c r="F130" s="19" t="n">
        <f aca="false">C130*E130</f>
        <v>181.312183514024</v>
      </c>
      <c r="G130" s="15" t="n">
        <f aca="false">F130/px-1</f>
        <v>0.0518778413530412</v>
      </c>
      <c r="H130" s="18" t="n">
        <f aca="false">px/E130</f>
        <v>34.0628907572685</v>
      </c>
    </row>
    <row r="131" customFormat="false" ht="17.15" hidden="false" customHeight="false" outlineLevel="0" collapsed="false">
      <c r="A131" s="5" t="s">
        <v>537</v>
      </c>
      <c r="B131" s="0" t="s">
        <v>538</v>
      </c>
      <c r="C131" s="18" t="n">
        <f aca="false">B123</f>
        <v>42.98</v>
      </c>
      <c r="D131" s="8" t="s">
        <v>534</v>
      </c>
      <c r="E131" s="18" t="n">
        <f aca="false">C74</f>
        <v>5.06034561858844</v>
      </c>
      <c r="F131" s="19" t="n">
        <f aca="false">C131*E131</f>
        <v>217.493654686931</v>
      </c>
      <c r="G131" s="15" t="n">
        <f aca="false">F131/px-1</f>
        <v>0.261783690241521</v>
      </c>
      <c r="H131" s="18" t="n">
        <f aca="false">px/E131</f>
        <v>34.0628907572685</v>
      </c>
    </row>
    <row r="135" customFormat="false" ht="15" hidden="false" customHeight="false" outlineLevel="0" collapsed="false">
      <c r="A135" s="3" t="s">
        <v>539</v>
      </c>
    </row>
    <row r="136" customFormat="false" ht="15" hidden="false" customHeight="false" outlineLevel="0" collapsed="false">
      <c r="A136" s="6" t="s">
        <v>18</v>
      </c>
      <c r="B136" s="6" t="s">
        <v>442</v>
      </c>
      <c r="C136" s="12"/>
      <c r="D136" s="12"/>
      <c r="E136" s="6" t="s">
        <v>306</v>
      </c>
    </row>
    <row r="137" customFormat="false" ht="17.15" hidden="false" customHeight="false" outlineLevel="0" collapsed="false">
      <c r="A137" s="5" t="s">
        <v>540</v>
      </c>
      <c r="B137" s="20" t="n">
        <f aca="false">tp_wA*B139+tp_wB*B140+tp_wC*B141</f>
        <v>174.075889279442</v>
      </c>
      <c r="E137" s="5" t="s">
        <v>541</v>
      </c>
    </row>
    <row r="138" customFormat="false" ht="17.15" hidden="false" customHeight="false" outlineLevel="0" collapsed="false">
      <c r="A138" s="5" t="s">
        <v>542</v>
      </c>
      <c r="B138" s="15" t="n">
        <f aca="false">B137/px-1</f>
        <v>0.00989667157534524</v>
      </c>
      <c r="E138" s="5" t="s">
        <v>543</v>
      </c>
    </row>
    <row r="139" customFormat="false" ht="17.15" hidden="false" customHeight="false" outlineLevel="0" collapsed="false">
      <c r="A139" s="5" t="s">
        <v>544</v>
      </c>
      <c r="B139" s="20" t="n">
        <f aca="false">E74</f>
        <v>181.312183514024</v>
      </c>
      <c r="E139" s="0" t="str">
        <f aca="false">"第 3 節規則值：FY2027 GAAP 換算 EPS × "&amp;TEXT(D74,"0.0")&amp;"x（"&amp;C68&amp;"）"</f>
        <v>第 3 節規則值：FY2027 GAAP 換算 EPS × 35.8x（中段）</v>
      </c>
    </row>
    <row r="140" customFormat="false" ht="17.15" hidden="false" customHeight="false" outlineLevel="0" collapsed="false">
      <c r="A140" s="5" t="s">
        <v>545</v>
      </c>
      <c r="B140" s="20" t="n">
        <f aca="false">E75</f>
        <v>181.312183514024</v>
      </c>
      <c r="E140" s="0" t="str">
        <f aca="false">"第 3 節規則值：FY2027 GAAP 換算 EPS × "&amp;TEXT(D75,"0.0")&amp;"x（"&amp;C69&amp;"）"</f>
        <v>第 3 節規則值：FY2027 GAAP 換算 EPS × 35.8x（中段）</v>
      </c>
    </row>
    <row r="141" customFormat="false" ht="17.15" hidden="false" customHeight="false" outlineLevel="0" collapsed="false">
      <c r="A141" s="5" t="s">
        <v>546</v>
      </c>
      <c r="B141" s="20" t="n">
        <f aca="false">E76</f>
        <v>145.130712341116</v>
      </c>
      <c r="E141" s="0" t="str">
        <f aca="false">"第 3 節規則值：FY2027 GAAP 換算 EPS × "&amp;TEXT(D76,"0.0")&amp;"x（"&amp;C70&amp;"）"</f>
        <v>第 3 節規則值：FY2027 GAAP 換算 EPS × 28.7x（見頂）</v>
      </c>
    </row>
    <row r="142" customFormat="false" ht="17.15" hidden="false" customHeight="false" outlineLevel="0" collapsed="false">
      <c r="A142" s="5" t="s">
        <v>547</v>
      </c>
      <c r="B142" s="31" t="n">
        <f aca="false">tp_wA</f>
        <v>0.3</v>
      </c>
      <c r="C142" s="31" t="n">
        <f aca="false">tp_wB</f>
        <v>0.5</v>
      </c>
      <c r="D142" s="31" t="n">
        <f aca="false">tp_wC</f>
        <v>0.2</v>
      </c>
      <c r="E142" s="0" t="str">
        <f aca="false">"合計 "&amp;TEXT(B142+C142+D142,"0%")&amp;"；In 頁 tp_wA／tp_wB／tp_wC（Assumed，Andy 可改）"</f>
        <v>合計 100%；In 頁 tp_wA／tp_wB／tp_wC（Assumed，Andy 可改）</v>
      </c>
    </row>
    <row r="143" customFormat="false" ht="17.15" hidden="false" customHeight="false" outlineLevel="0" collapsed="false">
      <c r="A143" s="5" t="s">
        <v>548</v>
      </c>
      <c r="B143" s="0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550</v>
      </c>
    </row>
    <row r="3" customFormat="false" ht="17.15" hidden="false" customHeight="false" outlineLevel="0" collapsed="false">
      <c r="A3" s="6" t="s">
        <v>18</v>
      </c>
      <c r="B3" s="6" t="s">
        <v>551</v>
      </c>
      <c r="C3" s="6" t="s">
        <v>552</v>
      </c>
      <c r="D3" s="6" t="s">
        <v>553</v>
      </c>
      <c r="E3" s="6" t="s">
        <v>554</v>
      </c>
      <c r="F3" s="6" t="s">
        <v>555</v>
      </c>
      <c r="G3" s="6" t="s">
        <v>556</v>
      </c>
      <c r="H3" s="6" t="s">
        <v>557</v>
      </c>
      <c r="I3" s="6" t="s">
        <v>558</v>
      </c>
      <c r="J3" s="6" t="s">
        <v>306</v>
      </c>
    </row>
    <row r="4" customFormat="false" ht="17.15" hidden="false" customHeight="false" outlineLevel="0" collapsed="false">
      <c r="A4" s="1" t="s">
        <v>559</v>
      </c>
    </row>
    <row r="5" customFormat="false" ht="17.15" hidden="false" customHeight="false" outlineLevel="0" collapsed="false">
      <c r="A5" s="0" t="s">
        <v>560</v>
      </c>
      <c r="B5" s="20" t="n">
        <f aca="false">cons_rev26</f>
        <v>12.68</v>
      </c>
      <c r="C5" s="20" t="n">
        <f aca="false">PL!D72</f>
        <v>12.6</v>
      </c>
      <c r="D5" s="15" t="n">
        <f aca="false">C5/B5-1</f>
        <v>-0.00630914826498441</v>
      </c>
      <c r="E5" s="20" t="n">
        <f aca="false">PL!D103</f>
        <v>12.6</v>
      </c>
      <c r="F5" s="15" t="n">
        <f aca="false">E5/B5-1</f>
        <v>-0.00630914826498441</v>
      </c>
      <c r="G5" s="20" t="n">
        <f aca="false">PL!D134</f>
        <v>12.6</v>
      </c>
      <c r="H5" s="15" t="n">
        <f aca="false">G5/B5-1</f>
        <v>-0.00630914826498441</v>
      </c>
      <c r="I5" s="8" t="s">
        <v>206</v>
      </c>
      <c r="J5" s="5" t="s">
        <v>561</v>
      </c>
    </row>
    <row r="6" customFormat="false" ht="17.15" hidden="false" customHeight="false" outlineLevel="0" collapsed="false">
      <c r="A6" s="0" t="s">
        <v>562</v>
      </c>
      <c r="B6" s="20" t="n">
        <f aca="false">cons_eps26</f>
        <v>4.12</v>
      </c>
      <c r="C6" s="20" t="n">
        <f aca="false">PL!D87</f>
        <v>4.0949151612524</v>
      </c>
      <c r="D6" s="15" t="n">
        <f aca="false">C6/B6-1</f>
        <v>-0.00608855309407763</v>
      </c>
      <c r="E6" s="20" t="n">
        <f aca="false">PL!D118</f>
        <v>4.0949151612524</v>
      </c>
      <c r="F6" s="15" t="n">
        <f aca="false">E6/B6-1</f>
        <v>-0.00608855309407763</v>
      </c>
      <c r="G6" s="20" t="n">
        <f aca="false">PL!D149</f>
        <v>4.0949151612524</v>
      </c>
      <c r="H6" s="15" t="n">
        <f aca="false">G6/B6-1</f>
        <v>-0.00608855309407763</v>
      </c>
      <c r="I6" s="8" t="s">
        <v>206</v>
      </c>
      <c r="J6" s="5" t="s">
        <v>563</v>
      </c>
    </row>
    <row r="7" customFormat="false" ht="17.15" hidden="false" customHeight="false" outlineLevel="0" collapsed="false">
      <c r="A7" s="0" t="s">
        <v>564</v>
      </c>
      <c r="B7" s="20" t="n">
        <f aca="false">erste_eps27</f>
        <v>4.79</v>
      </c>
      <c r="C7" s="20" t="n">
        <f aca="false">PL!E87</f>
        <v>5.46517326807551</v>
      </c>
      <c r="D7" s="15" t="n">
        <f aca="false">C7/B7-1</f>
        <v>0.140954753251673</v>
      </c>
      <c r="E7" s="20" t="n">
        <f aca="false">PL!E118</f>
        <v>5.46517326807551</v>
      </c>
      <c r="F7" s="15" t="n">
        <f aca="false">E7/B7-1</f>
        <v>0.140954753251673</v>
      </c>
      <c r="G7" s="20" t="n">
        <f aca="false">PL!E149</f>
        <v>5.46517326807551</v>
      </c>
      <c r="H7" s="15" t="n">
        <f aca="false">G7/B7-1</f>
        <v>0.140954753251673</v>
      </c>
      <c r="I7" s="8" t="s">
        <v>565</v>
      </c>
      <c r="J7" s="8" t="s">
        <v>566</v>
      </c>
    </row>
    <row r="8" customFormat="false" ht="17.15" hidden="false" customHeight="false" outlineLevel="0" collapsed="false">
      <c r="A8" s="0" t="s">
        <v>567</v>
      </c>
      <c r="B8" s="20" t="n">
        <f aca="false">px/pe_fwd_sa</f>
        <v>4.65110631408527</v>
      </c>
      <c r="C8" s="20" t="n">
        <f aca="false">PL!E87</f>
        <v>5.46517326807551</v>
      </c>
      <c r="D8" s="15" t="n">
        <f aca="false">C8/B8-1</f>
        <v>0.175026520362467</v>
      </c>
      <c r="E8" s="20" t="n">
        <f aca="false">PL!E118</f>
        <v>5.46517326807551</v>
      </c>
      <c r="F8" s="15" t="n">
        <f aca="false">E8/B8-1</f>
        <v>0.175026520362467</v>
      </c>
      <c r="G8" s="20" t="n">
        <f aca="false">PL!E149</f>
        <v>5.46517326807551</v>
      </c>
      <c r="H8" s="15" t="n">
        <f aca="false">G8/B8-1</f>
        <v>0.175026520362467</v>
      </c>
      <c r="I8" s="8" t="s">
        <v>568</v>
      </c>
      <c r="J8" s="5" t="s">
        <v>569</v>
      </c>
    </row>
    <row r="9" customFormat="false" ht="17.15" hidden="false" customHeight="false" outlineLevel="0" collapsed="false">
      <c r="A9" s="0" t="s">
        <v>570</v>
      </c>
      <c r="C9" s="15" t="n">
        <f aca="false">PL!E73</f>
        <v>0.330561615435134</v>
      </c>
      <c r="E9" s="15" t="n">
        <f aca="false">PL!E104</f>
        <v>0.330561615435134</v>
      </c>
      <c r="G9" s="15" t="n">
        <f aca="false">PL!E135</f>
        <v>0.330561615435134</v>
      </c>
      <c r="I9" s="8" t="s">
        <v>83</v>
      </c>
    </row>
    <row r="10" customFormat="false" ht="17.15" hidden="false" customHeight="false" outlineLevel="0" collapsed="false">
      <c r="A10" s="1" t="s">
        <v>571</v>
      </c>
    </row>
    <row r="11" customFormat="false" ht="17.15" hidden="false" customHeight="false" outlineLevel="0" collapsed="false">
      <c r="A11" s="0" t="s">
        <v>572</v>
      </c>
      <c r="B11" s="15" t="n">
        <f aca="false">idc_anet</f>
        <v>0.187</v>
      </c>
      <c r="C11" s="15" t="n">
        <f aca="false">PL!D66</f>
        <v>0.14550639864388</v>
      </c>
      <c r="D11" s="15" t="n">
        <f aca="false">C11-B11</f>
        <v>-0.0414936013561196</v>
      </c>
      <c r="E11" s="15" t="n">
        <f aca="false">PL!D97</f>
        <v>0.14550639864388</v>
      </c>
      <c r="F11" s="15" t="n">
        <f aca="false">E11-B11</f>
        <v>-0.0414936013561196</v>
      </c>
      <c r="G11" s="15" t="n">
        <f aca="false">PL!D128</f>
        <v>0.14550639864388</v>
      </c>
      <c r="H11" s="15" t="n">
        <f aca="false">G11-B11</f>
        <v>-0.0414936013561196</v>
      </c>
      <c r="I11" s="8" t="s">
        <v>573</v>
      </c>
      <c r="J11" s="5" t="s">
        <v>574</v>
      </c>
    </row>
    <row r="12" customFormat="false" ht="17.15" hidden="false" customHeight="false" outlineLevel="0" collapsed="false">
      <c r="A12" s="0" t="s">
        <v>575</v>
      </c>
      <c r="B12" s="15" t="n">
        <f aca="false">1-dell_top2</f>
        <v>0.5</v>
      </c>
      <c r="C12" s="15" t="n">
        <f aca="false">PL!D66</f>
        <v>0.14550639864388</v>
      </c>
      <c r="D12" s="15" t="n">
        <f aca="false">C12-B12</f>
        <v>-0.35449360135612</v>
      </c>
      <c r="E12" s="15" t="n">
        <f aca="false">PL!D97</f>
        <v>0.14550639864388</v>
      </c>
      <c r="F12" s="15" t="n">
        <f aca="false">E12-B12</f>
        <v>-0.35449360135612</v>
      </c>
      <c r="G12" s="15" t="n">
        <f aca="false">PL!D128</f>
        <v>0.14550639864388</v>
      </c>
      <c r="H12" s="15" t="n">
        <f aca="false">G12-B12</f>
        <v>-0.35449360135612</v>
      </c>
      <c r="I12" s="8" t="s">
        <v>576</v>
      </c>
      <c r="J12" s="8" t="s">
        <v>577</v>
      </c>
    </row>
    <row r="13" customFormat="false" ht="17.15" hidden="false" customHeight="false" outlineLevel="0" collapsed="false">
      <c r="A13" s="0" t="s">
        <v>578</v>
      </c>
      <c r="B13" s="15" t="n">
        <v>0.54</v>
      </c>
      <c r="C13" s="15" t="n">
        <f aca="false">PL!E74</f>
        <v>0.402925475056157</v>
      </c>
      <c r="D13" s="15" t="n">
        <f aca="false">C13-B13</f>
        <v>-0.137074524943843</v>
      </c>
      <c r="E13" s="15" t="n">
        <f aca="false">PL!E105</f>
        <v>0.402925475056157</v>
      </c>
      <c r="F13" s="15" t="n">
        <f aca="false">E13-B13</f>
        <v>-0.137074524943843</v>
      </c>
      <c r="G13" s="15" t="n">
        <f aca="false">PL!E136</f>
        <v>0.402925475056157</v>
      </c>
      <c r="H13" s="15" t="n">
        <f aca="false">G13-B13</f>
        <v>-0.137074524943843</v>
      </c>
      <c r="I13" s="5" t="s">
        <v>579</v>
      </c>
    </row>
    <row r="14" customFormat="false" ht="17.15" hidden="false" customHeight="false" outlineLevel="0" collapsed="false">
      <c r="A14" s="0" t="s">
        <v>580</v>
      </c>
      <c r="C14" s="21" t="n">
        <f aca="false">PL!E69/itc_27</f>
        <v>0.00431537761809352</v>
      </c>
      <c r="E14" s="21" t="n">
        <f aca="false">PL!E100/itc_27</f>
        <v>0.00431537761809352</v>
      </c>
      <c r="G14" s="21" t="n">
        <f aca="false">PL!E131/itc_27</f>
        <v>0.00431537761809352</v>
      </c>
      <c r="I14" s="8" t="s">
        <v>581</v>
      </c>
      <c r="J14" s="8" t="s">
        <v>582</v>
      </c>
    </row>
    <row r="15" customFormat="false" ht="17.15" hidden="false" customHeight="false" outlineLevel="0" collapsed="false">
      <c r="A15" s="0" t="s">
        <v>583</v>
      </c>
      <c r="C15" s="15" t="n">
        <f aca="false">PL!F68</f>
        <v>0.130955758779492</v>
      </c>
      <c r="E15" s="15" t="n">
        <f aca="false">PL!F99</f>
        <v>0.130955758779492</v>
      </c>
      <c r="G15" s="15" t="n">
        <f aca="false">PL!F130</f>
        <v>0.130955758779492</v>
      </c>
      <c r="I15" s="8" t="s">
        <v>83</v>
      </c>
    </row>
    <row r="16" customFormat="false" ht="17.15" hidden="false" customHeight="false" outlineLevel="0" collapsed="false">
      <c r="A16" s="1" t="s">
        <v>584</v>
      </c>
    </row>
    <row r="17" customFormat="false" ht="17.15" hidden="false" customHeight="false" outlineLevel="0" collapsed="false">
      <c r="A17" s="5" t="s">
        <v>585</v>
      </c>
      <c r="C17" s="15" t="n">
        <f aca="false">PL!D76</f>
        <v>0.646666666666667</v>
      </c>
      <c r="E17" s="15" t="n">
        <f aca="false">PL!D107</f>
        <v>0.646666666666667</v>
      </c>
      <c r="G17" s="15" t="n">
        <f aca="false">PL!D138</f>
        <v>0.646666666666667</v>
      </c>
      <c r="I17" s="8" t="s">
        <v>586</v>
      </c>
      <c r="J17" s="8" t="s">
        <v>587</v>
      </c>
    </row>
    <row r="18" customFormat="false" ht="17.15" hidden="false" customHeight="false" outlineLevel="0" collapsed="false">
      <c r="A18" s="0" t="s">
        <v>588</v>
      </c>
      <c r="B18" s="15" t="n">
        <f aca="false">a26_gp/a26_rev</f>
        <v>0.63</v>
      </c>
      <c r="C18" s="15" t="n">
        <f aca="false">PL!E78</f>
        <v>0.622491138163297</v>
      </c>
      <c r="D18" s="15" t="n">
        <f aca="false">C18-B18</f>
        <v>-0.00750886183670274</v>
      </c>
      <c r="E18" s="15" t="n">
        <f aca="false">PL!E109</f>
        <v>0.622491138163297</v>
      </c>
      <c r="F18" s="15" t="n">
        <f aca="false">E18-B18</f>
        <v>-0.00750886183670274</v>
      </c>
      <c r="G18" s="15" t="n">
        <f aca="false">PL!E140</f>
        <v>0.622491138163297</v>
      </c>
      <c r="H18" s="15" t="n">
        <f aca="false">G18-B18</f>
        <v>-0.00750886183670274</v>
      </c>
      <c r="I18" s="5" t="s">
        <v>589</v>
      </c>
      <c r="J18" s="8" t="s">
        <v>590</v>
      </c>
    </row>
    <row r="19" customFormat="false" ht="17.15" hidden="false" customHeight="false" outlineLevel="0" collapsed="false">
      <c r="A19" s="0" t="s">
        <v>300</v>
      </c>
      <c r="B19" s="16" t="n">
        <v>1.07</v>
      </c>
      <c r="C19" s="16" t="n">
        <f aca="false">Q!E15</f>
        <v>1.07055207517619</v>
      </c>
      <c r="D19" s="15" t="n">
        <f aca="false">C19/B19-1</f>
        <v>0.000515958108592507</v>
      </c>
      <c r="E19" s="16" t="n">
        <f aca="false">Q!E15</f>
        <v>1.07055207517619</v>
      </c>
      <c r="F19" s="15" t="n">
        <f aca="false">E19/B19-1</f>
        <v>0.000515958108592507</v>
      </c>
      <c r="G19" s="16" t="n">
        <f aca="false">Q!E15</f>
        <v>1.07055207517619</v>
      </c>
      <c r="H19" s="15" t="n">
        <f aca="false">G19/B19-1</f>
        <v>0.000515958108592507</v>
      </c>
      <c r="I19" s="5" t="s">
        <v>591</v>
      </c>
    </row>
    <row r="20" customFormat="false" ht="17.15" hidden="false" customHeight="false" outlineLevel="0" collapsed="false">
      <c r="A20" s="1" t="s">
        <v>592</v>
      </c>
    </row>
    <row r="21" customFormat="false" ht="17.15" hidden="false" customHeight="false" outlineLevel="0" collapsed="false">
      <c r="A21" s="0" t="s">
        <v>593</v>
      </c>
      <c r="J21" s="5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595</v>
      </c>
    </row>
    <row r="3" customFormat="false" ht="17.15" hidden="false" customHeight="false" outlineLevel="0" collapsed="false">
      <c r="A3" s="6" t="s">
        <v>596</v>
      </c>
      <c r="B3" s="6" t="s">
        <v>597</v>
      </c>
      <c r="C3" s="12" t="s">
        <v>598</v>
      </c>
      <c r="D3" s="12" t="s">
        <v>599</v>
      </c>
      <c r="E3" s="12" t="s">
        <v>600</v>
      </c>
      <c r="F3" s="12" t="s">
        <v>494</v>
      </c>
      <c r="G3" s="12" t="s">
        <v>601</v>
      </c>
      <c r="H3" s="12" t="s">
        <v>602</v>
      </c>
      <c r="I3" s="12" t="s">
        <v>603</v>
      </c>
      <c r="J3" s="12" t="s">
        <v>604</v>
      </c>
      <c r="K3" s="12" t="s">
        <v>496</v>
      </c>
      <c r="L3" s="12" t="s">
        <v>605</v>
      </c>
    </row>
    <row r="4" customFormat="false" ht="17.15" hidden="false" customHeight="false" outlineLevel="0" collapsed="false">
      <c r="A4" s="5" t="s">
        <v>606</v>
      </c>
      <c r="B4" s="0" t="s">
        <v>607</v>
      </c>
      <c r="C4" s="20" t="n">
        <f aca="false">PL!E72</f>
        <v>16.7650763544827</v>
      </c>
      <c r="D4" s="20" t="n">
        <f aca="false">PL!E69</f>
        <v>6.75507635448269</v>
      </c>
      <c r="E4" s="15" t="n">
        <f aca="false">PL!E78</f>
        <v>0.622491138163297</v>
      </c>
      <c r="F4" s="18" t="n">
        <f aca="false">PL!E87</f>
        <v>5.46517326807551</v>
      </c>
      <c r="G4" s="15" t="n">
        <f aca="false">F4/F$4-1</f>
        <v>0</v>
      </c>
      <c r="H4" s="20" t="n">
        <f aca="false">PL!F72</f>
        <v>18.3111797717005</v>
      </c>
      <c r="I4" s="20" t="n">
        <f aca="false">PL!F69</f>
        <v>7.50037977170046</v>
      </c>
      <c r="J4" s="15" t="n">
        <f aca="false">PL!F78</f>
        <v>0.622090271703982</v>
      </c>
      <c r="K4" s="18" t="n">
        <f aca="false">PL!F87</f>
        <v>5.98871015913977</v>
      </c>
      <c r="L4" s="15" t="n">
        <f aca="false">K4/K$4-1</f>
        <v>0</v>
      </c>
    </row>
    <row r="5" customFormat="false" ht="17.15" hidden="false" customHeight="false" outlineLevel="0" collapsed="false">
      <c r="A5" s="5" t="s">
        <v>608</v>
      </c>
      <c r="B5" s="5" t="s">
        <v>609</v>
      </c>
      <c r="C5" s="20" t="n">
        <f aca="false">E52</f>
        <v>15.6984853511433</v>
      </c>
      <c r="D5" s="20" t="n">
        <f aca="false">E49</f>
        <v>5.68848535114332</v>
      </c>
      <c r="E5" s="15" t="n">
        <f aca="false">E58</f>
        <v>0.624925134701372</v>
      </c>
      <c r="F5" s="18" t="n">
        <f aca="false">E67</f>
        <v>5.13041761360123</v>
      </c>
      <c r="G5" s="15" t="n">
        <f aca="false">F5/F$4-1</f>
        <v>-0.0612525235804949</v>
      </c>
      <c r="H5" s="20" t="n">
        <f aca="false">F52</f>
        <v>16.6444287113226</v>
      </c>
      <c r="I5" s="20" t="n">
        <f aca="false">F49</f>
        <v>5.83362871132258</v>
      </c>
      <c r="J5" s="15" t="n">
        <f aca="false">F58</f>
        <v>0.625637544625293</v>
      </c>
      <c r="K5" s="18" t="n">
        <f aca="false">F67</f>
        <v>5.46120459346983</v>
      </c>
      <c r="L5" s="15" t="n">
        <f aca="false">K5/K$4-1</f>
        <v>-0.088083335418207</v>
      </c>
    </row>
    <row r="6" customFormat="false" ht="17.15" hidden="false" customHeight="false" outlineLevel="0" collapsed="false">
      <c r="A6" s="5" t="s">
        <v>610</v>
      </c>
      <c r="B6" s="5" t="s">
        <v>611</v>
      </c>
      <c r="C6" s="20" t="n">
        <f aca="false">E83</f>
        <v>17.4761370233756</v>
      </c>
      <c r="D6" s="20" t="n">
        <f aca="false">E80</f>
        <v>7.4661370233756</v>
      </c>
      <c r="E6" s="15" t="n">
        <f aca="false">E89</f>
        <v>0.621033529274614</v>
      </c>
      <c r="F6" s="18" t="n">
        <f aca="false">E98</f>
        <v>5.6883437043917</v>
      </c>
      <c r="G6" s="15" t="n">
        <f aca="false">F6/F$4-1</f>
        <v>0.0408350157203301</v>
      </c>
      <c r="H6" s="20" t="n">
        <f aca="false">F83</f>
        <v>19.5612430669839</v>
      </c>
      <c r="I6" s="20" t="n">
        <f aca="false">F80</f>
        <v>8.75044306698387</v>
      </c>
      <c r="J6" s="15" t="n">
        <f aca="false">F89</f>
        <v>0.619826522498877</v>
      </c>
      <c r="K6" s="18" t="n">
        <f aca="false">F98</f>
        <v>6.38544177627603</v>
      </c>
      <c r="L6" s="15" t="n">
        <f aca="false">K6/K$4-1</f>
        <v>0.0662465884295278</v>
      </c>
    </row>
    <row r="7" customFormat="false" ht="15" hidden="false" customHeight="false" outlineLevel="0" collapsed="false">
      <c r="A7" s="5" t="s">
        <v>612</v>
      </c>
      <c r="B7" s="0" t="s">
        <v>613</v>
      </c>
      <c r="C7" s="20" t="n">
        <f aca="false">E114</f>
        <v>16.5238236275369</v>
      </c>
      <c r="D7" s="20" t="n">
        <f aca="false">E111</f>
        <v>6.51382362753688</v>
      </c>
      <c r="E7" s="15" t="n">
        <f aca="false">E120</f>
        <v>0.623014186074893</v>
      </c>
      <c r="F7" s="18" t="n">
        <f aca="false">E129</f>
        <v>5.38945472718252</v>
      </c>
      <c r="G7" s="15" t="n">
        <f aca="false">F7/F$4-1</f>
        <v>-0.0138547374765403</v>
      </c>
      <c r="H7" s="20" t="n">
        <f aca="false">F114</f>
        <v>17.975534549559</v>
      </c>
      <c r="I7" s="20" t="n">
        <f aca="false">F111</f>
        <v>7.16473454955896</v>
      </c>
      <c r="J7" s="15" t="n">
        <f aca="false">F120</f>
        <v>0.622751713162039</v>
      </c>
      <c r="K7" s="18" t="n">
        <f aca="false">F129</f>
        <v>5.8824909807764</v>
      </c>
      <c r="L7" s="15" t="n">
        <f aca="false">K7/K$4-1</f>
        <v>-0.0177365702364576</v>
      </c>
    </row>
    <row r="8" customFormat="false" ht="15" hidden="false" customHeight="false" outlineLevel="0" collapsed="false">
      <c r="A8" s="5" t="s">
        <v>614</v>
      </c>
      <c r="B8" s="0" t="s">
        <v>615</v>
      </c>
      <c r="C8" s="20" t="n">
        <f aca="false">E145</f>
        <v>16.9761724905603</v>
      </c>
      <c r="D8" s="20" t="n">
        <f aca="false">E142</f>
        <v>6.96617249056027</v>
      </c>
      <c r="E8" s="15" t="n">
        <f aca="false">E151</f>
        <v>0.622045666281213</v>
      </c>
      <c r="F8" s="18" t="n">
        <f aca="false">E160</f>
        <v>5.53142699135688</v>
      </c>
      <c r="G8" s="15" t="n">
        <f aca="false">F8/F$4-1</f>
        <v>0.012122895291973</v>
      </c>
      <c r="H8" s="20" t="n">
        <f aca="false">F145</f>
        <v>18.4354330510509</v>
      </c>
      <c r="I8" s="20" t="n">
        <f aca="false">F142</f>
        <v>7.62463305105092</v>
      </c>
      <c r="J8" s="15" t="n">
        <f aca="false">F151</f>
        <v>0.621851519564008</v>
      </c>
      <c r="K8" s="18" t="n">
        <f aca="false">F160</f>
        <v>6.02753139123414</v>
      </c>
      <c r="L8" s="15" t="n">
        <f aca="false">K8/K$4-1</f>
        <v>0.00648240289858149</v>
      </c>
    </row>
    <row r="9" customFormat="false" ht="17.15" hidden="false" customHeight="false" outlineLevel="0" collapsed="false">
      <c r="A9" s="0" t="s">
        <v>616</v>
      </c>
      <c r="B9" s="0" t="s">
        <v>617</v>
      </c>
      <c r="C9" s="20" t="n">
        <f aca="false">E176</f>
        <v>15.4140610835862</v>
      </c>
      <c r="D9" s="20" t="n">
        <f aca="false">E173</f>
        <v>5.40406108358615</v>
      </c>
      <c r="E9" s="15" t="n">
        <f aca="false">E182</f>
        <v>0.625631089912631</v>
      </c>
      <c r="F9" s="18" t="n">
        <f aca="false">E191</f>
        <v>5.04114943907475</v>
      </c>
      <c r="G9" s="15" t="n">
        <f aca="false">F9/F$4-1</f>
        <v>-0.0775865298686269</v>
      </c>
      <c r="H9" s="20" t="n">
        <f aca="false">F176</f>
        <v>16.8111038173604</v>
      </c>
      <c r="I9" s="20" t="n">
        <f aca="false">F173</f>
        <v>6.00030381736037</v>
      </c>
      <c r="J9" s="15" t="n">
        <f aca="false">F182</f>
        <v>0.625251164570377</v>
      </c>
      <c r="K9" s="18" t="n">
        <f aca="false">F191</f>
        <v>5.51503512586099</v>
      </c>
      <c r="L9" s="15" t="n">
        <f aca="false">K9/K$4-1</f>
        <v>-0.0790946665795594</v>
      </c>
    </row>
    <row r="10" customFormat="false" ht="17.15" hidden="false" customHeight="false" outlineLevel="0" collapsed="false">
      <c r="A10" s="0" t="s">
        <v>618</v>
      </c>
      <c r="B10" s="0" t="s">
        <v>619</v>
      </c>
      <c r="C10" s="20" t="n">
        <f aca="false">E207</f>
        <v>18.1160916253792</v>
      </c>
      <c r="D10" s="20" t="n">
        <f aca="false">E204</f>
        <v>8.10609162537923</v>
      </c>
      <c r="E10" s="15" t="n">
        <f aca="false">E213</f>
        <v>0.619819512899715</v>
      </c>
      <c r="F10" s="18" t="n">
        <f aca="false">E222</f>
        <v>5.88919709707628</v>
      </c>
      <c r="G10" s="15" t="n">
        <f aca="false">F10/F$4-1</f>
        <v>0.0775865298686271</v>
      </c>
      <c r="H10" s="20" t="n">
        <f aca="false">F207</f>
        <v>19.8112557260406</v>
      </c>
      <c r="I10" s="20" t="n">
        <f aca="false">F204</f>
        <v>9.00045572604055</v>
      </c>
      <c r="J10" s="15" t="n">
        <f aca="false">F213</f>
        <v>0.619408054136993</v>
      </c>
      <c r="K10" s="18" t="n">
        <f aca="false">F222</f>
        <v>6.46245147671438</v>
      </c>
      <c r="L10" s="15" t="n">
        <f aca="false">K10/K$4-1</f>
        <v>0.0791057347885842</v>
      </c>
    </row>
    <row r="11" customFormat="false" ht="17.15" hidden="false" customHeight="false" outlineLevel="0" collapsed="false">
      <c r="A11" s="5" t="s">
        <v>620</v>
      </c>
      <c r="B11" s="0" t="s">
        <v>621</v>
      </c>
      <c r="C11" s="20" t="n">
        <f aca="false">E238</f>
        <v>16.1280763544827</v>
      </c>
      <c r="D11" s="20" t="n">
        <f aca="false">E235</f>
        <v>6.75507635448269</v>
      </c>
      <c r="E11" s="15" t="n">
        <f aca="false">E244</f>
        <v>0.621536293250726</v>
      </c>
      <c r="F11" s="18" t="n">
        <f aca="false">E253</f>
        <v>5.24158341411049</v>
      </c>
      <c r="G11" s="15" t="n">
        <f aca="false">F11/F$4-1</f>
        <v>-0.0409117594260197</v>
      </c>
      <c r="H11" s="20" t="n">
        <f aca="false">F238</f>
        <v>17.0608397717005</v>
      </c>
      <c r="I11" s="20" t="n">
        <f aca="false">F235</f>
        <v>7.50037977170046</v>
      </c>
      <c r="J11" s="15" t="n">
        <f aca="false">F244</f>
        <v>0.620289138225863</v>
      </c>
      <c r="K11" s="18" t="n">
        <f aca="false">F253</f>
        <v>5.54583424412752</v>
      </c>
      <c r="L11" s="15" t="n">
        <f aca="false">K11/K$4-1</f>
        <v>-0.073951803183586</v>
      </c>
    </row>
    <row r="12" customFormat="false" ht="17.15" hidden="false" customHeight="false" outlineLevel="0" collapsed="false">
      <c r="A12" s="5" t="s">
        <v>622</v>
      </c>
      <c r="B12" s="0" t="s">
        <v>623</v>
      </c>
      <c r="C12" s="20" t="n">
        <f aca="false">E269</f>
        <v>17.2200763544827</v>
      </c>
      <c r="D12" s="20" t="n">
        <f aca="false">E266</f>
        <v>6.75507635448269</v>
      </c>
      <c r="E12" s="15" t="n">
        <f aca="false">E275</f>
        <v>0.623129919620626</v>
      </c>
      <c r="F12" s="18" t="n">
        <f aca="false">E284</f>
        <v>5.62488030662196</v>
      </c>
      <c r="G12" s="15" t="n">
        <f aca="false">F12/F$4-1</f>
        <v>0.0292226853042998</v>
      </c>
      <c r="H12" s="20" t="n">
        <f aca="false">F269</f>
        <v>19.2211797717005</v>
      </c>
      <c r="I12" s="20" t="n">
        <f aca="false">F266</f>
        <v>7.50037977170046</v>
      </c>
      <c r="J12" s="15" t="n">
        <f aca="false">F275</f>
        <v>0.623253806912626</v>
      </c>
      <c r="K12" s="18" t="n">
        <f aca="false">F284</f>
        <v>6.31151889611982</v>
      </c>
      <c r="L12" s="15" t="n">
        <f aca="false">K12/K$4-1</f>
        <v>0.0539028819899376</v>
      </c>
    </row>
    <row r="13" customFormat="false" ht="17.15" hidden="false" customHeight="false" outlineLevel="0" collapsed="false">
      <c r="A13" s="0" t="s">
        <v>624</v>
      </c>
      <c r="B13" s="0" t="s">
        <v>625</v>
      </c>
      <c r="C13" s="20" t="n">
        <f aca="false">E300</f>
        <v>16.7650763544827</v>
      </c>
      <c r="D13" s="20" t="n">
        <f aca="false">E297</f>
        <v>6.75507635448269</v>
      </c>
      <c r="E13" s="15" t="n">
        <f aca="false">E306</f>
        <v>0.626245569081649</v>
      </c>
      <c r="F13" s="18" t="n">
        <f aca="false">E315</f>
        <v>5.50414440613021</v>
      </c>
      <c r="G13" s="15" t="n">
        <f aca="false">F13/F$4-1</f>
        <v>0.0071308147323248</v>
      </c>
      <c r="H13" s="20" t="n">
        <f aca="false">F300</f>
        <v>18.3111797717005</v>
      </c>
      <c r="I13" s="20" t="n">
        <f aca="false">F297</f>
        <v>7.50037977170046</v>
      </c>
      <c r="J13" s="15" t="n">
        <f aca="false">F306</f>
        <v>0.626045135851991</v>
      </c>
      <c r="K13" s="18" t="n">
        <f aca="false">F315</f>
        <v>6.03354765310552</v>
      </c>
      <c r="L13" s="15" t="n">
        <f aca="false">K13/K$4-1</f>
        <v>0.00748700350731246</v>
      </c>
    </row>
    <row r="14" customFormat="false" ht="17.15" hidden="false" customHeight="false" outlineLevel="0" collapsed="false">
      <c r="A14" s="0" t="s">
        <v>626</v>
      </c>
      <c r="B14" s="5" t="s">
        <v>627</v>
      </c>
      <c r="C14" s="20" t="n">
        <f aca="false">E331</f>
        <v>16.7650763544827</v>
      </c>
      <c r="D14" s="20" t="n">
        <f aca="false">E328</f>
        <v>6.75507635448269</v>
      </c>
      <c r="E14" s="15" t="n">
        <f aca="false">E337</f>
        <v>0.617485230272162</v>
      </c>
      <c r="F14" s="18" t="n">
        <f aca="false">E346</f>
        <v>5.41321175066925</v>
      </c>
      <c r="G14" s="15" t="n">
        <f aca="false">F14/F$4-1</f>
        <v>-0.00950775297643314</v>
      </c>
      <c r="H14" s="20" t="n">
        <f aca="false">F331</f>
        <v>18.3111797717005</v>
      </c>
      <c r="I14" s="20" t="n">
        <f aca="false">F328</f>
        <v>7.50037977170046</v>
      </c>
      <c r="J14" s="15" t="n">
        <f aca="false">F337</f>
        <v>0.616817119506637</v>
      </c>
      <c r="K14" s="18" t="n">
        <f aca="false">F346</f>
        <v>5.92892683385209</v>
      </c>
      <c r="L14" s="15" t="n">
        <f aca="false">K14/K$4-1</f>
        <v>-0.00998267134308295</v>
      </c>
    </row>
    <row r="15" customFormat="false" ht="17.15" hidden="false" customHeight="false" outlineLevel="0" collapsed="false">
      <c r="A15" s="5" t="s">
        <v>628</v>
      </c>
      <c r="B15" s="5" t="s">
        <v>629</v>
      </c>
      <c r="C15" s="20" t="n">
        <f aca="false">E362</f>
        <v>16.7650763544827</v>
      </c>
      <c r="D15" s="20" t="n">
        <f aca="false">E359</f>
        <v>6.75507635448269</v>
      </c>
      <c r="E15" s="15" t="n">
        <f aca="false">E368</f>
        <v>0.622491138163297</v>
      </c>
      <c r="F15" s="18" t="n">
        <f aca="false">E377</f>
        <v>5.25757249500382</v>
      </c>
      <c r="G15" s="15" t="n">
        <f aca="false">F15/F$4-1</f>
        <v>-0.0379861283235757</v>
      </c>
      <c r="H15" s="20" t="n">
        <f aca="false">F362</f>
        <v>18.3111797717005</v>
      </c>
      <c r="I15" s="20" t="n">
        <f aca="false">F359</f>
        <v>7.50037977170046</v>
      </c>
      <c r="J15" s="15" t="n">
        <f aca="false">F368</f>
        <v>0.622090271703982</v>
      </c>
      <c r="K15" s="18" t="n">
        <f aca="false">F377</f>
        <v>5.76196409511463</v>
      </c>
      <c r="L15" s="15" t="n">
        <f aca="false">K15/K$4-1</f>
        <v>-0.0378622538075381</v>
      </c>
    </row>
    <row r="16" customFormat="false" ht="17.15" hidden="false" customHeight="false" outlineLevel="0" collapsed="false">
      <c r="A16" s="5" t="s">
        <v>630</v>
      </c>
      <c r="B16" s="0" t="s">
        <v>631</v>
      </c>
      <c r="C16" s="20" t="n">
        <f aca="false">PL!E103</f>
        <v>16.7650763544827</v>
      </c>
      <c r="D16" s="20" t="n">
        <f aca="false">PL!E100</f>
        <v>6.75507635448269</v>
      </c>
      <c r="E16" s="15" t="n">
        <f aca="false">PL!E109</f>
        <v>0.622491138163297</v>
      </c>
      <c r="F16" s="18" t="n">
        <f aca="false">PL!E118</f>
        <v>5.46517326807551</v>
      </c>
      <c r="G16" s="15" t="n">
        <f aca="false">F16/F$4-1</f>
        <v>0</v>
      </c>
      <c r="H16" s="20" t="n">
        <f aca="false">PL!F103</f>
        <v>16.8111038173604</v>
      </c>
      <c r="I16" s="20" t="n">
        <f aca="false">PL!F100</f>
        <v>6.00030381736037</v>
      </c>
      <c r="J16" s="15" t="n">
        <f aca="false">PL!F109</f>
        <v>0.625251164570377</v>
      </c>
      <c r="K16" s="18" t="n">
        <f aca="false">PL!F118</f>
        <v>5.50962208143792</v>
      </c>
      <c r="L16" s="15" t="n">
        <f aca="false">K16/K$4-1</f>
        <v>-0.0799985414172498</v>
      </c>
    </row>
    <row r="17" customFormat="false" ht="17.15" hidden="false" customHeight="false" outlineLevel="0" collapsed="false">
      <c r="A17" s="5" t="s">
        <v>632</v>
      </c>
      <c r="B17" s="0" t="s">
        <v>633</v>
      </c>
      <c r="C17" s="20" t="n">
        <f aca="false">PL!E134</f>
        <v>16.7650763544827</v>
      </c>
      <c r="D17" s="20" t="n">
        <f aca="false">PL!E131</f>
        <v>6.75507635448269</v>
      </c>
      <c r="E17" s="15" t="n">
        <f aca="false">PL!E140</f>
        <v>0.622491138163297</v>
      </c>
      <c r="F17" s="18" t="n">
        <f aca="false">PL!E149</f>
        <v>5.46517326807551</v>
      </c>
      <c r="G17" s="15" t="n">
        <f aca="false">F17/F$4-1</f>
        <v>0</v>
      </c>
      <c r="H17" s="20" t="n">
        <f aca="false">PL!F134</f>
        <v>15.3110278630203</v>
      </c>
      <c r="I17" s="20" t="n">
        <f aca="false">PL!F131</f>
        <v>4.50022786302028</v>
      </c>
      <c r="J17" s="15" t="n">
        <f aca="false">PL!F140</f>
        <v>0.629031425310117</v>
      </c>
      <c r="K17" s="18" t="n">
        <f aca="false">PL!F149</f>
        <v>4.96676417092454</v>
      </c>
      <c r="L17" s="15" t="n">
        <f aca="false">K17/K$4-1</f>
        <v>-0.170645424650509</v>
      </c>
    </row>
    <row r="19" customFormat="false" ht="17.15" hidden="false" customHeight="false" outlineLevel="0" collapsed="false">
      <c r="A19" s="5" t="s">
        <v>634</v>
      </c>
    </row>
    <row r="21" customFormat="false" ht="17.15" hidden="false" customHeight="false" outlineLevel="0" collapsed="false">
      <c r="A21" s="3" t="s">
        <v>635</v>
      </c>
    </row>
    <row r="22" customFormat="false" ht="15" hidden="false" customHeight="false" outlineLevel="0" collapsed="false">
      <c r="A22" s="6" t="s">
        <v>636</v>
      </c>
      <c r="B22" s="6" t="s">
        <v>637</v>
      </c>
      <c r="C22" s="6" t="s">
        <v>638</v>
      </c>
      <c r="D22" s="6" t="s">
        <v>639</v>
      </c>
      <c r="E22" s="6" t="s">
        <v>640</v>
      </c>
      <c r="F22" s="6" t="s">
        <v>641</v>
      </c>
      <c r="G22" s="6" t="s">
        <v>642</v>
      </c>
    </row>
    <row r="23" customFormat="false" ht="17.15" hidden="false" customHeight="false" outlineLevel="0" collapsed="false">
      <c r="A23" s="0" t="s">
        <v>643</v>
      </c>
      <c r="B23" s="5" t="s">
        <v>644</v>
      </c>
      <c r="C23" s="20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107.702830186988</v>
      </c>
      <c r="D23" s="15" t="n">
        <f aca="false">C23/G23-1</f>
        <v>0.0828427542911754</v>
      </c>
      <c r="E23" s="20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93.5764815685177</v>
      </c>
      <c r="F23" s="15" t="n">
        <f aca="false">E23/G23-1</f>
        <v>-0.059183357924677</v>
      </c>
      <c r="G23" s="20" t="n">
        <f aca="false">Val!$B$40</f>
        <v>99.4630381559788</v>
      </c>
    </row>
    <row r="24" customFormat="false" ht="17.15" hidden="false" customHeight="false" outlineLevel="0" collapsed="false">
      <c r="A24" s="0" t="s">
        <v>645</v>
      </c>
      <c r="B24" s="5" t="s">
        <v>646</v>
      </c>
      <c r="C24" s="20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96.3441624931583</v>
      </c>
      <c r="D24" s="15" t="n">
        <f aca="false">C24/G24-1</f>
        <v>-0.0313571324649211</v>
      </c>
      <c r="E24" s="20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104.00369321932</v>
      </c>
      <c r="F24" s="15" t="n">
        <f aca="false">E24/G24-1</f>
        <v>0.0456516827509335</v>
      </c>
      <c r="G24" s="20" t="n">
        <f aca="false">Val!$B$40</f>
        <v>99.4630381559788</v>
      </c>
    </row>
    <row r="25" customFormat="false" ht="17.15" hidden="false" customHeight="false" outlineLevel="0" collapsed="false">
      <c r="A25" s="0" t="s">
        <v>647</v>
      </c>
      <c r="B25" s="0" t="s">
        <v>648</v>
      </c>
      <c r="C25" s="20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104.350294801823</v>
      </c>
      <c r="D25" s="15" t="n">
        <f aca="false">C25/G25-1</f>
        <v>0.0491364102329157</v>
      </c>
      <c r="E25" s="20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94.5757815101345</v>
      </c>
      <c r="F25" s="15" t="n">
        <f aca="false">E25/G25-1</f>
        <v>-0.0491364102329158</v>
      </c>
      <c r="G25" s="20" t="n">
        <f aca="false">Val!$B$40</f>
        <v>99.4630381559788</v>
      </c>
    </row>
    <row r="40" customFormat="false" ht="17.15" hidden="false" customHeight="false" outlineLevel="0" collapsed="false">
      <c r="A40" s="3" t="s">
        <v>649</v>
      </c>
    </row>
    <row r="41" customFormat="false" ht="17.15" hidden="false" customHeight="false" outlineLevel="0" collapsed="false">
      <c r="A41" s="6" t="s">
        <v>18</v>
      </c>
      <c r="B41" s="6" t="s">
        <v>19</v>
      </c>
      <c r="C41" s="12" t="s">
        <v>254</v>
      </c>
      <c r="D41" s="12" t="s">
        <v>324</v>
      </c>
      <c r="E41" s="12" t="s">
        <v>325</v>
      </c>
      <c r="F41" s="12" t="s">
        <v>326</v>
      </c>
      <c r="G41" s="12" t="s">
        <v>327</v>
      </c>
      <c r="H41" s="6" t="s">
        <v>306</v>
      </c>
    </row>
    <row r="42" customFormat="false" ht="17.15" hidden="false" customHeight="false" outlineLevel="0" collapsed="false">
      <c r="A42" s="1" t="s">
        <v>343</v>
      </c>
    </row>
    <row r="43" customFormat="false" ht="17.15" hidden="false" customHeight="false" outlineLevel="0" collapsed="false">
      <c r="A43" s="0" t="s">
        <v>344</v>
      </c>
      <c r="B43" s="0" t="s">
        <v>29</v>
      </c>
      <c r="D43" s="20" t="n">
        <f aca="false">mkt_26*1</f>
        <v>32.0719</v>
      </c>
      <c r="E43" s="20" t="n">
        <f aca="false">mkt_27*1*1</f>
        <v>61.085</v>
      </c>
      <c r="F43" s="20" t="n">
        <f aca="false">mkt_28*um28_A*1</f>
        <v>69.005</v>
      </c>
      <c r="G43" s="20" t="n">
        <f aca="false">mkt_29*um29_A*1</f>
        <v>78.48215</v>
      </c>
    </row>
    <row r="44" customFormat="false" ht="15" hidden="false" customHeight="false" outlineLevel="0" collapsed="false">
      <c r="A44" s="5" t="s">
        <v>309</v>
      </c>
      <c r="B44" s="0" t="s">
        <v>74</v>
      </c>
      <c r="D44" s="15" t="n">
        <f aca="false">eth_26</f>
        <v>0.75</v>
      </c>
      <c r="E44" s="15" t="n">
        <f aca="false">eth_27</f>
        <v>0.8</v>
      </c>
      <c r="F44" s="15" t="n">
        <f aca="false">eth_28</f>
        <v>0.83</v>
      </c>
      <c r="G44" s="15" t="n">
        <f aca="false">eth_29</f>
        <v>0.85</v>
      </c>
    </row>
    <row r="45" customFormat="false" ht="17.15" hidden="false" customHeight="false" outlineLevel="0" collapsed="false">
      <c r="A45" s="0" t="s">
        <v>311</v>
      </c>
      <c r="B45" s="0" t="s">
        <v>29</v>
      </c>
      <c r="D45" s="20" t="n">
        <f aca="false">D43*D44</f>
        <v>24.053925</v>
      </c>
      <c r="E45" s="20" t="n">
        <f aca="false">E43*E44</f>
        <v>48.868</v>
      </c>
      <c r="F45" s="20" t="n">
        <f aca="false">F43*F44</f>
        <v>57.27415</v>
      </c>
      <c r="G45" s="20" t="n">
        <f aca="false">G43*G44</f>
        <v>66.7098275</v>
      </c>
    </row>
    <row r="46" customFormat="false" ht="17.15" hidden="false" customHeight="false" outlineLevel="0" collapsed="false">
      <c r="A46" s="0" t="s">
        <v>345</v>
      </c>
      <c r="B46" s="0" t="s">
        <v>74</v>
      </c>
      <c r="D46" s="15" t="n">
        <f aca="false">a26_ai/D45</f>
        <v>0.14550639864388</v>
      </c>
      <c r="H46" s="8" t="s">
        <v>346</v>
      </c>
    </row>
    <row r="47" customFormat="false" ht="17.15" hidden="false" customHeight="false" outlineLevel="0" collapsed="false">
      <c r="A47" s="5" t="s">
        <v>347</v>
      </c>
      <c r="B47" s="0" t="s">
        <v>52</v>
      </c>
      <c r="D47" s="18" t="n">
        <f aca="false">1</f>
        <v>1</v>
      </c>
      <c r="E47" s="18" t="n">
        <f aca="false">RLO_27</f>
        <v>0.8</v>
      </c>
      <c r="F47" s="18" t="n">
        <f aca="false">RLO_28</f>
        <v>0.7</v>
      </c>
      <c r="G47" s="18" t="n">
        <f aca="false">RLO_29</f>
        <v>0.65</v>
      </c>
    </row>
    <row r="48" customFormat="false" ht="17.15" hidden="false" customHeight="false" outlineLevel="0" collapsed="false">
      <c r="A48" s="0" t="s">
        <v>348</v>
      </c>
      <c r="B48" s="0" t="s">
        <v>74</v>
      </c>
      <c r="D48" s="15" t="n">
        <f aca="false">$D$46*D47</f>
        <v>0.14550639864388</v>
      </c>
      <c r="E48" s="15" t="n">
        <f aca="false">$D$46*E47</f>
        <v>0.116405118915104</v>
      </c>
      <c r="F48" s="15" t="n">
        <f aca="false">$D$46*F47</f>
        <v>0.101854479050716</v>
      </c>
      <c r="G48" s="15" t="n">
        <f aca="false">$D$46*G47</f>
        <v>0.0945791591185222</v>
      </c>
    </row>
    <row r="49" customFormat="false" ht="17.15" hidden="false" customHeight="false" outlineLevel="0" collapsed="false">
      <c r="A49" s="0" t="s">
        <v>287</v>
      </c>
      <c r="B49" s="0" t="s">
        <v>29</v>
      </c>
      <c r="C49" s="20" t="n">
        <f aca="false">a25_ai</f>
        <v>1.63</v>
      </c>
      <c r="D49" s="20" t="n">
        <f aca="false">D45*D48</f>
        <v>3.5</v>
      </c>
      <c r="E49" s="20" t="n">
        <f aca="false">E45*E48</f>
        <v>5.68848535114332</v>
      </c>
      <c r="F49" s="20" t="n">
        <f aca="false">F45*F48</f>
        <v>5.83362871132258</v>
      </c>
      <c r="G49" s="20" t="n">
        <f aca="false">G45*G48</f>
        <v>6.30935938989167</v>
      </c>
    </row>
    <row r="50" customFormat="false" ht="17.15" hidden="false" customHeight="false" outlineLevel="0" collapsed="false">
      <c r="A50" s="1" t="s">
        <v>349</v>
      </c>
    </row>
    <row r="51" customFormat="false" ht="17.15" hidden="false" customHeight="false" outlineLevel="0" collapsed="false">
      <c r="A51" s="5" t="s">
        <v>350</v>
      </c>
      <c r="B51" s="0" t="s">
        <v>29</v>
      </c>
      <c r="C51" s="20" t="n">
        <f aca="false">a25_nai</f>
        <v>7.3757</v>
      </c>
      <c r="D51" s="20" t="n">
        <f aca="false">a26_nai</f>
        <v>9.1</v>
      </c>
      <c r="E51" s="20" t="n">
        <f aca="false">D51*(1+g_nai27)</f>
        <v>10.01</v>
      </c>
      <c r="F51" s="20" t="n">
        <f aca="false">E51*(1+g_nai28)</f>
        <v>10.8108</v>
      </c>
      <c r="G51" s="20" t="n">
        <f aca="false">F51*(1+g_nai29)</f>
        <v>11.459448</v>
      </c>
    </row>
    <row r="52" customFormat="false" ht="15" hidden="false" customHeight="false" outlineLevel="0" collapsed="false">
      <c r="A52" s="5" t="s">
        <v>261</v>
      </c>
      <c r="B52" s="0" t="s">
        <v>29</v>
      </c>
      <c r="C52" s="20" t="n">
        <f aca="false">a25_rev</f>
        <v>9.0057</v>
      </c>
      <c r="D52" s="20" t="n">
        <f aca="false">D49+D51</f>
        <v>12.6</v>
      </c>
      <c r="E52" s="20" t="n">
        <f aca="false">E49+E51</f>
        <v>15.6984853511433</v>
      </c>
      <c r="F52" s="20" t="n">
        <f aca="false">F49+F51</f>
        <v>16.6444287113226</v>
      </c>
      <c r="G52" s="20" t="n">
        <f aca="false">G49+G51</f>
        <v>17.7688073898917</v>
      </c>
    </row>
    <row r="53" customFormat="false" ht="15" hidden="false" customHeight="false" outlineLevel="0" collapsed="false">
      <c r="A53" s="5" t="s">
        <v>351</v>
      </c>
      <c r="B53" s="0" t="s">
        <v>74</v>
      </c>
      <c r="D53" s="15" t="n">
        <f aca="false">D52/C52-1</f>
        <v>0.399113894533462</v>
      </c>
      <c r="E53" s="15" t="n">
        <f aca="false">E52/D52-1</f>
        <v>0.245911535805025</v>
      </c>
      <c r="F53" s="15" t="n">
        <f aca="false">F52/E52-1</f>
        <v>0.0602569826974022</v>
      </c>
      <c r="G53" s="15" t="n">
        <f aca="false">G52/F52-1</f>
        <v>0.0675528549564588</v>
      </c>
    </row>
    <row r="54" customFormat="false" ht="17.15" hidden="false" customHeight="false" outlineLevel="0" collapsed="false">
      <c r="A54" s="0" t="s">
        <v>292</v>
      </c>
      <c r="B54" s="0" t="s">
        <v>74</v>
      </c>
      <c r="C54" s="15" t="n">
        <f aca="false">C49/C52</f>
        <v>0.180996480007107</v>
      </c>
      <c r="D54" s="15" t="n">
        <f aca="false">D49/D52</f>
        <v>0.277777777777778</v>
      </c>
      <c r="E54" s="15" t="n">
        <f aca="false">E49/E52</f>
        <v>0.362358866088251</v>
      </c>
      <c r="F54" s="15" t="n">
        <f aca="false">F49/F52</f>
        <v>0.350485367356236</v>
      </c>
      <c r="G54" s="15" t="n">
        <f aca="false">G49/G52</f>
        <v>0.355080633801059</v>
      </c>
    </row>
    <row r="55" customFormat="false" ht="17.15" hidden="false" customHeight="false" outlineLevel="0" collapsed="false">
      <c r="A55" s="1" t="s">
        <v>352</v>
      </c>
    </row>
    <row r="56" customFormat="false" ht="17.15" hidden="false" customHeight="false" outlineLevel="0" collapsed="false">
      <c r="A56" s="5" t="s">
        <v>353</v>
      </c>
      <c r="B56" s="0" t="s">
        <v>74</v>
      </c>
      <c r="D56" s="15" t="n">
        <f aca="false">a26_gp/a26_rev+d_ai*D54</f>
        <v>0.646666666666667</v>
      </c>
      <c r="H56" s="8" t="s">
        <v>354</v>
      </c>
    </row>
    <row r="57" customFormat="false" ht="15" hidden="false" customHeight="false" outlineLevel="0" collapsed="false">
      <c r="A57" s="5" t="s">
        <v>355</v>
      </c>
      <c r="B57" s="0" t="s">
        <v>29</v>
      </c>
      <c r="C57" s="20" t="n">
        <f aca="false">a25_gp</f>
        <v>5.8154</v>
      </c>
      <c r="D57" s="20" t="n">
        <f aca="false">a26_gp</f>
        <v>7.938</v>
      </c>
      <c r="E57" s="20" t="n">
        <f aca="false">$D$56*E51+($D$56-d_ai)*E49</f>
        <v>9.81037807267075</v>
      </c>
      <c r="F57" s="20" t="n">
        <f aca="false">$D$56*F51+($D$56-d_ai)*F49</f>
        <v>10.4133795106426</v>
      </c>
      <c r="G57" s="20" t="n">
        <f aca="false">$D$56*G51+($D$56-d_ai)*G49</f>
        <v>11.1119338820698</v>
      </c>
    </row>
    <row r="58" customFormat="false" ht="15" hidden="false" customHeight="false" outlineLevel="0" collapsed="false">
      <c r="A58" s="5" t="s">
        <v>267</v>
      </c>
      <c r="B58" s="0" t="s">
        <v>74</v>
      </c>
      <c r="C58" s="15" t="n">
        <f aca="false">C57/C52</f>
        <v>0.645746582719833</v>
      </c>
      <c r="D58" s="15" t="n">
        <f aca="false">D57/D52</f>
        <v>0.63</v>
      </c>
      <c r="E58" s="15" t="n">
        <f aca="false">E57/E52</f>
        <v>0.624925134701372</v>
      </c>
      <c r="F58" s="15" t="n">
        <f aca="false">F57/F52</f>
        <v>0.625637544625293</v>
      </c>
      <c r="G58" s="15" t="n">
        <f aca="false">G57/G52</f>
        <v>0.625361828638603</v>
      </c>
    </row>
    <row r="59" customFormat="false" ht="15" hidden="false" customHeight="false" outlineLevel="0" collapsed="false">
      <c r="A59" s="5" t="s">
        <v>356</v>
      </c>
      <c r="B59" s="0" t="s">
        <v>29</v>
      </c>
      <c r="C59" s="20" t="n">
        <f aca="false">a25_opx</f>
        <v>1.4784</v>
      </c>
      <c r="D59" s="20" t="n">
        <f aca="false">a26_opx</f>
        <v>1.827</v>
      </c>
      <c r="E59" s="20" t="n">
        <f aca="false">D59*(1+MAX(0,phi*E53))</f>
        <v>2.07410420675368</v>
      </c>
      <c r="F59" s="20" t="n">
        <f aca="false">E59*(1+MAX(0,phi*F53))</f>
        <v>2.14284280046811</v>
      </c>
      <c r="G59" s="20" t="n">
        <f aca="false">F59*(1+MAX(0,phi*G53))</f>
        <v>2.22245813236009</v>
      </c>
    </row>
    <row r="60" customFormat="false" ht="15" hidden="false" customHeight="false" outlineLevel="0" collapsed="false">
      <c r="A60" s="5" t="s">
        <v>357</v>
      </c>
      <c r="B60" s="0" t="s">
        <v>29</v>
      </c>
      <c r="C60" s="20" t="n">
        <f aca="false">C59</f>
        <v>1.4784</v>
      </c>
      <c r="D60" s="20" t="n">
        <f aca="false">D59</f>
        <v>1.827</v>
      </c>
      <c r="E60" s="20" t="n">
        <f aca="false">E59+0*E52</f>
        <v>2.07410420675368</v>
      </c>
      <c r="F60" s="20" t="n">
        <f aca="false">F59+0*F52</f>
        <v>2.14284280046811</v>
      </c>
      <c r="G60" s="20" t="n">
        <f aca="false">G59+0*G52</f>
        <v>2.22245813236009</v>
      </c>
    </row>
    <row r="61" customFormat="false" ht="15" hidden="false" customHeight="false" outlineLevel="0" collapsed="false">
      <c r="A61" s="5" t="s">
        <v>358</v>
      </c>
      <c r="B61" s="0" t="s">
        <v>29</v>
      </c>
      <c r="C61" s="20" t="n">
        <f aca="false">C57-C60</f>
        <v>4.337</v>
      </c>
      <c r="D61" s="20" t="n">
        <f aca="false">D57-D60</f>
        <v>6.111</v>
      </c>
      <c r="E61" s="20" t="n">
        <f aca="false">E57-E60</f>
        <v>7.73627386591707</v>
      </c>
      <c r="F61" s="20" t="n">
        <f aca="false">F57-F60</f>
        <v>8.27053671017447</v>
      </c>
      <c r="G61" s="20" t="n">
        <f aca="false">G57-G60</f>
        <v>8.88947574970969</v>
      </c>
    </row>
    <row r="62" customFormat="false" ht="15" hidden="false" customHeight="false" outlineLevel="0" collapsed="false">
      <c r="A62" s="5" t="s">
        <v>272</v>
      </c>
      <c r="B62" s="0" t="s">
        <v>74</v>
      </c>
      <c r="C62" s="15" t="n">
        <f aca="false">C61/C52</f>
        <v>0.48158388576124</v>
      </c>
      <c r="D62" s="15" t="n">
        <f aca="false">D61/D52</f>
        <v>0.485</v>
      </c>
      <c r="E62" s="15" t="n">
        <f aca="false">E61/E52</f>
        <v>0.492803840171347</v>
      </c>
      <c r="F62" s="15" t="n">
        <f aca="false">F61/F52</f>
        <v>0.496895198604704</v>
      </c>
      <c r="G62" s="15" t="n">
        <f aca="false">G61/G52</f>
        <v>0.500285447112604</v>
      </c>
    </row>
    <row r="63" customFormat="false" ht="15" hidden="false" customHeight="false" outlineLevel="0" collapsed="false">
      <c r="A63" s="5" t="s">
        <v>359</v>
      </c>
      <c r="B63" s="0" t="s">
        <v>29</v>
      </c>
      <c r="C63" s="20" t="n">
        <f aca="false">a25_oth</f>
        <v>0.3936</v>
      </c>
      <c r="D63" s="20" t="n">
        <f aca="false">a26_oth</f>
        <v>0.4999</v>
      </c>
      <c r="E63" s="20" t="n">
        <f aca="false">oth_f</f>
        <v>0.55</v>
      </c>
      <c r="F63" s="20" t="n">
        <f aca="false">oth_f</f>
        <v>0.55</v>
      </c>
      <c r="G63" s="20" t="n">
        <f aca="false">oth_f</f>
        <v>0.55</v>
      </c>
    </row>
    <row r="64" customFormat="false" ht="15" hidden="false" customHeight="false" outlineLevel="0" collapsed="false">
      <c r="A64" s="5" t="s">
        <v>360</v>
      </c>
      <c r="B64" s="0" t="s">
        <v>74</v>
      </c>
      <c r="C64" s="15" t="n">
        <f aca="false">1-a25_ni/(a25_oi+a25_oth)</f>
        <v>0.195450894178328</v>
      </c>
      <c r="D64" s="15" t="n">
        <f aca="false">1-a26_ni/(a26_oi+a26_oth)</f>
        <v>0.209652694791935</v>
      </c>
      <c r="E64" s="15" t="n">
        <f aca="false">tx_f</f>
        <v>0.21</v>
      </c>
      <c r="F64" s="15" t="n">
        <f aca="false">tx_f</f>
        <v>0.21</v>
      </c>
      <c r="G64" s="15" t="n">
        <f aca="false">tx_f</f>
        <v>0.21</v>
      </c>
    </row>
    <row r="65" customFormat="false" ht="17.15" hidden="false" customHeight="false" outlineLevel="0" collapsed="false">
      <c r="A65" s="5" t="s">
        <v>333</v>
      </c>
      <c r="B65" s="0" t="s">
        <v>29</v>
      </c>
      <c r="C65" s="20" t="n">
        <f aca="false">a25_ni</f>
        <v>3.806</v>
      </c>
      <c r="D65" s="20" t="n">
        <f aca="false">a26_ni</f>
        <v>5.224907</v>
      </c>
      <c r="E65" s="20" t="n">
        <f aca="false">(E61+E63)*(1-E64)</f>
        <v>6.54615635407449</v>
      </c>
      <c r="F65" s="20" t="n">
        <f aca="false">(F61+F63)*(1-F64)</f>
        <v>6.96822400103783</v>
      </c>
      <c r="G65" s="20" t="n">
        <f aca="false">(G61+G63)*(1-G64)</f>
        <v>7.45718584227066</v>
      </c>
    </row>
    <row r="66" customFormat="false" ht="15" hidden="false" customHeight="false" outlineLevel="0" collapsed="false">
      <c r="A66" s="5" t="s">
        <v>361</v>
      </c>
      <c r="B66" s="5" t="s">
        <v>147</v>
      </c>
      <c r="C66" s="16" t="n">
        <f aca="false">a25_sh</f>
        <v>1.2757</v>
      </c>
      <c r="D66" s="16" t="n">
        <f aca="false">a26_sh</f>
        <v>1.27595</v>
      </c>
      <c r="E66" s="16" t="n">
        <f aca="false">D66*(1+sh_g)</f>
        <v>1.27595</v>
      </c>
      <c r="F66" s="16" t="n">
        <f aca="false">E66*(1+sh_g)</f>
        <v>1.27595</v>
      </c>
      <c r="G66" s="16" t="n">
        <f aca="false">F66*(1+sh_g)</f>
        <v>1.27595</v>
      </c>
    </row>
    <row r="67" customFormat="false" ht="17.15" hidden="false" customHeight="false" outlineLevel="0" collapsed="false">
      <c r="A67" s="0" t="s">
        <v>334</v>
      </c>
      <c r="B67" s="0" t="s">
        <v>182</v>
      </c>
      <c r="C67" s="20" t="n">
        <f aca="false">C65/C66</f>
        <v>2.9834600611429</v>
      </c>
      <c r="D67" s="20" t="n">
        <f aca="false">D65/D66</f>
        <v>4.0949151612524</v>
      </c>
      <c r="E67" s="20" t="n">
        <f aca="false">E65/E66</f>
        <v>5.13041761360123</v>
      </c>
      <c r="F67" s="20" t="n">
        <f aca="false">F65/F66</f>
        <v>5.46120459346983</v>
      </c>
      <c r="G67" s="20" t="n">
        <f aca="false">G65/G66</f>
        <v>5.84441854482594</v>
      </c>
    </row>
    <row r="68" customFormat="false" ht="17.15" hidden="false" customHeight="false" outlineLevel="0" collapsed="false">
      <c r="A68" s="0" t="s">
        <v>362</v>
      </c>
      <c r="B68" s="0" t="s">
        <v>74</v>
      </c>
      <c r="D68" s="15" t="n">
        <f aca="false">D67/C67-1</f>
        <v>0.372538957227979</v>
      </c>
      <c r="E68" s="15" t="n">
        <f aca="false">E67/D67-1</f>
        <v>0.25287519071143</v>
      </c>
      <c r="F68" s="15" t="n">
        <f aca="false">F67/E67-1</f>
        <v>0.0644756440473109</v>
      </c>
      <c r="G68" s="15" t="n">
        <f aca="false">G67/F67-1</f>
        <v>0.0701702243154061</v>
      </c>
    </row>
    <row r="71" customFormat="false" ht="17.15" hidden="false" customHeight="false" outlineLevel="0" collapsed="false">
      <c r="A71" s="3" t="s">
        <v>650</v>
      </c>
    </row>
    <row r="72" customFormat="false" ht="17.15" hidden="false" customHeight="false" outlineLevel="0" collapsed="false">
      <c r="A72" s="6" t="s">
        <v>18</v>
      </c>
      <c r="B72" s="6" t="s">
        <v>19</v>
      </c>
      <c r="C72" s="12" t="s">
        <v>254</v>
      </c>
      <c r="D72" s="12" t="s">
        <v>324</v>
      </c>
      <c r="E72" s="12" t="s">
        <v>325</v>
      </c>
      <c r="F72" s="12" t="s">
        <v>326</v>
      </c>
      <c r="G72" s="12" t="s">
        <v>327</v>
      </c>
      <c r="H72" s="6" t="s">
        <v>306</v>
      </c>
    </row>
    <row r="73" customFormat="false" ht="17.15" hidden="false" customHeight="false" outlineLevel="0" collapsed="false">
      <c r="A73" s="1" t="s">
        <v>343</v>
      </c>
    </row>
    <row r="74" customFormat="false" ht="17.15" hidden="false" customHeight="false" outlineLevel="0" collapsed="false">
      <c r="A74" s="0" t="s">
        <v>344</v>
      </c>
      <c r="B74" s="0" t="s">
        <v>29</v>
      </c>
      <c r="D74" s="20" t="n">
        <f aca="false">mkt_26*1</f>
        <v>32.0719</v>
      </c>
      <c r="E74" s="20" t="n">
        <f aca="false">mkt_27*1*1</f>
        <v>61.085</v>
      </c>
      <c r="F74" s="20" t="n">
        <f aca="false">mkt_28*um28_A*1</f>
        <v>69.005</v>
      </c>
      <c r="G74" s="20" t="n">
        <f aca="false">mkt_29*um29_A*1</f>
        <v>78.48215</v>
      </c>
    </row>
    <row r="75" customFormat="false" ht="15" hidden="false" customHeight="false" outlineLevel="0" collapsed="false">
      <c r="A75" s="5" t="s">
        <v>309</v>
      </c>
      <c r="B75" s="0" t="s">
        <v>74</v>
      </c>
      <c r="D75" s="15" t="n">
        <f aca="false">eth_26</f>
        <v>0.75</v>
      </c>
      <c r="E75" s="15" t="n">
        <f aca="false">eth_27</f>
        <v>0.8</v>
      </c>
      <c r="F75" s="15" t="n">
        <f aca="false">eth_28</f>
        <v>0.83</v>
      </c>
      <c r="G75" s="15" t="n">
        <f aca="false">eth_29</f>
        <v>0.85</v>
      </c>
    </row>
    <row r="76" customFormat="false" ht="17.15" hidden="false" customHeight="false" outlineLevel="0" collapsed="false">
      <c r="A76" s="0" t="s">
        <v>311</v>
      </c>
      <c r="B76" s="0" t="s">
        <v>29</v>
      </c>
      <c r="D76" s="20" t="n">
        <f aca="false">D74*D75</f>
        <v>24.053925</v>
      </c>
      <c r="E76" s="20" t="n">
        <f aca="false">E74*E75</f>
        <v>48.868</v>
      </c>
      <c r="F76" s="20" t="n">
        <f aca="false">F74*F75</f>
        <v>57.27415</v>
      </c>
      <c r="G76" s="20" t="n">
        <f aca="false">G74*G75</f>
        <v>66.7098275</v>
      </c>
    </row>
    <row r="77" customFormat="false" ht="17.15" hidden="false" customHeight="false" outlineLevel="0" collapsed="false">
      <c r="A77" s="0" t="s">
        <v>345</v>
      </c>
      <c r="B77" s="0" t="s">
        <v>74</v>
      </c>
      <c r="D77" s="15" t="n">
        <f aca="false">a26_ai/D76</f>
        <v>0.14550639864388</v>
      </c>
      <c r="H77" s="8" t="s">
        <v>346</v>
      </c>
    </row>
    <row r="78" customFormat="false" ht="17.15" hidden="false" customHeight="false" outlineLevel="0" collapsed="false">
      <c r="A78" s="5" t="s">
        <v>347</v>
      </c>
      <c r="B78" s="0" t="s">
        <v>52</v>
      </c>
      <c r="D78" s="18" t="n">
        <f aca="false">1</f>
        <v>1</v>
      </c>
      <c r="E78" s="18" t="n">
        <f aca="false">RHI_27</f>
        <v>1.05</v>
      </c>
      <c r="F78" s="18" t="n">
        <f aca="false">RHI_28</f>
        <v>1.05</v>
      </c>
      <c r="G78" s="18" t="n">
        <f aca="false">RHI_29</f>
        <v>1.05</v>
      </c>
    </row>
    <row r="79" customFormat="false" ht="17.15" hidden="false" customHeight="false" outlineLevel="0" collapsed="false">
      <c r="A79" s="0" t="s">
        <v>348</v>
      </c>
      <c r="B79" s="0" t="s">
        <v>74</v>
      </c>
      <c r="D79" s="15" t="n">
        <f aca="false">$D$77*D78</f>
        <v>0.14550639864388</v>
      </c>
      <c r="E79" s="15" t="n">
        <f aca="false">$D$77*E78</f>
        <v>0.152781718576074</v>
      </c>
      <c r="F79" s="15" t="n">
        <f aca="false">$D$77*F78</f>
        <v>0.152781718576074</v>
      </c>
      <c r="G79" s="15" t="n">
        <f aca="false">$D$77*G78</f>
        <v>0.152781718576074</v>
      </c>
    </row>
    <row r="80" customFormat="false" ht="17.15" hidden="false" customHeight="false" outlineLevel="0" collapsed="false">
      <c r="A80" s="0" t="s">
        <v>287</v>
      </c>
      <c r="B80" s="0" t="s">
        <v>29</v>
      </c>
      <c r="C80" s="20" t="n">
        <f aca="false">a25_ai</f>
        <v>1.63</v>
      </c>
      <c r="D80" s="20" t="n">
        <f aca="false">D76*D79</f>
        <v>3.5</v>
      </c>
      <c r="E80" s="20" t="n">
        <f aca="false">E76*E79</f>
        <v>7.4661370233756</v>
      </c>
      <c r="F80" s="20" t="n">
        <f aca="false">F76*F79</f>
        <v>8.75044306698387</v>
      </c>
      <c r="G80" s="20" t="n">
        <f aca="false">G76*G79</f>
        <v>10.1920420913635</v>
      </c>
    </row>
    <row r="81" customFormat="false" ht="17.15" hidden="false" customHeight="false" outlineLevel="0" collapsed="false">
      <c r="A81" s="1" t="s">
        <v>349</v>
      </c>
    </row>
    <row r="82" customFormat="false" ht="17.15" hidden="false" customHeight="false" outlineLevel="0" collapsed="false">
      <c r="A82" s="5" t="s">
        <v>350</v>
      </c>
      <c r="B82" s="0" t="s">
        <v>29</v>
      </c>
      <c r="C82" s="20" t="n">
        <f aca="false">a25_nai</f>
        <v>7.3757</v>
      </c>
      <c r="D82" s="20" t="n">
        <f aca="false">a26_nai</f>
        <v>9.1</v>
      </c>
      <c r="E82" s="20" t="n">
        <f aca="false">D82*(1+g_nai27)</f>
        <v>10.01</v>
      </c>
      <c r="F82" s="20" t="n">
        <f aca="false">E82*(1+g_nai28)</f>
        <v>10.8108</v>
      </c>
      <c r="G82" s="20" t="n">
        <f aca="false">F82*(1+g_nai29)</f>
        <v>11.459448</v>
      </c>
    </row>
    <row r="83" customFormat="false" ht="15" hidden="false" customHeight="false" outlineLevel="0" collapsed="false">
      <c r="A83" s="5" t="s">
        <v>261</v>
      </c>
      <c r="B83" s="0" t="s">
        <v>29</v>
      </c>
      <c r="C83" s="20" t="n">
        <f aca="false">a25_rev</f>
        <v>9.0057</v>
      </c>
      <c r="D83" s="20" t="n">
        <f aca="false">D80+D82</f>
        <v>12.6</v>
      </c>
      <c r="E83" s="20" t="n">
        <f aca="false">E80+E82</f>
        <v>17.4761370233756</v>
      </c>
      <c r="F83" s="20" t="n">
        <f aca="false">F80+F82</f>
        <v>19.5612430669839</v>
      </c>
      <c r="G83" s="20" t="n">
        <f aca="false">G80+G82</f>
        <v>21.6514900913635</v>
      </c>
    </row>
    <row r="84" customFormat="false" ht="15" hidden="false" customHeight="false" outlineLevel="0" collapsed="false">
      <c r="A84" s="5" t="s">
        <v>351</v>
      </c>
      <c r="B84" s="0" t="s">
        <v>74</v>
      </c>
      <c r="D84" s="15" t="n">
        <f aca="false">D83/C83-1</f>
        <v>0.399113894533462</v>
      </c>
      <c r="E84" s="15" t="n">
        <f aca="false">E83/D83-1</f>
        <v>0.386995001855207</v>
      </c>
      <c r="F84" s="15" t="n">
        <f aca="false">F83/E83-1</f>
        <v>0.119311609929545</v>
      </c>
      <c r="G84" s="15" t="n">
        <f aca="false">G83/F83-1</f>
        <v>0.106856553912343</v>
      </c>
    </row>
    <row r="85" customFormat="false" ht="17.15" hidden="false" customHeight="false" outlineLevel="0" collapsed="false">
      <c r="A85" s="0" t="s">
        <v>292</v>
      </c>
      <c r="B85" s="0" t="s">
        <v>74</v>
      </c>
      <c r="C85" s="15" t="n">
        <f aca="false">C80/C83</f>
        <v>0.180996480007107</v>
      </c>
      <c r="D85" s="15" t="n">
        <f aca="false">D80/D83</f>
        <v>0.277777777777778</v>
      </c>
      <c r="E85" s="15" t="n">
        <f aca="false">E80/E83</f>
        <v>0.427218956534222</v>
      </c>
      <c r="F85" s="15" t="n">
        <f aca="false">F80/F83</f>
        <v>0.447335736129835</v>
      </c>
      <c r="G85" s="15" t="n">
        <f aca="false">G80/G83</f>
        <v>0.470731670123201</v>
      </c>
    </row>
    <row r="86" customFormat="false" ht="17.15" hidden="false" customHeight="false" outlineLevel="0" collapsed="false">
      <c r="A86" s="1" t="s">
        <v>352</v>
      </c>
    </row>
    <row r="87" customFormat="false" ht="17.15" hidden="false" customHeight="false" outlineLevel="0" collapsed="false">
      <c r="A87" s="5" t="s">
        <v>353</v>
      </c>
      <c r="B87" s="0" t="s">
        <v>74</v>
      </c>
      <c r="D87" s="15" t="n">
        <f aca="false">a26_gp/a26_rev+d_ai*D85</f>
        <v>0.646666666666667</v>
      </c>
      <c r="H87" s="8" t="s">
        <v>354</v>
      </c>
    </row>
    <row r="88" customFormat="false" ht="15" hidden="false" customHeight="false" outlineLevel="0" collapsed="false">
      <c r="A88" s="5" t="s">
        <v>355</v>
      </c>
      <c r="B88" s="0" t="s">
        <v>29</v>
      </c>
      <c r="C88" s="20" t="n">
        <f aca="false">a25_gp</f>
        <v>5.8154</v>
      </c>
      <c r="D88" s="20" t="n">
        <f aca="false">a26_gp</f>
        <v>7.938</v>
      </c>
      <c r="E88" s="20" t="n">
        <f aca="false">$D$87*E82+($D$87-d_ai)*E80</f>
        <v>10.8532670537137</v>
      </c>
      <c r="F88" s="20" t="n">
        <f aca="false">$D$87*F82+($D$87-d_ai)*F80</f>
        <v>12.1245772659639</v>
      </c>
      <c r="G88" s="20" t="n">
        <f aca="false">$D$87*G82+($D$87-d_ai)*G80</f>
        <v>13.3897744002666</v>
      </c>
    </row>
    <row r="89" customFormat="false" ht="15" hidden="false" customHeight="false" outlineLevel="0" collapsed="false">
      <c r="A89" s="5" t="s">
        <v>267</v>
      </c>
      <c r="B89" s="0" t="s">
        <v>74</v>
      </c>
      <c r="C89" s="15" t="n">
        <f aca="false">C88/C83</f>
        <v>0.645746582719833</v>
      </c>
      <c r="D89" s="15" t="n">
        <f aca="false">D88/D83</f>
        <v>0.63</v>
      </c>
      <c r="E89" s="15" t="n">
        <f aca="false">E88/E83</f>
        <v>0.621033529274614</v>
      </c>
      <c r="F89" s="15" t="n">
        <f aca="false">F88/F83</f>
        <v>0.619826522498877</v>
      </c>
      <c r="G89" s="15" t="n">
        <f aca="false">G88/G83</f>
        <v>0.618422766459275</v>
      </c>
    </row>
    <row r="90" customFormat="false" ht="15" hidden="false" customHeight="false" outlineLevel="0" collapsed="false">
      <c r="A90" s="5" t="s">
        <v>356</v>
      </c>
      <c r="B90" s="0" t="s">
        <v>29</v>
      </c>
      <c r="C90" s="20" t="n">
        <f aca="false">a25_opx</f>
        <v>1.4784</v>
      </c>
      <c r="D90" s="20" t="n">
        <f aca="false">a26_opx</f>
        <v>1.827</v>
      </c>
      <c r="E90" s="20" t="n">
        <f aca="false">D90*(1+MAX(0,phi*E84))</f>
        <v>2.2158719276142</v>
      </c>
      <c r="F90" s="20" t="n">
        <f aca="false">E90*(1+MAX(0,phi*F84))</f>
        <v>2.36128051350894</v>
      </c>
      <c r="G90" s="20" t="n">
        <f aca="false">F90*(1+MAX(0,phi*G84))</f>
        <v>2.5000555776806</v>
      </c>
    </row>
    <row r="91" customFormat="false" ht="15" hidden="false" customHeight="false" outlineLevel="0" collapsed="false">
      <c r="A91" s="5" t="s">
        <v>357</v>
      </c>
      <c r="B91" s="0" t="s">
        <v>29</v>
      </c>
      <c r="C91" s="20" t="n">
        <f aca="false">C90</f>
        <v>1.4784</v>
      </c>
      <c r="D91" s="20" t="n">
        <f aca="false">D90</f>
        <v>1.827</v>
      </c>
      <c r="E91" s="20" t="n">
        <f aca="false">E90+0*E83</f>
        <v>2.2158719276142</v>
      </c>
      <c r="F91" s="20" t="n">
        <f aca="false">F90+0*F83</f>
        <v>2.36128051350894</v>
      </c>
      <c r="G91" s="20" t="n">
        <f aca="false">G90+0*G83</f>
        <v>2.5000555776806</v>
      </c>
    </row>
    <row r="92" customFormat="false" ht="15" hidden="false" customHeight="false" outlineLevel="0" collapsed="false">
      <c r="A92" s="5" t="s">
        <v>358</v>
      </c>
      <c r="B92" s="0" t="s">
        <v>29</v>
      </c>
      <c r="C92" s="20" t="n">
        <f aca="false">C88-C91</f>
        <v>4.337</v>
      </c>
      <c r="D92" s="20" t="n">
        <f aca="false">D88-D91</f>
        <v>6.111</v>
      </c>
      <c r="E92" s="20" t="n">
        <f aca="false">E88-E91</f>
        <v>8.63739512609949</v>
      </c>
      <c r="F92" s="20" t="n">
        <f aca="false">F88-F91</f>
        <v>9.76329675245494</v>
      </c>
      <c r="G92" s="20" t="n">
        <f aca="false">G88-G91</f>
        <v>10.889718822586</v>
      </c>
    </row>
    <row r="93" customFormat="false" ht="15" hidden="false" customHeight="false" outlineLevel="0" collapsed="false">
      <c r="A93" s="5" t="s">
        <v>272</v>
      </c>
      <c r="B93" s="0" t="s">
        <v>74</v>
      </c>
      <c r="C93" s="15" t="n">
        <f aca="false">C92/C83</f>
        <v>0.48158388576124</v>
      </c>
      <c r="D93" s="15" t="n">
        <f aca="false">D92/D83</f>
        <v>0.485</v>
      </c>
      <c r="E93" s="15" t="n">
        <f aca="false">E92/E83</f>
        <v>0.494239379935414</v>
      </c>
      <c r="F93" s="15" t="n">
        <f aca="false">F92/F83</f>
        <v>0.499114331283668</v>
      </c>
      <c r="G93" s="15" t="n">
        <f aca="false">G92/G83</f>
        <v>0.502954705502221</v>
      </c>
    </row>
    <row r="94" customFormat="false" ht="15" hidden="false" customHeight="false" outlineLevel="0" collapsed="false">
      <c r="A94" s="5" t="s">
        <v>359</v>
      </c>
      <c r="B94" s="0" t="s">
        <v>29</v>
      </c>
      <c r="C94" s="20" t="n">
        <f aca="false">a25_oth</f>
        <v>0.3936</v>
      </c>
      <c r="D94" s="20" t="n">
        <f aca="false">a26_oth</f>
        <v>0.4999</v>
      </c>
      <c r="E94" s="20" t="n">
        <f aca="false">oth_f</f>
        <v>0.55</v>
      </c>
      <c r="F94" s="20" t="n">
        <f aca="false">oth_f</f>
        <v>0.55</v>
      </c>
      <c r="G94" s="20" t="n">
        <f aca="false">oth_f</f>
        <v>0.55</v>
      </c>
    </row>
    <row r="95" customFormat="false" ht="15" hidden="false" customHeight="false" outlineLevel="0" collapsed="false">
      <c r="A95" s="5" t="s">
        <v>360</v>
      </c>
      <c r="B95" s="0" t="s">
        <v>74</v>
      </c>
      <c r="C95" s="15" t="n">
        <f aca="false">1-a25_ni/(a25_oi+a25_oth)</f>
        <v>0.195450894178328</v>
      </c>
      <c r="D95" s="15" t="n">
        <f aca="false">1-a26_ni/(a26_oi+a26_oth)</f>
        <v>0.209652694791935</v>
      </c>
      <c r="E95" s="15" t="n">
        <f aca="false">tx_f</f>
        <v>0.21</v>
      </c>
      <c r="F95" s="15" t="n">
        <f aca="false">tx_f</f>
        <v>0.21</v>
      </c>
      <c r="G95" s="15" t="n">
        <f aca="false">tx_f</f>
        <v>0.21</v>
      </c>
    </row>
    <row r="96" customFormat="false" ht="17.15" hidden="false" customHeight="false" outlineLevel="0" collapsed="false">
      <c r="A96" s="5" t="s">
        <v>333</v>
      </c>
      <c r="B96" s="0" t="s">
        <v>29</v>
      </c>
      <c r="C96" s="20" t="n">
        <f aca="false">a25_ni</f>
        <v>3.806</v>
      </c>
      <c r="D96" s="20" t="n">
        <f aca="false">a26_ni</f>
        <v>5.224907</v>
      </c>
      <c r="E96" s="20" t="n">
        <f aca="false">(E92+E94)*(1-E95)</f>
        <v>7.25804214961859</v>
      </c>
      <c r="F96" s="20" t="n">
        <f aca="false">(F92+F94)*(1-F95)</f>
        <v>8.1475044344394</v>
      </c>
      <c r="G96" s="20" t="n">
        <f aca="false">(G92+G94)*(1-G95)</f>
        <v>9.03737786984292</v>
      </c>
    </row>
    <row r="97" customFormat="false" ht="15" hidden="false" customHeight="false" outlineLevel="0" collapsed="false">
      <c r="A97" s="5" t="s">
        <v>361</v>
      </c>
      <c r="B97" s="5" t="s">
        <v>147</v>
      </c>
      <c r="C97" s="16" t="n">
        <f aca="false">a25_sh</f>
        <v>1.2757</v>
      </c>
      <c r="D97" s="16" t="n">
        <f aca="false">a26_sh</f>
        <v>1.27595</v>
      </c>
      <c r="E97" s="16" t="n">
        <f aca="false">D97*(1+sh_g)</f>
        <v>1.27595</v>
      </c>
      <c r="F97" s="16" t="n">
        <f aca="false">E97*(1+sh_g)</f>
        <v>1.27595</v>
      </c>
      <c r="G97" s="16" t="n">
        <f aca="false">F97*(1+sh_g)</f>
        <v>1.27595</v>
      </c>
    </row>
    <row r="98" customFormat="false" ht="17.15" hidden="false" customHeight="false" outlineLevel="0" collapsed="false">
      <c r="A98" s="0" t="s">
        <v>334</v>
      </c>
      <c r="B98" s="0" t="s">
        <v>182</v>
      </c>
      <c r="C98" s="20" t="n">
        <f aca="false">C96/C97</f>
        <v>2.9834600611429</v>
      </c>
      <c r="D98" s="20" t="n">
        <f aca="false">D96/D97</f>
        <v>4.0949151612524</v>
      </c>
      <c r="E98" s="20" t="n">
        <f aca="false">E96/E97</f>
        <v>5.6883437043917</v>
      </c>
      <c r="F98" s="20" t="n">
        <f aca="false">F96/F97</f>
        <v>6.38544177627603</v>
      </c>
      <c r="G98" s="20" t="n">
        <f aca="false">G96/G97</f>
        <v>7.08286207911197</v>
      </c>
    </row>
    <row r="99" customFormat="false" ht="17.15" hidden="false" customHeight="false" outlineLevel="0" collapsed="false">
      <c r="A99" s="0" t="s">
        <v>362</v>
      </c>
      <c r="B99" s="0" t="s">
        <v>74</v>
      </c>
      <c r="D99" s="15" t="n">
        <f aca="false">D98/C98-1</f>
        <v>0.372538957227979</v>
      </c>
      <c r="E99" s="15" t="n">
        <f aca="false">E98/D98-1</f>
        <v>0.389123701076133</v>
      </c>
      <c r="F99" s="15" t="n">
        <f aca="false">F98/E98-1</f>
        <v>0.122548514666252</v>
      </c>
      <c r="G99" s="15" t="n">
        <f aca="false">G98/F98-1</f>
        <v>0.109220368342733</v>
      </c>
    </row>
    <row r="102" customFormat="false" ht="17.15" hidden="false" customHeight="false" outlineLevel="0" collapsed="false">
      <c r="A102" s="3" t="s">
        <v>651</v>
      </c>
    </row>
    <row r="103" customFormat="false" ht="17.15" hidden="false" customHeight="false" outlineLevel="0" collapsed="false">
      <c r="A103" s="6" t="s">
        <v>18</v>
      </c>
      <c r="B103" s="6" t="s">
        <v>19</v>
      </c>
      <c r="C103" s="12" t="s">
        <v>254</v>
      </c>
      <c r="D103" s="12" t="s">
        <v>324</v>
      </c>
      <c r="E103" s="12" t="s">
        <v>325</v>
      </c>
      <c r="F103" s="12" t="s">
        <v>326</v>
      </c>
      <c r="G103" s="12" t="s">
        <v>327</v>
      </c>
      <c r="H103" s="6" t="s">
        <v>306</v>
      </c>
    </row>
    <row r="104" customFormat="false" ht="17.15" hidden="false" customHeight="false" outlineLevel="0" collapsed="false">
      <c r="A104" s="1" t="s">
        <v>343</v>
      </c>
    </row>
    <row r="105" customFormat="false" ht="17.15" hidden="false" customHeight="false" outlineLevel="0" collapsed="false">
      <c r="A105" s="0" t="s">
        <v>344</v>
      </c>
      <c r="B105" s="0" t="s">
        <v>29</v>
      </c>
      <c r="D105" s="20" t="n">
        <f aca="false">mkt_26*1</f>
        <v>32.0719</v>
      </c>
      <c r="E105" s="20" t="n">
        <f aca="false">mkt_27*1*1</f>
        <v>61.085</v>
      </c>
      <c r="F105" s="20" t="n">
        <f aca="false">mkt_28*um28_A*1</f>
        <v>69.005</v>
      </c>
      <c r="G105" s="20" t="n">
        <f aca="false">mkt_29*um29_A*1</f>
        <v>78.48215</v>
      </c>
    </row>
    <row r="106" customFormat="false" ht="15" hidden="false" customHeight="false" outlineLevel="0" collapsed="false">
      <c r="A106" s="5" t="s">
        <v>309</v>
      </c>
      <c r="B106" s="0" t="s">
        <v>74</v>
      </c>
      <c r="D106" s="15" t="n">
        <f aca="false">ETLO_26</f>
        <v>0.7</v>
      </c>
      <c r="E106" s="15" t="n">
        <f aca="false">ETLO_27</f>
        <v>0.72</v>
      </c>
      <c r="F106" s="15" t="n">
        <f aca="false">ETLO_28</f>
        <v>0.74</v>
      </c>
      <c r="G106" s="15" t="n">
        <f aca="false">ETLO_29</f>
        <v>0.75</v>
      </c>
    </row>
    <row r="107" customFormat="false" ht="17.15" hidden="false" customHeight="false" outlineLevel="0" collapsed="false">
      <c r="A107" s="0" t="s">
        <v>311</v>
      </c>
      <c r="B107" s="0" t="s">
        <v>29</v>
      </c>
      <c r="D107" s="20" t="n">
        <f aca="false">D105*D106</f>
        <v>22.45033</v>
      </c>
      <c r="E107" s="20" t="n">
        <f aca="false">E105*E106</f>
        <v>43.9812</v>
      </c>
      <c r="F107" s="20" t="n">
        <f aca="false">F105*F106</f>
        <v>51.0637</v>
      </c>
      <c r="G107" s="20" t="n">
        <f aca="false">G105*G106</f>
        <v>58.8616125</v>
      </c>
    </row>
    <row r="108" customFormat="false" ht="17.15" hidden="false" customHeight="false" outlineLevel="0" collapsed="false">
      <c r="A108" s="0" t="s">
        <v>345</v>
      </c>
      <c r="B108" s="0" t="s">
        <v>74</v>
      </c>
      <c r="D108" s="15" t="n">
        <f aca="false">a26_ai/D107</f>
        <v>0.155899712832729</v>
      </c>
      <c r="H108" s="8" t="s">
        <v>346</v>
      </c>
    </row>
    <row r="109" customFormat="false" ht="17.15" hidden="false" customHeight="false" outlineLevel="0" collapsed="false">
      <c r="A109" s="5" t="s">
        <v>347</v>
      </c>
      <c r="B109" s="0" t="s">
        <v>52</v>
      </c>
      <c r="D109" s="18" t="n">
        <f aca="false">1</f>
        <v>1</v>
      </c>
      <c r="E109" s="18" t="n">
        <f aca="false">rel_27</f>
        <v>0.95</v>
      </c>
      <c r="F109" s="18" t="n">
        <f aca="false">rel_28</f>
        <v>0.9</v>
      </c>
      <c r="G109" s="18" t="n">
        <f aca="false">rel_29</f>
        <v>0.88</v>
      </c>
    </row>
    <row r="110" customFormat="false" ht="17.15" hidden="false" customHeight="false" outlineLevel="0" collapsed="false">
      <c r="A110" s="0" t="s">
        <v>348</v>
      </c>
      <c r="B110" s="0" t="s">
        <v>74</v>
      </c>
      <c r="D110" s="15" t="n">
        <f aca="false">$D$108*D109</f>
        <v>0.155899712832729</v>
      </c>
      <c r="E110" s="15" t="n">
        <f aca="false">$D$108*E109</f>
        <v>0.148104727191093</v>
      </c>
      <c r="F110" s="15" t="n">
        <f aca="false">$D$108*F109</f>
        <v>0.140309741549456</v>
      </c>
      <c r="G110" s="15" t="n">
        <f aca="false">$D$108*G109</f>
        <v>0.137191747292802</v>
      </c>
    </row>
    <row r="111" customFormat="false" ht="17.15" hidden="false" customHeight="false" outlineLevel="0" collapsed="false">
      <c r="A111" s="0" t="s">
        <v>287</v>
      </c>
      <c r="B111" s="0" t="s">
        <v>29</v>
      </c>
      <c r="C111" s="20" t="n">
        <f aca="false">a25_ai</f>
        <v>1.63</v>
      </c>
      <c r="D111" s="20" t="n">
        <f aca="false">D107*D110</f>
        <v>3.5</v>
      </c>
      <c r="E111" s="20" t="n">
        <f aca="false">E107*E110</f>
        <v>6.51382362753688</v>
      </c>
      <c r="F111" s="20" t="n">
        <f aca="false">F107*F110</f>
        <v>7.16473454955896</v>
      </c>
      <c r="G111" s="20" t="n">
        <f aca="false">G107*G110</f>
        <v>8.07532746734681</v>
      </c>
    </row>
    <row r="112" customFormat="false" ht="17.15" hidden="false" customHeight="false" outlineLevel="0" collapsed="false">
      <c r="A112" s="1" t="s">
        <v>349</v>
      </c>
    </row>
    <row r="113" customFormat="false" ht="17.15" hidden="false" customHeight="false" outlineLevel="0" collapsed="false">
      <c r="A113" s="5" t="s">
        <v>350</v>
      </c>
      <c r="B113" s="0" t="s">
        <v>29</v>
      </c>
      <c r="C113" s="20" t="n">
        <f aca="false">a25_nai</f>
        <v>7.3757</v>
      </c>
      <c r="D113" s="20" t="n">
        <f aca="false">a26_nai</f>
        <v>9.1</v>
      </c>
      <c r="E113" s="20" t="n">
        <f aca="false">D113*(1+g_nai27)</f>
        <v>10.01</v>
      </c>
      <c r="F113" s="20" t="n">
        <f aca="false">E113*(1+g_nai28)</f>
        <v>10.8108</v>
      </c>
      <c r="G113" s="20" t="n">
        <f aca="false">F113*(1+g_nai29)</f>
        <v>11.459448</v>
      </c>
    </row>
    <row r="114" customFormat="false" ht="15" hidden="false" customHeight="false" outlineLevel="0" collapsed="false">
      <c r="A114" s="5" t="s">
        <v>261</v>
      </c>
      <c r="B114" s="0" t="s">
        <v>29</v>
      </c>
      <c r="C114" s="20" t="n">
        <f aca="false">a25_rev</f>
        <v>9.0057</v>
      </c>
      <c r="D114" s="20" t="n">
        <f aca="false">D111+D113</f>
        <v>12.6</v>
      </c>
      <c r="E114" s="20" t="n">
        <f aca="false">E111+E113</f>
        <v>16.5238236275369</v>
      </c>
      <c r="F114" s="20" t="n">
        <f aca="false">F111+F113</f>
        <v>17.975534549559</v>
      </c>
      <c r="G114" s="20" t="n">
        <f aca="false">G111+G113</f>
        <v>19.5347754673468</v>
      </c>
    </row>
    <row r="115" customFormat="false" ht="15" hidden="false" customHeight="false" outlineLevel="0" collapsed="false">
      <c r="A115" s="5" t="s">
        <v>351</v>
      </c>
      <c r="B115" s="0" t="s">
        <v>74</v>
      </c>
      <c r="D115" s="15" t="n">
        <f aca="false">D114/C114-1</f>
        <v>0.399113894533462</v>
      </c>
      <c r="E115" s="15" t="n">
        <f aca="false">E114/D114-1</f>
        <v>0.311414573614038</v>
      </c>
      <c r="F115" s="15" t="n">
        <f aca="false">F114/E114-1</f>
        <v>0.0878556292263257</v>
      </c>
      <c r="G115" s="15" t="n">
        <f aca="false">G114/F114-1</f>
        <v>0.0867423949751804</v>
      </c>
    </row>
    <row r="116" customFormat="false" ht="17.15" hidden="false" customHeight="false" outlineLevel="0" collapsed="false">
      <c r="A116" s="0" t="s">
        <v>292</v>
      </c>
      <c r="B116" s="0" t="s">
        <v>74</v>
      </c>
      <c r="C116" s="15" t="n">
        <f aca="false">C111/C114</f>
        <v>0.180996480007107</v>
      </c>
      <c r="D116" s="15" t="n">
        <f aca="false">D111/D114</f>
        <v>0.277777777777778</v>
      </c>
      <c r="E116" s="15" t="n">
        <f aca="false">E111/E114</f>
        <v>0.3942080098629</v>
      </c>
      <c r="F116" s="15" t="n">
        <f aca="false">F111/F114</f>
        <v>0.398582558410468</v>
      </c>
      <c r="G116" s="15" t="n">
        <f aca="false">G111/G114</f>
        <v>0.413382149226392</v>
      </c>
    </row>
    <row r="117" customFormat="false" ht="17.15" hidden="false" customHeight="false" outlineLevel="0" collapsed="false">
      <c r="A117" s="1" t="s">
        <v>352</v>
      </c>
    </row>
    <row r="118" customFormat="false" ht="17.15" hidden="false" customHeight="false" outlineLevel="0" collapsed="false">
      <c r="A118" s="5" t="s">
        <v>353</v>
      </c>
      <c r="B118" s="0" t="s">
        <v>74</v>
      </c>
      <c r="D118" s="15" t="n">
        <f aca="false">a26_gp/a26_rev+d_ai*D116</f>
        <v>0.646666666666667</v>
      </c>
      <c r="H118" s="8" t="s">
        <v>354</v>
      </c>
    </row>
    <row r="119" customFormat="false" ht="15" hidden="false" customHeight="false" outlineLevel="0" collapsed="false">
      <c r="A119" s="5" t="s">
        <v>355</v>
      </c>
      <c r="B119" s="0" t="s">
        <v>29</v>
      </c>
      <c r="C119" s="20" t="n">
        <f aca="false">a25_gp</f>
        <v>5.8154</v>
      </c>
      <c r="D119" s="20" t="n">
        <f aca="false">a26_gp</f>
        <v>7.938</v>
      </c>
      <c r="E119" s="20" t="n">
        <f aca="false">$D$118*E113+($D$118-d_ai)*E111</f>
        <v>10.294576528155</v>
      </c>
      <c r="F119" s="20" t="n">
        <f aca="false">$D$118*F113+($D$118-d_ai)*F111</f>
        <v>11.1942949357413</v>
      </c>
      <c r="G119" s="20" t="n">
        <f aca="false">$D$118*G113+($D$118-d_ai)*G111</f>
        <v>12.1479684875101</v>
      </c>
    </row>
    <row r="120" customFormat="false" ht="15" hidden="false" customHeight="false" outlineLevel="0" collapsed="false">
      <c r="A120" s="5" t="s">
        <v>267</v>
      </c>
      <c r="B120" s="0" t="s">
        <v>74</v>
      </c>
      <c r="C120" s="15" t="n">
        <f aca="false">C119/C114</f>
        <v>0.645746582719833</v>
      </c>
      <c r="D120" s="15" t="n">
        <f aca="false">D119/D114</f>
        <v>0.63</v>
      </c>
      <c r="E120" s="15" t="n">
        <f aca="false">E119/E114</f>
        <v>0.623014186074893</v>
      </c>
      <c r="F120" s="15" t="n">
        <f aca="false">F119/F114</f>
        <v>0.622751713162039</v>
      </c>
      <c r="G120" s="15" t="n">
        <f aca="false">G119/G114</f>
        <v>0.621863737713084</v>
      </c>
    </row>
    <row r="121" customFormat="false" ht="15" hidden="false" customHeight="false" outlineLevel="0" collapsed="false">
      <c r="A121" s="5" t="s">
        <v>356</v>
      </c>
      <c r="B121" s="0" t="s">
        <v>29</v>
      </c>
      <c r="C121" s="20" t="n">
        <f aca="false">a25_opx</f>
        <v>1.4784</v>
      </c>
      <c r="D121" s="20" t="n">
        <f aca="false">a26_opx</f>
        <v>1.827</v>
      </c>
      <c r="E121" s="20" t="n">
        <f aca="false">D121*(1+MAX(0,phi*E115))</f>
        <v>2.13992493429607</v>
      </c>
      <c r="F121" s="20" t="n">
        <f aca="false">E121*(1+MAX(0,phi*F115))</f>
        <v>2.24332738267589</v>
      </c>
      <c r="G121" s="20" t="n">
        <f aca="false">F121*(1+MAX(0,phi*G115))</f>
        <v>2.35035275711358</v>
      </c>
    </row>
    <row r="122" customFormat="false" ht="15" hidden="false" customHeight="false" outlineLevel="0" collapsed="false">
      <c r="A122" s="5" t="s">
        <v>357</v>
      </c>
      <c r="B122" s="0" t="s">
        <v>29</v>
      </c>
      <c r="C122" s="20" t="n">
        <f aca="false">C121</f>
        <v>1.4784</v>
      </c>
      <c r="D122" s="20" t="n">
        <f aca="false">D121</f>
        <v>1.827</v>
      </c>
      <c r="E122" s="20" t="n">
        <f aca="false">E121+0*E114</f>
        <v>2.13992493429607</v>
      </c>
      <c r="F122" s="20" t="n">
        <f aca="false">F121+0*F114</f>
        <v>2.24332738267589</v>
      </c>
      <c r="G122" s="20" t="n">
        <f aca="false">G121+0*G114</f>
        <v>2.35035275711358</v>
      </c>
    </row>
    <row r="123" customFormat="false" ht="15" hidden="false" customHeight="false" outlineLevel="0" collapsed="false">
      <c r="A123" s="5" t="s">
        <v>358</v>
      </c>
      <c r="B123" s="0" t="s">
        <v>29</v>
      </c>
      <c r="C123" s="20" t="n">
        <f aca="false">C119-C122</f>
        <v>4.337</v>
      </c>
      <c r="D123" s="20" t="n">
        <f aca="false">D119-D122</f>
        <v>6.111</v>
      </c>
      <c r="E123" s="20" t="n">
        <f aca="false">E119-E122</f>
        <v>8.15465159385891</v>
      </c>
      <c r="F123" s="20" t="n">
        <f aca="false">F119-F122</f>
        <v>8.95096755306537</v>
      </c>
      <c r="G123" s="20" t="n">
        <f aca="false">G119-G122</f>
        <v>9.79761573039655</v>
      </c>
    </row>
    <row r="124" customFormat="false" ht="15" hidden="false" customHeight="false" outlineLevel="0" collapsed="false">
      <c r="A124" s="5" t="s">
        <v>272</v>
      </c>
      <c r="B124" s="0" t="s">
        <v>74</v>
      </c>
      <c r="C124" s="15" t="n">
        <f aca="false">C123/C114</f>
        <v>0.48158388576124</v>
      </c>
      <c r="D124" s="15" t="n">
        <f aca="false">D123/D114</f>
        <v>0.485</v>
      </c>
      <c r="E124" s="15" t="n">
        <f aca="false">E123/E114</f>
        <v>0.493508753038807</v>
      </c>
      <c r="F124" s="15" t="n">
        <f aca="false">F123/F114</f>
        <v>0.497952788462972</v>
      </c>
      <c r="G124" s="15" t="n">
        <f aca="false">G123/G114</f>
        <v>0.501547394121508</v>
      </c>
    </row>
    <row r="125" customFormat="false" ht="15" hidden="false" customHeight="false" outlineLevel="0" collapsed="false">
      <c r="A125" s="5" t="s">
        <v>359</v>
      </c>
      <c r="B125" s="0" t="s">
        <v>29</v>
      </c>
      <c r="C125" s="20" t="n">
        <f aca="false">a25_oth</f>
        <v>0.3936</v>
      </c>
      <c r="D125" s="20" t="n">
        <f aca="false">a26_oth</f>
        <v>0.4999</v>
      </c>
      <c r="E125" s="20" t="n">
        <f aca="false">oth_f</f>
        <v>0.55</v>
      </c>
      <c r="F125" s="20" t="n">
        <f aca="false">oth_f</f>
        <v>0.55</v>
      </c>
      <c r="G125" s="20" t="n">
        <f aca="false">oth_f</f>
        <v>0.55</v>
      </c>
    </row>
    <row r="126" customFormat="false" ht="15" hidden="false" customHeight="false" outlineLevel="0" collapsed="false">
      <c r="A126" s="5" t="s">
        <v>360</v>
      </c>
      <c r="B126" s="0" t="s">
        <v>74</v>
      </c>
      <c r="C126" s="15" t="n">
        <f aca="false">1-a25_ni/(a25_oi+a25_oth)</f>
        <v>0.195450894178328</v>
      </c>
      <c r="D126" s="15" t="n">
        <f aca="false">1-a26_ni/(a26_oi+a26_oth)</f>
        <v>0.209652694791935</v>
      </c>
      <c r="E126" s="15" t="n">
        <f aca="false">tx_f</f>
        <v>0.21</v>
      </c>
      <c r="F126" s="15" t="n">
        <f aca="false">tx_f</f>
        <v>0.21</v>
      </c>
      <c r="G126" s="15" t="n">
        <f aca="false">tx_f</f>
        <v>0.21</v>
      </c>
    </row>
    <row r="127" customFormat="false" ht="17.15" hidden="false" customHeight="false" outlineLevel="0" collapsed="false">
      <c r="A127" s="5" t="s">
        <v>333</v>
      </c>
      <c r="B127" s="0" t="s">
        <v>29</v>
      </c>
      <c r="C127" s="20" t="n">
        <f aca="false">a25_ni</f>
        <v>3.806</v>
      </c>
      <c r="D127" s="20" t="n">
        <f aca="false">a26_ni</f>
        <v>5.224907</v>
      </c>
      <c r="E127" s="20" t="n">
        <f aca="false">(E123+E125)*(1-E126)</f>
        <v>6.87667475914854</v>
      </c>
      <c r="F127" s="20" t="n">
        <f aca="false">(F123+F125)*(1-F126)</f>
        <v>7.50576436692164</v>
      </c>
      <c r="G127" s="20" t="n">
        <f aca="false">(G123+G125)*(1-G126)</f>
        <v>8.17461642701327</v>
      </c>
    </row>
    <row r="128" customFormat="false" ht="15" hidden="false" customHeight="false" outlineLevel="0" collapsed="false">
      <c r="A128" s="5" t="s">
        <v>361</v>
      </c>
      <c r="B128" s="5" t="s">
        <v>147</v>
      </c>
      <c r="C128" s="16" t="n">
        <f aca="false">a25_sh</f>
        <v>1.2757</v>
      </c>
      <c r="D128" s="16" t="n">
        <f aca="false">a26_sh</f>
        <v>1.27595</v>
      </c>
      <c r="E128" s="16" t="n">
        <f aca="false">D128*(1+sh_g)</f>
        <v>1.27595</v>
      </c>
      <c r="F128" s="16" t="n">
        <f aca="false">E128*(1+sh_g)</f>
        <v>1.27595</v>
      </c>
      <c r="G128" s="16" t="n">
        <f aca="false">F128*(1+sh_g)</f>
        <v>1.27595</v>
      </c>
    </row>
    <row r="129" customFormat="false" ht="17.15" hidden="false" customHeight="false" outlineLevel="0" collapsed="false">
      <c r="A129" s="0" t="s">
        <v>334</v>
      </c>
      <c r="B129" s="0" t="s">
        <v>182</v>
      </c>
      <c r="C129" s="20" t="n">
        <f aca="false">C127/C128</f>
        <v>2.9834600611429</v>
      </c>
      <c r="D129" s="20" t="n">
        <f aca="false">D127/D128</f>
        <v>4.0949151612524</v>
      </c>
      <c r="E129" s="20" t="n">
        <f aca="false">E127/E128</f>
        <v>5.38945472718252</v>
      </c>
      <c r="F129" s="20" t="n">
        <f aca="false">F127/F128</f>
        <v>5.8824909807764</v>
      </c>
      <c r="G129" s="20" t="n">
        <f aca="false">G127/G128</f>
        <v>6.40669025197952</v>
      </c>
    </row>
    <row r="130" customFormat="false" ht="17.15" hidden="false" customHeight="false" outlineLevel="0" collapsed="false">
      <c r="A130" s="0" t="s">
        <v>362</v>
      </c>
      <c r="B130" s="0" t="s">
        <v>74</v>
      </c>
      <c r="D130" s="15" t="n">
        <f aca="false">D129/C129-1</f>
        <v>0.372538957227979</v>
      </c>
      <c r="E130" s="15" t="n">
        <f aca="false">E129/D129-1</f>
        <v>0.316133427666471</v>
      </c>
      <c r="F130" s="15" t="n">
        <f aca="false">F129/E129-1</f>
        <v>0.0914816578952176</v>
      </c>
      <c r="G130" s="15" t="n">
        <f aca="false">G129/F129-1</f>
        <v>0.0891117849421577</v>
      </c>
    </row>
    <row r="133" customFormat="false" ht="17.15" hidden="false" customHeight="false" outlineLevel="0" collapsed="false">
      <c r="A133" s="3" t="s">
        <v>652</v>
      </c>
    </row>
    <row r="134" customFormat="false" ht="17.15" hidden="false" customHeight="false" outlineLevel="0" collapsed="false">
      <c r="A134" s="6" t="s">
        <v>18</v>
      </c>
      <c r="B134" s="6" t="s">
        <v>19</v>
      </c>
      <c r="C134" s="12" t="s">
        <v>254</v>
      </c>
      <c r="D134" s="12" t="s">
        <v>324</v>
      </c>
      <c r="E134" s="12" t="s">
        <v>325</v>
      </c>
      <c r="F134" s="12" t="s">
        <v>326</v>
      </c>
      <c r="G134" s="12" t="s">
        <v>327</v>
      </c>
      <c r="H134" s="6" t="s">
        <v>306</v>
      </c>
    </row>
    <row r="135" customFormat="false" ht="17.15" hidden="false" customHeight="false" outlineLevel="0" collapsed="false">
      <c r="A135" s="1" t="s">
        <v>343</v>
      </c>
    </row>
    <row r="136" customFormat="false" ht="17.15" hidden="false" customHeight="false" outlineLevel="0" collapsed="false">
      <c r="A136" s="0" t="s">
        <v>344</v>
      </c>
      <c r="B136" s="0" t="s">
        <v>29</v>
      </c>
      <c r="D136" s="20" t="n">
        <f aca="false">mkt_26*1</f>
        <v>32.0719</v>
      </c>
      <c r="E136" s="20" t="n">
        <f aca="false">mkt_27*1*1</f>
        <v>61.085</v>
      </c>
      <c r="F136" s="20" t="n">
        <f aca="false">mkt_28*um28_A*1</f>
        <v>69.005</v>
      </c>
      <c r="G136" s="20" t="n">
        <f aca="false">mkt_29*um29_A*1</f>
        <v>78.48215</v>
      </c>
    </row>
    <row r="137" customFormat="false" ht="15" hidden="false" customHeight="false" outlineLevel="0" collapsed="false">
      <c r="A137" s="5" t="s">
        <v>309</v>
      </c>
      <c r="B137" s="0" t="s">
        <v>74</v>
      </c>
      <c r="D137" s="15" t="n">
        <f aca="false">ETHI_26</f>
        <v>0.8</v>
      </c>
      <c r="E137" s="15" t="n">
        <f aca="false">ETHI_27</f>
        <v>0.88</v>
      </c>
      <c r="F137" s="15" t="n">
        <f aca="false">ETHI_28</f>
        <v>0.9</v>
      </c>
      <c r="G137" s="15" t="n">
        <f aca="false">ETHI_29</f>
        <v>0.92</v>
      </c>
    </row>
    <row r="138" customFormat="false" ht="17.15" hidden="false" customHeight="false" outlineLevel="0" collapsed="false">
      <c r="A138" s="0" t="s">
        <v>311</v>
      </c>
      <c r="B138" s="0" t="s">
        <v>29</v>
      </c>
      <c r="D138" s="20" t="n">
        <f aca="false">D136*D137</f>
        <v>25.65752</v>
      </c>
      <c r="E138" s="20" t="n">
        <f aca="false">E136*E137</f>
        <v>53.7548</v>
      </c>
      <c r="F138" s="20" t="n">
        <f aca="false">F136*F137</f>
        <v>62.1045</v>
      </c>
      <c r="G138" s="20" t="n">
        <f aca="false">G136*G137</f>
        <v>72.203578</v>
      </c>
    </row>
    <row r="139" customFormat="false" ht="17.15" hidden="false" customHeight="false" outlineLevel="0" collapsed="false">
      <c r="A139" s="0" t="s">
        <v>345</v>
      </c>
      <c r="B139" s="0" t="s">
        <v>74</v>
      </c>
      <c r="D139" s="15" t="n">
        <f aca="false">a26_ai/D138</f>
        <v>0.136412248728638</v>
      </c>
      <c r="H139" s="8" t="s">
        <v>346</v>
      </c>
    </row>
    <row r="140" customFormat="false" ht="17.15" hidden="false" customHeight="false" outlineLevel="0" collapsed="false">
      <c r="A140" s="5" t="s">
        <v>347</v>
      </c>
      <c r="B140" s="0" t="s">
        <v>52</v>
      </c>
      <c r="D140" s="18" t="n">
        <f aca="false">1</f>
        <v>1</v>
      </c>
      <c r="E140" s="18" t="n">
        <f aca="false">rel_27</f>
        <v>0.95</v>
      </c>
      <c r="F140" s="18" t="n">
        <f aca="false">rel_28</f>
        <v>0.9</v>
      </c>
      <c r="G140" s="18" t="n">
        <f aca="false">rel_29</f>
        <v>0.88</v>
      </c>
    </row>
    <row r="141" customFormat="false" ht="17.15" hidden="false" customHeight="false" outlineLevel="0" collapsed="false">
      <c r="A141" s="0" t="s">
        <v>348</v>
      </c>
      <c r="B141" s="0" t="s">
        <v>74</v>
      </c>
      <c r="D141" s="15" t="n">
        <f aca="false">$D$139*D140</f>
        <v>0.136412248728638</v>
      </c>
      <c r="E141" s="15" t="n">
        <f aca="false">$D$139*E140</f>
        <v>0.129591636292206</v>
      </c>
      <c r="F141" s="15" t="n">
        <f aca="false">$D$139*F140</f>
        <v>0.122771023855774</v>
      </c>
      <c r="G141" s="15" t="n">
        <f aca="false">$D$139*G140</f>
        <v>0.120042778881201</v>
      </c>
    </row>
    <row r="142" customFormat="false" ht="17.15" hidden="false" customHeight="false" outlineLevel="0" collapsed="false">
      <c r="A142" s="0" t="s">
        <v>287</v>
      </c>
      <c r="B142" s="0" t="s">
        <v>29</v>
      </c>
      <c r="C142" s="20" t="n">
        <f aca="false">a25_ai</f>
        <v>1.63</v>
      </c>
      <c r="D142" s="20" t="n">
        <f aca="false">D138*D141</f>
        <v>3.5</v>
      </c>
      <c r="E142" s="20" t="n">
        <f aca="false">E138*E141</f>
        <v>6.96617249056027</v>
      </c>
      <c r="F142" s="20" t="n">
        <f aca="false">F138*F141</f>
        <v>7.62463305105092</v>
      </c>
      <c r="G142" s="20" t="n">
        <f aca="false">G138*G141</f>
        <v>8.66751814828557</v>
      </c>
    </row>
    <row r="143" customFormat="false" ht="17.15" hidden="false" customHeight="false" outlineLevel="0" collapsed="false">
      <c r="A143" s="1" t="s">
        <v>349</v>
      </c>
    </row>
    <row r="144" customFormat="false" ht="17.15" hidden="false" customHeight="false" outlineLevel="0" collapsed="false">
      <c r="A144" s="5" t="s">
        <v>350</v>
      </c>
      <c r="B144" s="0" t="s">
        <v>29</v>
      </c>
      <c r="C144" s="20" t="n">
        <f aca="false">a25_nai</f>
        <v>7.3757</v>
      </c>
      <c r="D144" s="20" t="n">
        <f aca="false">a26_nai</f>
        <v>9.1</v>
      </c>
      <c r="E144" s="20" t="n">
        <f aca="false">D144*(1+g_nai27)</f>
        <v>10.01</v>
      </c>
      <c r="F144" s="20" t="n">
        <f aca="false">E144*(1+g_nai28)</f>
        <v>10.8108</v>
      </c>
      <c r="G144" s="20" t="n">
        <f aca="false">F144*(1+g_nai29)</f>
        <v>11.459448</v>
      </c>
    </row>
    <row r="145" customFormat="false" ht="15" hidden="false" customHeight="false" outlineLevel="0" collapsed="false">
      <c r="A145" s="5" t="s">
        <v>261</v>
      </c>
      <c r="B145" s="0" t="s">
        <v>29</v>
      </c>
      <c r="C145" s="20" t="n">
        <f aca="false">a25_rev</f>
        <v>9.0057</v>
      </c>
      <c r="D145" s="20" t="n">
        <f aca="false">D142+D144</f>
        <v>12.6</v>
      </c>
      <c r="E145" s="20" t="n">
        <f aca="false">E142+E144</f>
        <v>16.9761724905603</v>
      </c>
      <c r="F145" s="20" t="n">
        <f aca="false">F142+F144</f>
        <v>18.4354330510509</v>
      </c>
      <c r="G145" s="20" t="n">
        <f aca="false">G142+G144</f>
        <v>20.1269661482856</v>
      </c>
    </row>
    <row r="146" customFormat="false" ht="15" hidden="false" customHeight="false" outlineLevel="0" collapsed="false">
      <c r="A146" s="5" t="s">
        <v>351</v>
      </c>
      <c r="B146" s="0" t="s">
        <v>74</v>
      </c>
      <c r="D146" s="15" t="n">
        <f aca="false">D145/C145-1</f>
        <v>0.399113894533462</v>
      </c>
      <c r="E146" s="15" t="n">
        <f aca="false">E145/D145-1</f>
        <v>0.347315277028593</v>
      </c>
      <c r="F146" s="15" t="n">
        <f aca="false">F145/E145-1</f>
        <v>0.0859593386731952</v>
      </c>
      <c r="G146" s="15" t="n">
        <f aca="false">G145/F145-1</f>
        <v>0.0917544541834467</v>
      </c>
    </row>
    <row r="147" customFormat="false" ht="17.15" hidden="false" customHeight="false" outlineLevel="0" collapsed="false">
      <c r="A147" s="0" t="s">
        <v>292</v>
      </c>
      <c r="B147" s="0" t="s">
        <v>74</v>
      </c>
      <c r="C147" s="15" t="n">
        <f aca="false">C142/C145</f>
        <v>0.180996480007107</v>
      </c>
      <c r="D147" s="15" t="n">
        <f aca="false">D142/D145</f>
        <v>0.277777777777778</v>
      </c>
      <c r="E147" s="15" t="n">
        <f aca="false">E142/E145</f>
        <v>0.410350006424232</v>
      </c>
      <c r="F147" s="15" t="n">
        <f aca="false">F142/F145</f>
        <v>0.413585785044321</v>
      </c>
      <c r="G147" s="15" t="n">
        <f aca="false">G142/G145</f>
        <v>0.430642059236726</v>
      </c>
    </row>
    <row r="148" customFormat="false" ht="17.15" hidden="false" customHeight="false" outlineLevel="0" collapsed="false">
      <c r="A148" s="1" t="s">
        <v>352</v>
      </c>
    </row>
    <row r="149" customFormat="false" ht="17.15" hidden="false" customHeight="false" outlineLevel="0" collapsed="false">
      <c r="A149" s="5" t="s">
        <v>353</v>
      </c>
      <c r="B149" s="0" t="s">
        <v>74</v>
      </c>
      <c r="D149" s="15" t="n">
        <f aca="false">a26_gp/a26_rev+d_ai*D147</f>
        <v>0.646666666666667</v>
      </c>
      <c r="H149" s="8" t="s">
        <v>354</v>
      </c>
    </row>
    <row r="150" customFormat="false" ht="15" hidden="false" customHeight="false" outlineLevel="0" collapsed="false">
      <c r="A150" s="5" t="s">
        <v>355</v>
      </c>
      <c r="B150" s="0" t="s">
        <v>29</v>
      </c>
      <c r="C150" s="20" t="n">
        <f aca="false">a25_gp</f>
        <v>5.8154</v>
      </c>
      <c r="D150" s="20" t="n">
        <f aca="false">a26_gp</f>
        <v>7.938</v>
      </c>
      <c r="E150" s="20" t="n">
        <f aca="false">$D$149*E144+($D$149-d_ai)*E142</f>
        <v>10.5599545277954</v>
      </c>
      <c r="F150" s="20" t="n">
        <f aca="false">$D$149*F144+($D$149-d_ai)*F142</f>
        <v>11.4641020566165</v>
      </c>
      <c r="G150" s="20" t="n">
        <f aca="false">$D$149*G144+($D$149-d_ai)*G142</f>
        <v>12.4953870203275</v>
      </c>
    </row>
    <row r="151" customFormat="false" ht="15" hidden="false" customHeight="false" outlineLevel="0" collapsed="false">
      <c r="A151" s="5" t="s">
        <v>267</v>
      </c>
      <c r="B151" s="0" t="s">
        <v>74</v>
      </c>
      <c r="C151" s="15" t="n">
        <f aca="false">C150/C145</f>
        <v>0.645746582719833</v>
      </c>
      <c r="D151" s="15" t="n">
        <f aca="false">D150/D145</f>
        <v>0.63</v>
      </c>
      <c r="E151" s="15" t="n">
        <f aca="false">E150/E145</f>
        <v>0.622045666281213</v>
      </c>
      <c r="F151" s="15" t="n">
        <f aca="false">F150/F145</f>
        <v>0.621851519564008</v>
      </c>
      <c r="G151" s="15" t="n">
        <f aca="false">G150/G145</f>
        <v>0.620828143112463</v>
      </c>
    </row>
    <row r="152" customFormat="false" ht="15" hidden="false" customHeight="false" outlineLevel="0" collapsed="false">
      <c r="A152" s="5" t="s">
        <v>356</v>
      </c>
      <c r="B152" s="0" t="s">
        <v>29</v>
      </c>
      <c r="C152" s="20" t="n">
        <f aca="false">a25_opx</f>
        <v>1.4784</v>
      </c>
      <c r="D152" s="20" t="n">
        <f aca="false">a26_opx</f>
        <v>1.827</v>
      </c>
      <c r="E152" s="20" t="n">
        <f aca="false">D152*(1+MAX(0,phi*E146))</f>
        <v>2.17599975612218</v>
      </c>
      <c r="F152" s="20" t="n">
        <f aca="false">E152*(1+MAX(0,phi*F146))</f>
        <v>2.2788758811163</v>
      </c>
      <c r="G152" s="20" t="n">
        <f aca="false">F152*(1+MAX(0,phi*G146))</f>
        <v>2.3938792380593</v>
      </c>
    </row>
    <row r="153" customFormat="false" ht="15" hidden="false" customHeight="false" outlineLevel="0" collapsed="false">
      <c r="A153" s="5" t="s">
        <v>357</v>
      </c>
      <c r="B153" s="0" t="s">
        <v>29</v>
      </c>
      <c r="C153" s="20" t="n">
        <f aca="false">C152</f>
        <v>1.4784</v>
      </c>
      <c r="D153" s="20" t="n">
        <f aca="false">D152</f>
        <v>1.827</v>
      </c>
      <c r="E153" s="20" t="n">
        <f aca="false">E152+0*E145</f>
        <v>2.17599975612218</v>
      </c>
      <c r="F153" s="20" t="n">
        <f aca="false">F152+0*F145</f>
        <v>2.2788758811163</v>
      </c>
      <c r="G153" s="20" t="n">
        <f aca="false">G152+0*G145</f>
        <v>2.3938792380593</v>
      </c>
    </row>
    <row r="154" customFormat="false" ht="15" hidden="false" customHeight="false" outlineLevel="0" collapsed="false">
      <c r="A154" s="5" t="s">
        <v>358</v>
      </c>
      <c r="B154" s="0" t="s">
        <v>29</v>
      </c>
      <c r="C154" s="20" t="n">
        <f aca="false">C150-C153</f>
        <v>4.337</v>
      </c>
      <c r="D154" s="20" t="n">
        <f aca="false">D150-D153</f>
        <v>6.111</v>
      </c>
      <c r="E154" s="20" t="n">
        <f aca="false">E150-E153</f>
        <v>8.38395477167318</v>
      </c>
      <c r="F154" s="20" t="n">
        <f aca="false">F150-F153</f>
        <v>9.18522617550025</v>
      </c>
      <c r="G154" s="20" t="n">
        <f aca="false">G150-G153</f>
        <v>10.1015077822682</v>
      </c>
    </row>
    <row r="155" customFormat="false" ht="15" hidden="false" customHeight="false" outlineLevel="0" collapsed="false">
      <c r="A155" s="5" t="s">
        <v>272</v>
      </c>
      <c r="B155" s="0" t="s">
        <v>74</v>
      </c>
      <c r="C155" s="15" t="n">
        <f aca="false">C154/C145</f>
        <v>0.48158388576124</v>
      </c>
      <c r="D155" s="15" t="n">
        <f aca="false">D154/D145</f>
        <v>0.485</v>
      </c>
      <c r="E155" s="15" t="n">
        <f aca="false">E154/E145</f>
        <v>0.493866021703959</v>
      </c>
      <c r="F155" s="15" t="n">
        <f aca="false">F154/F145</f>
        <v>0.498237613950525</v>
      </c>
      <c r="G155" s="15" t="n">
        <f aca="false">G154/G145</f>
        <v>0.501889241917799</v>
      </c>
    </row>
    <row r="156" customFormat="false" ht="15" hidden="false" customHeight="false" outlineLevel="0" collapsed="false">
      <c r="A156" s="5" t="s">
        <v>359</v>
      </c>
      <c r="B156" s="0" t="s">
        <v>29</v>
      </c>
      <c r="C156" s="20" t="n">
        <f aca="false">a25_oth</f>
        <v>0.3936</v>
      </c>
      <c r="D156" s="20" t="n">
        <f aca="false">a26_oth</f>
        <v>0.4999</v>
      </c>
      <c r="E156" s="20" t="n">
        <f aca="false">oth_f</f>
        <v>0.55</v>
      </c>
      <c r="F156" s="20" t="n">
        <f aca="false">oth_f</f>
        <v>0.55</v>
      </c>
      <c r="G156" s="20" t="n">
        <f aca="false">oth_f</f>
        <v>0.55</v>
      </c>
    </row>
    <row r="157" customFormat="false" ht="15" hidden="false" customHeight="false" outlineLevel="0" collapsed="false">
      <c r="A157" s="5" t="s">
        <v>360</v>
      </c>
      <c r="B157" s="0" t="s">
        <v>74</v>
      </c>
      <c r="C157" s="15" t="n">
        <f aca="false">1-a25_ni/(a25_oi+a25_oth)</f>
        <v>0.195450894178328</v>
      </c>
      <c r="D157" s="15" t="n">
        <f aca="false">1-a26_ni/(a26_oi+a26_oth)</f>
        <v>0.209652694791935</v>
      </c>
      <c r="E157" s="15" t="n">
        <f aca="false">tx_f</f>
        <v>0.21</v>
      </c>
      <c r="F157" s="15" t="n">
        <f aca="false">tx_f</f>
        <v>0.21</v>
      </c>
      <c r="G157" s="15" t="n">
        <f aca="false">tx_f</f>
        <v>0.21</v>
      </c>
    </row>
    <row r="158" customFormat="false" ht="17.15" hidden="false" customHeight="false" outlineLevel="0" collapsed="false">
      <c r="A158" s="5" t="s">
        <v>333</v>
      </c>
      <c r="B158" s="0" t="s">
        <v>29</v>
      </c>
      <c r="C158" s="20" t="n">
        <f aca="false">a25_ni</f>
        <v>3.806</v>
      </c>
      <c r="D158" s="20" t="n">
        <f aca="false">a26_ni</f>
        <v>5.224907</v>
      </c>
      <c r="E158" s="20" t="n">
        <f aca="false">(E154+E156)*(1-E157)</f>
        <v>7.05782426962181</v>
      </c>
      <c r="F158" s="20" t="n">
        <f aca="false">(F154+F156)*(1-F157)</f>
        <v>7.6908286786452</v>
      </c>
      <c r="G158" s="20" t="n">
        <f aca="false">(G154+G156)*(1-G157)</f>
        <v>8.41469114799191</v>
      </c>
    </row>
    <row r="159" customFormat="false" ht="15" hidden="false" customHeight="false" outlineLevel="0" collapsed="false">
      <c r="A159" s="5" t="s">
        <v>361</v>
      </c>
      <c r="B159" s="5" t="s">
        <v>147</v>
      </c>
      <c r="C159" s="16" t="n">
        <f aca="false">a25_sh</f>
        <v>1.2757</v>
      </c>
      <c r="D159" s="16" t="n">
        <f aca="false">a26_sh</f>
        <v>1.27595</v>
      </c>
      <c r="E159" s="16" t="n">
        <f aca="false">D159*(1+sh_g)</f>
        <v>1.27595</v>
      </c>
      <c r="F159" s="16" t="n">
        <f aca="false">E159*(1+sh_g)</f>
        <v>1.27595</v>
      </c>
      <c r="G159" s="16" t="n">
        <f aca="false">F159*(1+sh_g)</f>
        <v>1.27595</v>
      </c>
    </row>
    <row r="160" customFormat="false" ht="17.15" hidden="false" customHeight="false" outlineLevel="0" collapsed="false">
      <c r="A160" s="0" t="s">
        <v>334</v>
      </c>
      <c r="B160" s="0" t="s">
        <v>182</v>
      </c>
      <c r="C160" s="20" t="n">
        <f aca="false">C158/C159</f>
        <v>2.9834600611429</v>
      </c>
      <c r="D160" s="20" t="n">
        <f aca="false">D158/D159</f>
        <v>4.0949151612524</v>
      </c>
      <c r="E160" s="20" t="n">
        <f aca="false">E158/E159</f>
        <v>5.53142699135688</v>
      </c>
      <c r="F160" s="20" t="n">
        <f aca="false">F158/F159</f>
        <v>6.02753139123414</v>
      </c>
      <c r="G160" s="20" t="n">
        <f aca="false">G158/G159</f>
        <v>6.594843957829</v>
      </c>
    </row>
    <row r="161" customFormat="false" ht="17.15" hidden="false" customHeight="false" outlineLevel="0" collapsed="false">
      <c r="A161" s="0" t="s">
        <v>362</v>
      </c>
      <c r="B161" s="0" t="s">
        <v>74</v>
      </c>
      <c r="D161" s="15" t="n">
        <f aca="false">D160/C160-1</f>
        <v>0.372538957227979</v>
      </c>
      <c r="E161" s="15" t="n">
        <f aca="false">E160/D160-1</f>
        <v>0.35080380753606</v>
      </c>
      <c r="F161" s="15" t="n">
        <f aca="false">F160/E160-1</f>
        <v>0.0896883210521338</v>
      </c>
      <c r="G161" s="15" t="n">
        <f aca="false">G160/F160-1</f>
        <v>0.0941202176764944</v>
      </c>
    </row>
    <row r="164" customFormat="false" ht="17.15" hidden="false" customHeight="false" outlineLevel="0" collapsed="false">
      <c r="A164" s="3" t="s">
        <v>653</v>
      </c>
    </row>
    <row r="165" customFormat="false" ht="17.15" hidden="false" customHeight="false" outlineLevel="0" collapsed="false">
      <c r="A165" s="6" t="s">
        <v>18</v>
      </c>
      <c r="B165" s="6" t="s">
        <v>19</v>
      </c>
      <c r="C165" s="12" t="s">
        <v>254</v>
      </c>
      <c r="D165" s="12" t="s">
        <v>324</v>
      </c>
      <c r="E165" s="12" t="s">
        <v>325</v>
      </c>
      <c r="F165" s="12" t="s">
        <v>326</v>
      </c>
      <c r="G165" s="12" t="s">
        <v>327</v>
      </c>
      <c r="H165" s="6" t="s">
        <v>306</v>
      </c>
    </row>
    <row r="166" customFormat="false" ht="17.15" hidden="false" customHeight="false" outlineLevel="0" collapsed="false">
      <c r="A166" s="1" t="s">
        <v>343</v>
      </c>
    </row>
    <row r="167" customFormat="false" ht="17.15" hidden="false" customHeight="false" outlineLevel="0" collapsed="false">
      <c r="A167" s="0" t="s">
        <v>344</v>
      </c>
      <c r="B167" s="0" t="s">
        <v>29</v>
      </c>
      <c r="D167" s="20" t="n">
        <f aca="false">mkt_26*1</f>
        <v>32.0719</v>
      </c>
      <c r="E167" s="20" t="n">
        <f aca="false">mkt_27*1*mf_lo</f>
        <v>48.868</v>
      </c>
      <c r="F167" s="20" t="n">
        <f aca="false">mkt_28*um28_A*mf_lo</f>
        <v>55.204</v>
      </c>
      <c r="G167" s="20" t="n">
        <f aca="false">mkt_29*um29_A*mf_lo</f>
        <v>62.78572</v>
      </c>
    </row>
    <row r="168" customFormat="false" ht="15" hidden="false" customHeight="false" outlineLevel="0" collapsed="false">
      <c r="A168" s="5" t="s">
        <v>309</v>
      </c>
      <c r="B168" s="0" t="s">
        <v>74</v>
      </c>
      <c r="D168" s="15" t="n">
        <f aca="false">eth_26</f>
        <v>0.75</v>
      </c>
      <c r="E168" s="15" t="n">
        <f aca="false">eth_27</f>
        <v>0.8</v>
      </c>
      <c r="F168" s="15" t="n">
        <f aca="false">eth_28</f>
        <v>0.83</v>
      </c>
      <c r="G168" s="15" t="n">
        <f aca="false">eth_29</f>
        <v>0.85</v>
      </c>
    </row>
    <row r="169" customFormat="false" ht="17.15" hidden="false" customHeight="false" outlineLevel="0" collapsed="false">
      <c r="A169" s="0" t="s">
        <v>311</v>
      </c>
      <c r="B169" s="0" t="s">
        <v>29</v>
      </c>
      <c r="D169" s="20" t="n">
        <f aca="false">D167*D168</f>
        <v>24.053925</v>
      </c>
      <c r="E169" s="20" t="n">
        <f aca="false">E167*E168</f>
        <v>39.0944</v>
      </c>
      <c r="F169" s="20" t="n">
        <f aca="false">F167*F168</f>
        <v>45.81932</v>
      </c>
      <c r="G169" s="20" t="n">
        <f aca="false">G167*G168</f>
        <v>53.367862</v>
      </c>
    </row>
    <row r="170" customFormat="false" ht="17.15" hidden="false" customHeight="false" outlineLevel="0" collapsed="false">
      <c r="A170" s="0" t="s">
        <v>345</v>
      </c>
      <c r="B170" s="0" t="s">
        <v>74</v>
      </c>
      <c r="D170" s="15" t="n">
        <f aca="false">a26_ai/D169</f>
        <v>0.14550639864388</v>
      </c>
      <c r="H170" s="8" t="s">
        <v>346</v>
      </c>
    </row>
    <row r="171" customFormat="false" ht="17.15" hidden="false" customHeight="false" outlineLevel="0" collapsed="false">
      <c r="A171" s="5" t="s">
        <v>347</v>
      </c>
      <c r="B171" s="0" t="s">
        <v>52</v>
      </c>
      <c r="D171" s="18" t="n">
        <f aca="false">1</f>
        <v>1</v>
      </c>
      <c r="E171" s="18" t="n">
        <f aca="false">rel_27</f>
        <v>0.95</v>
      </c>
      <c r="F171" s="18" t="n">
        <f aca="false">rel_28</f>
        <v>0.9</v>
      </c>
      <c r="G171" s="18" t="n">
        <f aca="false">rel_29</f>
        <v>0.88</v>
      </c>
    </row>
    <row r="172" customFormat="false" ht="17.15" hidden="false" customHeight="false" outlineLevel="0" collapsed="false">
      <c r="A172" s="0" t="s">
        <v>348</v>
      </c>
      <c r="B172" s="0" t="s">
        <v>74</v>
      </c>
      <c r="D172" s="15" t="n">
        <f aca="false">$D$170*D171</f>
        <v>0.14550639864388</v>
      </c>
      <c r="E172" s="15" t="n">
        <f aca="false">$D$170*E171</f>
        <v>0.138231078711686</v>
      </c>
      <c r="F172" s="15" t="n">
        <f aca="false">$D$170*F171</f>
        <v>0.130955758779492</v>
      </c>
      <c r="G172" s="15" t="n">
        <f aca="false">$D$170*G171</f>
        <v>0.128045630806615</v>
      </c>
    </row>
    <row r="173" customFormat="false" ht="17.15" hidden="false" customHeight="false" outlineLevel="0" collapsed="false">
      <c r="A173" s="0" t="s">
        <v>287</v>
      </c>
      <c r="B173" s="0" t="s">
        <v>29</v>
      </c>
      <c r="C173" s="20" t="n">
        <f aca="false">a25_ai</f>
        <v>1.63</v>
      </c>
      <c r="D173" s="20" t="n">
        <f aca="false">D169*D172</f>
        <v>3.5</v>
      </c>
      <c r="E173" s="20" t="n">
        <f aca="false">E169*E172</f>
        <v>5.40406108358615</v>
      </c>
      <c r="F173" s="20" t="n">
        <f aca="false">F169*F172</f>
        <v>6.00030381736037</v>
      </c>
      <c r="G173" s="20" t="n">
        <f aca="false">G169*G172</f>
        <v>6.83352155459037</v>
      </c>
    </row>
    <row r="174" customFormat="false" ht="17.15" hidden="false" customHeight="false" outlineLevel="0" collapsed="false">
      <c r="A174" s="1" t="s">
        <v>349</v>
      </c>
    </row>
    <row r="175" customFormat="false" ht="17.15" hidden="false" customHeight="false" outlineLevel="0" collapsed="false">
      <c r="A175" s="5" t="s">
        <v>350</v>
      </c>
      <c r="B175" s="0" t="s">
        <v>29</v>
      </c>
      <c r="C175" s="20" t="n">
        <f aca="false">a25_nai</f>
        <v>7.3757</v>
      </c>
      <c r="D175" s="20" t="n">
        <f aca="false">a26_nai</f>
        <v>9.1</v>
      </c>
      <c r="E175" s="20" t="n">
        <f aca="false">D175*(1+g_nai27)</f>
        <v>10.01</v>
      </c>
      <c r="F175" s="20" t="n">
        <f aca="false">E175*(1+g_nai28)</f>
        <v>10.8108</v>
      </c>
      <c r="G175" s="20" t="n">
        <f aca="false">F175*(1+g_nai29)</f>
        <v>11.459448</v>
      </c>
    </row>
    <row r="176" customFormat="false" ht="15" hidden="false" customHeight="false" outlineLevel="0" collapsed="false">
      <c r="A176" s="5" t="s">
        <v>261</v>
      </c>
      <c r="B176" s="0" t="s">
        <v>29</v>
      </c>
      <c r="C176" s="20" t="n">
        <f aca="false">a25_rev</f>
        <v>9.0057</v>
      </c>
      <c r="D176" s="20" t="n">
        <f aca="false">D173+D175</f>
        <v>12.6</v>
      </c>
      <c r="E176" s="20" t="n">
        <f aca="false">E173+E175</f>
        <v>15.4140610835862</v>
      </c>
      <c r="F176" s="20" t="n">
        <f aca="false">F173+F175</f>
        <v>16.8111038173604</v>
      </c>
      <c r="G176" s="20" t="n">
        <f aca="false">G173+G175</f>
        <v>18.2929695545904</v>
      </c>
    </row>
    <row r="177" customFormat="false" ht="15" hidden="false" customHeight="false" outlineLevel="0" collapsed="false">
      <c r="A177" s="5" t="s">
        <v>351</v>
      </c>
      <c r="B177" s="0" t="s">
        <v>74</v>
      </c>
      <c r="D177" s="15" t="n">
        <f aca="false">D176/C176-1</f>
        <v>0.399113894533462</v>
      </c>
      <c r="E177" s="15" t="n">
        <f aca="false">E176/D176-1</f>
        <v>0.223338181236996</v>
      </c>
      <c r="F177" s="15" t="n">
        <f aca="false">F176/E176-1</f>
        <v>0.090634306312817</v>
      </c>
      <c r="G177" s="15" t="n">
        <f aca="false">G176/F176-1</f>
        <v>0.0881480331886186</v>
      </c>
    </row>
    <row r="178" customFormat="false" ht="17.15" hidden="false" customHeight="false" outlineLevel="0" collapsed="false">
      <c r="A178" s="0" t="s">
        <v>292</v>
      </c>
      <c r="B178" s="0" t="s">
        <v>74</v>
      </c>
      <c r="C178" s="15" t="n">
        <f aca="false">C173/C176</f>
        <v>0.180996480007107</v>
      </c>
      <c r="D178" s="15" t="n">
        <f aca="false">D173/D176</f>
        <v>0.277777777777778</v>
      </c>
      <c r="E178" s="15" t="n">
        <f aca="false">E173/E176</f>
        <v>0.350592945900593</v>
      </c>
      <c r="F178" s="15" t="n">
        <f aca="false">F173/F176</f>
        <v>0.356925034938159</v>
      </c>
      <c r="G178" s="15" t="n">
        <f aca="false">G173/G176</f>
        <v>0.373559991678639</v>
      </c>
    </row>
    <row r="179" customFormat="false" ht="17.15" hidden="false" customHeight="false" outlineLevel="0" collapsed="false">
      <c r="A179" s="1" t="s">
        <v>352</v>
      </c>
    </row>
    <row r="180" customFormat="false" ht="17.15" hidden="false" customHeight="false" outlineLevel="0" collapsed="false">
      <c r="A180" s="5" t="s">
        <v>353</v>
      </c>
      <c r="B180" s="0" t="s">
        <v>74</v>
      </c>
      <c r="D180" s="15" t="n">
        <f aca="false">a26_gp/a26_rev+d_ai*D178</f>
        <v>0.646666666666667</v>
      </c>
      <c r="H180" s="8" t="s">
        <v>354</v>
      </c>
    </row>
    <row r="181" customFormat="false" ht="15" hidden="false" customHeight="false" outlineLevel="0" collapsed="false">
      <c r="A181" s="5" t="s">
        <v>355</v>
      </c>
      <c r="B181" s="0" t="s">
        <v>29</v>
      </c>
      <c r="C181" s="20" t="n">
        <f aca="false">a25_gp</f>
        <v>5.8154</v>
      </c>
      <c r="D181" s="20" t="n">
        <f aca="false">a26_gp</f>
        <v>7.938</v>
      </c>
      <c r="E181" s="20" t="n">
        <f aca="false">$D$180*E175+($D$180-d_ai)*E173</f>
        <v>9.64351583570388</v>
      </c>
      <c r="F181" s="20" t="n">
        <f aca="false">$D$180*F175+($D$180-d_ai)*F173</f>
        <v>10.5111622395181</v>
      </c>
      <c r="G181" s="20" t="n">
        <f aca="false">$D$180*G175+($D$180-d_ai)*G173</f>
        <v>11.4194423520264</v>
      </c>
    </row>
    <row r="182" customFormat="false" ht="15" hidden="false" customHeight="false" outlineLevel="0" collapsed="false">
      <c r="A182" s="5" t="s">
        <v>267</v>
      </c>
      <c r="B182" s="0" t="s">
        <v>74</v>
      </c>
      <c r="C182" s="15" t="n">
        <f aca="false">C181/C176</f>
        <v>0.645746582719833</v>
      </c>
      <c r="D182" s="15" t="n">
        <f aca="false">D181/D176</f>
        <v>0.63</v>
      </c>
      <c r="E182" s="15" t="n">
        <f aca="false">E181/E176</f>
        <v>0.625631089912631</v>
      </c>
      <c r="F182" s="15" t="n">
        <f aca="false">F181/F176</f>
        <v>0.625251164570377</v>
      </c>
      <c r="G182" s="15" t="n">
        <f aca="false">G181/G176</f>
        <v>0.624253067165949</v>
      </c>
    </row>
    <row r="183" customFormat="false" ht="15" hidden="false" customHeight="false" outlineLevel="0" collapsed="false">
      <c r="A183" s="5" t="s">
        <v>356</v>
      </c>
      <c r="B183" s="0" t="s">
        <v>29</v>
      </c>
      <c r="C183" s="20" t="n">
        <f aca="false">a25_opx</f>
        <v>1.4784</v>
      </c>
      <c r="D183" s="20" t="n">
        <f aca="false">a26_opx</f>
        <v>1.827</v>
      </c>
      <c r="E183" s="20" t="n">
        <f aca="false">D183*(1+MAX(0,phi*E177))</f>
        <v>2.051421371416</v>
      </c>
      <c r="F183" s="20" t="n">
        <f aca="false">E183*(1+MAX(0,phi*F177))</f>
        <v>2.15368240554046</v>
      </c>
      <c r="G183" s="20" t="n">
        <f aca="false">F183*(1+MAX(0,phi*G177))</f>
        <v>2.25809598302919</v>
      </c>
    </row>
    <row r="184" customFormat="false" ht="15" hidden="false" customHeight="false" outlineLevel="0" collapsed="false">
      <c r="A184" s="5" t="s">
        <v>357</v>
      </c>
      <c r="B184" s="0" t="s">
        <v>29</v>
      </c>
      <c r="C184" s="20" t="n">
        <f aca="false">C183</f>
        <v>1.4784</v>
      </c>
      <c r="D184" s="20" t="n">
        <f aca="false">D183</f>
        <v>1.827</v>
      </c>
      <c r="E184" s="20" t="n">
        <f aca="false">E183+0*E176</f>
        <v>2.051421371416</v>
      </c>
      <c r="F184" s="20" t="n">
        <f aca="false">F183+0*F176</f>
        <v>2.15368240554046</v>
      </c>
      <c r="G184" s="20" t="n">
        <f aca="false">G183+0*G176</f>
        <v>2.25809598302919</v>
      </c>
    </row>
    <row r="185" customFormat="false" ht="15" hidden="false" customHeight="false" outlineLevel="0" collapsed="false">
      <c r="A185" s="5" t="s">
        <v>358</v>
      </c>
      <c r="B185" s="0" t="s">
        <v>29</v>
      </c>
      <c r="C185" s="20" t="n">
        <f aca="false">C181-C184</f>
        <v>4.337</v>
      </c>
      <c r="D185" s="20" t="n">
        <f aca="false">D181-D184</f>
        <v>6.111</v>
      </c>
      <c r="E185" s="20" t="n">
        <f aca="false">E181-E184</f>
        <v>7.59209446428788</v>
      </c>
      <c r="F185" s="20" t="n">
        <f aca="false">F181-F184</f>
        <v>8.35747983397762</v>
      </c>
      <c r="G185" s="20" t="n">
        <f aca="false">G181-G184</f>
        <v>9.16134636899716</v>
      </c>
    </row>
    <row r="186" customFormat="false" ht="15" hidden="false" customHeight="false" outlineLevel="0" collapsed="false">
      <c r="A186" s="5" t="s">
        <v>272</v>
      </c>
      <c r="B186" s="0" t="s">
        <v>74</v>
      </c>
      <c r="C186" s="15" t="n">
        <f aca="false">C185/C176</f>
        <v>0.48158388576124</v>
      </c>
      <c r="D186" s="15" t="n">
        <f aca="false">D185/D176</f>
        <v>0.485</v>
      </c>
      <c r="E186" s="15" t="n">
        <f aca="false">E185/E176</f>
        <v>0.492543426623138</v>
      </c>
      <c r="F186" s="15" t="n">
        <f aca="false">F185/F176</f>
        <v>0.497140456972676</v>
      </c>
      <c r="G186" s="15" t="n">
        <f aca="false">G185/G176</f>
        <v>0.500812420949897</v>
      </c>
    </row>
    <row r="187" customFormat="false" ht="15" hidden="false" customHeight="false" outlineLevel="0" collapsed="false">
      <c r="A187" s="5" t="s">
        <v>359</v>
      </c>
      <c r="B187" s="0" t="s">
        <v>29</v>
      </c>
      <c r="C187" s="20" t="n">
        <f aca="false">a25_oth</f>
        <v>0.3936</v>
      </c>
      <c r="D187" s="20" t="n">
        <f aca="false">a26_oth</f>
        <v>0.4999</v>
      </c>
      <c r="E187" s="20" t="n">
        <f aca="false">oth_f</f>
        <v>0.55</v>
      </c>
      <c r="F187" s="20" t="n">
        <f aca="false">oth_f</f>
        <v>0.55</v>
      </c>
      <c r="G187" s="20" t="n">
        <f aca="false">oth_f</f>
        <v>0.55</v>
      </c>
    </row>
    <row r="188" customFormat="false" ht="15" hidden="false" customHeight="false" outlineLevel="0" collapsed="false">
      <c r="A188" s="5" t="s">
        <v>360</v>
      </c>
      <c r="B188" s="0" t="s">
        <v>74</v>
      </c>
      <c r="C188" s="15" t="n">
        <f aca="false">1-a25_ni/(a25_oi+a25_oth)</f>
        <v>0.195450894178328</v>
      </c>
      <c r="D188" s="15" t="n">
        <f aca="false">1-a26_ni/(a26_oi+a26_oth)</f>
        <v>0.209652694791935</v>
      </c>
      <c r="E188" s="15" t="n">
        <f aca="false">tx_f</f>
        <v>0.21</v>
      </c>
      <c r="F188" s="15" t="n">
        <f aca="false">tx_f</f>
        <v>0.21</v>
      </c>
      <c r="G188" s="15" t="n">
        <f aca="false">tx_f</f>
        <v>0.21</v>
      </c>
    </row>
    <row r="189" customFormat="false" ht="17.15" hidden="false" customHeight="false" outlineLevel="0" collapsed="false">
      <c r="A189" s="5" t="s">
        <v>333</v>
      </c>
      <c r="B189" s="0" t="s">
        <v>29</v>
      </c>
      <c r="C189" s="20" t="n">
        <f aca="false">a25_ni</f>
        <v>3.806</v>
      </c>
      <c r="D189" s="20" t="n">
        <f aca="false">a26_ni</f>
        <v>5.224907</v>
      </c>
      <c r="E189" s="20" t="n">
        <f aca="false">(E185+E187)*(1-E188)</f>
        <v>6.43225462678743</v>
      </c>
      <c r="F189" s="20" t="n">
        <f aca="false">(F185+F187)*(1-F188)</f>
        <v>7.03690906884232</v>
      </c>
      <c r="G189" s="20" t="n">
        <f aca="false">(G185+G187)*(1-G188)</f>
        <v>7.67196363150776</v>
      </c>
    </row>
    <row r="190" customFormat="false" ht="15" hidden="false" customHeight="false" outlineLevel="0" collapsed="false">
      <c r="A190" s="5" t="s">
        <v>361</v>
      </c>
      <c r="B190" s="5" t="s">
        <v>147</v>
      </c>
      <c r="C190" s="16" t="n">
        <f aca="false">a25_sh</f>
        <v>1.2757</v>
      </c>
      <c r="D190" s="16" t="n">
        <f aca="false">a26_sh</f>
        <v>1.27595</v>
      </c>
      <c r="E190" s="16" t="n">
        <f aca="false">D190*(1+sh_g)</f>
        <v>1.27595</v>
      </c>
      <c r="F190" s="16" t="n">
        <f aca="false">E190*(1+sh_g)</f>
        <v>1.27595</v>
      </c>
      <c r="G190" s="16" t="n">
        <f aca="false">F190*(1+sh_g)</f>
        <v>1.27595</v>
      </c>
    </row>
    <row r="191" customFormat="false" ht="17.15" hidden="false" customHeight="false" outlineLevel="0" collapsed="false">
      <c r="A191" s="0" t="s">
        <v>334</v>
      </c>
      <c r="B191" s="0" t="s">
        <v>182</v>
      </c>
      <c r="C191" s="20" t="n">
        <f aca="false">C189/C190</f>
        <v>2.9834600611429</v>
      </c>
      <c r="D191" s="20" t="n">
        <f aca="false">D189/D190</f>
        <v>4.0949151612524</v>
      </c>
      <c r="E191" s="20" t="n">
        <f aca="false">E189/E190</f>
        <v>5.04114943907475</v>
      </c>
      <c r="F191" s="20" t="n">
        <f aca="false">F189/F190</f>
        <v>5.51503512586099</v>
      </c>
      <c r="G191" s="20" t="n">
        <f aca="false">G189/G190</f>
        <v>6.01274629218054</v>
      </c>
    </row>
    <row r="192" customFormat="false" ht="17.15" hidden="false" customHeight="false" outlineLevel="0" collapsed="false">
      <c r="A192" s="0" t="s">
        <v>362</v>
      </c>
      <c r="B192" s="0" t="s">
        <v>74</v>
      </c>
      <c r="D192" s="15" t="n">
        <f aca="false">D191/C191-1</f>
        <v>0.372538957227979</v>
      </c>
      <c r="E192" s="15" t="n">
        <f aca="false">E191/D191-1</f>
        <v>0.231075429053077</v>
      </c>
      <c r="F192" s="15" t="n">
        <f aca="false">F191/E191-1</f>
        <v>0.0940034991053969</v>
      </c>
      <c r="G192" s="15" t="n">
        <f aca="false">G191/F191-1</f>
        <v>0.0902462368708581</v>
      </c>
    </row>
    <row r="195" customFormat="false" ht="17.15" hidden="false" customHeight="false" outlineLevel="0" collapsed="false">
      <c r="A195" s="3" t="s">
        <v>654</v>
      </c>
    </row>
    <row r="196" customFormat="false" ht="17.15" hidden="false" customHeight="false" outlineLevel="0" collapsed="false">
      <c r="A196" s="6" t="s">
        <v>18</v>
      </c>
      <c r="B196" s="6" t="s">
        <v>19</v>
      </c>
      <c r="C196" s="12" t="s">
        <v>254</v>
      </c>
      <c r="D196" s="12" t="s">
        <v>324</v>
      </c>
      <c r="E196" s="12" t="s">
        <v>325</v>
      </c>
      <c r="F196" s="12" t="s">
        <v>326</v>
      </c>
      <c r="G196" s="12" t="s">
        <v>327</v>
      </c>
      <c r="H196" s="6" t="s">
        <v>306</v>
      </c>
    </row>
    <row r="197" customFormat="false" ht="17.15" hidden="false" customHeight="false" outlineLevel="0" collapsed="false">
      <c r="A197" s="1" t="s">
        <v>343</v>
      </c>
    </row>
    <row r="198" customFormat="false" ht="17.15" hidden="false" customHeight="false" outlineLevel="0" collapsed="false">
      <c r="A198" s="0" t="s">
        <v>344</v>
      </c>
      <c r="B198" s="0" t="s">
        <v>29</v>
      </c>
      <c r="D198" s="20" t="n">
        <f aca="false">mkt_26*1</f>
        <v>32.0719</v>
      </c>
      <c r="E198" s="20" t="n">
        <f aca="false">mkt_27*1*mf_hi</f>
        <v>73.302</v>
      </c>
      <c r="F198" s="20" t="n">
        <f aca="false">mkt_28*um28_A*mf_hi</f>
        <v>82.806</v>
      </c>
      <c r="G198" s="20" t="n">
        <f aca="false">mkt_29*um29_A*mf_hi</f>
        <v>94.17858</v>
      </c>
    </row>
    <row r="199" customFormat="false" ht="15" hidden="false" customHeight="false" outlineLevel="0" collapsed="false">
      <c r="A199" s="5" t="s">
        <v>309</v>
      </c>
      <c r="B199" s="0" t="s">
        <v>74</v>
      </c>
      <c r="D199" s="15" t="n">
        <f aca="false">eth_26</f>
        <v>0.75</v>
      </c>
      <c r="E199" s="15" t="n">
        <f aca="false">eth_27</f>
        <v>0.8</v>
      </c>
      <c r="F199" s="15" t="n">
        <f aca="false">eth_28</f>
        <v>0.83</v>
      </c>
      <c r="G199" s="15" t="n">
        <f aca="false">eth_29</f>
        <v>0.85</v>
      </c>
    </row>
    <row r="200" customFormat="false" ht="17.15" hidden="false" customHeight="false" outlineLevel="0" collapsed="false">
      <c r="A200" s="0" t="s">
        <v>311</v>
      </c>
      <c r="B200" s="0" t="s">
        <v>29</v>
      </c>
      <c r="D200" s="20" t="n">
        <f aca="false">D198*D199</f>
        <v>24.053925</v>
      </c>
      <c r="E200" s="20" t="n">
        <f aca="false">E198*E199</f>
        <v>58.6416</v>
      </c>
      <c r="F200" s="20" t="n">
        <f aca="false">F198*F199</f>
        <v>68.72898</v>
      </c>
      <c r="G200" s="20" t="n">
        <f aca="false">G198*G199</f>
        <v>80.051793</v>
      </c>
    </row>
    <row r="201" customFormat="false" ht="17.15" hidden="false" customHeight="false" outlineLevel="0" collapsed="false">
      <c r="A201" s="0" t="s">
        <v>345</v>
      </c>
      <c r="B201" s="0" t="s">
        <v>74</v>
      </c>
      <c r="D201" s="15" t="n">
        <f aca="false">a26_ai/D200</f>
        <v>0.14550639864388</v>
      </c>
      <c r="H201" s="8" t="s">
        <v>346</v>
      </c>
    </row>
    <row r="202" customFormat="false" ht="17.15" hidden="false" customHeight="false" outlineLevel="0" collapsed="false">
      <c r="A202" s="5" t="s">
        <v>347</v>
      </c>
      <c r="B202" s="0" t="s">
        <v>52</v>
      </c>
      <c r="D202" s="18" t="n">
        <f aca="false">1</f>
        <v>1</v>
      </c>
      <c r="E202" s="18" t="n">
        <f aca="false">rel_27</f>
        <v>0.95</v>
      </c>
      <c r="F202" s="18" t="n">
        <f aca="false">rel_28</f>
        <v>0.9</v>
      </c>
      <c r="G202" s="18" t="n">
        <f aca="false">rel_29</f>
        <v>0.88</v>
      </c>
    </row>
    <row r="203" customFormat="false" ht="17.15" hidden="false" customHeight="false" outlineLevel="0" collapsed="false">
      <c r="A203" s="0" t="s">
        <v>348</v>
      </c>
      <c r="B203" s="0" t="s">
        <v>74</v>
      </c>
      <c r="D203" s="15" t="n">
        <f aca="false">$D$201*D202</f>
        <v>0.14550639864388</v>
      </c>
      <c r="E203" s="15" t="n">
        <f aca="false">$D$201*E202</f>
        <v>0.138231078711686</v>
      </c>
      <c r="F203" s="15" t="n">
        <f aca="false">$D$201*F202</f>
        <v>0.130955758779492</v>
      </c>
      <c r="G203" s="15" t="n">
        <f aca="false">$D$201*G202</f>
        <v>0.128045630806615</v>
      </c>
    </row>
    <row r="204" customFormat="false" ht="17.15" hidden="false" customHeight="false" outlineLevel="0" collapsed="false">
      <c r="A204" s="0" t="s">
        <v>287</v>
      </c>
      <c r="B204" s="0" t="s">
        <v>29</v>
      </c>
      <c r="C204" s="20" t="n">
        <f aca="false">a25_ai</f>
        <v>1.63</v>
      </c>
      <c r="D204" s="20" t="n">
        <f aca="false">D200*D203</f>
        <v>3.5</v>
      </c>
      <c r="E204" s="20" t="n">
        <f aca="false">E200*E203</f>
        <v>8.10609162537923</v>
      </c>
      <c r="F204" s="20" t="n">
        <f aca="false">F200*F203</f>
        <v>9.00045572604055</v>
      </c>
      <c r="G204" s="20" t="n">
        <f aca="false">G200*G203</f>
        <v>10.2502823318855</v>
      </c>
    </row>
    <row r="205" customFormat="false" ht="17.15" hidden="false" customHeight="false" outlineLevel="0" collapsed="false">
      <c r="A205" s="1" t="s">
        <v>349</v>
      </c>
    </row>
    <row r="206" customFormat="false" ht="17.15" hidden="false" customHeight="false" outlineLevel="0" collapsed="false">
      <c r="A206" s="5" t="s">
        <v>350</v>
      </c>
      <c r="B206" s="0" t="s">
        <v>29</v>
      </c>
      <c r="C206" s="20" t="n">
        <f aca="false">a25_nai</f>
        <v>7.3757</v>
      </c>
      <c r="D206" s="20" t="n">
        <f aca="false">a26_nai</f>
        <v>9.1</v>
      </c>
      <c r="E206" s="20" t="n">
        <f aca="false">D206*(1+g_nai27)</f>
        <v>10.01</v>
      </c>
      <c r="F206" s="20" t="n">
        <f aca="false">E206*(1+g_nai28)</f>
        <v>10.8108</v>
      </c>
      <c r="G206" s="20" t="n">
        <f aca="false">F206*(1+g_nai29)</f>
        <v>11.459448</v>
      </c>
    </row>
    <row r="207" customFormat="false" ht="15" hidden="false" customHeight="false" outlineLevel="0" collapsed="false">
      <c r="A207" s="5" t="s">
        <v>261</v>
      </c>
      <c r="B207" s="0" t="s">
        <v>29</v>
      </c>
      <c r="C207" s="20" t="n">
        <f aca="false">a25_rev</f>
        <v>9.0057</v>
      </c>
      <c r="D207" s="20" t="n">
        <f aca="false">D204+D206</f>
        <v>12.6</v>
      </c>
      <c r="E207" s="20" t="n">
        <f aca="false">E204+E206</f>
        <v>18.1160916253792</v>
      </c>
      <c r="F207" s="20" t="n">
        <f aca="false">F204+F206</f>
        <v>19.8112557260406</v>
      </c>
      <c r="G207" s="20" t="n">
        <f aca="false">G204+G206</f>
        <v>21.7097303318855</v>
      </c>
    </row>
    <row r="208" customFormat="false" ht="15" hidden="false" customHeight="false" outlineLevel="0" collapsed="false">
      <c r="A208" s="5" t="s">
        <v>351</v>
      </c>
      <c r="B208" s="0" t="s">
        <v>74</v>
      </c>
      <c r="D208" s="15" t="n">
        <f aca="false">D207/C207-1</f>
        <v>0.399113894533462</v>
      </c>
      <c r="E208" s="15" t="n">
        <f aca="false">E207/D207-1</f>
        <v>0.437785049633272</v>
      </c>
      <c r="F208" s="15" t="n">
        <f aca="false">F207/E207-1</f>
        <v>0.0935722856626828</v>
      </c>
      <c r="G208" s="15" t="n">
        <f aca="false">G207/F207-1</f>
        <v>0.0958280803649201</v>
      </c>
    </row>
    <row r="209" customFormat="false" ht="17.15" hidden="false" customHeight="false" outlineLevel="0" collapsed="false">
      <c r="A209" s="0" t="s">
        <v>292</v>
      </c>
      <c r="B209" s="0" t="s">
        <v>74</v>
      </c>
      <c r="C209" s="15" t="n">
        <f aca="false">C204/C207</f>
        <v>0.180996480007107</v>
      </c>
      <c r="D209" s="15" t="n">
        <f aca="false">D204/D207</f>
        <v>0.277777777777778</v>
      </c>
      <c r="E209" s="15" t="n">
        <f aca="false">E204/E207</f>
        <v>0.447452562782539</v>
      </c>
      <c r="F209" s="15" t="n">
        <f aca="false">F204/F207</f>
        <v>0.454310208827907</v>
      </c>
      <c r="G209" s="15" t="n">
        <f aca="false">G204/G207</f>
        <v>0.472151527226975</v>
      </c>
    </row>
    <row r="210" customFormat="false" ht="17.15" hidden="false" customHeight="false" outlineLevel="0" collapsed="false">
      <c r="A210" s="1" t="s">
        <v>352</v>
      </c>
    </row>
    <row r="211" customFormat="false" ht="17.15" hidden="false" customHeight="false" outlineLevel="0" collapsed="false">
      <c r="A211" s="5" t="s">
        <v>353</v>
      </c>
      <c r="B211" s="0" t="s">
        <v>74</v>
      </c>
      <c r="D211" s="15" t="n">
        <f aca="false">a26_gp/a26_rev+d_ai*D209</f>
        <v>0.646666666666667</v>
      </c>
      <c r="H211" s="8" t="s">
        <v>354</v>
      </c>
    </row>
    <row r="212" customFormat="false" ht="15" hidden="false" customHeight="false" outlineLevel="0" collapsed="false">
      <c r="A212" s="5" t="s">
        <v>355</v>
      </c>
      <c r="B212" s="0" t="s">
        <v>29</v>
      </c>
      <c r="C212" s="20" t="n">
        <f aca="false">a25_gp</f>
        <v>5.8154</v>
      </c>
      <c r="D212" s="20" t="n">
        <f aca="false">a26_gp</f>
        <v>7.938</v>
      </c>
      <c r="E212" s="20" t="n">
        <f aca="false">$D$211*E206+($D$211-d_ai)*E204</f>
        <v>11.2287070868891</v>
      </c>
      <c r="F212" s="20" t="n">
        <f aca="false">$D$211*F206+($D$211-d_ai)*F204</f>
        <v>12.2712513592771</v>
      </c>
      <c r="G212" s="20" t="n">
        <f aca="false">$D$211*G206+($D$211-d_ai)*G204</f>
        <v>13.4239420080395</v>
      </c>
    </row>
    <row r="213" customFormat="false" ht="15" hidden="false" customHeight="false" outlineLevel="0" collapsed="false">
      <c r="A213" s="5" t="s">
        <v>267</v>
      </c>
      <c r="B213" s="0" t="s">
        <v>74</v>
      </c>
      <c r="C213" s="15" t="n">
        <f aca="false">C212/C207</f>
        <v>0.645746582719833</v>
      </c>
      <c r="D213" s="15" t="n">
        <f aca="false">D212/D207</f>
        <v>0.63</v>
      </c>
      <c r="E213" s="15" t="n">
        <f aca="false">E212/E207</f>
        <v>0.619819512899715</v>
      </c>
      <c r="F213" s="15" t="n">
        <f aca="false">F212/F207</f>
        <v>0.619408054136993</v>
      </c>
      <c r="G213" s="15" t="n">
        <f aca="false">G212/G207</f>
        <v>0.618337575033048</v>
      </c>
    </row>
    <row r="214" customFormat="false" ht="15" hidden="false" customHeight="false" outlineLevel="0" collapsed="false">
      <c r="A214" s="5" t="s">
        <v>356</v>
      </c>
      <c r="B214" s="0" t="s">
        <v>29</v>
      </c>
      <c r="C214" s="20" t="n">
        <f aca="false">a25_opx</f>
        <v>1.4784</v>
      </c>
      <c r="D214" s="20" t="n">
        <f aca="false">a26_opx</f>
        <v>1.827</v>
      </c>
      <c r="E214" s="20" t="n">
        <f aca="false">D214*(1+MAX(0,phi*E208))</f>
        <v>2.26690830712399</v>
      </c>
      <c r="F214" s="20" t="n">
        <f aca="false">E214*(1+MAX(0,phi*F208))</f>
        <v>2.38357419255092</v>
      </c>
      <c r="G214" s="20" t="n">
        <f aca="false">F214*(1+MAX(0,phi*G208))</f>
        <v>2.50920152915465</v>
      </c>
    </row>
    <row r="215" customFormat="false" ht="15" hidden="false" customHeight="false" outlineLevel="0" collapsed="false">
      <c r="A215" s="5" t="s">
        <v>357</v>
      </c>
      <c r="B215" s="0" t="s">
        <v>29</v>
      </c>
      <c r="C215" s="20" t="n">
        <f aca="false">C214</f>
        <v>1.4784</v>
      </c>
      <c r="D215" s="20" t="n">
        <f aca="false">D214</f>
        <v>1.827</v>
      </c>
      <c r="E215" s="20" t="n">
        <f aca="false">E214+0*E207</f>
        <v>2.26690830712399</v>
      </c>
      <c r="F215" s="20" t="n">
        <f aca="false">F214+0*F207</f>
        <v>2.38357419255092</v>
      </c>
      <c r="G215" s="20" t="n">
        <f aca="false">G214+0*G207</f>
        <v>2.50920152915465</v>
      </c>
    </row>
    <row r="216" customFormat="false" ht="15" hidden="false" customHeight="false" outlineLevel="0" collapsed="false">
      <c r="A216" s="5" t="s">
        <v>358</v>
      </c>
      <c r="B216" s="0" t="s">
        <v>29</v>
      </c>
      <c r="C216" s="20" t="n">
        <f aca="false">C212-C215</f>
        <v>4.337</v>
      </c>
      <c r="D216" s="20" t="n">
        <f aca="false">D212-D215</f>
        <v>6.111</v>
      </c>
      <c r="E216" s="20" t="n">
        <f aca="false">E212-E215</f>
        <v>8.96179877976516</v>
      </c>
      <c r="F216" s="20" t="n">
        <f aca="false">F212-F215</f>
        <v>9.88767716672621</v>
      </c>
      <c r="G216" s="20" t="n">
        <f aca="false">G212-G215</f>
        <v>10.9147404788849</v>
      </c>
    </row>
    <row r="217" customFormat="false" ht="15" hidden="false" customHeight="false" outlineLevel="0" collapsed="false">
      <c r="A217" s="5" t="s">
        <v>272</v>
      </c>
      <c r="B217" s="0" t="s">
        <v>74</v>
      </c>
      <c r="C217" s="15" t="n">
        <f aca="false">C216/C207</f>
        <v>0.48158388576124</v>
      </c>
      <c r="D217" s="15" t="n">
        <f aca="false">D216/D207</f>
        <v>0.485</v>
      </c>
      <c r="E217" s="15" t="n">
        <f aca="false">E216/E207</f>
        <v>0.494687207654127</v>
      </c>
      <c r="F217" s="15" t="n">
        <f aca="false">F216/F207</f>
        <v>0.499093914260545</v>
      </c>
      <c r="G217" s="15" t="n">
        <f aca="false">G216/G207</f>
        <v>0.502757994319909</v>
      </c>
    </row>
    <row r="218" customFormat="false" ht="15" hidden="false" customHeight="false" outlineLevel="0" collapsed="false">
      <c r="A218" s="5" t="s">
        <v>359</v>
      </c>
      <c r="B218" s="0" t="s">
        <v>29</v>
      </c>
      <c r="C218" s="20" t="n">
        <f aca="false">a25_oth</f>
        <v>0.3936</v>
      </c>
      <c r="D218" s="20" t="n">
        <f aca="false">a26_oth</f>
        <v>0.4999</v>
      </c>
      <c r="E218" s="20" t="n">
        <f aca="false">oth_f</f>
        <v>0.55</v>
      </c>
      <c r="F218" s="20" t="n">
        <f aca="false">oth_f</f>
        <v>0.55</v>
      </c>
      <c r="G218" s="20" t="n">
        <f aca="false">oth_f</f>
        <v>0.55</v>
      </c>
    </row>
    <row r="219" customFormat="false" ht="15" hidden="false" customHeight="false" outlineLevel="0" collapsed="false">
      <c r="A219" s="5" t="s">
        <v>360</v>
      </c>
      <c r="B219" s="0" t="s">
        <v>74</v>
      </c>
      <c r="C219" s="15" t="n">
        <f aca="false">1-a25_ni/(a25_oi+a25_oth)</f>
        <v>0.195450894178328</v>
      </c>
      <c r="D219" s="15" t="n">
        <f aca="false">1-a26_ni/(a26_oi+a26_oth)</f>
        <v>0.209652694791935</v>
      </c>
      <c r="E219" s="15" t="n">
        <f aca="false">tx_f</f>
        <v>0.21</v>
      </c>
      <c r="F219" s="15" t="n">
        <f aca="false">tx_f</f>
        <v>0.21</v>
      </c>
      <c r="G219" s="15" t="n">
        <f aca="false">tx_f</f>
        <v>0.21</v>
      </c>
    </row>
    <row r="220" customFormat="false" ht="17.15" hidden="false" customHeight="false" outlineLevel="0" collapsed="false">
      <c r="A220" s="5" t="s">
        <v>333</v>
      </c>
      <c r="B220" s="0" t="s">
        <v>29</v>
      </c>
      <c r="C220" s="20" t="n">
        <f aca="false">a25_ni</f>
        <v>3.806</v>
      </c>
      <c r="D220" s="20" t="n">
        <f aca="false">a26_ni</f>
        <v>5.224907</v>
      </c>
      <c r="E220" s="20" t="n">
        <f aca="false">(E216+E218)*(1-E219)</f>
        <v>7.51432103601447</v>
      </c>
      <c r="F220" s="20" t="n">
        <f aca="false">(F216+F218)*(1-F219)</f>
        <v>8.24576496171371</v>
      </c>
      <c r="G220" s="20" t="n">
        <f aca="false">(G216+G218)*(1-G219)</f>
        <v>9.05714497831905</v>
      </c>
    </row>
    <row r="221" customFormat="false" ht="15" hidden="false" customHeight="false" outlineLevel="0" collapsed="false">
      <c r="A221" s="5" t="s">
        <v>361</v>
      </c>
      <c r="B221" s="5" t="s">
        <v>147</v>
      </c>
      <c r="C221" s="16" t="n">
        <f aca="false">a25_sh</f>
        <v>1.2757</v>
      </c>
      <c r="D221" s="16" t="n">
        <f aca="false">a26_sh</f>
        <v>1.27595</v>
      </c>
      <c r="E221" s="16" t="n">
        <f aca="false">D221*(1+sh_g)</f>
        <v>1.27595</v>
      </c>
      <c r="F221" s="16" t="n">
        <f aca="false">E221*(1+sh_g)</f>
        <v>1.27595</v>
      </c>
      <c r="G221" s="16" t="n">
        <f aca="false">F221*(1+sh_g)</f>
        <v>1.27595</v>
      </c>
    </row>
    <row r="222" customFormat="false" ht="17.15" hidden="false" customHeight="false" outlineLevel="0" collapsed="false">
      <c r="A222" s="0" t="s">
        <v>334</v>
      </c>
      <c r="B222" s="0" t="s">
        <v>182</v>
      </c>
      <c r="C222" s="20" t="n">
        <f aca="false">C220/C221</f>
        <v>2.9834600611429</v>
      </c>
      <c r="D222" s="20" t="n">
        <f aca="false">D220/D221</f>
        <v>4.0949151612524</v>
      </c>
      <c r="E222" s="20" t="n">
        <f aca="false">E220/E221</f>
        <v>5.88919709707628</v>
      </c>
      <c r="F222" s="20" t="n">
        <f aca="false">F220/F221</f>
        <v>6.46245147671438</v>
      </c>
      <c r="G222" s="20" t="n">
        <f aca="false">G220/G221</f>
        <v>7.09835415049105</v>
      </c>
    </row>
    <row r="223" customFormat="false" ht="17.15" hidden="false" customHeight="false" outlineLevel="0" collapsed="false">
      <c r="A223" s="0" t="s">
        <v>362</v>
      </c>
      <c r="B223" s="0" t="s">
        <v>74</v>
      </c>
      <c r="D223" s="15" t="n">
        <f aca="false">D222/C222-1</f>
        <v>0.372538957227979</v>
      </c>
      <c r="E223" s="15" t="n">
        <f aca="false">E222/D222-1</f>
        <v>0.438173164807426</v>
      </c>
      <c r="F223" s="15" t="n">
        <f aca="false">F222/E222-1</f>
        <v>0.0973399888284763</v>
      </c>
      <c r="G223" s="15" t="n">
        <f aca="false">G222/F222-1</f>
        <v>0.0983996051758325</v>
      </c>
    </row>
    <row r="226" customFormat="false" ht="17.15" hidden="false" customHeight="false" outlineLevel="0" collapsed="false">
      <c r="A226" s="3" t="s">
        <v>655</v>
      </c>
    </row>
    <row r="227" customFormat="false" ht="17.15" hidden="false" customHeight="false" outlineLevel="0" collapsed="false">
      <c r="A227" s="6" t="s">
        <v>18</v>
      </c>
      <c r="B227" s="6" t="s">
        <v>19</v>
      </c>
      <c r="C227" s="12" t="s">
        <v>254</v>
      </c>
      <c r="D227" s="12" t="s">
        <v>324</v>
      </c>
      <c r="E227" s="12" t="s">
        <v>325</v>
      </c>
      <c r="F227" s="12" t="s">
        <v>326</v>
      </c>
      <c r="G227" s="12" t="s">
        <v>327</v>
      </c>
      <c r="H227" s="6" t="s">
        <v>306</v>
      </c>
    </row>
    <row r="228" customFormat="false" ht="17.15" hidden="false" customHeight="false" outlineLevel="0" collapsed="false">
      <c r="A228" s="1" t="s">
        <v>343</v>
      </c>
    </row>
    <row r="229" customFormat="false" ht="17.15" hidden="false" customHeight="false" outlineLevel="0" collapsed="false">
      <c r="A229" s="0" t="s">
        <v>344</v>
      </c>
      <c r="B229" s="0" t="s">
        <v>29</v>
      </c>
      <c r="D229" s="20" t="n">
        <f aca="false">mkt_26*1</f>
        <v>32.0719</v>
      </c>
      <c r="E229" s="20" t="n">
        <f aca="false">mkt_27*1*1</f>
        <v>61.085</v>
      </c>
      <c r="F229" s="20" t="n">
        <f aca="false">mkt_28*um28_A*1</f>
        <v>69.005</v>
      </c>
      <c r="G229" s="20" t="n">
        <f aca="false">mkt_29*um29_A*1</f>
        <v>78.48215</v>
      </c>
    </row>
    <row r="230" customFormat="false" ht="15" hidden="false" customHeight="false" outlineLevel="0" collapsed="false">
      <c r="A230" s="5" t="s">
        <v>309</v>
      </c>
      <c r="B230" s="0" t="s">
        <v>74</v>
      </c>
      <c r="D230" s="15" t="n">
        <f aca="false">eth_26</f>
        <v>0.75</v>
      </c>
      <c r="E230" s="15" t="n">
        <f aca="false">eth_27</f>
        <v>0.8</v>
      </c>
      <c r="F230" s="15" t="n">
        <f aca="false">eth_28</f>
        <v>0.83</v>
      </c>
      <c r="G230" s="15" t="n">
        <f aca="false">eth_29</f>
        <v>0.85</v>
      </c>
    </row>
    <row r="231" customFormat="false" ht="17.15" hidden="false" customHeight="false" outlineLevel="0" collapsed="false">
      <c r="A231" s="0" t="s">
        <v>311</v>
      </c>
      <c r="B231" s="0" t="s">
        <v>29</v>
      </c>
      <c r="D231" s="20" t="n">
        <f aca="false">D229*D230</f>
        <v>24.053925</v>
      </c>
      <c r="E231" s="20" t="n">
        <f aca="false">E229*E230</f>
        <v>48.868</v>
      </c>
      <c r="F231" s="20" t="n">
        <f aca="false">F229*F230</f>
        <v>57.27415</v>
      </c>
      <c r="G231" s="20" t="n">
        <f aca="false">G229*G230</f>
        <v>66.7098275</v>
      </c>
    </row>
    <row r="232" customFormat="false" ht="17.15" hidden="false" customHeight="false" outlineLevel="0" collapsed="false">
      <c r="A232" s="0" t="s">
        <v>345</v>
      </c>
      <c r="B232" s="0" t="s">
        <v>74</v>
      </c>
      <c r="D232" s="15" t="n">
        <f aca="false">a26_ai/D231</f>
        <v>0.14550639864388</v>
      </c>
      <c r="H232" s="8" t="s">
        <v>346</v>
      </c>
    </row>
    <row r="233" customFormat="false" ht="17.15" hidden="false" customHeight="false" outlineLevel="0" collapsed="false">
      <c r="A233" s="5" t="s">
        <v>347</v>
      </c>
      <c r="B233" s="0" t="s">
        <v>52</v>
      </c>
      <c r="D233" s="18" t="n">
        <f aca="false">1</f>
        <v>1</v>
      </c>
      <c r="E233" s="18" t="n">
        <f aca="false">rel_27</f>
        <v>0.95</v>
      </c>
      <c r="F233" s="18" t="n">
        <f aca="false">rel_28</f>
        <v>0.9</v>
      </c>
      <c r="G233" s="18" t="n">
        <f aca="false">rel_29</f>
        <v>0.88</v>
      </c>
    </row>
    <row r="234" customFormat="false" ht="17.15" hidden="false" customHeight="false" outlineLevel="0" collapsed="false">
      <c r="A234" s="0" t="s">
        <v>348</v>
      </c>
      <c r="B234" s="0" t="s">
        <v>74</v>
      </c>
      <c r="D234" s="15" t="n">
        <f aca="false">$D$232*D233</f>
        <v>0.14550639864388</v>
      </c>
      <c r="E234" s="15" t="n">
        <f aca="false">$D$232*E233</f>
        <v>0.138231078711686</v>
      </c>
      <c r="F234" s="15" t="n">
        <f aca="false">$D$232*F233</f>
        <v>0.130955758779492</v>
      </c>
      <c r="G234" s="15" t="n">
        <f aca="false">$D$232*G233</f>
        <v>0.128045630806615</v>
      </c>
    </row>
    <row r="235" customFormat="false" ht="17.15" hidden="false" customHeight="false" outlineLevel="0" collapsed="false">
      <c r="A235" s="0" t="s">
        <v>287</v>
      </c>
      <c r="B235" s="0" t="s">
        <v>29</v>
      </c>
      <c r="C235" s="20" t="n">
        <f aca="false">a25_ai</f>
        <v>1.63</v>
      </c>
      <c r="D235" s="20" t="n">
        <f aca="false">D231*D234</f>
        <v>3.5</v>
      </c>
      <c r="E235" s="20" t="n">
        <f aca="false">E231*E234</f>
        <v>6.75507635448269</v>
      </c>
      <c r="F235" s="20" t="n">
        <f aca="false">F231*F234</f>
        <v>7.50037977170046</v>
      </c>
      <c r="G235" s="20" t="n">
        <f aca="false">G231*G234</f>
        <v>8.54190194323796</v>
      </c>
    </row>
    <row r="236" customFormat="false" ht="17.15" hidden="false" customHeight="false" outlineLevel="0" collapsed="false">
      <c r="A236" s="1" t="s">
        <v>349</v>
      </c>
    </row>
    <row r="237" customFormat="false" ht="17.15" hidden="false" customHeight="false" outlineLevel="0" collapsed="false">
      <c r="A237" s="5" t="s">
        <v>350</v>
      </c>
      <c r="B237" s="0" t="s">
        <v>29</v>
      </c>
      <c r="C237" s="20" t="n">
        <f aca="false">a25_nai</f>
        <v>7.3757</v>
      </c>
      <c r="D237" s="20" t="n">
        <f aca="false">a26_nai</f>
        <v>9.1</v>
      </c>
      <c r="E237" s="20" t="n">
        <f aca="false">D237*(1+GNLO27)</f>
        <v>9.373</v>
      </c>
      <c r="F237" s="20" t="n">
        <f aca="false">E237*(1+GNLO28)</f>
        <v>9.56046</v>
      </c>
      <c r="G237" s="20" t="n">
        <f aca="false">F237*(1+GNLO29)</f>
        <v>9.7516692</v>
      </c>
    </row>
    <row r="238" customFormat="false" ht="15" hidden="false" customHeight="false" outlineLevel="0" collapsed="false">
      <c r="A238" s="5" t="s">
        <v>261</v>
      </c>
      <c r="B238" s="0" t="s">
        <v>29</v>
      </c>
      <c r="C238" s="20" t="n">
        <f aca="false">a25_rev</f>
        <v>9.0057</v>
      </c>
      <c r="D238" s="20" t="n">
        <f aca="false">D235+D237</f>
        <v>12.6</v>
      </c>
      <c r="E238" s="20" t="n">
        <f aca="false">E235+E237</f>
        <v>16.1280763544827</v>
      </c>
      <c r="F238" s="20" t="n">
        <f aca="false">F235+F237</f>
        <v>17.0608397717005</v>
      </c>
      <c r="G238" s="20" t="n">
        <f aca="false">G235+G237</f>
        <v>18.293571143238</v>
      </c>
    </row>
    <row r="239" customFormat="false" ht="15" hidden="false" customHeight="false" outlineLevel="0" collapsed="false">
      <c r="A239" s="5" t="s">
        <v>351</v>
      </c>
      <c r="B239" s="0" t="s">
        <v>74</v>
      </c>
      <c r="D239" s="15" t="n">
        <f aca="false">D238/C238-1</f>
        <v>0.399113894533462</v>
      </c>
      <c r="E239" s="15" t="n">
        <f aca="false">E238/D238-1</f>
        <v>0.280006059879579</v>
      </c>
      <c r="F239" s="15" t="n">
        <f aca="false">F238/E238-1</f>
        <v>0.0578347595036353</v>
      </c>
      <c r="G239" s="15" t="n">
        <f aca="false">G238/F238-1</f>
        <v>0.0722550230840502</v>
      </c>
    </row>
    <row r="240" customFormat="false" ht="17.15" hidden="false" customHeight="false" outlineLevel="0" collapsed="false">
      <c r="A240" s="0" t="s">
        <v>292</v>
      </c>
      <c r="B240" s="0" t="s">
        <v>74</v>
      </c>
      <c r="C240" s="15" t="n">
        <f aca="false">C235/C238</f>
        <v>0.180996480007107</v>
      </c>
      <c r="D240" s="15" t="n">
        <f aca="false">D235/D238</f>
        <v>0.277777777777778</v>
      </c>
      <c r="E240" s="15" t="n">
        <f aca="false">E235/E238</f>
        <v>0.418839556932353</v>
      </c>
      <c r="F240" s="15" t="n">
        <f aca="false">F235/F238</f>
        <v>0.439625474013399</v>
      </c>
      <c r="G240" s="15" t="n">
        <f aca="false">G235/G238</f>
        <v>0.466934633831481</v>
      </c>
    </row>
    <row r="241" customFormat="false" ht="17.15" hidden="false" customHeight="false" outlineLevel="0" collapsed="false">
      <c r="A241" s="1" t="s">
        <v>352</v>
      </c>
    </row>
    <row r="242" customFormat="false" ht="17.15" hidden="false" customHeight="false" outlineLevel="0" collapsed="false">
      <c r="A242" s="5" t="s">
        <v>353</v>
      </c>
      <c r="B242" s="0" t="s">
        <v>74</v>
      </c>
      <c r="D242" s="15" t="n">
        <f aca="false">a26_gp/a26_rev+d_ai*D240</f>
        <v>0.646666666666667</v>
      </c>
      <c r="H242" s="8" t="s">
        <v>354</v>
      </c>
    </row>
    <row r="243" customFormat="false" ht="15" hidden="false" customHeight="false" outlineLevel="0" collapsed="false">
      <c r="A243" s="5" t="s">
        <v>355</v>
      </c>
      <c r="B243" s="0" t="s">
        <v>29</v>
      </c>
      <c r="C243" s="20" t="n">
        <f aca="false">a25_gp</f>
        <v>5.8154</v>
      </c>
      <c r="D243" s="20" t="n">
        <f aca="false">a26_gp</f>
        <v>7.938</v>
      </c>
      <c r="E243" s="20" t="n">
        <f aca="false">$D$242*E237+($D$242-d_ai)*E235</f>
        <v>10.0241847946298</v>
      </c>
      <c r="F243" s="20" t="n">
        <f aca="false">$D$242*F237+($D$242-d_ai)*F235</f>
        <v>10.5826535993976</v>
      </c>
      <c r="G243" s="20" t="n">
        <f aca="false">$D$242*G237+($D$242-d_ai)*G235</f>
        <v>11.3173285560329</v>
      </c>
    </row>
    <row r="244" customFormat="false" ht="15" hidden="false" customHeight="false" outlineLevel="0" collapsed="false">
      <c r="A244" s="5" t="s">
        <v>267</v>
      </c>
      <c r="B244" s="0" t="s">
        <v>74</v>
      </c>
      <c r="C244" s="15" t="n">
        <f aca="false">C243/C238</f>
        <v>0.645746582719833</v>
      </c>
      <c r="D244" s="15" t="n">
        <f aca="false">D243/D238</f>
        <v>0.63</v>
      </c>
      <c r="E244" s="15" t="n">
        <f aca="false">E243/E238</f>
        <v>0.621536293250726</v>
      </c>
      <c r="F244" s="15" t="n">
        <f aca="false">F243/F238</f>
        <v>0.620289138225863</v>
      </c>
      <c r="G244" s="15" t="n">
        <f aca="false">G243/G238</f>
        <v>0.618650588636778</v>
      </c>
    </row>
    <row r="245" customFormat="false" ht="15" hidden="false" customHeight="false" outlineLevel="0" collapsed="false">
      <c r="A245" s="5" t="s">
        <v>356</v>
      </c>
      <c r="B245" s="0" t="s">
        <v>29</v>
      </c>
      <c r="C245" s="20" t="n">
        <f aca="false">a25_opx</f>
        <v>1.4784</v>
      </c>
      <c r="D245" s="20" t="n">
        <f aca="false">a26_opx</f>
        <v>1.827</v>
      </c>
      <c r="E245" s="20" t="n">
        <f aca="false">D245*(1+MAX(0,phi*E239))</f>
        <v>2.10836408926999</v>
      </c>
      <c r="F245" s="20" t="n">
        <f aca="false">E245*(1+MAX(0,phi*F239))</f>
        <v>2.17542929079696</v>
      </c>
      <c r="G245" s="20" t="n">
        <f aca="false">F245*(1+MAX(0,phi*G239))</f>
        <v>2.2618814222903</v>
      </c>
    </row>
    <row r="246" customFormat="false" ht="15" hidden="false" customHeight="false" outlineLevel="0" collapsed="false">
      <c r="A246" s="5" t="s">
        <v>357</v>
      </c>
      <c r="B246" s="0" t="s">
        <v>29</v>
      </c>
      <c r="C246" s="20" t="n">
        <f aca="false">C245</f>
        <v>1.4784</v>
      </c>
      <c r="D246" s="20" t="n">
        <f aca="false">D245</f>
        <v>1.827</v>
      </c>
      <c r="E246" s="20" t="n">
        <f aca="false">E245+0*E238</f>
        <v>2.10836408926999</v>
      </c>
      <c r="F246" s="20" t="n">
        <f aca="false">F245+0*F238</f>
        <v>2.17542929079696</v>
      </c>
      <c r="G246" s="20" t="n">
        <f aca="false">G245+0*G238</f>
        <v>2.2618814222903</v>
      </c>
    </row>
    <row r="247" customFormat="false" ht="15" hidden="false" customHeight="false" outlineLevel="0" collapsed="false">
      <c r="A247" s="5" t="s">
        <v>358</v>
      </c>
      <c r="B247" s="0" t="s">
        <v>29</v>
      </c>
      <c r="C247" s="20" t="n">
        <f aca="false">C243-C246</f>
        <v>4.337</v>
      </c>
      <c r="D247" s="20" t="n">
        <f aca="false">D243-D246</f>
        <v>6.111</v>
      </c>
      <c r="E247" s="20" t="n">
        <f aca="false">E243-E246</f>
        <v>7.91582070535985</v>
      </c>
      <c r="F247" s="20" t="n">
        <f aca="false">F243-F246</f>
        <v>8.40722430860064</v>
      </c>
      <c r="G247" s="20" t="n">
        <f aca="false">G243-G246</f>
        <v>9.05544713374264</v>
      </c>
    </row>
    <row r="248" customFormat="false" ht="15" hidden="false" customHeight="false" outlineLevel="0" collapsed="false">
      <c r="A248" s="5" t="s">
        <v>272</v>
      </c>
      <c r="B248" s="0" t="s">
        <v>74</v>
      </c>
      <c r="C248" s="15" t="n">
        <f aca="false">C247/C238</f>
        <v>0.48158388576124</v>
      </c>
      <c r="D248" s="15" t="n">
        <f aca="false">D247/D238</f>
        <v>0.485</v>
      </c>
      <c r="E248" s="15" t="n">
        <f aca="false">E247/E238</f>
        <v>0.49080997208695</v>
      </c>
      <c r="F248" s="15" t="n">
        <f aca="false">F247/F238</f>
        <v>0.49277904376935</v>
      </c>
      <c r="G248" s="15" t="n">
        <f aca="false">G247/G238</f>
        <v>0.495007074498404</v>
      </c>
    </row>
    <row r="249" customFormat="false" ht="15" hidden="false" customHeight="false" outlineLevel="0" collapsed="false">
      <c r="A249" s="5" t="s">
        <v>359</v>
      </c>
      <c r="B249" s="0" t="s">
        <v>29</v>
      </c>
      <c r="C249" s="20" t="n">
        <f aca="false">a25_oth</f>
        <v>0.3936</v>
      </c>
      <c r="D249" s="20" t="n">
        <f aca="false">a26_oth</f>
        <v>0.4999</v>
      </c>
      <c r="E249" s="20" t="n">
        <f aca="false">oth_f</f>
        <v>0.55</v>
      </c>
      <c r="F249" s="20" t="n">
        <f aca="false">oth_f</f>
        <v>0.55</v>
      </c>
      <c r="G249" s="20" t="n">
        <f aca="false">oth_f</f>
        <v>0.55</v>
      </c>
    </row>
    <row r="250" customFormat="false" ht="15" hidden="false" customHeight="false" outlineLevel="0" collapsed="false">
      <c r="A250" s="5" t="s">
        <v>360</v>
      </c>
      <c r="B250" s="0" t="s">
        <v>74</v>
      </c>
      <c r="C250" s="15" t="n">
        <f aca="false">1-a25_ni/(a25_oi+a25_oth)</f>
        <v>0.195450894178328</v>
      </c>
      <c r="D250" s="15" t="n">
        <f aca="false">1-a26_ni/(a26_oi+a26_oth)</f>
        <v>0.209652694791935</v>
      </c>
      <c r="E250" s="15" t="n">
        <f aca="false">tx_f</f>
        <v>0.21</v>
      </c>
      <c r="F250" s="15" t="n">
        <f aca="false">tx_f</f>
        <v>0.21</v>
      </c>
      <c r="G250" s="15" t="n">
        <f aca="false">tx_f</f>
        <v>0.21</v>
      </c>
    </row>
    <row r="251" customFormat="false" ht="17.15" hidden="false" customHeight="false" outlineLevel="0" collapsed="false">
      <c r="A251" s="5" t="s">
        <v>333</v>
      </c>
      <c r="B251" s="0" t="s">
        <v>29</v>
      </c>
      <c r="C251" s="20" t="n">
        <f aca="false">a25_ni</f>
        <v>3.806</v>
      </c>
      <c r="D251" s="20" t="n">
        <f aca="false">a26_ni</f>
        <v>5.224907</v>
      </c>
      <c r="E251" s="20" t="n">
        <f aca="false">(E247+E249)*(1-E250)</f>
        <v>6.68799835723428</v>
      </c>
      <c r="F251" s="20" t="n">
        <f aca="false">(F247+F249)*(1-F250)</f>
        <v>7.07620720379451</v>
      </c>
      <c r="G251" s="20" t="n">
        <f aca="false">(G247+G249)*(1-G250)</f>
        <v>7.58830323565668</v>
      </c>
    </row>
    <row r="252" customFormat="false" ht="15" hidden="false" customHeight="false" outlineLevel="0" collapsed="false">
      <c r="A252" s="5" t="s">
        <v>361</v>
      </c>
      <c r="B252" s="5" t="s">
        <v>147</v>
      </c>
      <c r="C252" s="16" t="n">
        <f aca="false">a25_sh</f>
        <v>1.2757</v>
      </c>
      <c r="D252" s="16" t="n">
        <f aca="false">a26_sh</f>
        <v>1.27595</v>
      </c>
      <c r="E252" s="16" t="n">
        <f aca="false">D252*(1+sh_g)</f>
        <v>1.27595</v>
      </c>
      <c r="F252" s="16" t="n">
        <f aca="false">E252*(1+sh_g)</f>
        <v>1.27595</v>
      </c>
      <c r="G252" s="16" t="n">
        <f aca="false">F252*(1+sh_g)</f>
        <v>1.27595</v>
      </c>
    </row>
    <row r="253" customFormat="false" ht="17.15" hidden="false" customHeight="false" outlineLevel="0" collapsed="false">
      <c r="A253" s="0" t="s">
        <v>334</v>
      </c>
      <c r="B253" s="0" t="s">
        <v>182</v>
      </c>
      <c r="C253" s="20" t="n">
        <f aca="false">C251/C252</f>
        <v>2.9834600611429</v>
      </c>
      <c r="D253" s="20" t="n">
        <f aca="false">D251/D252</f>
        <v>4.0949151612524</v>
      </c>
      <c r="E253" s="20" t="n">
        <f aca="false">E251/E252</f>
        <v>5.24158341411049</v>
      </c>
      <c r="F253" s="20" t="n">
        <f aca="false">F251/F252</f>
        <v>5.54583424412752</v>
      </c>
      <c r="G253" s="20" t="n">
        <f aca="false">G251/G252</f>
        <v>5.94717914938413</v>
      </c>
    </row>
    <row r="254" customFormat="false" ht="17.15" hidden="false" customHeight="false" outlineLevel="0" collapsed="false">
      <c r="A254" s="0" t="s">
        <v>362</v>
      </c>
      <c r="B254" s="0" t="s">
        <v>74</v>
      </c>
      <c r="D254" s="15" t="n">
        <f aca="false">D253/C253-1</f>
        <v>0.372538957227979</v>
      </c>
      <c r="E254" s="15" t="n">
        <f aca="false">E253/D253-1</f>
        <v>0.280022468770121</v>
      </c>
      <c r="F254" s="15" t="n">
        <f aca="false">F253/E253-1</f>
        <v>0.0580455953821082</v>
      </c>
      <c r="G254" s="15" t="n">
        <f aca="false">G253/F253-1</f>
        <v>0.0723687163354363</v>
      </c>
    </row>
    <row r="257" customFormat="false" ht="17.15" hidden="false" customHeight="false" outlineLevel="0" collapsed="false">
      <c r="A257" s="3" t="s">
        <v>656</v>
      </c>
    </row>
    <row r="258" customFormat="false" ht="17.15" hidden="false" customHeight="false" outlineLevel="0" collapsed="false">
      <c r="A258" s="6" t="s">
        <v>18</v>
      </c>
      <c r="B258" s="6" t="s">
        <v>19</v>
      </c>
      <c r="C258" s="12" t="s">
        <v>254</v>
      </c>
      <c r="D258" s="12" t="s">
        <v>324</v>
      </c>
      <c r="E258" s="12" t="s">
        <v>325</v>
      </c>
      <c r="F258" s="12" t="s">
        <v>326</v>
      </c>
      <c r="G258" s="12" t="s">
        <v>327</v>
      </c>
      <c r="H258" s="6" t="s">
        <v>306</v>
      </c>
    </row>
    <row r="259" customFormat="false" ht="17.15" hidden="false" customHeight="false" outlineLevel="0" collapsed="false">
      <c r="A259" s="1" t="s">
        <v>343</v>
      </c>
    </row>
    <row r="260" customFormat="false" ht="17.15" hidden="false" customHeight="false" outlineLevel="0" collapsed="false">
      <c r="A260" s="0" t="s">
        <v>344</v>
      </c>
      <c r="B260" s="0" t="s">
        <v>29</v>
      </c>
      <c r="D260" s="20" t="n">
        <f aca="false">mkt_26*1</f>
        <v>32.0719</v>
      </c>
      <c r="E260" s="20" t="n">
        <f aca="false">mkt_27*1*1</f>
        <v>61.085</v>
      </c>
      <c r="F260" s="20" t="n">
        <f aca="false">mkt_28*um28_A*1</f>
        <v>69.005</v>
      </c>
      <c r="G260" s="20" t="n">
        <f aca="false">mkt_29*um29_A*1</f>
        <v>78.48215</v>
      </c>
    </row>
    <row r="261" customFormat="false" ht="15" hidden="false" customHeight="false" outlineLevel="0" collapsed="false">
      <c r="A261" s="5" t="s">
        <v>309</v>
      </c>
      <c r="B261" s="0" t="s">
        <v>74</v>
      </c>
      <c r="D261" s="15" t="n">
        <f aca="false">eth_26</f>
        <v>0.75</v>
      </c>
      <c r="E261" s="15" t="n">
        <f aca="false">eth_27</f>
        <v>0.8</v>
      </c>
      <c r="F261" s="15" t="n">
        <f aca="false">eth_28</f>
        <v>0.83</v>
      </c>
      <c r="G261" s="15" t="n">
        <f aca="false">eth_29</f>
        <v>0.85</v>
      </c>
    </row>
    <row r="262" customFormat="false" ht="17.15" hidden="false" customHeight="false" outlineLevel="0" collapsed="false">
      <c r="A262" s="0" t="s">
        <v>311</v>
      </c>
      <c r="B262" s="0" t="s">
        <v>29</v>
      </c>
      <c r="D262" s="20" t="n">
        <f aca="false">D260*D261</f>
        <v>24.053925</v>
      </c>
      <c r="E262" s="20" t="n">
        <f aca="false">E260*E261</f>
        <v>48.868</v>
      </c>
      <c r="F262" s="20" t="n">
        <f aca="false">F260*F261</f>
        <v>57.27415</v>
      </c>
      <c r="G262" s="20" t="n">
        <f aca="false">G260*G261</f>
        <v>66.7098275</v>
      </c>
    </row>
    <row r="263" customFormat="false" ht="17.15" hidden="false" customHeight="false" outlineLevel="0" collapsed="false">
      <c r="A263" s="0" t="s">
        <v>345</v>
      </c>
      <c r="B263" s="0" t="s">
        <v>74</v>
      </c>
      <c r="D263" s="15" t="n">
        <f aca="false">a26_ai/D262</f>
        <v>0.14550639864388</v>
      </c>
      <c r="H263" s="8" t="s">
        <v>346</v>
      </c>
    </row>
    <row r="264" customFormat="false" ht="17.15" hidden="false" customHeight="false" outlineLevel="0" collapsed="false">
      <c r="A264" s="5" t="s">
        <v>347</v>
      </c>
      <c r="B264" s="0" t="s">
        <v>52</v>
      </c>
      <c r="D264" s="18" t="n">
        <f aca="false">1</f>
        <v>1</v>
      </c>
      <c r="E264" s="18" t="n">
        <f aca="false">rel_27</f>
        <v>0.95</v>
      </c>
      <c r="F264" s="18" t="n">
        <f aca="false">rel_28</f>
        <v>0.9</v>
      </c>
      <c r="G264" s="18" t="n">
        <f aca="false">rel_29</f>
        <v>0.88</v>
      </c>
    </row>
    <row r="265" customFormat="false" ht="17.15" hidden="false" customHeight="false" outlineLevel="0" collapsed="false">
      <c r="A265" s="0" t="s">
        <v>348</v>
      </c>
      <c r="B265" s="0" t="s">
        <v>74</v>
      </c>
      <c r="D265" s="15" t="n">
        <f aca="false">$D$263*D264</f>
        <v>0.14550639864388</v>
      </c>
      <c r="E265" s="15" t="n">
        <f aca="false">$D$263*E264</f>
        <v>0.138231078711686</v>
      </c>
      <c r="F265" s="15" t="n">
        <f aca="false">$D$263*F264</f>
        <v>0.130955758779492</v>
      </c>
      <c r="G265" s="15" t="n">
        <f aca="false">$D$263*G264</f>
        <v>0.128045630806615</v>
      </c>
    </row>
    <row r="266" customFormat="false" ht="17.15" hidden="false" customHeight="false" outlineLevel="0" collapsed="false">
      <c r="A266" s="0" t="s">
        <v>287</v>
      </c>
      <c r="B266" s="0" t="s">
        <v>29</v>
      </c>
      <c r="C266" s="20" t="n">
        <f aca="false">a25_ai</f>
        <v>1.63</v>
      </c>
      <c r="D266" s="20" t="n">
        <f aca="false">D262*D265</f>
        <v>3.5</v>
      </c>
      <c r="E266" s="20" t="n">
        <f aca="false">E262*E265</f>
        <v>6.75507635448269</v>
      </c>
      <c r="F266" s="20" t="n">
        <f aca="false">F262*F265</f>
        <v>7.50037977170046</v>
      </c>
      <c r="G266" s="20" t="n">
        <f aca="false">G262*G265</f>
        <v>8.54190194323796</v>
      </c>
    </row>
    <row r="267" customFormat="false" ht="17.15" hidden="false" customHeight="false" outlineLevel="0" collapsed="false">
      <c r="A267" s="1" t="s">
        <v>349</v>
      </c>
    </row>
    <row r="268" customFormat="false" ht="17.15" hidden="false" customHeight="false" outlineLevel="0" collapsed="false">
      <c r="A268" s="5" t="s">
        <v>350</v>
      </c>
      <c r="B268" s="0" t="s">
        <v>29</v>
      </c>
      <c r="C268" s="20" t="n">
        <f aca="false">a25_nai</f>
        <v>7.3757</v>
      </c>
      <c r="D268" s="20" t="n">
        <f aca="false">a26_nai</f>
        <v>9.1</v>
      </c>
      <c r="E268" s="20" t="n">
        <f aca="false">D268*(1+GNHI27)</f>
        <v>10.465</v>
      </c>
      <c r="F268" s="20" t="n">
        <f aca="false">E268*(1+GNHI28)</f>
        <v>11.7208</v>
      </c>
      <c r="G268" s="20" t="n">
        <f aca="false">F268*(1+GNHI29)</f>
        <v>12.89288</v>
      </c>
    </row>
    <row r="269" customFormat="false" ht="15" hidden="false" customHeight="false" outlineLevel="0" collapsed="false">
      <c r="A269" s="5" t="s">
        <v>261</v>
      </c>
      <c r="B269" s="0" t="s">
        <v>29</v>
      </c>
      <c r="C269" s="20" t="n">
        <f aca="false">a25_rev</f>
        <v>9.0057</v>
      </c>
      <c r="D269" s="20" t="n">
        <f aca="false">D266+D268</f>
        <v>12.6</v>
      </c>
      <c r="E269" s="20" t="n">
        <f aca="false">E266+E268</f>
        <v>17.2200763544827</v>
      </c>
      <c r="F269" s="20" t="n">
        <f aca="false">F266+F268</f>
        <v>19.2211797717005</v>
      </c>
      <c r="G269" s="20" t="n">
        <f aca="false">G266+G268</f>
        <v>21.434781943238</v>
      </c>
    </row>
    <row r="270" customFormat="false" ht="15" hidden="false" customHeight="false" outlineLevel="0" collapsed="false">
      <c r="A270" s="5" t="s">
        <v>351</v>
      </c>
      <c r="B270" s="0" t="s">
        <v>74</v>
      </c>
      <c r="D270" s="15" t="n">
        <f aca="false">D269/C269-1</f>
        <v>0.399113894533462</v>
      </c>
      <c r="E270" s="15" t="n">
        <f aca="false">E269/D269-1</f>
        <v>0.366672726546245</v>
      </c>
      <c r="F270" s="15" t="n">
        <f aca="false">F269/E269-1</f>
        <v>0.116207580966785</v>
      </c>
      <c r="G270" s="15" t="n">
        <f aca="false">G269/F269-1</f>
        <v>0.115164740033107</v>
      </c>
    </row>
    <row r="271" customFormat="false" ht="17.15" hidden="false" customHeight="false" outlineLevel="0" collapsed="false">
      <c r="A271" s="0" t="s">
        <v>292</v>
      </c>
      <c r="B271" s="0" t="s">
        <v>74</v>
      </c>
      <c r="C271" s="15" t="n">
        <f aca="false">C266/C269</f>
        <v>0.180996480007107</v>
      </c>
      <c r="D271" s="15" t="n">
        <f aca="false">D266/D269</f>
        <v>0.277777777777778</v>
      </c>
      <c r="E271" s="15" t="n">
        <f aca="false">E266/E269</f>
        <v>0.392279117434008</v>
      </c>
      <c r="F271" s="15" t="n">
        <f aca="false">F266/F269</f>
        <v>0.390214329234012</v>
      </c>
      <c r="G271" s="15" t="n">
        <f aca="false">G266/G269</f>
        <v>0.398506593902285</v>
      </c>
    </row>
    <row r="272" customFormat="false" ht="17.15" hidden="false" customHeight="false" outlineLevel="0" collapsed="false">
      <c r="A272" s="1" t="s">
        <v>352</v>
      </c>
    </row>
    <row r="273" customFormat="false" ht="17.15" hidden="false" customHeight="false" outlineLevel="0" collapsed="false">
      <c r="A273" s="5" t="s">
        <v>353</v>
      </c>
      <c r="B273" s="0" t="s">
        <v>74</v>
      </c>
      <c r="D273" s="15" t="n">
        <f aca="false">a26_gp/a26_rev+d_ai*D271</f>
        <v>0.646666666666667</v>
      </c>
      <c r="H273" s="8" t="s">
        <v>354</v>
      </c>
    </row>
    <row r="274" customFormat="false" ht="15" hidden="false" customHeight="false" outlineLevel="0" collapsed="false">
      <c r="A274" s="5" t="s">
        <v>355</v>
      </c>
      <c r="B274" s="0" t="s">
        <v>29</v>
      </c>
      <c r="C274" s="20" t="n">
        <f aca="false">a25_gp</f>
        <v>5.8154</v>
      </c>
      <c r="D274" s="20" t="n">
        <f aca="false">a26_gp</f>
        <v>7.938</v>
      </c>
      <c r="E274" s="20" t="n">
        <f aca="false">$D$273*E268+($D$273-d_ai)*E266</f>
        <v>10.7303447946298</v>
      </c>
      <c r="F274" s="20" t="n">
        <f aca="false">$D$273*F268+($D$273-d_ai)*F266</f>
        <v>11.9796734660643</v>
      </c>
      <c r="G274" s="20" t="n">
        <f aca="false">$D$273*G268+($D$273-d_ai)*G266</f>
        <v>13.3486448733663</v>
      </c>
    </row>
    <row r="275" customFormat="false" ht="15" hidden="false" customHeight="false" outlineLevel="0" collapsed="false">
      <c r="A275" s="5" t="s">
        <v>267</v>
      </c>
      <c r="B275" s="0" t="s">
        <v>74</v>
      </c>
      <c r="C275" s="15" t="n">
        <f aca="false">C274/C269</f>
        <v>0.645746582719833</v>
      </c>
      <c r="D275" s="15" t="n">
        <f aca="false">D274/D269</f>
        <v>0.63</v>
      </c>
      <c r="E275" s="15" t="n">
        <f aca="false">E274/E269</f>
        <v>0.623129919620626</v>
      </c>
      <c r="F275" s="15" t="n">
        <f aca="false">F274/F269</f>
        <v>0.623253806912626</v>
      </c>
      <c r="G275" s="15" t="n">
        <f aca="false">G274/G269</f>
        <v>0.62275627103253</v>
      </c>
    </row>
    <row r="276" customFormat="false" ht="15" hidden="false" customHeight="false" outlineLevel="0" collapsed="false">
      <c r="A276" s="5" t="s">
        <v>356</v>
      </c>
      <c r="B276" s="0" t="s">
        <v>29</v>
      </c>
      <c r="C276" s="20" t="n">
        <f aca="false">a25_opx</f>
        <v>1.4784</v>
      </c>
      <c r="D276" s="20" t="n">
        <f aca="false">a26_opx</f>
        <v>1.827</v>
      </c>
      <c r="E276" s="20" t="n">
        <f aca="false">D276*(1+MAX(0,phi*E270))</f>
        <v>2.19545108926999</v>
      </c>
      <c r="F276" s="20" t="n">
        <f aca="false">E276*(1+MAX(0,phi*F270))</f>
        <v>2.33577152238822</v>
      </c>
      <c r="G276" s="20" t="n">
        <f aca="false">F276*(1+MAX(0,phi*G270))</f>
        <v>2.48372070847214</v>
      </c>
    </row>
    <row r="277" customFormat="false" ht="15" hidden="false" customHeight="false" outlineLevel="0" collapsed="false">
      <c r="A277" s="5" t="s">
        <v>357</v>
      </c>
      <c r="B277" s="0" t="s">
        <v>29</v>
      </c>
      <c r="C277" s="20" t="n">
        <f aca="false">C276</f>
        <v>1.4784</v>
      </c>
      <c r="D277" s="20" t="n">
        <f aca="false">D276</f>
        <v>1.827</v>
      </c>
      <c r="E277" s="20" t="n">
        <f aca="false">E276+0*E269</f>
        <v>2.19545108926999</v>
      </c>
      <c r="F277" s="20" t="n">
        <f aca="false">F276+0*F269</f>
        <v>2.33577152238822</v>
      </c>
      <c r="G277" s="20" t="n">
        <f aca="false">G276+0*G269</f>
        <v>2.48372070847214</v>
      </c>
    </row>
    <row r="278" customFormat="false" ht="15" hidden="false" customHeight="false" outlineLevel="0" collapsed="false">
      <c r="A278" s="5" t="s">
        <v>358</v>
      </c>
      <c r="B278" s="0" t="s">
        <v>29</v>
      </c>
      <c r="C278" s="20" t="n">
        <f aca="false">C274-C277</f>
        <v>4.337</v>
      </c>
      <c r="D278" s="20" t="n">
        <f aca="false">D274-D277</f>
        <v>6.111</v>
      </c>
      <c r="E278" s="20" t="n">
        <f aca="false">E274-E277</f>
        <v>8.53489370535985</v>
      </c>
      <c r="F278" s="20" t="n">
        <f aca="false">F274-F277</f>
        <v>9.64390194367605</v>
      </c>
      <c r="G278" s="20" t="n">
        <f aca="false">G274-G277</f>
        <v>10.8649241648941</v>
      </c>
    </row>
    <row r="279" customFormat="false" ht="15" hidden="false" customHeight="false" outlineLevel="0" collapsed="false">
      <c r="A279" s="5" t="s">
        <v>272</v>
      </c>
      <c r="B279" s="0" t="s">
        <v>74</v>
      </c>
      <c r="C279" s="15" t="n">
        <f aca="false">C278/C269</f>
        <v>0.48158388576124</v>
      </c>
      <c r="D279" s="15" t="n">
        <f aca="false">D278/D269</f>
        <v>0.485</v>
      </c>
      <c r="E279" s="15" t="n">
        <f aca="false">E278/E269</f>
        <v>0.495636228879907</v>
      </c>
      <c r="F279" s="15" t="n">
        <f aca="false">F278/F269</f>
        <v>0.501733091216121</v>
      </c>
      <c r="G279" s="15" t="n">
        <f aca="false">G278/G269</f>
        <v>0.506882887526724</v>
      </c>
    </row>
    <row r="280" customFormat="false" ht="15" hidden="false" customHeight="false" outlineLevel="0" collapsed="false">
      <c r="A280" s="5" t="s">
        <v>359</v>
      </c>
      <c r="B280" s="0" t="s">
        <v>29</v>
      </c>
      <c r="C280" s="20" t="n">
        <f aca="false">a25_oth</f>
        <v>0.3936</v>
      </c>
      <c r="D280" s="20" t="n">
        <f aca="false">a26_oth</f>
        <v>0.4999</v>
      </c>
      <c r="E280" s="20" t="n">
        <f aca="false">oth_f</f>
        <v>0.55</v>
      </c>
      <c r="F280" s="20" t="n">
        <f aca="false">oth_f</f>
        <v>0.55</v>
      </c>
      <c r="G280" s="20" t="n">
        <f aca="false">oth_f</f>
        <v>0.55</v>
      </c>
    </row>
    <row r="281" customFormat="false" ht="15" hidden="false" customHeight="false" outlineLevel="0" collapsed="false">
      <c r="A281" s="5" t="s">
        <v>360</v>
      </c>
      <c r="B281" s="0" t="s">
        <v>74</v>
      </c>
      <c r="C281" s="15" t="n">
        <f aca="false">1-a25_ni/(a25_oi+a25_oth)</f>
        <v>0.195450894178328</v>
      </c>
      <c r="D281" s="15" t="n">
        <f aca="false">1-a26_ni/(a26_oi+a26_oth)</f>
        <v>0.209652694791935</v>
      </c>
      <c r="E281" s="15" t="n">
        <f aca="false">tx_f</f>
        <v>0.21</v>
      </c>
      <c r="F281" s="15" t="n">
        <f aca="false">tx_f</f>
        <v>0.21</v>
      </c>
      <c r="G281" s="15" t="n">
        <f aca="false">tx_f</f>
        <v>0.21</v>
      </c>
    </row>
    <row r="282" customFormat="false" ht="17.15" hidden="false" customHeight="false" outlineLevel="0" collapsed="false">
      <c r="A282" s="5" t="s">
        <v>333</v>
      </c>
      <c r="B282" s="0" t="s">
        <v>29</v>
      </c>
      <c r="C282" s="20" t="n">
        <f aca="false">a25_ni</f>
        <v>3.806</v>
      </c>
      <c r="D282" s="20" t="n">
        <f aca="false">a26_ni</f>
        <v>5.224907</v>
      </c>
      <c r="E282" s="20" t="n">
        <f aca="false">(E278+E280)*(1-E281)</f>
        <v>7.17706602723428</v>
      </c>
      <c r="F282" s="20" t="n">
        <f aca="false">(F278+F280)*(1-F281)</f>
        <v>8.05318253550408</v>
      </c>
      <c r="G282" s="20" t="n">
        <f aca="false">(G278+G280)*(1-G281)</f>
        <v>9.01779009026637</v>
      </c>
    </row>
    <row r="283" customFormat="false" ht="15" hidden="false" customHeight="false" outlineLevel="0" collapsed="false">
      <c r="A283" s="5" t="s">
        <v>361</v>
      </c>
      <c r="B283" s="5" t="s">
        <v>147</v>
      </c>
      <c r="C283" s="16" t="n">
        <f aca="false">a25_sh</f>
        <v>1.2757</v>
      </c>
      <c r="D283" s="16" t="n">
        <f aca="false">a26_sh</f>
        <v>1.27595</v>
      </c>
      <c r="E283" s="16" t="n">
        <f aca="false">D283*(1+sh_g)</f>
        <v>1.27595</v>
      </c>
      <c r="F283" s="16" t="n">
        <f aca="false">E283*(1+sh_g)</f>
        <v>1.27595</v>
      </c>
      <c r="G283" s="16" t="n">
        <f aca="false">F283*(1+sh_g)</f>
        <v>1.27595</v>
      </c>
    </row>
    <row r="284" customFormat="false" ht="17.15" hidden="false" customHeight="false" outlineLevel="0" collapsed="false">
      <c r="A284" s="0" t="s">
        <v>334</v>
      </c>
      <c r="B284" s="0" t="s">
        <v>182</v>
      </c>
      <c r="C284" s="20" t="n">
        <f aca="false">C282/C283</f>
        <v>2.9834600611429</v>
      </c>
      <c r="D284" s="20" t="n">
        <f aca="false">D282/D283</f>
        <v>4.0949151612524</v>
      </c>
      <c r="E284" s="20" t="n">
        <f aca="false">E282/E283</f>
        <v>5.62488030662196</v>
      </c>
      <c r="F284" s="20" t="n">
        <f aca="false">F282/F283</f>
        <v>6.31151889611982</v>
      </c>
      <c r="G284" s="20" t="n">
        <f aca="false">G282/G283</f>
        <v>7.06751055313011</v>
      </c>
    </row>
    <row r="285" customFormat="false" ht="17.15" hidden="false" customHeight="false" outlineLevel="0" collapsed="false">
      <c r="A285" s="0" t="s">
        <v>362</v>
      </c>
      <c r="B285" s="0" t="s">
        <v>74</v>
      </c>
      <c r="D285" s="15" t="n">
        <f aca="false">D284/C284-1</f>
        <v>0.372538957227979</v>
      </c>
      <c r="E285" s="15" t="n">
        <f aca="false">E284/D284-1</f>
        <v>0.373625602758917</v>
      </c>
      <c r="F285" s="15" t="n">
        <f aca="false">F284/E284-1</f>
        <v>0.122071680119043</v>
      </c>
      <c r="G285" s="15" t="n">
        <f aca="false">G284/F284-1</f>
        <v>0.119779671019453</v>
      </c>
    </row>
    <row r="288" customFormat="false" ht="17.15" hidden="false" customHeight="false" outlineLevel="0" collapsed="false">
      <c r="A288" s="3" t="s">
        <v>657</v>
      </c>
    </row>
    <row r="289" customFormat="false" ht="17.15" hidden="false" customHeight="false" outlineLevel="0" collapsed="false">
      <c r="A289" s="6" t="s">
        <v>18</v>
      </c>
      <c r="B289" s="6" t="s">
        <v>19</v>
      </c>
      <c r="C289" s="12" t="s">
        <v>254</v>
      </c>
      <c r="D289" s="12" t="s">
        <v>324</v>
      </c>
      <c r="E289" s="12" t="s">
        <v>325</v>
      </c>
      <c r="F289" s="12" t="s">
        <v>326</v>
      </c>
      <c r="G289" s="12" t="s">
        <v>327</v>
      </c>
      <c r="H289" s="6" t="s">
        <v>306</v>
      </c>
    </row>
    <row r="290" customFormat="false" ht="17.15" hidden="false" customHeight="false" outlineLevel="0" collapsed="false">
      <c r="A290" s="1" t="s">
        <v>343</v>
      </c>
    </row>
    <row r="291" customFormat="false" ht="17.15" hidden="false" customHeight="false" outlineLevel="0" collapsed="false">
      <c r="A291" s="0" t="s">
        <v>344</v>
      </c>
      <c r="B291" s="0" t="s">
        <v>29</v>
      </c>
      <c r="D291" s="20" t="n">
        <f aca="false">mkt_26*1</f>
        <v>32.0719</v>
      </c>
      <c r="E291" s="20" t="n">
        <f aca="false">mkt_27*1*1</f>
        <v>61.085</v>
      </c>
      <c r="F291" s="20" t="n">
        <f aca="false">mkt_28*um28_A*1</f>
        <v>69.005</v>
      </c>
      <c r="G291" s="20" t="n">
        <f aca="false">mkt_29*um29_A*1</f>
        <v>78.48215</v>
      </c>
    </row>
    <row r="292" customFormat="false" ht="15" hidden="false" customHeight="false" outlineLevel="0" collapsed="false">
      <c r="A292" s="5" t="s">
        <v>309</v>
      </c>
      <c r="B292" s="0" t="s">
        <v>74</v>
      </c>
      <c r="D292" s="15" t="n">
        <f aca="false">eth_26</f>
        <v>0.75</v>
      </c>
      <c r="E292" s="15" t="n">
        <f aca="false">eth_27</f>
        <v>0.8</v>
      </c>
      <c r="F292" s="15" t="n">
        <f aca="false">eth_28</f>
        <v>0.83</v>
      </c>
      <c r="G292" s="15" t="n">
        <f aca="false">eth_29</f>
        <v>0.85</v>
      </c>
    </row>
    <row r="293" customFormat="false" ht="17.15" hidden="false" customHeight="false" outlineLevel="0" collapsed="false">
      <c r="A293" s="0" t="s">
        <v>311</v>
      </c>
      <c r="B293" s="0" t="s">
        <v>29</v>
      </c>
      <c r="D293" s="20" t="n">
        <f aca="false">D291*D292</f>
        <v>24.053925</v>
      </c>
      <c r="E293" s="20" t="n">
        <f aca="false">E291*E292</f>
        <v>48.868</v>
      </c>
      <c r="F293" s="20" t="n">
        <f aca="false">F291*F292</f>
        <v>57.27415</v>
      </c>
      <c r="G293" s="20" t="n">
        <f aca="false">G291*G292</f>
        <v>66.7098275</v>
      </c>
    </row>
    <row r="294" customFormat="false" ht="17.15" hidden="false" customHeight="false" outlineLevel="0" collapsed="false">
      <c r="A294" s="0" t="s">
        <v>345</v>
      </c>
      <c r="B294" s="0" t="s">
        <v>74</v>
      </c>
      <c r="D294" s="15" t="n">
        <f aca="false">a26_ai/D293</f>
        <v>0.14550639864388</v>
      </c>
      <c r="H294" s="8" t="s">
        <v>346</v>
      </c>
    </row>
    <row r="295" customFormat="false" ht="17.15" hidden="false" customHeight="false" outlineLevel="0" collapsed="false">
      <c r="A295" s="5" t="s">
        <v>347</v>
      </c>
      <c r="B295" s="0" t="s">
        <v>52</v>
      </c>
      <c r="D295" s="18" t="n">
        <f aca="false">1</f>
        <v>1</v>
      </c>
      <c r="E295" s="18" t="n">
        <f aca="false">rel_27</f>
        <v>0.95</v>
      </c>
      <c r="F295" s="18" t="n">
        <f aca="false">rel_28</f>
        <v>0.9</v>
      </c>
      <c r="G295" s="18" t="n">
        <f aca="false">rel_29</f>
        <v>0.88</v>
      </c>
    </row>
    <row r="296" customFormat="false" ht="17.15" hidden="false" customHeight="false" outlineLevel="0" collapsed="false">
      <c r="A296" s="0" t="s">
        <v>348</v>
      </c>
      <c r="B296" s="0" t="s">
        <v>74</v>
      </c>
      <c r="D296" s="15" t="n">
        <f aca="false">$D$294*D295</f>
        <v>0.14550639864388</v>
      </c>
      <c r="E296" s="15" t="n">
        <f aca="false">$D$294*E295</f>
        <v>0.138231078711686</v>
      </c>
      <c r="F296" s="15" t="n">
        <f aca="false">$D$294*F295</f>
        <v>0.130955758779492</v>
      </c>
      <c r="G296" s="15" t="n">
        <f aca="false">$D$294*G295</f>
        <v>0.128045630806615</v>
      </c>
    </row>
    <row r="297" customFormat="false" ht="17.15" hidden="false" customHeight="false" outlineLevel="0" collapsed="false">
      <c r="A297" s="0" t="s">
        <v>287</v>
      </c>
      <c r="B297" s="0" t="s">
        <v>29</v>
      </c>
      <c r="C297" s="20" t="n">
        <f aca="false">a25_ai</f>
        <v>1.63</v>
      </c>
      <c r="D297" s="20" t="n">
        <f aca="false">D293*D296</f>
        <v>3.5</v>
      </c>
      <c r="E297" s="20" t="n">
        <f aca="false">E293*E296</f>
        <v>6.75507635448269</v>
      </c>
      <c r="F297" s="20" t="n">
        <f aca="false">F293*F296</f>
        <v>7.50037977170046</v>
      </c>
      <c r="G297" s="20" t="n">
        <f aca="false">G293*G296</f>
        <v>8.54190194323796</v>
      </c>
    </row>
    <row r="298" customFormat="false" ht="17.15" hidden="false" customHeight="false" outlineLevel="0" collapsed="false">
      <c r="A298" s="1" t="s">
        <v>349</v>
      </c>
    </row>
    <row r="299" customFormat="false" ht="17.15" hidden="false" customHeight="false" outlineLevel="0" collapsed="false">
      <c r="A299" s="5" t="s">
        <v>350</v>
      </c>
      <c r="B299" s="0" t="s">
        <v>29</v>
      </c>
      <c r="C299" s="20" t="n">
        <f aca="false">a25_nai</f>
        <v>7.3757</v>
      </c>
      <c r="D299" s="20" t="n">
        <f aca="false">a26_nai</f>
        <v>9.1</v>
      </c>
      <c r="E299" s="20" t="n">
        <f aca="false">D299*(1+g_nai27)</f>
        <v>10.01</v>
      </c>
      <c r="F299" s="20" t="n">
        <f aca="false">E299*(1+g_nai28)</f>
        <v>10.8108</v>
      </c>
      <c r="G299" s="20" t="n">
        <f aca="false">F299*(1+g_nai29)</f>
        <v>11.459448</v>
      </c>
    </row>
    <row r="300" customFormat="false" ht="15" hidden="false" customHeight="false" outlineLevel="0" collapsed="false">
      <c r="A300" s="5" t="s">
        <v>261</v>
      </c>
      <c r="B300" s="0" t="s">
        <v>29</v>
      </c>
      <c r="C300" s="20" t="n">
        <f aca="false">a25_rev</f>
        <v>9.0057</v>
      </c>
      <c r="D300" s="20" t="n">
        <f aca="false">D297+D299</f>
        <v>12.6</v>
      </c>
      <c r="E300" s="20" t="n">
        <f aca="false">E297+E299</f>
        <v>16.7650763544827</v>
      </c>
      <c r="F300" s="20" t="n">
        <f aca="false">F297+F299</f>
        <v>18.3111797717005</v>
      </c>
      <c r="G300" s="20" t="n">
        <f aca="false">G297+G299</f>
        <v>20.001349943238</v>
      </c>
    </row>
    <row r="301" customFormat="false" ht="15" hidden="false" customHeight="false" outlineLevel="0" collapsed="false">
      <c r="A301" s="5" t="s">
        <v>351</v>
      </c>
      <c r="B301" s="0" t="s">
        <v>74</v>
      </c>
      <c r="D301" s="15" t="n">
        <f aca="false">D300/C300-1</f>
        <v>0.399113894533462</v>
      </c>
      <c r="E301" s="15" t="n">
        <f aca="false">E300/D300-1</f>
        <v>0.330561615435134</v>
      </c>
      <c r="F301" s="15" t="n">
        <f aca="false">F300/E300-1</f>
        <v>0.0922216746602751</v>
      </c>
      <c r="G301" s="15" t="n">
        <f aca="false">G300/F300-1</f>
        <v>0.092302636564664</v>
      </c>
    </row>
    <row r="302" customFormat="false" ht="17.15" hidden="false" customHeight="false" outlineLevel="0" collapsed="false">
      <c r="A302" s="0" t="s">
        <v>292</v>
      </c>
      <c r="B302" s="0" t="s">
        <v>74</v>
      </c>
      <c r="C302" s="15" t="n">
        <f aca="false">C297/C300</f>
        <v>0.180996480007107</v>
      </c>
      <c r="D302" s="15" t="n">
        <f aca="false">D297/D300</f>
        <v>0.277777777777778</v>
      </c>
      <c r="E302" s="15" t="n">
        <f aca="false">E297/E300</f>
        <v>0.402925475056157</v>
      </c>
      <c r="F302" s="15" t="n">
        <f aca="false">F297/F300</f>
        <v>0.409606582711407</v>
      </c>
      <c r="G302" s="15" t="n">
        <f aca="false">G297/G300</f>
        <v>0.427066271400636</v>
      </c>
    </row>
    <row r="303" customFormat="false" ht="17.15" hidden="false" customHeight="false" outlineLevel="0" collapsed="false">
      <c r="A303" s="1" t="s">
        <v>352</v>
      </c>
    </row>
    <row r="304" customFormat="false" ht="17.15" hidden="false" customHeight="false" outlineLevel="0" collapsed="false">
      <c r="A304" s="5" t="s">
        <v>353</v>
      </c>
      <c r="B304" s="0" t="s">
        <v>74</v>
      </c>
      <c r="D304" s="15" t="n">
        <f aca="false">a26_gp/a26_rev+d_ai_lo*D302</f>
        <v>0.638333333333333</v>
      </c>
      <c r="H304" s="8" t="s">
        <v>354</v>
      </c>
    </row>
    <row r="305" customFormat="false" ht="15" hidden="false" customHeight="false" outlineLevel="0" collapsed="false">
      <c r="A305" s="5" t="s">
        <v>355</v>
      </c>
      <c r="B305" s="0" t="s">
        <v>29</v>
      </c>
      <c r="C305" s="20" t="n">
        <f aca="false">a25_gp</f>
        <v>5.8154</v>
      </c>
      <c r="D305" s="20" t="n">
        <f aca="false">a26_gp</f>
        <v>7.938</v>
      </c>
      <c r="E305" s="20" t="n">
        <f aca="false">$D$304*E299+($D$304-d_ai_lo)*E297</f>
        <v>10.4990547823103</v>
      </c>
      <c r="F305" s="20" t="n">
        <f aca="false">$D$304*F299+($D$304-d_ai_lo)*F297</f>
        <v>11.4636250277844</v>
      </c>
      <c r="G305" s="20" t="n">
        <f aca="false">$D$304*G299+($D$304-d_ai_lo)*G297</f>
        <v>12.5112713221364</v>
      </c>
    </row>
    <row r="306" customFormat="false" ht="15" hidden="false" customHeight="false" outlineLevel="0" collapsed="false">
      <c r="A306" s="5" t="s">
        <v>267</v>
      </c>
      <c r="B306" s="0" t="s">
        <v>74</v>
      </c>
      <c r="C306" s="15" t="n">
        <f aca="false">C305/C300</f>
        <v>0.645746582719833</v>
      </c>
      <c r="D306" s="15" t="n">
        <f aca="false">D305/D300</f>
        <v>0.63</v>
      </c>
      <c r="E306" s="15" t="n">
        <f aca="false">E305/E300</f>
        <v>0.626245569081649</v>
      </c>
      <c r="F306" s="15" t="n">
        <f aca="false">F305/F300</f>
        <v>0.626045135851991</v>
      </c>
      <c r="G306" s="15" t="n">
        <f aca="false">G305/G300</f>
        <v>0.625521345191314</v>
      </c>
    </row>
    <row r="307" customFormat="false" ht="15" hidden="false" customHeight="false" outlineLevel="0" collapsed="false">
      <c r="A307" s="5" t="s">
        <v>356</v>
      </c>
      <c r="B307" s="0" t="s">
        <v>29</v>
      </c>
      <c r="C307" s="20" t="n">
        <f aca="false">a25_opx</f>
        <v>1.4784</v>
      </c>
      <c r="D307" s="20" t="n">
        <f aca="false">a26_opx</f>
        <v>1.827</v>
      </c>
      <c r="E307" s="20" t="n">
        <f aca="false">D307*(1+MAX(0,phi*E301))</f>
        <v>2.15916483926999</v>
      </c>
      <c r="F307" s="20" t="n">
        <f aca="false">E307*(1+MAX(0,phi*F301))</f>
        <v>2.26868182780978</v>
      </c>
      <c r="G307" s="20" t="n">
        <f aca="false">F307*(1+MAX(0,phi*G301))</f>
        <v>2.38385475063803</v>
      </c>
    </row>
    <row r="308" customFormat="false" ht="15" hidden="false" customHeight="false" outlineLevel="0" collapsed="false">
      <c r="A308" s="5" t="s">
        <v>357</v>
      </c>
      <c r="B308" s="0" t="s">
        <v>29</v>
      </c>
      <c r="C308" s="20" t="n">
        <f aca="false">C307</f>
        <v>1.4784</v>
      </c>
      <c r="D308" s="20" t="n">
        <f aca="false">D307</f>
        <v>1.827</v>
      </c>
      <c r="E308" s="20" t="n">
        <f aca="false">E307+0*E300</f>
        <v>2.15916483926999</v>
      </c>
      <c r="F308" s="20" t="n">
        <f aca="false">F307+0*F300</f>
        <v>2.26868182780978</v>
      </c>
      <c r="G308" s="20" t="n">
        <f aca="false">G307+0*G300</f>
        <v>2.38385475063803</v>
      </c>
    </row>
    <row r="309" customFormat="false" ht="15" hidden="false" customHeight="false" outlineLevel="0" collapsed="false">
      <c r="A309" s="5" t="s">
        <v>358</v>
      </c>
      <c r="B309" s="0" t="s">
        <v>29</v>
      </c>
      <c r="C309" s="20" t="n">
        <f aca="false">C305-C308</f>
        <v>4.337</v>
      </c>
      <c r="D309" s="20" t="n">
        <f aca="false">D305-D308</f>
        <v>6.111</v>
      </c>
      <c r="E309" s="20" t="n">
        <f aca="false">E305-E308</f>
        <v>8.33988994304031</v>
      </c>
      <c r="F309" s="20" t="n">
        <f aca="false">F305-F308</f>
        <v>9.19494319997467</v>
      </c>
      <c r="G309" s="20" t="n">
        <f aca="false">G305-G308</f>
        <v>10.1274165714984</v>
      </c>
    </row>
    <row r="310" customFormat="false" ht="15" hidden="false" customHeight="false" outlineLevel="0" collapsed="false">
      <c r="A310" s="5" t="s">
        <v>272</v>
      </c>
      <c r="B310" s="0" t="s">
        <v>74</v>
      </c>
      <c r="C310" s="15" t="n">
        <f aca="false">C309/C300</f>
        <v>0.48158388576124</v>
      </c>
      <c r="D310" s="15" t="n">
        <f aca="false">D309/D300</f>
        <v>0.485</v>
      </c>
      <c r="E310" s="15" t="n">
        <f aca="false">E309/E300</f>
        <v>0.497456126456016</v>
      </c>
      <c r="F310" s="15" t="n">
        <f aca="false">F309/F300</f>
        <v>0.502149141377841</v>
      </c>
      <c r="G310" s="15" t="n">
        <f aca="false">G309/G300</f>
        <v>0.506336652287926</v>
      </c>
    </row>
    <row r="311" customFormat="false" ht="15" hidden="false" customHeight="false" outlineLevel="0" collapsed="false">
      <c r="A311" s="5" t="s">
        <v>359</v>
      </c>
      <c r="B311" s="0" t="s">
        <v>29</v>
      </c>
      <c r="C311" s="20" t="n">
        <f aca="false">a25_oth</f>
        <v>0.3936</v>
      </c>
      <c r="D311" s="20" t="n">
        <f aca="false">a26_oth</f>
        <v>0.4999</v>
      </c>
      <c r="E311" s="20" t="n">
        <f aca="false">oth_f</f>
        <v>0.55</v>
      </c>
      <c r="F311" s="20" t="n">
        <f aca="false">oth_f</f>
        <v>0.55</v>
      </c>
      <c r="G311" s="20" t="n">
        <f aca="false">oth_f</f>
        <v>0.55</v>
      </c>
    </row>
    <row r="312" customFormat="false" ht="15" hidden="false" customHeight="false" outlineLevel="0" collapsed="false">
      <c r="A312" s="5" t="s">
        <v>360</v>
      </c>
      <c r="B312" s="0" t="s">
        <v>74</v>
      </c>
      <c r="C312" s="15" t="n">
        <f aca="false">1-a25_ni/(a25_oi+a25_oth)</f>
        <v>0.195450894178328</v>
      </c>
      <c r="D312" s="15" t="n">
        <f aca="false">1-a26_ni/(a26_oi+a26_oth)</f>
        <v>0.209652694791935</v>
      </c>
      <c r="E312" s="15" t="n">
        <f aca="false">tx_f</f>
        <v>0.21</v>
      </c>
      <c r="F312" s="15" t="n">
        <f aca="false">tx_f</f>
        <v>0.21</v>
      </c>
      <c r="G312" s="15" t="n">
        <f aca="false">tx_f</f>
        <v>0.21</v>
      </c>
    </row>
    <row r="313" customFormat="false" ht="17.15" hidden="false" customHeight="false" outlineLevel="0" collapsed="false">
      <c r="A313" s="5" t="s">
        <v>333</v>
      </c>
      <c r="B313" s="0" t="s">
        <v>29</v>
      </c>
      <c r="C313" s="20" t="n">
        <f aca="false">a25_ni</f>
        <v>3.806</v>
      </c>
      <c r="D313" s="20" t="n">
        <f aca="false">a26_ni</f>
        <v>5.224907</v>
      </c>
      <c r="E313" s="20" t="n">
        <f aca="false">(E309+E311)*(1-E312)</f>
        <v>7.02301305500185</v>
      </c>
      <c r="F313" s="20" t="n">
        <f aca="false">(F309+F311)*(1-F312)</f>
        <v>7.69850512797999</v>
      </c>
      <c r="G313" s="20" t="n">
        <f aca="false">(G309+G311)*(1-G312)</f>
        <v>8.43515909148373</v>
      </c>
    </row>
    <row r="314" customFormat="false" ht="15" hidden="false" customHeight="false" outlineLevel="0" collapsed="false">
      <c r="A314" s="5" t="s">
        <v>361</v>
      </c>
      <c r="B314" s="5" t="s">
        <v>147</v>
      </c>
      <c r="C314" s="16" t="n">
        <f aca="false">a25_sh</f>
        <v>1.2757</v>
      </c>
      <c r="D314" s="16" t="n">
        <f aca="false">a26_sh</f>
        <v>1.27595</v>
      </c>
      <c r="E314" s="16" t="n">
        <f aca="false">D314*(1+sh_g)</f>
        <v>1.27595</v>
      </c>
      <c r="F314" s="16" t="n">
        <f aca="false">E314*(1+sh_g)</f>
        <v>1.27595</v>
      </c>
      <c r="G314" s="16" t="n">
        <f aca="false">F314*(1+sh_g)</f>
        <v>1.27595</v>
      </c>
    </row>
    <row r="315" customFormat="false" ht="17.15" hidden="false" customHeight="false" outlineLevel="0" collapsed="false">
      <c r="A315" s="0" t="s">
        <v>334</v>
      </c>
      <c r="B315" s="0" t="s">
        <v>182</v>
      </c>
      <c r="C315" s="20" t="n">
        <f aca="false">C313/C314</f>
        <v>2.9834600611429</v>
      </c>
      <c r="D315" s="20" t="n">
        <f aca="false">D313/D314</f>
        <v>4.0949151612524</v>
      </c>
      <c r="E315" s="20" t="n">
        <f aca="false">E313/E314</f>
        <v>5.50414440613021</v>
      </c>
      <c r="F315" s="20" t="n">
        <f aca="false">F313/F314</f>
        <v>6.03354765310552</v>
      </c>
      <c r="G315" s="20" t="n">
        <f aca="false">G313/G314</f>
        <v>6.61088529447371</v>
      </c>
    </row>
    <row r="316" customFormat="false" ht="17.15" hidden="false" customHeight="false" outlineLevel="0" collapsed="false">
      <c r="A316" s="0" t="s">
        <v>362</v>
      </c>
      <c r="B316" s="0" t="s">
        <v>74</v>
      </c>
      <c r="D316" s="15" t="n">
        <f aca="false">D315/C315-1</f>
        <v>0.372538957227979</v>
      </c>
      <c r="E316" s="15" t="n">
        <f aca="false">E315/D315-1</f>
        <v>0.344141255528921</v>
      </c>
      <c r="F316" s="15" t="n">
        <f aca="false">F315/E315-1</f>
        <v>0.0961826594494304</v>
      </c>
      <c r="G316" s="15" t="n">
        <f aca="false">G315/F315-1</f>
        <v>0.0956879226885741</v>
      </c>
    </row>
    <row r="319" customFormat="false" ht="17.15" hidden="false" customHeight="false" outlineLevel="0" collapsed="false">
      <c r="A319" s="3" t="s">
        <v>658</v>
      </c>
    </row>
    <row r="320" customFormat="false" ht="17.15" hidden="false" customHeight="false" outlineLevel="0" collapsed="false">
      <c r="A320" s="6" t="s">
        <v>18</v>
      </c>
      <c r="B320" s="6" t="s">
        <v>19</v>
      </c>
      <c r="C320" s="12" t="s">
        <v>254</v>
      </c>
      <c r="D320" s="12" t="s">
        <v>324</v>
      </c>
      <c r="E320" s="12" t="s">
        <v>325</v>
      </c>
      <c r="F320" s="12" t="s">
        <v>326</v>
      </c>
      <c r="G320" s="12" t="s">
        <v>327</v>
      </c>
      <c r="H320" s="6" t="s">
        <v>306</v>
      </c>
    </row>
    <row r="321" customFormat="false" ht="17.15" hidden="false" customHeight="false" outlineLevel="0" collapsed="false">
      <c r="A321" s="1" t="s">
        <v>343</v>
      </c>
    </row>
    <row r="322" customFormat="false" ht="17.15" hidden="false" customHeight="false" outlineLevel="0" collapsed="false">
      <c r="A322" s="0" t="s">
        <v>344</v>
      </c>
      <c r="B322" s="0" t="s">
        <v>29</v>
      </c>
      <c r="D322" s="20" t="n">
        <f aca="false">mkt_26*1</f>
        <v>32.0719</v>
      </c>
      <c r="E322" s="20" t="n">
        <f aca="false">mkt_27*1*1</f>
        <v>61.085</v>
      </c>
      <c r="F322" s="20" t="n">
        <f aca="false">mkt_28*um28_A*1</f>
        <v>69.005</v>
      </c>
      <c r="G322" s="20" t="n">
        <f aca="false">mkt_29*um29_A*1</f>
        <v>78.48215</v>
      </c>
    </row>
    <row r="323" customFormat="false" ht="15" hidden="false" customHeight="false" outlineLevel="0" collapsed="false">
      <c r="A323" s="5" t="s">
        <v>309</v>
      </c>
      <c r="B323" s="0" t="s">
        <v>74</v>
      </c>
      <c r="D323" s="15" t="n">
        <f aca="false">eth_26</f>
        <v>0.75</v>
      </c>
      <c r="E323" s="15" t="n">
        <f aca="false">eth_27</f>
        <v>0.8</v>
      </c>
      <c r="F323" s="15" t="n">
        <f aca="false">eth_28</f>
        <v>0.83</v>
      </c>
      <c r="G323" s="15" t="n">
        <f aca="false">eth_29</f>
        <v>0.85</v>
      </c>
    </row>
    <row r="324" customFormat="false" ht="17.15" hidden="false" customHeight="false" outlineLevel="0" collapsed="false">
      <c r="A324" s="0" t="s">
        <v>311</v>
      </c>
      <c r="B324" s="0" t="s">
        <v>29</v>
      </c>
      <c r="D324" s="20" t="n">
        <f aca="false">D322*D323</f>
        <v>24.053925</v>
      </c>
      <c r="E324" s="20" t="n">
        <f aca="false">E322*E323</f>
        <v>48.868</v>
      </c>
      <c r="F324" s="20" t="n">
        <f aca="false">F322*F323</f>
        <v>57.27415</v>
      </c>
      <c r="G324" s="20" t="n">
        <f aca="false">G322*G323</f>
        <v>66.7098275</v>
      </c>
    </row>
    <row r="325" customFormat="false" ht="17.15" hidden="false" customHeight="false" outlineLevel="0" collapsed="false">
      <c r="A325" s="0" t="s">
        <v>345</v>
      </c>
      <c r="B325" s="0" t="s">
        <v>74</v>
      </c>
      <c r="D325" s="15" t="n">
        <f aca="false">a26_ai/D324</f>
        <v>0.14550639864388</v>
      </c>
      <c r="H325" s="8" t="s">
        <v>346</v>
      </c>
    </row>
    <row r="326" customFormat="false" ht="17.15" hidden="false" customHeight="false" outlineLevel="0" collapsed="false">
      <c r="A326" s="5" t="s">
        <v>347</v>
      </c>
      <c r="B326" s="0" t="s">
        <v>52</v>
      </c>
      <c r="D326" s="18" t="n">
        <f aca="false">1</f>
        <v>1</v>
      </c>
      <c r="E326" s="18" t="n">
        <f aca="false">rel_27</f>
        <v>0.95</v>
      </c>
      <c r="F326" s="18" t="n">
        <f aca="false">rel_28</f>
        <v>0.9</v>
      </c>
      <c r="G326" s="18" t="n">
        <f aca="false">rel_29</f>
        <v>0.88</v>
      </c>
    </row>
    <row r="327" customFormat="false" ht="17.15" hidden="false" customHeight="false" outlineLevel="0" collapsed="false">
      <c r="A327" s="0" t="s">
        <v>348</v>
      </c>
      <c r="B327" s="0" t="s">
        <v>74</v>
      </c>
      <c r="D327" s="15" t="n">
        <f aca="false">$D$325*D326</f>
        <v>0.14550639864388</v>
      </c>
      <c r="E327" s="15" t="n">
        <f aca="false">$D$325*E326</f>
        <v>0.138231078711686</v>
      </c>
      <c r="F327" s="15" t="n">
        <f aca="false">$D$325*F326</f>
        <v>0.130955758779492</v>
      </c>
      <c r="G327" s="15" t="n">
        <f aca="false">$D$325*G326</f>
        <v>0.128045630806615</v>
      </c>
    </row>
    <row r="328" customFormat="false" ht="17.15" hidden="false" customHeight="false" outlineLevel="0" collapsed="false">
      <c r="A328" s="0" t="s">
        <v>287</v>
      </c>
      <c r="B328" s="0" t="s">
        <v>29</v>
      </c>
      <c r="C328" s="20" t="n">
        <f aca="false">a25_ai</f>
        <v>1.63</v>
      </c>
      <c r="D328" s="20" t="n">
        <f aca="false">D324*D327</f>
        <v>3.5</v>
      </c>
      <c r="E328" s="20" t="n">
        <f aca="false">E324*E327</f>
        <v>6.75507635448269</v>
      </c>
      <c r="F328" s="20" t="n">
        <f aca="false">F324*F327</f>
        <v>7.50037977170046</v>
      </c>
      <c r="G328" s="20" t="n">
        <f aca="false">G324*G327</f>
        <v>8.54190194323796</v>
      </c>
    </row>
    <row r="329" customFormat="false" ht="17.15" hidden="false" customHeight="false" outlineLevel="0" collapsed="false">
      <c r="A329" s="1" t="s">
        <v>349</v>
      </c>
    </row>
    <row r="330" customFormat="false" ht="17.15" hidden="false" customHeight="false" outlineLevel="0" collapsed="false">
      <c r="A330" s="5" t="s">
        <v>350</v>
      </c>
      <c r="B330" s="0" t="s">
        <v>29</v>
      </c>
      <c r="C330" s="20" t="n">
        <f aca="false">a25_nai</f>
        <v>7.3757</v>
      </c>
      <c r="D330" s="20" t="n">
        <f aca="false">a26_nai</f>
        <v>9.1</v>
      </c>
      <c r="E330" s="20" t="n">
        <f aca="false">D330*(1+g_nai27)</f>
        <v>10.01</v>
      </c>
      <c r="F330" s="20" t="n">
        <f aca="false">E330*(1+g_nai28)</f>
        <v>10.8108</v>
      </c>
      <c r="G330" s="20" t="n">
        <f aca="false">F330*(1+g_nai29)</f>
        <v>11.459448</v>
      </c>
    </row>
    <row r="331" customFormat="false" ht="15" hidden="false" customHeight="false" outlineLevel="0" collapsed="false">
      <c r="A331" s="5" t="s">
        <v>261</v>
      </c>
      <c r="B331" s="0" t="s">
        <v>29</v>
      </c>
      <c r="C331" s="20" t="n">
        <f aca="false">a25_rev</f>
        <v>9.0057</v>
      </c>
      <c r="D331" s="20" t="n">
        <f aca="false">D328+D330</f>
        <v>12.6</v>
      </c>
      <c r="E331" s="20" t="n">
        <f aca="false">E328+E330</f>
        <v>16.7650763544827</v>
      </c>
      <c r="F331" s="20" t="n">
        <f aca="false">F328+F330</f>
        <v>18.3111797717005</v>
      </c>
      <c r="G331" s="20" t="n">
        <f aca="false">G328+G330</f>
        <v>20.001349943238</v>
      </c>
    </row>
    <row r="332" customFormat="false" ht="15" hidden="false" customHeight="false" outlineLevel="0" collapsed="false">
      <c r="A332" s="5" t="s">
        <v>351</v>
      </c>
      <c r="B332" s="0" t="s">
        <v>74</v>
      </c>
      <c r="D332" s="15" t="n">
        <f aca="false">D331/C331-1</f>
        <v>0.399113894533462</v>
      </c>
      <c r="E332" s="15" t="n">
        <f aca="false">E331/D331-1</f>
        <v>0.330561615435134</v>
      </c>
      <c r="F332" s="15" t="n">
        <f aca="false">F331/E331-1</f>
        <v>0.0922216746602751</v>
      </c>
      <c r="G332" s="15" t="n">
        <f aca="false">G331/F331-1</f>
        <v>0.092302636564664</v>
      </c>
    </row>
    <row r="333" customFormat="false" ht="17.15" hidden="false" customHeight="false" outlineLevel="0" collapsed="false">
      <c r="A333" s="0" t="s">
        <v>292</v>
      </c>
      <c r="B333" s="0" t="s">
        <v>74</v>
      </c>
      <c r="C333" s="15" t="n">
        <f aca="false">C328/C331</f>
        <v>0.180996480007107</v>
      </c>
      <c r="D333" s="15" t="n">
        <f aca="false">D328/D331</f>
        <v>0.277777777777778</v>
      </c>
      <c r="E333" s="15" t="n">
        <f aca="false">E328/E331</f>
        <v>0.402925475056157</v>
      </c>
      <c r="F333" s="15" t="n">
        <f aca="false">F328/F331</f>
        <v>0.409606582711407</v>
      </c>
      <c r="G333" s="15" t="n">
        <f aca="false">G328/G331</f>
        <v>0.427066271400636</v>
      </c>
    </row>
    <row r="334" customFormat="false" ht="17.15" hidden="false" customHeight="false" outlineLevel="0" collapsed="false">
      <c r="A334" s="1" t="s">
        <v>352</v>
      </c>
    </row>
    <row r="335" customFormat="false" ht="17.15" hidden="false" customHeight="false" outlineLevel="0" collapsed="false">
      <c r="A335" s="5" t="s">
        <v>353</v>
      </c>
      <c r="B335" s="0" t="s">
        <v>74</v>
      </c>
      <c r="D335" s="15" t="n">
        <f aca="false">a26_gp/a26_rev+d_ai_hi*D333</f>
        <v>0.657777777777778</v>
      </c>
      <c r="H335" s="8" t="s">
        <v>354</v>
      </c>
    </row>
    <row r="336" customFormat="false" ht="15" hidden="false" customHeight="false" outlineLevel="0" collapsed="false">
      <c r="A336" s="5" t="s">
        <v>355</v>
      </c>
      <c r="B336" s="0" t="s">
        <v>29</v>
      </c>
      <c r="C336" s="20" t="n">
        <f aca="false">a25_gp</f>
        <v>5.8154</v>
      </c>
      <c r="D336" s="20" t="n">
        <f aca="false">a26_gp</f>
        <v>7.938</v>
      </c>
      <c r="E336" s="20" t="n">
        <f aca="false">$D$335*E330+($D$335-d_ai_hi)*E328</f>
        <v>10.3521870332781</v>
      </c>
      <c r="F336" s="20" t="n">
        <f aca="false">$D$335*F330+($D$335-d_ai_hi)*F328</f>
        <v>11.2946491615485</v>
      </c>
      <c r="G336" s="20" t="n">
        <f aca="false">$D$335*G330+($D$335-d_ai_hi)*G328</f>
        <v>12.302253323895</v>
      </c>
    </row>
    <row r="337" customFormat="false" ht="15" hidden="false" customHeight="false" outlineLevel="0" collapsed="false">
      <c r="A337" s="5" t="s">
        <v>267</v>
      </c>
      <c r="B337" s="0" t="s">
        <v>74</v>
      </c>
      <c r="C337" s="15" t="n">
        <f aca="false">C336/C331</f>
        <v>0.645746582719833</v>
      </c>
      <c r="D337" s="15" t="n">
        <f aca="false">D336/D331</f>
        <v>0.63</v>
      </c>
      <c r="E337" s="15" t="n">
        <f aca="false">E336/E331</f>
        <v>0.617485230272162</v>
      </c>
      <c r="F337" s="15" t="n">
        <f aca="false">F336/F331</f>
        <v>0.616817119506637</v>
      </c>
      <c r="G337" s="15" t="n">
        <f aca="false">G336/G331</f>
        <v>0.615071150637714</v>
      </c>
    </row>
    <row r="338" customFormat="false" ht="15" hidden="false" customHeight="false" outlineLevel="0" collapsed="false">
      <c r="A338" s="5" t="s">
        <v>356</v>
      </c>
      <c r="B338" s="0" t="s">
        <v>29</v>
      </c>
      <c r="C338" s="20" t="n">
        <f aca="false">a25_opx</f>
        <v>1.4784</v>
      </c>
      <c r="D338" s="20" t="n">
        <f aca="false">a26_opx</f>
        <v>1.827</v>
      </c>
      <c r="E338" s="20" t="n">
        <f aca="false">D338*(1+MAX(0,phi*E332))</f>
        <v>2.15916483926999</v>
      </c>
      <c r="F338" s="20" t="n">
        <f aca="false">E338*(1+MAX(0,phi*F332))</f>
        <v>2.26868182780978</v>
      </c>
      <c r="G338" s="20" t="n">
        <f aca="false">F338*(1+MAX(0,phi*G332))</f>
        <v>2.38385475063803</v>
      </c>
    </row>
    <row r="339" customFormat="false" ht="15" hidden="false" customHeight="false" outlineLevel="0" collapsed="false">
      <c r="A339" s="5" t="s">
        <v>357</v>
      </c>
      <c r="B339" s="0" t="s">
        <v>29</v>
      </c>
      <c r="C339" s="20" t="n">
        <f aca="false">C338</f>
        <v>1.4784</v>
      </c>
      <c r="D339" s="20" t="n">
        <f aca="false">D338</f>
        <v>1.827</v>
      </c>
      <c r="E339" s="20" t="n">
        <f aca="false">E338+0*E331</f>
        <v>2.15916483926999</v>
      </c>
      <c r="F339" s="20" t="n">
        <f aca="false">F338+0*F331</f>
        <v>2.26868182780978</v>
      </c>
      <c r="G339" s="20" t="n">
        <f aca="false">G338+0*G331</f>
        <v>2.38385475063803</v>
      </c>
    </row>
    <row r="340" customFormat="false" ht="15" hidden="false" customHeight="false" outlineLevel="0" collapsed="false">
      <c r="A340" s="5" t="s">
        <v>358</v>
      </c>
      <c r="B340" s="0" t="s">
        <v>29</v>
      </c>
      <c r="C340" s="20" t="n">
        <f aca="false">C336-C339</f>
        <v>4.337</v>
      </c>
      <c r="D340" s="20" t="n">
        <f aca="false">D336-D339</f>
        <v>6.111</v>
      </c>
      <c r="E340" s="20" t="n">
        <f aca="false">E336-E339</f>
        <v>8.19302219400813</v>
      </c>
      <c r="F340" s="20" t="n">
        <f aca="false">F336-F339</f>
        <v>9.0259673337387</v>
      </c>
      <c r="G340" s="20" t="n">
        <f aca="false">G336-G339</f>
        <v>9.91839857325692</v>
      </c>
    </row>
    <row r="341" customFormat="false" ht="15" hidden="false" customHeight="false" outlineLevel="0" collapsed="false">
      <c r="A341" s="5" t="s">
        <v>272</v>
      </c>
      <c r="B341" s="0" t="s">
        <v>74</v>
      </c>
      <c r="C341" s="15" t="n">
        <f aca="false">C340/C331</f>
        <v>0.48158388576124</v>
      </c>
      <c r="D341" s="15" t="n">
        <f aca="false">D340/D331</f>
        <v>0.485</v>
      </c>
      <c r="E341" s="15" t="n">
        <f aca="false">E340/E331</f>
        <v>0.48869578764653</v>
      </c>
      <c r="F341" s="15" t="n">
        <f aca="false">F340/F331</f>
        <v>0.492921125032487</v>
      </c>
      <c r="G341" s="15" t="n">
        <f aca="false">G340/G331</f>
        <v>0.495886457734325</v>
      </c>
    </row>
    <row r="342" customFormat="false" ht="15" hidden="false" customHeight="false" outlineLevel="0" collapsed="false">
      <c r="A342" s="5" t="s">
        <v>359</v>
      </c>
      <c r="B342" s="0" t="s">
        <v>29</v>
      </c>
      <c r="C342" s="20" t="n">
        <f aca="false">a25_oth</f>
        <v>0.3936</v>
      </c>
      <c r="D342" s="20" t="n">
        <f aca="false">a26_oth</f>
        <v>0.4999</v>
      </c>
      <c r="E342" s="20" t="n">
        <f aca="false">oth_f</f>
        <v>0.55</v>
      </c>
      <c r="F342" s="20" t="n">
        <f aca="false">oth_f</f>
        <v>0.55</v>
      </c>
      <c r="G342" s="20" t="n">
        <f aca="false">oth_f</f>
        <v>0.55</v>
      </c>
    </row>
    <row r="343" customFormat="false" ht="15" hidden="false" customHeight="false" outlineLevel="0" collapsed="false">
      <c r="A343" s="5" t="s">
        <v>360</v>
      </c>
      <c r="B343" s="0" t="s">
        <v>74</v>
      </c>
      <c r="C343" s="15" t="n">
        <f aca="false">1-a25_ni/(a25_oi+a25_oth)</f>
        <v>0.195450894178328</v>
      </c>
      <c r="D343" s="15" t="n">
        <f aca="false">1-a26_ni/(a26_oi+a26_oth)</f>
        <v>0.209652694791935</v>
      </c>
      <c r="E343" s="15" t="n">
        <f aca="false">tx_f</f>
        <v>0.21</v>
      </c>
      <c r="F343" s="15" t="n">
        <f aca="false">tx_f</f>
        <v>0.21</v>
      </c>
      <c r="G343" s="15" t="n">
        <f aca="false">tx_f</f>
        <v>0.21</v>
      </c>
    </row>
    <row r="344" customFormat="false" ht="17.15" hidden="false" customHeight="false" outlineLevel="0" collapsed="false">
      <c r="A344" s="5" t="s">
        <v>333</v>
      </c>
      <c r="B344" s="0" t="s">
        <v>29</v>
      </c>
      <c r="C344" s="20" t="n">
        <f aca="false">a25_ni</f>
        <v>3.806</v>
      </c>
      <c r="D344" s="20" t="n">
        <f aca="false">a26_ni</f>
        <v>5.224907</v>
      </c>
      <c r="E344" s="20" t="n">
        <f aca="false">(E340+E342)*(1-E343)</f>
        <v>6.90698753326642</v>
      </c>
      <c r="F344" s="20" t="n">
        <f aca="false">(F340+F342)*(1-F343)</f>
        <v>7.56501419365358</v>
      </c>
      <c r="G344" s="20" t="n">
        <f aca="false">(G340+G342)*(1-G343)</f>
        <v>8.27003487287297</v>
      </c>
    </row>
    <row r="345" customFormat="false" ht="15" hidden="false" customHeight="false" outlineLevel="0" collapsed="false">
      <c r="A345" s="5" t="s">
        <v>361</v>
      </c>
      <c r="B345" s="5" t="s">
        <v>147</v>
      </c>
      <c r="C345" s="16" t="n">
        <f aca="false">a25_sh</f>
        <v>1.2757</v>
      </c>
      <c r="D345" s="16" t="n">
        <f aca="false">a26_sh</f>
        <v>1.27595</v>
      </c>
      <c r="E345" s="16" t="n">
        <f aca="false">D345*(1+sh_g)</f>
        <v>1.27595</v>
      </c>
      <c r="F345" s="16" t="n">
        <f aca="false">E345*(1+sh_g)</f>
        <v>1.27595</v>
      </c>
      <c r="G345" s="16" t="n">
        <f aca="false">F345*(1+sh_g)</f>
        <v>1.27595</v>
      </c>
    </row>
    <row r="346" customFormat="false" ht="17.15" hidden="false" customHeight="false" outlineLevel="0" collapsed="false">
      <c r="A346" s="0" t="s">
        <v>334</v>
      </c>
      <c r="B346" s="0" t="s">
        <v>182</v>
      </c>
      <c r="C346" s="20" t="n">
        <f aca="false">C344/C345</f>
        <v>2.9834600611429</v>
      </c>
      <c r="D346" s="20" t="n">
        <f aca="false">D344/D345</f>
        <v>4.0949151612524</v>
      </c>
      <c r="E346" s="20" t="n">
        <f aca="false">E344/E345</f>
        <v>5.41321175066925</v>
      </c>
      <c r="F346" s="20" t="n">
        <f aca="false">F344/F345</f>
        <v>5.92892683385209</v>
      </c>
      <c r="G346" s="20" t="n">
        <f aca="false">G344/G345</f>
        <v>6.48147252860454</v>
      </c>
    </row>
    <row r="347" customFormat="false" ht="17.15" hidden="false" customHeight="false" outlineLevel="0" collapsed="false">
      <c r="A347" s="0" t="s">
        <v>362</v>
      </c>
      <c r="B347" s="0" t="s">
        <v>74</v>
      </c>
      <c r="D347" s="15" t="n">
        <f aca="false">D346/C346-1</f>
        <v>0.372538957227979</v>
      </c>
      <c r="E347" s="15" t="n">
        <f aca="false">E346/D346-1</f>
        <v>0.321935018798693</v>
      </c>
      <c r="F347" s="15" t="n">
        <f aca="false">F346/E346-1</f>
        <v>0.0952697043708084</v>
      </c>
      <c r="G347" s="15" t="n">
        <f aca="false">G346/F346-1</f>
        <v>0.0931948917968781</v>
      </c>
    </row>
    <row r="350" customFormat="false" ht="17.15" hidden="false" customHeight="false" outlineLevel="0" collapsed="false">
      <c r="A350" s="3" t="s">
        <v>659</v>
      </c>
    </row>
    <row r="351" customFormat="false" ht="17.15" hidden="false" customHeight="false" outlineLevel="0" collapsed="false">
      <c r="A351" s="6" t="s">
        <v>18</v>
      </c>
      <c r="B351" s="6" t="s">
        <v>19</v>
      </c>
      <c r="C351" s="12" t="s">
        <v>254</v>
      </c>
      <c r="D351" s="12" t="s">
        <v>324</v>
      </c>
      <c r="E351" s="12" t="s">
        <v>325</v>
      </c>
      <c r="F351" s="12" t="s">
        <v>326</v>
      </c>
      <c r="G351" s="12" t="s">
        <v>327</v>
      </c>
      <c r="H351" s="6" t="s">
        <v>306</v>
      </c>
    </row>
    <row r="352" customFormat="false" ht="17.15" hidden="false" customHeight="false" outlineLevel="0" collapsed="false">
      <c r="A352" s="1" t="s">
        <v>343</v>
      </c>
    </row>
    <row r="353" customFormat="false" ht="17.15" hidden="false" customHeight="false" outlineLevel="0" collapsed="false">
      <c r="A353" s="0" t="s">
        <v>344</v>
      </c>
      <c r="B353" s="0" t="s">
        <v>29</v>
      </c>
      <c r="D353" s="20" t="n">
        <f aca="false">mkt_26*1</f>
        <v>32.0719</v>
      </c>
      <c r="E353" s="20" t="n">
        <f aca="false">mkt_27*1*1</f>
        <v>61.085</v>
      </c>
      <c r="F353" s="20" t="n">
        <f aca="false">mkt_28*um28_A*1</f>
        <v>69.005</v>
      </c>
      <c r="G353" s="20" t="n">
        <f aca="false">mkt_29*um29_A*1</f>
        <v>78.48215</v>
      </c>
    </row>
    <row r="354" customFormat="false" ht="15" hidden="false" customHeight="false" outlineLevel="0" collapsed="false">
      <c r="A354" s="5" t="s">
        <v>309</v>
      </c>
      <c r="B354" s="0" t="s">
        <v>74</v>
      </c>
      <c r="D354" s="15" t="n">
        <f aca="false">eth_26</f>
        <v>0.75</v>
      </c>
      <c r="E354" s="15" t="n">
        <f aca="false">eth_27</f>
        <v>0.8</v>
      </c>
      <c r="F354" s="15" t="n">
        <f aca="false">eth_28</f>
        <v>0.83</v>
      </c>
      <c r="G354" s="15" t="n">
        <f aca="false">eth_29</f>
        <v>0.85</v>
      </c>
    </row>
    <row r="355" customFormat="false" ht="17.15" hidden="false" customHeight="false" outlineLevel="0" collapsed="false">
      <c r="A355" s="0" t="s">
        <v>311</v>
      </c>
      <c r="B355" s="0" t="s">
        <v>29</v>
      </c>
      <c r="D355" s="20" t="n">
        <f aca="false">D353*D354</f>
        <v>24.053925</v>
      </c>
      <c r="E355" s="20" t="n">
        <f aca="false">E353*E354</f>
        <v>48.868</v>
      </c>
      <c r="F355" s="20" t="n">
        <f aca="false">F353*F354</f>
        <v>57.27415</v>
      </c>
      <c r="G355" s="20" t="n">
        <f aca="false">G353*G354</f>
        <v>66.7098275</v>
      </c>
    </row>
    <row r="356" customFormat="false" ht="17.15" hidden="false" customHeight="false" outlineLevel="0" collapsed="false">
      <c r="A356" s="0" t="s">
        <v>345</v>
      </c>
      <c r="B356" s="0" t="s">
        <v>74</v>
      </c>
      <c r="D356" s="15" t="n">
        <f aca="false">a26_ai/D355</f>
        <v>0.14550639864388</v>
      </c>
      <c r="H356" s="8" t="s">
        <v>346</v>
      </c>
    </row>
    <row r="357" customFormat="false" ht="17.15" hidden="false" customHeight="false" outlineLevel="0" collapsed="false">
      <c r="A357" s="5" t="s">
        <v>347</v>
      </c>
      <c r="B357" s="0" t="s">
        <v>52</v>
      </c>
      <c r="D357" s="18" t="n">
        <f aca="false">1</f>
        <v>1</v>
      </c>
      <c r="E357" s="18" t="n">
        <f aca="false">rel_27</f>
        <v>0.95</v>
      </c>
      <c r="F357" s="18" t="n">
        <f aca="false">rel_28</f>
        <v>0.9</v>
      </c>
      <c r="G357" s="18" t="n">
        <f aca="false">rel_29</f>
        <v>0.88</v>
      </c>
    </row>
    <row r="358" customFormat="false" ht="17.15" hidden="false" customHeight="false" outlineLevel="0" collapsed="false">
      <c r="A358" s="0" t="s">
        <v>348</v>
      </c>
      <c r="B358" s="0" t="s">
        <v>74</v>
      </c>
      <c r="D358" s="15" t="n">
        <f aca="false">$D$356*D357</f>
        <v>0.14550639864388</v>
      </c>
      <c r="E358" s="15" t="n">
        <f aca="false">$D$356*E357</f>
        <v>0.138231078711686</v>
      </c>
      <c r="F358" s="15" t="n">
        <f aca="false">$D$356*F357</f>
        <v>0.130955758779492</v>
      </c>
      <c r="G358" s="15" t="n">
        <f aca="false">$D$356*G357</f>
        <v>0.128045630806615</v>
      </c>
    </row>
    <row r="359" customFormat="false" ht="17.15" hidden="false" customHeight="false" outlineLevel="0" collapsed="false">
      <c r="A359" s="0" t="s">
        <v>287</v>
      </c>
      <c r="B359" s="0" t="s">
        <v>29</v>
      </c>
      <c r="C359" s="20" t="n">
        <f aca="false">a25_ai</f>
        <v>1.63</v>
      </c>
      <c r="D359" s="20" t="n">
        <f aca="false">D355*D358</f>
        <v>3.5</v>
      </c>
      <c r="E359" s="20" t="n">
        <f aca="false">E355*E358</f>
        <v>6.75507635448269</v>
      </c>
      <c r="F359" s="20" t="n">
        <f aca="false">F355*F358</f>
        <v>7.50037977170046</v>
      </c>
      <c r="G359" s="20" t="n">
        <f aca="false">G355*G358</f>
        <v>8.54190194323796</v>
      </c>
    </row>
    <row r="360" customFormat="false" ht="17.15" hidden="false" customHeight="false" outlineLevel="0" collapsed="false">
      <c r="A360" s="1" t="s">
        <v>349</v>
      </c>
    </row>
    <row r="361" customFormat="false" ht="17.15" hidden="false" customHeight="false" outlineLevel="0" collapsed="false">
      <c r="A361" s="5" t="s">
        <v>350</v>
      </c>
      <c r="B361" s="0" t="s">
        <v>29</v>
      </c>
      <c r="C361" s="20" t="n">
        <f aca="false">a25_nai</f>
        <v>7.3757</v>
      </c>
      <c r="D361" s="20" t="n">
        <f aca="false">a26_nai</f>
        <v>9.1</v>
      </c>
      <c r="E361" s="20" t="n">
        <f aca="false">D361*(1+g_nai27)</f>
        <v>10.01</v>
      </c>
      <c r="F361" s="20" t="n">
        <f aca="false">E361*(1+g_nai28)</f>
        <v>10.8108</v>
      </c>
      <c r="G361" s="20" t="n">
        <f aca="false">F361*(1+g_nai29)</f>
        <v>11.459448</v>
      </c>
    </row>
    <row r="362" customFormat="false" ht="15" hidden="false" customHeight="false" outlineLevel="0" collapsed="false">
      <c r="A362" s="5" t="s">
        <v>261</v>
      </c>
      <c r="B362" s="0" t="s">
        <v>29</v>
      </c>
      <c r="C362" s="20" t="n">
        <f aca="false">a25_rev</f>
        <v>9.0057</v>
      </c>
      <c r="D362" s="20" t="n">
        <f aca="false">D359+D361</f>
        <v>12.6</v>
      </c>
      <c r="E362" s="20" t="n">
        <f aca="false">E359+E361</f>
        <v>16.7650763544827</v>
      </c>
      <c r="F362" s="20" t="n">
        <f aca="false">F359+F361</f>
        <v>18.3111797717005</v>
      </c>
      <c r="G362" s="20" t="n">
        <f aca="false">G359+G361</f>
        <v>20.001349943238</v>
      </c>
    </row>
    <row r="363" customFormat="false" ht="15" hidden="false" customHeight="false" outlineLevel="0" collapsed="false">
      <c r="A363" s="5" t="s">
        <v>351</v>
      </c>
      <c r="B363" s="0" t="s">
        <v>74</v>
      </c>
      <c r="D363" s="15" t="n">
        <f aca="false">D362/C362-1</f>
        <v>0.399113894533462</v>
      </c>
      <c r="E363" s="15" t="n">
        <f aca="false">E362/D362-1</f>
        <v>0.330561615435134</v>
      </c>
      <c r="F363" s="15" t="n">
        <f aca="false">F362/E362-1</f>
        <v>0.0922216746602751</v>
      </c>
      <c r="G363" s="15" t="n">
        <f aca="false">G362/F362-1</f>
        <v>0.092302636564664</v>
      </c>
    </row>
    <row r="364" customFormat="false" ht="17.15" hidden="false" customHeight="false" outlineLevel="0" collapsed="false">
      <c r="A364" s="0" t="s">
        <v>292</v>
      </c>
      <c r="B364" s="0" t="s">
        <v>74</v>
      </c>
      <c r="C364" s="15" t="n">
        <f aca="false">C359/C362</f>
        <v>0.180996480007107</v>
      </c>
      <c r="D364" s="15" t="n">
        <f aca="false">D359/D362</f>
        <v>0.277777777777778</v>
      </c>
      <c r="E364" s="15" t="n">
        <f aca="false">E359/E362</f>
        <v>0.402925475056157</v>
      </c>
      <c r="F364" s="15" t="n">
        <f aca="false">F359/F362</f>
        <v>0.409606582711407</v>
      </c>
      <c r="G364" s="15" t="n">
        <f aca="false">G359/G362</f>
        <v>0.427066271400636</v>
      </c>
    </row>
    <row r="365" customFormat="false" ht="17.15" hidden="false" customHeight="false" outlineLevel="0" collapsed="false">
      <c r="A365" s="1" t="s">
        <v>352</v>
      </c>
    </row>
    <row r="366" customFormat="false" ht="17.15" hidden="false" customHeight="false" outlineLevel="0" collapsed="false">
      <c r="A366" s="5" t="s">
        <v>353</v>
      </c>
      <c r="B366" s="0" t="s">
        <v>74</v>
      </c>
      <c r="D366" s="15" t="n">
        <f aca="false">a26_gp/a26_rev+d_ai*D364</f>
        <v>0.646666666666667</v>
      </c>
      <c r="H366" s="8" t="s">
        <v>354</v>
      </c>
    </row>
    <row r="367" customFormat="false" ht="15" hidden="false" customHeight="false" outlineLevel="0" collapsed="false">
      <c r="A367" s="5" t="s">
        <v>355</v>
      </c>
      <c r="B367" s="0" t="s">
        <v>29</v>
      </c>
      <c r="C367" s="20" t="n">
        <f aca="false">a25_gp</f>
        <v>5.8154</v>
      </c>
      <c r="D367" s="20" t="n">
        <f aca="false">a26_gp</f>
        <v>7.938</v>
      </c>
      <c r="E367" s="20" t="n">
        <f aca="false">$D$366*E361+($D$366-d_ai)*E359</f>
        <v>10.4361114612965</v>
      </c>
      <c r="F367" s="20" t="n">
        <f aca="false">$D$366*F361+($D$366-d_ai)*F359</f>
        <v>11.3912067993976</v>
      </c>
      <c r="G367" s="20" t="n">
        <f aca="false">$D$366*G361+($D$366-d_ai)*G359</f>
        <v>12.4216921800329</v>
      </c>
    </row>
    <row r="368" customFormat="false" ht="15" hidden="false" customHeight="false" outlineLevel="0" collapsed="false">
      <c r="A368" s="5" t="s">
        <v>267</v>
      </c>
      <c r="B368" s="0" t="s">
        <v>74</v>
      </c>
      <c r="C368" s="15" t="n">
        <f aca="false">C367/C362</f>
        <v>0.645746582719833</v>
      </c>
      <c r="D368" s="15" t="n">
        <f aca="false">D367/D362</f>
        <v>0.63</v>
      </c>
      <c r="E368" s="15" t="n">
        <f aca="false">E367/E362</f>
        <v>0.622491138163297</v>
      </c>
      <c r="F368" s="15" t="n">
        <f aca="false">F367/F362</f>
        <v>0.622090271703982</v>
      </c>
      <c r="G368" s="15" t="n">
        <f aca="false">G367/G362</f>
        <v>0.621042690382629</v>
      </c>
    </row>
    <row r="369" customFormat="false" ht="15" hidden="false" customHeight="false" outlineLevel="0" collapsed="false">
      <c r="A369" s="5" t="s">
        <v>356</v>
      </c>
      <c r="B369" s="0" t="s">
        <v>29</v>
      </c>
      <c r="C369" s="20" t="n">
        <f aca="false">a25_opx</f>
        <v>1.4784</v>
      </c>
      <c r="D369" s="20" t="n">
        <f aca="false">a26_opx</f>
        <v>1.827</v>
      </c>
      <c r="E369" s="20" t="n">
        <f aca="false">D369*(1+MAX(0,phi*E363))</f>
        <v>2.15916483926999</v>
      </c>
      <c r="F369" s="20" t="n">
        <f aca="false">E369*(1+MAX(0,phi*F363))</f>
        <v>2.26868182780978</v>
      </c>
      <c r="G369" s="20" t="n">
        <f aca="false">F369*(1+MAX(0,phi*G363))</f>
        <v>2.38385475063803</v>
      </c>
    </row>
    <row r="370" customFormat="false" ht="15" hidden="false" customHeight="false" outlineLevel="0" collapsed="false">
      <c r="A370" s="5" t="s">
        <v>357</v>
      </c>
      <c r="B370" s="0" t="s">
        <v>29</v>
      </c>
      <c r="C370" s="20" t="n">
        <f aca="false">C369</f>
        <v>1.4784</v>
      </c>
      <c r="D370" s="20" t="n">
        <f aca="false">D369</f>
        <v>1.827</v>
      </c>
      <c r="E370" s="20" t="n">
        <f aca="false">E369+opx_adj_hi*E362</f>
        <v>2.49446636635965</v>
      </c>
      <c r="F370" s="20" t="n">
        <f aca="false">F369+opx_adj_hi*F362</f>
        <v>2.63490542324379</v>
      </c>
      <c r="G370" s="20" t="n">
        <f aca="false">G369+opx_adj_hi*G362</f>
        <v>2.78388174950279</v>
      </c>
    </row>
    <row r="371" customFormat="false" ht="15" hidden="false" customHeight="false" outlineLevel="0" collapsed="false">
      <c r="A371" s="5" t="s">
        <v>358</v>
      </c>
      <c r="B371" s="0" t="s">
        <v>29</v>
      </c>
      <c r="C371" s="20" t="n">
        <f aca="false">C367-C370</f>
        <v>4.337</v>
      </c>
      <c r="D371" s="20" t="n">
        <f aca="false">D367-D370</f>
        <v>6.111</v>
      </c>
      <c r="E371" s="20" t="n">
        <f aca="false">E367-E370</f>
        <v>7.94164509493687</v>
      </c>
      <c r="F371" s="20" t="n">
        <f aca="false">F367-F370</f>
        <v>8.75630137615382</v>
      </c>
      <c r="G371" s="20" t="n">
        <f aca="false">G367-G370</f>
        <v>9.63781043053015</v>
      </c>
    </row>
    <row r="372" customFormat="false" ht="15" hidden="false" customHeight="false" outlineLevel="0" collapsed="false">
      <c r="A372" s="5" t="s">
        <v>272</v>
      </c>
      <c r="B372" s="0" t="s">
        <v>74</v>
      </c>
      <c r="C372" s="15" t="n">
        <f aca="false">C371/C362</f>
        <v>0.48158388576124</v>
      </c>
      <c r="D372" s="15" t="n">
        <f aca="false">D371/D362</f>
        <v>0.485</v>
      </c>
      <c r="E372" s="15" t="n">
        <f aca="false">E371/E362</f>
        <v>0.473701695537665</v>
      </c>
      <c r="F372" s="15" t="n">
        <f aca="false">F371/F362</f>
        <v>0.478194277229832</v>
      </c>
      <c r="G372" s="15" t="n">
        <f aca="false">G371/G362</f>
        <v>0.48185799747924</v>
      </c>
    </row>
    <row r="373" customFormat="false" ht="15" hidden="false" customHeight="false" outlineLevel="0" collapsed="false">
      <c r="A373" s="5" t="s">
        <v>359</v>
      </c>
      <c r="B373" s="0" t="s">
        <v>29</v>
      </c>
      <c r="C373" s="20" t="n">
        <f aca="false">a25_oth</f>
        <v>0.3936</v>
      </c>
      <c r="D373" s="20" t="n">
        <f aca="false">a26_oth</f>
        <v>0.4999</v>
      </c>
      <c r="E373" s="20" t="n">
        <f aca="false">oth_f</f>
        <v>0.55</v>
      </c>
      <c r="F373" s="20" t="n">
        <f aca="false">oth_f</f>
        <v>0.55</v>
      </c>
      <c r="G373" s="20" t="n">
        <f aca="false">oth_f</f>
        <v>0.55</v>
      </c>
    </row>
    <row r="374" customFormat="false" ht="15" hidden="false" customHeight="false" outlineLevel="0" collapsed="false">
      <c r="A374" s="5" t="s">
        <v>360</v>
      </c>
      <c r="B374" s="0" t="s">
        <v>74</v>
      </c>
      <c r="C374" s="15" t="n">
        <f aca="false">1-a25_ni/(a25_oi+a25_oth)</f>
        <v>0.195450894178328</v>
      </c>
      <c r="D374" s="15" t="n">
        <f aca="false">1-a26_ni/(a26_oi+a26_oth)</f>
        <v>0.209652694791935</v>
      </c>
      <c r="E374" s="15" t="n">
        <f aca="false">tx_f</f>
        <v>0.21</v>
      </c>
      <c r="F374" s="15" t="n">
        <f aca="false">tx_f</f>
        <v>0.21</v>
      </c>
      <c r="G374" s="15" t="n">
        <f aca="false">tx_f</f>
        <v>0.21</v>
      </c>
    </row>
    <row r="375" customFormat="false" ht="17.15" hidden="false" customHeight="false" outlineLevel="0" collapsed="false">
      <c r="A375" s="5" t="s">
        <v>333</v>
      </c>
      <c r="B375" s="0" t="s">
        <v>29</v>
      </c>
      <c r="C375" s="20" t="n">
        <f aca="false">a25_ni</f>
        <v>3.806</v>
      </c>
      <c r="D375" s="20" t="n">
        <f aca="false">a26_ni</f>
        <v>5.224907</v>
      </c>
      <c r="E375" s="20" t="n">
        <f aca="false">(E371+E373)*(1-E374)</f>
        <v>6.70839962500012</v>
      </c>
      <c r="F375" s="20" t="n">
        <f aca="false">(F371+F373)*(1-F374)</f>
        <v>7.35197808716152</v>
      </c>
      <c r="G375" s="20" t="n">
        <f aca="false">(G371+G373)*(1-G374)</f>
        <v>8.04837024011882</v>
      </c>
    </row>
    <row r="376" customFormat="false" ht="15" hidden="false" customHeight="false" outlineLevel="0" collapsed="false">
      <c r="A376" s="5" t="s">
        <v>361</v>
      </c>
      <c r="B376" s="5" t="s">
        <v>147</v>
      </c>
      <c r="C376" s="16" t="n">
        <f aca="false">a25_sh</f>
        <v>1.2757</v>
      </c>
      <c r="D376" s="16" t="n">
        <f aca="false">a26_sh</f>
        <v>1.27595</v>
      </c>
      <c r="E376" s="16" t="n">
        <f aca="false">D376*(1+sh_g)</f>
        <v>1.27595</v>
      </c>
      <c r="F376" s="16" t="n">
        <f aca="false">E376*(1+sh_g)</f>
        <v>1.27595</v>
      </c>
      <c r="G376" s="16" t="n">
        <f aca="false">F376*(1+sh_g)</f>
        <v>1.27595</v>
      </c>
    </row>
    <row r="377" customFormat="false" ht="17.15" hidden="false" customHeight="false" outlineLevel="0" collapsed="false">
      <c r="A377" s="0" t="s">
        <v>334</v>
      </c>
      <c r="B377" s="0" t="s">
        <v>182</v>
      </c>
      <c r="C377" s="20" t="n">
        <f aca="false">C375/C376</f>
        <v>2.9834600611429</v>
      </c>
      <c r="D377" s="20" t="n">
        <f aca="false">D375/D376</f>
        <v>4.0949151612524</v>
      </c>
      <c r="E377" s="20" t="n">
        <f aca="false">E375/E376</f>
        <v>5.25757249500382</v>
      </c>
      <c r="F377" s="20" t="n">
        <f aca="false">F375/F376</f>
        <v>5.76196409511463</v>
      </c>
      <c r="G377" s="20" t="n">
        <f aca="false">G375/G376</f>
        <v>6.30774735696447</v>
      </c>
    </row>
    <row r="378" customFormat="false" ht="17.15" hidden="false" customHeight="false" outlineLevel="0" collapsed="false">
      <c r="A378" s="0" t="s">
        <v>362</v>
      </c>
      <c r="B378" s="0" t="s">
        <v>74</v>
      </c>
      <c r="D378" s="15" t="n">
        <f aca="false">D377/C377-1</f>
        <v>0.372538957227979</v>
      </c>
      <c r="E378" s="15" t="n">
        <f aca="false">E377/D377-1</f>
        <v>0.283927087123297</v>
      </c>
      <c r="F378" s="15" t="n">
        <f aca="false">F377/E377-1</f>
        <v>0.0959362140208486</v>
      </c>
      <c r="G378" s="15" t="n">
        <f aca="false">G377/F377-1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660</v>
      </c>
    </row>
    <row r="2" customFormat="false" ht="17.15" hidden="false" customHeight="false" outlineLevel="0" collapsed="false">
      <c r="A2" s="5" t="s">
        <v>661</v>
      </c>
      <c r="B2" s="0" t="s">
        <v>662</v>
      </c>
    </row>
    <row r="3" customFormat="false" ht="17.15" hidden="false" customHeight="false" outlineLevel="0" collapsed="false">
      <c r="A3" s="5" t="s">
        <v>663</v>
      </c>
      <c r="B3" s="0" t="s">
        <v>664</v>
      </c>
    </row>
    <row r="4" customFormat="false" ht="17.15" hidden="false" customHeight="false" outlineLevel="0" collapsed="false">
      <c r="A4" s="5" t="s">
        <v>665</v>
      </c>
      <c r="B4" s="0" t="s">
        <v>666</v>
      </c>
    </row>
    <row r="5" customFormat="false" ht="17.15" hidden="false" customHeight="false" outlineLevel="0" collapsed="false">
      <c r="A5" s="5" t="s">
        <v>667</v>
      </c>
      <c r="B5" s="0" t="s">
        <v>668</v>
      </c>
    </row>
    <row r="6" customFormat="false" ht="17.15" hidden="false" customHeight="false" outlineLevel="0" collapsed="false">
      <c r="A6" s="5" t="s">
        <v>669</v>
      </c>
      <c r="B6" s="0" t="s">
        <v>670</v>
      </c>
    </row>
    <row r="7" customFormat="false" ht="17.15" hidden="false" customHeight="false" outlineLevel="0" collapsed="false">
      <c r="A7" s="5" t="s">
        <v>671</v>
      </c>
      <c r="B7" s="0" t="s">
        <v>672</v>
      </c>
    </row>
    <row r="8" customFormat="false" ht="17.15" hidden="false" customHeight="false" outlineLevel="0" collapsed="false">
      <c r="A8" s="5" t="s">
        <v>673</v>
      </c>
      <c r="B8" s="0" t="s">
        <v>674</v>
      </c>
    </row>
    <row r="9" customFormat="false" ht="17.15" hidden="false" customHeight="false" outlineLevel="0" collapsed="false">
      <c r="A9" s="5" t="s">
        <v>675</v>
      </c>
      <c r="B9" s="0" t="s">
        <v>676</v>
      </c>
    </row>
    <row r="10" customFormat="false" ht="17.15" hidden="false" customHeight="false" outlineLevel="0" collapsed="false">
      <c r="A10" s="5" t="s">
        <v>677</v>
      </c>
      <c r="B10" s="0" t="s">
        <v>678</v>
      </c>
    </row>
    <row r="11" customFormat="false" ht="17.15" hidden="false" customHeight="false" outlineLevel="0" collapsed="false">
      <c r="A11" s="5" t="s">
        <v>679</v>
      </c>
      <c r="B11" s="0" t="s">
        <v>680</v>
      </c>
    </row>
    <row r="12" customFormat="false" ht="17.15" hidden="false" customHeight="false" outlineLevel="0" collapsed="false">
      <c r="A12" s="5" t="s">
        <v>681</v>
      </c>
      <c r="B12" s="0" t="s">
        <v>682</v>
      </c>
    </row>
    <row r="13" customFormat="false" ht="17.15" hidden="false" customHeight="false" outlineLevel="0" collapsed="false">
      <c r="A13" s="5" t="s">
        <v>683</v>
      </c>
    </row>
    <row r="14" customFormat="false" ht="17.15" hidden="false" customHeight="false" outlineLevel="0" collapsed="false">
      <c r="A14" s="5" t="s">
        <v>684</v>
      </c>
      <c r="B14" s="5" t="s">
        <v>685</v>
      </c>
    </row>
    <row r="15" customFormat="false" ht="15" hidden="false" customHeight="false" outlineLevel="0" collapsed="false">
      <c r="A15" s="0" t="s">
        <v>686</v>
      </c>
      <c r="B15" s="5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2026-10-25T04:51:26Z</dcterms:created>
  <dc:creator>openpyxl</dc:creator>
  <dc:description/>
  <dc:language>en-US</dc:language>
  <cp:lastModifiedBy/>
  <dcterms:modified xsi:type="dcterms:W3CDTF">2026-10-25T04:51:27Z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