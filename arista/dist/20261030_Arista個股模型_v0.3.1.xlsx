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Q!$B$10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Q!$G$17</definedName>
    <definedName function="false" hidden="false" name="a26_eps" vbProcedure="false">Q!$G$15</definedName>
    <definedName function="false" hidden="false" name="a26_gp" vbProcedure="false">Q!$G$5</definedName>
    <definedName function="false" hidden="false" name="a26_nai" vbProcedure="false">Q!$G$18</definedName>
    <definedName function="false" hidden="false" name="a26_ni" vbProcedure="false">Q!$G$12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oth" vbProcedure="false">Q!$G$10</definedName>
    <definedName function="false" hidden="false" name="a26_rev" vbProcedure="false">Q!$G$4</definedName>
    <definedName function="false" hidden="false" name="a26_sh" vbProcedure="false">Q!$G$14</definedName>
    <definedName function="false" hidden="false" name="ai25" vbProcedure="false">In!$E$36</definedName>
    <definedName function="false" hidden="false" name="ai25_hi" vbProcedure="false">In!$F$36</definedName>
    <definedName function="false" hidden="false" name="ai25_lo" vbProcedure="false">In!$D$36</definedName>
    <definedName function="false" hidden="false" name="ai26" vbProcedure="false">In!$E$49</definedName>
    <definedName function="false" hidden="false" name="ai26_hi" vbProcedure="false">In!$F$49</definedName>
    <definedName function="false" hidden="false" name="ai26_lo" vbProcedure="false">In!$D$49</definedName>
    <definedName function="false" hidden="false" name="cons_eps26" vbProcedure="false">In!$E$59</definedName>
    <definedName function="false" hidden="false" name="cons_rev26" vbProcedure="false">In!$E$58</definedName>
    <definedName function="false" hidden="false" name="cons_tp" vbProcedure="false">In!$E$80</definedName>
    <definedName function="false" hidden="false" name="dell_top2" vbProcedure="false">In!$E$61</definedName>
    <definedName function="false" hidden="false" name="d_ai" vbProcedure="false">In!$E$38</definedName>
    <definedName function="false" hidden="false" name="d_ai_hi" vbProcedure="false">In!$F$38</definedName>
    <definedName function="false" hidden="false" name="d_ai_lo" vbProcedure="false">In!$D$38</definedName>
    <definedName function="false" hidden="false" name="erste_eps27" vbProcedure="false">In!$E$60</definedName>
    <definedName function="false" hidden="false" name="ETHI_26" vbProcedure="false">In!$F$20</definedName>
    <definedName function="false" hidden="false" name="ETHI_27" vbProcedure="false">In!$F$21</definedName>
    <definedName function="false" hidden="false" name="ETHI_28" vbProcedure="false">In!$F$22</definedName>
    <definedName function="false" hidden="false" name="ETHI_29" vbProcedure="false">In!$F$23</definedName>
    <definedName function="false" hidden="false" name="eth_26" vbProcedure="false">In!$E$20</definedName>
    <definedName function="false" hidden="false" name="eth_26_hi" vbProcedure="false">In!$F$20</definedName>
    <definedName function="false" hidden="false" name="eth_26_lo" vbProcedure="false">In!$D$20</definedName>
    <definedName function="false" hidden="false" name="eth_27" vbProcedure="false">In!$E$21</definedName>
    <definedName function="false" hidden="false" name="eth_27_hi" vbProcedure="false">In!$F$21</definedName>
    <definedName function="false" hidden="false" name="eth_27_lo" vbProcedure="false">In!$D$21</definedName>
    <definedName function="false" hidden="false" name="eth_28" vbProcedure="false">In!$E$22</definedName>
    <definedName function="false" hidden="false" name="eth_28_hi" vbProcedure="false">In!$F$22</definedName>
    <definedName function="false" hidden="false" name="eth_28_lo" vbProcedure="false">In!$D$22</definedName>
    <definedName function="false" hidden="false" name="eth_29" vbProcedure="false">In!$E$23</definedName>
    <definedName function="false" hidden="false" name="eth_29_hi" vbProcedure="false">In!$F$23</definedName>
    <definedName function="false" hidden="false" name="eth_29_lo" vbProcedure="false">In!$D$23</definedName>
    <definedName function="false" hidden="false" name="ETLO_26" vbProcedure="false">In!$D$20</definedName>
    <definedName function="false" hidden="false" name="ETLO_27" vbProcedure="false">In!$D$21</definedName>
    <definedName function="false" hidden="false" name="ETLO_28" vbProcedure="false">In!$D$22</definedName>
    <definedName function="false" hidden="false" name="ETLO_29" vbProcedure="false">In!$D$23</definedName>
    <definedName function="false" hidden="false" name="fcf_capex" vbProcedure="false">In!$E$82</definedName>
    <definedName function="false" hidden="false" name="fcf_da" vbProcedure="false">In!$E$81</definedName>
    <definedName function="false" hidden="false" name="fy_gm" vbProcedure="false">In!$E$41</definedName>
    <definedName function="false" hidden="false" name="fy_gm_hi" vbProcedure="false">In!$F$41</definedName>
    <definedName function="false" hidden="false" name="fy_gm_lo" vbProcedure="false">In!$D$41</definedName>
    <definedName function="false" hidden="false" name="fy_oim" vbProcedure="false">In!$E$42</definedName>
    <definedName function="false" hidden="false" name="fy_oim_hi" vbProcedure="false">In!$F$42</definedName>
    <definedName function="false" hidden="false" name="fy_oim_lo" vbProcedure="false">In!$D$42</definedName>
    <definedName function="false" hidden="false" name="fy_rev" vbProcedure="false">In!$E$40</definedName>
    <definedName function="false" hidden="false" name="g2n" vbProcedure="false">In!$E$68</definedName>
    <definedName function="false" hidden="false" name="GNHI27" vbProcedure="false">In!$F$28</definedName>
    <definedName function="false" hidden="false" name="GNHI28" vbProcedure="false">In!$F$34</definedName>
    <definedName function="false" hidden="false" name="GNHI29" vbProcedure="false">In!$F$35</definedName>
    <definedName function="false" hidden="false" name="GNLO27" vbProcedure="false">In!$D$28</definedName>
    <definedName function="false" hidden="false" name="GNLO28" vbProcedure="false">In!$D$34</definedName>
    <definedName function="false" hidden="false" name="GNLO29" vbProcedure="false">In!$D$35</definedName>
    <definedName function="false" hidden="false" name="g_nai27" vbProcedure="false">In!$E$28</definedName>
    <definedName function="false" hidden="false" name="g_nai27_hi" vbProcedure="false">In!$F$28</definedName>
    <definedName function="false" hidden="false" name="g_nai27_lo" vbProcedure="false">In!$D$28</definedName>
    <definedName function="false" hidden="false" name="g_nai28" vbProcedure="false">In!$E$34</definedName>
    <definedName function="false" hidden="false" name="g_nai28_hi" vbProcedure="false">In!$F$34</definedName>
    <definedName function="false" hidden="false" name="g_nai28_lo" vbProcedure="false">In!$D$34</definedName>
    <definedName function="false" hidden="false" name="g_nai29" vbProcedure="false">In!$E$35</definedName>
    <definedName function="false" hidden="false" name="g_nai29_hi" vbProcedure="false">In!$F$35</definedName>
    <definedName function="false" hidden="false" name="g_nai29_lo" vbProcedure="false">In!$D$35</definedName>
    <definedName function="false" hidden="false" name="g_svc26" vbProcedure="false">In!$E$30</definedName>
    <definedName function="false" hidden="false" name="g_svc26_hi" vbProcedure="false">In!$F$30</definedName>
    <definedName function="false" hidden="false" name="g_svc26_lo" vbProcedure="false">In!$D$30</definedName>
    <definedName function="false" hidden="false" name="g_svc27" vbProcedure="false">In!$E$31</definedName>
    <definedName function="false" hidden="false" name="g_svc27_hi" vbProcedure="false">In!$F$31</definedName>
    <definedName function="false" hidden="false" name="g_svc27_lo" vbProcedure="false">In!$D$31</definedName>
    <definedName function="false" hidden="false" name="g_svc28" vbProcedure="false">In!$E$32</definedName>
    <definedName function="false" hidden="false" name="g_svc28_hi" vbProcedure="false">In!$F$32</definedName>
    <definedName function="false" hidden="false" name="g_svc28_lo" vbProcedure="false">In!$D$32</definedName>
    <definedName function="false" hidden="false" name="g_svc29" vbProcedure="false">In!$E$33</definedName>
    <definedName function="false" hidden="false" name="g_svc29_hi" vbProcedure="false">In!$F$33</definedName>
    <definedName function="false" hidden="false" name="g_svc29_lo" vbProcedure="false">In!$D$33</definedName>
    <definedName function="false" hidden="false" name="idc_anet" vbProcedure="false">In!$E$62</definedName>
    <definedName function="false" hidden="false" name="itc_26" vbProcedure="false">In!$E$9</definedName>
    <definedName function="false" hidden="false" name="itc_27" vbProcedure="false">In!$E$10</definedName>
    <definedName function="false" hidden="false" name="itc_28" vbProcedure="false">In!$E$11</definedName>
    <definedName function="false" hidden="false" name="itc_29" vbProcedure="false">In!$E$12</definedName>
    <definedName function="false" hidden="false" name="mf" vbProcedure="false">In!$E$56</definedName>
    <definedName function="false" hidden="false" name="mf_hi" vbProcedure="false">In!$F$56</definedName>
    <definedName function="false" hidden="false" name="mf_lo" vbProcedure="false">In!$D$56</definedName>
    <definedName function="false" hidden="false" name="mkt_26" vbProcedure="false">In!$E$5</definedName>
    <definedName function="false" hidden="false" name="mkt_27" vbProcedure="false">In!$E$6</definedName>
    <definedName function="false" hidden="false" name="mkt_28" vbProcedure="false">In!$E$7</definedName>
    <definedName function="false" hidden="false" name="mkt_29" vbProcedure="false">In!$E$8</definedName>
    <definedName function="false" hidden="false" name="nm10_k" vbProcedure="false">In!$E$79</definedName>
    <definedName function="false" hidden="false" name="opx_adj" vbProcedure="false">In!$E$52</definedName>
    <definedName function="false" hidden="false" name="opx_adj_hi" vbProcedure="false">In!$F$52</definedName>
    <definedName function="false" hidden="false" name="opx_adj_lo" vbProcedure="false">In!$D$52</definedName>
    <definedName function="false" hidden="false" name="oth_f" vbProcedure="false">In!$E$53</definedName>
    <definedName function="false" hidden="false" name="oth_f_hi" vbProcedure="false">In!$F$53</definedName>
    <definedName function="false" hidden="false" name="oth_f_lo" vbProcedure="false">In!$D$53</definedName>
    <definedName function="false" hidden="false" name="pe_fair_andy" vbProcedure="false">In!$E$63</definedName>
    <definedName function="false" hidden="false" name="pe_fwd_sa" vbProcedure="false">In!$E$67</definedName>
    <definedName function="false" hidden="false" name="pe_mid" vbProcedure="false">Val!$C$130</definedName>
    <definedName function="false" hidden="false" name="pe_peak" vbProcedure="false">Val!$C$129</definedName>
    <definedName function="false" hidden="false" name="pe_trough" vbProcedure="false">Val!$C$131</definedName>
    <definedName function="false" hidden="false" name="pe_ttm_gaap" vbProcedure="false">In!$E$66</definedName>
    <definedName function="false" hidden="false" name="phi" vbProcedure="false">In!$E$51</definedName>
    <definedName function="false" hidden="false" name="phi_hi" vbProcedure="false">In!$F$51</definedName>
    <definedName function="false" hidden="false" name="phi_lo" vbProcedure="false">In!$D$51</definedName>
    <definedName function="false" hidden="false" name="px" vbProcedure="false">In!$E$65</definedName>
    <definedName function="false" hidden="false" name="q3_gm" vbProcedure="false">In!$E$44</definedName>
    <definedName function="false" hidden="false" name="q3_gm_hi" vbProcedure="false">In!$F$44</definedName>
    <definedName function="false" hidden="false" name="q3_gm_lo" vbProcedure="false">In!$D$44</definedName>
    <definedName function="false" hidden="false" name="q3_oim" vbProcedure="false">In!$E$45</definedName>
    <definedName function="false" hidden="false" name="q3_oim_hi" vbProcedure="false">In!$F$45</definedName>
    <definedName function="false" hidden="false" name="q3_oim_lo" vbProcedure="false">In!$D$45</definedName>
    <definedName function="false" hidden="false" name="q3_rev" vbProcedure="false">In!$E$43</definedName>
    <definedName function="false" hidden="false" name="q_oth" vbProcedure="false">In!$E$46</definedName>
    <definedName function="false" hidden="false" name="q_oth_hi" vbProcedure="false">In!$F$46</definedName>
    <definedName function="false" hidden="false" name="q_oth_lo" vbProcedure="false">In!$D$46</definedName>
    <definedName function="false" hidden="false" name="q_sh" vbProcedure="false">In!$E$48</definedName>
    <definedName function="false" hidden="false" name="q_tx" vbProcedure="false">In!$E$47</definedName>
    <definedName function="false" hidden="false" name="q_tx_hi" vbProcedure="false">In!$F$47</definedName>
    <definedName function="false" hidden="false" name="q_tx_lo" vbProcedure="false">In!$D$47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RHI_27" vbProcedure="false">In!$F$24</definedName>
    <definedName function="false" hidden="false" name="RHI_28" vbProcedure="false">In!$F$25</definedName>
    <definedName function="false" hidden="false" name="RHI_29" vbProcedure="false">In!$F$26</definedName>
    <definedName function="false" hidden="false" name="RLO_27" vbProcedure="false">In!$D$24</definedName>
    <definedName function="false" hidden="false" name="RLO_28" vbProcedure="false">In!$D$25</definedName>
    <definedName function="false" hidden="false" name="RLO_29" vbProcedure="false">In!$D$26</definedName>
    <definedName function="false" hidden="false" name="rm_factor" vbProcedure="false">Val!$B$162</definedName>
    <definedName function="false" hidden="false" name="sh_g" vbProcedure="false">In!$E$55</definedName>
    <definedName function="false" hidden="false" name="sh_g_hi" vbProcedure="false">In!$F$55</definedName>
    <definedName function="false" hidden="false" name="sh_g_lo" vbProcedure="false">In!$D$55</definedName>
    <definedName function="false" hidden="false" name="svc25" vbProcedure="false">In!$E$29</definedName>
    <definedName function="false" hidden="false" name="tp_comp_adj" vbProcedure="false">Val!$B$163</definedName>
    <definedName function="false" hidden="false" name="tp_g" vbProcedure="false">In!$E$75</definedName>
    <definedName function="false" hidden="false" name="tp_gd" vbProcedure="false">In!$E$76</definedName>
    <definedName function="false" hidden="false" name="tp_r" vbProcedure="false">In!$E$74</definedName>
    <definedName function="false" hidden="false" name="tp_roe" vbProcedure="false">In!$E$77</definedName>
    <definedName function="false" hidden="false" name="tp_wA" vbProcedure="false">In!$E$70</definedName>
    <definedName function="false" hidden="false" name="tp_wB" vbProcedure="false">In!$E$71</definedName>
    <definedName function="false" hidden="false" name="tp_wC" vbProcedure="false">In!$E$72</definedName>
    <definedName function="false" hidden="false" name="tp_w_dcf" vbProcedure="false">In!$E$78</definedName>
    <definedName function="false" hidden="false" name="tx_f" vbProcedure="false">In!$E$54</definedName>
    <definedName function="false" hidden="false" name="tx_f_hi" vbProcedure="false">In!$F$54</definedName>
    <definedName function="false" hidden="false" name="tx_f_lo" vbProcedure="false">In!$D$54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<sst xmlns="http://schemas.openxmlformats.org/spreadsheetml/2006/main" count="2179" uniqueCount="787">
  <si>
    <r>
      <rPr>
        <b val="true"/>
        <sz val="11"/>
        <rFont val="Cambria"/>
        <family val="0"/>
        <charset val="1"/>
      </rPr>
      <t xml:space="preserve">Arista Networks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ANET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：網通系統端樣板）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</si>
  <si>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後端乙太網路交換器的份額在本模型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</si>
  <si>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 </t>
    </r>
    <r>
      <rPr>
        <sz val="11"/>
        <rFont val="Cambria"/>
        <family val="0"/>
        <charset val="1"/>
      </rPr>
      <t xml:space="preserve">× Arista </t>
    </r>
    <r>
      <rPr>
        <sz val="11"/>
        <rFont val="Noto Sans CJK SC"/>
        <family val="2"/>
      </rPr>
      <t xml:space="preserve">份額（含前端與 </t>
    </r>
    <r>
      <rPr>
        <sz val="11"/>
        <rFont val="Cambria"/>
        <family val="0"/>
        <charset val="1"/>
      </rPr>
      <t xml:space="preserve">scale-across </t>
    </r>
    <r>
      <rPr>
        <sz val="11"/>
        <rFont val="Noto Sans CJK SC"/>
        <family val="2"/>
      </rPr>
      <t xml:space="preserve">附掛）；非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（雲端前端、企業、園區）另依成長率推。股價約 </t>
    </r>
    <r>
      <rPr>
        <sz val="11"/>
        <rFont val="Cambria"/>
        <family val="0"/>
        <charset val="1"/>
      </rPr>
      <t xml:space="preserve">37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：在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Spectrum-X</t>
    </r>
    <r>
      <rPr>
        <sz val="11"/>
        <rFont val="Noto Sans CJK SC"/>
        <family val="2"/>
      </rPr>
      <t xml:space="preserve">）與白牌夾擊下，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的份額路徑能否支撐這個倍數？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</si>
  <si>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乙太網路的份額每掉一截，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少多少；現價隱含的份額路徑合不合理。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</si>
  <si>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</si>
  <si>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</si>
  <si>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Arista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目標 </t>
    </r>
    <r>
      <rPr>
        <sz val="11"/>
        <rFont val="Cambria"/>
        <family val="0"/>
        <charset val="1"/>
      </rPr>
      <t xml:space="preserve">3.5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</si>
  <si>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錨點（營收指引 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目標）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比非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</si>
  <si>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1Q–2Q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指引＋全年指引（營收 </t>
    </r>
    <r>
      <rPr>
        <sz val="11"/>
        <rFont val="Cambria"/>
        <family val="0"/>
        <charset val="1"/>
      </rPr>
      <t xml:space="preserve">12.6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63%</t>
    </r>
    <r>
      <rPr>
        <sz val="11"/>
        <rFont val="Noto Sans CJK SC"/>
        <family val="2"/>
      </rPr>
      <t xml:space="preserve">、營業利益率 </t>
    </r>
    <r>
      <rPr>
        <sz val="11"/>
        <rFont val="Cambria"/>
        <family val="0"/>
        <charset val="1"/>
      </rPr>
      <t xml:space="preserve">48.5%</t>
    </r>
    <r>
      <rPr>
        <sz val="11"/>
        <rFont val="Noto Sans CJK SC"/>
        <family val="2"/>
      </rPr>
      <t xml:space="preserve">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</si>
  <si>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；循環位置以本模型營收最高年判定（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不套設備股見頂年）。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</si>
  <si>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</si>
  <si>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份額相對值與乙太網路占比皆為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AI </t>
    </r>
    <r>
      <rPr>
        <sz val="11"/>
        <rFont val="Noto Sans CJK SC"/>
        <family val="2"/>
      </rPr>
      <t xml:space="preserve">用公司目標「至少 </t>
    </r>
    <r>
      <rPr>
        <sz val="11"/>
        <rFont val="Cambria"/>
        <family val="0"/>
        <charset val="1"/>
      </rPr>
      <t xml:space="preserve">3.5</t>
    </r>
    <r>
      <rPr>
        <sz val="11"/>
        <rFont val="Noto Sans CJK SC"/>
        <family val="2"/>
      </rPr>
      <t xml:space="preserve">」，實際可能較高；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 </t>
    </r>
    <r>
      <rPr>
        <sz val="11"/>
        <rFont val="Cambria"/>
        <family val="0"/>
        <charset val="1"/>
      </rPr>
      <t xml:space="preserve">+90%</t>
    </r>
    <r>
      <rPr>
        <sz val="11"/>
        <rFont val="Noto Sans CJK SC"/>
        <family val="2"/>
      </rPr>
      <t xml:space="preserve">，公司稱供給吃緊到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年，模型未設供給上限（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2027 </t>
    </r>
    <r>
      <rPr>
        <sz val="11"/>
        <rFont val="Noto Sans CJK SC"/>
        <family val="2"/>
      </rPr>
      <t xml:space="preserve">共識未找到，只有單一分析師；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含高成長期溢價；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</si>
  <si>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）。各情境隱含價＝第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節規則值；其餘儲存格不變。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</si>
  <si>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目標價與上檔空間」改名「舊法：規則值情境加權（參考）」保留在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172.37</t>
    </r>
    <r>
      <rPr>
        <sz val="11"/>
        <color theme="1"/>
        <rFont val="Noto Sans CJK SC"/>
        <family val="2"/>
      </rPr>
      <t xml:space="preserve">（補第二來源 </t>
    </r>
    <r>
      <rPr>
        <sz val="11"/>
        <color theme="1"/>
        <rFont val="Calibri"/>
        <family val="2"/>
        <charset val="1"/>
      </rPr>
      <t xml:space="preserve">prices.csv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</si>
  <si>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</si>
  <si>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頁加重點觀察三點；數值不變，既有儲存格位置不變）。另在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頁末新增「自由現金流（淨利＋折舊 − 資本支出；不含營運資金變動）」三情境列（</t>
    </r>
    <r>
      <rPr>
        <sz val="11"/>
        <color theme="1"/>
        <rFont val="Calibri"/>
        <family val="2"/>
        <charset val="1"/>
      </rPr>
      <t xml:space="preserve">FY2025A–FY2032</t>
    </r>
    <r>
      <rPr>
        <sz val="11"/>
        <color theme="1"/>
        <rFont val="Noto Sans CJK SC"/>
        <family val="2"/>
      </rPr>
      <t xml:space="preserve">；算力收支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fcf_da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fcf_capex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10-K </t>
    </r>
    <r>
      <rPr>
        <sz val="11"/>
        <color theme="1"/>
        <rFont val="Noto Sans CJK SC"/>
        <family val="2"/>
      </rPr>
      <t xml:space="preserve">比率 </t>
    </r>
    <r>
      <rPr>
        <sz val="11"/>
        <color theme="1"/>
        <rFont val="Calibri"/>
        <family val="2"/>
        <charset val="1"/>
      </rPr>
      <t xml:space="preserve">0.81%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1.33%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</si>
  <si>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：最敏感的是份額與市場量：份額相對值降到 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−8.8%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7.9%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4.97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5.99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17.1%</t>
    </r>
    <r>
      <rPr>
        <sz val="11"/>
        <color theme="1"/>
        <rFont val="Noto Sans CJK SC"/>
        <family val="2"/>
      </rPr>
      <t xml:space="preserve">，營收在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見頂。追蹤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目標至少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億美元）與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年指引。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</si>
  <si>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：以歷史看不貴：現價 </t>
    </r>
    <r>
      <rPr>
        <sz val="11"/>
        <color theme="1"/>
        <rFont val="Calibri"/>
        <family val="2"/>
        <charset val="1"/>
      </rPr>
      <t xml:space="preserve">÷ FY2028 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31.3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34.7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33% </t>
    </r>
    <r>
      <rPr>
        <sz val="11"/>
        <color theme="1"/>
        <rFont val="Noto Sans CJK SC"/>
        <family val="2"/>
      </rPr>
      <t xml:space="preserve">分位；目標價偏低是因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同業成長較低。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權重改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時加權目標價 </t>
    </r>
    <r>
      <rPr>
        <sz val="11"/>
        <color theme="1"/>
        <rFont val="Calibri"/>
        <family val="2"/>
        <charset val="1"/>
      </rPr>
      <t xml:space="preserve">104.4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94.6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±4.9%</t>
    </r>
    <r>
      <rPr>
        <sz val="11"/>
        <color theme="1"/>
        <rFont val="Noto Sans CJK SC"/>
        <family val="2"/>
      </rPr>
      <t xml:space="preserve">）、折現率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+8.3%</t>
    </r>
    <r>
      <rPr>
        <sz val="11"/>
        <color theme="1"/>
        <rFont val="Noto Sans CJK SC"/>
        <family val="2"/>
      </rPr>
      <t xml:space="preserve">，都不改變放空級距。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</si>
  <si>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</si>
  <si>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</si>
  <si>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</si>
  <si>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Arista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）；公司的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營收目標與全年指引為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</si>
  <si>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</si>
  <si>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</si>
  <si>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</si>
  <si>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</si>
  <si>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</si>
  <si>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</si>
  <si>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</si>
  <si>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</si>
  <si>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</si>
  <si>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後端 </t>
    </r>
    <r>
      <rPr>
        <b val="true"/>
        <sz val="11"/>
        <rFont val="Cambria"/>
        <family val="0"/>
        <charset val="1"/>
      </rPr>
      <t xml:space="preserve">scale-out </t>
    </r>
    <r>
      <rPr>
        <b val="true"/>
        <sz val="11"/>
        <rFont val="Noto Sans CJK SC"/>
        <family val="2"/>
      </rPr>
      <t xml:space="preserve">交換器市場（讀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</si>
  <si>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mkt_26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</si>
  <si>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</si>
  <si>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</si>
  <si>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</si>
  <si>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Mkt!C7:F7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</si>
  <si>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交換器內容（不分乙太網路與 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）；只含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</t>
    </r>
  </si>
  <si>
    <t xml:space="preserve">mkt_27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</si>
  <si>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</si>
  <si>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</si>
  <si>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mkt_28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</si>
  <si>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</si>
  <si>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mkt_29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</si>
  <si>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</si>
  <si>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</si>
  <si>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</si>
  <si>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</si>
  <si>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</si>
  <si>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</si>
  <si>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</si>
  <si>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</si>
  <si>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</si>
  <si>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</si>
  <si>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</si>
  <si>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</si>
  <si>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</si>
  <si>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</si>
  <si>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</si>
  <si>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</si>
  <si>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</si>
  <si>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</si>
  <si>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</si>
  <si>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</si>
  <si>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</si>
  <si>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</si>
  <si>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</si>
  <si>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</si>
  <si>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</si>
  <si>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</si>
  <si>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</si>
  <si>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</si>
  <si>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</si>
  <si>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</si>
  <si>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</si>
  <si>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</si>
  <si>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乙太網路占比與 </t>
    </r>
    <r>
      <rPr>
        <b val="true"/>
        <sz val="11"/>
        <rFont val="Cambria"/>
        <family val="0"/>
        <charset val="1"/>
      </rPr>
      <t xml:space="preserve">Arista </t>
    </r>
    <r>
      <rPr>
        <b val="true"/>
        <sz val="11"/>
        <rFont val="Noto Sans CJK SC"/>
        <family val="2"/>
      </rPr>
      <t xml:space="preserve">份額（本專案為權威：晶片商與網通廠份額，規則第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</si>
  <si>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eth_26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</si>
  <si>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後端交換器（金額）</t>
    </r>
    <r>
      <rPr>
        <sz val="11"/>
        <color theme="1"/>
        <rFont val="Calibri"/>
        <family val="2"/>
        <charset val="1"/>
      </rPr>
      <t xml:space="preserve">2026</t>
    </r>
  </si>
  <si>
    <t xml:space="preserve">%</t>
  </si>
  <si>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年乙太網路占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叢集交換器三分之二以上、為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</si>
  <si>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資料中心乙太網路年增 </t>
    </r>
    <r>
      <rPr>
        <sz val="11"/>
        <color theme="1"/>
        <rFont val="Calibri"/>
        <family val="2"/>
        <charset val="1"/>
      </rPr>
      <t xml:space="preserve">181%</t>
    </r>
    <r>
      <rPr>
        <sz val="11"/>
        <color theme="1"/>
        <rFont val="Noto Sans CJK SC"/>
        <family val="2"/>
      </rPr>
      <t xml:space="preserve">（乙太網路取代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的方向）</t>
    </r>
  </si>
  <si>
    <t xml:space="preserve">eth_27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</si>
  <si>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</si>
  <si>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年無公開預測：未找到</t>
    </r>
  </si>
  <si>
    <r>
      <rPr>
        <sz val="11"/>
        <color theme="1"/>
        <rFont val="Noto Sans CJK SC"/>
        <family val="2"/>
      </rPr>
      <t xml:space="preserve">外推（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</si>
  <si>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eth_28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</si>
  <si>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</si>
  <si>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—</t>
  </si>
  <si>
    <t xml:space="preserve">eth_29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</si>
  <si>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</si>
  <si>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rel_27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</si>
  <si>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</si>
  <si>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20.4% </t>
    </r>
    <r>
      <rPr>
        <sz val="11"/>
        <color theme="1"/>
        <rFont val="Noto Sans CJK SC"/>
        <family val="2"/>
      </rPr>
      <t xml:space="preserve">已超過 </t>
    </r>
    <r>
      <rPr>
        <sz val="11"/>
        <color theme="1"/>
        <rFont val="Calibri"/>
        <family val="2"/>
        <charset val="1"/>
      </rPr>
      <t xml:space="preserve">Arista 18.7%</t>
    </r>
    <r>
      <rPr>
        <sz val="11"/>
        <color theme="1"/>
        <rFont val="Noto Sans CJK SC"/>
        <family val="2"/>
      </rPr>
      <t xml:space="preserve">（資料中心乙太網路，全部速率；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</si>
  <si>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（白牌）與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</si>
  <si>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</si>
  <si>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</si>
  <si>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rel_29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</si>
  <si>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</si>
  <si>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營收（雲端前端、企業、園區、服務）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</si>
  <si>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</si>
  <si>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</si>
  <si>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9.1</t>
    </r>
    <r>
      <rPr>
        <sz val="11"/>
        <color theme="1"/>
        <rFont val="Noto Sans CJK SC"/>
        <family val="2"/>
      </rPr>
      <t xml:space="preserve">（營收指引 </t>
    </r>
    <r>
      <rPr>
        <sz val="11"/>
        <color theme="1"/>
        <rFont val="Calibri"/>
        <family val="2"/>
        <charset val="1"/>
      </rPr>
      <t xml:space="preserve">12.6 − 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9.0 −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，含記憶體缺貨下的提前拉貨可能）</t>
    </r>
  </si>
  <si>
    <r>
      <rPr>
        <sz val="11"/>
        <color theme="1"/>
        <rFont val="Noto Sans CJK SC"/>
        <family val="2"/>
      </rPr>
      <t xml:space="preserve">園區目標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</si>
  <si>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svc25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</si>
  <si>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服務營收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</si>
  <si>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</si>
  <si>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Arista 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Product 7,576.9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Service 1,428.8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</si>
  <si>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t xml:space="preserve">分部原則：單一分部，公司固定揭露產品／服務兩條營收線</t>
  </si>
  <si>
    <t xml:space="preserve">g_svc26</t>
  </si>
  <si>
    <r>
      <rPr>
        <sz val="11"/>
        <color theme="1"/>
        <rFont val="Noto Sans CJK SC"/>
        <family val="2"/>
      </rPr>
      <t xml:space="preserve">服務營收年增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</si>
  <si>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FY2025 +27.7%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1,119.1 → 1,428.8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新聞稿）；服務隨裝機量與維護合約遞延認列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</si>
  <si>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服務（差額）</t>
    </r>
  </si>
  <si>
    <t xml:space="preserve">g_svc27</t>
  </si>
  <si>
    <r>
      <rPr>
        <sz val="11"/>
        <color theme="1"/>
        <rFont val="Noto Sans CJK SC"/>
        <family val="2"/>
      </rPr>
      <t xml:space="preserve">服務營收年增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</si>
  <si>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g_svc28</t>
  </si>
  <si>
    <r>
      <rPr>
        <sz val="11"/>
        <color theme="1"/>
        <rFont val="Noto Sans CJK SC"/>
        <family val="2"/>
      </rPr>
      <t xml:space="preserve">服務營收年增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</si>
  <si>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g_svc29</t>
  </si>
  <si>
    <r>
      <rPr>
        <sz val="11"/>
        <color theme="1"/>
        <rFont val="Noto Sans CJK SC"/>
        <family val="2"/>
      </rPr>
      <t xml:space="preserve">服務營收年增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</si>
  <si>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</si>
  <si>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</si>
  <si>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</si>
  <si>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</si>
  <si>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</si>
  <si>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營收（參考）</t>
    </r>
  </si>
  <si>
    <r>
      <rPr>
        <sz val="11"/>
        <color theme="1"/>
        <rFont val="Calibri"/>
        <family val="2"/>
        <charset val="1"/>
      </rPr>
      <t xml:space="preserve">Next Platform 2026-02-13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目標倒推約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（公司稱超過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目標）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</si>
  <si>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已超越（法說）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</si>
  <si>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</si>
  <si>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</si>
  <si>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營收毛利率低於非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的幅度</t>
    </r>
  </si>
  <si>
    <t xml:space="preserve">pt</t>
  </si>
  <si>
    <r>
      <rPr>
        <sz val="11"/>
        <color theme="1"/>
        <rFont val="Noto Sans CJK SC"/>
        <family val="2"/>
      </rPr>
      <t xml:space="preserve">公司：毛利率下滑來自雲端與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大客戶占比（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毛利率較去年同期 −</t>
    </r>
    <r>
      <rPr>
        <sz val="11"/>
        <color theme="1"/>
        <rFont val="Calibri"/>
        <family val="2"/>
        <charset val="1"/>
      </rPr>
      <t xml:space="preserve">2.2 </t>
    </r>
    <r>
      <rPr>
        <sz val="11"/>
        <color theme="1"/>
        <rFont val="Noto Sans CJK SC"/>
        <family val="2"/>
      </rPr>
      <t xml:space="preserve">個百分點；法說，二手）</t>
    </r>
  </si>
  <si>
    <t xml:space="preserve">產品別毛利率未揭露：未找到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</si>
  <si>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Q1–Q2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指引＋全年指引）</t>
    </r>
  </si>
  <si>
    <t xml:space="preserve">fy_rev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</si>
  <si>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營收指引</t>
    </r>
  </si>
  <si>
    <t xml:space="preserve">Interested-party</t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</si>
  <si>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$12.6B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月由 </t>
    </r>
    <r>
      <rPr>
        <sz val="11"/>
        <color theme="1"/>
        <rFont val="Calibri"/>
        <family val="2"/>
        <charset val="1"/>
      </rPr>
      <t xml:space="preserve">11.5 </t>
    </r>
    <r>
      <rPr>
        <sz val="11"/>
        <color theme="1"/>
        <rFont val="Noto Sans CJK SC"/>
        <family val="2"/>
      </rPr>
      <t xml:space="preserve">上修）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</si>
  <si>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位）</t>
    </r>
  </si>
  <si>
    <t xml:space="preserve">fy_gm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</si>
  <si>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毛利率指引（中點）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</si>
  <si>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62–64%</t>
    </r>
  </si>
  <si>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彙整同值</t>
    </r>
  </si>
  <si>
    <t xml:space="preserve">fy_oim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</si>
  <si>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營業利益率指引（中點）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</si>
  <si>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48–49%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</si>
  <si>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</si>
  <si>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</si>
  <si>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$3.3B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</si>
  <si>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（二手）同值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</si>
  <si>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</si>
  <si>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</si>
  <si>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63%</t>
    </r>
  </si>
  <si>
    <t xml:space="preserve">第二來源：未找到</t>
  </si>
  <si>
    <t xml:space="preserve">q3_oim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</si>
  <si>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營業利益率指引（中點）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</si>
  <si>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48–49%</t>
    </r>
  </si>
  <si>
    <t xml:space="preserve">q_oth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</si>
  <si>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其他收益（每季）</t>
    </r>
  </si>
  <si>
    <r>
      <rPr>
        <sz val="11"/>
        <color theme="1"/>
        <rFont val="Calibri"/>
        <family val="2"/>
        <charset val="1"/>
      </rPr>
      <t xml:space="preserve">1Q26 0.1136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0.1263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其他收益）</t>
    </r>
  </si>
  <si>
    <r>
      <rPr>
        <sz val="11"/>
        <color theme="1"/>
        <rFont val="Noto Sans CJK SC"/>
        <family val="2"/>
      </rPr>
      <t xml:space="preserve">現金與有價證券 </t>
    </r>
    <r>
      <rPr>
        <sz val="11"/>
        <color theme="1"/>
        <rFont val="Calibri"/>
        <family val="2"/>
        <charset val="1"/>
      </rPr>
      <t xml:space="preserve">13.3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，公司）</t>
    </r>
  </si>
  <si>
    <t xml:space="preserve">q_tx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</si>
  <si>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</si>
  <si>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1 − 1301.7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1513.7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126.3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20.6%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21.3%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</si>
  <si>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1.06–1.08 </t>
    </r>
    <r>
      <rPr>
        <sz val="11"/>
        <color theme="1"/>
        <rFont val="Noto Sans CJK SC"/>
        <family val="2"/>
      </rPr>
      <t xml:space="preserve">隱含約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（推導）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</si>
  <si>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</si>
  <si>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</si>
  <si>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</si>
  <si>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1.2760</t>
    </r>
    <r>
      <rPr>
        <sz val="11"/>
        <color theme="1"/>
        <rFont val="Noto Sans CJK SC"/>
        <family val="2"/>
      </rPr>
      <t xml:space="preserve">（公司）</t>
    </r>
  </si>
  <si>
    <t xml:space="preserve">ai26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</si>
  <si>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營收（公司目標「至少」）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</si>
  <si>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$3.5B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）；其中 </t>
    </r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</si>
  <si>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彙整：至少 </t>
    </r>
    <r>
      <rPr>
        <sz val="11"/>
        <color theme="1"/>
        <rFont val="Calibri"/>
        <family val="2"/>
        <charset val="1"/>
      </rPr>
      <t xml:space="preserve">$3.50B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</si>
  <si>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營業費用、其他收益、稅、股數（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</si>
  <si>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</si>
  <si>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</si>
  <si>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</si>
  <si>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</si>
  <si>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</si>
  <si>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</si>
  <si>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</si>
  <si>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</si>
  <si>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</si>
  <si>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</si>
  <si>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頁）；現金 </t>
    </r>
    <r>
      <rPr>
        <sz val="11"/>
        <color theme="1"/>
        <rFont val="Calibri"/>
        <family val="2"/>
        <charset val="1"/>
      </rPr>
      <t xml:space="preserve">13.3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</si>
  <si>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</si>
  <si>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</si>
  <si>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FY2025 19.5%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（推導）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</si>
  <si>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</si>
  <si>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</si>
  <si>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1.2757 → 2Q26 1.2760</t>
    </r>
    <r>
      <rPr>
        <sz val="11"/>
        <color theme="1"/>
        <rFont val="Noto Sans CJK SC"/>
        <family val="2"/>
      </rPr>
      <t xml:space="preserve">（公司）：買回大致抵銷股票薪酬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</si>
  <si>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</si>
  <si>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</si>
  <si>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+90%</t>
    </r>
    <r>
      <rPr>
        <sz val="11"/>
        <color theme="1"/>
        <rFont val="Noto Sans CJK SC"/>
        <family val="2"/>
      </rPr>
      <t xml:space="preserve">；公司稱供給吃緊是「兩年的問題」、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年才解除（法說，二手）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</si>
  <si>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</si>
  <si>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</si>
  <si>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</si>
  <si>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</si>
  <si>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</si>
  <si>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3.79</t>
    </r>
    <r>
      <rPr>
        <sz val="11"/>
        <color theme="1"/>
        <rFont val="Noto Sans CJK SC"/>
        <family val="2"/>
      </rPr>
      <t xml:space="preserve">（口徑可能為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或舊值）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</si>
  <si>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</si>
  <si>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</si>
  <si>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</si>
  <si>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4.05–4.22</t>
    </r>
    <r>
      <rPr>
        <sz val="11"/>
        <color theme="1"/>
        <rFont val="Noto Sans CJK SC"/>
        <family val="2"/>
      </rPr>
      <t xml:space="preserve">）</t>
    </r>
  </si>
  <si>
    <t xml:space="preserve">erste_eps27</t>
  </si>
  <si>
    <r>
      <rPr>
        <sz val="11"/>
        <color theme="1"/>
        <rFont val="Calibri"/>
        <family val="2"/>
        <charset val="1"/>
      </rPr>
      <t xml:space="preserve">Erste Group FY2027 EPS</t>
    </r>
    <r>
      <rPr>
        <sz val="11"/>
        <color theme="1"/>
        <rFont val="Noto Sans CJK SC"/>
        <family val="2"/>
      </rPr>
      <t xml:space="preserve">（單一分析師）</t>
    </r>
  </si>
  <si>
    <r>
      <rPr>
        <sz val="11"/>
        <color theme="1"/>
        <rFont val="Calibri"/>
        <family val="2"/>
        <charset val="1"/>
      </rPr>
      <t xml:space="preserve">MarketBeat 2026-10-23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4.74 </t>
    </r>
    <r>
      <rPr>
        <sz val="11"/>
        <color theme="1"/>
        <rFont val="Noto Sans CJK SC"/>
        <family val="2"/>
      </rPr>
      <t xml:space="preserve">上調）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</si>
  <si>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付費）：未找到</t>
    </r>
  </si>
  <si>
    <t xml:space="preserve">dell_top2</t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</si>
  <si>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合計份額</t>
    </r>
  </si>
  <si>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：兩家並列第一、合計約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</t>
    </r>
  </si>
  <si>
    <t xml:space="preserve">idc_anet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</si>
  <si>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資料中心乙太網路交換器：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份額（全部速率）</t>
    </r>
  </si>
  <si>
    <t xml:space="preserve">IDC 2026-09-11</t>
  </si>
  <si>
    <r>
      <rPr>
        <sz val="11"/>
        <color theme="1"/>
        <rFont val="Calibri"/>
        <family val="2"/>
        <charset val="1"/>
      </rPr>
      <t xml:space="preserve">NVIDIA 20.4%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Cisco 18.2%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</si>
  <si>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</si>
  <si>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</si>
  <si>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_Andy_Arista_20261024 A9b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</si>
  <si>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</si>
  <si>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</si>
  <si>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</si>
  <si>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</si>
  <si>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</si>
  <si>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stockscan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bullfincher </t>
    </r>
    <r>
      <rPr>
        <sz val="11"/>
        <color theme="1"/>
        <rFont val="Noto Sans CJK SC"/>
        <family val="2"/>
      </rPr>
      <t xml:space="preserve">兩來源核對）；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開盤 </t>
    </r>
    <r>
      <rPr>
        <sz val="11"/>
        <color theme="1"/>
        <rFont val="Calibri"/>
        <family val="2"/>
        <charset val="1"/>
      </rPr>
      <t xml:space="preserve">170.57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</si>
  <si>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</si>
  <si>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</si>
  <si>
    <t xml:space="preserve">StockAnalysis</t>
  </si>
  <si>
    <t xml:space="preserve">MarketBeat 53.81</t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</si>
  <si>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</si>
  <si>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</si>
  <si>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，頁面未明示）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</si>
  <si>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</si>
  <si>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</si>
  <si>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1.75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1.89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</si>
  <si>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2.75 ÷ 2.98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0.923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</si>
  <si>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</si>
  <si>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</si>
  <si>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</si>
  <si>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</si>
  <si>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</si>
  <si>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</si>
  <si>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</si>
  <si>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</si>
  <si>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</si>
  <si>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</si>
  <si>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</si>
  <si>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</si>
  <si>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</si>
  <si>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</si>
  <si>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</si>
  <si>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</si>
  <si>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</si>
  <si>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</si>
  <si>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</si>
  <si>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</si>
  <si>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</si>
  <si>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</si>
  <si>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</si>
  <si>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stockalarm.io ANET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，年度）：</t>
    </r>
    <r>
      <rPr>
        <sz val="11"/>
        <color theme="1"/>
        <rFont val="Calibri"/>
        <family val="2"/>
        <charset val="1"/>
      </rPr>
      <t xml:space="preserve">2023 28.91%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2024 28.54%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2025 28.39%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28.61%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</si>
  <si>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31.48%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OpenCapital </t>
    </r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31.4–33.6%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</si>
  <si>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</si>
  <si>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</si>
  <si>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</si>
  <si>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</si>
  <si>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</si>
  <si>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</si>
  <si>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</si>
  <si>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29.51%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2016–2025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35.67%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27.38%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28.52%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30.87%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35.62%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40.73%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38.99%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</si>
  <si>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</si>
  <si>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</si>
  <si>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</si>
  <si>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賣方有目標價誘因；只作對照，不進目標價</t>
  </si>
  <si>
    <t xml:space="preserve">fcf_da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</si>
  <si>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營收（自由現金流用；各年營收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</si>
  <si>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：折舊與攤銷 </t>
    </r>
    <r>
      <rPr>
        <sz val="11"/>
        <color theme="1"/>
        <rFont val="Calibri"/>
        <family val="2"/>
        <charset val="1"/>
      </rPr>
      <t xml:space="preserve">72.6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9,006 </t>
    </r>
    <r>
      <rPr>
        <sz val="11"/>
        <color theme="1"/>
        <rFont val="Noto Sans CJK SC"/>
        <family val="2"/>
      </rPr>
      <t xml:space="preserve">百萬美元（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</si>
  <si>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起沿用最近一個完整年度（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）年報比率（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）；只用於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頁自由現金流列，不進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</t>
    </r>
  </si>
  <si>
    <t xml:space="preserve">fcf_capex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</si>
  <si>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營收（自由現金流用；各年營收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</si>
  <si>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：購置不動產、設備與無形資產 </t>
    </r>
    <r>
      <rPr>
        <sz val="11"/>
        <color theme="1"/>
        <rFont val="Calibri"/>
        <family val="2"/>
        <charset val="1"/>
      </rPr>
      <t xml:space="preserve">119.5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9,006 </t>
    </r>
    <r>
      <rPr>
        <sz val="11"/>
        <color theme="1"/>
        <rFont val="Noto Sans CJK SC"/>
        <family val="2"/>
      </rPr>
      <t xml:space="preserve">百萬美元（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</si>
  <si>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</si>
  <si>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</si>
  <si>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</si>
  <si>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</si>
  <si>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</si>
  <si>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</si>
  <si>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</si>
  <si>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</si>
  <si>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</si>
  <si>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</si>
  <si>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</si>
  <si>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</si>
  <si>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</si>
  <si>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</si>
  <si>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。藍字＝輸入；黑字＝公式。實績取自 </t>
    </r>
    <r>
      <rPr>
        <sz val="11"/>
        <color theme="1"/>
        <rFont val="Calibri"/>
        <family val="2"/>
        <charset val="1"/>
      </rPr>
      <t xml:space="preserve">Arista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Business Wire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</si>
  <si>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（＝全年指引 − 前三季；毛利率、營業利益率同法）。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＝上半年合計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年度新聞稿原報值；公司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年起改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稅額方法並重編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年各季，重編後的全年值：未找到</t>
    </r>
  </si>
  <si>
    <t xml:space="preserve">FY2025A</t>
  </si>
  <si>
    <t xml:space="preserve">1Q26</t>
  </si>
  <si>
    <t xml:space="preserve">2Q26</t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</si>
  <si>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</si>
  <si>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（全年指引 − 前三季）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</si>
  <si>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</si>
  <si>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</si>
  <si>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</si>
  <si>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</si>
  <si>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https://www.businesswire.com/news/home/20260212962784/en/Arista-Networks-Inc.-Reports-Fourth-Quarter-and-Year-End-2025-Financial-Results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與上半年合計）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</si>
  <si>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；交叉：</t>
    </r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彙整的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毛利率與營業利益率同值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</si>
  <si>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</si>
  <si>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</si>
  <si>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</si>
  <si>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64.6%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62–64%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</si>
  <si>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</si>
  <si>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</si>
  <si>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</si>
  <si>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t xml:space="preserve">營業利益率</t>
  </si>
  <si>
    <r>
      <rPr>
        <sz val="11"/>
        <color theme="1"/>
        <rFont val="Noto Sans CJK SC"/>
        <family val="2"/>
      </rPr>
      <t xml:space="preserve">其他收益（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</si>
  <si>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</si>
  <si>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</si>
  <si>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</si>
  <si>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t xml:space="preserve">有效稅率（推導）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</si>
  <si>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稅額未直接揭露：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</si>
  <si>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</si>
  <si>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</si>
  <si>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＝上半年加權 </t>
    </r>
    <r>
      <rPr>
        <sz val="11"/>
        <color theme="1"/>
        <rFont val="Calibri"/>
        <family val="2"/>
        <charset val="1"/>
      </rPr>
      <t xml:space="preserve">× 2 − 2Q26</t>
    </r>
    <r>
      <rPr>
        <sz val="11"/>
        <color theme="1"/>
        <rFont val="Noto Sans CJK SC"/>
        <family val="2"/>
      </rPr>
      <t xml:space="preserve">（近似）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</si>
  <si>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</si>
  <si>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</si>
  <si>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</si>
  <si>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1.89 − 1.02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1.06–1.08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</si>
  <si>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</si>
  <si>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</si>
  <si>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ai25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：公司目標「至少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</si>
  <si>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</si>
  <si>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</si>
  <si>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</si>
  <si>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50%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</si>
  <si>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</si>
  <si>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</si>
  <si>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</si>
  <si>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</si>
  <si>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</si>
  <si>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</si>
  <si>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公司指引中點 </t>
    </r>
    <r>
      <rPr>
        <sz val="11"/>
        <color theme="1"/>
        <rFont val="Calibri"/>
        <family val="2"/>
        <charset val="1"/>
      </rPr>
      <t xml:space="preserve">1.07</t>
    </r>
  </si>
  <si>
    <r>
      <rPr>
        <sz val="11"/>
        <color theme="1"/>
        <rFont val="Calibri"/>
        <family val="2"/>
        <charset val="1"/>
      </rPr>
      <t xml:space="preserve">Units — Arista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後端乙太網路交換器的份額（本專案權威，規則第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交換器，不分協定）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</si>
  <si>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</si>
  <si>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</si>
  <si>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</si>
  <si>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</si>
  <si>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</si>
  <si>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</si>
  <si>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t xml:space="preserve">乙太網路占比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</si>
  <si>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</si>
  <si>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後端乙太網路交換器市場</t>
    </r>
  </si>
  <si>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等其他協定（＝市場 − 乙太網路）</t>
    </r>
  </si>
  <si>
    <r>
      <rPr>
        <sz val="11"/>
        <color theme="1"/>
        <rFont val="Noto Sans CJK SC"/>
        <family val="2"/>
      </rPr>
      <t xml:space="preserve">幾乎全為 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</si>
  <si>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有效份額（含前端與 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</si>
  <si>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目標校準</t>
    </r>
  </si>
  <si>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</si>
  <si>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其他廠商（</t>
    </r>
    <r>
      <rPr>
        <sz val="11"/>
        <color theme="1"/>
        <rFont val="Calibri"/>
        <family val="2"/>
        <charset val="1"/>
      </rPr>
      <t xml:space="preserve">NVIDIA Spectrum-X</t>
    </r>
    <r>
      <rPr>
        <sz val="11"/>
        <color theme="1"/>
        <rFont val="Noto Sans CJK SC"/>
        <family val="2"/>
      </rPr>
      <t xml:space="preserve">、白牌、</t>
    </r>
    <r>
      <rPr>
        <sz val="11"/>
        <color theme="1"/>
        <rFont val="Calibri"/>
        <family val="2"/>
        <charset val="1"/>
      </rPr>
      <t xml:space="preserve">Cisco </t>
    </r>
    <r>
      <rPr>
        <sz val="11"/>
        <color theme="1"/>
        <rFont val="Noto Sans CJK SC"/>
        <family val="2"/>
      </rPr>
      <t xml:space="preserve">等）＝ 乙太網路市場 − </t>
    </r>
    <r>
      <rPr>
        <sz val="11"/>
        <color theme="1"/>
        <rFont val="Calibri"/>
        <family val="2"/>
        <charset val="1"/>
      </rPr>
      <t xml:space="preserve">Arista</t>
    </r>
  </si>
  <si>
    <r>
      <rPr>
        <sz val="11"/>
        <color theme="1"/>
        <rFont val="Noto Sans CJK SC"/>
        <family val="2"/>
      </rPr>
      <t xml:space="preserve">上限：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含前端，所以此列偏低</t>
    </r>
  </si>
  <si>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</si>
  <si>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</si>
  <si>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有效份額約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Dell'Oro</t>
    </r>
    <r>
      <rPr>
        <b val="true"/>
        <sz val="11"/>
        <rFont val="Noto Sans CJK SC"/>
        <family val="2"/>
      </rPr>
      <t xml:space="preserve">「</t>
    </r>
    <r>
      <rPr>
        <b val="true"/>
        <sz val="11"/>
        <rFont val="Cambria"/>
        <family val="0"/>
        <charset val="1"/>
      </rPr>
      <t xml:space="preserve">Celestica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合計約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Arista </t>
    </r>
    <r>
      <rPr>
        <b val="true"/>
        <sz val="11"/>
        <rFont val="Noto Sans CJK SC"/>
        <family val="2"/>
      </rPr>
      <t xml:space="preserve">第三」相容；本模型的份額路徑（相對值）是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</si>
  <si>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Arista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1Q–2Q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指引＋全年指引），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</si>
  <si>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</si>
  <si>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</si>
  <si>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</si>
  <si>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</si>
  <si>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</si>
  <si>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</si>
  <si>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</si>
  <si>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</si>
  <si>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</si>
  <si>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</si>
  <si>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</si>
  <si>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</si>
  <si>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</si>
  <si>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</si>
  <si>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</si>
  <si>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− </t>
    </r>
    <r>
      <rPr>
        <b val="true"/>
        <sz val="11"/>
        <rFont val="Noto Sans CJK SC"/>
        <family val="2"/>
      </rPr>
      <t xml:space="preserve">公司目標（校準恆等式）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</si>
  <si>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</si>
  <si>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</si>
  <si>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</si>
  <si>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</si>
  <si>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</si>
  <si>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</si>
  <si>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乙太網路市場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</si>
  <si>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：分子含前端與 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，所以高於純後端份額；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</si>
  <si>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</si>
  <si>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</si>
  <si>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</si>
  <si>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</si>
  <si>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服務營收</t>
  </si>
  <si>
    <r>
      <rPr>
        <sz val="11"/>
        <color theme="1"/>
        <rFont val="Noto Sans CJK SC"/>
        <family val="2"/>
      </rPr>
      <t xml:space="preserve">公司營收線：</t>
    </r>
    <r>
      <rPr>
        <sz val="11"/>
        <color theme="1"/>
        <rFont val="Calibri"/>
        <family val="2"/>
        <charset val="1"/>
      </rPr>
      <t xml:space="preserve">Service</t>
    </r>
  </si>
  <si>
    <r>
      <rPr>
        <sz val="11"/>
        <color theme="1"/>
        <rFont val="Noto Sans CJK SC"/>
        <family val="2"/>
      </rPr>
      <t xml:space="preserve">  產品：非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（園區、企業、路由等；＝非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服務）</t>
    </r>
  </si>
  <si>
    <r>
      <rPr>
        <sz val="11"/>
        <color theme="1"/>
        <rFont val="Noto Sans CJK SC"/>
        <family val="2"/>
      </rPr>
      <t xml:space="preserve">產品營收（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產品）</t>
    </r>
  </si>
  <si>
    <r>
      <rPr>
        <sz val="11"/>
        <color theme="1"/>
        <rFont val="Noto Sans CJK SC"/>
        <family val="2"/>
      </rPr>
      <t xml:space="preserve">公司營收線：</t>
    </r>
    <r>
      <rPr>
        <sz val="11"/>
        <color theme="1"/>
        <rFont val="Calibri"/>
        <family val="2"/>
        <charset val="1"/>
      </rPr>
      <t xml:space="preserve">Product</t>
    </r>
  </si>
  <si>
    <t xml:space="preserve">檢查：產品＋服務 − 合併營收</t>
  </si>
  <si>
    <t xml:space="preserve">營收年增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</si>
  <si>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</si>
  <si>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＝ 錨點毛利率 ＋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</si>
  <si>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占比變動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</si>
  <si>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</si>
  <si>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</si>
  <si>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</si>
  <si>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</si>
  <si>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其他收益</t>
  </si>
  <si>
    <t xml:space="preserve">有效稅率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</si>
  <si>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</si>
  <si>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</si>
  <si>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</si>
  <si>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</si>
  <si>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</si>
  <si>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</si>
  <si>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</si>
  <si>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</si>
  <si>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</si>
  <si>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</si>
  <si>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</si>
  <si>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</si>
  <si>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</si>
  <si>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</si>
  <si>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</si>
  <si>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</si>
  <si>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</si>
  <si>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</si>
  <si>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</si>
  <si>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</si>
  <si>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</si>
  <si>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Noto Sans CJK SC"/>
        <family val="2"/>
      </rPr>
      <t xml:space="preserve">自由現金流（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請求）：淨利（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，延伸表）＋折舊 − 資本支出；折舊、資本支出＝各年營收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fcf_da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fcf_capex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年報比率）；不含營運資金變動、不進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</si>
  <si>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</si>
  <si>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為實績營收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年報比率；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起營收、淨利為收斂法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</si>
  <si>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</si>
  <si>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</si>
  <si>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差距小（約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），十年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適用；規則值以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× g2n</t>
    </r>
    <r>
      <rPr>
        <sz val="11"/>
        <color theme="1"/>
        <rFont val="Noto Sans CJK SC"/>
        <family val="2"/>
      </rPr>
      <t xml:space="preserve">）計算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</si>
  <si>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</si>
  <si>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</si>
  <si>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</si>
  <si>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</si>
  <si>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</si>
  <si>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</si>
  <si>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</si>
  <si>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</si>
  <si>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</si>
  <si>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</si>
  <si>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</si>
  <si>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</si>
  <si>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</si>
  <si>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</si>
  <si>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</si>
  <si>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</si>
  <si>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</si>
  <si>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</si>
  <si>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</si>
  <si>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</si>
  <si>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</si>
  <si>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</si>
  <si>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</si>
  <si>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</si>
  <si>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</si>
  <si>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</si>
  <si>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</si>
  <si>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</si>
  <si>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</si>
  <si>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</si>
  <si>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</si>
  <si>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</si>
  <si>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</si>
  <si>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</si>
  <si>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</si>
  <si>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</si>
  <si>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Cisco</t>
  </si>
  <si>
    <t xml:space="preserve">CSCO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</si>
  <si>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</si>
  <si>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</si>
  <si>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</si>
  <si>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Ciena</t>
  </si>
  <si>
    <t xml:space="preserve">CIEN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</si>
  <si>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</si>
  <si>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Celestica</t>
  </si>
  <si>
    <t xml:space="preserve">CLS</t>
  </si>
  <si>
    <r>
      <rPr>
        <sz val="11"/>
        <color theme="1"/>
        <rFont val="Calibri"/>
        <family val="2"/>
        <charset val="1"/>
      </rPr>
      <t xml:space="preserve">Hewlett Packard Enterprise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Juniper</t>
    </r>
    <r>
      <rPr>
        <sz val="11"/>
        <color theme="1"/>
        <rFont val="Noto Sans CJK SC"/>
        <family val="2"/>
      </rPr>
      <t xml:space="preserve">）</t>
    </r>
  </si>
  <si>
    <t xml:space="preserve">HPE</t>
  </si>
  <si>
    <t xml:space="preserve">Credo</t>
  </si>
  <si>
    <t xml:space="preserve">CRDO</t>
  </si>
  <si>
    <t xml:space="preserve">  同業選擇</t>
  </si>
  <si>
    <r>
      <rPr>
        <sz val="11"/>
        <color theme="1"/>
        <rFont val="Noto Sans CJK SC"/>
        <family val="2"/>
      </rPr>
      <t xml:space="preserve">券商常用的資料中心網通同業（交換器：</t>
    </r>
    <r>
      <rPr>
        <sz val="11"/>
        <color theme="1"/>
        <rFont val="Calibri"/>
        <family val="2"/>
        <charset val="1"/>
      </rPr>
      <t xml:space="preserve">Cisco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Juniper</t>
    </r>
    <r>
      <rPr>
        <sz val="11"/>
        <color theme="1"/>
        <rFont val="Noto Sans CJK SC"/>
        <family val="2"/>
      </rPr>
      <t xml:space="preserve">；光傳輸：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；白牌交換器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互連：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</si>
  <si>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</si>
  <si>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</si>
  <si>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會計年度＝日曆年：約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</si>
  <si>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</si>
  <si>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</si>
  <si>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</si>
  <si>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</si>
  <si>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</si>
  <si>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</si>
  <si>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</si>
  <si>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</si>
  <si>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</si>
  <si>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</si>
  <si>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</si>
  <si>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</si>
  <si>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</si>
  <si>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以後共識未找到）；比較窗為 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，故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用同窗的情境加權 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</si>
  <si>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</si>
  <si>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</si>
  <si>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</si>
  <si>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</si>
  <si>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</si>
  <si>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</si>
  <si>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Val!B106:B115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</si>
  <si>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</si>
  <si>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GAAP ROE 28.6%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起逐年折現，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。偏誤方向：同業成長低於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，中位數偏低（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偏保守）；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</si>
  <si>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</si>
  <si>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</si>
  <si>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</si>
  <si>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</si>
  <si>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</si>
  <si>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</si>
  <si>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</si>
  <si>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</si>
  <si>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</si>
  <si>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</si>
  <si>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</si>
  <si>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</si>
  <si>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A9a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（口徑未註明）</t>
    </r>
  </si>
  <si>
    <r>
      <rPr>
        <sz val="11"/>
        <color theme="1"/>
        <rFont val="Noto Sans CJK SC"/>
        <family val="2"/>
      </rPr>
      <t xml:space="preserve">  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</si>
  <si>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</si>
  <si>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</si>
  <si>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</si>
  <si>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</si>
  <si>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</si>
  <si>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GAAP 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</si>
  <si>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</si>
  <si>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</si>
  <si>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</si>
  <si>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non-GAAP EPS</t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</si>
  <si>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</si>
  <si>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</si>
  <si>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</si>
  <si>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</si>
  <si>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</si>
  <si>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</si>
  <si>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</si>
  <si>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</si>
  <si>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</si>
  <si>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</si>
  <si>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對照：十年中位數（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</si>
  <si>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</si>
  <si>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</t>
    </r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；只作對照，非規則值）</t>
    </r>
  </si>
  <si>
    <t xml:space="preserve">FY2027 EPS</t>
  </si>
  <si>
    <t xml:space="preserve">× 25x</t>
  </si>
  <si>
    <t xml:space="preserve">FY2028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</si>
  <si>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</si>
  <si>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依循環位置取分位；兩個來源各取分位再平均。歷史倍數為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，所以基準用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含高成長期（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52x</t>
    </r>
    <r>
      <rPr>
        <sz val="11"/>
        <color theme="1"/>
        <rFont val="Noto Sans CJK SC"/>
        <family val="2"/>
      </rPr>
      <t xml:space="preserve">），規則值可能高估成長放緩後的倍數。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</si>
  <si>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</si>
  <si>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</si>
  <si>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</si>
  <si>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</si>
  <si>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</si>
  <si>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</si>
  <si>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起頁面無資料：未找到）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</si>
  <si>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</si>
  <si>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</si>
  <si>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</si>
  <si>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</si>
  <si>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</si>
  <si>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</si>
  <si>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</si>
  <si>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</si>
  <si>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</si>
  <si>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</si>
  <si>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</si>
  <si>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</si>
  <si>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</si>
  <si>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</si>
  <si>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</si>
  <si>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</si>
  <si>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</si>
  <si>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</si>
  <si>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</si>
  <si>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</si>
  <si>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</si>
  <si>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</si>
  <si>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</si>
  <si>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</si>
  <si>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</si>
  <si>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</si>
  <si>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</si>
  <si>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</si>
  <si>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</si>
  <si>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</si>
  <si>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</si>
  <si>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</si>
  <si>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</si>
  <si>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</si>
  <si>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</si>
  <si>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</si>
  <si>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</si>
  <si>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</si>
  <si>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</si>
  <si>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</si>
  <si>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</si>
  <si>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</si>
  <si>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</si>
  <si>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EPS × g2n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依循環位置取分位（以本模型營收最高年判定：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兩來源平均）。十年倍數含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年與 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年高成長期的高倍數，偏誤方向為高估；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隱含價相同、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只差在倍數；隱含價約為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</si>
  <si>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</si>
  <si>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</si>
  <si>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</si>
  <si>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</si>
  <si>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</si>
  <si>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</si>
  <si>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</si>
  <si>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</si>
  <si>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</si>
  <si>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</si>
  <si>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</si>
  <si>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</si>
  <si>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</si>
  <si>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</si>
  <si>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</si>
  <si>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</si>
  <si>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</si>
  <si>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Arista</t>
  </si>
  <si>
    <t xml:space="preserve">ANET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</si>
  <si>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</si>
  <si>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ANET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</si>
  <si>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</si>
  <si>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CSCO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</si>
  <si>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CIEN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</si>
  <si>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CLS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</si>
  <si>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HPE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</si>
  <si>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CRDO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</si>
  <si>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</si>
  <si>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</si>
  <si>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</si>
  <si>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</si>
  <si>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</si>
  <si>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</si>
  <si>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</si>
  <si>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</si>
  <si>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</si>
  <si>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</si>
  <si>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</si>
  <si>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</si>
  <si>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</si>
  <si>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</si>
  <si>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公司指引、共識、研調份額。只作事後對照，不為對上數字而調參數。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年共識（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付費）未找到，只有單一分析師與前瞻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隱含值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</si>
  <si>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</si>
  <si>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</si>
  <si>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</si>
  <si>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</si>
  <si>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</si>
  <si>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</si>
  <si>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</si>
  <si>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</si>
  <si>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共識與分析師（校準未使用）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</si>
  <si>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</si>
  <si>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錨點＝公司全年指引 </t>
    </r>
    <r>
      <rPr>
        <sz val="11"/>
        <color theme="1"/>
        <rFont val="Calibri"/>
        <family val="2"/>
        <charset val="1"/>
      </rPr>
      <t xml:space="preserve">12.6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</si>
  <si>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</si>
  <si>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依指引與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</si>
  <si>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FY2027 EPS vs Erste Group</t>
    </r>
    <r>
      <rPr>
        <sz val="11"/>
        <color theme="1"/>
        <rFont val="Noto Sans CJK SC"/>
        <family val="2"/>
      </rPr>
      <t xml:space="preserve">（單一分析師）</t>
    </r>
  </si>
  <si>
    <t xml:space="preserve">MarketBeat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</si>
  <si>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共識：未找到（付費）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</si>
  <si>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</si>
  <si>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</si>
  <si>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  <r>
      <rPr>
        <sz val="11"/>
        <color theme="1"/>
        <rFont val="Noto Sans CJK SC"/>
        <family val="2"/>
      </rPr>
      <t xml:space="preserve">，口徑不同，只作量級比較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</si>
  <si>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</si>
  <si>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份額與市場（先驗比對的機制檢查）</t>
    </r>
  </si>
  <si>
    <r>
      <rPr>
        <sz val="11"/>
        <color theme="1"/>
        <rFont val="Calibri"/>
        <family val="2"/>
        <charset val="1"/>
      </rPr>
      <t xml:space="preserve">FY2026 Arista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IDC </t>
    </r>
    <r>
      <rPr>
        <sz val="11"/>
        <color theme="1"/>
        <rFont val="Noto Sans CJK SC"/>
        <family val="2"/>
      </rPr>
      <t xml:space="preserve">資料中心乙太網路份額（全部速率）</t>
    </r>
  </si>
  <si>
    <t xml:space="preserve">IDC 2Q26</t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</si>
  <si>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含前端與非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</t>
    </r>
  </si>
  <si>
    <r>
      <rPr>
        <sz val="11"/>
        <color theme="1"/>
        <rFont val="Calibri"/>
        <family val="2"/>
        <charset val="1"/>
      </rPr>
      <t xml:space="preserve">FY2026 Arista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1 − 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合計（上限）</t>
    </r>
  </si>
  <si>
    <t xml:space="preserve">Dell'Oro 2025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</si>
  <si>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第三，有效份額應低於上限</t>
    </r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</si>
  <si>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Andy </t>
    </r>
    <r>
      <rPr>
        <sz val="11"/>
        <color theme="1"/>
        <rFont val="Noto Sans CJK SC"/>
        <family val="2"/>
      </rPr>
      <t xml:space="preserve">先驗（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</si>
  <si>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_Andy_Arista A2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</si>
  <si>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</si>
  <si>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</si>
  <si>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A7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4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</si>
  <si>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FY2028 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後端乙太網路市場（有效份額）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</si>
  <si>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</si>
  <si>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</si>
  <si>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</si>
  <si>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毛利率＝此值 − 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</si>
  <si>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</si>
  <si>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</si>
  <si>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占比上升使毛利率下滑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</si>
  <si>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</si>
  <si>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</si>
  <si>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營收，對照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A7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</si>
  <si>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</si>
  <si>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</si>
  <si>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</si>
  <si>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</si>
  <si>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</si>
  <si>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</si>
  <si>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</si>
  <si>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</si>
  <si>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</si>
  <si>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</si>
  <si>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</si>
  <si>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</si>
  <si>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</si>
  <si>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</si>
  <si>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</si>
  <si>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、白牌加速）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</si>
  <si>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</si>
  <si>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</si>
  <si>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乙太網路占比 低</t>
  </si>
  <si>
    <t xml:space="preserve">2026 70% → 2029 75%</t>
  </si>
  <si>
    <t xml:space="preserve">乙太網路占比 高</t>
  </si>
  <si>
    <t xml:space="preserve">2026 80% → 2029 92%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</si>
  <si>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</si>
  <si>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（供給受限或內容不如預期）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</si>
  <si>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</si>
  <si>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</si>
  <si>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</si>
  <si>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2027 +3%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+2%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</si>
  <si>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</si>
  <si>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</si>
  <si>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</si>
  <si>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毛利率只低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</si>
  <si>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</si>
  <si>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</si>
  <si>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</si>
  <si>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</si>
  <si>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</si>
  <si>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</si>
  <si>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</si>
  <si>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</si>
  <si>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起。份額與乙太網路占比的案例中，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有效份額依新的乙太網路占比重算，所以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</si>
  <si>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</si>
  <si>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</si>
  <si>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</si>
  <si>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</si>
  <si>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</si>
  <si>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</si>
  <si>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</si>
  <si>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</si>
  <si>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</si>
  <si>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</si>
  <si>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</si>
  <si>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</si>
  <si>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</si>
  <si>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</si>
  <si>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</si>
  <si>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</si>
  <si>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</si>
  <si>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</si>
  <si>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</si>
  <si>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</si>
  <si>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</si>
  <si>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</si>
  <si>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</si>
  <si>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</si>
  <si>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</si>
  <si>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Arista 8-K </t>
    </r>
    <r>
      <rPr>
        <b val="true"/>
        <sz val="11"/>
        <rFont val="Noto Sans CJK SC"/>
        <family val="2"/>
      </rPr>
      <t xml:space="preserve">新聞稿，已逐份抓取；法說內容只經二手轉述）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</si>
  <si>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新聞稿（含上半年合計、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指引）</t>
    </r>
  </si>
  <si>
    <t xml:space="preserve">https://www.sec.gov/Archives/edgar/data/0001596532/000159653226000174/ex991q226-earningsrelease.htm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</si>
  <si>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新聞稿</t>
    </r>
  </si>
  <si>
    <t xml:space="preserve">https://www.businesswire.com/news/home/20260212962784/en/Arista-Networks-Inc.-Reports-Fourth-Quarter-and-Year-End-2025-Financial-Results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</si>
  <si>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Finance 2Q26 </t>
    </r>
    <r>
      <rPr>
        <sz val="11"/>
        <color theme="1"/>
        <rFont val="Noto Sans CJK SC"/>
        <family val="2"/>
      </rPr>
      <t xml:space="preserve">法說摘要（全年指引 </t>
    </r>
    <r>
      <rPr>
        <sz val="11"/>
        <color theme="1"/>
        <rFont val="Calibri"/>
        <family val="2"/>
        <charset val="1"/>
      </rPr>
      <t xml:space="preserve">12.6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、毛利率與營業利益率指引）</t>
    </r>
  </si>
  <si>
    <t xml:space="preserve">https://finance.biggo.com/news/US_ANET_2026-08-04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</si>
  <si>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彙整（客戶集中、遞延收入、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毛利率與營業利益率）</t>
    </r>
  </si>
  <si>
    <t xml:space="preserve">https://sec-api.io/insights/arista-networks-anet-stock-analysis-q2-2026-ai-networking-revenue-deferred-revenue-customer-concentration-insider-sales-and-scenarios-to-fy2029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</si>
  <si>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Next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、微軟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16%</t>
    </r>
    <r>
      <rPr>
        <sz val="11"/>
        <color theme="1"/>
        <rFont val="Noto Sans CJK SC"/>
        <family val="2"/>
      </rPr>
      <t xml:space="preserve">）</t>
    </r>
  </si>
  <si>
    <t xml:space="preserve">https://www.nextplatform.com/2026/02/13/the-current-ai-networking-wave-will-be-a-tsunami-of-money-by-2027/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</si>
  <si>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IDC 2Q26 </t>
    </r>
    <r>
      <rPr>
        <sz val="11"/>
        <color theme="1"/>
        <rFont val="Noto Sans CJK SC"/>
        <family val="2"/>
      </rPr>
      <t xml:space="preserve">乙太網路交換器（</t>
    </r>
    <r>
      <rPr>
        <sz val="11"/>
        <color theme="1"/>
        <rFont val="Calibri"/>
        <family val="2"/>
        <charset val="1"/>
      </rPr>
      <t xml:space="preserve">NVIDIA 20.4%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18.7%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Cisco 18.2%</t>
    </r>
    <r>
      <rPr>
        <sz val="11"/>
        <color theme="1"/>
        <rFont val="Noto Sans CJK SC"/>
        <family val="2"/>
      </rPr>
      <t xml:space="preserve">）</t>
    </r>
  </si>
  <si>
    <t xml:space="preserve">https://www.idc.com/resource-center/blog/ethernet-switch-market-surges-43-4-to-18-9b-in-2q26-as-ai-infrastructure-demand-drives-record-datacenter-spending/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</si>
  <si>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後端（乙太網路超過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兩倍；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第三）</t>
    </r>
  </si>
  <si>
    <t xml:space="preserve">https://www.delloro.com/news/ethernet-more-than-doubles-size-of-infiniband-as-the-leading-fabric-for-ai-scale-out-networks-in-2025/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</si>
  <si>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現價、前瞻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共識</t>
    </r>
  </si>
  <si>
    <t xml:space="preserve">https://stockanalysis.com/stocks/anet/forecast/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</si>
  <si>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Erste FY2027 EPS 4.79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</si>
  <si>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https://www.marketbeat.com/instant-alerts/estimates-fy2027-eps-forecast-for-arista-networks-increased-by-analyst-2026-10-23/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</si>
  <si>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</si>
  <si>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https://companiesmarketcap.com/arista-networks/pe-ratio/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</si>
  <si>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（至 </t>
    </r>
    <r>
      <rPr>
        <sz val="11"/>
        <color theme="1"/>
        <rFont val="Calibri"/>
        <family val="2"/>
        <charset val="1"/>
      </rPr>
      <t xml:space="preserve">2024-04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</si>
  <si>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https://www.macrotrends.net/stocks/charts/ANET/arista-networks/pe-ratio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</si>
  <si>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</si>
  <si>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共識（付費）；各季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營收；產品別毛利率；前瞻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）；重編後 </t>
    </r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</si>
  <si>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</si>
  <si>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</si>
  <si>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</si>
  <si>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）：折舊與攤銷 </t>
    </r>
    <r>
      <rPr>
        <sz val="11"/>
        <color theme="1"/>
        <rFont val="Calibri"/>
        <family val="2"/>
        <charset val="1"/>
      </rPr>
      <t xml:space="preserve">72.6</t>
    </r>
    <r>
      <rPr>
        <sz val="11"/>
        <color theme="1"/>
        <rFont val="Noto Sans CJK SC"/>
        <family val="2"/>
      </rPr>
      <t xml:space="preserve">、購置不動產設備與無形資產 </t>
    </r>
    <r>
      <rPr>
        <sz val="11"/>
        <color theme="1"/>
        <rFont val="Calibri"/>
        <family val="2"/>
        <charset val="1"/>
      </rPr>
      <t xml:space="preserve">119.5</t>
    </r>
    <r>
      <rPr>
        <sz val="11"/>
        <color theme="1"/>
        <rFont val="Noto Sans CJK SC"/>
        <family val="2"/>
      </rPr>
      <t xml:space="preserve">（百萬美元）；營收 </t>
    </r>
    <r>
      <rPr>
        <sz val="11"/>
        <color theme="1"/>
        <rFont val="Calibri"/>
        <family val="2"/>
        <charset val="1"/>
      </rPr>
      <t xml:space="preserve">9,006 </t>
    </r>
    <r>
      <rPr>
        <sz val="11"/>
        <color theme="1"/>
        <rFont val="Noto Sans CJK SC"/>
        <family val="2"/>
      </rPr>
      <t xml:space="preserve">百萬美元——自由現金流比率錨點</t>
    </r>
  </si>
  <si>
    <r>
      <rPr>
        <sz val="11"/>
        <color theme="1"/>
        <rFont val="Calibri"/>
        <family val="2"/>
        <charset val="1"/>
      </rPr>
      <t xml:space="preserve">https://data.sec.gov/api/xbrl/companyconcept/CIK0001596532/us-gaap/DepreciationDepletionAndAmortization.json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https://data.sec.gov/api/xbrl/companyconcept/CIK0001596532/us-gaap/PaymentsToAcquireProductiveAssets.json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accession 0001596532-26-000013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</si>
  <si>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自由現金流：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fcf_da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fcf_capex</t>
    </r>
    <r>
      <rPr>
        <sz val="11"/>
        <color theme="1"/>
        <rFont val="Noto Sans CJK SC"/>
        <family val="2"/>
      </rPr>
      <t xml:space="preserve">）；不含營運資金變動</t>
    </r>
  </si>
  <si>
    <t xml:space="preserve">本模型假設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</si>
</sst>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#,##0.000"/>
    <numFmt numFmtId="167" formatCode="0.0%"/>
    <numFmt numFmtId="168" formatCode="0.000"/>
    <numFmt numFmtId="169" formatCode="0.00"/>
    <numFmt numFmtId="170" formatCode="#,##0.0"/>
    <numFmt numFmtId="171" formatCode="#,##0.00"/>
    <numFmt numFmtId="172" formatCode="0.0000"/>
    <numFmt numFmtId="173" formatCode="0.0"/>
    <numFmt numFmtId="174" formatCode="0%"/>
    <numFmt numFmtId="175" formatCode="@"/>
    <numFmt numFmtId="176" formatCode="#,##0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1" t="str">
        <f aca="false">"投資建議："&amp;Val!B53&amp;"（依上檔空間固定規則）"</f>
        <v>投資建議：中立（依上檔空間固定規則）</v>
      </c>
    </row>
    <row r="21" customFormat="false" ht="17.15" hidden="false" customHeight="false" outlineLevel="0" collapsed="false">
      <c r="A21" s="0" t="str">
        <f aca="false">"重點觀察 1：目標價 US$"&amp;TEXT(Val!$B$40,"#,##0.00")&amp;"（DCF "&amp;TEXT(Val!$B$23,"#,##0.00")&amp;"、Comparable（相對倍數調整後）"&amp;TEXT(tp_comp_adj,"#,##0.00")&amp;"；DCF 權重 "&amp;TEXT(tp_w_dcf,"0%")&amp;"），比現價 "&amp;TEXT(px,"#,##0.00")&amp;"（2026-10-23）"&amp;IF(Val!$B$43&gt;=0,"高 "&amp;TEXT(Val!$B$43,"0.0%"),"低 "&amp;TEXT(-Val!$B$43,"0.0%"))&amp;"，級距 "&amp;Val!$B$52&amp;"、投資建議 "&amp;Val!$B$53&amp;"。相對倍數調整係數 "&amp;TEXT(rm_factor,"0.00")&amp;"（本公司 10 年前瞻倍數中位數 ÷ 同業的中位數，夾在 0.5–2.0；Val 第 0.5 節），調整前加權上檔空間 "&amp;TEXT((tp_w_dcf*Val!$B$23+(1-tp_w_dcf)*Val!$B$36)/px-1,"+0.0%;−0.0%")&amp;"；Comparable 單獨（市場主流同業法、未調整）為 "&amp;TEXT(Val!$B$44,"+0.0%;−0.0%")&amp;"。"&amp;"以下為 2026-10-29 相對倍數調整前撰寫的說明，其中數字為調整前：主因是倍數不是 EPS：本模型 12 個月後前瞻 EPS 5.53 比共識前瞻 EPS 4.65 高 12.6%（期間差約一年），但同業（Cisco、Ciena、Celestica、HPE、Credo）前瞻 P/E 中位數 20.2 倍，現價隱含 37.1 倍、共識目標價 243.59 隱含 52.4 倍（比同業高 159%"&amp;"）；市場給 Arista 的 AI 乙太網路份額與高毛利溢價，Comparable 未計入。DCF 87.2 更低，因 ROE 雖有 28.6%，B 情境 FY2028 EPS 5.51 幾乎不成長（+0.8%）。"</f>
        <v>重點觀察 1：目標價 US$155.30（DCF 87.24、Comparable（相對倍數調整後）223.36；DCF 權重 50%），比現價 172.37（2026-10-23）低 9.9%，級距 0%～−25%、投資建議 中立。相對倍數調整係數 2.00（本公司 10 年前瞻倍數中位數 ÷ 同業的中位數，夾在 0.5–2.0；Val 第 0.5 節），調整前加權上檔空間 −42.3%；Comparable 單獨（市場主流同業法、未調整）為 −35.2%。以下為 2026-10-29 相對倍數調整前撰寫的說明，其中數字為調整前：主因是倍數不是 EPS：本模型 12 個月後前瞻 EPS 5.53 比共識前瞻 EPS 4.65 高 12.6%（期間差約一年），但同業（Cisco、Ciena、Celestica、HPE、Credo）前瞻 P/E 中位數 20.2 倍，現價隱含 37.1 倍、共識目標價 243.59 隱含 52.4 倍（比同業高 159%）；市場給 Arista 的 AI 乙太網路份額與高毛利溢價，Comparable 未計入。DCF 87.2 更低，因 ROE 雖有 28.6%，B 情境 FY2028 EPS 5.51 幾乎不成長（+0.8%）。</v>
      </c>
    </row>
    <row r="22" customFormat="false" ht="17.15" hidden="false" customHeight="false" outlineLevel="0" collapsed="false">
      <c r="A22" s="5" t="s">
        <v>16</v>
      </c>
    </row>
    <row r="23" customFormat="false" ht="17.15" hidden="false" customHeight="false" outlineLevel="0" collapsed="false">
      <c r="A23" s="5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5" t="s">
        <v>21</v>
      </c>
    </row>
    <row r="3" customFormat="false" ht="17.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0" t="s">
        <v>34</v>
      </c>
      <c r="E5" s="7" t="n">
        <v>32.0719</v>
      </c>
      <c r="G5" s="8" t="s">
        <v>35</v>
      </c>
      <c r="H5" s="8" t="s">
        <v>36</v>
      </c>
      <c r="I5" s="5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0" t="s">
        <v>34</v>
      </c>
      <c r="E6" s="7" t="n">
        <v>61.085</v>
      </c>
      <c r="G6" s="8" t="s">
        <v>35</v>
      </c>
      <c r="H6" s="8" t="s">
        <v>36</v>
      </c>
      <c r="I6" s="5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34</v>
      </c>
      <c r="E7" s="7" t="n">
        <v>69.005</v>
      </c>
      <c r="G7" s="8" t="s">
        <v>35</v>
      </c>
      <c r="H7" s="8" t="s">
        <v>36</v>
      </c>
      <c r="I7" s="5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34</v>
      </c>
      <c r="E8" s="7" t="n">
        <v>78.48215</v>
      </c>
      <c r="G8" s="8" t="s">
        <v>35</v>
      </c>
      <c r="H8" s="8" t="s">
        <v>36</v>
      </c>
      <c r="I8" s="5" t="s">
        <v>40</v>
      </c>
    </row>
    <row r="9" customFormat="false" ht="17.15" hidden="false" customHeight="false" outlineLevel="0" collapsed="false">
      <c r="A9" s="0" t="s">
        <v>45</v>
      </c>
      <c r="B9" s="0" t="s">
        <v>46</v>
      </c>
      <c r="C9" s="0" t="s">
        <v>34</v>
      </c>
      <c r="E9" s="7" t="n">
        <v>781.872916666666</v>
      </c>
      <c r="G9" s="8" t="s">
        <v>35</v>
      </c>
      <c r="H9" s="8" t="s">
        <v>47</v>
      </c>
      <c r="I9" s="8" t="s">
        <v>48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0" t="s">
        <v>34</v>
      </c>
      <c r="E10" s="7" t="n">
        <v>1565.35</v>
      </c>
      <c r="G10" s="8" t="s">
        <v>35</v>
      </c>
      <c r="H10" s="8" t="s">
        <v>47</v>
      </c>
      <c r="I10" s="5" t="s">
        <v>40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34</v>
      </c>
      <c r="E11" s="7" t="n">
        <v>1984.26388888889</v>
      </c>
      <c r="G11" s="8" t="s">
        <v>35</v>
      </c>
      <c r="H11" s="8" t="s">
        <v>47</v>
      </c>
      <c r="I11" s="5" t="s">
        <v>40</v>
      </c>
    </row>
    <row r="12" customFormat="false" ht="17.15" hidden="false" customHeight="false" outlineLevel="0" collapsed="false">
      <c r="A12" s="0" t="s">
        <v>53</v>
      </c>
      <c r="B12" s="0" t="s">
        <v>54</v>
      </c>
      <c r="C12" s="0" t="s">
        <v>34</v>
      </c>
      <c r="E12" s="7" t="n">
        <v>2260.39027777778</v>
      </c>
      <c r="G12" s="8" t="s">
        <v>35</v>
      </c>
      <c r="H12" s="8" t="s">
        <v>47</v>
      </c>
      <c r="I12" s="5" t="s">
        <v>40</v>
      </c>
    </row>
    <row r="13" customFormat="false" ht="17.15" hidden="false" customHeight="false" outlineLevel="0" collapsed="false">
      <c r="A13" s="0" t="s">
        <v>55</v>
      </c>
      <c r="B13" s="5" t="s">
        <v>56</v>
      </c>
      <c r="C13" s="0" t="s">
        <v>57</v>
      </c>
      <c r="E13" s="7" t="n">
        <v>1</v>
      </c>
      <c r="G13" s="8" t="s">
        <v>58</v>
      </c>
      <c r="H13" s="8" t="s">
        <v>59</v>
      </c>
      <c r="I13" s="8" t="s">
        <v>60</v>
      </c>
    </row>
    <row r="14" customFormat="false" ht="17.15" hidden="false" customHeight="false" outlineLevel="0" collapsed="false">
      <c r="A14" s="0" t="s">
        <v>61</v>
      </c>
      <c r="B14" s="5" t="s">
        <v>62</v>
      </c>
      <c r="C14" s="0" t="s">
        <v>57</v>
      </c>
      <c r="E14" s="7" t="n">
        <v>1</v>
      </c>
      <c r="G14" s="8" t="s">
        <v>58</v>
      </c>
      <c r="H14" s="8" t="s">
        <v>63</v>
      </c>
      <c r="I14" s="5" t="s">
        <v>40</v>
      </c>
    </row>
    <row r="15" customFormat="false" ht="17.15" hidden="false" customHeight="false" outlineLevel="0" collapsed="false">
      <c r="A15" s="0" t="s">
        <v>64</v>
      </c>
      <c r="B15" s="5" t="s">
        <v>65</v>
      </c>
      <c r="C15" s="0" t="s">
        <v>57</v>
      </c>
      <c r="E15" s="7" t="n">
        <v>0.8</v>
      </c>
      <c r="G15" s="8" t="s">
        <v>58</v>
      </c>
      <c r="H15" s="8" t="s">
        <v>66</v>
      </c>
      <c r="I15" s="8" t="s">
        <v>60</v>
      </c>
    </row>
    <row r="16" customFormat="false" ht="17.15" hidden="false" customHeight="false" outlineLevel="0" collapsed="false">
      <c r="A16" s="0" t="s">
        <v>67</v>
      </c>
      <c r="B16" s="5" t="s">
        <v>68</v>
      </c>
      <c r="C16" s="0" t="s">
        <v>57</v>
      </c>
      <c r="E16" s="7" t="n">
        <v>0.85</v>
      </c>
      <c r="G16" s="8" t="s">
        <v>58</v>
      </c>
      <c r="H16" s="8" t="s">
        <v>69</v>
      </c>
      <c r="I16" s="5" t="s">
        <v>40</v>
      </c>
    </row>
    <row r="17" customFormat="false" ht="17.15" hidden="false" customHeight="false" outlineLevel="0" collapsed="false">
      <c r="A17" s="0" t="s">
        <v>70</v>
      </c>
      <c r="B17" s="5" t="s">
        <v>71</v>
      </c>
      <c r="C17" s="0" t="s">
        <v>57</v>
      </c>
      <c r="E17" s="7" t="n">
        <v>0.6</v>
      </c>
      <c r="G17" s="8" t="s">
        <v>58</v>
      </c>
      <c r="H17" s="8" t="s">
        <v>72</v>
      </c>
      <c r="I17" s="8" t="s">
        <v>60</v>
      </c>
    </row>
    <row r="18" customFormat="false" ht="17.15" hidden="false" customHeight="false" outlineLevel="0" collapsed="false">
      <c r="A18" s="0" t="s">
        <v>73</v>
      </c>
      <c r="B18" s="5" t="s">
        <v>74</v>
      </c>
      <c r="C18" s="0" t="s">
        <v>57</v>
      </c>
      <c r="E18" s="7" t="n">
        <v>0.6</v>
      </c>
      <c r="G18" s="8" t="s">
        <v>58</v>
      </c>
      <c r="H18" s="8" t="s">
        <v>75</v>
      </c>
      <c r="I18" s="5" t="s">
        <v>40</v>
      </c>
    </row>
    <row r="19" customFormat="false" ht="17.15" hidden="false" customHeight="false" outlineLevel="0" collapsed="false">
      <c r="A19" s="1" t="s">
        <v>76</v>
      </c>
    </row>
    <row r="20" customFormat="false" ht="17.15" hidden="false" customHeight="false" outlineLevel="0" collapsed="false">
      <c r="A20" s="0" t="s">
        <v>77</v>
      </c>
      <c r="B20" s="5" t="s">
        <v>78</v>
      </c>
      <c r="C20" s="0" t="s">
        <v>79</v>
      </c>
      <c r="D20" s="7" t="n">
        <v>0.7</v>
      </c>
      <c r="E20" s="7" t="n">
        <v>0.75</v>
      </c>
      <c r="F20" s="7" t="n">
        <v>0.8</v>
      </c>
      <c r="G20" s="8" t="s">
        <v>58</v>
      </c>
      <c r="H20" s="8" t="s">
        <v>80</v>
      </c>
      <c r="I20" s="8" t="s">
        <v>81</v>
      </c>
    </row>
    <row r="21" customFormat="false" ht="17.15" hidden="false" customHeight="false" outlineLevel="0" collapsed="false">
      <c r="A21" s="0" t="s">
        <v>82</v>
      </c>
      <c r="B21" s="5" t="s">
        <v>83</v>
      </c>
      <c r="C21" s="0" t="s">
        <v>79</v>
      </c>
      <c r="D21" s="7" t="n">
        <v>0.72</v>
      </c>
      <c r="E21" s="7" t="n">
        <v>0.8</v>
      </c>
      <c r="F21" s="7" t="n">
        <v>0.88</v>
      </c>
      <c r="G21" s="8" t="s">
        <v>58</v>
      </c>
      <c r="H21" s="5" t="s">
        <v>84</v>
      </c>
      <c r="I21" s="5" t="s">
        <v>85</v>
      </c>
    </row>
    <row r="22" customFormat="false" ht="17.15" hidden="false" customHeight="false" outlineLevel="0" collapsed="false">
      <c r="A22" s="0" t="s">
        <v>86</v>
      </c>
      <c r="B22" s="5" t="s">
        <v>87</v>
      </c>
      <c r="C22" s="0" t="s">
        <v>79</v>
      </c>
      <c r="D22" s="7" t="n">
        <v>0.74</v>
      </c>
      <c r="E22" s="7" t="n">
        <v>0.83</v>
      </c>
      <c r="F22" s="7" t="n">
        <v>0.9</v>
      </c>
      <c r="G22" s="8" t="s">
        <v>58</v>
      </c>
      <c r="H22" s="5" t="s">
        <v>40</v>
      </c>
      <c r="I22" s="8" t="s">
        <v>88</v>
      </c>
    </row>
    <row r="23" customFormat="false" ht="17.15" hidden="false" customHeight="false" outlineLevel="0" collapsed="false">
      <c r="A23" s="0" t="s">
        <v>89</v>
      </c>
      <c r="B23" s="5" t="s">
        <v>90</v>
      </c>
      <c r="C23" s="0" t="s">
        <v>79</v>
      </c>
      <c r="D23" s="7" t="n">
        <v>0.75</v>
      </c>
      <c r="E23" s="7" t="n">
        <v>0.85</v>
      </c>
      <c r="F23" s="7" t="n">
        <v>0.92</v>
      </c>
      <c r="G23" s="8" t="s">
        <v>58</v>
      </c>
      <c r="H23" s="5" t="s">
        <v>40</v>
      </c>
      <c r="I23" s="8" t="s">
        <v>88</v>
      </c>
    </row>
    <row r="24" customFormat="false" ht="17.15" hidden="false" customHeight="false" outlineLevel="0" collapsed="false">
      <c r="A24" s="0" t="s">
        <v>91</v>
      </c>
      <c r="B24" s="0" t="s">
        <v>92</v>
      </c>
      <c r="C24" s="0" t="s">
        <v>57</v>
      </c>
      <c r="D24" s="7" t="n">
        <v>0.8</v>
      </c>
      <c r="E24" s="7" t="n">
        <v>0.95</v>
      </c>
      <c r="F24" s="7" t="n">
        <v>1.05</v>
      </c>
      <c r="G24" s="8" t="s">
        <v>58</v>
      </c>
      <c r="H24" s="8" t="s">
        <v>93</v>
      </c>
      <c r="I24" s="8" t="s">
        <v>94</v>
      </c>
    </row>
    <row r="25" customFormat="false" ht="17.15" hidden="false" customHeight="false" outlineLevel="0" collapsed="false">
      <c r="A25" s="0" t="s">
        <v>95</v>
      </c>
      <c r="B25" s="0" t="s">
        <v>96</v>
      </c>
      <c r="C25" s="0" t="s">
        <v>57</v>
      </c>
      <c r="D25" s="7" t="n">
        <v>0.7</v>
      </c>
      <c r="E25" s="7" t="n">
        <v>0.9</v>
      </c>
      <c r="F25" s="7" t="n">
        <v>1.05</v>
      </c>
      <c r="G25" s="8" t="s">
        <v>58</v>
      </c>
      <c r="H25" s="5" t="s">
        <v>40</v>
      </c>
      <c r="I25" s="8" t="s">
        <v>88</v>
      </c>
    </row>
    <row r="26" customFormat="false" ht="17.15" hidden="false" customHeight="false" outlineLevel="0" collapsed="false">
      <c r="A26" s="0" t="s">
        <v>97</v>
      </c>
      <c r="B26" s="0" t="s">
        <v>98</v>
      </c>
      <c r="C26" s="0" t="s">
        <v>57</v>
      </c>
      <c r="D26" s="7" t="n">
        <v>0.65</v>
      </c>
      <c r="E26" s="7" t="n">
        <v>0.88</v>
      </c>
      <c r="F26" s="7" t="n">
        <v>1.05</v>
      </c>
      <c r="G26" s="8" t="s">
        <v>58</v>
      </c>
      <c r="H26" s="5" t="s">
        <v>40</v>
      </c>
      <c r="I26" s="8" t="s">
        <v>88</v>
      </c>
    </row>
    <row r="27" customFormat="false" ht="17.15" hidden="false" customHeight="false" outlineLevel="0" collapsed="false">
      <c r="A27" s="1" t="s">
        <v>99</v>
      </c>
    </row>
    <row r="28" customFormat="false" ht="17.15" hidden="false" customHeight="false" outlineLevel="0" collapsed="false">
      <c r="A28" s="0" t="s">
        <v>100</v>
      </c>
      <c r="B28" s="5" t="s">
        <v>101</v>
      </c>
      <c r="C28" s="0" t="s">
        <v>79</v>
      </c>
      <c r="D28" s="7" t="n">
        <v>0.03</v>
      </c>
      <c r="E28" s="7" t="n">
        <v>0.1</v>
      </c>
      <c r="F28" s="7" t="n">
        <v>0.15</v>
      </c>
      <c r="G28" s="8" t="s">
        <v>58</v>
      </c>
      <c r="H28" s="8" t="s">
        <v>102</v>
      </c>
      <c r="I28" s="5" t="s">
        <v>103</v>
      </c>
    </row>
    <row r="29" customFormat="false" ht="17.15" hidden="false" customHeight="false" outlineLevel="0" collapsed="false">
      <c r="A29" s="0" t="s">
        <v>104</v>
      </c>
      <c r="B29" s="0" t="s">
        <v>105</v>
      </c>
      <c r="C29" s="0" t="s">
        <v>34</v>
      </c>
      <c r="E29" s="7" t="n">
        <v>1.4288</v>
      </c>
      <c r="G29" s="8" t="s">
        <v>106</v>
      </c>
      <c r="H29" s="8" t="s">
        <v>107</v>
      </c>
      <c r="I29" s="5" t="s">
        <v>108</v>
      </c>
    </row>
    <row r="30" customFormat="false" ht="17.15" hidden="false" customHeight="false" outlineLevel="0" collapsed="false">
      <c r="A30" s="0" t="s">
        <v>109</v>
      </c>
      <c r="B30" s="5" t="s">
        <v>110</v>
      </c>
      <c r="C30" s="0" t="s">
        <v>79</v>
      </c>
      <c r="D30" s="7" t="n">
        <v>0.15</v>
      </c>
      <c r="E30" s="7" t="n">
        <v>0.22</v>
      </c>
      <c r="F30" s="7" t="n">
        <v>0.28</v>
      </c>
      <c r="G30" s="8" t="s">
        <v>58</v>
      </c>
      <c r="H30" s="8" t="s">
        <v>111</v>
      </c>
      <c r="I30" s="5" t="s">
        <v>112</v>
      </c>
    </row>
    <row r="31" customFormat="false" ht="17.15" hidden="false" customHeight="false" outlineLevel="0" collapsed="false">
      <c r="A31" s="0" t="s">
        <v>113</v>
      </c>
      <c r="B31" s="5" t="s">
        <v>114</v>
      </c>
      <c r="C31" s="0" t="s">
        <v>79</v>
      </c>
      <c r="D31" s="7" t="n">
        <v>0.1</v>
      </c>
      <c r="E31" s="7" t="n">
        <v>0.15</v>
      </c>
      <c r="F31" s="7" t="n">
        <v>0.2</v>
      </c>
      <c r="G31" s="8" t="s">
        <v>58</v>
      </c>
      <c r="H31" s="8" t="s">
        <v>111</v>
      </c>
      <c r="I31" s="5" t="s">
        <v>112</v>
      </c>
    </row>
    <row r="32" customFormat="false" ht="17.15" hidden="false" customHeight="false" outlineLevel="0" collapsed="false">
      <c r="A32" s="0" t="s">
        <v>115</v>
      </c>
      <c r="B32" s="5" t="s">
        <v>116</v>
      </c>
      <c r="C32" s="0" t="s">
        <v>79</v>
      </c>
      <c r="D32" s="7" t="n">
        <v>0.06</v>
      </c>
      <c r="E32" s="7" t="n">
        <v>0.1</v>
      </c>
      <c r="F32" s="7" t="n">
        <v>0.15</v>
      </c>
      <c r="G32" s="8" t="s">
        <v>58</v>
      </c>
      <c r="H32" s="8" t="s">
        <v>111</v>
      </c>
      <c r="I32" s="5" t="s">
        <v>112</v>
      </c>
    </row>
    <row r="33" customFormat="false" ht="17.15" hidden="false" customHeight="false" outlineLevel="0" collapsed="false">
      <c r="A33" s="0" t="s">
        <v>117</v>
      </c>
      <c r="B33" s="5" t="s">
        <v>118</v>
      </c>
      <c r="C33" s="0" t="s">
        <v>79</v>
      </c>
      <c r="D33" s="7" t="n">
        <v>0.05</v>
      </c>
      <c r="E33" s="7" t="n">
        <v>0.08</v>
      </c>
      <c r="F33" s="7" t="n">
        <v>0.12</v>
      </c>
      <c r="G33" s="8" t="s">
        <v>58</v>
      </c>
      <c r="H33" s="8" t="s">
        <v>111</v>
      </c>
      <c r="I33" s="5" t="s">
        <v>112</v>
      </c>
    </row>
    <row r="34" customFormat="false" ht="17.15" hidden="false" customHeight="false" outlineLevel="0" collapsed="false">
      <c r="A34" s="0" t="s">
        <v>119</v>
      </c>
      <c r="B34" s="5" t="s">
        <v>120</v>
      </c>
      <c r="C34" s="0" t="s">
        <v>79</v>
      </c>
      <c r="D34" s="7" t="n">
        <v>0.02</v>
      </c>
      <c r="E34" s="7" t="n">
        <v>0.08</v>
      </c>
      <c r="F34" s="7" t="n">
        <v>0.12</v>
      </c>
      <c r="G34" s="8" t="s">
        <v>58</v>
      </c>
      <c r="H34" s="5" t="s">
        <v>40</v>
      </c>
      <c r="I34" s="8" t="s">
        <v>88</v>
      </c>
    </row>
    <row r="35" customFormat="false" ht="17.15" hidden="false" customHeight="false" outlineLevel="0" collapsed="false">
      <c r="A35" s="0" t="s">
        <v>121</v>
      </c>
      <c r="B35" s="5" t="s">
        <v>122</v>
      </c>
      <c r="C35" s="0" t="s">
        <v>79</v>
      </c>
      <c r="D35" s="7" t="n">
        <v>0.02</v>
      </c>
      <c r="E35" s="7" t="n">
        <v>0.06</v>
      </c>
      <c r="F35" s="7" t="n">
        <v>0.1</v>
      </c>
      <c r="G35" s="8" t="s">
        <v>58</v>
      </c>
      <c r="H35" s="5" t="s">
        <v>40</v>
      </c>
      <c r="I35" s="8" t="s">
        <v>88</v>
      </c>
    </row>
    <row r="36" customFormat="false" ht="17.15" hidden="false" customHeight="false" outlineLevel="0" collapsed="false">
      <c r="A36" s="0" t="s">
        <v>123</v>
      </c>
      <c r="B36" s="0" t="s">
        <v>124</v>
      </c>
      <c r="C36" s="0" t="s">
        <v>34</v>
      </c>
      <c r="D36" s="7" t="n">
        <v>1.5</v>
      </c>
      <c r="E36" s="7" t="n">
        <v>1.63</v>
      </c>
      <c r="F36" s="7" t="n">
        <v>1.8</v>
      </c>
      <c r="G36" s="8" t="s">
        <v>35</v>
      </c>
      <c r="H36" s="8" t="s">
        <v>125</v>
      </c>
      <c r="I36" s="5" t="s">
        <v>126</v>
      </c>
    </row>
    <row r="37" customFormat="false" ht="17.15" hidden="false" customHeight="false" outlineLevel="0" collapsed="false">
      <c r="A37" s="1" t="s">
        <v>127</v>
      </c>
    </row>
    <row r="38" customFormat="false" ht="17.15" hidden="false" customHeight="false" outlineLevel="0" collapsed="false">
      <c r="A38" s="0" t="s">
        <v>128</v>
      </c>
      <c r="B38" s="0" t="s">
        <v>129</v>
      </c>
      <c r="C38" s="0" t="s">
        <v>130</v>
      </c>
      <c r="D38" s="7" t="n">
        <v>0.03</v>
      </c>
      <c r="E38" s="7" t="n">
        <v>0.06</v>
      </c>
      <c r="F38" s="7" t="n">
        <v>0.1</v>
      </c>
      <c r="G38" s="8" t="s">
        <v>58</v>
      </c>
      <c r="H38" s="5" t="s">
        <v>131</v>
      </c>
      <c r="I38" s="5" t="s">
        <v>132</v>
      </c>
    </row>
    <row r="39" customFormat="false" ht="17.15" hidden="false" customHeight="false" outlineLevel="0" collapsed="false">
      <c r="A39" s="1" t="s">
        <v>133</v>
      </c>
    </row>
    <row r="40" customFormat="false" ht="17.15" hidden="false" customHeight="false" outlineLevel="0" collapsed="false">
      <c r="A40" s="0" t="s">
        <v>134</v>
      </c>
      <c r="B40" s="0" t="s">
        <v>135</v>
      </c>
      <c r="C40" s="0" t="s">
        <v>34</v>
      </c>
      <c r="E40" s="7" t="n">
        <v>12.6</v>
      </c>
      <c r="G40" s="8" t="s">
        <v>136</v>
      </c>
      <c r="H40" s="5" t="s">
        <v>137</v>
      </c>
      <c r="I40" s="8" t="s">
        <v>138</v>
      </c>
    </row>
    <row r="41" customFormat="false" ht="17.15" hidden="false" customHeight="false" outlineLevel="0" collapsed="false">
      <c r="A41" s="0" t="s">
        <v>139</v>
      </c>
      <c r="B41" s="0" t="s">
        <v>140</v>
      </c>
      <c r="C41" s="0" t="s">
        <v>79</v>
      </c>
      <c r="D41" s="7" t="n">
        <v>0.62</v>
      </c>
      <c r="E41" s="7" t="n">
        <v>0.63</v>
      </c>
      <c r="F41" s="7" t="n">
        <v>0.64</v>
      </c>
      <c r="G41" s="8" t="s">
        <v>136</v>
      </c>
      <c r="H41" s="5" t="s">
        <v>141</v>
      </c>
      <c r="I41" s="8" t="s">
        <v>142</v>
      </c>
    </row>
    <row r="42" customFormat="false" ht="17.15" hidden="false" customHeight="false" outlineLevel="0" collapsed="false">
      <c r="A42" s="0" t="s">
        <v>143</v>
      </c>
      <c r="B42" s="0" t="s">
        <v>144</v>
      </c>
      <c r="C42" s="0" t="s">
        <v>79</v>
      </c>
      <c r="D42" s="7" t="n">
        <v>0.48</v>
      </c>
      <c r="E42" s="7" t="n">
        <v>0.485</v>
      </c>
      <c r="F42" s="7" t="n">
        <v>0.49</v>
      </c>
      <c r="G42" s="8" t="s">
        <v>136</v>
      </c>
      <c r="H42" s="5" t="s">
        <v>145</v>
      </c>
      <c r="I42" s="8" t="s">
        <v>142</v>
      </c>
    </row>
    <row r="43" customFormat="false" ht="17.15" hidden="false" customHeight="false" outlineLevel="0" collapsed="false">
      <c r="A43" s="0" t="s">
        <v>146</v>
      </c>
      <c r="B43" s="0" t="s">
        <v>147</v>
      </c>
      <c r="C43" s="0" t="s">
        <v>34</v>
      </c>
      <c r="E43" s="7" t="n">
        <v>3.3</v>
      </c>
      <c r="G43" s="8" t="s">
        <v>136</v>
      </c>
      <c r="H43" s="8" t="s">
        <v>148</v>
      </c>
      <c r="I43" s="8" t="s">
        <v>149</v>
      </c>
    </row>
    <row r="44" customFormat="false" ht="17.15" hidden="false" customHeight="false" outlineLevel="0" collapsed="false">
      <c r="A44" s="0" t="s">
        <v>150</v>
      </c>
      <c r="B44" s="0" t="s">
        <v>151</v>
      </c>
      <c r="C44" s="0" t="s">
        <v>79</v>
      </c>
      <c r="D44" s="7" t="n">
        <v>0.62</v>
      </c>
      <c r="E44" s="7" t="n">
        <v>0.63</v>
      </c>
      <c r="F44" s="7" t="n">
        <v>0.64</v>
      </c>
      <c r="G44" s="8" t="s">
        <v>136</v>
      </c>
      <c r="H44" s="5" t="s">
        <v>152</v>
      </c>
      <c r="I44" s="5" t="s">
        <v>153</v>
      </c>
    </row>
    <row r="45" customFormat="false" ht="17.15" hidden="false" customHeight="false" outlineLevel="0" collapsed="false">
      <c r="A45" s="0" t="s">
        <v>154</v>
      </c>
      <c r="B45" s="0" t="s">
        <v>155</v>
      </c>
      <c r="C45" s="0" t="s">
        <v>79</v>
      </c>
      <c r="D45" s="7" t="n">
        <v>0.48</v>
      </c>
      <c r="E45" s="7" t="n">
        <v>0.485</v>
      </c>
      <c r="F45" s="7" t="n">
        <v>0.49</v>
      </c>
      <c r="G45" s="8" t="s">
        <v>136</v>
      </c>
      <c r="H45" s="8" t="s">
        <v>156</v>
      </c>
      <c r="I45" s="8" t="s">
        <v>88</v>
      </c>
    </row>
    <row r="46" customFormat="false" ht="17.15" hidden="false" customHeight="false" outlineLevel="0" collapsed="false">
      <c r="A46" s="0" t="s">
        <v>157</v>
      </c>
      <c r="B46" s="0" t="s">
        <v>158</v>
      </c>
      <c r="C46" s="0" t="s">
        <v>34</v>
      </c>
      <c r="D46" s="7" t="n">
        <v>0.12</v>
      </c>
      <c r="E46" s="7" t="n">
        <v>0.13</v>
      </c>
      <c r="F46" s="7" t="n">
        <v>0.14</v>
      </c>
      <c r="G46" s="8" t="s">
        <v>35</v>
      </c>
      <c r="H46" s="8" t="s">
        <v>159</v>
      </c>
      <c r="I46" s="5" t="s">
        <v>160</v>
      </c>
    </row>
    <row r="47" customFormat="false" ht="17.15" hidden="false" customHeight="false" outlineLevel="0" collapsed="false">
      <c r="A47" s="0" t="s">
        <v>161</v>
      </c>
      <c r="B47" s="0" t="s">
        <v>162</v>
      </c>
      <c r="C47" s="0" t="s">
        <v>79</v>
      </c>
      <c r="D47" s="7" t="n">
        <v>0.2</v>
      </c>
      <c r="E47" s="7" t="n">
        <v>0.21</v>
      </c>
      <c r="F47" s="7" t="n">
        <v>0.22</v>
      </c>
      <c r="G47" s="8" t="s">
        <v>35</v>
      </c>
      <c r="H47" s="8" t="s">
        <v>163</v>
      </c>
      <c r="I47" s="8" t="s">
        <v>164</v>
      </c>
    </row>
    <row r="48" customFormat="false" ht="17.15" hidden="false" customHeight="false" outlineLevel="0" collapsed="false">
      <c r="A48" s="0" t="s">
        <v>165</v>
      </c>
      <c r="B48" s="0" t="s">
        <v>166</v>
      </c>
      <c r="C48" s="5" t="s">
        <v>167</v>
      </c>
      <c r="E48" s="7" t="n">
        <v>1.277</v>
      </c>
      <c r="G48" s="8" t="s">
        <v>35</v>
      </c>
      <c r="H48" s="8" t="s">
        <v>168</v>
      </c>
      <c r="I48" s="8" t="s">
        <v>88</v>
      </c>
    </row>
    <row r="49" customFormat="false" ht="17.15" hidden="false" customHeight="false" outlineLevel="0" collapsed="false">
      <c r="A49" s="0" t="s">
        <v>169</v>
      </c>
      <c r="B49" s="0" t="s">
        <v>170</v>
      </c>
      <c r="C49" s="0" t="s">
        <v>34</v>
      </c>
      <c r="D49" s="7" t="n">
        <v>3.5</v>
      </c>
      <c r="E49" s="7" t="n">
        <v>3.5</v>
      </c>
      <c r="F49" s="7" t="n">
        <v>4</v>
      </c>
      <c r="G49" s="8" t="s">
        <v>136</v>
      </c>
      <c r="H49" s="5" t="s">
        <v>171</v>
      </c>
      <c r="I49" s="8" t="s">
        <v>172</v>
      </c>
    </row>
    <row r="50" customFormat="false" ht="17.15" hidden="false" customHeight="false" outlineLevel="0" collapsed="false">
      <c r="A50" s="1" t="s">
        <v>173</v>
      </c>
    </row>
    <row r="51" customFormat="false" ht="17.15" hidden="false" customHeight="false" outlineLevel="0" collapsed="false">
      <c r="A51" s="0" t="s">
        <v>174</v>
      </c>
      <c r="B51" s="5" t="s">
        <v>175</v>
      </c>
      <c r="C51" s="0" t="s">
        <v>57</v>
      </c>
      <c r="D51" s="7" t="n">
        <v>0.4</v>
      </c>
      <c r="E51" s="7" t="n">
        <v>0.55</v>
      </c>
      <c r="F51" s="7" t="n">
        <v>0.8</v>
      </c>
      <c r="G51" s="8" t="s">
        <v>35</v>
      </c>
      <c r="H51" s="8" t="s">
        <v>176</v>
      </c>
      <c r="I51" s="5" t="s">
        <v>177</v>
      </c>
    </row>
    <row r="52" customFormat="false" ht="17.15" hidden="false" customHeight="false" outlineLevel="0" collapsed="false">
      <c r="A52" s="0" t="s">
        <v>178</v>
      </c>
      <c r="B52" s="5" t="s">
        <v>179</v>
      </c>
      <c r="C52" s="0" t="s">
        <v>130</v>
      </c>
      <c r="D52" s="7" t="n">
        <v>-0.02</v>
      </c>
      <c r="E52" s="7" t="n">
        <v>0</v>
      </c>
      <c r="F52" s="7" t="n">
        <v>0.02</v>
      </c>
      <c r="G52" s="8" t="s">
        <v>58</v>
      </c>
      <c r="H52" s="5" t="s">
        <v>180</v>
      </c>
      <c r="I52" s="8" t="s">
        <v>181</v>
      </c>
    </row>
    <row r="53" customFormat="false" ht="17.15" hidden="false" customHeight="false" outlineLevel="0" collapsed="false">
      <c r="A53" s="0" t="s">
        <v>182</v>
      </c>
      <c r="B53" s="0" t="s">
        <v>183</v>
      </c>
      <c r="C53" s="0" t="s">
        <v>34</v>
      </c>
      <c r="D53" s="7" t="n">
        <v>0.4</v>
      </c>
      <c r="E53" s="7" t="n">
        <v>0.55</v>
      </c>
      <c r="F53" s="7" t="n">
        <v>0.7</v>
      </c>
      <c r="G53" s="8" t="s">
        <v>58</v>
      </c>
      <c r="H53" s="8" t="s">
        <v>184</v>
      </c>
      <c r="I53" s="8" t="s">
        <v>88</v>
      </c>
    </row>
    <row r="54" customFormat="false" ht="17.15" hidden="false" customHeight="false" outlineLevel="0" collapsed="false">
      <c r="A54" s="0" t="s">
        <v>185</v>
      </c>
      <c r="B54" s="0" t="s">
        <v>186</v>
      </c>
      <c r="C54" s="0" t="s">
        <v>79</v>
      </c>
      <c r="D54" s="7" t="n">
        <v>0.19</v>
      </c>
      <c r="E54" s="7" t="n">
        <v>0.21</v>
      </c>
      <c r="F54" s="7" t="n">
        <v>0.22</v>
      </c>
      <c r="G54" s="8" t="s">
        <v>35</v>
      </c>
      <c r="H54" s="8" t="s">
        <v>187</v>
      </c>
      <c r="I54" s="8" t="s">
        <v>88</v>
      </c>
    </row>
    <row r="55" customFormat="false" ht="17.15" hidden="false" customHeight="false" outlineLevel="0" collapsed="false">
      <c r="A55" s="0" t="s">
        <v>188</v>
      </c>
      <c r="B55" s="5" t="s">
        <v>189</v>
      </c>
      <c r="C55" s="0" t="s">
        <v>79</v>
      </c>
      <c r="D55" s="7" t="n">
        <v>-0.01</v>
      </c>
      <c r="E55" s="7" t="n">
        <v>0</v>
      </c>
      <c r="F55" s="7" t="n">
        <v>0.005</v>
      </c>
      <c r="G55" s="8" t="s">
        <v>35</v>
      </c>
      <c r="H55" s="8" t="s">
        <v>190</v>
      </c>
      <c r="I55" s="5" t="s">
        <v>177</v>
      </c>
    </row>
    <row r="56" customFormat="false" ht="17.15" hidden="false" customHeight="false" outlineLevel="0" collapsed="false">
      <c r="A56" s="0" t="s">
        <v>191</v>
      </c>
      <c r="B56" s="0" t="s">
        <v>192</v>
      </c>
      <c r="C56" s="0" t="s">
        <v>57</v>
      </c>
      <c r="D56" s="7" t="n">
        <v>0.8</v>
      </c>
      <c r="E56" s="7" t="n">
        <v>1</v>
      </c>
      <c r="F56" s="7" t="n">
        <v>1.2</v>
      </c>
      <c r="G56" s="8" t="s">
        <v>58</v>
      </c>
      <c r="H56" s="5" t="s">
        <v>193</v>
      </c>
      <c r="I56" s="8" t="s">
        <v>194</v>
      </c>
    </row>
    <row r="57" customFormat="false" ht="17.15" hidden="false" customHeight="false" outlineLevel="0" collapsed="false">
      <c r="A57" s="1" t="s">
        <v>195</v>
      </c>
    </row>
    <row r="58" customFormat="false" ht="17.15" hidden="false" customHeight="false" outlineLevel="0" collapsed="false">
      <c r="A58" s="0" t="s">
        <v>196</v>
      </c>
      <c r="B58" s="5" t="s">
        <v>197</v>
      </c>
      <c r="C58" s="0" t="s">
        <v>34</v>
      </c>
      <c r="E58" s="7" t="n">
        <v>12.68</v>
      </c>
      <c r="G58" s="8" t="s">
        <v>136</v>
      </c>
      <c r="H58" s="8" t="s">
        <v>198</v>
      </c>
      <c r="I58" s="8" t="s">
        <v>199</v>
      </c>
    </row>
    <row r="59" customFormat="false" ht="17.15" hidden="false" customHeight="false" outlineLevel="0" collapsed="false">
      <c r="A59" s="0" t="s">
        <v>200</v>
      </c>
      <c r="B59" s="5" t="s">
        <v>201</v>
      </c>
      <c r="C59" s="0" t="s">
        <v>202</v>
      </c>
      <c r="E59" s="7" t="n">
        <v>4.12</v>
      </c>
      <c r="G59" s="8" t="s">
        <v>136</v>
      </c>
      <c r="H59" s="8" t="s">
        <v>203</v>
      </c>
      <c r="I59" s="8" t="s">
        <v>88</v>
      </c>
    </row>
    <row r="60" customFormat="false" ht="17.15" hidden="false" customHeight="false" outlineLevel="0" collapsed="false">
      <c r="A60" s="0" t="s">
        <v>204</v>
      </c>
      <c r="B60" s="0" t="s">
        <v>205</v>
      </c>
      <c r="C60" s="0" t="s">
        <v>202</v>
      </c>
      <c r="E60" s="7" t="n">
        <v>4.79</v>
      </c>
      <c r="G60" s="8" t="s">
        <v>136</v>
      </c>
      <c r="H60" s="8" t="s">
        <v>206</v>
      </c>
      <c r="I60" s="8" t="s">
        <v>207</v>
      </c>
    </row>
    <row r="61" customFormat="false" ht="17.15" hidden="false" customHeight="false" outlineLevel="0" collapsed="false">
      <c r="A61" s="0" t="s">
        <v>208</v>
      </c>
      <c r="B61" s="0" t="s">
        <v>209</v>
      </c>
      <c r="C61" s="0" t="s">
        <v>79</v>
      </c>
      <c r="E61" s="7" t="n">
        <v>0.5</v>
      </c>
      <c r="G61" s="8" t="s">
        <v>136</v>
      </c>
      <c r="H61" s="8" t="s">
        <v>210</v>
      </c>
      <c r="I61" s="8" t="s">
        <v>88</v>
      </c>
    </row>
    <row r="62" customFormat="false" ht="17.15" hidden="false" customHeight="false" outlineLevel="0" collapsed="false">
      <c r="A62" s="0" t="s">
        <v>211</v>
      </c>
      <c r="B62" s="0" t="s">
        <v>212</v>
      </c>
      <c r="C62" s="0" t="s">
        <v>79</v>
      </c>
      <c r="E62" s="7" t="n">
        <v>0.187</v>
      </c>
      <c r="G62" s="8" t="s">
        <v>136</v>
      </c>
      <c r="H62" s="8" t="s">
        <v>213</v>
      </c>
      <c r="I62" s="8" t="s">
        <v>214</v>
      </c>
    </row>
    <row r="63" customFormat="false" ht="17.15" hidden="false" customHeight="false" outlineLevel="0" collapsed="false">
      <c r="A63" s="0" t="s">
        <v>215</v>
      </c>
      <c r="B63" s="0" t="s">
        <v>216</v>
      </c>
      <c r="C63" s="0" t="s">
        <v>57</v>
      </c>
      <c r="E63" s="7" t="n">
        <v>25</v>
      </c>
      <c r="G63" s="8" t="s">
        <v>58</v>
      </c>
      <c r="H63" s="5" t="s">
        <v>217</v>
      </c>
      <c r="I63" s="5" t="s">
        <v>218</v>
      </c>
    </row>
    <row r="64" customFormat="false" ht="17.15" hidden="false" customHeight="false" outlineLevel="0" collapsed="false">
      <c r="A64" s="1" t="s">
        <v>219</v>
      </c>
    </row>
    <row r="65" customFormat="false" ht="17.15" hidden="false" customHeight="false" outlineLevel="0" collapsed="false">
      <c r="A65" s="0" t="s">
        <v>220</v>
      </c>
      <c r="B65" s="5" t="s">
        <v>221</v>
      </c>
      <c r="C65" s="0" t="s">
        <v>202</v>
      </c>
      <c r="E65" s="7" t="n">
        <v>172.37</v>
      </c>
      <c r="G65" s="8" t="s">
        <v>136</v>
      </c>
      <c r="H65" s="8" t="s">
        <v>222</v>
      </c>
      <c r="I65" s="8" t="s">
        <v>223</v>
      </c>
    </row>
    <row r="66" customFormat="false" ht="17.15" hidden="false" customHeight="false" outlineLevel="0" collapsed="false">
      <c r="A66" s="0" t="s">
        <v>224</v>
      </c>
      <c r="B66" s="5" t="s">
        <v>225</v>
      </c>
      <c r="C66" s="0" t="s">
        <v>57</v>
      </c>
      <c r="E66" s="7" t="n">
        <v>54.55</v>
      </c>
      <c r="G66" s="8" t="s">
        <v>136</v>
      </c>
      <c r="H66" s="8" t="s">
        <v>226</v>
      </c>
      <c r="I66" s="8" t="s">
        <v>227</v>
      </c>
    </row>
    <row r="67" customFormat="false" ht="17.15" hidden="false" customHeight="false" outlineLevel="0" collapsed="false">
      <c r="A67" s="0" t="s">
        <v>228</v>
      </c>
      <c r="B67" s="5" t="s">
        <v>229</v>
      </c>
      <c r="C67" s="0" t="s">
        <v>57</v>
      </c>
      <c r="E67" s="7" t="n">
        <v>37.06</v>
      </c>
      <c r="G67" s="8" t="s">
        <v>136</v>
      </c>
      <c r="H67" s="8" t="s">
        <v>230</v>
      </c>
      <c r="I67" s="5" t="s">
        <v>153</v>
      </c>
    </row>
    <row r="68" customFormat="false" ht="17.15" hidden="false" customHeight="false" outlineLevel="0" collapsed="false">
      <c r="A68" s="0" t="s">
        <v>231</v>
      </c>
      <c r="B68" s="0" t="s">
        <v>232</v>
      </c>
      <c r="C68" s="0" t="s">
        <v>57</v>
      </c>
      <c r="E68" s="0" t="n">
        <f aca="false">1.75/1.89</f>
        <v>0.925925925925926</v>
      </c>
      <c r="G68" s="0" t="s">
        <v>35</v>
      </c>
      <c r="H68" s="0" t="s">
        <v>233</v>
      </c>
      <c r="I68" s="0" t="s">
        <v>234</v>
      </c>
    </row>
    <row r="69" customFormat="false" ht="17.15" hidden="false" customHeight="false" outlineLevel="0" collapsed="false">
      <c r="A69" s="1" t="s">
        <v>235</v>
      </c>
    </row>
    <row r="70" customFormat="false" ht="17.15" hidden="false" customHeight="false" outlineLevel="0" collapsed="false">
      <c r="A70" s="9" t="s">
        <v>236</v>
      </c>
      <c r="B70" s="10" t="s">
        <v>237</v>
      </c>
      <c r="C70" s="9" t="s">
        <v>79</v>
      </c>
      <c r="D70" s="9"/>
      <c r="E70" s="11" t="n">
        <v>0.3</v>
      </c>
      <c r="F70" s="9"/>
      <c r="G70" s="9" t="s">
        <v>58</v>
      </c>
      <c r="H70" s="9" t="s">
        <v>238</v>
      </c>
      <c r="I70" s="10" t="s">
        <v>239</v>
      </c>
    </row>
    <row r="71" customFormat="false" ht="17.15" hidden="false" customHeight="false" outlineLevel="0" collapsed="false">
      <c r="A71" s="9" t="s">
        <v>240</v>
      </c>
      <c r="B71" s="10" t="s">
        <v>241</v>
      </c>
      <c r="C71" s="9" t="s">
        <v>79</v>
      </c>
      <c r="D71" s="9"/>
      <c r="E71" s="11" t="n">
        <v>0.5</v>
      </c>
      <c r="F71" s="9"/>
      <c r="G71" s="9" t="s">
        <v>58</v>
      </c>
      <c r="H71" s="9" t="s">
        <v>238</v>
      </c>
      <c r="I71" s="10" t="s">
        <v>239</v>
      </c>
    </row>
    <row r="72" customFormat="false" ht="17.15" hidden="false" customHeight="false" outlineLevel="0" collapsed="false">
      <c r="A72" s="9" t="s">
        <v>242</v>
      </c>
      <c r="B72" s="10" t="s">
        <v>243</v>
      </c>
      <c r="C72" s="9" t="s">
        <v>79</v>
      </c>
      <c r="D72" s="9"/>
      <c r="E72" s="11" t="n">
        <v>0.2</v>
      </c>
      <c r="F72" s="9"/>
      <c r="G72" s="9" t="s">
        <v>58</v>
      </c>
      <c r="H72" s="9" t="s">
        <v>238</v>
      </c>
      <c r="I72" s="10" t="s">
        <v>239</v>
      </c>
    </row>
    <row r="73" customFormat="false" ht="17.15" hidden="false" customHeight="false" outlineLevel="0" collapsed="false">
      <c r="A73" s="1" t="s">
        <v>244</v>
      </c>
    </row>
    <row r="74" customFormat="false" ht="17.15" hidden="false" customHeight="false" outlineLevel="0" collapsed="false">
      <c r="A74" s="9" t="s">
        <v>245</v>
      </c>
      <c r="B74" s="9" t="s">
        <v>246</v>
      </c>
      <c r="C74" s="9" t="s">
        <v>79</v>
      </c>
      <c r="D74" s="9"/>
      <c r="E74" s="11" t="n">
        <v>0.1</v>
      </c>
      <c r="F74" s="9"/>
      <c r="G74" s="9" t="s">
        <v>58</v>
      </c>
      <c r="H74" s="9" t="s">
        <v>247</v>
      </c>
      <c r="I74" s="9" t="s">
        <v>248</v>
      </c>
    </row>
    <row r="75" customFormat="false" ht="17.15" hidden="false" customHeight="false" outlineLevel="0" collapsed="false">
      <c r="A75" s="9" t="s">
        <v>249</v>
      </c>
      <c r="B75" s="10" t="s">
        <v>250</v>
      </c>
      <c r="C75" s="9" t="s">
        <v>79</v>
      </c>
      <c r="D75" s="9"/>
      <c r="E75" s="11" t="n">
        <v>0.04</v>
      </c>
      <c r="F75" s="9"/>
      <c r="G75" s="9" t="s">
        <v>58</v>
      </c>
      <c r="H75" s="9" t="s">
        <v>251</v>
      </c>
      <c r="I75" s="9" t="s">
        <v>252</v>
      </c>
    </row>
    <row r="76" customFormat="false" ht="17.15" hidden="false" customHeight="false" outlineLevel="0" collapsed="false">
      <c r="A76" s="9" t="s">
        <v>253</v>
      </c>
      <c r="B76" s="10" t="s">
        <v>254</v>
      </c>
      <c r="C76" s="9" t="s">
        <v>130</v>
      </c>
      <c r="D76" s="9"/>
      <c r="E76" s="11" t="n">
        <v>0.02</v>
      </c>
      <c r="F76" s="9"/>
      <c r="G76" s="9" t="s">
        <v>58</v>
      </c>
      <c r="H76" s="10" t="s">
        <v>255</v>
      </c>
      <c r="I76" s="9" t="s">
        <v>88</v>
      </c>
    </row>
    <row r="77" customFormat="false" ht="17.15" hidden="false" customHeight="false" outlineLevel="0" collapsed="false">
      <c r="A77" s="9" t="s">
        <v>256</v>
      </c>
      <c r="B77" s="10" t="s">
        <v>257</v>
      </c>
      <c r="C77" s="9" t="s">
        <v>79</v>
      </c>
      <c r="D77" s="9"/>
      <c r="E77" s="11" t="n">
        <v>0.2861</v>
      </c>
      <c r="F77" s="9"/>
      <c r="G77" s="9" t="s">
        <v>35</v>
      </c>
      <c r="H77" s="9" t="s">
        <v>258</v>
      </c>
      <c r="I77" s="9" t="s">
        <v>259</v>
      </c>
    </row>
    <row r="78" customFormat="false" ht="17.15" hidden="false" customHeight="false" outlineLevel="0" collapsed="false">
      <c r="A78" s="9" t="s">
        <v>260</v>
      </c>
      <c r="B78" s="10" t="s">
        <v>261</v>
      </c>
      <c r="C78" s="9" t="s">
        <v>79</v>
      </c>
      <c r="D78" s="9"/>
      <c r="E78" s="11" t="n">
        <v>0.5</v>
      </c>
      <c r="F78" s="9"/>
      <c r="G78" s="9" t="s">
        <v>58</v>
      </c>
      <c r="H78" s="9" t="s">
        <v>262</v>
      </c>
      <c r="I78" s="9" t="s">
        <v>263</v>
      </c>
    </row>
    <row r="79" customFormat="false" ht="17.15" hidden="false" customHeight="false" outlineLevel="0" collapsed="false">
      <c r="A79" s="9" t="s">
        <v>264</v>
      </c>
      <c r="B79" s="10" t="s">
        <v>265</v>
      </c>
      <c r="C79" s="9" t="s">
        <v>57</v>
      </c>
      <c r="D79" s="9"/>
      <c r="E79" s="11" t="n">
        <v>0.8</v>
      </c>
      <c r="F79" s="9"/>
      <c r="G79" s="9" t="s">
        <v>58</v>
      </c>
      <c r="H79" s="10" t="s">
        <v>266</v>
      </c>
      <c r="I79" s="10" t="s">
        <v>267</v>
      </c>
    </row>
    <row r="80" customFormat="false" ht="17.15" hidden="false" customHeight="false" outlineLevel="0" collapsed="false">
      <c r="A80" s="0" t="s">
        <v>268</v>
      </c>
      <c r="B80" s="5" t="s">
        <v>269</v>
      </c>
      <c r="C80" s="0" t="s">
        <v>202</v>
      </c>
      <c r="E80" s="7" t="n">
        <v>243.59</v>
      </c>
      <c r="G80" s="8" t="s">
        <v>136</v>
      </c>
      <c r="H80" s="8" t="s">
        <v>270</v>
      </c>
      <c r="I80" s="5" t="s">
        <v>271</v>
      </c>
    </row>
    <row r="81" customFormat="false" ht="17.15" hidden="false" customHeight="false" outlineLevel="0" collapsed="false">
      <c r="A81" s="0" t="s">
        <v>272</v>
      </c>
      <c r="B81" s="5" t="s">
        <v>273</v>
      </c>
      <c r="C81" s="0" t="s">
        <v>79</v>
      </c>
      <c r="E81" s="12" t="n">
        <f aca="false">72.6/9006</f>
        <v>0.00806129247168554</v>
      </c>
      <c r="G81" s="8" t="s">
        <v>58</v>
      </c>
      <c r="H81" s="8" t="s">
        <v>274</v>
      </c>
      <c r="I81" s="8" t="s">
        <v>275</v>
      </c>
    </row>
    <row r="82" customFormat="false" ht="17.15" hidden="false" customHeight="false" outlineLevel="0" collapsed="false">
      <c r="A82" s="0" t="s">
        <v>276</v>
      </c>
      <c r="B82" s="5" t="s">
        <v>277</v>
      </c>
      <c r="C82" s="0" t="s">
        <v>79</v>
      </c>
      <c r="E82" s="12" t="n">
        <f aca="false">119.5/9006</f>
        <v>0.013268931823229</v>
      </c>
      <c r="G82" s="8" t="s">
        <v>58</v>
      </c>
      <c r="H82" s="8" t="s">
        <v>278</v>
      </c>
      <c r="I82" s="8" t="s">
        <v>275</v>
      </c>
    </row>
    <row r="84" customFormat="false" ht="17.15" hidden="false" customHeight="false" outlineLevel="0" collapsed="false">
      <c r="A84" s="3" t="s">
        <v>279</v>
      </c>
    </row>
    <row r="85" customFormat="false" ht="17.15" hidden="false" customHeight="false" outlineLevel="0" collapsed="false">
      <c r="A85" s="3" t="s">
        <v>22</v>
      </c>
      <c r="B85" s="3" t="s">
        <v>23</v>
      </c>
      <c r="C85" s="3" t="s">
        <v>24</v>
      </c>
      <c r="D85" s="3" t="s">
        <v>280</v>
      </c>
      <c r="E85" s="3" t="s">
        <v>281</v>
      </c>
      <c r="F85" s="3" t="s">
        <v>282</v>
      </c>
      <c r="G85" s="3" t="s">
        <v>28</v>
      </c>
      <c r="H85" s="3" t="s">
        <v>283</v>
      </c>
    </row>
    <row r="86" customFormat="false" ht="17.15" hidden="false" customHeight="false" outlineLevel="0" collapsed="false">
      <c r="A86" s="0" t="s">
        <v>284</v>
      </c>
      <c r="B86" s="0" t="s">
        <v>285</v>
      </c>
      <c r="C86" s="0" t="s">
        <v>57</v>
      </c>
      <c r="D86" s="0" t="n">
        <f aca="false">E13</f>
        <v>1</v>
      </c>
      <c r="E86" s="0" t="n">
        <f aca="false">E15</f>
        <v>0.8</v>
      </c>
      <c r="F86" s="0" t="n">
        <f aca="false">E17</f>
        <v>0.6</v>
      </c>
      <c r="G86" s="0" t="s">
        <v>35</v>
      </c>
      <c r="H86" s="5" t="s">
        <v>286</v>
      </c>
    </row>
    <row r="87" customFormat="false" ht="17.15" hidden="false" customHeight="false" outlineLevel="0" collapsed="false">
      <c r="A87" s="0" t="s">
        <v>287</v>
      </c>
      <c r="B87" s="0" t="s">
        <v>288</v>
      </c>
      <c r="C87" s="0" t="s">
        <v>57</v>
      </c>
      <c r="D87" s="0" t="n">
        <f aca="false">E14</f>
        <v>1</v>
      </c>
      <c r="E87" s="0" t="n">
        <f aca="false">E16</f>
        <v>0.85</v>
      </c>
      <c r="F87" s="0" t="n">
        <f aca="false">E18</f>
        <v>0.6</v>
      </c>
      <c r="G87" s="0" t="s">
        <v>35</v>
      </c>
      <c r="H87" s="5" t="s">
        <v>289</v>
      </c>
    </row>
    <row r="88" customFormat="false" ht="17.15" hidden="false" customHeight="false" outlineLevel="0" collapsed="false">
      <c r="A88" s="0" t="s">
        <v>290</v>
      </c>
      <c r="B88" s="5" t="s">
        <v>291</v>
      </c>
      <c r="C88" s="0" t="s">
        <v>79</v>
      </c>
      <c r="D88" s="0" t="n">
        <f aca="false">E70</f>
        <v>0.3</v>
      </c>
      <c r="E88" s="0" t="n">
        <f aca="false">E71</f>
        <v>0.5</v>
      </c>
      <c r="F88" s="0" t="n">
        <f aca="false">E72</f>
        <v>0.2</v>
      </c>
      <c r="G88" s="0" t="s">
        <v>35</v>
      </c>
      <c r="H88" s="5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293</v>
      </c>
    </row>
    <row r="2" customFormat="false" ht="17.15" hidden="false" customHeight="false" outlineLevel="0" collapsed="false">
      <c r="A2" s="0" t="s">
        <v>294</v>
      </c>
    </row>
    <row r="3" customFormat="false" ht="17.15" hidden="false" customHeight="false" outlineLevel="0" collapsed="false">
      <c r="A3" s="6" t="s">
        <v>23</v>
      </c>
      <c r="B3" s="13" t="s">
        <v>295</v>
      </c>
      <c r="C3" s="13" t="s">
        <v>296</v>
      </c>
      <c r="D3" s="13" t="s">
        <v>297</v>
      </c>
      <c r="E3" s="13" t="s">
        <v>298</v>
      </c>
      <c r="F3" s="13" t="s">
        <v>299</v>
      </c>
      <c r="G3" s="13" t="s">
        <v>300</v>
      </c>
      <c r="H3" s="6" t="s">
        <v>28</v>
      </c>
      <c r="I3" s="6" t="s">
        <v>301</v>
      </c>
      <c r="J3" s="6" t="s">
        <v>30</v>
      </c>
    </row>
    <row r="4" customFormat="false" ht="17.15" hidden="false" customHeight="false" outlineLevel="0" collapsed="false">
      <c r="A4" s="5" t="s">
        <v>302</v>
      </c>
      <c r="B4" s="14" t="n">
        <v>9.0057</v>
      </c>
      <c r="C4" s="15" t="n">
        <f aca="false">5.7447-D4</f>
        <v>2.709</v>
      </c>
      <c r="D4" s="14" t="n">
        <v>3.0357</v>
      </c>
      <c r="E4" s="15" t="n">
        <f aca="false">q3_rev</f>
        <v>3.3</v>
      </c>
      <c r="F4" s="15" t="n">
        <f aca="false">fy_rev-C4-D4-E4</f>
        <v>3.5553</v>
      </c>
      <c r="G4" s="15" t="n">
        <f aca="false">SUM(C4:F4)</f>
        <v>12.6</v>
      </c>
      <c r="H4" s="8" t="s">
        <v>303</v>
      </c>
      <c r="I4" s="8" t="s">
        <v>304</v>
      </c>
      <c r="J4" s="8" t="s">
        <v>305</v>
      </c>
    </row>
    <row r="5" customFormat="false" ht="17.15" hidden="false" customHeight="false" outlineLevel="0" collapsed="false">
      <c r="A5" s="0" t="s">
        <v>306</v>
      </c>
      <c r="B5" s="14" t="n">
        <v>5.8154</v>
      </c>
      <c r="C5" s="15" t="n">
        <f aca="false">3.6155-D5</f>
        <v>1.6908</v>
      </c>
      <c r="D5" s="14" t="n">
        <v>1.9247</v>
      </c>
      <c r="E5" s="15" t="n">
        <f aca="false">E4*q3_gm</f>
        <v>2.079</v>
      </c>
      <c r="F5" s="15" t="n">
        <f aca="false">fy_rev*fy_gm-C5-D5-E5</f>
        <v>2.2435</v>
      </c>
      <c r="G5" s="15" t="n">
        <f aca="false">SUM(C5:F5)</f>
        <v>7.938</v>
      </c>
      <c r="H5" s="8" t="s">
        <v>307</v>
      </c>
      <c r="I5" s="8" t="s">
        <v>304</v>
      </c>
      <c r="J5" s="8" t="s">
        <v>305</v>
      </c>
    </row>
    <row r="6" customFormat="false" ht="17.15" hidden="false" customHeight="false" outlineLevel="0" collapsed="false">
      <c r="A6" s="5" t="s">
        <v>308</v>
      </c>
      <c r="B6" s="16" t="n">
        <f aca="false">B5/B4</f>
        <v>0.645746582719833</v>
      </c>
      <c r="C6" s="16" t="n">
        <f aca="false">C5/C4</f>
        <v>0.624141749723145</v>
      </c>
      <c r="D6" s="16" t="n">
        <f aca="false">D5/D4</f>
        <v>0.634021807161446</v>
      </c>
      <c r="E6" s="16" t="n">
        <f aca="false">E5/E4</f>
        <v>0.63</v>
      </c>
      <c r="F6" s="16" t="n">
        <f aca="false">F5/F4</f>
        <v>0.631029730261863</v>
      </c>
      <c r="G6" s="16" t="n">
        <f aca="false">G5/G4</f>
        <v>0.63</v>
      </c>
      <c r="H6" s="8" t="s">
        <v>35</v>
      </c>
      <c r="I6" s="8" t="s">
        <v>88</v>
      </c>
      <c r="J6" s="8" t="s">
        <v>309</v>
      </c>
    </row>
    <row r="7" customFormat="false" ht="17.15" hidden="false" customHeight="false" outlineLevel="0" collapsed="false">
      <c r="A7" s="0" t="s">
        <v>310</v>
      </c>
      <c r="B7" s="15" t="n">
        <f aca="false">B5-B8</f>
        <v>1.4784</v>
      </c>
      <c r="C7" s="15" t="n">
        <f aca="false">C5-C8</f>
        <v>0.3968</v>
      </c>
      <c r="D7" s="15" t="n">
        <f aca="false">D5-D8</f>
        <v>0.411</v>
      </c>
      <c r="E7" s="15" t="n">
        <f aca="false">E5-E8</f>
        <v>0.4785</v>
      </c>
      <c r="F7" s="15" t="n">
        <f aca="false">F5-F8</f>
        <v>0.5407</v>
      </c>
      <c r="G7" s="15" t="n">
        <f aca="false">SUM(C7:F7)</f>
        <v>1.827</v>
      </c>
      <c r="H7" s="8" t="s">
        <v>311</v>
      </c>
      <c r="I7" s="8" t="s">
        <v>304</v>
      </c>
      <c r="J7" s="8" t="s">
        <v>305</v>
      </c>
    </row>
    <row r="8" customFormat="false" ht="17.15" hidden="false" customHeight="false" outlineLevel="0" collapsed="false">
      <c r="A8" s="0" t="s">
        <v>312</v>
      </c>
      <c r="B8" s="14" t="n">
        <v>4.337</v>
      </c>
      <c r="C8" s="15" t="n">
        <f aca="false">2.8077-D8</f>
        <v>1.294</v>
      </c>
      <c r="D8" s="14" t="n">
        <v>1.5137</v>
      </c>
      <c r="E8" s="15" t="n">
        <f aca="false">E4*q3_oim</f>
        <v>1.6005</v>
      </c>
      <c r="F8" s="15" t="n">
        <f aca="false">fy_rev*fy_oim-C8-D8-E8</f>
        <v>1.7028</v>
      </c>
      <c r="G8" s="15" t="n">
        <f aca="false">SUM(C8:F8)</f>
        <v>6.111</v>
      </c>
      <c r="H8" s="8" t="s">
        <v>307</v>
      </c>
      <c r="I8" s="8" t="s">
        <v>304</v>
      </c>
      <c r="J8" s="8" t="s">
        <v>305</v>
      </c>
    </row>
    <row r="9" customFormat="false" ht="15" hidden="false" customHeight="false" outlineLevel="0" collapsed="false">
      <c r="A9" s="5" t="s">
        <v>313</v>
      </c>
      <c r="B9" s="16" t="n">
        <f aca="false">B8/B4</f>
        <v>0.48158388576124</v>
      </c>
      <c r="C9" s="16" t="n">
        <f aca="false">C8/C4</f>
        <v>0.477667035806571</v>
      </c>
      <c r="D9" s="16" t="n">
        <f aca="false">D8/D4</f>
        <v>0.498632934743222</v>
      </c>
      <c r="E9" s="16" t="n">
        <f aca="false">E8/E4</f>
        <v>0.485</v>
      </c>
      <c r="F9" s="16" t="n">
        <f aca="false">F8/F4</f>
        <v>0.478946924310185</v>
      </c>
      <c r="G9" s="16" t="n">
        <f aca="false">G8/G4</f>
        <v>0.485</v>
      </c>
      <c r="H9" s="8" t="s">
        <v>35</v>
      </c>
      <c r="I9" s="8" t="s">
        <v>88</v>
      </c>
      <c r="J9" s="8" t="s">
        <v>88</v>
      </c>
    </row>
    <row r="10" customFormat="false" ht="17.15" hidden="false" customHeight="false" outlineLevel="0" collapsed="false">
      <c r="A10" s="5" t="s">
        <v>314</v>
      </c>
      <c r="B10" s="14" t="n">
        <v>0.3936</v>
      </c>
      <c r="C10" s="15" t="n">
        <f aca="false">0.2399-D10</f>
        <v>0.1136</v>
      </c>
      <c r="D10" s="14" t="n">
        <v>0.1263</v>
      </c>
      <c r="E10" s="15" t="n">
        <f aca="false">q_oth</f>
        <v>0.13</v>
      </c>
      <c r="F10" s="15" t="n">
        <f aca="false">q_oth</f>
        <v>0.13</v>
      </c>
      <c r="G10" s="15" t="n">
        <f aca="false">SUM(C10:F10)</f>
        <v>0.4999</v>
      </c>
      <c r="H10" s="8" t="s">
        <v>315</v>
      </c>
      <c r="I10" s="8" t="s">
        <v>304</v>
      </c>
      <c r="J10" s="8" t="s">
        <v>305</v>
      </c>
    </row>
    <row r="11" customFormat="false" ht="17.15" hidden="false" customHeight="false" outlineLevel="0" collapsed="false">
      <c r="A11" s="5" t="s">
        <v>316</v>
      </c>
      <c r="B11" s="15" t="n">
        <f aca="false">B8+B10</f>
        <v>4.7306</v>
      </c>
      <c r="C11" s="15" t="n">
        <f aca="false">C8+C10</f>
        <v>1.4076</v>
      </c>
      <c r="D11" s="15" t="n">
        <f aca="false">D8+D10</f>
        <v>1.64</v>
      </c>
      <c r="E11" s="15" t="n">
        <f aca="false">E8+E10</f>
        <v>1.7305</v>
      </c>
      <c r="F11" s="15" t="n">
        <f aca="false">F8+F10</f>
        <v>1.8328</v>
      </c>
      <c r="G11" s="15" t="n">
        <f aca="false">SUM(C11:F11)</f>
        <v>6.6109</v>
      </c>
      <c r="H11" s="8" t="s">
        <v>35</v>
      </c>
      <c r="I11" s="8" t="s">
        <v>304</v>
      </c>
      <c r="J11" s="8" t="s">
        <v>305</v>
      </c>
    </row>
    <row r="12" customFormat="false" ht="17.15" hidden="false" customHeight="false" outlineLevel="0" collapsed="false">
      <c r="A12" s="0" t="s">
        <v>317</v>
      </c>
      <c r="B12" s="14" t="n">
        <v>3.806</v>
      </c>
      <c r="C12" s="15" t="n">
        <f aca="false">2.4099-D12</f>
        <v>1.1082</v>
      </c>
      <c r="D12" s="14" t="n">
        <v>1.3017</v>
      </c>
      <c r="E12" s="15" t="n">
        <f aca="false">E11*(1-q_tx)</f>
        <v>1.367095</v>
      </c>
      <c r="F12" s="15" t="n">
        <f aca="false">F11*(1-q_tx)</f>
        <v>1.447912</v>
      </c>
      <c r="G12" s="15" t="n">
        <f aca="false">SUM(C12:F12)</f>
        <v>5.224907</v>
      </c>
      <c r="H12" s="8" t="s">
        <v>315</v>
      </c>
      <c r="I12" s="8" t="s">
        <v>304</v>
      </c>
      <c r="J12" s="8" t="s">
        <v>305</v>
      </c>
    </row>
    <row r="13" customFormat="false" ht="17.15" hidden="false" customHeight="false" outlineLevel="0" collapsed="false">
      <c r="A13" s="5" t="s">
        <v>318</v>
      </c>
      <c r="B13" s="16" t="n">
        <f aca="false">1-B12/B11</f>
        <v>0.195450894178328</v>
      </c>
      <c r="C13" s="16" t="n">
        <f aca="false">1-C12/C11</f>
        <v>0.212702472293265</v>
      </c>
      <c r="D13" s="16" t="n">
        <f aca="false">1-D12/D11</f>
        <v>0.206280487804878</v>
      </c>
      <c r="E13" s="16" t="n">
        <f aca="false">1-E12/E11</f>
        <v>0.21</v>
      </c>
      <c r="F13" s="16" t="n">
        <f aca="false">1-F12/F11</f>
        <v>0.21</v>
      </c>
      <c r="G13" s="16" t="n">
        <f aca="false">1-G12/G11</f>
        <v>0.209652694791935</v>
      </c>
      <c r="H13" s="8" t="s">
        <v>35</v>
      </c>
      <c r="I13" s="8" t="s">
        <v>88</v>
      </c>
      <c r="J13" s="8" t="s">
        <v>319</v>
      </c>
    </row>
    <row r="14" customFormat="false" ht="17.15" hidden="false" customHeight="false" outlineLevel="0" collapsed="false">
      <c r="A14" s="5" t="s">
        <v>320</v>
      </c>
      <c r="B14" s="14" t="n">
        <v>1.2757</v>
      </c>
      <c r="C14" s="15" t="n">
        <f aca="false">(1.2749*2-D14)</f>
        <v>1.2738</v>
      </c>
      <c r="D14" s="14" t="n">
        <v>1.276</v>
      </c>
      <c r="E14" s="15" t="n">
        <f aca="false">q_sh</f>
        <v>1.277</v>
      </c>
      <c r="F14" s="15" t="n">
        <f aca="false">q_sh</f>
        <v>1.277</v>
      </c>
      <c r="G14" s="15" t="n">
        <f aca="false">AVERAGE(C14:F14)</f>
        <v>1.27595</v>
      </c>
      <c r="H14" s="8" t="s">
        <v>321</v>
      </c>
      <c r="I14" s="8" t="s">
        <v>304</v>
      </c>
      <c r="J14" s="8" t="s">
        <v>322</v>
      </c>
    </row>
    <row r="15" customFormat="false" ht="17.15" hidden="false" customHeight="false" outlineLevel="0" collapsed="false">
      <c r="A15" s="0" t="s">
        <v>323</v>
      </c>
      <c r="B15" s="17" t="n">
        <f aca="false">B12/B14</f>
        <v>2.9834600611429</v>
      </c>
      <c r="C15" s="17" t="n">
        <f aca="false">C12/C14</f>
        <v>0.869995289684409</v>
      </c>
      <c r="D15" s="17" t="n">
        <f aca="false">D12/D14</f>
        <v>1.02014106583072</v>
      </c>
      <c r="E15" s="17" t="n">
        <f aca="false">E12/E14</f>
        <v>1.07055207517619</v>
      </c>
      <c r="F15" s="17" t="n">
        <f aca="false">F12/F14</f>
        <v>1.1338386844166</v>
      </c>
      <c r="G15" s="17" t="n">
        <f aca="false">G12/G14</f>
        <v>4.0949151612524</v>
      </c>
      <c r="H15" s="8" t="s">
        <v>35</v>
      </c>
      <c r="I15" s="5" t="s">
        <v>324</v>
      </c>
      <c r="J15" s="8" t="s">
        <v>88</v>
      </c>
    </row>
    <row r="16" customFormat="false" ht="17.15" hidden="false" customHeight="false" outlineLevel="0" collapsed="false">
      <c r="A16" s="5" t="s">
        <v>325</v>
      </c>
      <c r="B16" s="18" t="n">
        <v>2.98</v>
      </c>
      <c r="D16" s="18" t="n">
        <v>1.02</v>
      </c>
      <c r="H16" s="8" t="s">
        <v>106</v>
      </c>
      <c r="I16" s="8" t="s">
        <v>304</v>
      </c>
      <c r="J16" s="8" t="s">
        <v>326</v>
      </c>
    </row>
    <row r="17" customFormat="false" ht="17.15" hidden="false" customHeight="false" outlineLevel="0" collapsed="false">
      <c r="A17" s="0" t="s">
        <v>327</v>
      </c>
      <c r="B17" s="15" t="n">
        <f aca="false">ai25</f>
        <v>1.63</v>
      </c>
      <c r="G17" s="15" t="n">
        <f aca="false">ai26</f>
        <v>3.5</v>
      </c>
      <c r="H17" s="8" t="s">
        <v>328</v>
      </c>
      <c r="I17" s="8" t="s">
        <v>329</v>
      </c>
      <c r="J17" s="5" t="s">
        <v>330</v>
      </c>
    </row>
    <row r="18" customFormat="false" ht="17.15" hidden="false" customHeight="false" outlineLevel="0" collapsed="false">
      <c r="A18" s="5" t="s">
        <v>331</v>
      </c>
      <c r="B18" s="15" t="n">
        <f aca="false">B4-B17</f>
        <v>7.3757</v>
      </c>
      <c r="G18" s="15" t="n">
        <f aca="false">G4-G17</f>
        <v>9.1</v>
      </c>
      <c r="H18" s="8" t="s">
        <v>35</v>
      </c>
      <c r="I18" s="8" t="s">
        <v>88</v>
      </c>
      <c r="J18" s="8" t="s">
        <v>88</v>
      </c>
    </row>
    <row r="19" customFormat="false" ht="17.15" hidden="false" customHeight="false" outlineLevel="0" collapsed="false">
      <c r="A19" s="0" t="s">
        <v>332</v>
      </c>
      <c r="B19" s="16" t="n">
        <f aca="false">B17/B4</f>
        <v>0.180996480007107</v>
      </c>
      <c r="G19" s="16" t="n">
        <f aca="false">G17/G4</f>
        <v>0.277777777777778</v>
      </c>
      <c r="H19" s="8" t="s">
        <v>35</v>
      </c>
      <c r="I19" s="8" t="s">
        <v>88</v>
      </c>
      <c r="J19" s="8" t="s">
        <v>333</v>
      </c>
    </row>
    <row r="21" customFormat="false" ht="17.15" hidden="false" customHeight="false" outlineLevel="0" collapsed="false">
      <c r="A21" s="1" t="s">
        <v>334</v>
      </c>
    </row>
    <row r="22" customFormat="false" ht="17.15" hidden="false" customHeight="false" outlineLevel="0" collapsed="false">
      <c r="A22" s="0" t="s">
        <v>335</v>
      </c>
      <c r="B22" s="16" t="n">
        <f aca="false">G4/cons_rev26-1</f>
        <v>-0.00630914826498441</v>
      </c>
    </row>
    <row r="23" customFormat="false" ht="17.15" hidden="false" customHeight="false" outlineLevel="0" collapsed="false">
      <c r="A23" s="0" t="s">
        <v>336</v>
      </c>
      <c r="B23" s="16" t="n">
        <f aca="false">G15/cons_eps26-1</f>
        <v>-0.00608855309407763</v>
      </c>
    </row>
    <row r="24" customFormat="false" ht="17.15" hidden="false" customHeight="false" outlineLevel="0" collapsed="false">
      <c r="A24" s="0" t="s">
        <v>337</v>
      </c>
      <c r="B24" s="16" t="n">
        <f aca="false">G4/B4-1</f>
        <v>0.399113894533462</v>
      </c>
    </row>
    <row r="25" customFormat="false" ht="17.15" hidden="false" customHeight="false" outlineLevel="0" collapsed="false">
      <c r="A25" s="0" t="s">
        <v>338</v>
      </c>
      <c r="B25" s="16" t="n">
        <f aca="false">G7/B7-1</f>
        <v>0.235795454545454</v>
      </c>
    </row>
    <row r="26" customFormat="false" ht="17.15" hidden="false" customHeight="false" outlineLevel="0" collapsed="false">
      <c r="A26" s="5" t="s">
        <v>339</v>
      </c>
      <c r="B26" s="19" t="n">
        <f aca="false">B25/B24</f>
        <v>0.590797408396626</v>
      </c>
    </row>
    <row r="27" customFormat="false" ht="17.15" hidden="false" customHeight="false" outlineLevel="0" collapsed="false">
      <c r="A27" s="0" t="s">
        <v>340</v>
      </c>
      <c r="B27" s="16" t="n">
        <f aca="false">E15/1.07-1</f>
        <v>0.000515958108592507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341</v>
      </c>
    </row>
    <row r="3" customFormat="false" ht="15" hidden="false" customHeight="false" outlineLevel="0" collapsed="false">
      <c r="A3" s="6" t="s">
        <v>23</v>
      </c>
      <c r="B3" s="6" t="s">
        <v>24</v>
      </c>
      <c r="C3" s="13" t="s">
        <v>342</v>
      </c>
      <c r="D3" s="13" t="s">
        <v>343</v>
      </c>
      <c r="E3" s="13" t="s">
        <v>344</v>
      </c>
      <c r="F3" s="13" t="s">
        <v>345</v>
      </c>
      <c r="G3" s="6" t="s">
        <v>283</v>
      </c>
    </row>
    <row r="4" customFormat="false" ht="17.15" hidden="false" customHeight="false" outlineLevel="0" collapsed="false">
      <c r="A4" s="0" t="s">
        <v>346</v>
      </c>
      <c r="B4" s="0" t="s">
        <v>34</v>
      </c>
      <c r="C4" s="20" t="n">
        <f aca="false">PL!D63</f>
        <v>32.0719</v>
      </c>
      <c r="D4" s="20" t="n">
        <f aca="false">PL!E63</f>
        <v>61.085</v>
      </c>
      <c r="E4" s="20" t="n">
        <f aca="false">PL!F63</f>
        <v>69.005</v>
      </c>
      <c r="F4" s="20" t="n">
        <f aca="false">PL!G63</f>
        <v>78.48215</v>
      </c>
      <c r="G4" s="8" t="s">
        <v>347</v>
      </c>
    </row>
    <row r="5" customFormat="false" ht="17.15" hidden="false" customHeight="false" outlineLevel="0" collapsed="false">
      <c r="A5" s="5" t="s">
        <v>348</v>
      </c>
      <c r="B5" s="0" t="s">
        <v>79</v>
      </c>
      <c r="C5" s="16" t="n">
        <f aca="false">PL!D64</f>
        <v>0.75</v>
      </c>
      <c r="D5" s="16" t="n">
        <f aca="false">PL!E64</f>
        <v>0.8</v>
      </c>
      <c r="E5" s="16" t="n">
        <f aca="false">PL!F64</f>
        <v>0.83</v>
      </c>
      <c r="F5" s="16" t="n">
        <f aca="false">PL!G64</f>
        <v>0.85</v>
      </c>
      <c r="G5" s="8" t="s">
        <v>349</v>
      </c>
    </row>
    <row r="6" customFormat="false" ht="17.15" hidden="false" customHeight="false" outlineLevel="0" collapsed="false">
      <c r="A6" s="0" t="s">
        <v>350</v>
      </c>
      <c r="B6" s="0" t="s">
        <v>34</v>
      </c>
      <c r="C6" s="20" t="n">
        <f aca="false">PL!D65</f>
        <v>24.053925</v>
      </c>
      <c r="D6" s="20" t="n">
        <f aca="false">PL!E65</f>
        <v>48.868</v>
      </c>
      <c r="E6" s="20" t="n">
        <f aca="false">PL!F65</f>
        <v>57.27415</v>
      </c>
      <c r="F6" s="20" t="n">
        <f aca="false">PL!G65</f>
        <v>66.7098275</v>
      </c>
    </row>
    <row r="7" customFormat="false" ht="17.15" hidden="false" customHeight="false" outlineLevel="0" collapsed="false">
      <c r="A7" s="0" t="s">
        <v>351</v>
      </c>
      <c r="B7" s="0" t="s">
        <v>34</v>
      </c>
      <c r="C7" s="20" t="n">
        <f aca="false">PL!D63-PL!D65</f>
        <v>8.017975</v>
      </c>
      <c r="D7" s="20" t="n">
        <f aca="false">PL!E63-PL!E65</f>
        <v>12.217</v>
      </c>
      <c r="E7" s="20" t="n">
        <f aca="false">PL!F63-PL!F65</f>
        <v>11.73085</v>
      </c>
      <c r="F7" s="20" t="n">
        <f aca="false">PL!G63-PL!G65</f>
        <v>11.7723225</v>
      </c>
      <c r="G7" s="5" t="s">
        <v>352</v>
      </c>
    </row>
    <row r="8" customFormat="false" ht="17.15" hidden="false" customHeight="false" outlineLevel="0" collapsed="false">
      <c r="A8" s="0" t="s">
        <v>353</v>
      </c>
      <c r="B8" s="0" t="s">
        <v>79</v>
      </c>
      <c r="C8" s="16" t="n">
        <f aca="false">PL!D68</f>
        <v>0.14550639864388</v>
      </c>
      <c r="D8" s="16" t="n">
        <f aca="false">PL!E68</f>
        <v>0.138231078711686</v>
      </c>
      <c r="E8" s="16" t="n">
        <f aca="false">PL!F68</f>
        <v>0.130955758779492</v>
      </c>
      <c r="F8" s="16" t="n">
        <f aca="false">PL!G68</f>
        <v>0.128045630806615</v>
      </c>
      <c r="G8" s="8" t="s">
        <v>354</v>
      </c>
    </row>
    <row r="9" customFormat="false" ht="17.15" hidden="false" customHeight="false" outlineLevel="0" collapsed="false">
      <c r="A9" s="0" t="s">
        <v>355</v>
      </c>
      <c r="B9" s="0" t="s">
        <v>34</v>
      </c>
      <c r="C9" s="21" t="n">
        <f aca="false">PL!D69</f>
        <v>3.5</v>
      </c>
      <c r="D9" s="21" t="n">
        <f aca="false">PL!E69</f>
        <v>6.75507635448269</v>
      </c>
      <c r="E9" s="21" t="n">
        <f aca="false">PL!F69</f>
        <v>7.50037977170046</v>
      </c>
      <c r="F9" s="21" t="n">
        <f aca="false">PL!G69</f>
        <v>8.54190194323796</v>
      </c>
    </row>
    <row r="10" customFormat="false" ht="17.15" hidden="false" customHeight="false" outlineLevel="0" collapsed="false">
      <c r="A10" s="5" t="s">
        <v>356</v>
      </c>
      <c r="B10" s="0" t="s">
        <v>34</v>
      </c>
      <c r="C10" s="20" t="n">
        <f aca="false">PL!D65-PL!D69</f>
        <v>20.553925</v>
      </c>
      <c r="D10" s="20" t="n">
        <f aca="false">PL!E65-PL!E69</f>
        <v>42.1129236455173</v>
      </c>
      <c r="E10" s="20" t="n">
        <f aca="false">PL!F65-PL!F69</f>
        <v>49.7737702282995</v>
      </c>
      <c r="F10" s="20" t="n">
        <f aca="false">PL!G65-PL!G69</f>
        <v>58.167925556762</v>
      </c>
      <c r="G10" s="5" t="s">
        <v>357</v>
      </c>
    </row>
    <row r="11" customFormat="false" ht="17.15" hidden="false" customHeight="false" outlineLevel="0" collapsed="false">
      <c r="A11" s="0" t="s">
        <v>358</v>
      </c>
      <c r="B11" s="0" t="s">
        <v>79</v>
      </c>
      <c r="C11" s="12" t="n">
        <f aca="false">PL!D69/itc_26</f>
        <v>0.00447643079251477</v>
      </c>
      <c r="D11" s="12" t="n">
        <f aca="false">PL!E69/itc_27</f>
        <v>0.00431537761809352</v>
      </c>
      <c r="E11" s="12" t="n">
        <f aca="false">PL!F69/itc_28</f>
        <v>0.00377993058972634</v>
      </c>
      <c r="F11" s="12" t="n">
        <f aca="false">PL!G69/itc_29</f>
        <v>0.00377895004558045</v>
      </c>
      <c r="G11" s="8" t="s">
        <v>359</v>
      </c>
    </row>
    <row r="13" customFormat="false" ht="17.15" hidden="false" customHeight="false" outlineLevel="0" collapsed="false">
      <c r="A13" s="3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361</v>
      </c>
    </row>
    <row r="3" customFormat="false" ht="17.15" hidden="false" customHeight="false" outlineLevel="0" collapsed="false">
      <c r="A3" s="6" t="s">
        <v>362</v>
      </c>
      <c r="B3" s="6" t="s">
        <v>24</v>
      </c>
      <c r="C3" s="13" t="s">
        <v>295</v>
      </c>
      <c r="D3" s="13" t="s">
        <v>363</v>
      </c>
      <c r="E3" s="13" t="s">
        <v>364</v>
      </c>
      <c r="F3" s="13" t="s">
        <v>365</v>
      </c>
      <c r="G3" s="13" t="s">
        <v>366</v>
      </c>
      <c r="H3" s="6" t="s">
        <v>283</v>
      </c>
    </row>
    <row r="4" customFormat="false" ht="17.15" hidden="false" customHeight="false" outlineLevel="0" collapsed="false">
      <c r="A4" s="3" t="s">
        <v>367</v>
      </c>
    </row>
    <row r="5" customFormat="false" ht="15" hidden="false" customHeight="false" outlineLevel="0" collapsed="false">
      <c r="A5" s="5" t="s">
        <v>302</v>
      </c>
      <c r="B5" s="0" t="s">
        <v>34</v>
      </c>
      <c r="C5" s="21" t="n">
        <f aca="false">C72</f>
        <v>9.0057</v>
      </c>
      <c r="D5" s="21" t="n">
        <f aca="false">D72</f>
        <v>12.6</v>
      </c>
      <c r="E5" s="21" t="n">
        <f aca="false">E72</f>
        <v>16.7650763544827</v>
      </c>
      <c r="F5" s="21" t="n">
        <f aca="false">F72</f>
        <v>18.3111797717005</v>
      </c>
      <c r="G5" s="21" t="n">
        <f aca="false">G72</f>
        <v>20.001349943238</v>
      </c>
    </row>
    <row r="6" customFormat="false" ht="15" hidden="false" customHeight="false" outlineLevel="0" collapsed="false">
      <c r="A6" s="5" t="s">
        <v>368</v>
      </c>
      <c r="B6" s="0" t="s">
        <v>79</v>
      </c>
      <c r="D6" s="16" t="n">
        <f aca="false">D77</f>
        <v>0.399113894533462</v>
      </c>
      <c r="E6" s="16" t="n">
        <f aca="false">E77</f>
        <v>0.330561615435134</v>
      </c>
      <c r="F6" s="16" t="n">
        <f aca="false">F77</f>
        <v>0.0922216746602751</v>
      </c>
      <c r="G6" s="16" t="n">
        <f aca="false">G77</f>
        <v>0.092302636564664</v>
      </c>
    </row>
    <row r="7" customFormat="false" ht="17.15" hidden="false" customHeight="false" outlineLevel="0" collapsed="false">
      <c r="A7" s="0" t="s">
        <v>369</v>
      </c>
      <c r="B7" s="0" t="s">
        <v>34</v>
      </c>
      <c r="C7" s="21" t="n">
        <f aca="false">C69</f>
        <v>1.63</v>
      </c>
      <c r="D7" s="21" t="n">
        <f aca="false">D69</f>
        <v>3.5</v>
      </c>
      <c r="E7" s="21" t="n">
        <f aca="false">E69</f>
        <v>6.75507635448269</v>
      </c>
      <c r="F7" s="21" t="n">
        <f aca="false">F69</f>
        <v>7.50037977170046</v>
      </c>
      <c r="G7" s="21" t="n">
        <f aca="false">G69</f>
        <v>8.54190194323796</v>
      </c>
    </row>
    <row r="8" customFormat="false" ht="17.15" hidden="false" customHeight="false" outlineLevel="0" collapsed="false">
      <c r="A8" s="5" t="s">
        <v>370</v>
      </c>
      <c r="B8" s="0" t="s">
        <v>34</v>
      </c>
      <c r="C8" s="21" t="n">
        <f aca="false">C71</f>
        <v>7.3757</v>
      </c>
      <c r="D8" s="21" t="n">
        <f aca="false">D71</f>
        <v>9.1</v>
      </c>
      <c r="E8" s="21" t="n">
        <f aca="false">E71</f>
        <v>10.01</v>
      </c>
      <c r="F8" s="21" t="n">
        <f aca="false">F71</f>
        <v>10.8108</v>
      </c>
      <c r="G8" s="21" t="n">
        <f aca="false">G71</f>
        <v>11.459448</v>
      </c>
    </row>
    <row r="9" customFormat="false" ht="17.15" hidden="false" customHeight="false" outlineLevel="0" collapsed="false">
      <c r="A9" s="0" t="s">
        <v>371</v>
      </c>
      <c r="B9" s="0" t="s">
        <v>79</v>
      </c>
      <c r="C9" s="16" t="n">
        <f aca="false">C78</f>
        <v>0.180996480007107</v>
      </c>
      <c r="D9" s="16" t="n">
        <f aca="false">D78</f>
        <v>0.277777777777778</v>
      </c>
      <c r="E9" s="16" t="n">
        <f aca="false">E78</f>
        <v>0.402925475056157</v>
      </c>
      <c r="F9" s="16" t="n">
        <f aca="false">F78</f>
        <v>0.409606582711407</v>
      </c>
      <c r="G9" s="16" t="n">
        <f aca="false">G78</f>
        <v>0.427066271400636</v>
      </c>
    </row>
    <row r="10" customFormat="false" ht="15" hidden="false" customHeight="false" outlineLevel="0" collapsed="false">
      <c r="A10" s="5" t="s">
        <v>308</v>
      </c>
      <c r="B10" s="0" t="s">
        <v>79</v>
      </c>
      <c r="C10" s="16" t="n">
        <f aca="false">C82</f>
        <v>0.645746582719833</v>
      </c>
      <c r="D10" s="16" t="n">
        <f aca="false">D82</f>
        <v>0.63</v>
      </c>
      <c r="E10" s="16" t="n">
        <f aca="false">E82</f>
        <v>0.622491138163297</v>
      </c>
      <c r="F10" s="16" t="n">
        <f aca="false">F82</f>
        <v>0.622090271703982</v>
      </c>
      <c r="G10" s="16" t="n">
        <f aca="false">G82</f>
        <v>0.621042690382629</v>
      </c>
    </row>
    <row r="11" customFormat="false" ht="15" hidden="false" customHeight="false" outlineLevel="0" collapsed="false">
      <c r="A11" s="5" t="s">
        <v>313</v>
      </c>
      <c r="B11" s="0" t="s">
        <v>79</v>
      </c>
      <c r="C11" s="16" t="n">
        <f aca="false">C86</f>
        <v>0.48158388576124</v>
      </c>
      <c r="D11" s="16" t="n">
        <f aca="false">D86</f>
        <v>0.485</v>
      </c>
      <c r="E11" s="16" t="n">
        <f aca="false">E86</f>
        <v>0.493701695537665</v>
      </c>
      <c r="F11" s="16" t="n">
        <f aca="false">F86</f>
        <v>0.498194277229832</v>
      </c>
      <c r="G11" s="16" t="n">
        <f aca="false">G86</f>
        <v>0.50185799747924</v>
      </c>
    </row>
    <row r="12" customFormat="false" ht="17.15" hidden="false" customHeight="false" outlineLevel="0" collapsed="false">
      <c r="A12" s="5" t="s">
        <v>372</v>
      </c>
      <c r="B12" s="0" t="s">
        <v>34</v>
      </c>
      <c r="C12" s="21" t="n">
        <f aca="false">C89</f>
        <v>3.806</v>
      </c>
      <c r="D12" s="21" t="n">
        <f aca="false">D89</f>
        <v>5.224907</v>
      </c>
      <c r="E12" s="21" t="n">
        <f aca="false">E89</f>
        <v>6.97328783140095</v>
      </c>
      <c r="F12" s="21" t="n">
        <f aca="false">F89</f>
        <v>7.64129472755438</v>
      </c>
      <c r="G12" s="21" t="n">
        <f aca="false">G89</f>
        <v>8.36439156922198</v>
      </c>
    </row>
    <row r="13" customFormat="false" ht="17.15" hidden="false" customHeight="false" outlineLevel="0" collapsed="false">
      <c r="A13" s="0" t="s">
        <v>373</v>
      </c>
      <c r="B13" s="0" t="s">
        <v>202</v>
      </c>
      <c r="C13" s="19" t="n">
        <f aca="false">C91</f>
        <v>2.9834600611429</v>
      </c>
      <c r="D13" s="19" t="n">
        <f aca="false">D91</f>
        <v>4.0949151612524</v>
      </c>
      <c r="E13" s="19" t="n">
        <f aca="false">E91</f>
        <v>5.46517326807551</v>
      </c>
      <c r="F13" s="19" t="n">
        <f aca="false">F91</f>
        <v>5.98871015913977</v>
      </c>
      <c r="G13" s="19" t="n">
        <f aca="false">G91</f>
        <v>6.55542268052979</v>
      </c>
    </row>
    <row r="14" customFormat="false" ht="17.15" hidden="false" customHeight="false" outlineLevel="0" collapsed="false">
      <c r="A14" s="0" t="s">
        <v>374</v>
      </c>
      <c r="B14" s="0" t="s">
        <v>79</v>
      </c>
      <c r="D14" s="16" t="n">
        <f aca="false">D92</f>
        <v>0.372538957227979</v>
      </c>
      <c r="E14" s="16" t="n">
        <f aca="false">E92</f>
        <v>0.334624296930252</v>
      </c>
      <c r="F14" s="16" t="n">
        <f aca="false">F92</f>
        <v>0.0957951130520349</v>
      </c>
      <c r="G14" s="16" t="n">
        <f aca="false">G92</f>
        <v>0.0946301467812936</v>
      </c>
    </row>
    <row r="16" customFormat="false" ht="17.15" hidden="false" customHeight="false" outlineLevel="0" collapsed="false">
      <c r="A16" s="3" t="s">
        <v>375</v>
      </c>
    </row>
    <row r="17" customFormat="false" ht="15" hidden="false" customHeight="false" outlineLevel="0" collapsed="false">
      <c r="A17" s="5" t="s">
        <v>302</v>
      </c>
      <c r="B17" s="0" t="s">
        <v>34</v>
      </c>
      <c r="C17" s="21" t="n">
        <f aca="false">C107</f>
        <v>9.0057</v>
      </c>
      <c r="D17" s="21" t="n">
        <f aca="false">D107</f>
        <v>12.6</v>
      </c>
      <c r="E17" s="21" t="n">
        <f aca="false">E107</f>
        <v>16.7650763544827</v>
      </c>
      <c r="F17" s="21" t="n">
        <f aca="false">F107</f>
        <v>16.8111038173604</v>
      </c>
      <c r="G17" s="21" t="n">
        <f aca="false">G107</f>
        <v>18.7200646517523</v>
      </c>
    </row>
    <row r="18" customFormat="false" ht="15" hidden="false" customHeight="false" outlineLevel="0" collapsed="false">
      <c r="A18" s="5" t="s">
        <v>368</v>
      </c>
      <c r="B18" s="0" t="s">
        <v>79</v>
      </c>
      <c r="D18" s="16" t="n">
        <f aca="false">D112</f>
        <v>0.399113894533462</v>
      </c>
      <c r="E18" s="16" t="n">
        <f aca="false">E112</f>
        <v>0.330561615435134</v>
      </c>
      <c r="F18" s="16" t="n">
        <f aca="false">F112</f>
        <v>0.00274543711609021</v>
      </c>
      <c r="G18" s="16" t="n">
        <f aca="false">G112</f>
        <v>0.11355356882756</v>
      </c>
    </row>
    <row r="19" customFormat="false" ht="17.15" hidden="false" customHeight="false" outlineLevel="0" collapsed="false">
      <c r="A19" s="0" t="s">
        <v>369</v>
      </c>
      <c r="B19" s="0" t="s">
        <v>34</v>
      </c>
      <c r="C19" s="21" t="n">
        <f aca="false">C104</f>
        <v>1.63</v>
      </c>
      <c r="D19" s="21" t="n">
        <f aca="false">D104</f>
        <v>3.5</v>
      </c>
      <c r="E19" s="21" t="n">
        <f aca="false">E104</f>
        <v>6.75507635448269</v>
      </c>
      <c r="F19" s="21" t="n">
        <f aca="false">F104</f>
        <v>6.00030381736037</v>
      </c>
      <c r="G19" s="21" t="n">
        <f aca="false">G104</f>
        <v>7.26061665175226</v>
      </c>
    </row>
    <row r="20" customFormat="false" ht="17.15" hidden="false" customHeight="false" outlineLevel="0" collapsed="false">
      <c r="A20" s="5" t="s">
        <v>370</v>
      </c>
      <c r="B20" s="0" t="s">
        <v>34</v>
      </c>
      <c r="C20" s="21" t="n">
        <f aca="false">C106</f>
        <v>7.3757</v>
      </c>
      <c r="D20" s="21" t="n">
        <f aca="false">D106</f>
        <v>9.1</v>
      </c>
      <c r="E20" s="21" t="n">
        <f aca="false">E106</f>
        <v>10.01</v>
      </c>
      <c r="F20" s="21" t="n">
        <f aca="false">F106</f>
        <v>10.8108</v>
      </c>
      <c r="G20" s="21" t="n">
        <f aca="false">G106</f>
        <v>11.459448</v>
      </c>
    </row>
    <row r="21" customFormat="false" ht="17.15" hidden="false" customHeight="false" outlineLevel="0" collapsed="false">
      <c r="A21" s="0" t="s">
        <v>371</v>
      </c>
      <c r="B21" s="0" t="s">
        <v>79</v>
      </c>
      <c r="C21" s="16" t="n">
        <f aca="false">C113</f>
        <v>0.180996480007107</v>
      </c>
      <c r="D21" s="16" t="n">
        <f aca="false">D113</f>
        <v>0.277777777777778</v>
      </c>
      <c r="E21" s="16" t="n">
        <f aca="false">E113</f>
        <v>0.402925475056157</v>
      </c>
      <c r="F21" s="16" t="n">
        <f aca="false">F113</f>
        <v>0.356925034938159</v>
      </c>
      <c r="G21" s="16" t="n">
        <f aca="false">G113</f>
        <v>0.387852114125719</v>
      </c>
    </row>
    <row r="22" customFormat="false" ht="15" hidden="false" customHeight="false" outlineLevel="0" collapsed="false">
      <c r="A22" s="5" t="s">
        <v>308</v>
      </c>
      <c r="B22" s="0" t="s">
        <v>79</v>
      </c>
      <c r="C22" s="16" t="n">
        <f aca="false">C117</f>
        <v>0.645746582719833</v>
      </c>
      <c r="D22" s="16" t="n">
        <f aca="false">D117</f>
        <v>0.63</v>
      </c>
      <c r="E22" s="16" t="n">
        <f aca="false">E117</f>
        <v>0.622491138163297</v>
      </c>
      <c r="F22" s="16" t="n">
        <f aca="false">F117</f>
        <v>0.625251164570377</v>
      </c>
      <c r="G22" s="16" t="n">
        <f aca="false">G117</f>
        <v>0.623395539819124</v>
      </c>
    </row>
    <row r="23" customFormat="false" ht="15" hidden="false" customHeight="false" outlineLevel="0" collapsed="false">
      <c r="A23" s="5" t="s">
        <v>313</v>
      </c>
      <c r="B23" s="0" t="s">
        <v>79</v>
      </c>
      <c r="C23" s="16" t="n">
        <f aca="false">C121</f>
        <v>0.48158388576124</v>
      </c>
      <c r="D23" s="16" t="n">
        <f aca="false">D121</f>
        <v>0.485</v>
      </c>
      <c r="E23" s="16" t="n">
        <f aca="false">E121</f>
        <v>0.493701695537665</v>
      </c>
      <c r="F23" s="16" t="n">
        <f aca="false">F121</f>
        <v>0.496620398799593</v>
      </c>
      <c r="G23" s="16" t="n">
        <f aca="false">G121</f>
        <v>0.50066742419058</v>
      </c>
    </row>
    <row r="24" customFormat="false" ht="17.15" hidden="false" customHeight="false" outlineLevel="0" collapsed="false">
      <c r="A24" s="5" t="s">
        <v>372</v>
      </c>
      <c r="B24" s="0" t="s">
        <v>34</v>
      </c>
      <c r="C24" s="21" t="n">
        <f aca="false">C124</f>
        <v>3.806</v>
      </c>
      <c r="D24" s="21" t="n">
        <f aca="false">D124</f>
        <v>5.224907</v>
      </c>
      <c r="E24" s="21" t="n">
        <f aca="false">E124</f>
        <v>6.97328783140095</v>
      </c>
      <c r="F24" s="21" t="n">
        <f aca="false">F124</f>
        <v>7.03000229481071</v>
      </c>
      <c r="G24" s="21" t="n">
        <f aca="false">G124</f>
        <v>7.83879597440041</v>
      </c>
    </row>
    <row r="25" customFormat="false" ht="17.15" hidden="false" customHeight="false" outlineLevel="0" collapsed="false">
      <c r="A25" s="0" t="s">
        <v>373</v>
      </c>
      <c r="B25" s="0" t="s">
        <v>202</v>
      </c>
      <c r="C25" s="19" t="n">
        <f aca="false">C126</f>
        <v>2.9834600611429</v>
      </c>
      <c r="D25" s="19" t="n">
        <f aca="false">D126</f>
        <v>4.0949151612524</v>
      </c>
      <c r="E25" s="19" t="n">
        <f aca="false">E126</f>
        <v>5.46517326807551</v>
      </c>
      <c r="F25" s="19" t="n">
        <f aca="false">F126</f>
        <v>5.50962208143792</v>
      </c>
      <c r="G25" s="19" t="n">
        <f aca="false">G126</f>
        <v>6.14349776590024</v>
      </c>
    </row>
    <row r="26" customFormat="false" ht="17.15" hidden="false" customHeight="false" outlineLevel="0" collapsed="false">
      <c r="A26" s="0" t="s">
        <v>374</v>
      </c>
      <c r="B26" s="0" t="s">
        <v>79</v>
      </c>
      <c r="D26" s="16" t="n">
        <f aca="false">D127</f>
        <v>0.372538957227979</v>
      </c>
      <c r="E26" s="16" t="n">
        <f aca="false">E127</f>
        <v>0.334624296930252</v>
      </c>
      <c r="F26" s="16" t="n">
        <f aca="false">F127</f>
        <v>0.00813310231572162</v>
      </c>
      <c r="G26" s="16" t="n">
        <f aca="false">G127</f>
        <v>0.115048850010579</v>
      </c>
    </row>
    <row r="28" customFormat="false" ht="17.15" hidden="false" customHeight="false" outlineLevel="0" collapsed="false">
      <c r="A28" s="3" t="s">
        <v>376</v>
      </c>
    </row>
    <row r="29" customFormat="false" ht="15" hidden="false" customHeight="false" outlineLevel="0" collapsed="false">
      <c r="A29" s="5" t="s">
        <v>302</v>
      </c>
      <c r="B29" s="0" t="s">
        <v>34</v>
      </c>
      <c r="C29" s="21" t="n">
        <f aca="false">C142</f>
        <v>9.0057</v>
      </c>
      <c r="D29" s="21" t="n">
        <f aca="false">D142</f>
        <v>12.6</v>
      </c>
      <c r="E29" s="21" t="n">
        <f aca="false">E142</f>
        <v>16.7650763544827</v>
      </c>
      <c r="F29" s="21" t="n">
        <f aca="false">F142</f>
        <v>15.3110278630203</v>
      </c>
      <c r="G29" s="21" t="n">
        <f aca="false">G142</f>
        <v>16.5845891659428</v>
      </c>
    </row>
    <row r="30" customFormat="false" ht="15" hidden="false" customHeight="false" outlineLevel="0" collapsed="false">
      <c r="A30" s="5" t="s">
        <v>368</v>
      </c>
      <c r="B30" s="0" t="s">
        <v>79</v>
      </c>
      <c r="D30" s="16" t="n">
        <f aca="false">D147</f>
        <v>0.399113894533462</v>
      </c>
      <c r="E30" s="16" t="n">
        <f aca="false">E147</f>
        <v>0.330561615435134</v>
      </c>
      <c r="F30" s="16" t="n">
        <f aca="false">F147</f>
        <v>-0.086730800428095</v>
      </c>
      <c r="G30" s="16" t="n">
        <f aca="false">G147</f>
        <v>0.0831793472206033</v>
      </c>
    </row>
    <row r="31" customFormat="false" ht="17.15" hidden="false" customHeight="false" outlineLevel="0" collapsed="false">
      <c r="A31" s="0" t="s">
        <v>369</v>
      </c>
      <c r="B31" s="0" t="s">
        <v>34</v>
      </c>
      <c r="C31" s="21" t="n">
        <f aca="false">C139</f>
        <v>1.63</v>
      </c>
      <c r="D31" s="21" t="n">
        <f aca="false">D139</f>
        <v>3.5</v>
      </c>
      <c r="E31" s="21" t="n">
        <f aca="false">E139</f>
        <v>6.75507635448269</v>
      </c>
      <c r="F31" s="21" t="n">
        <f aca="false">F139</f>
        <v>4.50022786302028</v>
      </c>
      <c r="G31" s="21" t="n">
        <f aca="false">G139</f>
        <v>5.12514116594277</v>
      </c>
    </row>
    <row r="32" customFormat="false" ht="17.15" hidden="false" customHeight="false" outlineLevel="0" collapsed="false">
      <c r="A32" s="5" t="s">
        <v>370</v>
      </c>
      <c r="B32" s="0" t="s">
        <v>34</v>
      </c>
      <c r="C32" s="21" t="n">
        <f aca="false">C141</f>
        <v>7.3757</v>
      </c>
      <c r="D32" s="21" t="n">
        <f aca="false">D141</f>
        <v>9.1</v>
      </c>
      <c r="E32" s="21" t="n">
        <f aca="false">E141</f>
        <v>10.01</v>
      </c>
      <c r="F32" s="21" t="n">
        <f aca="false">F141</f>
        <v>10.8108</v>
      </c>
      <c r="G32" s="21" t="n">
        <f aca="false">G141</f>
        <v>11.459448</v>
      </c>
    </row>
    <row r="33" customFormat="false" ht="17.15" hidden="false" customHeight="false" outlineLevel="0" collapsed="false">
      <c r="A33" s="0" t="s">
        <v>371</v>
      </c>
      <c r="B33" s="0" t="s">
        <v>79</v>
      </c>
      <c r="C33" s="16" t="n">
        <f aca="false">C148</f>
        <v>0.180996480007107</v>
      </c>
      <c r="D33" s="16" t="n">
        <f aca="false">D148</f>
        <v>0.277777777777778</v>
      </c>
      <c r="E33" s="16" t="n">
        <f aca="false">E148</f>
        <v>0.402925475056157</v>
      </c>
      <c r="F33" s="16" t="n">
        <f aca="false">F148</f>
        <v>0.293920689275825</v>
      </c>
      <c r="G33" s="16" t="n">
        <f aca="false">G148</f>
        <v>0.309030336215231</v>
      </c>
    </row>
    <row r="34" customFormat="false" ht="15" hidden="false" customHeight="false" outlineLevel="0" collapsed="false">
      <c r="A34" s="5" t="s">
        <v>308</v>
      </c>
      <c r="B34" s="0" t="s">
        <v>79</v>
      </c>
      <c r="C34" s="16" t="n">
        <f aca="false">C152</f>
        <v>0.645746582719833</v>
      </c>
      <c r="D34" s="16" t="n">
        <f aca="false">D152</f>
        <v>0.63</v>
      </c>
      <c r="E34" s="16" t="n">
        <f aca="false">E152</f>
        <v>0.622491138163297</v>
      </c>
      <c r="F34" s="16" t="n">
        <f aca="false">F152</f>
        <v>0.629031425310117</v>
      </c>
      <c r="G34" s="16" t="n">
        <f aca="false">G152</f>
        <v>0.628124846493753</v>
      </c>
    </row>
    <row r="35" customFormat="false" ht="15" hidden="false" customHeight="false" outlineLevel="0" collapsed="false">
      <c r="A35" s="5" t="s">
        <v>313</v>
      </c>
      <c r="B35" s="0" t="s">
        <v>79</v>
      </c>
      <c r="C35" s="16" t="n">
        <f aca="false">C156</f>
        <v>0.48158388576124</v>
      </c>
      <c r="D35" s="16" t="n">
        <f aca="false">D156</f>
        <v>0.485</v>
      </c>
      <c r="E35" s="16" t="n">
        <f aca="false">E156</f>
        <v>0.493701695537665</v>
      </c>
      <c r="F35" s="16" t="n">
        <f aca="false">F156</f>
        <v>0.4880111843056</v>
      </c>
      <c r="G35" s="16" t="n">
        <f aca="false">G156</f>
        <v>0.491977747900773</v>
      </c>
    </row>
    <row r="36" customFormat="false" ht="17.15" hidden="false" customHeight="false" outlineLevel="0" collapsed="false">
      <c r="A36" s="5" t="s">
        <v>372</v>
      </c>
      <c r="B36" s="0" t="s">
        <v>34</v>
      </c>
      <c r="C36" s="21" t="n">
        <f aca="false">C159</f>
        <v>3.806</v>
      </c>
      <c r="D36" s="21" t="n">
        <f aca="false">D159</f>
        <v>5.224907</v>
      </c>
      <c r="E36" s="21" t="n">
        <f aca="false">E159</f>
        <v>6.97328783140095</v>
      </c>
      <c r="F36" s="21" t="n">
        <f aca="false">F159</f>
        <v>6.33734274389117</v>
      </c>
      <c r="G36" s="21" t="n">
        <f aca="false">G159</f>
        <v>6.88030657389886</v>
      </c>
    </row>
    <row r="37" customFormat="false" ht="17.15" hidden="false" customHeight="false" outlineLevel="0" collapsed="false">
      <c r="A37" s="0" t="s">
        <v>373</v>
      </c>
      <c r="B37" s="0" t="s">
        <v>202</v>
      </c>
      <c r="C37" s="19" t="n">
        <f aca="false">C161</f>
        <v>2.9834600611429</v>
      </c>
      <c r="D37" s="19" t="n">
        <f aca="false">D161</f>
        <v>4.0949151612524</v>
      </c>
      <c r="E37" s="19" t="n">
        <f aca="false">E161</f>
        <v>5.46517326807551</v>
      </c>
      <c r="F37" s="19" t="n">
        <f aca="false">F161</f>
        <v>4.96676417092454</v>
      </c>
      <c r="G37" s="19" t="n">
        <f aca="false">G161</f>
        <v>5.39230108852139</v>
      </c>
    </row>
    <row r="38" customFormat="false" ht="17.15" hidden="false" customHeight="false" outlineLevel="0" collapsed="false">
      <c r="A38" s="0" t="s">
        <v>374</v>
      </c>
      <c r="B38" s="0" t="s">
        <v>79</v>
      </c>
      <c r="D38" s="16" t="n">
        <f aca="false">D162</f>
        <v>0.372538957227979</v>
      </c>
      <c r="E38" s="16" t="n">
        <f aca="false">E162</f>
        <v>0.334624296930252</v>
      </c>
      <c r="F38" s="16" t="n">
        <f aca="false">F162</f>
        <v>-0.0911973093446821</v>
      </c>
      <c r="G38" s="16" t="n">
        <f aca="false">G162</f>
        <v>0.0856768920271955</v>
      </c>
    </row>
    <row r="40" customFormat="false" ht="17.15" hidden="false" customHeight="false" outlineLevel="0" collapsed="false">
      <c r="A40" s="3" t="s">
        <v>377</v>
      </c>
    </row>
    <row r="41" customFormat="false" ht="17.15" hidden="false" customHeight="false" outlineLevel="0" collapsed="false">
      <c r="A41" s="5" t="s">
        <v>378</v>
      </c>
      <c r="D41" s="22" t="n">
        <f aca="false">D72-a26_rev</f>
        <v>0</v>
      </c>
    </row>
    <row r="42" customFormat="false" ht="17.15" hidden="false" customHeight="false" outlineLevel="0" collapsed="false">
      <c r="A42" s="5" t="s">
        <v>379</v>
      </c>
      <c r="D42" s="22" t="n">
        <f aca="false">D69-a26_ai</f>
        <v>0</v>
      </c>
    </row>
    <row r="43" customFormat="false" ht="17.15" hidden="false" customHeight="false" outlineLevel="0" collapsed="false">
      <c r="A43" s="5" t="s">
        <v>380</v>
      </c>
      <c r="D43" s="22" t="n">
        <f aca="false">D80*D71+(D80-d_ai)*D69-a26_gp</f>
        <v>0</v>
      </c>
    </row>
    <row r="60" customFormat="false" ht="17.15" hidden="false" customHeight="false" outlineLevel="0" collapsed="false">
      <c r="A60" s="3" t="s">
        <v>381</v>
      </c>
    </row>
    <row r="61" customFormat="false" ht="17.15" hidden="false" customHeight="false" outlineLevel="0" collapsed="false">
      <c r="A61" s="6" t="s">
        <v>23</v>
      </c>
      <c r="B61" s="6" t="s">
        <v>24</v>
      </c>
      <c r="C61" s="13" t="s">
        <v>295</v>
      </c>
      <c r="D61" s="13" t="s">
        <v>363</v>
      </c>
      <c r="E61" s="13" t="s">
        <v>364</v>
      </c>
      <c r="F61" s="13" t="s">
        <v>365</v>
      </c>
      <c r="G61" s="13" t="s">
        <v>366</v>
      </c>
      <c r="H61" s="6" t="s">
        <v>283</v>
      </c>
    </row>
    <row r="62" customFormat="false" ht="17.15" hidden="false" customHeight="false" outlineLevel="0" collapsed="false">
      <c r="A62" s="1" t="s">
        <v>382</v>
      </c>
    </row>
    <row r="63" customFormat="false" ht="17.15" hidden="false" customHeight="false" outlineLevel="0" collapsed="false">
      <c r="A63" s="0" t="s">
        <v>383</v>
      </c>
      <c r="B63" s="0" t="s">
        <v>34</v>
      </c>
      <c r="D63" s="21" t="n">
        <f aca="false">mkt_26*1</f>
        <v>32.0719</v>
      </c>
      <c r="E63" s="21" t="n">
        <f aca="false">mkt_27*1*1</f>
        <v>61.085</v>
      </c>
      <c r="F63" s="21" t="n">
        <f aca="false">mkt_28*um28_A*1</f>
        <v>69.005</v>
      </c>
      <c r="G63" s="21" t="n">
        <f aca="false">mkt_29*um29_A*1</f>
        <v>78.48215</v>
      </c>
    </row>
    <row r="64" customFormat="false" ht="15" hidden="false" customHeight="false" outlineLevel="0" collapsed="false">
      <c r="A64" s="5" t="s">
        <v>348</v>
      </c>
      <c r="B64" s="0" t="s">
        <v>79</v>
      </c>
      <c r="D64" s="16" t="n">
        <f aca="false">eth_26</f>
        <v>0.75</v>
      </c>
      <c r="E64" s="16" t="n">
        <f aca="false">eth_27</f>
        <v>0.8</v>
      </c>
      <c r="F64" s="16" t="n">
        <f aca="false">eth_28</f>
        <v>0.83</v>
      </c>
      <c r="G64" s="16" t="n">
        <f aca="false">eth_29</f>
        <v>0.85</v>
      </c>
    </row>
    <row r="65" customFormat="false" ht="17.15" hidden="false" customHeight="false" outlineLevel="0" collapsed="false">
      <c r="A65" s="0" t="s">
        <v>350</v>
      </c>
      <c r="B65" s="0" t="s">
        <v>34</v>
      </c>
      <c r="D65" s="21" t="n">
        <f aca="false">D63*D64</f>
        <v>24.053925</v>
      </c>
      <c r="E65" s="21" t="n">
        <f aca="false">E63*E64</f>
        <v>48.868</v>
      </c>
      <c r="F65" s="21" t="n">
        <f aca="false">F63*F64</f>
        <v>57.27415</v>
      </c>
      <c r="G65" s="21" t="n">
        <f aca="false">G63*G64</f>
        <v>66.7098275</v>
      </c>
    </row>
    <row r="66" customFormat="false" ht="17.15" hidden="false" customHeight="false" outlineLevel="0" collapsed="false">
      <c r="A66" s="0" t="s">
        <v>384</v>
      </c>
      <c r="B66" s="0" t="s">
        <v>79</v>
      </c>
      <c r="D66" s="16" t="n">
        <f aca="false">a26_ai/D65</f>
        <v>0.14550639864388</v>
      </c>
      <c r="H66" s="8" t="s">
        <v>385</v>
      </c>
    </row>
    <row r="67" customFormat="false" ht="17.15" hidden="false" customHeight="false" outlineLevel="0" collapsed="false">
      <c r="A67" s="5" t="s">
        <v>386</v>
      </c>
      <c r="B67" s="0" t="s">
        <v>57</v>
      </c>
      <c r="D67" s="19" t="n">
        <f aca="false">1</f>
        <v>1</v>
      </c>
      <c r="E67" s="19" t="n">
        <f aca="false">rel_27</f>
        <v>0.95</v>
      </c>
      <c r="F67" s="19" t="n">
        <f aca="false">rel_28</f>
        <v>0.9</v>
      </c>
      <c r="G67" s="19" t="n">
        <f aca="false">rel_29</f>
        <v>0.88</v>
      </c>
    </row>
    <row r="68" customFormat="false" ht="17.15" hidden="false" customHeight="false" outlineLevel="0" collapsed="false">
      <c r="A68" s="0" t="s">
        <v>387</v>
      </c>
      <c r="B68" s="0" t="s">
        <v>79</v>
      </c>
      <c r="D68" s="16" t="n">
        <f aca="false">$D$66*D67</f>
        <v>0.14550639864388</v>
      </c>
      <c r="E68" s="16" t="n">
        <f aca="false">$D$66*E67</f>
        <v>0.138231078711686</v>
      </c>
      <c r="F68" s="16" t="n">
        <f aca="false">$D$66*F67</f>
        <v>0.130955758779492</v>
      </c>
      <c r="G68" s="16" t="n">
        <f aca="false">$D$66*G67</f>
        <v>0.128045630806615</v>
      </c>
    </row>
    <row r="69" customFormat="false" ht="17.15" hidden="false" customHeight="false" outlineLevel="0" collapsed="false">
      <c r="A69" s="0" t="s">
        <v>327</v>
      </c>
      <c r="B69" s="0" t="s">
        <v>34</v>
      </c>
      <c r="C69" s="21" t="n">
        <f aca="false">a25_ai</f>
        <v>1.63</v>
      </c>
      <c r="D69" s="21" t="n">
        <f aca="false">D65*D68</f>
        <v>3.5</v>
      </c>
      <c r="E69" s="21" t="n">
        <f aca="false">E65*E68</f>
        <v>6.75507635448269</v>
      </c>
      <c r="F69" s="21" t="n">
        <f aca="false">F65*F68</f>
        <v>7.50037977170046</v>
      </c>
      <c r="G69" s="21" t="n">
        <f aca="false">G65*G68</f>
        <v>8.54190194323796</v>
      </c>
    </row>
    <row r="70" customFormat="false" ht="17.15" hidden="false" customHeight="false" outlineLevel="0" collapsed="false">
      <c r="A70" s="1" t="s">
        <v>388</v>
      </c>
    </row>
    <row r="71" customFormat="false" ht="17.15" hidden="false" customHeight="false" outlineLevel="0" collapsed="false">
      <c r="A71" s="5" t="s">
        <v>389</v>
      </c>
      <c r="B71" s="0" t="s">
        <v>34</v>
      </c>
      <c r="C71" s="21" t="n">
        <f aca="false">a25_nai</f>
        <v>7.3757</v>
      </c>
      <c r="D71" s="21" t="n">
        <f aca="false">a26_nai</f>
        <v>9.1</v>
      </c>
      <c r="E71" s="21" t="n">
        <f aca="false">D71*(1+g_nai27)</f>
        <v>10.01</v>
      </c>
      <c r="F71" s="21" t="n">
        <f aca="false">E71*(1+g_nai28)</f>
        <v>10.8108</v>
      </c>
      <c r="G71" s="21" t="n">
        <f aca="false">F71*(1+g_nai29)</f>
        <v>11.459448</v>
      </c>
    </row>
    <row r="72" customFormat="false" ht="15" hidden="false" customHeight="false" outlineLevel="0" collapsed="false">
      <c r="A72" s="5" t="s">
        <v>302</v>
      </c>
      <c r="B72" s="0" t="s">
        <v>34</v>
      </c>
      <c r="C72" s="21" t="n">
        <f aca="false">a25_rev</f>
        <v>9.0057</v>
      </c>
      <c r="D72" s="21" t="n">
        <f aca="false">D69+D71</f>
        <v>12.6</v>
      </c>
      <c r="E72" s="21" t="n">
        <f aca="false">E69+E71</f>
        <v>16.7650763544827</v>
      </c>
      <c r="F72" s="21" t="n">
        <f aca="false">F69+F71</f>
        <v>18.3111797717005</v>
      </c>
      <c r="G72" s="21" t="n">
        <f aca="false">G69+G71</f>
        <v>20.001349943238</v>
      </c>
    </row>
    <row r="73" customFormat="false" ht="17.15" hidden="false" customHeight="false" outlineLevel="0" collapsed="false">
      <c r="A73" s="5" t="s">
        <v>390</v>
      </c>
      <c r="B73" s="0" t="s">
        <v>34</v>
      </c>
      <c r="C73" s="21" t="n">
        <f aca="false">svc25</f>
        <v>1.4288</v>
      </c>
      <c r="D73" s="21" t="n">
        <f aca="false">C73*(1+g_svc26)</f>
        <v>1.743136</v>
      </c>
      <c r="E73" s="21" t="n">
        <f aca="false">D73*(1+g_svc27)</f>
        <v>2.0046064</v>
      </c>
      <c r="F73" s="21" t="n">
        <f aca="false">E73*(1+g_svc28)</f>
        <v>2.20506704</v>
      </c>
      <c r="G73" s="21" t="n">
        <f aca="false">F73*(1+g_svc29)</f>
        <v>2.3814724032</v>
      </c>
      <c r="H73" s="5" t="s">
        <v>391</v>
      </c>
    </row>
    <row r="74" customFormat="false" ht="17.15" hidden="false" customHeight="false" outlineLevel="0" collapsed="false">
      <c r="A74" s="5" t="s">
        <v>392</v>
      </c>
      <c r="B74" s="0" t="s">
        <v>34</v>
      </c>
      <c r="C74" s="21" t="n">
        <f aca="false">C71-C73</f>
        <v>5.9469</v>
      </c>
      <c r="D74" s="21" t="n">
        <f aca="false">D71-D73</f>
        <v>7.356864</v>
      </c>
      <c r="E74" s="21" t="n">
        <f aca="false">E71-E73</f>
        <v>8.0053936</v>
      </c>
      <c r="F74" s="21" t="n">
        <f aca="false">F71-F73</f>
        <v>8.60573296</v>
      </c>
      <c r="G74" s="21" t="n">
        <f aca="false">G71-G73</f>
        <v>9.0779755968</v>
      </c>
    </row>
    <row r="75" customFormat="false" ht="17.15" hidden="false" customHeight="false" outlineLevel="0" collapsed="false">
      <c r="A75" s="5" t="s">
        <v>393</v>
      </c>
      <c r="B75" s="0" t="s">
        <v>34</v>
      </c>
      <c r="C75" s="21" t="n">
        <f aca="false">C69+C74</f>
        <v>7.5769</v>
      </c>
      <c r="D75" s="21" t="n">
        <f aca="false">D69+D74</f>
        <v>10.856864</v>
      </c>
      <c r="E75" s="21" t="n">
        <f aca="false">E69+E74</f>
        <v>14.7604699544827</v>
      </c>
      <c r="F75" s="21" t="n">
        <f aca="false">F69+F74</f>
        <v>16.1061127317005</v>
      </c>
      <c r="G75" s="21" t="n">
        <f aca="false">G69+G74</f>
        <v>17.619877540038</v>
      </c>
      <c r="H75" s="5" t="s">
        <v>394</v>
      </c>
    </row>
    <row r="76" customFormat="false" ht="15" hidden="false" customHeight="false" outlineLevel="0" collapsed="false">
      <c r="A76" s="5" t="s">
        <v>395</v>
      </c>
      <c r="B76" s="0" t="s">
        <v>34</v>
      </c>
      <c r="C76" s="17" t="n">
        <f aca="false">C75+C73-C72</f>
        <v>0</v>
      </c>
      <c r="D76" s="17" t="n">
        <f aca="false">D75+D73-D72</f>
        <v>0</v>
      </c>
      <c r="E76" s="17" t="n">
        <f aca="false">E75+E73-E72</f>
        <v>0</v>
      </c>
      <c r="F76" s="17" t="n">
        <f aca="false">F75+F73-F72</f>
        <v>0</v>
      </c>
      <c r="G76" s="17" t="n">
        <f aca="false">G75+G73-G72</f>
        <v>0</v>
      </c>
    </row>
    <row r="77" customFormat="false" ht="15" hidden="false" customHeight="false" outlineLevel="0" collapsed="false">
      <c r="A77" s="5" t="s">
        <v>396</v>
      </c>
      <c r="B77" s="0" t="s">
        <v>79</v>
      </c>
      <c r="D77" s="16" t="n">
        <f aca="false">D72/C72-1</f>
        <v>0.399113894533462</v>
      </c>
      <c r="E77" s="16" t="n">
        <f aca="false">E72/D72-1</f>
        <v>0.330561615435134</v>
      </c>
      <c r="F77" s="16" t="n">
        <f aca="false">F72/E72-1</f>
        <v>0.0922216746602751</v>
      </c>
      <c r="G77" s="16" t="n">
        <f aca="false">G72/F72-1</f>
        <v>0.092302636564664</v>
      </c>
    </row>
    <row r="78" customFormat="false" ht="17.15" hidden="false" customHeight="false" outlineLevel="0" collapsed="false">
      <c r="A78" s="0" t="s">
        <v>332</v>
      </c>
      <c r="B78" s="0" t="s">
        <v>79</v>
      </c>
      <c r="C78" s="16" t="n">
        <f aca="false">C69/C72</f>
        <v>0.180996480007107</v>
      </c>
      <c r="D78" s="16" t="n">
        <f aca="false">D69/D72</f>
        <v>0.277777777777778</v>
      </c>
      <c r="E78" s="16" t="n">
        <f aca="false">E69/E72</f>
        <v>0.402925475056157</v>
      </c>
      <c r="F78" s="16" t="n">
        <f aca="false">F69/F72</f>
        <v>0.409606582711407</v>
      </c>
      <c r="G78" s="16" t="n">
        <f aca="false">G69/G72</f>
        <v>0.427066271400636</v>
      </c>
    </row>
    <row r="79" customFormat="false" ht="17.15" hidden="false" customHeight="false" outlineLevel="0" collapsed="false">
      <c r="A79" s="1" t="s">
        <v>397</v>
      </c>
    </row>
    <row r="80" customFormat="false" ht="17.15" hidden="false" customHeight="false" outlineLevel="0" collapsed="false">
      <c r="A80" s="5" t="s">
        <v>398</v>
      </c>
      <c r="B80" s="0" t="s">
        <v>79</v>
      </c>
      <c r="D80" s="16" t="n">
        <f aca="false">a26_gp/a26_rev+d_ai*D78</f>
        <v>0.646666666666667</v>
      </c>
      <c r="H80" s="8" t="s">
        <v>399</v>
      </c>
    </row>
    <row r="81" customFormat="false" ht="15" hidden="false" customHeight="false" outlineLevel="0" collapsed="false">
      <c r="A81" s="5" t="s">
        <v>400</v>
      </c>
      <c r="B81" s="0" t="s">
        <v>34</v>
      </c>
      <c r="C81" s="21" t="n">
        <f aca="false">a25_gp</f>
        <v>5.8154</v>
      </c>
      <c r="D81" s="21" t="n">
        <f aca="false">a26_gp</f>
        <v>7.938</v>
      </c>
      <c r="E81" s="21" t="n">
        <f aca="false">$D$80*E71+($D$80-d_ai)*E69</f>
        <v>10.4361114612965</v>
      </c>
      <c r="F81" s="21" t="n">
        <f aca="false">$D$80*F71+($D$80-d_ai)*F69</f>
        <v>11.3912067993976</v>
      </c>
      <c r="G81" s="21" t="n">
        <f aca="false">$D$80*G71+($D$80-d_ai)*G69</f>
        <v>12.4216921800329</v>
      </c>
    </row>
    <row r="82" customFormat="false" ht="15" hidden="false" customHeight="false" outlineLevel="0" collapsed="false">
      <c r="A82" s="5" t="s">
        <v>308</v>
      </c>
      <c r="B82" s="0" t="s">
        <v>79</v>
      </c>
      <c r="C82" s="16" t="n">
        <f aca="false">C81/C72</f>
        <v>0.645746582719833</v>
      </c>
      <c r="D82" s="16" t="n">
        <f aca="false">D81/D72</f>
        <v>0.63</v>
      </c>
      <c r="E82" s="16" t="n">
        <f aca="false">E81/E72</f>
        <v>0.622491138163297</v>
      </c>
      <c r="F82" s="16" t="n">
        <f aca="false">F81/F72</f>
        <v>0.622090271703982</v>
      </c>
      <c r="G82" s="16" t="n">
        <f aca="false">G81/G72</f>
        <v>0.621042690382629</v>
      </c>
    </row>
    <row r="83" customFormat="false" ht="15" hidden="false" customHeight="false" outlineLevel="0" collapsed="false">
      <c r="A83" s="5" t="s">
        <v>401</v>
      </c>
      <c r="B83" s="0" t="s">
        <v>34</v>
      </c>
      <c r="C83" s="21" t="n">
        <f aca="false">a25_opx</f>
        <v>1.4784</v>
      </c>
      <c r="D83" s="21" t="n">
        <f aca="false">a26_opx</f>
        <v>1.827</v>
      </c>
      <c r="E83" s="21" t="n">
        <f aca="false">D83*(1+MAX(0,phi*E77))</f>
        <v>2.15916483926999</v>
      </c>
      <c r="F83" s="21" t="n">
        <f aca="false">E83*(1+MAX(0,phi*F77))</f>
        <v>2.26868182780978</v>
      </c>
      <c r="G83" s="21" t="n">
        <f aca="false">F83*(1+MAX(0,phi*G77))</f>
        <v>2.38385475063803</v>
      </c>
    </row>
    <row r="84" customFormat="false" ht="15" hidden="false" customHeight="false" outlineLevel="0" collapsed="false">
      <c r="A84" s="5" t="s">
        <v>402</v>
      </c>
      <c r="B84" s="0" t="s">
        <v>34</v>
      </c>
      <c r="C84" s="21" t="n">
        <f aca="false">C83</f>
        <v>1.4784</v>
      </c>
      <c r="D84" s="21" t="n">
        <f aca="false">D83</f>
        <v>1.827</v>
      </c>
      <c r="E84" s="21" t="n">
        <f aca="false">E83+0*E72</f>
        <v>2.15916483926999</v>
      </c>
      <c r="F84" s="21" t="n">
        <f aca="false">F83+0*F72</f>
        <v>2.26868182780978</v>
      </c>
      <c r="G84" s="21" t="n">
        <f aca="false">G83+0*G72</f>
        <v>2.38385475063803</v>
      </c>
    </row>
    <row r="85" customFormat="false" ht="15" hidden="false" customHeight="false" outlineLevel="0" collapsed="false">
      <c r="A85" s="5" t="s">
        <v>403</v>
      </c>
      <c r="B85" s="0" t="s">
        <v>34</v>
      </c>
      <c r="C85" s="21" t="n">
        <f aca="false">C81-C84</f>
        <v>4.337</v>
      </c>
      <c r="D85" s="21" t="n">
        <f aca="false">D81-D84</f>
        <v>6.111</v>
      </c>
      <c r="E85" s="21" t="n">
        <f aca="false">E81-E84</f>
        <v>8.27694662202652</v>
      </c>
      <c r="F85" s="21" t="n">
        <f aca="false">F81-F84</f>
        <v>9.12252497158783</v>
      </c>
      <c r="G85" s="21" t="n">
        <f aca="false">G81-G84</f>
        <v>10.0378374293949</v>
      </c>
    </row>
    <row r="86" customFormat="false" ht="15" hidden="false" customHeight="false" outlineLevel="0" collapsed="false">
      <c r="A86" s="5" t="s">
        <v>313</v>
      </c>
      <c r="B86" s="0" t="s">
        <v>79</v>
      </c>
      <c r="C86" s="16" t="n">
        <f aca="false">C85/C72</f>
        <v>0.48158388576124</v>
      </c>
      <c r="D86" s="16" t="n">
        <f aca="false">D85/D72</f>
        <v>0.485</v>
      </c>
      <c r="E86" s="16" t="n">
        <f aca="false">E85/E72</f>
        <v>0.493701695537665</v>
      </c>
      <c r="F86" s="16" t="n">
        <f aca="false">F85/F72</f>
        <v>0.498194277229832</v>
      </c>
      <c r="G86" s="16" t="n">
        <f aca="false">G85/G72</f>
        <v>0.50185799747924</v>
      </c>
    </row>
    <row r="87" customFormat="false" ht="15" hidden="false" customHeight="false" outlineLevel="0" collapsed="false">
      <c r="A87" s="5" t="s">
        <v>404</v>
      </c>
      <c r="B87" s="0" t="s">
        <v>34</v>
      </c>
      <c r="C87" s="21" t="n">
        <f aca="false">a25_oth</f>
        <v>0.3936</v>
      </c>
      <c r="D87" s="21" t="n">
        <f aca="false">a26_oth</f>
        <v>0.4999</v>
      </c>
      <c r="E87" s="21" t="n">
        <f aca="false">oth_f</f>
        <v>0.55</v>
      </c>
      <c r="F87" s="21" t="n">
        <f aca="false">oth_f</f>
        <v>0.55</v>
      </c>
      <c r="G87" s="21" t="n">
        <f aca="false">oth_f</f>
        <v>0.55</v>
      </c>
    </row>
    <row r="88" customFormat="false" ht="15" hidden="false" customHeight="false" outlineLevel="0" collapsed="false">
      <c r="A88" s="5" t="s">
        <v>405</v>
      </c>
      <c r="B88" s="0" t="s">
        <v>79</v>
      </c>
      <c r="C88" s="16" t="n">
        <f aca="false">1-a25_ni/(a25_oi+a25_oth)</f>
        <v>0.195450894178328</v>
      </c>
      <c r="D88" s="16" t="n">
        <f aca="false">1-a26_ni/(a26_oi+a26_oth)</f>
        <v>0.209652694791935</v>
      </c>
      <c r="E88" s="16" t="n">
        <f aca="false">tx_f</f>
        <v>0.21</v>
      </c>
      <c r="F88" s="16" t="n">
        <f aca="false">tx_f</f>
        <v>0.21</v>
      </c>
      <c r="G88" s="16" t="n">
        <f aca="false">tx_f</f>
        <v>0.21</v>
      </c>
    </row>
    <row r="89" customFormat="false" ht="17.15" hidden="false" customHeight="false" outlineLevel="0" collapsed="false">
      <c r="A89" s="5" t="s">
        <v>372</v>
      </c>
      <c r="B89" s="0" t="s">
        <v>34</v>
      </c>
      <c r="C89" s="21" t="n">
        <f aca="false">a25_ni</f>
        <v>3.806</v>
      </c>
      <c r="D89" s="21" t="n">
        <f aca="false">a26_ni</f>
        <v>5.224907</v>
      </c>
      <c r="E89" s="21" t="n">
        <f aca="false">(E85+E87)*(1-E88)</f>
        <v>6.97328783140095</v>
      </c>
      <c r="F89" s="21" t="n">
        <f aca="false">(F85+F87)*(1-F88)</f>
        <v>7.64129472755438</v>
      </c>
      <c r="G89" s="21" t="n">
        <f aca="false">(G85+G87)*(1-G88)</f>
        <v>8.36439156922198</v>
      </c>
    </row>
    <row r="90" customFormat="false" ht="15" hidden="false" customHeight="false" outlineLevel="0" collapsed="false">
      <c r="A90" s="5" t="s">
        <v>406</v>
      </c>
      <c r="B90" s="5" t="s">
        <v>167</v>
      </c>
      <c r="C90" s="17" t="n">
        <f aca="false">a25_sh</f>
        <v>1.2757</v>
      </c>
      <c r="D90" s="17" t="n">
        <f aca="false">a26_sh</f>
        <v>1.27595</v>
      </c>
      <c r="E90" s="17" t="n">
        <f aca="false">D90*(1+sh_g)</f>
        <v>1.27595</v>
      </c>
      <c r="F90" s="17" t="n">
        <f aca="false">E90*(1+sh_g)</f>
        <v>1.27595</v>
      </c>
      <c r="G90" s="17" t="n">
        <f aca="false">F90*(1+sh_g)</f>
        <v>1.27595</v>
      </c>
    </row>
    <row r="91" customFormat="false" ht="17.15" hidden="false" customHeight="false" outlineLevel="0" collapsed="false">
      <c r="A91" s="0" t="s">
        <v>373</v>
      </c>
      <c r="B91" s="0" t="s">
        <v>202</v>
      </c>
      <c r="C91" s="21" t="n">
        <f aca="false">C89/C90</f>
        <v>2.9834600611429</v>
      </c>
      <c r="D91" s="21" t="n">
        <f aca="false">D89/D90</f>
        <v>4.0949151612524</v>
      </c>
      <c r="E91" s="21" t="n">
        <f aca="false">E89/E90</f>
        <v>5.46517326807551</v>
      </c>
      <c r="F91" s="21" t="n">
        <f aca="false">F89/F90</f>
        <v>5.98871015913977</v>
      </c>
      <c r="G91" s="21" t="n">
        <f aca="false">G89/G90</f>
        <v>6.55542268052979</v>
      </c>
    </row>
    <row r="92" customFormat="false" ht="17.15" hidden="false" customHeight="false" outlineLevel="0" collapsed="false">
      <c r="A92" s="0" t="s">
        <v>407</v>
      </c>
      <c r="B92" s="0" t="s">
        <v>79</v>
      </c>
      <c r="D92" s="16" t="n">
        <f aca="false">D91/C91-1</f>
        <v>0.372538957227979</v>
      </c>
      <c r="E92" s="16" t="n">
        <f aca="false">E91/D91-1</f>
        <v>0.334624296930252</v>
      </c>
      <c r="F92" s="16" t="n">
        <f aca="false">F91/E91-1</f>
        <v>0.0957951130520349</v>
      </c>
      <c r="G92" s="16" t="n">
        <f aca="false">G91/F91-1</f>
        <v>0.0946301467812936</v>
      </c>
    </row>
    <row r="95" customFormat="false" ht="17.15" hidden="false" customHeight="false" outlineLevel="0" collapsed="false">
      <c r="A95" s="3" t="s">
        <v>408</v>
      </c>
    </row>
    <row r="96" customFormat="false" ht="17.15" hidden="false" customHeight="false" outlineLevel="0" collapsed="false">
      <c r="A96" s="6" t="s">
        <v>23</v>
      </c>
      <c r="B96" s="6" t="s">
        <v>24</v>
      </c>
      <c r="C96" s="13" t="s">
        <v>295</v>
      </c>
      <c r="D96" s="13" t="s">
        <v>363</v>
      </c>
      <c r="E96" s="13" t="s">
        <v>364</v>
      </c>
      <c r="F96" s="13" t="s">
        <v>365</v>
      </c>
      <c r="G96" s="13" t="s">
        <v>366</v>
      </c>
      <c r="H96" s="6" t="s">
        <v>283</v>
      </c>
    </row>
    <row r="97" customFormat="false" ht="17.15" hidden="false" customHeight="false" outlineLevel="0" collapsed="false">
      <c r="A97" s="1" t="s">
        <v>382</v>
      </c>
    </row>
    <row r="98" customFormat="false" ht="17.15" hidden="false" customHeight="false" outlineLevel="0" collapsed="false">
      <c r="A98" s="0" t="s">
        <v>383</v>
      </c>
      <c r="B98" s="0" t="s">
        <v>34</v>
      </c>
      <c r="D98" s="21" t="n">
        <f aca="false">mkt_26*1</f>
        <v>32.0719</v>
      </c>
      <c r="E98" s="21" t="n">
        <f aca="false">mkt_27*1*1</f>
        <v>61.085</v>
      </c>
      <c r="F98" s="21" t="n">
        <f aca="false">mkt_28*um28_B*1</f>
        <v>55.204</v>
      </c>
      <c r="G98" s="21" t="n">
        <f aca="false">mkt_29*um29_B*1</f>
        <v>66.7098275</v>
      </c>
    </row>
    <row r="99" customFormat="false" ht="15" hidden="false" customHeight="false" outlineLevel="0" collapsed="false">
      <c r="A99" s="5" t="s">
        <v>348</v>
      </c>
      <c r="B99" s="0" t="s">
        <v>79</v>
      </c>
      <c r="D99" s="16" t="n">
        <f aca="false">eth_26</f>
        <v>0.75</v>
      </c>
      <c r="E99" s="16" t="n">
        <f aca="false">eth_27</f>
        <v>0.8</v>
      </c>
      <c r="F99" s="16" t="n">
        <f aca="false">eth_28</f>
        <v>0.83</v>
      </c>
      <c r="G99" s="16" t="n">
        <f aca="false">eth_29</f>
        <v>0.85</v>
      </c>
    </row>
    <row r="100" customFormat="false" ht="17.15" hidden="false" customHeight="false" outlineLevel="0" collapsed="false">
      <c r="A100" s="0" t="s">
        <v>350</v>
      </c>
      <c r="B100" s="0" t="s">
        <v>34</v>
      </c>
      <c r="D100" s="21" t="n">
        <f aca="false">D98*D99</f>
        <v>24.053925</v>
      </c>
      <c r="E100" s="21" t="n">
        <f aca="false">E98*E99</f>
        <v>48.868</v>
      </c>
      <c r="F100" s="21" t="n">
        <f aca="false">F98*F99</f>
        <v>45.81932</v>
      </c>
      <c r="G100" s="21" t="n">
        <f aca="false">G98*G99</f>
        <v>56.703353375</v>
      </c>
    </row>
    <row r="101" customFormat="false" ht="17.15" hidden="false" customHeight="false" outlineLevel="0" collapsed="false">
      <c r="A101" s="0" t="s">
        <v>384</v>
      </c>
      <c r="B101" s="0" t="s">
        <v>79</v>
      </c>
      <c r="D101" s="16" t="n">
        <f aca="false">a26_ai/D100</f>
        <v>0.14550639864388</v>
      </c>
      <c r="H101" s="8" t="s">
        <v>385</v>
      </c>
    </row>
    <row r="102" customFormat="false" ht="17.15" hidden="false" customHeight="false" outlineLevel="0" collapsed="false">
      <c r="A102" s="5" t="s">
        <v>386</v>
      </c>
      <c r="B102" s="0" t="s">
        <v>57</v>
      </c>
      <c r="D102" s="19" t="n">
        <f aca="false">1</f>
        <v>1</v>
      </c>
      <c r="E102" s="19" t="n">
        <f aca="false">rel_27</f>
        <v>0.95</v>
      </c>
      <c r="F102" s="19" t="n">
        <f aca="false">rel_28</f>
        <v>0.9</v>
      </c>
      <c r="G102" s="19" t="n">
        <f aca="false">rel_29</f>
        <v>0.88</v>
      </c>
    </row>
    <row r="103" customFormat="false" ht="17.15" hidden="false" customHeight="false" outlineLevel="0" collapsed="false">
      <c r="A103" s="0" t="s">
        <v>387</v>
      </c>
      <c r="B103" s="0" t="s">
        <v>79</v>
      </c>
      <c r="D103" s="16" t="n">
        <f aca="false">$D$101*D102</f>
        <v>0.14550639864388</v>
      </c>
      <c r="E103" s="16" t="n">
        <f aca="false">$D$101*E102</f>
        <v>0.138231078711686</v>
      </c>
      <c r="F103" s="16" t="n">
        <f aca="false">$D$101*F102</f>
        <v>0.130955758779492</v>
      </c>
      <c r="G103" s="16" t="n">
        <f aca="false">$D$101*G102</f>
        <v>0.128045630806615</v>
      </c>
    </row>
    <row r="104" customFormat="false" ht="17.15" hidden="false" customHeight="false" outlineLevel="0" collapsed="false">
      <c r="A104" s="0" t="s">
        <v>327</v>
      </c>
      <c r="B104" s="0" t="s">
        <v>34</v>
      </c>
      <c r="C104" s="21" t="n">
        <f aca="false">a25_ai</f>
        <v>1.63</v>
      </c>
      <c r="D104" s="21" t="n">
        <f aca="false">D100*D103</f>
        <v>3.5</v>
      </c>
      <c r="E104" s="21" t="n">
        <f aca="false">E100*E103</f>
        <v>6.75507635448269</v>
      </c>
      <c r="F104" s="21" t="n">
        <f aca="false">F100*F103</f>
        <v>6.00030381736037</v>
      </c>
      <c r="G104" s="21" t="n">
        <f aca="false">G100*G103</f>
        <v>7.26061665175226</v>
      </c>
    </row>
    <row r="105" customFormat="false" ht="17.15" hidden="false" customHeight="false" outlineLevel="0" collapsed="false">
      <c r="A105" s="1" t="s">
        <v>388</v>
      </c>
    </row>
    <row r="106" customFormat="false" ht="17.15" hidden="false" customHeight="false" outlineLevel="0" collapsed="false">
      <c r="A106" s="5" t="s">
        <v>389</v>
      </c>
      <c r="B106" s="0" t="s">
        <v>34</v>
      </c>
      <c r="C106" s="21" t="n">
        <f aca="false">a25_nai</f>
        <v>7.3757</v>
      </c>
      <c r="D106" s="21" t="n">
        <f aca="false">a26_nai</f>
        <v>9.1</v>
      </c>
      <c r="E106" s="21" t="n">
        <f aca="false">D106*(1+g_nai27)</f>
        <v>10.01</v>
      </c>
      <c r="F106" s="21" t="n">
        <f aca="false">E106*(1+g_nai28)</f>
        <v>10.8108</v>
      </c>
      <c r="G106" s="21" t="n">
        <f aca="false">F106*(1+g_nai29)</f>
        <v>11.459448</v>
      </c>
    </row>
    <row r="107" customFormat="false" ht="15" hidden="false" customHeight="false" outlineLevel="0" collapsed="false">
      <c r="A107" s="5" t="s">
        <v>302</v>
      </c>
      <c r="B107" s="0" t="s">
        <v>34</v>
      </c>
      <c r="C107" s="21" t="n">
        <f aca="false">a25_rev</f>
        <v>9.0057</v>
      </c>
      <c r="D107" s="21" t="n">
        <f aca="false">D104+D106</f>
        <v>12.6</v>
      </c>
      <c r="E107" s="21" t="n">
        <f aca="false">E104+E106</f>
        <v>16.7650763544827</v>
      </c>
      <c r="F107" s="21" t="n">
        <f aca="false">F104+F106</f>
        <v>16.8111038173604</v>
      </c>
      <c r="G107" s="21" t="n">
        <f aca="false">G104+G106</f>
        <v>18.7200646517523</v>
      </c>
    </row>
    <row r="108" customFormat="false" ht="17.15" hidden="false" customHeight="false" outlineLevel="0" collapsed="false">
      <c r="A108" s="5" t="s">
        <v>390</v>
      </c>
      <c r="B108" s="0" t="s">
        <v>34</v>
      </c>
      <c r="C108" s="21" t="n">
        <f aca="false">svc25</f>
        <v>1.4288</v>
      </c>
      <c r="D108" s="21" t="n">
        <f aca="false">C108*(1+g_svc26)</f>
        <v>1.743136</v>
      </c>
      <c r="E108" s="21" t="n">
        <f aca="false">D108*(1+g_svc27)</f>
        <v>2.0046064</v>
      </c>
      <c r="F108" s="21" t="n">
        <f aca="false">E108*(1+g_svc28)</f>
        <v>2.20506704</v>
      </c>
      <c r="G108" s="21" t="n">
        <f aca="false">F108*(1+g_svc29)</f>
        <v>2.3814724032</v>
      </c>
      <c r="H108" s="5" t="s">
        <v>391</v>
      </c>
    </row>
    <row r="109" customFormat="false" ht="17.15" hidden="false" customHeight="false" outlineLevel="0" collapsed="false">
      <c r="A109" s="5" t="s">
        <v>392</v>
      </c>
      <c r="B109" s="0" t="s">
        <v>34</v>
      </c>
      <c r="C109" s="21" t="n">
        <f aca="false">C106-C108</f>
        <v>5.9469</v>
      </c>
      <c r="D109" s="21" t="n">
        <f aca="false">D106-D108</f>
        <v>7.356864</v>
      </c>
      <c r="E109" s="21" t="n">
        <f aca="false">E106-E108</f>
        <v>8.0053936</v>
      </c>
      <c r="F109" s="21" t="n">
        <f aca="false">F106-F108</f>
        <v>8.60573296</v>
      </c>
      <c r="G109" s="21" t="n">
        <f aca="false">G106-G108</f>
        <v>9.0779755968</v>
      </c>
    </row>
    <row r="110" customFormat="false" ht="17.15" hidden="false" customHeight="false" outlineLevel="0" collapsed="false">
      <c r="A110" s="5" t="s">
        <v>393</v>
      </c>
      <c r="B110" s="0" t="s">
        <v>34</v>
      </c>
      <c r="C110" s="21" t="n">
        <f aca="false">C104+C109</f>
        <v>7.5769</v>
      </c>
      <c r="D110" s="21" t="n">
        <f aca="false">D104+D109</f>
        <v>10.856864</v>
      </c>
      <c r="E110" s="21" t="n">
        <f aca="false">E104+E109</f>
        <v>14.7604699544827</v>
      </c>
      <c r="F110" s="21" t="n">
        <f aca="false">F104+F109</f>
        <v>14.6060367773604</v>
      </c>
      <c r="G110" s="21" t="n">
        <f aca="false">G104+G109</f>
        <v>16.3385922485523</v>
      </c>
      <c r="H110" s="5" t="s">
        <v>394</v>
      </c>
    </row>
    <row r="111" customFormat="false" ht="15" hidden="false" customHeight="false" outlineLevel="0" collapsed="false">
      <c r="A111" s="5" t="s">
        <v>395</v>
      </c>
      <c r="B111" s="0" t="s">
        <v>34</v>
      </c>
      <c r="C111" s="17" t="n">
        <f aca="false">C110+C108-C107</f>
        <v>0</v>
      </c>
      <c r="D111" s="17" t="n">
        <f aca="false">D110+D108-D107</f>
        <v>0</v>
      </c>
      <c r="E111" s="17" t="n">
        <f aca="false">E110+E108-E107</f>
        <v>0</v>
      </c>
      <c r="F111" s="17" t="n">
        <f aca="false">F110+F108-F107</f>
        <v>0</v>
      </c>
      <c r="G111" s="17" t="n">
        <f aca="false">G110+G108-G107</f>
        <v>0</v>
      </c>
    </row>
    <row r="112" customFormat="false" ht="15" hidden="false" customHeight="false" outlineLevel="0" collapsed="false">
      <c r="A112" s="5" t="s">
        <v>396</v>
      </c>
      <c r="B112" s="0" t="s">
        <v>79</v>
      </c>
      <c r="D112" s="16" t="n">
        <f aca="false">D107/C107-1</f>
        <v>0.399113894533462</v>
      </c>
      <c r="E112" s="16" t="n">
        <f aca="false">E107/D107-1</f>
        <v>0.330561615435134</v>
      </c>
      <c r="F112" s="16" t="n">
        <f aca="false">F107/E107-1</f>
        <v>0.00274543711609021</v>
      </c>
      <c r="G112" s="16" t="n">
        <f aca="false">G107/F107-1</f>
        <v>0.11355356882756</v>
      </c>
    </row>
    <row r="113" customFormat="false" ht="17.15" hidden="false" customHeight="false" outlineLevel="0" collapsed="false">
      <c r="A113" s="0" t="s">
        <v>332</v>
      </c>
      <c r="B113" s="0" t="s">
        <v>79</v>
      </c>
      <c r="C113" s="16" t="n">
        <f aca="false">C104/C107</f>
        <v>0.180996480007107</v>
      </c>
      <c r="D113" s="16" t="n">
        <f aca="false">D104/D107</f>
        <v>0.277777777777778</v>
      </c>
      <c r="E113" s="16" t="n">
        <f aca="false">E104/E107</f>
        <v>0.402925475056157</v>
      </c>
      <c r="F113" s="16" t="n">
        <f aca="false">F104/F107</f>
        <v>0.356925034938159</v>
      </c>
      <c r="G113" s="16" t="n">
        <f aca="false">G104/G107</f>
        <v>0.387852114125719</v>
      </c>
    </row>
    <row r="114" customFormat="false" ht="17.15" hidden="false" customHeight="false" outlineLevel="0" collapsed="false">
      <c r="A114" s="1" t="s">
        <v>397</v>
      </c>
    </row>
    <row r="115" customFormat="false" ht="17.15" hidden="false" customHeight="false" outlineLevel="0" collapsed="false">
      <c r="A115" s="5" t="s">
        <v>398</v>
      </c>
      <c r="B115" s="0" t="s">
        <v>79</v>
      </c>
      <c r="D115" s="16" t="n">
        <f aca="false">a26_gp/a26_rev+d_ai*D113</f>
        <v>0.646666666666667</v>
      </c>
      <c r="H115" s="8" t="s">
        <v>399</v>
      </c>
    </row>
    <row r="116" customFormat="false" ht="15" hidden="false" customHeight="false" outlineLevel="0" collapsed="false">
      <c r="A116" s="5" t="s">
        <v>400</v>
      </c>
      <c r="B116" s="0" t="s">
        <v>34</v>
      </c>
      <c r="C116" s="21" t="n">
        <f aca="false">a25_gp</f>
        <v>5.8154</v>
      </c>
      <c r="D116" s="21" t="n">
        <f aca="false">a26_gp</f>
        <v>7.938</v>
      </c>
      <c r="E116" s="21" t="n">
        <f aca="false">$D$115*E106+($D$115-d_ai)*E104</f>
        <v>10.4361114612965</v>
      </c>
      <c r="F116" s="21" t="n">
        <f aca="false">$D$115*F106+($D$115-d_ai)*F104</f>
        <v>10.5111622395181</v>
      </c>
      <c r="G116" s="21" t="n">
        <f aca="false">$D$115*G106+($D$115-d_ai)*G104</f>
        <v>11.670004809028</v>
      </c>
    </row>
    <row r="117" customFormat="false" ht="15" hidden="false" customHeight="false" outlineLevel="0" collapsed="false">
      <c r="A117" s="5" t="s">
        <v>308</v>
      </c>
      <c r="B117" s="0" t="s">
        <v>79</v>
      </c>
      <c r="C117" s="16" t="n">
        <f aca="false">C116/C107</f>
        <v>0.645746582719833</v>
      </c>
      <c r="D117" s="16" t="n">
        <f aca="false">D116/D107</f>
        <v>0.63</v>
      </c>
      <c r="E117" s="16" t="n">
        <f aca="false">E116/E107</f>
        <v>0.622491138163297</v>
      </c>
      <c r="F117" s="16" t="n">
        <f aca="false">F116/F107</f>
        <v>0.625251164570377</v>
      </c>
      <c r="G117" s="16" t="n">
        <f aca="false">G116/G107</f>
        <v>0.623395539819124</v>
      </c>
    </row>
    <row r="118" customFormat="false" ht="15" hidden="false" customHeight="false" outlineLevel="0" collapsed="false">
      <c r="A118" s="5" t="s">
        <v>401</v>
      </c>
      <c r="B118" s="0" t="s">
        <v>34</v>
      </c>
      <c r="C118" s="21" t="n">
        <f aca="false">a25_opx</f>
        <v>1.4784</v>
      </c>
      <c r="D118" s="21" t="n">
        <f aca="false">a26_opx</f>
        <v>1.827</v>
      </c>
      <c r="E118" s="21" t="n">
        <f aca="false">D118*(1+MAX(0,phi*E112))</f>
        <v>2.15916483926999</v>
      </c>
      <c r="F118" s="21" t="n">
        <f aca="false">E118*(1+MAX(0,phi*F112))</f>
        <v>2.16242515747921</v>
      </c>
      <c r="G118" s="21" t="n">
        <f aca="false">F118*(1+MAX(0,phi*G112))</f>
        <v>2.29747825915406</v>
      </c>
    </row>
    <row r="119" customFormat="false" ht="15" hidden="false" customHeight="false" outlineLevel="0" collapsed="false">
      <c r="A119" s="5" t="s">
        <v>402</v>
      </c>
      <c r="B119" s="0" t="s">
        <v>34</v>
      </c>
      <c r="C119" s="21" t="n">
        <f aca="false">C118</f>
        <v>1.4784</v>
      </c>
      <c r="D119" s="21" t="n">
        <f aca="false">D118</f>
        <v>1.827</v>
      </c>
      <c r="E119" s="21" t="n">
        <f aca="false">E118+0*E107</f>
        <v>2.15916483926999</v>
      </c>
      <c r="F119" s="21" t="n">
        <f aca="false">F118+0*F107</f>
        <v>2.16242515747921</v>
      </c>
      <c r="G119" s="21" t="n">
        <f aca="false">G118+0*G107</f>
        <v>2.29747825915406</v>
      </c>
    </row>
    <row r="120" customFormat="false" ht="15" hidden="false" customHeight="false" outlineLevel="0" collapsed="false">
      <c r="A120" s="5" t="s">
        <v>403</v>
      </c>
      <c r="B120" s="0" t="s">
        <v>34</v>
      </c>
      <c r="C120" s="21" t="n">
        <f aca="false">C116-C119</f>
        <v>4.337</v>
      </c>
      <c r="D120" s="21" t="n">
        <f aca="false">D116-D119</f>
        <v>6.111</v>
      </c>
      <c r="E120" s="21" t="n">
        <f aca="false">E116-E119</f>
        <v>8.27694662202652</v>
      </c>
      <c r="F120" s="21" t="n">
        <f aca="false">F116-F119</f>
        <v>8.34873708203887</v>
      </c>
      <c r="G120" s="21" t="n">
        <f aca="false">G116-G119</f>
        <v>9.37252654987394</v>
      </c>
    </row>
    <row r="121" customFormat="false" ht="15" hidden="false" customHeight="false" outlineLevel="0" collapsed="false">
      <c r="A121" s="5" t="s">
        <v>313</v>
      </c>
      <c r="B121" s="0" t="s">
        <v>79</v>
      </c>
      <c r="C121" s="16" t="n">
        <f aca="false">C120/C107</f>
        <v>0.48158388576124</v>
      </c>
      <c r="D121" s="16" t="n">
        <f aca="false">D120/D107</f>
        <v>0.485</v>
      </c>
      <c r="E121" s="16" t="n">
        <f aca="false">E120/E107</f>
        <v>0.493701695537665</v>
      </c>
      <c r="F121" s="16" t="n">
        <f aca="false">F120/F107</f>
        <v>0.496620398799593</v>
      </c>
      <c r="G121" s="16" t="n">
        <f aca="false">G120/G107</f>
        <v>0.50066742419058</v>
      </c>
    </row>
    <row r="122" customFormat="false" ht="15" hidden="false" customHeight="false" outlineLevel="0" collapsed="false">
      <c r="A122" s="5" t="s">
        <v>404</v>
      </c>
      <c r="B122" s="0" t="s">
        <v>34</v>
      </c>
      <c r="C122" s="21" t="n">
        <f aca="false">a25_oth</f>
        <v>0.3936</v>
      </c>
      <c r="D122" s="21" t="n">
        <f aca="false">a26_oth</f>
        <v>0.4999</v>
      </c>
      <c r="E122" s="21" t="n">
        <f aca="false">oth_f</f>
        <v>0.55</v>
      </c>
      <c r="F122" s="21" t="n">
        <f aca="false">oth_f</f>
        <v>0.55</v>
      </c>
      <c r="G122" s="21" t="n">
        <f aca="false">oth_f</f>
        <v>0.55</v>
      </c>
    </row>
    <row r="123" customFormat="false" ht="15" hidden="false" customHeight="false" outlineLevel="0" collapsed="false">
      <c r="A123" s="5" t="s">
        <v>405</v>
      </c>
      <c r="B123" s="0" t="s">
        <v>79</v>
      </c>
      <c r="C123" s="16" t="n">
        <f aca="false">1-a25_ni/(a25_oi+a25_oth)</f>
        <v>0.195450894178328</v>
      </c>
      <c r="D123" s="16" t="n">
        <f aca="false">1-a26_ni/(a26_oi+a26_oth)</f>
        <v>0.209652694791935</v>
      </c>
      <c r="E123" s="16" t="n">
        <f aca="false">tx_f</f>
        <v>0.21</v>
      </c>
      <c r="F123" s="16" t="n">
        <f aca="false">tx_f</f>
        <v>0.21</v>
      </c>
      <c r="G123" s="16" t="n">
        <f aca="false">tx_f</f>
        <v>0.21</v>
      </c>
    </row>
    <row r="124" customFormat="false" ht="17.15" hidden="false" customHeight="false" outlineLevel="0" collapsed="false">
      <c r="A124" s="5" t="s">
        <v>372</v>
      </c>
      <c r="B124" s="0" t="s">
        <v>34</v>
      </c>
      <c r="C124" s="21" t="n">
        <f aca="false">a25_ni</f>
        <v>3.806</v>
      </c>
      <c r="D124" s="21" t="n">
        <f aca="false">a26_ni</f>
        <v>5.224907</v>
      </c>
      <c r="E124" s="21" t="n">
        <f aca="false">(E120+E122)*(1-E123)</f>
        <v>6.97328783140095</v>
      </c>
      <c r="F124" s="21" t="n">
        <f aca="false">(F120+F122)*(1-F123)</f>
        <v>7.03000229481071</v>
      </c>
      <c r="G124" s="21" t="n">
        <f aca="false">(G120+G122)*(1-G123)</f>
        <v>7.83879597440041</v>
      </c>
    </row>
    <row r="125" customFormat="false" ht="15" hidden="false" customHeight="false" outlineLevel="0" collapsed="false">
      <c r="A125" s="5" t="s">
        <v>406</v>
      </c>
      <c r="B125" s="5" t="s">
        <v>167</v>
      </c>
      <c r="C125" s="17" t="n">
        <f aca="false">a25_sh</f>
        <v>1.2757</v>
      </c>
      <c r="D125" s="17" t="n">
        <f aca="false">a26_sh</f>
        <v>1.27595</v>
      </c>
      <c r="E125" s="17" t="n">
        <f aca="false">D125*(1+sh_g)</f>
        <v>1.27595</v>
      </c>
      <c r="F125" s="17" t="n">
        <f aca="false">E125*(1+sh_g)</f>
        <v>1.27595</v>
      </c>
      <c r="G125" s="17" t="n">
        <f aca="false">F125*(1+sh_g)</f>
        <v>1.27595</v>
      </c>
    </row>
    <row r="126" customFormat="false" ht="17.15" hidden="false" customHeight="false" outlineLevel="0" collapsed="false">
      <c r="A126" s="0" t="s">
        <v>373</v>
      </c>
      <c r="B126" s="0" t="s">
        <v>202</v>
      </c>
      <c r="C126" s="21" t="n">
        <f aca="false">C124/C125</f>
        <v>2.9834600611429</v>
      </c>
      <c r="D126" s="21" t="n">
        <f aca="false">D124/D125</f>
        <v>4.0949151612524</v>
      </c>
      <c r="E126" s="21" t="n">
        <f aca="false">E124/E125</f>
        <v>5.46517326807551</v>
      </c>
      <c r="F126" s="21" t="n">
        <f aca="false">F124/F125</f>
        <v>5.50962208143792</v>
      </c>
      <c r="G126" s="21" t="n">
        <f aca="false">G124/G125</f>
        <v>6.14349776590024</v>
      </c>
    </row>
    <row r="127" customFormat="false" ht="17.15" hidden="false" customHeight="false" outlineLevel="0" collapsed="false">
      <c r="A127" s="0" t="s">
        <v>407</v>
      </c>
      <c r="B127" s="0" t="s">
        <v>79</v>
      </c>
      <c r="D127" s="16" t="n">
        <f aca="false">D126/C126-1</f>
        <v>0.372538957227979</v>
      </c>
      <c r="E127" s="16" t="n">
        <f aca="false">E126/D126-1</f>
        <v>0.334624296930252</v>
      </c>
      <c r="F127" s="16" t="n">
        <f aca="false">F126/E126-1</f>
        <v>0.00813310231572162</v>
      </c>
      <c r="G127" s="16" t="n">
        <f aca="false">G126/F126-1</f>
        <v>0.115048850010579</v>
      </c>
    </row>
    <row r="130" customFormat="false" ht="17.15" hidden="false" customHeight="false" outlineLevel="0" collapsed="false">
      <c r="A130" s="3" t="s">
        <v>409</v>
      </c>
    </row>
    <row r="131" customFormat="false" ht="17.15" hidden="false" customHeight="false" outlineLevel="0" collapsed="false">
      <c r="A131" s="6" t="s">
        <v>23</v>
      </c>
      <c r="B131" s="6" t="s">
        <v>24</v>
      </c>
      <c r="C131" s="13" t="s">
        <v>295</v>
      </c>
      <c r="D131" s="13" t="s">
        <v>363</v>
      </c>
      <c r="E131" s="13" t="s">
        <v>364</v>
      </c>
      <c r="F131" s="13" t="s">
        <v>365</v>
      </c>
      <c r="G131" s="13" t="s">
        <v>366</v>
      </c>
      <c r="H131" s="6" t="s">
        <v>283</v>
      </c>
    </row>
    <row r="132" customFormat="false" ht="17.15" hidden="false" customHeight="false" outlineLevel="0" collapsed="false">
      <c r="A132" s="1" t="s">
        <v>382</v>
      </c>
    </row>
    <row r="133" customFormat="false" ht="17.15" hidden="false" customHeight="false" outlineLevel="0" collapsed="false">
      <c r="A133" s="0" t="s">
        <v>383</v>
      </c>
      <c r="B133" s="0" t="s">
        <v>34</v>
      </c>
      <c r="D133" s="21" t="n">
        <f aca="false">mkt_26*1</f>
        <v>32.0719</v>
      </c>
      <c r="E133" s="21" t="n">
        <f aca="false">mkt_27*1*1</f>
        <v>61.085</v>
      </c>
      <c r="F133" s="21" t="n">
        <f aca="false">mkt_28*um28_C*1</f>
        <v>41.403</v>
      </c>
      <c r="G133" s="21" t="n">
        <f aca="false">mkt_29*um29_C*1</f>
        <v>47.08929</v>
      </c>
    </row>
    <row r="134" customFormat="false" ht="15" hidden="false" customHeight="false" outlineLevel="0" collapsed="false">
      <c r="A134" s="5" t="s">
        <v>348</v>
      </c>
      <c r="B134" s="0" t="s">
        <v>79</v>
      </c>
      <c r="D134" s="16" t="n">
        <f aca="false">eth_26</f>
        <v>0.75</v>
      </c>
      <c r="E134" s="16" t="n">
        <f aca="false">eth_27</f>
        <v>0.8</v>
      </c>
      <c r="F134" s="16" t="n">
        <f aca="false">eth_28</f>
        <v>0.83</v>
      </c>
      <c r="G134" s="16" t="n">
        <f aca="false">eth_29</f>
        <v>0.85</v>
      </c>
    </row>
    <row r="135" customFormat="false" ht="17.15" hidden="false" customHeight="false" outlineLevel="0" collapsed="false">
      <c r="A135" s="0" t="s">
        <v>350</v>
      </c>
      <c r="B135" s="0" t="s">
        <v>34</v>
      </c>
      <c r="D135" s="21" t="n">
        <f aca="false">D133*D134</f>
        <v>24.053925</v>
      </c>
      <c r="E135" s="21" t="n">
        <f aca="false">E133*E134</f>
        <v>48.868</v>
      </c>
      <c r="F135" s="21" t="n">
        <f aca="false">F133*F134</f>
        <v>34.36449</v>
      </c>
      <c r="G135" s="21" t="n">
        <f aca="false">G133*G134</f>
        <v>40.0258965</v>
      </c>
    </row>
    <row r="136" customFormat="false" ht="17.15" hidden="false" customHeight="false" outlineLevel="0" collapsed="false">
      <c r="A136" s="0" t="s">
        <v>384</v>
      </c>
      <c r="B136" s="0" t="s">
        <v>79</v>
      </c>
      <c r="D136" s="16" t="n">
        <f aca="false">a26_ai/D135</f>
        <v>0.14550639864388</v>
      </c>
      <c r="H136" s="8" t="s">
        <v>385</v>
      </c>
    </row>
    <row r="137" customFormat="false" ht="17.15" hidden="false" customHeight="false" outlineLevel="0" collapsed="false">
      <c r="A137" s="5" t="s">
        <v>386</v>
      </c>
      <c r="B137" s="0" t="s">
        <v>57</v>
      </c>
      <c r="D137" s="19" t="n">
        <f aca="false">1</f>
        <v>1</v>
      </c>
      <c r="E137" s="19" t="n">
        <f aca="false">rel_27</f>
        <v>0.95</v>
      </c>
      <c r="F137" s="19" t="n">
        <f aca="false">rel_28</f>
        <v>0.9</v>
      </c>
      <c r="G137" s="19" t="n">
        <f aca="false">rel_29</f>
        <v>0.88</v>
      </c>
    </row>
    <row r="138" customFormat="false" ht="17.15" hidden="false" customHeight="false" outlineLevel="0" collapsed="false">
      <c r="A138" s="0" t="s">
        <v>387</v>
      </c>
      <c r="B138" s="0" t="s">
        <v>79</v>
      </c>
      <c r="D138" s="16" t="n">
        <f aca="false">$D$136*D137</f>
        <v>0.14550639864388</v>
      </c>
      <c r="E138" s="16" t="n">
        <f aca="false">$D$136*E137</f>
        <v>0.138231078711686</v>
      </c>
      <c r="F138" s="16" t="n">
        <f aca="false">$D$136*F137</f>
        <v>0.130955758779492</v>
      </c>
      <c r="G138" s="16" t="n">
        <f aca="false">$D$136*G137</f>
        <v>0.128045630806615</v>
      </c>
    </row>
    <row r="139" customFormat="false" ht="17.15" hidden="false" customHeight="false" outlineLevel="0" collapsed="false">
      <c r="A139" s="0" t="s">
        <v>327</v>
      </c>
      <c r="B139" s="0" t="s">
        <v>34</v>
      </c>
      <c r="C139" s="21" t="n">
        <f aca="false">a25_ai</f>
        <v>1.63</v>
      </c>
      <c r="D139" s="21" t="n">
        <f aca="false">D135*D138</f>
        <v>3.5</v>
      </c>
      <c r="E139" s="21" t="n">
        <f aca="false">E135*E138</f>
        <v>6.75507635448269</v>
      </c>
      <c r="F139" s="21" t="n">
        <f aca="false">F135*F138</f>
        <v>4.50022786302028</v>
      </c>
      <c r="G139" s="21" t="n">
        <f aca="false">G135*G138</f>
        <v>5.12514116594277</v>
      </c>
    </row>
    <row r="140" customFormat="false" ht="17.15" hidden="false" customHeight="false" outlineLevel="0" collapsed="false">
      <c r="A140" s="1" t="s">
        <v>388</v>
      </c>
    </row>
    <row r="141" customFormat="false" ht="17.15" hidden="false" customHeight="false" outlineLevel="0" collapsed="false">
      <c r="A141" s="5" t="s">
        <v>389</v>
      </c>
      <c r="B141" s="0" t="s">
        <v>34</v>
      </c>
      <c r="C141" s="21" t="n">
        <f aca="false">a25_nai</f>
        <v>7.3757</v>
      </c>
      <c r="D141" s="21" t="n">
        <f aca="false">a26_nai</f>
        <v>9.1</v>
      </c>
      <c r="E141" s="21" t="n">
        <f aca="false">D141*(1+g_nai27)</f>
        <v>10.01</v>
      </c>
      <c r="F141" s="21" t="n">
        <f aca="false">E141*(1+g_nai28)</f>
        <v>10.8108</v>
      </c>
      <c r="G141" s="21" t="n">
        <f aca="false">F141*(1+g_nai29)</f>
        <v>11.459448</v>
      </c>
    </row>
    <row r="142" customFormat="false" ht="15" hidden="false" customHeight="false" outlineLevel="0" collapsed="false">
      <c r="A142" s="5" t="s">
        <v>302</v>
      </c>
      <c r="B142" s="0" t="s">
        <v>34</v>
      </c>
      <c r="C142" s="21" t="n">
        <f aca="false">a25_rev</f>
        <v>9.0057</v>
      </c>
      <c r="D142" s="21" t="n">
        <f aca="false">D139+D141</f>
        <v>12.6</v>
      </c>
      <c r="E142" s="21" t="n">
        <f aca="false">E139+E141</f>
        <v>16.7650763544827</v>
      </c>
      <c r="F142" s="21" t="n">
        <f aca="false">F139+F141</f>
        <v>15.3110278630203</v>
      </c>
      <c r="G142" s="21" t="n">
        <f aca="false">G139+G141</f>
        <v>16.5845891659428</v>
      </c>
    </row>
    <row r="143" customFormat="false" ht="17.15" hidden="false" customHeight="false" outlineLevel="0" collapsed="false">
      <c r="A143" s="5" t="s">
        <v>390</v>
      </c>
      <c r="B143" s="0" t="s">
        <v>34</v>
      </c>
      <c r="C143" s="21" t="n">
        <f aca="false">svc25</f>
        <v>1.4288</v>
      </c>
      <c r="D143" s="21" t="n">
        <f aca="false">C143*(1+g_svc26)</f>
        <v>1.743136</v>
      </c>
      <c r="E143" s="21" t="n">
        <f aca="false">D143*(1+g_svc27)</f>
        <v>2.0046064</v>
      </c>
      <c r="F143" s="21" t="n">
        <f aca="false">E143*(1+g_svc28)</f>
        <v>2.20506704</v>
      </c>
      <c r="G143" s="21" t="n">
        <f aca="false">F143*(1+g_svc29)</f>
        <v>2.3814724032</v>
      </c>
      <c r="H143" s="5" t="s">
        <v>391</v>
      </c>
    </row>
    <row r="144" customFormat="false" ht="17.15" hidden="false" customHeight="false" outlineLevel="0" collapsed="false">
      <c r="A144" s="5" t="s">
        <v>392</v>
      </c>
      <c r="B144" s="0" t="s">
        <v>34</v>
      </c>
      <c r="C144" s="21" t="n">
        <f aca="false">C141-C143</f>
        <v>5.9469</v>
      </c>
      <c r="D144" s="21" t="n">
        <f aca="false">D141-D143</f>
        <v>7.356864</v>
      </c>
      <c r="E144" s="21" t="n">
        <f aca="false">E141-E143</f>
        <v>8.0053936</v>
      </c>
      <c r="F144" s="21" t="n">
        <f aca="false">F141-F143</f>
        <v>8.60573296</v>
      </c>
      <c r="G144" s="21" t="n">
        <f aca="false">G141-G143</f>
        <v>9.0779755968</v>
      </c>
    </row>
    <row r="145" customFormat="false" ht="17.15" hidden="false" customHeight="false" outlineLevel="0" collapsed="false">
      <c r="A145" s="5" t="s">
        <v>393</v>
      </c>
      <c r="B145" s="0" t="s">
        <v>34</v>
      </c>
      <c r="C145" s="21" t="n">
        <f aca="false">C139+C144</f>
        <v>7.5769</v>
      </c>
      <c r="D145" s="21" t="n">
        <f aca="false">D139+D144</f>
        <v>10.856864</v>
      </c>
      <c r="E145" s="21" t="n">
        <f aca="false">E139+E144</f>
        <v>14.7604699544827</v>
      </c>
      <c r="F145" s="21" t="n">
        <f aca="false">F139+F144</f>
        <v>13.1059608230203</v>
      </c>
      <c r="G145" s="21" t="n">
        <f aca="false">G139+G144</f>
        <v>14.2031167627428</v>
      </c>
      <c r="H145" s="5" t="s">
        <v>394</v>
      </c>
    </row>
    <row r="146" customFormat="false" ht="15" hidden="false" customHeight="false" outlineLevel="0" collapsed="false">
      <c r="A146" s="5" t="s">
        <v>395</v>
      </c>
      <c r="B146" s="0" t="s">
        <v>34</v>
      </c>
      <c r="C146" s="17" t="n">
        <f aca="false">C145+C143-C142</f>
        <v>0</v>
      </c>
      <c r="D146" s="17" t="n">
        <f aca="false">D145+D143-D142</f>
        <v>0</v>
      </c>
      <c r="E146" s="17" t="n">
        <f aca="false">E145+E143-E142</f>
        <v>0</v>
      </c>
      <c r="F146" s="17" t="n">
        <f aca="false">F145+F143-F142</f>
        <v>0</v>
      </c>
      <c r="G146" s="17" t="n">
        <f aca="false">G145+G143-G142</f>
        <v>0</v>
      </c>
    </row>
    <row r="147" customFormat="false" ht="15" hidden="false" customHeight="false" outlineLevel="0" collapsed="false">
      <c r="A147" s="5" t="s">
        <v>396</v>
      </c>
      <c r="B147" s="0" t="s">
        <v>79</v>
      </c>
      <c r="D147" s="16" t="n">
        <f aca="false">D142/C142-1</f>
        <v>0.399113894533462</v>
      </c>
      <c r="E147" s="16" t="n">
        <f aca="false">E142/D142-1</f>
        <v>0.330561615435134</v>
      </c>
      <c r="F147" s="16" t="n">
        <f aca="false">F142/E142-1</f>
        <v>-0.086730800428095</v>
      </c>
      <c r="G147" s="16" t="n">
        <f aca="false">G142/F142-1</f>
        <v>0.0831793472206033</v>
      </c>
    </row>
    <row r="148" customFormat="false" ht="17.15" hidden="false" customHeight="false" outlineLevel="0" collapsed="false">
      <c r="A148" s="0" t="s">
        <v>332</v>
      </c>
      <c r="B148" s="0" t="s">
        <v>79</v>
      </c>
      <c r="C148" s="16" t="n">
        <f aca="false">C139/C142</f>
        <v>0.180996480007107</v>
      </c>
      <c r="D148" s="16" t="n">
        <f aca="false">D139/D142</f>
        <v>0.277777777777778</v>
      </c>
      <c r="E148" s="16" t="n">
        <f aca="false">E139/E142</f>
        <v>0.402925475056157</v>
      </c>
      <c r="F148" s="16" t="n">
        <f aca="false">F139/F142</f>
        <v>0.293920689275825</v>
      </c>
      <c r="G148" s="16" t="n">
        <f aca="false">G139/G142</f>
        <v>0.309030336215231</v>
      </c>
    </row>
    <row r="149" customFormat="false" ht="17.15" hidden="false" customHeight="false" outlineLevel="0" collapsed="false">
      <c r="A149" s="1" t="s">
        <v>397</v>
      </c>
    </row>
    <row r="150" customFormat="false" ht="17.15" hidden="false" customHeight="false" outlineLevel="0" collapsed="false">
      <c r="A150" s="5" t="s">
        <v>398</v>
      </c>
      <c r="B150" s="0" t="s">
        <v>79</v>
      </c>
      <c r="D150" s="16" t="n">
        <f aca="false">a26_gp/a26_rev+d_ai*D148</f>
        <v>0.646666666666667</v>
      </c>
      <c r="H150" s="8" t="s">
        <v>399</v>
      </c>
    </row>
    <row r="151" customFormat="false" ht="15" hidden="false" customHeight="false" outlineLevel="0" collapsed="false">
      <c r="A151" s="5" t="s">
        <v>400</v>
      </c>
      <c r="B151" s="0" t="s">
        <v>34</v>
      </c>
      <c r="C151" s="21" t="n">
        <f aca="false">a25_gp</f>
        <v>5.8154</v>
      </c>
      <c r="D151" s="21" t="n">
        <f aca="false">a26_gp</f>
        <v>7.938</v>
      </c>
      <c r="E151" s="21" t="n">
        <f aca="false">$D$150*E141+($D$150-d_ai)*E139</f>
        <v>10.4361114612965</v>
      </c>
      <c r="F151" s="21" t="n">
        <f aca="false">$D$150*F141+($D$150-d_ai)*F139</f>
        <v>9.63111767963856</v>
      </c>
      <c r="G151" s="21" t="n">
        <f aca="false">$D$150*G141+($D$150-d_ai)*G139</f>
        <v>10.4171925240198</v>
      </c>
    </row>
    <row r="152" customFormat="false" ht="15" hidden="false" customHeight="false" outlineLevel="0" collapsed="false">
      <c r="A152" s="5" t="s">
        <v>308</v>
      </c>
      <c r="B152" s="0" t="s">
        <v>79</v>
      </c>
      <c r="C152" s="16" t="n">
        <f aca="false">C151/C142</f>
        <v>0.645746582719833</v>
      </c>
      <c r="D152" s="16" t="n">
        <f aca="false">D151/D142</f>
        <v>0.63</v>
      </c>
      <c r="E152" s="16" t="n">
        <f aca="false">E151/E142</f>
        <v>0.622491138163297</v>
      </c>
      <c r="F152" s="16" t="n">
        <f aca="false">F151/F142</f>
        <v>0.629031425310117</v>
      </c>
      <c r="G152" s="16" t="n">
        <f aca="false">G151/G142</f>
        <v>0.628124846493753</v>
      </c>
    </row>
    <row r="153" customFormat="false" ht="15" hidden="false" customHeight="false" outlineLevel="0" collapsed="false">
      <c r="A153" s="5" t="s">
        <v>401</v>
      </c>
      <c r="B153" s="0" t="s">
        <v>34</v>
      </c>
      <c r="C153" s="21" t="n">
        <f aca="false">a25_opx</f>
        <v>1.4784</v>
      </c>
      <c r="D153" s="21" t="n">
        <f aca="false">a26_opx</f>
        <v>1.827</v>
      </c>
      <c r="E153" s="21" t="n">
        <f aca="false">D153*(1+MAX(0,phi*E147))</f>
        <v>2.15916483926999</v>
      </c>
      <c r="F153" s="21" t="n">
        <f aca="false">E153*(1+MAX(0,phi*F147))</f>
        <v>2.15916483926999</v>
      </c>
      <c r="G153" s="21" t="n">
        <f aca="false">F153*(1+MAX(0,phi*G147))</f>
        <v>2.25794369629968</v>
      </c>
    </row>
    <row r="154" customFormat="false" ht="15" hidden="false" customHeight="false" outlineLevel="0" collapsed="false">
      <c r="A154" s="5" t="s">
        <v>402</v>
      </c>
      <c r="B154" s="0" t="s">
        <v>34</v>
      </c>
      <c r="C154" s="21" t="n">
        <f aca="false">C153</f>
        <v>1.4784</v>
      </c>
      <c r="D154" s="21" t="n">
        <f aca="false">D153</f>
        <v>1.827</v>
      </c>
      <c r="E154" s="21" t="n">
        <f aca="false">E153+0*E142</f>
        <v>2.15916483926999</v>
      </c>
      <c r="F154" s="21" t="n">
        <f aca="false">F153+0*F142</f>
        <v>2.15916483926999</v>
      </c>
      <c r="G154" s="21" t="n">
        <f aca="false">G153+0*G142</f>
        <v>2.25794369629968</v>
      </c>
    </row>
    <row r="155" customFormat="false" ht="15" hidden="false" customHeight="false" outlineLevel="0" collapsed="false">
      <c r="A155" s="5" t="s">
        <v>403</v>
      </c>
      <c r="B155" s="0" t="s">
        <v>34</v>
      </c>
      <c r="C155" s="21" t="n">
        <f aca="false">C151-C154</f>
        <v>4.337</v>
      </c>
      <c r="D155" s="21" t="n">
        <f aca="false">D151-D154</f>
        <v>6.111</v>
      </c>
      <c r="E155" s="21" t="n">
        <f aca="false">E151-E154</f>
        <v>8.27694662202652</v>
      </c>
      <c r="F155" s="21" t="n">
        <f aca="false">F151-F154</f>
        <v>7.47195284036857</v>
      </c>
      <c r="G155" s="21" t="n">
        <f aca="false">G151-G154</f>
        <v>8.15924882772008</v>
      </c>
    </row>
    <row r="156" customFormat="false" ht="15" hidden="false" customHeight="false" outlineLevel="0" collapsed="false">
      <c r="A156" s="5" t="s">
        <v>313</v>
      </c>
      <c r="B156" s="0" t="s">
        <v>79</v>
      </c>
      <c r="C156" s="16" t="n">
        <f aca="false">C155/C142</f>
        <v>0.48158388576124</v>
      </c>
      <c r="D156" s="16" t="n">
        <f aca="false">D155/D142</f>
        <v>0.485</v>
      </c>
      <c r="E156" s="16" t="n">
        <f aca="false">E155/E142</f>
        <v>0.493701695537665</v>
      </c>
      <c r="F156" s="16" t="n">
        <f aca="false">F155/F142</f>
        <v>0.4880111843056</v>
      </c>
      <c r="G156" s="16" t="n">
        <f aca="false">G155/G142</f>
        <v>0.491977747900773</v>
      </c>
    </row>
    <row r="157" customFormat="false" ht="15" hidden="false" customHeight="false" outlineLevel="0" collapsed="false">
      <c r="A157" s="5" t="s">
        <v>404</v>
      </c>
      <c r="B157" s="0" t="s">
        <v>34</v>
      </c>
      <c r="C157" s="21" t="n">
        <f aca="false">a25_oth</f>
        <v>0.3936</v>
      </c>
      <c r="D157" s="21" t="n">
        <f aca="false">a26_oth</f>
        <v>0.4999</v>
      </c>
      <c r="E157" s="21" t="n">
        <f aca="false">oth_f</f>
        <v>0.55</v>
      </c>
      <c r="F157" s="21" t="n">
        <f aca="false">oth_f</f>
        <v>0.55</v>
      </c>
      <c r="G157" s="21" t="n">
        <f aca="false">oth_f</f>
        <v>0.55</v>
      </c>
    </row>
    <row r="158" customFormat="false" ht="15" hidden="false" customHeight="false" outlineLevel="0" collapsed="false">
      <c r="A158" s="5" t="s">
        <v>405</v>
      </c>
      <c r="B158" s="0" t="s">
        <v>79</v>
      </c>
      <c r="C158" s="16" t="n">
        <f aca="false">1-a25_ni/(a25_oi+a25_oth)</f>
        <v>0.195450894178328</v>
      </c>
      <c r="D158" s="16" t="n">
        <f aca="false">1-a26_ni/(a26_oi+a26_oth)</f>
        <v>0.209652694791935</v>
      </c>
      <c r="E158" s="16" t="n">
        <f aca="false">tx_f</f>
        <v>0.21</v>
      </c>
      <c r="F158" s="16" t="n">
        <f aca="false">tx_f</f>
        <v>0.21</v>
      </c>
      <c r="G158" s="16" t="n">
        <f aca="false">tx_f</f>
        <v>0.21</v>
      </c>
    </row>
    <row r="159" customFormat="false" ht="17.15" hidden="false" customHeight="false" outlineLevel="0" collapsed="false">
      <c r="A159" s="5" t="s">
        <v>372</v>
      </c>
      <c r="B159" s="0" t="s">
        <v>34</v>
      </c>
      <c r="C159" s="21" t="n">
        <f aca="false">a25_ni</f>
        <v>3.806</v>
      </c>
      <c r="D159" s="21" t="n">
        <f aca="false">a26_ni</f>
        <v>5.224907</v>
      </c>
      <c r="E159" s="21" t="n">
        <f aca="false">(E155+E157)*(1-E158)</f>
        <v>6.97328783140095</v>
      </c>
      <c r="F159" s="21" t="n">
        <f aca="false">(F155+F157)*(1-F158)</f>
        <v>6.33734274389117</v>
      </c>
      <c r="G159" s="21" t="n">
        <f aca="false">(G155+G157)*(1-G158)</f>
        <v>6.88030657389886</v>
      </c>
    </row>
    <row r="160" customFormat="false" ht="15" hidden="false" customHeight="false" outlineLevel="0" collapsed="false">
      <c r="A160" s="5" t="s">
        <v>406</v>
      </c>
      <c r="B160" s="5" t="s">
        <v>167</v>
      </c>
      <c r="C160" s="17" t="n">
        <f aca="false">a25_sh</f>
        <v>1.2757</v>
      </c>
      <c r="D160" s="17" t="n">
        <f aca="false">a26_sh</f>
        <v>1.27595</v>
      </c>
      <c r="E160" s="17" t="n">
        <f aca="false">D160*(1+sh_g)</f>
        <v>1.27595</v>
      </c>
      <c r="F160" s="17" t="n">
        <f aca="false">E160*(1+sh_g)</f>
        <v>1.27595</v>
      </c>
      <c r="G160" s="17" t="n">
        <f aca="false">F160*(1+sh_g)</f>
        <v>1.27595</v>
      </c>
    </row>
    <row r="161" customFormat="false" ht="17.15" hidden="false" customHeight="false" outlineLevel="0" collapsed="false">
      <c r="A161" s="0" t="s">
        <v>373</v>
      </c>
      <c r="B161" s="0" t="s">
        <v>202</v>
      </c>
      <c r="C161" s="21" t="n">
        <f aca="false">C159/C160</f>
        <v>2.9834600611429</v>
      </c>
      <c r="D161" s="21" t="n">
        <f aca="false">D159/D160</f>
        <v>4.0949151612524</v>
      </c>
      <c r="E161" s="21" t="n">
        <f aca="false">E159/E160</f>
        <v>5.46517326807551</v>
      </c>
      <c r="F161" s="21" t="n">
        <f aca="false">F159/F160</f>
        <v>4.96676417092454</v>
      </c>
      <c r="G161" s="21" t="n">
        <f aca="false">G159/G160</f>
        <v>5.39230108852139</v>
      </c>
    </row>
    <row r="162" customFormat="false" ht="17.15" hidden="false" customHeight="false" outlineLevel="0" collapsed="false">
      <c r="A162" s="0" t="s">
        <v>407</v>
      </c>
      <c r="B162" s="0" t="s">
        <v>79</v>
      </c>
      <c r="D162" s="16" t="n">
        <f aca="false">D161/C161-1</f>
        <v>0.372538957227979</v>
      </c>
      <c r="E162" s="16" t="n">
        <f aca="false">E161/D161-1</f>
        <v>0.334624296930252</v>
      </c>
      <c r="F162" s="16" t="n">
        <f aca="false">F161/E161-1</f>
        <v>-0.0911973093446821</v>
      </c>
      <c r="G162" s="16" t="n">
        <f aca="false">G161/F161-1</f>
        <v>0.0856768920271955</v>
      </c>
    </row>
    <row r="165" customFormat="false" ht="17.15" hidden="false" customHeight="false" outlineLevel="0" collapsed="false">
      <c r="A165" s="3" t="s">
        <v>410</v>
      </c>
    </row>
    <row r="166" customFormat="false" ht="17.15" hidden="false" customHeight="false" outlineLevel="0" collapsed="false">
      <c r="A166" s="5" t="s">
        <v>411</v>
      </c>
    </row>
    <row r="167" customFormat="false" ht="15" hidden="false" customHeight="false" outlineLevel="0" collapsed="false">
      <c r="A167" s="6" t="s">
        <v>412</v>
      </c>
      <c r="B167" s="6" t="s">
        <v>24</v>
      </c>
      <c r="C167" s="13" t="s">
        <v>295</v>
      </c>
      <c r="D167" s="13" t="s">
        <v>413</v>
      </c>
      <c r="E167" s="13" t="s">
        <v>364</v>
      </c>
      <c r="F167" s="13" t="s">
        <v>365</v>
      </c>
      <c r="G167" s="13" t="s">
        <v>366</v>
      </c>
      <c r="H167" s="13" t="s">
        <v>414</v>
      </c>
      <c r="I167" s="13" t="s">
        <v>415</v>
      </c>
      <c r="J167" s="13" t="s">
        <v>416</v>
      </c>
      <c r="K167" s="6" t="s">
        <v>283</v>
      </c>
    </row>
    <row r="168" customFormat="false" ht="17.15" hidden="false" customHeight="false" outlineLevel="0" collapsed="false">
      <c r="A168" s="3" t="s">
        <v>367</v>
      </c>
    </row>
    <row r="169" customFormat="false" ht="15" hidden="false" customHeight="false" outlineLevel="0" collapsed="false">
      <c r="A169" s="5" t="s">
        <v>302</v>
      </c>
      <c r="B169" s="0" t="s">
        <v>34</v>
      </c>
      <c r="C169" s="20" t="n">
        <f aca="false">C72</f>
        <v>9.0057</v>
      </c>
      <c r="D169" s="20" t="n">
        <f aca="false">D72</f>
        <v>12.6</v>
      </c>
      <c r="E169" s="20" t="n">
        <f aca="false">E72</f>
        <v>16.7650763544827</v>
      </c>
      <c r="F169" s="20" t="n">
        <f aca="false">F72</f>
        <v>18.3111797717005</v>
      </c>
      <c r="G169" s="20" t="n">
        <f aca="false">G72</f>
        <v>20.001349943238</v>
      </c>
      <c r="H169" s="23" t="n">
        <f aca="false">G169*(1+H170)</f>
        <v>21.632161831845</v>
      </c>
      <c r="I169" s="23" t="n">
        <f aca="false">H169*(1+I170)</f>
        <v>23.1630168290097</v>
      </c>
      <c r="J169" s="23" t="n">
        <f aca="false">I169*(1+J170)</f>
        <v>24.5527978387503</v>
      </c>
    </row>
    <row r="170" customFormat="false" ht="17.15" hidden="false" customHeight="false" outlineLevel="0" collapsed="false">
      <c r="A170" s="5" t="s">
        <v>368</v>
      </c>
      <c r="B170" s="0" t="s">
        <v>79</v>
      </c>
      <c r="C170" s="16"/>
      <c r="D170" s="16" t="n">
        <f aca="false">D169/C169-1</f>
        <v>0.399113894533462</v>
      </c>
      <c r="E170" s="16" t="n">
        <f aca="false">E169/D169-1</f>
        <v>0.330561615435134</v>
      </c>
      <c r="F170" s="16" t="n">
        <f aca="false">F169/E169-1</f>
        <v>0.0922216746602751</v>
      </c>
      <c r="G170" s="16" t="n">
        <f aca="false">G169/F169-1</f>
        <v>0.092302636564664</v>
      </c>
      <c r="H170" s="24" t="n">
        <f aca="false">$G$170+((tp_g+tp_gd)-$G$170)*1/3</f>
        <v>0.0815350910431093</v>
      </c>
      <c r="I170" s="24" t="n">
        <f aca="false">$G$170+((tp_g+tp_gd)-$G$170)*2/3</f>
        <v>0.0707675455215547</v>
      </c>
      <c r="J170" s="24" t="n">
        <f aca="false">$G$170+((tp_g+tp_gd)-$G$170)*3/3</f>
        <v>0.06</v>
      </c>
      <c r="K170" s="8" t="s">
        <v>417</v>
      </c>
    </row>
    <row r="171" customFormat="false" ht="17.15" hidden="false" customHeight="false" outlineLevel="0" collapsed="false">
      <c r="A171" s="5" t="s">
        <v>418</v>
      </c>
      <c r="B171" s="0" t="s">
        <v>79</v>
      </c>
      <c r="C171" s="16" t="n">
        <f aca="false">C172/C169</f>
        <v>0.42262122877733</v>
      </c>
      <c r="D171" s="16" t="n">
        <f aca="false">D172/D169</f>
        <v>0.414675158730159</v>
      </c>
      <c r="E171" s="16" t="n">
        <f aca="false">E172/E169</f>
        <v>0.415941310612428</v>
      </c>
      <c r="F171" s="16" t="n">
        <f aca="false">F172/F169</f>
        <v>0.41730215217284</v>
      </c>
      <c r="G171" s="16" t="n">
        <f aca="false">G172/G169</f>
        <v>0.418191351731727</v>
      </c>
      <c r="H171" s="24" t="n">
        <f aca="false">$G$171+($G$171-$G$171)*1/3</f>
        <v>0.418191351731727</v>
      </c>
      <c r="I171" s="24" t="n">
        <f aca="false">$G$171+($G$171-$G$171)*2/3</f>
        <v>0.418191351731727</v>
      </c>
      <c r="J171" s="24" t="n">
        <f aca="false">$G$171+($G$171-$G$171)*3/3</f>
        <v>0.418191351731727</v>
      </c>
      <c r="K171" s="8" t="s">
        <v>419</v>
      </c>
    </row>
    <row r="172" customFormat="false" ht="15" hidden="false" customHeight="false" outlineLevel="0" collapsed="false">
      <c r="A172" s="5" t="s">
        <v>420</v>
      </c>
      <c r="B172" s="0" t="s">
        <v>34</v>
      </c>
      <c r="C172" s="20" t="n">
        <f aca="false">C89</f>
        <v>3.806</v>
      </c>
      <c r="D172" s="20" t="n">
        <f aca="false">D89</f>
        <v>5.224907</v>
      </c>
      <c r="E172" s="20" t="n">
        <f aca="false">E89</f>
        <v>6.97328783140095</v>
      </c>
      <c r="F172" s="20" t="n">
        <f aca="false">F89</f>
        <v>7.64129472755438</v>
      </c>
      <c r="G172" s="20" t="n">
        <f aca="false">G89</f>
        <v>8.36439156922198</v>
      </c>
      <c r="H172" s="23" t="n">
        <f aca="false">H169*H171</f>
        <v>9.04638299733871</v>
      </c>
      <c r="I172" s="23" t="n">
        <f aca="false">I169*I171</f>
        <v>9.6865733179083</v>
      </c>
      <c r="J172" s="23" t="n">
        <f aca="false">J169*J171</f>
        <v>10.2677677169828</v>
      </c>
    </row>
    <row r="173" customFormat="false" ht="17.15" hidden="false" customHeight="false" outlineLevel="0" collapsed="false">
      <c r="A173" s="5" t="s">
        <v>406</v>
      </c>
      <c r="B173" s="5" t="s">
        <v>167</v>
      </c>
      <c r="C173" s="17" t="n">
        <f aca="false">C90</f>
        <v>1.2757</v>
      </c>
      <c r="D173" s="17" t="n">
        <f aca="false">D90</f>
        <v>1.27595</v>
      </c>
      <c r="E173" s="17" t="n">
        <f aca="false">E90</f>
        <v>1.27595</v>
      </c>
      <c r="F173" s="17" t="n">
        <f aca="false">F90</f>
        <v>1.27595</v>
      </c>
      <c r="G173" s="17" t="n">
        <f aca="false">G90</f>
        <v>1.27595</v>
      </c>
      <c r="H173" s="25" t="n">
        <f aca="false">G173*(1+$G$173/$F$173-1)</f>
        <v>1.27595</v>
      </c>
      <c r="I173" s="25" t="n">
        <f aca="false">H173*(1+$G$173/$F$173-1)</f>
        <v>1.27595</v>
      </c>
      <c r="J173" s="25" t="n">
        <f aca="false">I173*(1+$G$173/$F$173-1)</f>
        <v>1.27595</v>
      </c>
      <c r="K173" s="8" t="s">
        <v>421</v>
      </c>
    </row>
    <row r="174" customFormat="false" ht="17.15" hidden="false" customHeight="false" outlineLevel="0" collapsed="false">
      <c r="A174" s="0" t="s">
        <v>422</v>
      </c>
      <c r="B174" s="0" t="s">
        <v>202</v>
      </c>
      <c r="C174" s="21" t="n">
        <f aca="false">C91</f>
        <v>2.9834600611429</v>
      </c>
      <c r="D174" s="21" t="n">
        <f aca="false">D91</f>
        <v>4.0949151612524</v>
      </c>
      <c r="E174" s="21" t="n">
        <f aca="false">E91</f>
        <v>5.46517326807551</v>
      </c>
      <c r="F174" s="21" t="n">
        <f aca="false">F91</f>
        <v>5.98871015913977</v>
      </c>
      <c r="G174" s="21" t="n">
        <f aca="false">G91</f>
        <v>6.55542268052979</v>
      </c>
      <c r="H174" s="26" t="n">
        <f aca="false">H172/H173</f>
        <v>7.08991966561285</v>
      </c>
      <c r="I174" s="26" t="n">
        <f aca="false">I172/I173</f>
        <v>7.59165587829327</v>
      </c>
      <c r="J174" s="26" t="n">
        <f aca="false">J172/J173</f>
        <v>8.04715523099086</v>
      </c>
    </row>
    <row r="175" customFormat="false" ht="17.15" hidden="false" customHeight="false" outlineLevel="0" collapsed="false">
      <c r="A175" s="0" t="s">
        <v>374</v>
      </c>
      <c r="B175" s="0" t="s">
        <v>79</v>
      </c>
      <c r="C175" s="16"/>
      <c r="D175" s="16" t="n">
        <f aca="false">D174/C174-1</f>
        <v>0.372538957227979</v>
      </c>
      <c r="E175" s="16" t="n">
        <f aca="false">E174/D174-1</f>
        <v>0.334624296930252</v>
      </c>
      <c r="F175" s="16" t="n">
        <f aca="false">F174/E174-1</f>
        <v>0.0957951130520349</v>
      </c>
      <c r="G175" s="16" t="n">
        <f aca="false">G174/F174-1</f>
        <v>0.0946301467812936</v>
      </c>
      <c r="H175" s="24" t="n">
        <f aca="false">H174/G174-1</f>
        <v>0.0815350910431096</v>
      </c>
      <c r="I175" s="24" t="n">
        <f aca="false">I174/H174-1</f>
        <v>0.0707675455215546</v>
      </c>
      <c r="J175" s="24" t="n">
        <f aca="false">J174/I174-1</f>
        <v>0.0599999999999998</v>
      </c>
    </row>
    <row r="177" customFormat="false" ht="17.15" hidden="false" customHeight="false" outlineLevel="0" collapsed="false">
      <c r="A177" s="3" t="s">
        <v>375</v>
      </c>
    </row>
    <row r="178" customFormat="false" ht="15" hidden="false" customHeight="false" outlineLevel="0" collapsed="false">
      <c r="A178" s="5" t="s">
        <v>302</v>
      </c>
      <c r="B178" s="0" t="s">
        <v>34</v>
      </c>
      <c r="C178" s="20" t="n">
        <f aca="false">C107</f>
        <v>9.0057</v>
      </c>
      <c r="D178" s="20" t="n">
        <f aca="false">D107</f>
        <v>12.6</v>
      </c>
      <c r="E178" s="20" t="n">
        <f aca="false">E107</f>
        <v>16.7650763544827</v>
      </c>
      <c r="F178" s="20" t="n">
        <f aca="false">F107</f>
        <v>16.8111038173604</v>
      </c>
      <c r="G178" s="20" t="n">
        <f aca="false">G107</f>
        <v>18.7200646517523</v>
      </c>
      <c r="H178" s="23" t="n">
        <f aca="false">G178*(1+H179)</f>
        <v>20.386818947035</v>
      </c>
      <c r="I178" s="23" t="n">
        <f aca="false">H178*(1+I179)</f>
        <v>21.7021328017817</v>
      </c>
      <c r="J178" s="23" t="n">
        <f aca="false">I178*(1+J179)</f>
        <v>22.570218113853</v>
      </c>
    </row>
    <row r="179" customFormat="false" ht="17.15" hidden="false" customHeight="false" outlineLevel="0" collapsed="false">
      <c r="A179" s="5" t="s">
        <v>368</v>
      </c>
      <c r="B179" s="0" t="s">
        <v>79</v>
      </c>
      <c r="C179" s="16"/>
      <c r="D179" s="16" t="n">
        <f aca="false">D178/C178-1</f>
        <v>0.399113894533462</v>
      </c>
      <c r="E179" s="16" t="n">
        <f aca="false">E178/D178-1</f>
        <v>0.330561615435134</v>
      </c>
      <c r="F179" s="16" t="n">
        <f aca="false">F178/E178-1</f>
        <v>0.00274543711609021</v>
      </c>
      <c r="G179" s="16" t="n">
        <f aca="false">G178/F178-1</f>
        <v>0.11355356882756</v>
      </c>
      <c r="H179" s="24" t="n">
        <f aca="false">$G$179+(tp_g-$G$179)*1/3</f>
        <v>0.0890357125517068</v>
      </c>
      <c r="I179" s="24" t="n">
        <f aca="false">$G$179+(tp_g-$G$179)*2/3</f>
        <v>0.0645178562758534</v>
      </c>
      <c r="J179" s="24" t="n">
        <f aca="false">$G$179+(tp_g-$G$179)*3/3</f>
        <v>0.04</v>
      </c>
      <c r="K179" s="8" t="s">
        <v>423</v>
      </c>
    </row>
    <row r="180" customFormat="false" ht="17.15" hidden="false" customHeight="false" outlineLevel="0" collapsed="false">
      <c r="A180" s="5" t="s">
        <v>418</v>
      </c>
      <c r="B180" s="0" t="s">
        <v>79</v>
      </c>
      <c r="C180" s="16" t="n">
        <f aca="false">C181/C178</f>
        <v>0.42262122877733</v>
      </c>
      <c r="D180" s="16" t="n">
        <f aca="false">D181/D178</f>
        <v>0.414675158730159</v>
      </c>
      <c r="E180" s="16" t="n">
        <f aca="false">E181/E178</f>
        <v>0.415941310612428</v>
      </c>
      <c r="F180" s="16" t="n">
        <f aca="false">F181/F178</f>
        <v>0.418176127587233</v>
      </c>
      <c r="G180" s="16" t="n">
        <f aca="false">G181/G178</f>
        <v>0.418737655036179</v>
      </c>
      <c r="H180" s="24" t="n">
        <f aca="false">$G$180+(($G$180+$G$180*nm10_k)/2-$G$180)*1/3</f>
        <v>0.40477973320164</v>
      </c>
      <c r="I180" s="24" t="n">
        <f aca="false">$G$180+(($G$180+$G$180*nm10_k)/2-$G$180)*2/3</f>
        <v>0.390821811367101</v>
      </c>
      <c r="J180" s="24" t="n">
        <f aca="false">$G$180+(($G$180+$G$180*nm10_k)/2-$G$180)*3/3</f>
        <v>0.376863889532561</v>
      </c>
      <c r="K180" s="8" t="s">
        <v>424</v>
      </c>
    </row>
    <row r="181" customFormat="false" ht="15" hidden="false" customHeight="false" outlineLevel="0" collapsed="false">
      <c r="A181" s="5" t="s">
        <v>420</v>
      </c>
      <c r="B181" s="0" t="s">
        <v>34</v>
      </c>
      <c r="C181" s="20" t="n">
        <f aca="false">C124</f>
        <v>3.806</v>
      </c>
      <c r="D181" s="20" t="n">
        <f aca="false">D124</f>
        <v>5.224907</v>
      </c>
      <c r="E181" s="20" t="n">
        <f aca="false">E124</f>
        <v>6.97328783140095</v>
      </c>
      <c r="F181" s="20" t="n">
        <f aca="false">F124</f>
        <v>7.03000229481071</v>
      </c>
      <c r="G181" s="20" t="n">
        <f aca="false">G124</f>
        <v>7.83879597440041</v>
      </c>
      <c r="H181" s="23" t="n">
        <f aca="false">H178*H180</f>
        <v>8.25217113421098</v>
      </c>
      <c r="I181" s="23" t="n">
        <f aca="false">I178*I180</f>
        <v>8.48166685212169</v>
      </c>
      <c r="J181" s="23" t="n">
        <f aca="false">J178*J180</f>
        <v>8.5059001859849</v>
      </c>
    </row>
    <row r="182" customFormat="false" ht="17.15" hidden="false" customHeight="false" outlineLevel="0" collapsed="false">
      <c r="A182" s="5" t="s">
        <v>406</v>
      </c>
      <c r="B182" s="5" t="s">
        <v>167</v>
      </c>
      <c r="C182" s="17" t="n">
        <f aca="false">C125</f>
        <v>1.2757</v>
      </c>
      <c r="D182" s="17" t="n">
        <f aca="false">D125</f>
        <v>1.27595</v>
      </c>
      <c r="E182" s="17" t="n">
        <f aca="false">E125</f>
        <v>1.27595</v>
      </c>
      <c r="F182" s="17" t="n">
        <f aca="false">F125</f>
        <v>1.27595</v>
      </c>
      <c r="G182" s="17" t="n">
        <f aca="false">G125</f>
        <v>1.27595</v>
      </c>
      <c r="H182" s="25" t="n">
        <f aca="false">G182*(1+$G$182/$F$182-1)</f>
        <v>1.27595</v>
      </c>
      <c r="I182" s="25" t="n">
        <f aca="false">H182*(1+$G$182/$F$182-1)</f>
        <v>1.27595</v>
      </c>
      <c r="J182" s="25" t="n">
        <f aca="false">I182*(1+$G$182/$F$182-1)</f>
        <v>1.27595</v>
      </c>
      <c r="K182" s="8" t="s">
        <v>421</v>
      </c>
    </row>
    <row r="183" customFormat="false" ht="17.15" hidden="false" customHeight="false" outlineLevel="0" collapsed="false">
      <c r="A183" s="0" t="s">
        <v>422</v>
      </c>
      <c r="B183" s="0" t="s">
        <v>202</v>
      </c>
      <c r="C183" s="21" t="n">
        <f aca="false">C126</f>
        <v>2.9834600611429</v>
      </c>
      <c r="D183" s="21" t="n">
        <f aca="false">D126</f>
        <v>4.0949151612524</v>
      </c>
      <c r="E183" s="21" t="n">
        <f aca="false">E126</f>
        <v>5.46517326807551</v>
      </c>
      <c r="F183" s="21" t="n">
        <f aca="false">F126</f>
        <v>5.50962208143792</v>
      </c>
      <c r="G183" s="21" t="n">
        <f aca="false">G126</f>
        <v>6.14349776590024</v>
      </c>
      <c r="H183" s="26" t="n">
        <f aca="false">H181/H182</f>
        <v>6.46747218481209</v>
      </c>
      <c r="I183" s="26" t="n">
        <f aca="false">I181/I182</f>
        <v>6.64733481102057</v>
      </c>
      <c r="J183" s="26" t="n">
        <f aca="false">J181/J182</f>
        <v>6.66632719619491</v>
      </c>
    </row>
    <row r="184" customFormat="false" ht="17.15" hidden="false" customHeight="false" outlineLevel="0" collapsed="false">
      <c r="A184" s="0" t="s">
        <v>374</v>
      </c>
      <c r="B184" s="0" t="s">
        <v>79</v>
      </c>
      <c r="C184" s="16"/>
      <c r="D184" s="16" t="n">
        <f aca="false">D183/C183-1</f>
        <v>0.372538957227979</v>
      </c>
      <c r="E184" s="16" t="n">
        <f aca="false">E183/D183-1</f>
        <v>0.334624296930252</v>
      </c>
      <c r="F184" s="16" t="n">
        <f aca="false">F183/E183-1</f>
        <v>0.00813310231572162</v>
      </c>
      <c r="G184" s="16" t="n">
        <f aca="false">G183/F183-1</f>
        <v>0.115048850010579</v>
      </c>
      <c r="H184" s="24" t="n">
        <f aca="false">H183/G183-1</f>
        <v>0.0527345221333166</v>
      </c>
      <c r="I184" s="24" t="n">
        <f aca="false">I183/H183-1</f>
        <v>0.0278103439904789</v>
      </c>
      <c r="J184" s="24" t="n">
        <f aca="false">J183/I183-1</f>
        <v>0.00285714285714311</v>
      </c>
    </row>
    <row r="186" customFormat="false" ht="17.15" hidden="false" customHeight="false" outlineLevel="0" collapsed="false">
      <c r="A186" s="3" t="s">
        <v>376</v>
      </c>
    </row>
    <row r="187" customFormat="false" ht="15" hidden="false" customHeight="false" outlineLevel="0" collapsed="false">
      <c r="A187" s="5" t="s">
        <v>302</v>
      </c>
      <c r="B187" s="0" t="s">
        <v>34</v>
      </c>
      <c r="C187" s="20" t="n">
        <f aca="false">C142</f>
        <v>9.0057</v>
      </c>
      <c r="D187" s="20" t="n">
        <f aca="false">D142</f>
        <v>12.6</v>
      </c>
      <c r="E187" s="20" t="n">
        <f aca="false">E142</f>
        <v>16.7650763544827</v>
      </c>
      <c r="F187" s="20" t="n">
        <f aca="false">F142</f>
        <v>15.3110278630203</v>
      </c>
      <c r="G187" s="20" t="n">
        <f aca="false">G142</f>
        <v>16.5845891659428</v>
      </c>
      <c r="H187" s="23" t="n">
        <f aca="false">G187*(1+H188)</f>
        <v>17.6148166275457</v>
      </c>
      <c r="I187" s="23" t="n">
        <f aca="false">H187*(1+I188)</f>
        <v>18.3380771654096</v>
      </c>
      <c r="J187" s="23" t="n">
        <f aca="false">I187*(1+J188)</f>
        <v>18.7048387087178</v>
      </c>
    </row>
    <row r="188" customFormat="false" ht="17.15" hidden="false" customHeight="false" outlineLevel="0" collapsed="false">
      <c r="A188" s="5" t="s">
        <v>368</v>
      </c>
      <c r="B188" s="0" t="s">
        <v>79</v>
      </c>
      <c r="C188" s="16"/>
      <c r="D188" s="16" t="n">
        <f aca="false">D187/C187-1</f>
        <v>0.399113894533462</v>
      </c>
      <c r="E188" s="16" t="n">
        <f aca="false">E187/D187-1</f>
        <v>0.330561615435134</v>
      </c>
      <c r="F188" s="16" t="n">
        <f aca="false">F187/E187-1</f>
        <v>-0.086730800428095</v>
      </c>
      <c r="G188" s="16" t="n">
        <f aca="false">G187/F187-1</f>
        <v>0.0831793472206033</v>
      </c>
      <c r="H188" s="24" t="n">
        <f aca="false">$G$188+((tp_g-tp_gd)-$G$188)*1/3</f>
        <v>0.0621195648137355</v>
      </c>
      <c r="I188" s="24" t="n">
        <f aca="false">$G$188+((tp_g-tp_gd)-$G$188)*2/3</f>
        <v>0.0410597824068678</v>
      </c>
      <c r="J188" s="24" t="n">
        <f aca="false">$G$188+((tp_g-tp_gd)-$G$188)*3/3</f>
        <v>0.02</v>
      </c>
      <c r="K188" s="8" t="s">
        <v>425</v>
      </c>
    </row>
    <row r="189" customFormat="false" ht="17.15" hidden="false" customHeight="false" outlineLevel="0" collapsed="false">
      <c r="A189" s="5" t="s">
        <v>418</v>
      </c>
      <c r="B189" s="0" t="s">
        <v>79</v>
      </c>
      <c r="C189" s="16" t="n">
        <f aca="false">C190/C187</f>
        <v>0.42262122877733</v>
      </c>
      <c r="D189" s="16" t="n">
        <f aca="false">D190/D187</f>
        <v>0.414675158730159</v>
      </c>
      <c r="E189" s="16" t="n">
        <f aca="false">E190/E187</f>
        <v>0.415941310612428</v>
      </c>
      <c r="F189" s="16" t="n">
        <f aca="false">F190/F187</f>
        <v>0.413907074076806</v>
      </c>
      <c r="G189" s="16" t="n">
        <f aca="false">G190/G187</f>
        <v>0.414861441851565</v>
      </c>
      <c r="H189" s="24" t="n">
        <f aca="false">$G$189+($G$189*nm10_k-$G$189)*1/3</f>
        <v>0.387204012394794</v>
      </c>
      <c r="I189" s="24" t="n">
        <f aca="false">$G$189+($G$189*nm10_k-$G$189)*2/3</f>
        <v>0.359546582938023</v>
      </c>
      <c r="J189" s="24" t="n">
        <f aca="false">$G$189+($G$189*nm10_k-$G$189)*3/3</f>
        <v>0.331889153481252</v>
      </c>
      <c r="K189" s="8" t="s">
        <v>426</v>
      </c>
    </row>
    <row r="190" customFormat="false" ht="15" hidden="false" customHeight="false" outlineLevel="0" collapsed="false">
      <c r="A190" s="5" t="s">
        <v>420</v>
      </c>
      <c r="B190" s="0" t="s">
        <v>34</v>
      </c>
      <c r="C190" s="20" t="n">
        <f aca="false">C159</f>
        <v>3.806</v>
      </c>
      <c r="D190" s="20" t="n">
        <f aca="false">D159</f>
        <v>5.224907</v>
      </c>
      <c r="E190" s="20" t="n">
        <f aca="false">E159</f>
        <v>6.97328783140095</v>
      </c>
      <c r="F190" s="20" t="n">
        <f aca="false">F159</f>
        <v>6.33734274389117</v>
      </c>
      <c r="G190" s="20" t="n">
        <f aca="false">G159</f>
        <v>6.88030657389886</v>
      </c>
      <c r="H190" s="23" t="n">
        <f aca="false">H187*H189</f>
        <v>6.82052767578424</v>
      </c>
      <c r="I190" s="23" t="n">
        <f aca="false">I187*I189</f>
        <v>6.59339298247682</v>
      </c>
      <c r="J190" s="23" t="n">
        <f aca="false">J187*J189</f>
        <v>6.20793308503972</v>
      </c>
    </row>
    <row r="191" customFormat="false" ht="17.15" hidden="false" customHeight="false" outlineLevel="0" collapsed="false">
      <c r="A191" s="5" t="s">
        <v>406</v>
      </c>
      <c r="B191" s="5" t="s">
        <v>167</v>
      </c>
      <c r="C191" s="17" t="n">
        <f aca="false">C160</f>
        <v>1.2757</v>
      </c>
      <c r="D191" s="17" t="n">
        <f aca="false">D160</f>
        <v>1.27595</v>
      </c>
      <c r="E191" s="17" t="n">
        <f aca="false">E160</f>
        <v>1.27595</v>
      </c>
      <c r="F191" s="17" t="n">
        <f aca="false">F160</f>
        <v>1.27595</v>
      </c>
      <c r="G191" s="17" t="n">
        <f aca="false">G160</f>
        <v>1.27595</v>
      </c>
      <c r="H191" s="25" t="n">
        <f aca="false">G191*(1+$G$191/$F$191-1)</f>
        <v>1.27595</v>
      </c>
      <c r="I191" s="25" t="n">
        <f aca="false">H191*(1+$G$191/$F$191-1)</f>
        <v>1.27595</v>
      </c>
      <c r="J191" s="25" t="n">
        <f aca="false">I191*(1+$G$191/$F$191-1)</f>
        <v>1.27595</v>
      </c>
      <c r="K191" s="8" t="s">
        <v>421</v>
      </c>
    </row>
    <row r="192" customFormat="false" ht="17.15" hidden="false" customHeight="false" outlineLevel="0" collapsed="false">
      <c r="A192" s="0" t="s">
        <v>422</v>
      </c>
      <c r="B192" s="0" t="s">
        <v>202</v>
      </c>
      <c r="C192" s="21" t="n">
        <f aca="false">C161</f>
        <v>2.9834600611429</v>
      </c>
      <c r="D192" s="21" t="n">
        <f aca="false">D161</f>
        <v>4.0949151612524</v>
      </c>
      <c r="E192" s="21" t="n">
        <f aca="false">E161</f>
        <v>5.46517326807551</v>
      </c>
      <c r="F192" s="21" t="n">
        <f aca="false">F161</f>
        <v>4.96676417092454</v>
      </c>
      <c r="G192" s="21" t="n">
        <f aca="false">G161</f>
        <v>5.39230108852139</v>
      </c>
      <c r="H192" s="26" t="n">
        <f aca="false">H190/H191</f>
        <v>5.34545058645264</v>
      </c>
      <c r="I192" s="26" t="n">
        <f aca="false">I190/I191</f>
        <v>5.1674383655134</v>
      </c>
      <c r="J192" s="26" t="n">
        <f aca="false">J190/J191</f>
        <v>4.86534196876031</v>
      </c>
    </row>
    <row r="193" customFormat="false" ht="17.15" hidden="false" customHeight="false" outlineLevel="0" collapsed="false">
      <c r="A193" s="0" t="s">
        <v>374</v>
      </c>
      <c r="B193" s="0" t="s">
        <v>79</v>
      </c>
      <c r="C193" s="16"/>
      <c r="D193" s="16" t="n">
        <f aca="false">D192/C192-1</f>
        <v>0.372538957227979</v>
      </c>
      <c r="E193" s="16" t="n">
        <f aca="false">E192/D192-1</f>
        <v>0.334624296930252</v>
      </c>
      <c r="F193" s="16" t="n">
        <f aca="false">F192/E192-1</f>
        <v>-0.0911973093446821</v>
      </c>
      <c r="G193" s="16" t="n">
        <f aca="false">G192/F192-1</f>
        <v>0.0856768920271955</v>
      </c>
      <c r="H193" s="24" t="n">
        <f aca="false">H192/G192-1</f>
        <v>-0.00868840617384681</v>
      </c>
      <c r="I193" s="24" t="n">
        <f aca="false">I192/H192-1</f>
        <v>-0.033301630622194</v>
      </c>
      <c r="J193" s="24" t="n">
        <f aca="false">J192/I192-1</f>
        <v>-0.0584615384615383</v>
      </c>
    </row>
    <row r="195" customFormat="false" ht="17.15" hidden="false" customHeight="false" outlineLevel="0" collapsed="false">
      <c r="A195" s="3" t="s">
        <v>427</v>
      </c>
    </row>
    <row r="196" customFormat="false" ht="15" hidden="false" customHeight="false" outlineLevel="0" collapsed="false">
      <c r="A196" s="6" t="s">
        <v>23</v>
      </c>
      <c r="B196" s="6" t="s">
        <v>24</v>
      </c>
      <c r="C196" s="13" t="s">
        <v>295</v>
      </c>
      <c r="D196" s="13" t="s">
        <v>413</v>
      </c>
      <c r="E196" s="13" t="s">
        <v>364</v>
      </c>
      <c r="F196" s="13" t="s">
        <v>365</v>
      </c>
      <c r="G196" s="13" t="s">
        <v>366</v>
      </c>
      <c r="H196" s="13" t="s">
        <v>414</v>
      </c>
      <c r="I196" s="13" t="s">
        <v>415</v>
      </c>
      <c r="J196" s="13" t="s">
        <v>416</v>
      </c>
      <c r="K196" s="6" t="s">
        <v>283</v>
      </c>
    </row>
    <row r="197" customFormat="false" ht="17.15" hidden="false" customHeight="false" outlineLevel="0" collapsed="false">
      <c r="A197" s="5" t="s">
        <v>428</v>
      </c>
      <c r="B197" s="0" t="s">
        <v>34</v>
      </c>
      <c r="C197" s="21" t="n">
        <f aca="false">C172+C169*(fcf_da-fcf_capex)</f>
        <v>3.75910156229181</v>
      </c>
      <c r="D197" s="21" t="n">
        <f aca="false">D172+D169*(fcf_da-fcf_capex)</f>
        <v>5.15929074417055</v>
      </c>
      <c r="E197" s="21" t="n">
        <f aca="false">E172+E169*(fcf_da-fcf_capex)</f>
        <v>6.88598136004572</v>
      </c>
      <c r="F197" s="21" t="n">
        <f aca="false">F172+F169*(fcf_da-fcf_capex)</f>
        <v>7.54593670720209</v>
      </c>
      <c r="G197" s="21" t="n">
        <f aca="false">G172+G169*(fcf_da-fcf_capex)</f>
        <v>8.26023175217358</v>
      </c>
      <c r="H197" s="21" t="n">
        <f aca="false">H172+H169*(fcf_da-fcf_capex)</f>
        <v>8.93373050012424</v>
      </c>
      <c r="I197" s="21" t="n">
        <f aca="false">I172+I169*(fcf_da-fcf_capex)</f>
        <v>9.56594867996908</v>
      </c>
      <c r="J197" s="21" t="n">
        <f aca="false">J172+J169*(fcf_da-fcf_capex)</f>
        <v>10.1399056007672</v>
      </c>
      <c r="K197" s="8" t="s">
        <v>429</v>
      </c>
    </row>
    <row r="198" customFormat="false" ht="17.15" hidden="false" customHeight="false" outlineLevel="0" collapsed="false">
      <c r="A198" s="5" t="s">
        <v>430</v>
      </c>
      <c r="B198" s="0" t="s">
        <v>34</v>
      </c>
      <c r="C198" s="21" t="n">
        <f aca="false">C181+C178*(fcf_da-fcf_capex)</f>
        <v>3.75910156229181</v>
      </c>
      <c r="D198" s="21" t="n">
        <f aca="false">D181+D178*(fcf_da-fcf_capex)</f>
        <v>5.15929074417055</v>
      </c>
      <c r="E198" s="21" t="n">
        <f aca="false">E181+E178*(fcf_da-fcf_capex)</f>
        <v>6.88598136004572</v>
      </c>
      <c r="F198" s="21" t="n">
        <f aca="false">F181+F178*(fcf_da-fcf_capex)</f>
        <v>6.94245612902854</v>
      </c>
      <c r="G198" s="21" t="n">
        <f aca="false">G181+G178*(fcf_da-fcf_capex)</f>
        <v>7.74130862905651</v>
      </c>
      <c r="H198" s="21" t="n">
        <f aca="false">H181+H178*(fcf_da-fcf_capex)</f>
        <v>8.14600393360961</v>
      </c>
      <c r="I198" s="21" t="n">
        <f aca="false">I181+I178*(fcf_da-fcf_capex)</f>
        <v>8.36864997133071</v>
      </c>
      <c r="J198" s="21" t="n">
        <f aca="false">J181+J178*(fcf_da-fcf_capex)</f>
        <v>8.38836262996228</v>
      </c>
    </row>
    <row r="199" customFormat="false" ht="17.15" hidden="false" customHeight="false" outlineLevel="0" collapsed="false">
      <c r="A199" s="5" t="s">
        <v>431</v>
      </c>
      <c r="B199" s="0" t="s">
        <v>34</v>
      </c>
      <c r="C199" s="21" t="n">
        <f aca="false">C190+C187*(fcf_da-fcf_capex)</f>
        <v>3.75910156229181</v>
      </c>
      <c r="D199" s="21" t="n">
        <f aca="false">D190+D187*(fcf_da-fcf_capex)</f>
        <v>5.15929074417055</v>
      </c>
      <c r="E199" s="21" t="n">
        <f aca="false">E190+E187*(fcf_da-fcf_capex)</f>
        <v>6.88598136004572</v>
      </c>
      <c r="F199" s="21" t="n">
        <f aca="false">F190+F187*(fcf_da-fcf_capex)</f>
        <v>6.25760843267913</v>
      </c>
      <c r="G199" s="21" t="n">
        <f aca="false">G190+G187*(fcf_da-fcf_capex)</f>
        <v>6.79394001472912</v>
      </c>
      <c r="H199" s="21" t="n">
        <f aca="false">H190+H187*(fcf_da-fcf_capex)</f>
        <v>6.72879606354441</v>
      </c>
      <c r="I199" s="21" t="n">
        <f aca="false">I190+I187*(fcf_da-fcf_capex)</f>
        <v>6.4978948901986</v>
      </c>
      <c r="J199" s="21" t="n">
        <f aca="false">J190+J187*(fcf_da-fcf_capex)</f>
        <v>6.11052503091593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432</v>
      </c>
    </row>
    <row r="2" customFormat="false" ht="17.15" hidden="false" customHeight="false" outlineLevel="0" collapsed="false">
      <c r="A2" s="5" t="s">
        <v>433</v>
      </c>
    </row>
    <row r="3" customFormat="false" ht="17.15" hidden="false" customHeight="false" outlineLevel="0" collapsed="false">
      <c r="A3" s="1" t="s">
        <v>434</v>
      </c>
    </row>
    <row r="4" customFormat="false" ht="17.15" hidden="false" customHeight="false" outlineLevel="0" collapsed="false">
      <c r="A4" s="1" t="s">
        <v>435</v>
      </c>
    </row>
    <row r="5" customFormat="false" ht="17.15" hidden="false" customHeight="false" outlineLevel="0" collapsed="false">
      <c r="A5" s="6" t="s">
        <v>23</v>
      </c>
      <c r="B5" s="13" t="s">
        <v>436</v>
      </c>
      <c r="C5" s="13" t="s">
        <v>437</v>
      </c>
      <c r="D5" s="13" t="s">
        <v>438</v>
      </c>
      <c r="E5" s="6" t="s">
        <v>283</v>
      </c>
      <c r="F5" s="6" t="s">
        <v>439</v>
      </c>
      <c r="G5" s="6" t="s">
        <v>440</v>
      </c>
    </row>
    <row r="6" customFormat="false" ht="17.15" hidden="false" customHeight="false" outlineLevel="0" collapsed="false">
      <c r="A6" s="5" t="s">
        <v>441</v>
      </c>
      <c r="E6" s="5" t="s">
        <v>442</v>
      </c>
    </row>
    <row r="7" customFormat="false" ht="15" hidden="false" customHeight="false" outlineLevel="0" collapsed="false">
      <c r="A7" s="0" t="s">
        <v>443</v>
      </c>
      <c r="B7" s="21" t="n">
        <f aca="false">PL!E174</f>
        <v>5.46517326807551</v>
      </c>
      <c r="C7" s="21" t="n">
        <f aca="false">PL!E183</f>
        <v>5.46517326807551</v>
      </c>
      <c r="D7" s="21" t="n">
        <f aca="false">PL!E192</f>
        <v>5.46517326807551</v>
      </c>
      <c r="F7" s="17" t="n">
        <v>1</v>
      </c>
      <c r="G7" s="17" t="n">
        <v>1</v>
      </c>
    </row>
    <row r="8" customFormat="false" ht="15" hidden="false" customHeight="false" outlineLevel="0" collapsed="false">
      <c r="A8" s="0" t="s">
        <v>444</v>
      </c>
      <c r="B8" s="21" t="n">
        <f aca="false">PL!F174</f>
        <v>5.98871015913977</v>
      </c>
      <c r="C8" s="21" t="n">
        <f aca="false">PL!F183</f>
        <v>5.50962208143792</v>
      </c>
      <c r="D8" s="21" t="n">
        <f aca="false">PL!F192</f>
        <v>4.96676417092454</v>
      </c>
      <c r="F8" s="17" t="n">
        <v>2</v>
      </c>
      <c r="G8" s="17" t="n">
        <v>1</v>
      </c>
    </row>
    <row r="9" customFormat="false" ht="15" hidden="false" customHeight="false" outlineLevel="0" collapsed="false">
      <c r="A9" s="0" t="s">
        <v>445</v>
      </c>
      <c r="B9" s="21" t="n">
        <f aca="false">PL!G174</f>
        <v>6.55542268052979</v>
      </c>
      <c r="C9" s="21" t="n">
        <f aca="false">PL!G183</f>
        <v>6.14349776590024</v>
      </c>
      <c r="D9" s="21" t="n">
        <f aca="false">PL!G192</f>
        <v>5.39230108852139</v>
      </c>
      <c r="F9" s="17" t="n">
        <v>3</v>
      </c>
      <c r="G9" s="17" t="n">
        <v>1</v>
      </c>
    </row>
    <row r="10" customFormat="false" ht="15" hidden="false" customHeight="false" outlineLevel="0" collapsed="false">
      <c r="A10" s="0" t="s">
        <v>446</v>
      </c>
      <c r="B10" s="21" t="n">
        <f aca="false">PL!H174</f>
        <v>7.08991966561285</v>
      </c>
      <c r="C10" s="21" t="n">
        <f aca="false">PL!H183</f>
        <v>6.46747218481209</v>
      </c>
      <c r="D10" s="21" t="n">
        <f aca="false">PL!H192</f>
        <v>5.34545058645264</v>
      </c>
      <c r="F10" s="17" t="n">
        <v>4</v>
      </c>
      <c r="G10" s="17" t="n">
        <v>1</v>
      </c>
    </row>
    <row r="11" customFormat="false" ht="15" hidden="false" customHeight="false" outlineLevel="0" collapsed="false">
      <c r="A11" s="0" t="s">
        <v>447</v>
      </c>
      <c r="B11" s="21" t="n">
        <f aca="false">PL!I174</f>
        <v>7.59165587829327</v>
      </c>
      <c r="C11" s="21" t="n">
        <f aca="false">PL!I183</f>
        <v>6.64733481102057</v>
      </c>
      <c r="D11" s="21" t="n">
        <f aca="false">PL!I192</f>
        <v>5.1674383655134</v>
      </c>
      <c r="F11" s="17" t="n">
        <v>5</v>
      </c>
      <c r="G11" s="17" t="n">
        <v>1</v>
      </c>
    </row>
    <row r="12" customFormat="false" ht="15" hidden="false" customHeight="false" outlineLevel="0" collapsed="false">
      <c r="A12" s="0" t="s">
        <v>448</v>
      </c>
      <c r="B12" s="21" t="n">
        <f aca="false">PL!J174</f>
        <v>8.04715523099086</v>
      </c>
      <c r="C12" s="21" t="n">
        <f aca="false">PL!J183</f>
        <v>6.66632719619491</v>
      </c>
      <c r="D12" s="21" t="n">
        <f aca="false">PL!J192</f>
        <v>4.86534196876031</v>
      </c>
      <c r="F12" s="17" t="n">
        <v>6</v>
      </c>
      <c r="G12" s="17" t="n">
        <v>1</v>
      </c>
    </row>
    <row r="13" customFormat="false" ht="17.15" hidden="false" customHeight="false" outlineLevel="0" collapsed="false">
      <c r="A13" s="5" t="s">
        <v>449</v>
      </c>
      <c r="B13" s="16" t="n">
        <f aca="false">1-MIN(0.8,tp_g/tp_roe)</f>
        <v>0.860188745193988</v>
      </c>
      <c r="E13" s="8" t="s">
        <v>450</v>
      </c>
    </row>
    <row r="14" customFormat="false" ht="17.15" hidden="false" customHeight="false" outlineLevel="0" collapsed="false">
      <c r="A14" s="0" t="s">
        <v>451</v>
      </c>
      <c r="B14" s="21" t="n">
        <f aca="false">B7*$B$13*$G$7</f>
        <v>4.7010805357336</v>
      </c>
      <c r="C14" s="21" t="n">
        <f aca="false">C7*$B$13*$G$7</f>
        <v>4.7010805357336</v>
      </c>
      <c r="D14" s="21" t="n">
        <f aca="false">D7*$B$13*$G$7</f>
        <v>4.7010805357336</v>
      </c>
    </row>
    <row r="15" customFormat="false" ht="17.15" hidden="false" customHeight="false" outlineLevel="0" collapsed="false">
      <c r="A15" s="0" t="s">
        <v>452</v>
      </c>
      <c r="B15" s="21" t="n">
        <f aca="false">B8*$B$13*$G$8</f>
        <v>5.15142107712092</v>
      </c>
      <c r="C15" s="21" t="n">
        <f aca="false">C8*$B$13*$G$8</f>
        <v>4.73931490472517</v>
      </c>
      <c r="D15" s="21" t="n">
        <f aca="false">D8*$B$13*$G$8</f>
        <v>4.27235463986204</v>
      </c>
    </row>
    <row r="16" customFormat="false" ht="17.15" hidden="false" customHeight="false" outlineLevel="0" collapsed="false">
      <c r="A16" s="0" t="s">
        <v>453</v>
      </c>
      <c r="B16" s="21" t="n">
        <f aca="false">B9*$B$13*$G$9</f>
        <v>5.63890080978113</v>
      </c>
      <c r="C16" s="21" t="n">
        <f aca="false">C9*$B$13*$G$9</f>
        <v>5.2845676343518</v>
      </c>
      <c r="D16" s="21" t="n">
        <f aca="false">D9*$B$13*$G$9</f>
        <v>4.63839670704339</v>
      </c>
    </row>
    <row r="17" customFormat="false" ht="17.15" hidden="false" customHeight="false" outlineLevel="0" collapsed="false">
      <c r="A17" s="0" t="s">
        <v>454</v>
      </c>
      <c r="B17" s="21" t="n">
        <f aca="false">B10*$B$13*$G$10</f>
        <v>6.0986691006897</v>
      </c>
      <c r="C17" s="21" t="n">
        <f aca="false">C10*$B$13*$G$10</f>
        <v>5.56324678323053</v>
      </c>
      <c r="D17" s="21" t="n">
        <f aca="false">D10*$B$13*$G$10</f>
        <v>4.59809643245716</v>
      </c>
    </row>
    <row r="18" customFormat="false" ht="17.15" hidden="false" customHeight="false" outlineLevel="0" collapsed="false">
      <c r="A18" s="0" t="s">
        <v>455</v>
      </c>
      <c r="B18" s="21" t="n">
        <f aca="false">B11*$B$13*$G$11</f>
        <v>6.53025694389365</v>
      </c>
      <c r="C18" s="21" t="n">
        <f aca="false">C11*$B$13*$G$11</f>
        <v>5.7179625899761</v>
      </c>
      <c r="D18" s="21" t="n">
        <f aca="false">D11*$B$13*$G$11</f>
        <v>4.44497232349825</v>
      </c>
    </row>
    <row r="19" customFormat="false" ht="17.15" hidden="false" customHeight="false" outlineLevel="0" collapsed="false">
      <c r="A19" s="0" t="s">
        <v>456</v>
      </c>
      <c r="B19" s="21" t="n">
        <f aca="false">B12*$B$13*$G$12</f>
        <v>6.92207236052727</v>
      </c>
      <c r="C19" s="21" t="n">
        <f aca="false">C12*$B$13*$G$12</f>
        <v>5.73429962594746</v>
      </c>
      <c r="D19" s="21" t="n">
        <f aca="false">D12*$B$13*$G$12</f>
        <v>4.18511240304758</v>
      </c>
    </row>
    <row r="20" customFormat="false" ht="17.15" hidden="false" customHeight="false" outlineLevel="0" collapsed="false">
      <c r="A20" s="5" t="s">
        <v>457</v>
      </c>
      <c r="B20" s="21" t="n">
        <f aca="false">B19*(1+tp_g)/(tp_r-tp_g)</f>
        <v>119.982587582473</v>
      </c>
      <c r="C20" s="21" t="n">
        <f aca="false">C19*(1+tp_g)/(tp_r-tp_g)</f>
        <v>99.394526849756</v>
      </c>
      <c r="D20" s="21" t="n">
        <f aca="false">D19*(1+tp_g)/(tp_r-tp_g)</f>
        <v>72.5419483194914</v>
      </c>
    </row>
    <row r="21" customFormat="false" ht="17.15" hidden="false" customHeight="false" outlineLevel="0" collapsed="false">
      <c r="A21" s="9" t="s">
        <v>458</v>
      </c>
      <c r="B21" s="27" t="n">
        <f aca="false">MAX(0,B14/(1+tp_r)^$F$7+B15/(1+tp_r)^$F$8+B16/(1+tp_r)^$F$9+B17/(1+tp_r)^$F$10+B18/(1+tp_r)^$F$11+B19/(1+tp_r)^$F$12+B20/(1+tp_r)^$F$12)</f>
        <v>92.6222929854254</v>
      </c>
      <c r="C21" s="27" t="n">
        <f aca="false">MAX(0,C14/(1+tp_r)^$F$7+C15/(1+tp_r)^$F$8+C16/(1+tp_r)^$F$9+C17/(1+tp_r)^$F$10+C18/(1+tp_r)^$F$11+C19/(1+tp_r)^$F$12+C20/(1+tp_r)^$F$12)</f>
        <v>78.8535317831679</v>
      </c>
      <c r="D21" s="27" t="n">
        <f aca="false">MAX(0,D14/(1+tp_r)^$F$7+D15/(1+tp_r)^$F$8+D16/(1+tp_r)^$F$9+D17/(1+tp_r)^$F$10+D18/(1+tp_r)^$F$11+D19/(1+tp_r)^$F$12+D20/(1+tp_r)^$F$12)</f>
        <v>60.5004426156148</v>
      </c>
      <c r="E21" s="10" t="s">
        <v>459</v>
      </c>
    </row>
    <row r="22" customFormat="false" ht="15" hidden="false" customHeight="false" outlineLevel="0" collapsed="false">
      <c r="A22" s="5" t="s">
        <v>460</v>
      </c>
      <c r="B22" s="16" t="n">
        <f aca="false">B20/(1+tp_r)^$F$12/B21</f>
        <v>0.731217513275741</v>
      </c>
      <c r="C22" s="16" t="n">
        <f aca="false">C20/(1+tp_r)^$F$12/C21</f>
        <v>0.711516883619077</v>
      </c>
      <c r="D22" s="16" t="n">
        <f aca="false">D20/(1+tp_r)^$F$12/D21</f>
        <v>0.676822133712668</v>
      </c>
    </row>
    <row r="23" customFormat="false" ht="17.15" hidden="false" customHeight="false" outlineLevel="0" collapsed="false">
      <c r="A23" s="9" t="s">
        <v>461</v>
      </c>
      <c r="B23" s="27" t="n">
        <f aca="false">(tp_wA*B21+tp_wB*C21+tp_wC*D21)*(1+tp_r)</f>
        <v>87.244896541368</v>
      </c>
      <c r="C23" s="9"/>
      <c r="D23" s="9"/>
      <c r="E23" s="9" t="s">
        <v>462</v>
      </c>
    </row>
    <row r="25" customFormat="false" ht="17.15" hidden="false" customHeight="false" outlineLevel="0" collapsed="false">
      <c r="A25" s="1" t="s">
        <v>463</v>
      </c>
    </row>
    <row r="26" customFormat="false" ht="17.15" hidden="false" customHeight="false" outlineLevel="0" collapsed="false">
      <c r="A26" s="6" t="s">
        <v>464</v>
      </c>
      <c r="B26" s="6" t="s">
        <v>465</v>
      </c>
      <c r="C26" s="6" t="s">
        <v>466</v>
      </c>
      <c r="D26" s="6" t="s">
        <v>467</v>
      </c>
      <c r="E26" s="6" t="s">
        <v>468</v>
      </c>
      <c r="F26" s="6" t="s">
        <v>28</v>
      </c>
    </row>
    <row r="27" customFormat="false" ht="17.15" hidden="false" customHeight="false" outlineLevel="0" collapsed="false">
      <c r="A27" s="0" t="s">
        <v>469</v>
      </c>
      <c r="B27" s="0" t="s">
        <v>470</v>
      </c>
      <c r="C27" s="28" t="n">
        <v>20.7</v>
      </c>
      <c r="D27" s="8" t="s">
        <v>471</v>
      </c>
      <c r="E27" s="8" t="s">
        <v>472</v>
      </c>
      <c r="F27" s="8" t="s">
        <v>473</v>
      </c>
    </row>
    <row r="28" customFormat="false" ht="17.15" hidden="false" customHeight="false" outlineLevel="0" collapsed="false">
      <c r="A28" s="0" t="s">
        <v>474</v>
      </c>
      <c r="B28" s="0" t="s">
        <v>475</v>
      </c>
      <c r="C28" s="28" t="n">
        <v>30.77</v>
      </c>
      <c r="D28" s="8" t="s">
        <v>471</v>
      </c>
      <c r="E28" s="5" t="s">
        <v>40</v>
      </c>
      <c r="F28" s="8" t="s">
        <v>476</v>
      </c>
    </row>
    <row r="29" customFormat="false" ht="17.15" hidden="false" customHeight="false" outlineLevel="0" collapsed="false">
      <c r="A29" s="0" t="s">
        <v>477</v>
      </c>
      <c r="B29" s="0" t="s">
        <v>478</v>
      </c>
      <c r="C29" s="28" t="n">
        <v>16.65</v>
      </c>
      <c r="D29" s="8" t="s">
        <v>471</v>
      </c>
      <c r="E29" s="5" t="s">
        <v>40</v>
      </c>
      <c r="F29" s="8" t="s">
        <v>476</v>
      </c>
    </row>
    <row r="30" customFormat="false" ht="17.15" hidden="false" customHeight="false" outlineLevel="0" collapsed="false">
      <c r="A30" s="0" t="s">
        <v>479</v>
      </c>
      <c r="B30" s="0" t="s">
        <v>480</v>
      </c>
      <c r="C30" s="28" t="n">
        <v>12.19</v>
      </c>
      <c r="D30" s="8" t="s">
        <v>471</v>
      </c>
      <c r="E30" s="5" t="s">
        <v>40</v>
      </c>
      <c r="F30" s="8" t="s">
        <v>476</v>
      </c>
    </row>
    <row r="31" customFormat="false" ht="17.15" hidden="false" customHeight="false" outlineLevel="0" collapsed="false">
      <c r="A31" s="0" t="s">
        <v>481</v>
      </c>
      <c r="B31" s="0" t="s">
        <v>482</v>
      </c>
      <c r="C31" s="28" t="n">
        <v>20.19</v>
      </c>
      <c r="D31" s="8" t="s">
        <v>471</v>
      </c>
      <c r="E31" s="5" t="s">
        <v>40</v>
      </c>
      <c r="F31" s="8" t="s">
        <v>476</v>
      </c>
    </row>
    <row r="32" customFormat="false" ht="17.15" hidden="false" customHeight="false" outlineLevel="0" collapsed="false">
      <c r="A32" s="5" t="s">
        <v>483</v>
      </c>
      <c r="E32" s="5" t="s">
        <v>484</v>
      </c>
    </row>
    <row r="33" customFormat="false" ht="17.15" hidden="false" customHeight="false" outlineLevel="0" collapsed="false">
      <c r="A33" s="10" t="s">
        <v>485</v>
      </c>
      <c r="B33" s="29" t="n">
        <f aca="false">MEDIAN(C27:C31)</f>
        <v>20.19</v>
      </c>
      <c r="C33" s="9"/>
      <c r="D33" s="9"/>
      <c r="E33" s="9"/>
    </row>
    <row r="34" customFormat="false" ht="17.15" hidden="false" customHeight="false" outlineLevel="0" collapsed="false">
      <c r="A34" s="5" t="s">
        <v>486</v>
      </c>
      <c r="B34" s="21" t="n">
        <f aca="false">2/12*PL!E174+10/12*PL!F174</f>
        <v>5.90145401062906</v>
      </c>
      <c r="C34" s="21" t="n">
        <f aca="false">2/12*PL!E183+10/12*PL!F183</f>
        <v>5.50221394587752</v>
      </c>
      <c r="D34" s="21" t="n">
        <f aca="false">2/12*PL!E192+10/12*PL!F192</f>
        <v>5.04983235378304</v>
      </c>
      <c r="E34" s="5" t="s">
        <v>487</v>
      </c>
    </row>
    <row r="35" customFormat="false" ht="17.15" hidden="false" customHeight="false" outlineLevel="0" collapsed="false">
      <c r="A35" s="0" t="s">
        <v>488</v>
      </c>
      <c r="B35" s="21" t="n">
        <f aca="false">tp_wA*B34+tp_wB*C34+tp_wC*D34</f>
        <v>5.53150964688408</v>
      </c>
    </row>
    <row r="36" customFormat="false" ht="17.15" hidden="false" customHeight="false" outlineLevel="0" collapsed="false">
      <c r="A36" s="9" t="s">
        <v>489</v>
      </c>
      <c r="B36" s="27" t="n">
        <f aca="false">B33*B35</f>
        <v>111.68117977059</v>
      </c>
      <c r="C36" s="9"/>
      <c r="D36" s="9"/>
      <c r="E36" s="10" t="s">
        <v>490</v>
      </c>
    </row>
    <row r="38" customFormat="false" ht="17.15" hidden="false" customHeight="false" outlineLevel="0" collapsed="false">
      <c r="A38" s="1" t="s">
        <v>491</v>
      </c>
    </row>
    <row r="39" customFormat="false" ht="15" hidden="false" customHeight="false" outlineLevel="0" collapsed="false">
      <c r="A39" s="6" t="s">
        <v>23</v>
      </c>
      <c r="B39" s="6" t="s">
        <v>492</v>
      </c>
      <c r="C39" s="6" t="s">
        <v>493</v>
      </c>
      <c r="D39" s="6" t="s">
        <v>493</v>
      </c>
      <c r="E39" s="6" t="s">
        <v>283</v>
      </c>
    </row>
    <row r="40" customFormat="false" ht="17.15" hidden="false" customHeight="false" outlineLevel="0" collapsed="false">
      <c r="A40" s="10" t="s">
        <v>494</v>
      </c>
      <c r="B40" s="27" t="n">
        <f aca="false">tp_w_dcf*B23+(1-tp_w_dcf)*tp_comp_adj</f>
        <v>155.303628041274</v>
      </c>
      <c r="C40" s="9"/>
      <c r="D40" s="9"/>
      <c r="E40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495</v>
      </c>
      <c r="B41" s="21" t="n">
        <f aca="false">B36</f>
        <v>111.68117977059</v>
      </c>
    </row>
    <row r="42" customFormat="false" ht="17.15" hidden="false" customHeight="false" outlineLevel="0" collapsed="false">
      <c r="A42" s="5" t="s">
        <v>496</v>
      </c>
      <c r="B42" s="21" t="n">
        <f aca="false">cons_tp</f>
        <v>243.59</v>
      </c>
      <c r="E42" s="8" t="s">
        <v>497</v>
      </c>
    </row>
    <row r="43" customFormat="false" ht="15" hidden="false" customHeight="false" outlineLevel="0" collapsed="false">
      <c r="A43" s="5" t="s">
        <v>498</v>
      </c>
      <c r="B43" s="16" t="n">
        <f aca="false">B40/px-1</f>
        <v>-0.0990101059275184</v>
      </c>
    </row>
    <row r="44" customFormat="false" ht="17.15" hidden="false" customHeight="false" outlineLevel="0" collapsed="false">
      <c r="A44" s="5" t="s">
        <v>499</v>
      </c>
      <c r="B44" s="16" t="n">
        <f aca="false">B41/px-1</f>
        <v>-0.352084586815631</v>
      </c>
    </row>
    <row r="45" customFormat="false" ht="17.15" hidden="false" customHeight="false" outlineLevel="0" collapsed="false">
      <c r="A45" s="5" t="s">
        <v>500</v>
      </c>
      <c r="B45" s="16" t="n">
        <f aca="false">(tp_wA*(2/12*PL!D174+10/12*PL!E174)+tp_wB*(2/12*PL!D183+10/12*PL!E183)+tp_wC*(2/12*PL!D192+10/12*PL!E192))/C45-1</f>
        <v>0.125925008654258</v>
      </c>
      <c r="C45" s="21" t="n">
        <f aca="false">px/pe_fwd_sa</f>
        <v>4.65110631408527</v>
      </c>
      <c r="E45" s="8" t="s">
        <v>501</v>
      </c>
    </row>
    <row r="46" customFormat="false" ht="17.15" hidden="false" customHeight="false" outlineLevel="0" collapsed="false">
      <c r="A46" s="5" t="s">
        <v>502</v>
      </c>
      <c r="B46" s="16" t="n">
        <f aca="false">C46/B33-1</f>
        <v>1.5939814725818</v>
      </c>
      <c r="C46" s="30" t="n">
        <f aca="false">B42/C45</f>
        <v>52.3724859314266</v>
      </c>
      <c r="D46" s="30" t="n">
        <f aca="false">B33</f>
        <v>20.19</v>
      </c>
      <c r="E46" s="8" t="s">
        <v>503</v>
      </c>
    </row>
    <row r="47" customFormat="false" ht="17.15" hidden="false" customHeight="false" outlineLevel="0" collapsed="false">
      <c r="A47" s="5" t="s">
        <v>504</v>
      </c>
      <c r="B47" s="21" t="n">
        <f aca="false">D21*(1+tp_r)</f>
        <v>66.5504868771763</v>
      </c>
      <c r="C47" s="21" t="n">
        <f aca="false">B21*(1+tp_r)</f>
        <v>101.884522283968</v>
      </c>
      <c r="E47" s="8" t="s">
        <v>505</v>
      </c>
    </row>
    <row r="48" customFormat="false" ht="17.15" hidden="false" customHeight="false" outlineLevel="0" collapsed="false">
      <c r="A48" s="5" t="s">
        <v>506</v>
      </c>
      <c r="B48" s="30" t="n">
        <f aca="false">px/PL!F174</f>
        <v>28.7824916250012</v>
      </c>
      <c r="C48" s="30" t="n">
        <f aca="false">px/PL!F183</f>
        <v>31.2852673835325</v>
      </c>
      <c r="D48" s="30" t="n">
        <f aca="false">px/PL!F192</f>
        <v>34.7046878144637</v>
      </c>
    </row>
    <row r="49" customFormat="false" ht="17.15" hidden="false" customHeight="false" outlineLevel="0" collapsed="false">
      <c r="A49" s="5" t="s">
        <v>507</v>
      </c>
      <c r="B49" s="31" t="n">
        <f aca="false">IF(B48&lt;MIN(B106:B115),0,IF(B48&gt;MAX(B106:B115),1,PERCENTRANK(B106:B115,B48)))</f>
        <v>0.242</v>
      </c>
      <c r="C49" s="31" t="n">
        <f aca="false">IF(C48&lt;MIN(B106:B115),0,IF(C48&gt;MAX(B106:B115),1,PERCENTRANK(B106:B115,C48)))</f>
        <v>0.28</v>
      </c>
      <c r="D49" s="31" t="n">
        <f aca="false">IF(D48&lt;MIN(B106:B115),0,IF(D48&gt;MAX(B106:B115),1,PERCENTRANK(B106:B115,D48)))</f>
        <v>0.332</v>
      </c>
      <c r="E49" s="5" t="s">
        <v>508</v>
      </c>
    </row>
    <row r="50" customFormat="false" ht="17.15" hidden="false" customHeight="false" outlineLevel="0" collapsed="false">
      <c r="A50" s="5" t="s">
        <v>509</v>
      </c>
      <c r="B50" s="0" t="s">
        <v>510</v>
      </c>
    </row>
    <row r="51" customFormat="false" ht="17.15" hidden="false" customHeight="false" outlineLevel="0" collapsed="false">
      <c r="A51" s="5" t="s">
        <v>511</v>
      </c>
      <c r="B51" s="17" t="n">
        <f aca="false">ROUND(tp_wA+tp_wB+tp_wC,6)</f>
        <v>1</v>
      </c>
    </row>
    <row r="52" customFormat="false" ht="17.15" hidden="false" customHeight="false" outlineLevel="0" collapsed="false">
      <c r="A52" s="5" t="s">
        <v>512</v>
      </c>
      <c r="B52" s="32" t="str">
        <f aca="false">IF(B43&gt;0.5,"大於 50%",IF(B43&gt;0.25,"25%–50%",IF(B43&gt;=0,"0%–25%",IF(B43&gt;=-0.25,"0%～−25%",IF(B43&gt;=-0.5,"−25%～−50%","小於 −50%")))))</f>
        <v>0%～−25%</v>
      </c>
      <c r="E52" s="5" t="s">
        <v>513</v>
      </c>
    </row>
    <row r="53" customFormat="false" ht="17.15" hidden="false" customHeight="false" outlineLevel="0" collapsed="false">
      <c r="A53" s="5" t="s">
        <v>514</v>
      </c>
      <c r="B53" s="32" t="str">
        <f aca="false">IF(B43&gt;0.5,"強力買進",IF(B43&gt;0.25,"買進",IF(B43&gt;=-0.25,"中立",IF(B43&gt;=-0.5,"放空","強力放空"))))</f>
        <v>中立</v>
      </c>
      <c r="E53" s="5" t="s">
        <v>515</v>
      </c>
    </row>
    <row r="55" customFormat="false" ht="17.15" hidden="false" customHeight="false" outlineLevel="0" collapsed="false">
      <c r="A55" s="1" t="s">
        <v>516</v>
      </c>
    </row>
    <row r="56" customFormat="false" ht="15" hidden="false" customHeight="false" outlineLevel="0" collapsed="false">
      <c r="A56" s="6" t="s">
        <v>23</v>
      </c>
      <c r="B56" s="13" t="s">
        <v>436</v>
      </c>
      <c r="C56" s="13" t="s">
        <v>437</v>
      </c>
      <c r="D56" s="13" t="s">
        <v>438</v>
      </c>
      <c r="E56" s="6" t="s">
        <v>283</v>
      </c>
    </row>
    <row r="57" customFormat="false" ht="17.15" hidden="false" customHeight="false" outlineLevel="0" collapsed="false">
      <c r="A57" s="5" t="s">
        <v>517</v>
      </c>
      <c r="B57" s="19" t="n">
        <f aca="false">px</f>
        <v>172.37</v>
      </c>
    </row>
    <row r="58" customFormat="false" ht="17.15" hidden="false" customHeight="false" outlineLevel="0" collapsed="false">
      <c r="A58" s="5" t="s">
        <v>518</v>
      </c>
      <c r="B58" s="30" t="n">
        <f aca="false">px/PL!D13</f>
        <v>42.0936681743809</v>
      </c>
      <c r="C58" s="30" t="n">
        <f aca="false">px/PL!D25</f>
        <v>42.0936681743809</v>
      </c>
      <c r="D58" s="30" t="n">
        <f aca="false">px/PL!D37</f>
        <v>42.0936681743809</v>
      </c>
    </row>
    <row r="59" customFormat="false" ht="17.15" hidden="false" customHeight="false" outlineLevel="0" collapsed="false">
      <c r="A59" s="5" t="s">
        <v>519</v>
      </c>
      <c r="B59" s="30" t="n">
        <f aca="false">px/PL!E13</f>
        <v>31.5397136641375</v>
      </c>
      <c r="C59" s="30" t="n">
        <f aca="false">px/PL!E25</f>
        <v>31.5397136641375</v>
      </c>
      <c r="D59" s="30" t="n">
        <f aca="false">px/PL!E37</f>
        <v>31.5397136641375</v>
      </c>
      <c r="E59" s="8" t="s">
        <v>520</v>
      </c>
    </row>
    <row r="60" customFormat="false" ht="17.15" hidden="false" customHeight="false" outlineLevel="0" collapsed="false">
      <c r="A60" s="5" t="s">
        <v>521</v>
      </c>
      <c r="B60" s="30" t="n">
        <f aca="false">px/PL!F13</f>
        <v>28.7824916250012</v>
      </c>
      <c r="C60" s="30" t="n">
        <f aca="false">px/PL!F25</f>
        <v>31.2852673835325</v>
      </c>
      <c r="D60" s="30" t="n">
        <f aca="false">px/PL!F37</f>
        <v>34.7046878144637</v>
      </c>
    </row>
    <row r="61" customFormat="false" ht="17.15" hidden="false" customHeight="false" outlineLevel="0" collapsed="false">
      <c r="A61" s="5" t="s">
        <v>522</v>
      </c>
      <c r="B61" s="30" t="n">
        <f aca="false">px/PL!G13</f>
        <v>26.2942617738372</v>
      </c>
      <c r="C61" s="30" t="n">
        <f aca="false">px/PL!G25</f>
        <v>28.0573065325664</v>
      </c>
      <c r="D61" s="30" t="n">
        <f aca="false">px/PL!G37</f>
        <v>31.9659449964552</v>
      </c>
    </row>
    <row r="62" customFormat="false" ht="17.15" hidden="false" customHeight="false" outlineLevel="0" collapsed="false">
      <c r="A62" s="5" t="s">
        <v>229</v>
      </c>
      <c r="B62" s="30" t="n">
        <f aca="false">pe_fwd_sa</f>
        <v>37.06</v>
      </c>
      <c r="E62" s="8" t="s">
        <v>523</v>
      </c>
    </row>
    <row r="63" customFormat="false" ht="17.15" hidden="false" customHeight="false" outlineLevel="0" collapsed="false">
      <c r="A63" s="5" t="s">
        <v>524</v>
      </c>
      <c r="B63" s="19" t="n">
        <f aca="false">px/pe_fwd_sa</f>
        <v>4.65110631408527</v>
      </c>
    </row>
    <row r="64" customFormat="false" ht="17.15" hidden="false" customHeight="false" outlineLevel="0" collapsed="false">
      <c r="A64" s="5" t="s">
        <v>525</v>
      </c>
      <c r="B64" s="30" t="n">
        <f aca="false">pe_ttm_gaap</f>
        <v>54.55</v>
      </c>
    </row>
    <row r="66" customFormat="false" ht="17.15" hidden="false" customHeight="false" outlineLevel="0" collapsed="false">
      <c r="A66" s="1" t="s">
        <v>526</v>
      </c>
    </row>
    <row r="67" customFormat="false" ht="17.15" hidden="false" customHeight="false" outlineLevel="0" collapsed="false">
      <c r="A67" s="6" t="s">
        <v>527</v>
      </c>
      <c r="B67" s="6" t="s">
        <v>528</v>
      </c>
      <c r="C67" s="13" t="s">
        <v>529</v>
      </c>
      <c r="D67" s="6" t="s">
        <v>530</v>
      </c>
      <c r="E67" s="6" t="s">
        <v>531</v>
      </c>
      <c r="F67" s="6" t="s">
        <v>283</v>
      </c>
    </row>
    <row r="68" customFormat="false" ht="17.15" hidden="false" customHeight="false" outlineLevel="0" collapsed="false">
      <c r="A68" s="0" t="s">
        <v>436</v>
      </c>
      <c r="B68" s="0" t="n">
        <f aca="false">INDEX({2026,2027,2028,2029},MATCH(MAX(PL!D72:G72),PL!D72:G72,0))</f>
        <v>2029</v>
      </c>
      <c r="C68" s="0" t="str">
        <f aca="false">IF(B68=2029,"中段",IF(2027&lt;B68,"中段",IF(2027=B68,"見頂","谷底")))</f>
        <v>中段</v>
      </c>
      <c r="D68" s="30" t="n">
        <f aca="false">IF(C68="見頂",pe_peak,IF(C68="谷底",pe_trough,pe_mid))</f>
        <v>35.83</v>
      </c>
      <c r="E68" s="0" t="str">
        <f aca="false">IF(B68=2029,"是：營收到觀測期末仍在增加","否")</f>
        <v>是：營收到觀測期末仍在增加</v>
      </c>
      <c r="F68" s="8" t="s">
        <v>532</v>
      </c>
    </row>
    <row r="69" customFormat="false" ht="15" hidden="false" customHeight="false" outlineLevel="0" collapsed="false">
      <c r="A69" s="0" t="s">
        <v>437</v>
      </c>
      <c r="B69" s="0" t="n">
        <f aca="false">INDEX({2026,2027,2028,2029},MATCH(MAX(PL!D107:G107),PL!D107:G107,0))</f>
        <v>2029</v>
      </c>
      <c r="C69" s="0" t="str">
        <f aca="false">IF(B69=2029,"中段",IF(2027&lt;B69,"中段",IF(2027=B69,"見頂","谷底")))</f>
        <v>中段</v>
      </c>
      <c r="D69" s="30" t="n">
        <f aca="false">IF(C69="見頂",pe_peak,IF(C69="谷底",pe_trough,pe_mid))</f>
        <v>35.83</v>
      </c>
      <c r="E69" s="0" t="str">
        <f aca="false">IF(B69=2029,"是：營收到觀測期末仍在增加","否")</f>
        <v>是：營收到觀測期末仍在增加</v>
      </c>
      <c r="F69" s="5" t="s">
        <v>40</v>
      </c>
    </row>
    <row r="70" customFormat="false" ht="15" hidden="false" customHeight="false" outlineLevel="0" collapsed="false">
      <c r="A70" s="0" t="s">
        <v>438</v>
      </c>
      <c r="B70" s="0" t="n">
        <f aca="false">INDEX({2026,2027,2028,2029},MATCH(MAX(PL!D142:G142),PL!D142:G142,0))</f>
        <v>2027</v>
      </c>
      <c r="C70" s="0" t="str">
        <f aca="false">IF(B70=2029,"中段",IF(2027&lt;B70,"中段",IF(2027=B70,"見頂","谷底")))</f>
        <v>見頂</v>
      </c>
      <c r="D70" s="30" t="n">
        <f aca="false">IF(C70="見頂",pe_peak,IF(C70="谷底",pe_trough,pe_mid))</f>
        <v>28.68</v>
      </c>
      <c r="E70" s="0" t="str">
        <f aca="false">IF(B70=2029,"是：營收到觀測期末仍在增加","否")</f>
        <v>否</v>
      </c>
      <c r="F70" s="5" t="s">
        <v>40</v>
      </c>
    </row>
    <row r="72" customFormat="false" ht="17.15" hidden="false" customHeight="false" outlineLevel="0" collapsed="false">
      <c r="A72" s="1" t="s">
        <v>533</v>
      </c>
    </row>
    <row r="73" customFormat="false" ht="17.15" hidden="false" customHeight="false" outlineLevel="0" collapsed="false">
      <c r="A73" s="6" t="s">
        <v>527</v>
      </c>
      <c r="B73" s="13" t="s">
        <v>534</v>
      </c>
      <c r="C73" s="13" t="s">
        <v>535</v>
      </c>
      <c r="D73" s="6" t="s">
        <v>536</v>
      </c>
      <c r="E73" s="6" t="s">
        <v>537</v>
      </c>
      <c r="F73" s="6" t="s">
        <v>538</v>
      </c>
      <c r="G73" s="6" t="s">
        <v>539</v>
      </c>
    </row>
    <row r="74" customFormat="false" ht="15" hidden="false" customHeight="false" outlineLevel="0" collapsed="false">
      <c r="A74" s="9" t="s">
        <v>436</v>
      </c>
      <c r="B74" s="33" t="n">
        <f aca="false">PL!E13</f>
        <v>5.46517326807551</v>
      </c>
      <c r="C74" s="33" t="n">
        <f aca="false">B74*g2n</f>
        <v>5.06034561858844</v>
      </c>
      <c r="D74" s="29" t="n">
        <f aca="false">D68</f>
        <v>35.83</v>
      </c>
      <c r="E74" s="34" t="n">
        <f aca="false">C74*D74</f>
        <v>181.312183514024</v>
      </c>
      <c r="F74" s="35" t="n">
        <f aca="false">E74/px-1</f>
        <v>0.0518778413530412</v>
      </c>
      <c r="G74" s="29" t="n">
        <f aca="false">px/C74</f>
        <v>34.0628907572685</v>
      </c>
    </row>
    <row r="75" customFormat="false" ht="15" hidden="false" customHeight="false" outlineLevel="0" collapsed="false">
      <c r="A75" s="9" t="s">
        <v>437</v>
      </c>
      <c r="B75" s="33" t="n">
        <f aca="false">PL!E25</f>
        <v>5.46517326807551</v>
      </c>
      <c r="C75" s="33" t="n">
        <f aca="false">B75*g2n</f>
        <v>5.06034561858844</v>
      </c>
      <c r="D75" s="29" t="n">
        <f aca="false">D69</f>
        <v>35.83</v>
      </c>
      <c r="E75" s="34" t="n">
        <f aca="false">C75*D75</f>
        <v>181.312183514024</v>
      </c>
      <c r="F75" s="35" t="n">
        <f aca="false">E75/px-1</f>
        <v>0.0518778413530412</v>
      </c>
      <c r="G75" s="29" t="n">
        <f aca="false">px/C75</f>
        <v>34.0628907572685</v>
      </c>
    </row>
    <row r="76" customFormat="false" ht="15" hidden="false" customHeight="false" outlineLevel="0" collapsed="false">
      <c r="A76" s="9" t="s">
        <v>438</v>
      </c>
      <c r="B76" s="33" t="n">
        <f aca="false">PL!E37</f>
        <v>5.46517326807551</v>
      </c>
      <c r="C76" s="33" t="n">
        <f aca="false">B76*g2n</f>
        <v>5.06034561858844</v>
      </c>
      <c r="D76" s="29" t="n">
        <f aca="false">D70</f>
        <v>28.68</v>
      </c>
      <c r="E76" s="34" t="n">
        <f aca="false">C76*D76</f>
        <v>145.130712341116</v>
      </c>
      <c r="F76" s="35" t="n">
        <f aca="false">E76/px-1</f>
        <v>-0.158028007535439</v>
      </c>
      <c r="G76" s="29" t="n">
        <f aca="false">px/C76</f>
        <v>34.0628907572685</v>
      </c>
    </row>
    <row r="77" customFormat="false" ht="17.15" hidden="false" customHeight="false" outlineLevel="0" collapsed="false">
      <c r="A77" s="1" t="s">
        <v>540</v>
      </c>
    </row>
    <row r="78" customFormat="false" ht="17.15" hidden="false" customHeight="false" outlineLevel="0" collapsed="false">
      <c r="A78" s="13" t="s">
        <v>541</v>
      </c>
      <c r="B78" s="6" t="s">
        <v>542</v>
      </c>
      <c r="C78" s="6" t="s">
        <v>543</v>
      </c>
      <c r="D78" s="6" t="s">
        <v>544</v>
      </c>
      <c r="E78" s="6" t="s">
        <v>545</v>
      </c>
    </row>
    <row r="79" customFormat="false" ht="15" hidden="false" customHeight="false" outlineLevel="0" collapsed="false">
      <c r="A79" s="18" t="n">
        <v>1</v>
      </c>
      <c r="B79" s="30" t="n">
        <f aca="false">px*A79/PL!F13</f>
        <v>28.7824916250012</v>
      </c>
      <c r="C79" s="30" t="n">
        <f aca="false">px*A79/PL!F37</f>
        <v>34.7046878144637</v>
      </c>
      <c r="D79" s="30" t="n">
        <f aca="false">pe_fair_andy</f>
        <v>25</v>
      </c>
      <c r="E79" s="30" t="n">
        <f aca="false">pe_mid</f>
        <v>35.83</v>
      </c>
    </row>
    <row r="80" customFormat="false" ht="15" hidden="false" customHeight="false" outlineLevel="0" collapsed="false">
      <c r="A80" s="18" t="n">
        <v>1.1</v>
      </c>
      <c r="B80" s="30" t="n">
        <f aca="false">px*A80/PL!F13</f>
        <v>31.6607407875013</v>
      </c>
      <c r="C80" s="30" t="n">
        <f aca="false">px*A80/PL!F37</f>
        <v>38.1751565959101</v>
      </c>
      <c r="D80" s="30" t="n">
        <f aca="false">pe_fair_andy</f>
        <v>25</v>
      </c>
      <c r="E80" s="30" t="n">
        <f aca="false">pe_mid</f>
        <v>35.83</v>
      </c>
    </row>
    <row r="81" customFormat="false" ht="15" hidden="false" customHeight="false" outlineLevel="0" collapsed="false">
      <c r="A81" s="18" t="n">
        <v>1.21</v>
      </c>
      <c r="B81" s="30" t="n">
        <f aca="false">px*A81/PL!F13</f>
        <v>34.8268148662515</v>
      </c>
      <c r="C81" s="30" t="n">
        <f aca="false">px*A81/PL!F37</f>
        <v>41.9926722555011</v>
      </c>
      <c r="D81" s="30" t="n">
        <f aca="false">pe_fair_andy</f>
        <v>25</v>
      </c>
      <c r="E81" s="30" t="n">
        <f aca="false">pe_mid</f>
        <v>35.83</v>
      </c>
    </row>
    <row r="82" customFormat="false" ht="15" hidden="false" customHeight="false" outlineLevel="0" collapsed="false">
      <c r="A82" s="18" t="n">
        <v>1.5</v>
      </c>
      <c r="B82" s="30" t="n">
        <f aca="false">px*A82/PL!F13</f>
        <v>43.1737374375018</v>
      </c>
      <c r="C82" s="30" t="n">
        <f aca="false">px*A82/PL!F37</f>
        <v>52.0570317216956</v>
      </c>
      <c r="D82" s="30" t="n">
        <f aca="false">pe_fair_andy</f>
        <v>25</v>
      </c>
      <c r="E82" s="30" t="n">
        <f aca="false">pe_mid</f>
        <v>35.83</v>
      </c>
    </row>
    <row r="83" customFormat="false" ht="15" hidden="false" customHeight="false" outlineLevel="0" collapsed="false">
      <c r="A83" s="18" t="n">
        <v>2</v>
      </c>
      <c r="B83" s="30" t="n">
        <f aca="false">px*A83/PL!F13</f>
        <v>57.5649832500024</v>
      </c>
      <c r="C83" s="30" t="n">
        <f aca="false">px*A83/PL!F37</f>
        <v>69.4093756289274</v>
      </c>
      <c r="D83" s="30" t="n">
        <f aca="false">pe_fair_andy</f>
        <v>25</v>
      </c>
      <c r="E83" s="30" t="n">
        <f aca="false">pe_mid</f>
        <v>35.83</v>
      </c>
    </row>
    <row r="84" customFormat="false" ht="17.15" hidden="false" customHeight="false" outlineLevel="0" collapsed="false">
      <c r="A84" s="5" t="s">
        <v>546</v>
      </c>
    </row>
    <row r="86" customFormat="false" ht="17.15" hidden="false" customHeight="false" outlineLevel="0" collapsed="false">
      <c r="A86" s="1" t="s">
        <v>547</v>
      </c>
    </row>
    <row r="87" customFormat="false" ht="15" hidden="false" customHeight="false" outlineLevel="0" collapsed="false">
      <c r="A87" s="6" t="s">
        <v>527</v>
      </c>
      <c r="B87" s="13" t="s">
        <v>548</v>
      </c>
      <c r="C87" s="13" t="s">
        <v>549</v>
      </c>
      <c r="D87" s="6" t="s">
        <v>538</v>
      </c>
      <c r="E87" s="13" t="s">
        <v>550</v>
      </c>
      <c r="F87" s="13" t="s">
        <v>549</v>
      </c>
      <c r="G87" s="6" t="s">
        <v>538</v>
      </c>
    </row>
    <row r="88" customFormat="false" ht="15" hidden="false" customHeight="false" outlineLevel="0" collapsed="false">
      <c r="A88" s="0" t="s">
        <v>436</v>
      </c>
      <c r="B88" s="19" t="n">
        <f aca="false">PL!E13</f>
        <v>5.46517326807551</v>
      </c>
      <c r="C88" s="36" t="n">
        <f aca="false">B88*pe_fair_andy</f>
        <v>136.629331701888</v>
      </c>
      <c r="D88" s="31" t="n">
        <f aca="false">C88/px-1</f>
        <v>-0.207348542658886</v>
      </c>
      <c r="E88" s="19" t="n">
        <f aca="false">PL!F13</f>
        <v>5.98871015913977</v>
      </c>
      <c r="F88" s="36" t="n">
        <f aca="false">E88*pe_fair_andy</f>
        <v>149.717753978494</v>
      </c>
      <c r="G88" s="31" t="n">
        <f aca="false">F88/px-1</f>
        <v>-0.131416406692034</v>
      </c>
    </row>
    <row r="89" customFormat="false" ht="15" hidden="false" customHeight="false" outlineLevel="0" collapsed="false">
      <c r="A89" s="0" t="s">
        <v>437</v>
      </c>
      <c r="B89" s="19" t="n">
        <f aca="false">PL!E25</f>
        <v>5.46517326807551</v>
      </c>
      <c r="C89" s="36" t="n">
        <f aca="false">B89*pe_fair_andy</f>
        <v>136.629331701888</v>
      </c>
      <c r="D89" s="31" t="n">
        <f aca="false">C89/px-1</f>
        <v>-0.207348542658886</v>
      </c>
      <c r="E89" s="19" t="n">
        <f aca="false">PL!F25</f>
        <v>5.50962208143792</v>
      </c>
      <c r="F89" s="36" t="n">
        <f aca="false">E89*pe_fair_andy</f>
        <v>137.740552035948</v>
      </c>
      <c r="G89" s="31" t="n">
        <f aca="false">F89/px-1</f>
        <v>-0.200901827255625</v>
      </c>
    </row>
    <row r="90" customFormat="false" ht="15" hidden="false" customHeight="false" outlineLevel="0" collapsed="false">
      <c r="A90" s="0" t="s">
        <v>438</v>
      </c>
      <c r="B90" s="19" t="n">
        <f aca="false">PL!E37</f>
        <v>5.46517326807551</v>
      </c>
      <c r="C90" s="36" t="n">
        <f aca="false">B90*pe_fair_andy</f>
        <v>136.629331701888</v>
      </c>
      <c r="D90" s="31" t="n">
        <f aca="false">C90/px-1</f>
        <v>-0.207348542658886</v>
      </c>
      <c r="E90" s="19" t="n">
        <f aca="false">PL!F37</f>
        <v>4.96676417092454</v>
      </c>
      <c r="F90" s="36" t="n">
        <f aca="false">E90*pe_fair_andy</f>
        <v>124.169104273114</v>
      </c>
      <c r="G90" s="31" t="n">
        <f aca="false">F90/px-1</f>
        <v>-0.279636222816537</v>
      </c>
    </row>
    <row r="101" customFormat="false" ht="17.15" hidden="false" customHeight="false" outlineLevel="0" collapsed="false">
      <c r="A101" s="1" t="s">
        <v>551</v>
      </c>
    </row>
    <row r="102" customFormat="false" ht="17.15" hidden="false" customHeight="false" outlineLevel="0" collapsed="false">
      <c r="A102" s="5" t="s">
        <v>552</v>
      </c>
    </row>
    <row r="104" customFormat="false" ht="17.15" hidden="false" customHeight="false" outlineLevel="0" collapsed="false">
      <c r="A104" s="1" t="s">
        <v>553</v>
      </c>
    </row>
    <row r="105" customFormat="false" ht="17.15" hidden="false" customHeight="false" outlineLevel="0" collapsed="false">
      <c r="A105" s="6" t="s">
        <v>554</v>
      </c>
      <c r="B105" s="13" t="s">
        <v>555</v>
      </c>
      <c r="C105" s="13" t="s">
        <v>556</v>
      </c>
      <c r="D105" s="6" t="s">
        <v>557</v>
      </c>
    </row>
    <row r="106" customFormat="false" ht="17.15" hidden="false" customHeight="false" outlineLevel="0" collapsed="false">
      <c r="A106" s="0" t="s">
        <v>558</v>
      </c>
      <c r="B106" s="18" t="n">
        <v>36.2</v>
      </c>
      <c r="C106" s="18" t="n">
        <v>38.86</v>
      </c>
      <c r="D106" s="8" t="s">
        <v>559</v>
      </c>
    </row>
    <row r="107" customFormat="false" ht="15" hidden="false" customHeight="false" outlineLevel="0" collapsed="false">
      <c r="A107" s="0" t="s">
        <v>560</v>
      </c>
      <c r="B107" s="18" t="n">
        <v>40.3</v>
      </c>
      <c r="C107" s="18" t="n">
        <v>46.56</v>
      </c>
    </row>
    <row r="108" customFormat="false" ht="15" hidden="false" customHeight="false" outlineLevel="0" collapsed="false">
      <c r="A108" s="0" t="s">
        <v>561</v>
      </c>
      <c r="B108" s="18" t="n">
        <v>24.8</v>
      </c>
      <c r="C108" s="18" t="n">
        <v>26.91</v>
      </c>
    </row>
    <row r="109" customFormat="false" ht="15" hidden="false" customHeight="false" outlineLevel="0" collapsed="false">
      <c r="A109" s="0" t="s">
        <v>562</v>
      </c>
      <c r="B109" s="18" t="n">
        <v>18.1</v>
      </c>
      <c r="C109" s="18" t="n">
        <v>19.12</v>
      </c>
    </row>
    <row r="110" customFormat="false" ht="15" hidden="false" customHeight="false" outlineLevel="0" collapsed="false">
      <c r="A110" s="0" t="s">
        <v>563</v>
      </c>
      <c r="B110" s="18" t="n">
        <v>34.8</v>
      </c>
      <c r="C110" s="18" t="n">
        <v>36.37</v>
      </c>
    </row>
    <row r="111" customFormat="false" ht="15" hidden="false" customHeight="false" outlineLevel="0" collapsed="false">
      <c r="A111" s="0" t="s">
        <v>564</v>
      </c>
      <c r="B111" s="18" t="n">
        <v>52.4</v>
      </c>
      <c r="C111" s="18" t="n">
        <v>54.5</v>
      </c>
    </row>
    <row r="112" customFormat="false" ht="15" hidden="false" customHeight="false" outlineLevel="0" collapsed="false">
      <c r="A112" s="0" t="s">
        <v>565</v>
      </c>
      <c r="B112" s="18" t="n">
        <v>27.5</v>
      </c>
      <c r="C112" s="18" t="n">
        <v>28.42</v>
      </c>
    </row>
    <row r="113" customFormat="false" ht="15" hidden="false" customHeight="false" outlineLevel="0" collapsed="false">
      <c r="A113" s="0" t="s">
        <v>566</v>
      </c>
      <c r="B113" s="18" t="n">
        <v>34.9</v>
      </c>
      <c r="C113" s="18" t="n">
        <v>35.85</v>
      </c>
    </row>
    <row r="114" customFormat="false" ht="15" hidden="false" customHeight="false" outlineLevel="0" collapsed="false">
      <c r="A114" s="0" t="s">
        <v>567</v>
      </c>
      <c r="B114" s="18" t="n">
        <v>48.6</v>
      </c>
    </row>
    <row r="115" customFormat="false" ht="15" hidden="false" customHeight="false" outlineLevel="0" collapsed="false">
      <c r="A115" s="0" t="s">
        <v>568</v>
      </c>
      <c r="B115" s="18" t="n">
        <v>46.8</v>
      </c>
    </row>
    <row r="116" customFormat="false" ht="17.15" hidden="false" customHeight="false" outlineLevel="0" collapsed="false">
      <c r="A116" s="0" t="s">
        <v>569</v>
      </c>
      <c r="B116" s="19" t="n">
        <f aca="false">PERCENTILE(B106:B115,0.25)</f>
        <v>29.325</v>
      </c>
      <c r="C116" s="19" t="n">
        <f aca="false">PERCENTILE(C106:C115,0.25)</f>
        <v>28.0425</v>
      </c>
    </row>
    <row r="117" customFormat="false" ht="15" hidden="false" customHeight="false" outlineLevel="0" collapsed="false">
      <c r="A117" s="5" t="s">
        <v>570</v>
      </c>
      <c r="B117" s="19" t="n">
        <f aca="false">MEDIAN(B106:B115)</f>
        <v>35.55</v>
      </c>
      <c r="C117" s="19" t="n">
        <f aca="false">MEDIAN(C106:C115)</f>
        <v>36.11</v>
      </c>
    </row>
    <row r="118" customFormat="false" ht="17.15" hidden="false" customHeight="false" outlineLevel="0" collapsed="false">
      <c r="A118" s="0" t="s">
        <v>571</v>
      </c>
      <c r="B118" s="19" t="n">
        <f aca="false">PERCENTILE(B106:B115,0.75)</f>
        <v>45.175</v>
      </c>
      <c r="C118" s="19" t="n">
        <f aca="false">PERCENTILE(C106:C115,0.75)</f>
        <v>40.785</v>
      </c>
    </row>
    <row r="119" customFormat="false" ht="15" hidden="false" customHeight="false" outlineLevel="0" collapsed="false">
      <c r="A119" s="5" t="s">
        <v>572</v>
      </c>
      <c r="B119" s="19" t="n">
        <f aca="false">MIN(B106:B115)</f>
        <v>18.1</v>
      </c>
      <c r="C119" s="19" t="n">
        <f aca="false">MIN(C106:C115)</f>
        <v>19.12</v>
      </c>
    </row>
    <row r="120" customFormat="false" ht="15" hidden="false" customHeight="false" outlineLevel="0" collapsed="false">
      <c r="A120" s="5" t="s">
        <v>573</v>
      </c>
      <c r="B120" s="19" t="n">
        <f aca="false">MAX(B106:B115)</f>
        <v>52.4</v>
      </c>
      <c r="C120" s="19" t="n">
        <f aca="false">MAX(C106:C115)</f>
        <v>54.5</v>
      </c>
    </row>
    <row r="121" customFormat="false" ht="17.15" hidden="false" customHeight="false" outlineLevel="0" collapsed="false">
      <c r="A121" s="3" t="s">
        <v>574</v>
      </c>
      <c r="B121" s="19" t="n">
        <f aca="false">ROUND(AVERAGE(B116,C116),2)</f>
        <v>28.68</v>
      </c>
    </row>
    <row r="122" customFormat="false" ht="17.15" hidden="false" customHeight="false" outlineLevel="0" collapsed="false">
      <c r="A122" s="3" t="s">
        <v>575</v>
      </c>
      <c r="B122" s="19" t="n">
        <f aca="false">ROUND(AVERAGE(B117,C117),2)</f>
        <v>35.83</v>
      </c>
    </row>
    <row r="123" customFormat="false" ht="17.15" hidden="false" customHeight="false" outlineLevel="0" collapsed="false">
      <c r="A123" s="3" t="s">
        <v>576</v>
      </c>
      <c r="B123" s="19" t="n">
        <f aca="false">ROUND(AVERAGE(B118,C118),2)</f>
        <v>42.98</v>
      </c>
    </row>
    <row r="124" customFormat="false" ht="17.15" hidden="false" customHeight="false" outlineLevel="0" collapsed="false">
      <c r="A124" s="3" t="s">
        <v>577</v>
      </c>
      <c r="B124" s="19" t="n">
        <f aca="false">ROUND(MIN(B119,C119),2)</f>
        <v>18.1</v>
      </c>
    </row>
    <row r="125" customFormat="false" ht="17.15" hidden="false" customHeight="false" outlineLevel="0" collapsed="false">
      <c r="A125" s="3" t="s">
        <v>578</v>
      </c>
      <c r="B125" s="19" t="n">
        <f aca="false">ROUND(MAX(B120,C120),2)</f>
        <v>54.5</v>
      </c>
    </row>
    <row r="127" customFormat="false" ht="17.15" hidden="false" customHeight="false" outlineLevel="0" collapsed="false">
      <c r="A127" s="1" t="s">
        <v>579</v>
      </c>
    </row>
    <row r="128" customFormat="false" ht="17.15" hidden="false" customHeight="false" outlineLevel="0" collapsed="false">
      <c r="A128" s="6" t="s">
        <v>580</v>
      </c>
      <c r="B128" s="6" t="s">
        <v>581</v>
      </c>
      <c r="C128" s="6" t="s">
        <v>582</v>
      </c>
      <c r="D128" s="6" t="s">
        <v>26</v>
      </c>
      <c r="E128" s="6" t="s">
        <v>583</v>
      </c>
      <c r="F128" s="6" t="s">
        <v>537</v>
      </c>
      <c r="G128" s="6" t="s">
        <v>584</v>
      </c>
      <c r="H128" s="6" t="s">
        <v>585</v>
      </c>
    </row>
    <row r="129" customFormat="false" ht="17.15" hidden="false" customHeight="false" outlineLevel="0" collapsed="false">
      <c r="A129" s="5" t="s">
        <v>586</v>
      </c>
      <c r="B129" s="0" t="s">
        <v>587</v>
      </c>
      <c r="C129" s="19" t="n">
        <f aca="false">B121</f>
        <v>28.68</v>
      </c>
      <c r="D129" s="8" t="s">
        <v>588</v>
      </c>
      <c r="E129" s="19" t="n">
        <f aca="false">C74</f>
        <v>5.06034561858844</v>
      </c>
      <c r="F129" s="20" t="n">
        <f aca="false">C129*E129</f>
        <v>145.130712341116</v>
      </c>
      <c r="G129" s="16" t="n">
        <f aca="false">F129/px-1</f>
        <v>-0.158028007535439</v>
      </c>
      <c r="H129" s="19" t="n">
        <f aca="false">px/E129</f>
        <v>34.0628907572685</v>
      </c>
    </row>
    <row r="130" customFormat="false" ht="17.15" hidden="false" customHeight="false" outlineLevel="0" collapsed="false">
      <c r="A130" s="5" t="s">
        <v>589</v>
      </c>
      <c r="B130" s="5" t="s">
        <v>590</v>
      </c>
      <c r="C130" s="19" t="n">
        <f aca="false">B122</f>
        <v>35.83</v>
      </c>
      <c r="D130" s="8" t="s">
        <v>588</v>
      </c>
      <c r="E130" s="19" t="n">
        <f aca="false">C74</f>
        <v>5.06034561858844</v>
      </c>
      <c r="F130" s="20" t="n">
        <f aca="false">C130*E130</f>
        <v>181.312183514024</v>
      </c>
      <c r="G130" s="16" t="n">
        <f aca="false">F130/px-1</f>
        <v>0.0518778413530412</v>
      </c>
      <c r="H130" s="19" t="n">
        <f aca="false">px/E130</f>
        <v>34.0628907572685</v>
      </c>
    </row>
    <row r="131" customFormat="false" ht="17.15" hidden="false" customHeight="false" outlineLevel="0" collapsed="false">
      <c r="A131" s="5" t="s">
        <v>591</v>
      </c>
      <c r="B131" s="0" t="s">
        <v>592</v>
      </c>
      <c r="C131" s="19" t="n">
        <f aca="false">B123</f>
        <v>42.98</v>
      </c>
      <c r="D131" s="8" t="s">
        <v>588</v>
      </c>
      <c r="E131" s="19" t="n">
        <f aca="false">C74</f>
        <v>5.06034561858844</v>
      </c>
      <c r="F131" s="20" t="n">
        <f aca="false">C131*E131</f>
        <v>217.493654686931</v>
      </c>
      <c r="G131" s="16" t="n">
        <f aca="false">F131/px-1</f>
        <v>0.261783690241521</v>
      </c>
      <c r="H131" s="19" t="n">
        <f aca="false">px/E131</f>
        <v>34.0628907572685</v>
      </c>
    </row>
    <row r="135" customFormat="false" ht="15" hidden="false" customHeight="false" outlineLevel="0" collapsed="false">
      <c r="A135" s="3" t="s">
        <v>593</v>
      </c>
    </row>
    <row r="136" customFormat="false" ht="15" hidden="false" customHeight="false" outlineLevel="0" collapsed="false">
      <c r="A136" s="6" t="s">
        <v>23</v>
      </c>
      <c r="B136" s="6" t="s">
        <v>492</v>
      </c>
      <c r="C136" s="13"/>
      <c r="D136" s="13"/>
      <c r="E136" s="6" t="s">
        <v>283</v>
      </c>
    </row>
    <row r="137" customFormat="false" ht="17.15" hidden="false" customHeight="false" outlineLevel="0" collapsed="false">
      <c r="A137" s="5" t="s">
        <v>594</v>
      </c>
      <c r="B137" s="21" t="n">
        <f aca="false">tp_wA*B139+tp_wB*B140+tp_wC*B141</f>
        <v>174.075889279442</v>
      </c>
      <c r="E137" s="5" t="s">
        <v>595</v>
      </c>
    </row>
    <row r="138" customFormat="false" ht="17.15" hidden="false" customHeight="false" outlineLevel="0" collapsed="false">
      <c r="A138" s="5" t="s">
        <v>596</v>
      </c>
      <c r="B138" s="16" t="n">
        <f aca="false">B137/px-1</f>
        <v>0.00989667157534524</v>
      </c>
      <c r="E138" s="5" t="s">
        <v>597</v>
      </c>
    </row>
    <row r="139" customFormat="false" ht="17.15" hidden="false" customHeight="false" outlineLevel="0" collapsed="false">
      <c r="A139" s="5" t="s">
        <v>598</v>
      </c>
      <c r="B139" s="21" t="n">
        <f aca="false">E74</f>
        <v>181.312183514024</v>
      </c>
      <c r="E139" s="0" t="str">
        <f aca="false">"第 3 節規則值：FY2027 GAAP 換算 EPS × "&amp;TEXT(D74,"0.0")&amp;"x（"&amp;C68&amp;"）"</f>
        <v>第 3 節規則值：FY2027 GAAP 換算 EPS × 35.8x（中段）</v>
      </c>
    </row>
    <row r="140" customFormat="false" ht="17.15" hidden="false" customHeight="false" outlineLevel="0" collapsed="false">
      <c r="A140" s="5" t="s">
        <v>599</v>
      </c>
      <c r="B140" s="21" t="n">
        <f aca="false">E75</f>
        <v>181.312183514024</v>
      </c>
      <c r="E140" s="0" t="str">
        <f aca="false">"第 3 節規則值：FY2027 GAAP 換算 EPS × "&amp;TEXT(D75,"0.0")&amp;"x（"&amp;C69&amp;"）"</f>
        <v>第 3 節規則值：FY2027 GAAP 換算 EPS × 35.8x（中段）</v>
      </c>
    </row>
    <row r="141" customFormat="false" ht="17.15" hidden="false" customHeight="false" outlineLevel="0" collapsed="false">
      <c r="A141" s="5" t="s">
        <v>600</v>
      </c>
      <c r="B141" s="21" t="n">
        <f aca="false">E76</f>
        <v>145.130712341116</v>
      </c>
      <c r="E141" s="0" t="str">
        <f aca="false">"第 3 節規則值：FY2027 GAAP 換算 EPS × "&amp;TEXT(D76,"0.0")&amp;"x（"&amp;C70&amp;"）"</f>
        <v>第 3 節規則值：FY2027 GAAP 換算 EPS × 28.7x（見頂）</v>
      </c>
    </row>
    <row r="142" customFormat="false" ht="17.15" hidden="false" customHeight="false" outlineLevel="0" collapsed="false">
      <c r="A142" s="5" t="s">
        <v>601</v>
      </c>
      <c r="B142" s="31" t="n">
        <f aca="false">tp_wA</f>
        <v>0.3</v>
      </c>
      <c r="C142" s="31" t="n">
        <f aca="false">tp_wB</f>
        <v>0.5</v>
      </c>
      <c r="D142" s="31" t="n">
        <f aca="false">tp_wC</f>
        <v>0.2</v>
      </c>
      <c r="E142" s="0" t="str">
        <f aca="false">"合計 "&amp;TEXT(B142+C142+D142,"0%")&amp;"；In 頁 tp_wA／tp_wB／tp_wC（Assumed，Andy 可改）"</f>
        <v>合計 100%；In 頁 tp_wA／tp_wB／tp_wC（Assumed，Andy 可改）</v>
      </c>
    </row>
    <row r="143" customFormat="false" ht="17.15" hidden="false" customHeight="false" outlineLevel="0" collapsed="false">
      <c r="A143" s="5" t="s">
        <v>602</v>
      </c>
      <c r="B143" s="0" t="s">
        <v>603</v>
      </c>
    </row>
    <row r="146" customFormat="false" ht="17.15" hidden="false" customHeight="false" outlineLevel="0" collapsed="false">
      <c r="A146" s="1" t="s">
        <v>604</v>
      </c>
    </row>
    <row r="147" customFormat="false" ht="17.15" hidden="false" customHeight="false" outlineLevel="0" collapsed="false">
      <c r="A147" s="5" t="s">
        <v>605</v>
      </c>
    </row>
    <row r="148" customFormat="false" ht="17.15" hidden="false" customHeight="false" outlineLevel="0" collapsed="false">
      <c r="A148" s="6" t="s">
        <v>606</v>
      </c>
      <c r="B148" s="6" t="s">
        <v>465</v>
      </c>
      <c r="C148" s="6" t="s">
        <v>607</v>
      </c>
      <c r="D148" s="13" t="s">
        <v>608</v>
      </c>
      <c r="E148" s="13" t="s">
        <v>609</v>
      </c>
      <c r="F148" s="13" t="s">
        <v>610</v>
      </c>
      <c r="G148" s="13" t="s">
        <v>611</v>
      </c>
      <c r="H148" s="13" t="s">
        <v>612</v>
      </c>
      <c r="I148" s="13" t="s">
        <v>613</v>
      </c>
      <c r="J148" s="13" t="s">
        <v>614</v>
      </c>
      <c r="K148" s="13" t="s">
        <v>615</v>
      </c>
      <c r="L148" s="13" t="s">
        <v>616</v>
      </c>
      <c r="M148" s="13" t="s">
        <v>617</v>
      </c>
      <c r="N148" s="6" t="s">
        <v>618</v>
      </c>
      <c r="O148" s="13" t="s">
        <v>619</v>
      </c>
      <c r="P148" s="6" t="s">
        <v>620</v>
      </c>
      <c r="Q148" s="6" t="s">
        <v>468</v>
      </c>
    </row>
    <row r="149" customFormat="false" ht="17.15" hidden="false" customHeight="false" outlineLevel="0" collapsed="false">
      <c r="A149" s="0" t="s">
        <v>621</v>
      </c>
      <c r="B149" s="0" t="s">
        <v>622</v>
      </c>
      <c r="C149" s="5" t="s">
        <v>623</v>
      </c>
      <c r="D149" s="18" t="n">
        <v>33.8415</v>
      </c>
      <c r="E149" s="18" t="n">
        <v>36.0395</v>
      </c>
      <c r="F149" s="18" t="n">
        <v>25.549</v>
      </c>
      <c r="G149" s="18" t="n">
        <v>23.381</v>
      </c>
      <c r="H149" s="18" t="n">
        <v>30.371</v>
      </c>
      <c r="I149" s="18" t="n">
        <v>29.6845</v>
      </c>
      <c r="J149" s="18" t="n">
        <v>26.6185</v>
      </c>
      <c r="K149" s="18" t="n">
        <v>37.14</v>
      </c>
      <c r="L149" s="18" t="n">
        <v>42.7395</v>
      </c>
      <c r="M149" s="18" t="n">
        <v>40.689</v>
      </c>
      <c r="N149" s="8" t="n">
        <f aca="false">COUNT(D149:M149)</f>
        <v>10</v>
      </c>
      <c r="O149" s="19" t="n">
        <f aca="false">IF(N149&gt;0,MEDIAN(D149:M149),"")</f>
        <v>32.10625</v>
      </c>
      <c r="P149" s="19" t="n">
        <f aca="false">IF(N149&gt;=7,O149,"")</f>
        <v>32.10625</v>
      </c>
      <c r="Q149" s="8" t="s">
        <v>624</v>
      </c>
    </row>
    <row r="150" customFormat="false" ht="17.15" hidden="false" customHeight="false" outlineLevel="0" collapsed="false">
      <c r="A150" s="0" t="s">
        <v>469</v>
      </c>
      <c r="B150" s="0" t="s">
        <v>470</v>
      </c>
      <c r="C150" s="5" t="s">
        <v>625</v>
      </c>
      <c r="D150" s="18" t="n">
        <v>13.032</v>
      </c>
      <c r="E150" s="18" t="n">
        <v>15.3695</v>
      </c>
      <c r="F150" s="18" t="n">
        <v>15.376</v>
      </c>
      <c r="G150" s="18" t="n">
        <v>13.724</v>
      </c>
      <c r="H150" s="18" t="n">
        <v>15.5665</v>
      </c>
      <c r="I150" s="18" t="n">
        <v>13.072</v>
      </c>
      <c r="J150" s="18" t="n">
        <v>12.9345</v>
      </c>
      <c r="K150" s="18" t="n">
        <v>13.1135</v>
      </c>
      <c r="L150" s="18" t="n">
        <v>16.21</v>
      </c>
      <c r="M150" s="18" t="n">
        <v>20.714</v>
      </c>
      <c r="N150" s="8" t="n">
        <f aca="false">COUNT(D150:M150)</f>
        <v>10</v>
      </c>
      <c r="O150" s="19" t="n">
        <f aca="false">IF(N150&gt;0,MEDIAN(D150:M150),"")</f>
        <v>14.54675</v>
      </c>
      <c r="P150" s="19" t="n">
        <f aca="false">IF(N150&gt;=7,O150,"")</f>
        <v>14.54675</v>
      </c>
      <c r="Q150" s="8" t="s">
        <v>626</v>
      </c>
    </row>
    <row r="151" customFormat="false" ht="17.15" hidden="false" customHeight="false" outlineLevel="0" collapsed="false">
      <c r="A151" s="0" t="s">
        <v>474</v>
      </c>
      <c r="B151" s="0" t="s">
        <v>475</v>
      </c>
      <c r="C151" s="5" t="s">
        <v>625</v>
      </c>
      <c r="D151" s="18" t="n">
        <v>12.6425</v>
      </c>
      <c r="E151" s="18" t="n">
        <v>16.492</v>
      </c>
      <c r="F151" s="18" t="n">
        <v>18.083</v>
      </c>
      <c r="G151" s="18" t="n">
        <v>15.489</v>
      </c>
      <c r="H151" s="18" t="n">
        <v>18.2355</v>
      </c>
      <c r="I151" s="18" t="n">
        <v>17.8225</v>
      </c>
      <c r="J151" s="18" t="n">
        <v>15.194</v>
      </c>
      <c r="K151" s="18" t="n">
        <v>18.4685</v>
      </c>
      <c r="L151" s="18" t="n">
        <v>29.6055</v>
      </c>
      <c r="M151" s="18" t="n">
        <v>45.5975</v>
      </c>
      <c r="N151" s="8" t="n">
        <f aca="false">COUNT(D151:M151)</f>
        <v>10</v>
      </c>
      <c r="O151" s="19" t="n">
        <f aca="false">IF(N151&gt;0,MEDIAN(D151:M151),"")</f>
        <v>17.95275</v>
      </c>
      <c r="P151" s="19" t="n">
        <f aca="false">IF(N151&gt;=7,O151,"")</f>
        <v>17.95275</v>
      </c>
      <c r="Q151" s="8" t="s">
        <v>627</v>
      </c>
    </row>
    <row r="152" customFormat="false" ht="17.15" hidden="false" customHeight="false" outlineLevel="0" collapsed="false">
      <c r="A152" s="0" t="s">
        <v>477</v>
      </c>
      <c r="B152" s="0" t="s">
        <v>478</v>
      </c>
      <c r="C152" s="5" t="s">
        <v>625</v>
      </c>
      <c r="D152" s="18" t="n">
        <v>9.973</v>
      </c>
      <c r="E152" s="18" t="n">
        <v>9.182</v>
      </c>
      <c r="F152" s="18" t="n">
        <v>8.5745</v>
      </c>
      <c r="G152" s="18" t="n">
        <v>9.38</v>
      </c>
      <c r="H152" s="18" t="n">
        <v>7.8455</v>
      </c>
      <c r="I152" s="18" t="n">
        <v>6.496</v>
      </c>
      <c r="J152" s="18" t="n">
        <v>6.4765</v>
      </c>
      <c r="K152" s="18" t="n">
        <v>13.3505</v>
      </c>
      <c r="L152" s="18" t="n">
        <v>23.4305</v>
      </c>
      <c r="M152" s="18" t="n">
        <v>28.9945</v>
      </c>
      <c r="N152" s="8" t="n">
        <f aca="false">COUNT(D152:M152)</f>
        <v>10</v>
      </c>
      <c r="O152" s="19" t="n">
        <f aca="false">IF(N152&gt;0,MEDIAN(D152:M152),"")</f>
        <v>9.281</v>
      </c>
      <c r="P152" s="19" t="n">
        <f aca="false">IF(N152&gt;=7,O152,"")</f>
        <v>9.281</v>
      </c>
      <c r="Q152" s="8" t="s">
        <v>628</v>
      </c>
    </row>
    <row r="153" customFormat="false" ht="17.15" hidden="false" customHeight="false" outlineLevel="0" collapsed="false">
      <c r="A153" s="0" t="s">
        <v>479</v>
      </c>
      <c r="B153" s="0" t="s">
        <v>480</v>
      </c>
      <c r="C153" s="5" t="s">
        <v>625</v>
      </c>
      <c r="D153" s="18" t="n">
        <v>9.8045</v>
      </c>
      <c r="E153" s="18" t="n">
        <v>11.116</v>
      </c>
      <c r="F153" s="18" t="n">
        <v>8.738</v>
      </c>
      <c r="G153" s="18" t="n">
        <v>6.9755</v>
      </c>
      <c r="H153" s="18" t="n">
        <v>7.5105</v>
      </c>
      <c r="I153" s="18" t="n">
        <v>7.108</v>
      </c>
      <c r="J153" s="18" t="n">
        <v>7.8275</v>
      </c>
      <c r="K153" s="18" t="n">
        <v>8.972</v>
      </c>
      <c r="L153" s="18" t="n">
        <v>9.945</v>
      </c>
      <c r="M153" s="18" t="n">
        <v>11.4715</v>
      </c>
      <c r="N153" s="8" t="n">
        <f aca="false">COUNT(D153:M153)</f>
        <v>10</v>
      </c>
      <c r="O153" s="19" t="n">
        <f aca="false">IF(N153&gt;0,MEDIAN(D153:M153),"")</f>
        <v>8.855</v>
      </c>
      <c r="P153" s="19" t="n">
        <f aca="false">IF(N153&gt;=7,O153,"")</f>
        <v>8.855</v>
      </c>
      <c r="Q153" s="8" t="s">
        <v>629</v>
      </c>
    </row>
    <row r="154" customFormat="false" ht="17.15" hidden="false" customHeight="false" outlineLevel="0" collapsed="false">
      <c r="A154" s="0" t="s">
        <v>481</v>
      </c>
      <c r="B154" s="0" t="s">
        <v>482</v>
      </c>
      <c r="C154" s="5" t="s">
        <v>625</v>
      </c>
      <c r="I154" s="18" t="n">
        <v>59.289</v>
      </c>
      <c r="J154" s="18" t="n">
        <v>66.363</v>
      </c>
      <c r="K154" s="18" t="n">
        <v>70.005</v>
      </c>
      <c r="L154" s="18" t="n">
        <v>64.678</v>
      </c>
      <c r="M154" s="18" t="n">
        <v>32.985</v>
      </c>
      <c r="N154" s="8" t="n">
        <f aca="false">COUNT(D154:M154)</f>
        <v>5</v>
      </c>
      <c r="O154" s="19" t="n">
        <f aca="false">IF(N154&gt;0,MEDIAN(D154:M154),"")</f>
        <v>64.678</v>
      </c>
      <c r="P154" s="19" t="str">
        <f aca="false">IF(N154&gt;=7,O154,"")</f>
        <v/>
      </c>
      <c r="Q154" s="8" t="s">
        <v>630</v>
      </c>
    </row>
    <row r="156" customFormat="false" ht="17.15" hidden="false" customHeight="false" outlineLevel="0" collapsed="false">
      <c r="A156" s="5" t="s">
        <v>631</v>
      </c>
      <c r="B156" s="19" t="n">
        <f aca="false">P149</f>
        <v>32.10625</v>
      </c>
      <c r="E156" s="5" t="s">
        <v>632</v>
      </c>
    </row>
    <row r="157" customFormat="false" ht="15" hidden="false" customHeight="false" outlineLevel="0" collapsed="false">
      <c r="A157" s="5" t="s">
        <v>633</v>
      </c>
      <c r="B157" s="37" t="n">
        <f aca="false">COUNT(P150:P154)</f>
        <v>4</v>
      </c>
    </row>
    <row r="158" customFormat="false" ht="17.15" hidden="false" customHeight="false" outlineLevel="0" collapsed="false">
      <c r="A158" s="5" t="s">
        <v>634</v>
      </c>
      <c r="B158" s="19" t="n">
        <f aca="false">IF(B157&gt;0,MEDIAN(P150:P154),"")</f>
        <v>11.913875</v>
      </c>
    </row>
    <row r="159" customFormat="false" ht="17.15" hidden="false" customHeight="false" outlineLevel="0" collapsed="false">
      <c r="A159" s="5" t="s">
        <v>635</v>
      </c>
      <c r="B159" s="19" t="n">
        <f aca="false">IF(AND(ISNUMBER(B156),B157&gt;=2),B156/B158,"")</f>
        <v>2.69486208307541</v>
      </c>
      <c r="E159" s="5" t="s">
        <v>636</v>
      </c>
    </row>
    <row r="160" customFormat="false" ht="17.15" hidden="false" customHeight="false" outlineLevel="0" collapsed="false">
      <c r="A160" s="5" t="s">
        <v>637</v>
      </c>
      <c r="B160" s="18" t="n">
        <v>0.5</v>
      </c>
      <c r="E160" s="8" t="s">
        <v>638</v>
      </c>
    </row>
    <row r="161" customFormat="false" ht="17.15" hidden="false" customHeight="false" outlineLevel="0" collapsed="false">
      <c r="A161" s="5" t="s">
        <v>639</v>
      </c>
      <c r="B161" s="18" t="n">
        <v>2</v>
      </c>
      <c r="E161" s="8" t="s">
        <v>640</v>
      </c>
    </row>
    <row r="162" customFormat="false" ht="17.15" hidden="false" customHeight="false" outlineLevel="0" collapsed="false">
      <c r="A162" s="3" t="s">
        <v>641</v>
      </c>
      <c r="B162" s="33" t="n">
        <f aca="false">IF(ISNUMBER(B159),MIN(MAX(B159,B160),B161),1)</f>
        <v>2</v>
      </c>
      <c r="E162" s="5" t="s">
        <v>642</v>
      </c>
    </row>
    <row r="163" customFormat="false" ht="17.15" hidden="false" customHeight="false" outlineLevel="0" collapsed="false">
      <c r="A163" s="1" t="s">
        <v>643</v>
      </c>
      <c r="B163" s="27" t="n">
        <f aca="false">Val!$B$36*B162</f>
        <v>223.362359541179</v>
      </c>
      <c r="E163" s="5" t="s">
        <v>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645</v>
      </c>
    </row>
    <row r="3" customFormat="false" ht="17.15" hidden="false" customHeight="false" outlineLevel="0" collapsed="false">
      <c r="A3" s="6" t="s">
        <v>23</v>
      </c>
      <c r="B3" s="6" t="s">
        <v>646</v>
      </c>
      <c r="C3" s="6" t="s">
        <v>647</v>
      </c>
      <c r="D3" s="6" t="s">
        <v>648</v>
      </c>
      <c r="E3" s="6" t="s">
        <v>649</v>
      </c>
      <c r="F3" s="6" t="s">
        <v>650</v>
      </c>
      <c r="G3" s="6" t="s">
        <v>651</v>
      </c>
      <c r="H3" s="6" t="s">
        <v>652</v>
      </c>
      <c r="I3" s="6" t="s">
        <v>653</v>
      </c>
      <c r="J3" s="6" t="s">
        <v>283</v>
      </c>
    </row>
    <row r="4" customFormat="false" ht="17.15" hidden="false" customHeight="false" outlineLevel="0" collapsed="false">
      <c r="A4" s="1" t="s">
        <v>654</v>
      </c>
    </row>
    <row r="5" customFormat="false" ht="17.15" hidden="false" customHeight="false" outlineLevel="0" collapsed="false">
      <c r="A5" s="0" t="s">
        <v>655</v>
      </c>
      <c r="B5" s="21" t="n">
        <f aca="false">cons_rev26</f>
        <v>12.68</v>
      </c>
      <c r="C5" s="21" t="n">
        <f aca="false">PL!D72</f>
        <v>12.6</v>
      </c>
      <c r="D5" s="16" t="n">
        <f aca="false">C5/B5-1</f>
        <v>-0.00630914826498441</v>
      </c>
      <c r="E5" s="21" t="n">
        <f aca="false">PL!D107</f>
        <v>12.6</v>
      </c>
      <c r="F5" s="16" t="n">
        <f aca="false">E5/B5-1</f>
        <v>-0.00630914826498441</v>
      </c>
      <c r="G5" s="21" t="n">
        <f aca="false">PL!D142</f>
        <v>12.6</v>
      </c>
      <c r="H5" s="16" t="n">
        <f aca="false">G5/B5-1</f>
        <v>-0.00630914826498441</v>
      </c>
      <c r="I5" s="8" t="s">
        <v>226</v>
      </c>
      <c r="J5" s="5" t="s">
        <v>656</v>
      </c>
    </row>
    <row r="6" customFormat="false" ht="17.15" hidden="false" customHeight="false" outlineLevel="0" collapsed="false">
      <c r="A6" s="0" t="s">
        <v>657</v>
      </c>
      <c r="B6" s="21" t="n">
        <f aca="false">cons_eps26</f>
        <v>4.12</v>
      </c>
      <c r="C6" s="21" t="n">
        <f aca="false">PL!D91</f>
        <v>4.0949151612524</v>
      </c>
      <c r="D6" s="16" t="n">
        <f aca="false">C6/B6-1</f>
        <v>-0.00608855309407763</v>
      </c>
      <c r="E6" s="21" t="n">
        <f aca="false">PL!D126</f>
        <v>4.0949151612524</v>
      </c>
      <c r="F6" s="16" t="n">
        <f aca="false">E6/B6-1</f>
        <v>-0.00608855309407763</v>
      </c>
      <c r="G6" s="21" t="n">
        <f aca="false">PL!D161</f>
        <v>4.0949151612524</v>
      </c>
      <c r="H6" s="16" t="n">
        <f aca="false">G6/B6-1</f>
        <v>-0.00608855309407763</v>
      </c>
      <c r="I6" s="8" t="s">
        <v>226</v>
      </c>
      <c r="J6" s="5" t="s">
        <v>658</v>
      </c>
    </row>
    <row r="7" customFormat="false" ht="17.15" hidden="false" customHeight="false" outlineLevel="0" collapsed="false">
      <c r="A7" s="0" t="s">
        <v>659</v>
      </c>
      <c r="B7" s="21" t="n">
        <f aca="false">erste_eps27</f>
        <v>4.79</v>
      </c>
      <c r="C7" s="21" t="n">
        <f aca="false">PL!E91</f>
        <v>5.46517326807551</v>
      </c>
      <c r="D7" s="16" t="n">
        <f aca="false">C7/B7-1</f>
        <v>0.140954753251673</v>
      </c>
      <c r="E7" s="21" t="n">
        <f aca="false">PL!E126</f>
        <v>5.46517326807551</v>
      </c>
      <c r="F7" s="16" t="n">
        <f aca="false">E7/B7-1</f>
        <v>0.140954753251673</v>
      </c>
      <c r="G7" s="21" t="n">
        <f aca="false">PL!E161</f>
        <v>5.46517326807551</v>
      </c>
      <c r="H7" s="16" t="n">
        <f aca="false">G7/B7-1</f>
        <v>0.140954753251673</v>
      </c>
      <c r="I7" s="8" t="s">
        <v>660</v>
      </c>
      <c r="J7" s="8" t="s">
        <v>661</v>
      </c>
    </row>
    <row r="8" customFormat="false" ht="17.15" hidden="false" customHeight="false" outlineLevel="0" collapsed="false">
      <c r="A8" s="0" t="s">
        <v>662</v>
      </c>
      <c r="B8" s="21" t="n">
        <f aca="false">px/pe_fwd_sa</f>
        <v>4.65110631408527</v>
      </c>
      <c r="C8" s="21" t="n">
        <f aca="false">PL!E91</f>
        <v>5.46517326807551</v>
      </c>
      <c r="D8" s="16" t="n">
        <f aca="false">C8/B8-1</f>
        <v>0.175026520362467</v>
      </c>
      <c r="E8" s="21" t="n">
        <f aca="false">PL!E126</f>
        <v>5.46517326807551</v>
      </c>
      <c r="F8" s="16" t="n">
        <f aca="false">E8/B8-1</f>
        <v>0.175026520362467</v>
      </c>
      <c r="G8" s="21" t="n">
        <f aca="false">PL!E161</f>
        <v>5.46517326807551</v>
      </c>
      <c r="H8" s="16" t="n">
        <f aca="false">G8/B8-1</f>
        <v>0.175026520362467</v>
      </c>
      <c r="I8" s="8" t="s">
        <v>663</v>
      </c>
      <c r="J8" s="5" t="s">
        <v>664</v>
      </c>
    </row>
    <row r="9" customFormat="false" ht="17.15" hidden="false" customHeight="false" outlineLevel="0" collapsed="false">
      <c r="A9" s="0" t="s">
        <v>665</v>
      </c>
      <c r="C9" s="16" t="n">
        <f aca="false">PL!E77</f>
        <v>0.330561615435134</v>
      </c>
      <c r="E9" s="16" t="n">
        <f aca="false">PL!E112</f>
        <v>0.330561615435134</v>
      </c>
      <c r="G9" s="16" t="n">
        <f aca="false">PL!E147</f>
        <v>0.330561615435134</v>
      </c>
      <c r="I9" s="8" t="s">
        <v>88</v>
      </c>
    </row>
    <row r="10" customFormat="false" ht="17.15" hidden="false" customHeight="false" outlineLevel="0" collapsed="false">
      <c r="A10" s="1" t="s">
        <v>666</v>
      </c>
    </row>
    <row r="11" customFormat="false" ht="17.15" hidden="false" customHeight="false" outlineLevel="0" collapsed="false">
      <c r="A11" s="0" t="s">
        <v>667</v>
      </c>
      <c r="B11" s="16" t="n">
        <f aca="false">idc_anet</f>
        <v>0.187</v>
      </c>
      <c r="C11" s="16" t="n">
        <f aca="false">PL!D66</f>
        <v>0.14550639864388</v>
      </c>
      <c r="D11" s="16" t="n">
        <f aca="false">C11-B11</f>
        <v>-0.0414936013561196</v>
      </c>
      <c r="E11" s="16" t="n">
        <f aca="false">PL!D101</f>
        <v>0.14550639864388</v>
      </c>
      <c r="F11" s="16" t="n">
        <f aca="false">E11-B11</f>
        <v>-0.0414936013561196</v>
      </c>
      <c r="G11" s="16" t="n">
        <f aca="false">PL!D136</f>
        <v>0.14550639864388</v>
      </c>
      <c r="H11" s="16" t="n">
        <f aca="false">G11-B11</f>
        <v>-0.0414936013561196</v>
      </c>
      <c r="I11" s="8" t="s">
        <v>668</v>
      </c>
      <c r="J11" s="5" t="s">
        <v>669</v>
      </c>
    </row>
    <row r="12" customFormat="false" ht="17.15" hidden="false" customHeight="false" outlineLevel="0" collapsed="false">
      <c r="A12" s="0" t="s">
        <v>670</v>
      </c>
      <c r="B12" s="16" t="n">
        <f aca="false">1-dell_top2</f>
        <v>0.5</v>
      </c>
      <c r="C12" s="16" t="n">
        <f aca="false">PL!D66</f>
        <v>0.14550639864388</v>
      </c>
      <c r="D12" s="16" t="n">
        <f aca="false">C12-B12</f>
        <v>-0.35449360135612</v>
      </c>
      <c r="E12" s="16" t="n">
        <f aca="false">PL!D101</f>
        <v>0.14550639864388</v>
      </c>
      <c r="F12" s="16" t="n">
        <f aca="false">E12-B12</f>
        <v>-0.35449360135612</v>
      </c>
      <c r="G12" s="16" t="n">
        <f aca="false">PL!D136</f>
        <v>0.14550639864388</v>
      </c>
      <c r="H12" s="16" t="n">
        <f aca="false">G12-B12</f>
        <v>-0.35449360135612</v>
      </c>
      <c r="I12" s="8" t="s">
        <v>671</v>
      </c>
      <c r="J12" s="8" t="s">
        <v>672</v>
      </c>
    </row>
    <row r="13" customFormat="false" ht="17.15" hidden="false" customHeight="false" outlineLevel="0" collapsed="false">
      <c r="A13" s="0" t="s">
        <v>673</v>
      </c>
      <c r="B13" s="16" t="n">
        <v>0.54</v>
      </c>
      <c r="C13" s="16" t="n">
        <f aca="false">PL!E78</f>
        <v>0.402925475056157</v>
      </c>
      <c r="D13" s="16" t="n">
        <f aca="false">C13-B13</f>
        <v>-0.137074524943843</v>
      </c>
      <c r="E13" s="16" t="n">
        <f aca="false">PL!E113</f>
        <v>0.402925475056157</v>
      </c>
      <c r="F13" s="16" t="n">
        <f aca="false">E13-B13</f>
        <v>-0.137074524943843</v>
      </c>
      <c r="G13" s="16" t="n">
        <f aca="false">PL!E148</f>
        <v>0.402925475056157</v>
      </c>
      <c r="H13" s="16" t="n">
        <f aca="false">G13-B13</f>
        <v>-0.137074524943843</v>
      </c>
      <c r="I13" s="5" t="s">
        <v>674</v>
      </c>
    </row>
    <row r="14" customFormat="false" ht="17.15" hidden="false" customHeight="false" outlineLevel="0" collapsed="false">
      <c r="A14" s="0" t="s">
        <v>675</v>
      </c>
      <c r="C14" s="12" t="n">
        <f aca="false">PL!E69/itc_27</f>
        <v>0.00431537761809352</v>
      </c>
      <c r="E14" s="12" t="n">
        <f aca="false">PL!E104/itc_27</f>
        <v>0.00431537761809352</v>
      </c>
      <c r="G14" s="12" t="n">
        <f aca="false">PL!E139/itc_27</f>
        <v>0.00431537761809352</v>
      </c>
      <c r="I14" s="8" t="s">
        <v>676</v>
      </c>
      <c r="J14" s="8" t="s">
        <v>677</v>
      </c>
    </row>
    <row r="15" customFormat="false" ht="17.15" hidden="false" customHeight="false" outlineLevel="0" collapsed="false">
      <c r="A15" s="0" t="s">
        <v>678</v>
      </c>
      <c r="C15" s="16" t="n">
        <f aca="false">PL!F68</f>
        <v>0.130955758779492</v>
      </c>
      <c r="E15" s="16" t="n">
        <f aca="false">PL!F103</f>
        <v>0.130955758779492</v>
      </c>
      <c r="G15" s="16" t="n">
        <f aca="false">PL!F138</f>
        <v>0.130955758779492</v>
      </c>
      <c r="I15" s="8" t="s">
        <v>88</v>
      </c>
    </row>
    <row r="16" customFormat="false" ht="17.15" hidden="false" customHeight="false" outlineLevel="0" collapsed="false">
      <c r="A16" s="1" t="s">
        <v>679</v>
      </c>
    </row>
    <row r="17" customFormat="false" ht="17.15" hidden="false" customHeight="false" outlineLevel="0" collapsed="false">
      <c r="A17" s="5" t="s">
        <v>680</v>
      </c>
      <c r="C17" s="16" t="n">
        <f aca="false">PL!D80</f>
        <v>0.646666666666667</v>
      </c>
      <c r="E17" s="16" t="n">
        <f aca="false">PL!D115</f>
        <v>0.646666666666667</v>
      </c>
      <c r="G17" s="16" t="n">
        <f aca="false">PL!D150</f>
        <v>0.646666666666667</v>
      </c>
      <c r="I17" s="8" t="s">
        <v>681</v>
      </c>
      <c r="J17" s="8" t="s">
        <v>682</v>
      </c>
    </row>
    <row r="18" customFormat="false" ht="17.15" hidden="false" customHeight="false" outlineLevel="0" collapsed="false">
      <c r="A18" s="0" t="s">
        <v>683</v>
      </c>
      <c r="B18" s="16" t="n">
        <f aca="false">a26_gp/a26_rev</f>
        <v>0.63</v>
      </c>
      <c r="C18" s="16" t="n">
        <f aca="false">PL!E82</f>
        <v>0.622491138163297</v>
      </c>
      <c r="D18" s="16" t="n">
        <f aca="false">C18-B18</f>
        <v>-0.00750886183670274</v>
      </c>
      <c r="E18" s="16" t="n">
        <f aca="false">PL!E117</f>
        <v>0.622491138163297</v>
      </c>
      <c r="F18" s="16" t="n">
        <f aca="false">E18-B18</f>
        <v>-0.00750886183670274</v>
      </c>
      <c r="G18" s="16" t="n">
        <f aca="false">PL!E152</f>
        <v>0.622491138163297</v>
      </c>
      <c r="H18" s="16" t="n">
        <f aca="false">G18-B18</f>
        <v>-0.00750886183670274</v>
      </c>
      <c r="I18" s="5" t="s">
        <v>684</v>
      </c>
      <c r="J18" s="8" t="s">
        <v>685</v>
      </c>
    </row>
    <row r="19" customFormat="false" ht="17.15" hidden="false" customHeight="false" outlineLevel="0" collapsed="false">
      <c r="A19" s="0" t="s">
        <v>340</v>
      </c>
      <c r="B19" s="17" t="n">
        <v>1.07</v>
      </c>
      <c r="C19" s="17" t="n">
        <f aca="false">Q!E15</f>
        <v>1.07055207517619</v>
      </c>
      <c r="D19" s="16" t="n">
        <f aca="false">C19/B19-1</f>
        <v>0.000515958108592507</v>
      </c>
      <c r="E19" s="17" t="n">
        <f aca="false">Q!E15</f>
        <v>1.07055207517619</v>
      </c>
      <c r="F19" s="16" t="n">
        <f aca="false">E19/B19-1</f>
        <v>0.000515958108592507</v>
      </c>
      <c r="G19" s="17" t="n">
        <f aca="false">Q!E15</f>
        <v>1.07055207517619</v>
      </c>
      <c r="H19" s="16" t="n">
        <f aca="false">G19/B19-1</f>
        <v>0.000515958108592507</v>
      </c>
      <c r="I19" s="5" t="s">
        <v>686</v>
      </c>
    </row>
    <row r="20" customFormat="false" ht="17.15" hidden="false" customHeight="false" outlineLevel="0" collapsed="false">
      <c r="A20" s="1" t="s">
        <v>687</v>
      </c>
    </row>
    <row r="21" customFormat="false" ht="17.15" hidden="false" customHeight="false" outlineLevel="0" collapsed="false">
      <c r="A21" s="0" t="s">
        <v>688</v>
      </c>
      <c r="J21" s="5" t="s">
        <v>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690</v>
      </c>
    </row>
    <row r="3" customFormat="false" ht="17.15" hidden="false" customHeight="false" outlineLevel="0" collapsed="false">
      <c r="A3" s="6" t="s">
        <v>691</v>
      </c>
      <c r="B3" s="6" t="s">
        <v>692</v>
      </c>
      <c r="C3" s="13" t="s">
        <v>693</v>
      </c>
      <c r="D3" s="13" t="s">
        <v>694</v>
      </c>
      <c r="E3" s="13" t="s">
        <v>695</v>
      </c>
      <c r="F3" s="13" t="s">
        <v>548</v>
      </c>
      <c r="G3" s="13" t="s">
        <v>696</v>
      </c>
      <c r="H3" s="13" t="s">
        <v>697</v>
      </c>
      <c r="I3" s="13" t="s">
        <v>698</v>
      </c>
      <c r="J3" s="13" t="s">
        <v>699</v>
      </c>
      <c r="K3" s="13" t="s">
        <v>550</v>
      </c>
      <c r="L3" s="13" t="s">
        <v>700</v>
      </c>
    </row>
    <row r="4" customFormat="false" ht="17.15" hidden="false" customHeight="false" outlineLevel="0" collapsed="false">
      <c r="A4" s="5" t="s">
        <v>701</v>
      </c>
      <c r="B4" s="0" t="s">
        <v>702</v>
      </c>
      <c r="C4" s="21" t="n">
        <f aca="false">PL!E72</f>
        <v>16.7650763544827</v>
      </c>
      <c r="D4" s="21" t="n">
        <f aca="false">PL!E69</f>
        <v>6.75507635448269</v>
      </c>
      <c r="E4" s="16" t="n">
        <f aca="false">PL!E82</f>
        <v>0.622491138163297</v>
      </c>
      <c r="F4" s="19" t="n">
        <f aca="false">PL!E91</f>
        <v>5.46517326807551</v>
      </c>
      <c r="G4" s="16" t="n">
        <f aca="false">F4/F$4-1</f>
        <v>0</v>
      </c>
      <c r="H4" s="21" t="n">
        <f aca="false">PL!F72</f>
        <v>18.3111797717005</v>
      </c>
      <c r="I4" s="21" t="n">
        <f aca="false">PL!F69</f>
        <v>7.50037977170046</v>
      </c>
      <c r="J4" s="16" t="n">
        <f aca="false">PL!F82</f>
        <v>0.622090271703982</v>
      </c>
      <c r="K4" s="19" t="n">
        <f aca="false">PL!F91</f>
        <v>5.98871015913977</v>
      </c>
      <c r="L4" s="16" t="n">
        <f aca="false">K4/K$4-1</f>
        <v>0</v>
      </c>
    </row>
    <row r="5" customFormat="false" ht="17.15" hidden="false" customHeight="false" outlineLevel="0" collapsed="false">
      <c r="A5" s="5" t="s">
        <v>703</v>
      </c>
      <c r="B5" s="5" t="s">
        <v>704</v>
      </c>
      <c r="C5" s="21" t="n">
        <f aca="false">E52</f>
        <v>15.6984853511433</v>
      </c>
      <c r="D5" s="21" t="n">
        <f aca="false">E49</f>
        <v>5.68848535114332</v>
      </c>
      <c r="E5" s="16" t="n">
        <f aca="false">E62</f>
        <v>0.624925134701372</v>
      </c>
      <c r="F5" s="19" t="n">
        <f aca="false">E71</f>
        <v>5.13041761360123</v>
      </c>
      <c r="G5" s="16" t="n">
        <f aca="false">F5/F$4-1</f>
        <v>-0.0612525235804949</v>
      </c>
      <c r="H5" s="21" t="n">
        <f aca="false">F52</f>
        <v>16.6444287113226</v>
      </c>
      <c r="I5" s="21" t="n">
        <f aca="false">F49</f>
        <v>5.83362871132258</v>
      </c>
      <c r="J5" s="16" t="n">
        <f aca="false">F62</f>
        <v>0.625637544625293</v>
      </c>
      <c r="K5" s="19" t="n">
        <f aca="false">F71</f>
        <v>5.46120459346983</v>
      </c>
      <c r="L5" s="16" t="n">
        <f aca="false">K5/K$4-1</f>
        <v>-0.088083335418207</v>
      </c>
    </row>
    <row r="6" customFormat="false" ht="17.15" hidden="false" customHeight="false" outlineLevel="0" collapsed="false">
      <c r="A6" s="5" t="s">
        <v>705</v>
      </c>
      <c r="B6" s="5" t="s">
        <v>706</v>
      </c>
      <c r="C6" s="21" t="n">
        <f aca="false">E87</f>
        <v>17.4761370233756</v>
      </c>
      <c r="D6" s="21" t="n">
        <f aca="false">E84</f>
        <v>7.4661370233756</v>
      </c>
      <c r="E6" s="16" t="n">
        <f aca="false">E97</f>
        <v>0.621033529274614</v>
      </c>
      <c r="F6" s="19" t="n">
        <f aca="false">E106</f>
        <v>5.6883437043917</v>
      </c>
      <c r="G6" s="16" t="n">
        <f aca="false">F6/F$4-1</f>
        <v>0.0408350157203301</v>
      </c>
      <c r="H6" s="21" t="n">
        <f aca="false">F87</f>
        <v>19.5612430669839</v>
      </c>
      <c r="I6" s="21" t="n">
        <f aca="false">F84</f>
        <v>8.75044306698387</v>
      </c>
      <c r="J6" s="16" t="n">
        <f aca="false">F97</f>
        <v>0.619826522498877</v>
      </c>
      <c r="K6" s="19" t="n">
        <f aca="false">F106</f>
        <v>6.38544177627603</v>
      </c>
      <c r="L6" s="16" t="n">
        <f aca="false">K6/K$4-1</f>
        <v>0.0662465884295278</v>
      </c>
    </row>
    <row r="7" customFormat="false" ht="15" hidden="false" customHeight="false" outlineLevel="0" collapsed="false">
      <c r="A7" s="5" t="s">
        <v>707</v>
      </c>
      <c r="B7" s="0" t="s">
        <v>708</v>
      </c>
      <c r="C7" s="21" t="n">
        <f aca="false">E122</f>
        <v>16.5238236275369</v>
      </c>
      <c r="D7" s="21" t="n">
        <f aca="false">E119</f>
        <v>6.51382362753688</v>
      </c>
      <c r="E7" s="16" t="n">
        <f aca="false">E132</f>
        <v>0.623014186074893</v>
      </c>
      <c r="F7" s="19" t="n">
        <f aca="false">E141</f>
        <v>5.38945472718252</v>
      </c>
      <c r="G7" s="16" t="n">
        <f aca="false">F7/F$4-1</f>
        <v>-0.0138547374765403</v>
      </c>
      <c r="H7" s="21" t="n">
        <f aca="false">F122</f>
        <v>17.975534549559</v>
      </c>
      <c r="I7" s="21" t="n">
        <f aca="false">F119</f>
        <v>7.16473454955896</v>
      </c>
      <c r="J7" s="16" t="n">
        <f aca="false">F132</f>
        <v>0.622751713162039</v>
      </c>
      <c r="K7" s="19" t="n">
        <f aca="false">F141</f>
        <v>5.8824909807764</v>
      </c>
      <c r="L7" s="16" t="n">
        <f aca="false">K7/K$4-1</f>
        <v>-0.0177365702364576</v>
      </c>
    </row>
    <row r="8" customFormat="false" ht="15" hidden="false" customHeight="false" outlineLevel="0" collapsed="false">
      <c r="A8" s="5" t="s">
        <v>709</v>
      </c>
      <c r="B8" s="0" t="s">
        <v>710</v>
      </c>
      <c r="C8" s="21" t="n">
        <f aca="false">E157</f>
        <v>16.9761724905603</v>
      </c>
      <c r="D8" s="21" t="n">
        <f aca="false">E154</f>
        <v>6.96617249056027</v>
      </c>
      <c r="E8" s="16" t="n">
        <f aca="false">E167</f>
        <v>0.622045666281213</v>
      </c>
      <c r="F8" s="19" t="n">
        <f aca="false">E176</f>
        <v>5.53142699135688</v>
      </c>
      <c r="G8" s="16" t="n">
        <f aca="false">F8/F$4-1</f>
        <v>0.012122895291973</v>
      </c>
      <c r="H8" s="21" t="n">
        <f aca="false">F157</f>
        <v>18.4354330510509</v>
      </c>
      <c r="I8" s="21" t="n">
        <f aca="false">F154</f>
        <v>7.62463305105092</v>
      </c>
      <c r="J8" s="16" t="n">
        <f aca="false">F167</f>
        <v>0.621851519564008</v>
      </c>
      <c r="K8" s="19" t="n">
        <f aca="false">F176</f>
        <v>6.02753139123414</v>
      </c>
      <c r="L8" s="16" t="n">
        <f aca="false">K8/K$4-1</f>
        <v>0.00648240289858149</v>
      </c>
    </row>
    <row r="9" customFormat="false" ht="17.15" hidden="false" customHeight="false" outlineLevel="0" collapsed="false">
      <c r="A9" s="0" t="s">
        <v>711</v>
      </c>
      <c r="B9" s="0" t="s">
        <v>712</v>
      </c>
      <c r="C9" s="21" t="n">
        <f aca="false">E192</f>
        <v>15.4140610835862</v>
      </c>
      <c r="D9" s="21" t="n">
        <f aca="false">E189</f>
        <v>5.40406108358615</v>
      </c>
      <c r="E9" s="16" t="n">
        <f aca="false">E202</f>
        <v>0.625631089912631</v>
      </c>
      <c r="F9" s="19" t="n">
        <f aca="false">E211</f>
        <v>5.04114943907475</v>
      </c>
      <c r="G9" s="16" t="n">
        <f aca="false">F9/F$4-1</f>
        <v>-0.0775865298686269</v>
      </c>
      <c r="H9" s="21" t="n">
        <f aca="false">F192</f>
        <v>16.8111038173604</v>
      </c>
      <c r="I9" s="21" t="n">
        <f aca="false">F189</f>
        <v>6.00030381736037</v>
      </c>
      <c r="J9" s="16" t="n">
        <f aca="false">F202</f>
        <v>0.625251164570377</v>
      </c>
      <c r="K9" s="19" t="n">
        <f aca="false">F211</f>
        <v>5.51503512586099</v>
      </c>
      <c r="L9" s="16" t="n">
        <f aca="false">K9/K$4-1</f>
        <v>-0.0790946665795594</v>
      </c>
    </row>
    <row r="10" customFormat="false" ht="17.15" hidden="false" customHeight="false" outlineLevel="0" collapsed="false">
      <c r="A10" s="0" t="s">
        <v>713</v>
      </c>
      <c r="B10" s="0" t="s">
        <v>714</v>
      </c>
      <c r="C10" s="21" t="n">
        <f aca="false">E227</f>
        <v>18.1160916253792</v>
      </c>
      <c r="D10" s="21" t="n">
        <f aca="false">E224</f>
        <v>8.10609162537923</v>
      </c>
      <c r="E10" s="16" t="n">
        <f aca="false">E237</f>
        <v>0.619819512899715</v>
      </c>
      <c r="F10" s="19" t="n">
        <f aca="false">E246</f>
        <v>5.88919709707628</v>
      </c>
      <c r="G10" s="16" t="n">
        <f aca="false">F10/F$4-1</f>
        <v>0.0775865298686271</v>
      </c>
      <c r="H10" s="21" t="n">
        <f aca="false">F227</f>
        <v>19.8112557260406</v>
      </c>
      <c r="I10" s="21" t="n">
        <f aca="false">F224</f>
        <v>9.00045572604055</v>
      </c>
      <c r="J10" s="16" t="n">
        <f aca="false">F237</f>
        <v>0.619408054136993</v>
      </c>
      <c r="K10" s="19" t="n">
        <f aca="false">F246</f>
        <v>6.46245147671438</v>
      </c>
      <c r="L10" s="16" t="n">
        <f aca="false">K10/K$4-1</f>
        <v>0.0791057347885842</v>
      </c>
    </row>
    <row r="11" customFormat="false" ht="17.15" hidden="false" customHeight="false" outlineLevel="0" collapsed="false">
      <c r="A11" s="5" t="s">
        <v>715</v>
      </c>
      <c r="B11" s="0" t="s">
        <v>716</v>
      </c>
      <c r="C11" s="21" t="n">
        <f aca="false">E262</f>
        <v>16.1280763544827</v>
      </c>
      <c r="D11" s="21" t="n">
        <f aca="false">E259</f>
        <v>6.75507635448269</v>
      </c>
      <c r="E11" s="16" t="n">
        <f aca="false">E272</f>
        <v>0.621536293250726</v>
      </c>
      <c r="F11" s="19" t="n">
        <f aca="false">E281</f>
        <v>5.24158341411049</v>
      </c>
      <c r="G11" s="16" t="n">
        <f aca="false">F11/F$4-1</f>
        <v>-0.0409117594260197</v>
      </c>
      <c r="H11" s="21" t="n">
        <f aca="false">F262</f>
        <v>17.0608397717005</v>
      </c>
      <c r="I11" s="21" t="n">
        <f aca="false">F259</f>
        <v>7.50037977170046</v>
      </c>
      <c r="J11" s="16" t="n">
        <f aca="false">F272</f>
        <v>0.620289138225863</v>
      </c>
      <c r="K11" s="19" t="n">
        <f aca="false">F281</f>
        <v>5.54583424412752</v>
      </c>
      <c r="L11" s="16" t="n">
        <f aca="false">K11/K$4-1</f>
        <v>-0.073951803183586</v>
      </c>
    </row>
    <row r="12" customFormat="false" ht="17.15" hidden="false" customHeight="false" outlineLevel="0" collapsed="false">
      <c r="A12" s="5" t="s">
        <v>717</v>
      </c>
      <c r="B12" s="0" t="s">
        <v>718</v>
      </c>
      <c r="C12" s="21" t="n">
        <f aca="false">E297</f>
        <v>17.2200763544827</v>
      </c>
      <c r="D12" s="21" t="n">
        <f aca="false">E294</f>
        <v>6.75507635448269</v>
      </c>
      <c r="E12" s="16" t="n">
        <f aca="false">E307</f>
        <v>0.623129919620626</v>
      </c>
      <c r="F12" s="19" t="n">
        <f aca="false">E316</f>
        <v>5.62488030662196</v>
      </c>
      <c r="G12" s="16" t="n">
        <f aca="false">F12/F$4-1</f>
        <v>0.0292226853042998</v>
      </c>
      <c r="H12" s="21" t="n">
        <f aca="false">F297</f>
        <v>19.2211797717005</v>
      </c>
      <c r="I12" s="21" t="n">
        <f aca="false">F294</f>
        <v>7.50037977170046</v>
      </c>
      <c r="J12" s="16" t="n">
        <f aca="false">F307</f>
        <v>0.623253806912626</v>
      </c>
      <c r="K12" s="19" t="n">
        <f aca="false">F316</f>
        <v>6.31151889611982</v>
      </c>
      <c r="L12" s="16" t="n">
        <f aca="false">K12/K$4-1</f>
        <v>0.0539028819899376</v>
      </c>
    </row>
    <row r="13" customFormat="false" ht="17.15" hidden="false" customHeight="false" outlineLevel="0" collapsed="false">
      <c r="A13" s="0" t="s">
        <v>719</v>
      </c>
      <c r="B13" s="0" t="s">
        <v>720</v>
      </c>
      <c r="C13" s="21" t="n">
        <f aca="false">E332</f>
        <v>16.7650763544827</v>
      </c>
      <c r="D13" s="21" t="n">
        <f aca="false">E329</f>
        <v>6.75507635448269</v>
      </c>
      <c r="E13" s="16" t="n">
        <f aca="false">E342</f>
        <v>0.626245569081649</v>
      </c>
      <c r="F13" s="19" t="n">
        <f aca="false">E351</f>
        <v>5.50414440613021</v>
      </c>
      <c r="G13" s="16" t="n">
        <f aca="false">F13/F$4-1</f>
        <v>0.0071308147323248</v>
      </c>
      <c r="H13" s="21" t="n">
        <f aca="false">F332</f>
        <v>18.3111797717005</v>
      </c>
      <c r="I13" s="21" t="n">
        <f aca="false">F329</f>
        <v>7.50037977170046</v>
      </c>
      <c r="J13" s="16" t="n">
        <f aca="false">F342</f>
        <v>0.626045135851991</v>
      </c>
      <c r="K13" s="19" t="n">
        <f aca="false">F351</f>
        <v>6.03354765310552</v>
      </c>
      <c r="L13" s="16" t="n">
        <f aca="false">K13/K$4-1</f>
        <v>0.00748700350731246</v>
      </c>
    </row>
    <row r="14" customFormat="false" ht="17.15" hidden="false" customHeight="false" outlineLevel="0" collapsed="false">
      <c r="A14" s="0" t="s">
        <v>721</v>
      </c>
      <c r="B14" s="5" t="s">
        <v>722</v>
      </c>
      <c r="C14" s="21" t="n">
        <f aca="false">E367</f>
        <v>16.7650763544827</v>
      </c>
      <c r="D14" s="21" t="n">
        <f aca="false">E364</f>
        <v>6.75507635448269</v>
      </c>
      <c r="E14" s="16" t="n">
        <f aca="false">E377</f>
        <v>0.617485230272162</v>
      </c>
      <c r="F14" s="19" t="n">
        <f aca="false">E386</f>
        <v>5.41321175066925</v>
      </c>
      <c r="G14" s="16" t="n">
        <f aca="false">F14/F$4-1</f>
        <v>-0.00950775297643314</v>
      </c>
      <c r="H14" s="21" t="n">
        <f aca="false">F367</f>
        <v>18.3111797717005</v>
      </c>
      <c r="I14" s="21" t="n">
        <f aca="false">F364</f>
        <v>7.50037977170046</v>
      </c>
      <c r="J14" s="16" t="n">
        <f aca="false">F377</f>
        <v>0.616817119506637</v>
      </c>
      <c r="K14" s="19" t="n">
        <f aca="false">F386</f>
        <v>5.92892683385209</v>
      </c>
      <c r="L14" s="16" t="n">
        <f aca="false">K14/K$4-1</f>
        <v>-0.00998267134308295</v>
      </c>
    </row>
    <row r="15" customFormat="false" ht="17.15" hidden="false" customHeight="false" outlineLevel="0" collapsed="false">
      <c r="A15" s="5" t="s">
        <v>723</v>
      </c>
      <c r="B15" s="5" t="s">
        <v>724</v>
      </c>
      <c r="C15" s="21" t="n">
        <f aca="false">E402</f>
        <v>16.7650763544827</v>
      </c>
      <c r="D15" s="21" t="n">
        <f aca="false">E399</f>
        <v>6.75507635448269</v>
      </c>
      <c r="E15" s="16" t="n">
        <f aca="false">E412</f>
        <v>0.622491138163297</v>
      </c>
      <c r="F15" s="19" t="n">
        <f aca="false">E421</f>
        <v>5.25757249500382</v>
      </c>
      <c r="G15" s="16" t="n">
        <f aca="false">F15/F$4-1</f>
        <v>-0.0379861283235757</v>
      </c>
      <c r="H15" s="21" t="n">
        <f aca="false">F402</f>
        <v>18.3111797717005</v>
      </c>
      <c r="I15" s="21" t="n">
        <f aca="false">F399</f>
        <v>7.50037977170046</v>
      </c>
      <c r="J15" s="16" t="n">
        <f aca="false">F412</f>
        <v>0.622090271703982</v>
      </c>
      <c r="K15" s="19" t="n">
        <f aca="false">F421</f>
        <v>5.76196409511463</v>
      </c>
      <c r="L15" s="16" t="n">
        <f aca="false">K15/K$4-1</f>
        <v>-0.0378622538075381</v>
      </c>
    </row>
    <row r="16" customFormat="false" ht="17.15" hidden="false" customHeight="false" outlineLevel="0" collapsed="false">
      <c r="A16" s="5" t="s">
        <v>725</v>
      </c>
      <c r="B16" s="0" t="s">
        <v>726</v>
      </c>
      <c r="C16" s="21" t="n">
        <f aca="false">PL!E107</f>
        <v>16.7650763544827</v>
      </c>
      <c r="D16" s="21" t="n">
        <f aca="false">PL!E104</f>
        <v>6.75507635448269</v>
      </c>
      <c r="E16" s="16" t="n">
        <f aca="false">PL!E117</f>
        <v>0.622491138163297</v>
      </c>
      <c r="F16" s="19" t="n">
        <f aca="false">PL!E126</f>
        <v>5.46517326807551</v>
      </c>
      <c r="G16" s="16" t="n">
        <f aca="false">F16/F$4-1</f>
        <v>0</v>
      </c>
      <c r="H16" s="21" t="n">
        <f aca="false">PL!F107</f>
        <v>16.8111038173604</v>
      </c>
      <c r="I16" s="21" t="n">
        <f aca="false">PL!F104</f>
        <v>6.00030381736037</v>
      </c>
      <c r="J16" s="16" t="n">
        <f aca="false">PL!F117</f>
        <v>0.625251164570377</v>
      </c>
      <c r="K16" s="19" t="n">
        <f aca="false">PL!F126</f>
        <v>5.50962208143792</v>
      </c>
      <c r="L16" s="16" t="n">
        <f aca="false">K16/K$4-1</f>
        <v>-0.0799985414172498</v>
      </c>
    </row>
    <row r="17" customFormat="false" ht="17.15" hidden="false" customHeight="false" outlineLevel="0" collapsed="false">
      <c r="A17" s="5" t="s">
        <v>727</v>
      </c>
      <c r="B17" s="0" t="s">
        <v>728</v>
      </c>
      <c r="C17" s="21" t="n">
        <f aca="false">PL!E142</f>
        <v>16.7650763544827</v>
      </c>
      <c r="D17" s="21" t="n">
        <f aca="false">PL!E139</f>
        <v>6.75507635448269</v>
      </c>
      <c r="E17" s="16" t="n">
        <f aca="false">PL!E152</f>
        <v>0.622491138163297</v>
      </c>
      <c r="F17" s="19" t="n">
        <f aca="false">PL!E161</f>
        <v>5.46517326807551</v>
      </c>
      <c r="G17" s="16" t="n">
        <f aca="false">F17/F$4-1</f>
        <v>0</v>
      </c>
      <c r="H17" s="21" t="n">
        <f aca="false">PL!F142</f>
        <v>15.3110278630203</v>
      </c>
      <c r="I17" s="21" t="n">
        <f aca="false">PL!F139</f>
        <v>4.50022786302028</v>
      </c>
      <c r="J17" s="16" t="n">
        <f aca="false">PL!F152</f>
        <v>0.629031425310117</v>
      </c>
      <c r="K17" s="19" t="n">
        <f aca="false">PL!F161</f>
        <v>4.96676417092454</v>
      </c>
      <c r="L17" s="16" t="n">
        <f aca="false">K17/K$4-1</f>
        <v>-0.170645424650509</v>
      </c>
    </row>
    <row r="19" customFormat="false" ht="17.15" hidden="false" customHeight="false" outlineLevel="0" collapsed="false">
      <c r="A19" s="5" t="s">
        <v>729</v>
      </c>
    </row>
    <row r="21" customFormat="false" ht="17.15" hidden="false" customHeight="false" outlineLevel="0" collapsed="false">
      <c r="A21" s="3" t="s">
        <v>730</v>
      </c>
    </row>
    <row r="22" customFormat="false" ht="15" hidden="false" customHeight="false" outlineLevel="0" collapsed="false">
      <c r="A22" s="6" t="s">
        <v>731</v>
      </c>
      <c r="B22" s="6" t="s">
        <v>732</v>
      </c>
      <c r="C22" s="6" t="s">
        <v>733</v>
      </c>
      <c r="D22" s="6" t="s">
        <v>734</v>
      </c>
      <c r="E22" s="6" t="s">
        <v>735</v>
      </c>
      <c r="F22" s="6" t="s">
        <v>736</v>
      </c>
      <c r="G22" s="6" t="s">
        <v>737</v>
      </c>
    </row>
    <row r="23" customFormat="false" ht="17.15" hidden="false" customHeight="false" outlineLevel="0" collapsed="false">
      <c r="A23" s="0" t="s">
        <v>738</v>
      </c>
      <c r="B23" s="5" t="s">
        <v>739</v>
      </c>
      <c r="C23" s="21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tp_comp_adj</f>
        <v>163.543420072283</v>
      </c>
      <c r="D23" s="16" t="n">
        <f aca="false">C23/G23-1</f>
        <v>0.0530560176534942</v>
      </c>
      <c r="E23" s="21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tp_comp_adj</f>
        <v>149.417071453813</v>
      </c>
      <c r="F23" s="16" t="n">
        <f aca="false">E23/G23-1</f>
        <v>-0.0379035355561475</v>
      </c>
      <c r="G23" s="21" t="n">
        <f aca="false">Val!$B$40</f>
        <v>155.303628041274</v>
      </c>
    </row>
    <row r="24" customFormat="false" ht="17.15" hidden="false" customHeight="false" outlineLevel="0" collapsed="false">
      <c r="A24" s="0" t="s">
        <v>740</v>
      </c>
      <c r="B24" s="5" t="s">
        <v>741</v>
      </c>
      <c r="C24" s="21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tp_comp_adj</f>
        <v>152.184752378453</v>
      </c>
      <c r="D24" s="16" t="n">
        <f aca="false">C24/G24-1</f>
        <v>-0.0200824391687209</v>
      </c>
      <c r="E24" s="21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tp_comp_adj</f>
        <v>159.844283104614</v>
      </c>
      <c r="F24" s="16" t="n">
        <f aca="false">E24/G24-1</f>
        <v>0.0292372761706121</v>
      </c>
      <c r="G24" s="21" t="n">
        <f aca="false">Val!$B$40</f>
        <v>155.303628041274</v>
      </c>
    </row>
    <row r="25" customFormat="false" ht="17.15" hidden="false" customHeight="false" outlineLevel="0" collapsed="false">
      <c r="A25" s="0" t="s">
        <v>742</v>
      </c>
      <c r="B25" s="0" t="s">
        <v>743</v>
      </c>
      <c r="C25" s="21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tp_comp_adj</f>
        <v>182.527120641236</v>
      </c>
      <c r="D25" s="16" t="n">
        <f aca="false">C25/G25-1</f>
        <v>0.175292058165746</v>
      </c>
      <c r="E25" s="21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tp_comp_adj</f>
        <v>128.080135441311</v>
      </c>
      <c r="F25" s="16" t="n">
        <f aca="false">E25/G25-1</f>
        <v>-0.175292058165746</v>
      </c>
      <c r="G25" s="21" t="n">
        <f aca="false">Val!$B$40</f>
        <v>155.303628041274</v>
      </c>
    </row>
    <row r="40" customFormat="false" ht="17.15" hidden="false" customHeight="false" outlineLevel="0" collapsed="false">
      <c r="A40" s="3" t="s">
        <v>744</v>
      </c>
    </row>
    <row r="41" customFormat="false" ht="17.15" hidden="false" customHeight="false" outlineLevel="0" collapsed="false">
      <c r="A41" s="6" t="s">
        <v>23</v>
      </c>
      <c r="B41" s="6" t="s">
        <v>24</v>
      </c>
      <c r="C41" s="13" t="s">
        <v>295</v>
      </c>
      <c r="D41" s="13" t="s">
        <v>363</v>
      </c>
      <c r="E41" s="13" t="s">
        <v>364</v>
      </c>
      <c r="F41" s="13" t="s">
        <v>365</v>
      </c>
      <c r="G41" s="13" t="s">
        <v>366</v>
      </c>
      <c r="H41" s="6" t="s">
        <v>283</v>
      </c>
    </row>
    <row r="42" customFormat="false" ht="17.15" hidden="false" customHeight="false" outlineLevel="0" collapsed="false">
      <c r="A42" s="1" t="s">
        <v>382</v>
      </c>
    </row>
    <row r="43" customFormat="false" ht="17.15" hidden="false" customHeight="false" outlineLevel="0" collapsed="false">
      <c r="A43" s="0" t="s">
        <v>383</v>
      </c>
      <c r="B43" s="0" t="s">
        <v>34</v>
      </c>
      <c r="D43" s="21" t="n">
        <f aca="false">mkt_26*1</f>
        <v>32.0719</v>
      </c>
      <c r="E43" s="21" t="n">
        <f aca="false">mkt_27*1*1</f>
        <v>61.085</v>
      </c>
      <c r="F43" s="21" t="n">
        <f aca="false">mkt_28*um28_A*1</f>
        <v>69.005</v>
      </c>
      <c r="G43" s="21" t="n">
        <f aca="false">mkt_29*um29_A*1</f>
        <v>78.48215</v>
      </c>
    </row>
    <row r="44" customFormat="false" ht="15" hidden="false" customHeight="false" outlineLevel="0" collapsed="false">
      <c r="A44" s="5" t="s">
        <v>348</v>
      </c>
      <c r="B44" s="0" t="s">
        <v>79</v>
      </c>
      <c r="D44" s="16" t="n">
        <f aca="false">eth_26</f>
        <v>0.75</v>
      </c>
      <c r="E44" s="16" t="n">
        <f aca="false">eth_27</f>
        <v>0.8</v>
      </c>
      <c r="F44" s="16" t="n">
        <f aca="false">eth_28</f>
        <v>0.83</v>
      </c>
      <c r="G44" s="16" t="n">
        <f aca="false">eth_29</f>
        <v>0.85</v>
      </c>
    </row>
    <row r="45" customFormat="false" ht="17.15" hidden="false" customHeight="false" outlineLevel="0" collapsed="false">
      <c r="A45" s="0" t="s">
        <v>350</v>
      </c>
      <c r="B45" s="0" t="s">
        <v>34</v>
      </c>
      <c r="D45" s="21" t="n">
        <f aca="false">D43*D44</f>
        <v>24.053925</v>
      </c>
      <c r="E45" s="21" t="n">
        <f aca="false">E43*E44</f>
        <v>48.868</v>
      </c>
      <c r="F45" s="21" t="n">
        <f aca="false">F43*F44</f>
        <v>57.27415</v>
      </c>
      <c r="G45" s="21" t="n">
        <f aca="false">G43*G44</f>
        <v>66.7098275</v>
      </c>
    </row>
    <row r="46" customFormat="false" ht="17.15" hidden="false" customHeight="false" outlineLevel="0" collapsed="false">
      <c r="A46" s="0" t="s">
        <v>384</v>
      </c>
      <c r="B46" s="0" t="s">
        <v>79</v>
      </c>
      <c r="D46" s="16" t="n">
        <f aca="false">a26_ai/D45</f>
        <v>0.14550639864388</v>
      </c>
      <c r="H46" s="8" t="s">
        <v>385</v>
      </c>
    </row>
    <row r="47" customFormat="false" ht="17.15" hidden="false" customHeight="false" outlineLevel="0" collapsed="false">
      <c r="A47" s="5" t="s">
        <v>386</v>
      </c>
      <c r="B47" s="0" t="s">
        <v>57</v>
      </c>
      <c r="D47" s="19" t="n">
        <f aca="false">1</f>
        <v>1</v>
      </c>
      <c r="E47" s="19" t="n">
        <f aca="false">RLO_27</f>
        <v>0.8</v>
      </c>
      <c r="F47" s="19" t="n">
        <f aca="false">RLO_28</f>
        <v>0.7</v>
      </c>
      <c r="G47" s="19" t="n">
        <f aca="false">RLO_29</f>
        <v>0.65</v>
      </c>
    </row>
    <row r="48" customFormat="false" ht="17.15" hidden="false" customHeight="false" outlineLevel="0" collapsed="false">
      <c r="A48" s="0" t="s">
        <v>387</v>
      </c>
      <c r="B48" s="0" t="s">
        <v>79</v>
      </c>
      <c r="D48" s="16" t="n">
        <f aca="false">$D$46*D47</f>
        <v>0.14550639864388</v>
      </c>
      <c r="E48" s="16" t="n">
        <f aca="false">$D$46*E47</f>
        <v>0.116405118915104</v>
      </c>
      <c r="F48" s="16" t="n">
        <f aca="false">$D$46*F47</f>
        <v>0.101854479050716</v>
      </c>
      <c r="G48" s="16" t="n">
        <f aca="false">$D$46*G47</f>
        <v>0.0945791591185222</v>
      </c>
    </row>
    <row r="49" customFormat="false" ht="17.15" hidden="false" customHeight="false" outlineLevel="0" collapsed="false">
      <c r="A49" s="0" t="s">
        <v>327</v>
      </c>
      <c r="B49" s="0" t="s">
        <v>34</v>
      </c>
      <c r="C49" s="21" t="n">
        <f aca="false">a25_ai</f>
        <v>1.63</v>
      </c>
      <c r="D49" s="21" t="n">
        <f aca="false">D45*D48</f>
        <v>3.5</v>
      </c>
      <c r="E49" s="21" t="n">
        <f aca="false">E45*E48</f>
        <v>5.68848535114332</v>
      </c>
      <c r="F49" s="21" t="n">
        <f aca="false">F45*F48</f>
        <v>5.83362871132258</v>
      </c>
      <c r="G49" s="21" t="n">
        <f aca="false">G45*G48</f>
        <v>6.30935938989167</v>
      </c>
    </row>
    <row r="50" customFormat="false" ht="17.15" hidden="false" customHeight="false" outlineLevel="0" collapsed="false">
      <c r="A50" s="1" t="s">
        <v>388</v>
      </c>
    </row>
    <row r="51" customFormat="false" ht="17.15" hidden="false" customHeight="false" outlineLevel="0" collapsed="false">
      <c r="A51" s="5" t="s">
        <v>389</v>
      </c>
      <c r="B51" s="0" t="s">
        <v>34</v>
      </c>
      <c r="C51" s="21" t="n">
        <f aca="false">a25_nai</f>
        <v>7.3757</v>
      </c>
      <c r="D51" s="21" t="n">
        <f aca="false">a26_nai</f>
        <v>9.1</v>
      </c>
      <c r="E51" s="21" t="n">
        <f aca="false">D51*(1+g_nai27)</f>
        <v>10.01</v>
      </c>
      <c r="F51" s="21" t="n">
        <f aca="false">E51*(1+g_nai28)</f>
        <v>10.8108</v>
      </c>
      <c r="G51" s="21" t="n">
        <f aca="false">F51*(1+g_nai29)</f>
        <v>11.459448</v>
      </c>
    </row>
    <row r="52" customFormat="false" ht="15" hidden="false" customHeight="false" outlineLevel="0" collapsed="false">
      <c r="A52" s="5" t="s">
        <v>302</v>
      </c>
      <c r="B52" s="0" t="s">
        <v>34</v>
      </c>
      <c r="C52" s="21" t="n">
        <f aca="false">a25_rev</f>
        <v>9.0057</v>
      </c>
      <c r="D52" s="21" t="n">
        <f aca="false">D49+D51</f>
        <v>12.6</v>
      </c>
      <c r="E52" s="21" t="n">
        <f aca="false">E49+E51</f>
        <v>15.6984853511433</v>
      </c>
      <c r="F52" s="21" t="n">
        <f aca="false">F49+F51</f>
        <v>16.6444287113226</v>
      </c>
      <c r="G52" s="21" t="n">
        <f aca="false">G49+G51</f>
        <v>17.7688073898917</v>
      </c>
    </row>
    <row r="53" customFormat="false" ht="17.15" hidden="false" customHeight="false" outlineLevel="0" collapsed="false">
      <c r="A53" s="5" t="s">
        <v>390</v>
      </c>
      <c r="B53" s="0" t="s">
        <v>34</v>
      </c>
      <c r="C53" s="21" t="n">
        <f aca="false">svc25</f>
        <v>1.4288</v>
      </c>
      <c r="D53" s="21" t="n">
        <f aca="false">C53*(1+g_svc26)</f>
        <v>1.743136</v>
      </c>
      <c r="E53" s="21" t="n">
        <f aca="false">D53*(1+g_svc27)</f>
        <v>2.0046064</v>
      </c>
      <c r="F53" s="21" t="n">
        <f aca="false">E53*(1+g_svc28)</f>
        <v>2.20506704</v>
      </c>
      <c r="G53" s="21" t="n">
        <f aca="false">F53*(1+g_svc29)</f>
        <v>2.3814724032</v>
      </c>
      <c r="H53" s="5" t="s">
        <v>391</v>
      </c>
    </row>
    <row r="54" customFormat="false" ht="17.15" hidden="false" customHeight="false" outlineLevel="0" collapsed="false">
      <c r="A54" s="5" t="s">
        <v>392</v>
      </c>
      <c r="B54" s="0" t="s">
        <v>34</v>
      </c>
      <c r="C54" s="21" t="n">
        <f aca="false">C51-C53</f>
        <v>5.9469</v>
      </c>
      <c r="D54" s="21" t="n">
        <f aca="false">D51-D53</f>
        <v>7.356864</v>
      </c>
      <c r="E54" s="21" t="n">
        <f aca="false">E51-E53</f>
        <v>8.0053936</v>
      </c>
      <c r="F54" s="21" t="n">
        <f aca="false">F51-F53</f>
        <v>8.60573296</v>
      </c>
      <c r="G54" s="21" t="n">
        <f aca="false">G51-G53</f>
        <v>9.0779755968</v>
      </c>
    </row>
    <row r="55" customFormat="false" ht="17.15" hidden="false" customHeight="false" outlineLevel="0" collapsed="false">
      <c r="A55" s="5" t="s">
        <v>393</v>
      </c>
      <c r="B55" s="0" t="s">
        <v>34</v>
      </c>
      <c r="C55" s="21" t="n">
        <f aca="false">C49+C54</f>
        <v>7.5769</v>
      </c>
      <c r="D55" s="21" t="n">
        <f aca="false">D49+D54</f>
        <v>10.856864</v>
      </c>
      <c r="E55" s="21" t="n">
        <f aca="false">E49+E54</f>
        <v>13.6938789511433</v>
      </c>
      <c r="F55" s="21" t="n">
        <f aca="false">F49+F54</f>
        <v>14.4393616713226</v>
      </c>
      <c r="G55" s="21" t="n">
        <f aca="false">G49+G54</f>
        <v>15.3873349866917</v>
      </c>
      <c r="H55" s="5" t="s">
        <v>394</v>
      </c>
    </row>
    <row r="56" customFormat="false" ht="15" hidden="false" customHeight="false" outlineLevel="0" collapsed="false">
      <c r="A56" s="5" t="s">
        <v>395</v>
      </c>
      <c r="B56" s="0" t="s">
        <v>34</v>
      </c>
      <c r="C56" s="17" t="n">
        <f aca="false">C55+C53-C52</f>
        <v>0</v>
      </c>
      <c r="D56" s="17" t="n">
        <f aca="false">D55+D53-D52</f>
        <v>0</v>
      </c>
      <c r="E56" s="17" t="n">
        <f aca="false">E55+E53-E52</f>
        <v>0</v>
      </c>
      <c r="F56" s="17" t="n">
        <f aca="false">F55+F53-F52</f>
        <v>0</v>
      </c>
      <c r="G56" s="17" t="n">
        <f aca="false">G55+G53-G52</f>
        <v>0</v>
      </c>
    </row>
    <row r="57" customFormat="false" ht="15" hidden="false" customHeight="false" outlineLevel="0" collapsed="false">
      <c r="A57" s="5" t="s">
        <v>396</v>
      </c>
      <c r="B57" s="0" t="s">
        <v>79</v>
      </c>
      <c r="D57" s="16" t="n">
        <f aca="false">D52/C52-1</f>
        <v>0.399113894533462</v>
      </c>
      <c r="E57" s="16" t="n">
        <f aca="false">E52/D52-1</f>
        <v>0.245911535805025</v>
      </c>
      <c r="F57" s="16" t="n">
        <f aca="false">F52/E52-1</f>
        <v>0.0602569826974022</v>
      </c>
      <c r="G57" s="16" t="n">
        <f aca="false">G52/F52-1</f>
        <v>0.0675528549564588</v>
      </c>
    </row>
    <row r="58" customFormat="false" ht="17.15" hidden="false" customHeight="false" outlineLevel="0" collapsed="false">
      <c r="A58" s="0" t="s">
        <v>332</v>
      </c>
      <c r="B58" s="0" t="s">
        <v>79</v>
      </c>
      <c r="C58" s="16" t="n">
        <f aca="false">C49/C52</f>
        <v>0.180996480007107</v>
      </c>
      <c r="D58" s="16" t="n">
        <f aca="false">D49/D52</f>
        <v>0.277777777777778</v>
      </c>
      <c r="E58" s="16" t="n">
        <f aca="false">E49/E52</f>
        <v>0.362358866088251</v>
      </c>
      <c r="F58" s="16" t="n">
        <f aca="false">F49/F52</f>
        <v>0.350485367356236</v>
      </c>
      <c r="G58" s="16" t="n">
        <f aca="false">G49/G52</f>
        <v>0.355080633801059</v>
      </c>
    </row>
    <row r="59" customFormat="false" ht="17.15" hidden="false" customHeight="false" outlineLevel="0" collapsed="false">
      <c r="A59" s="1" t="s">
        <v>397</v>
      </c>
    </row>
    <row r="60" customFormat="false" ht="17.15" hidden="false" customHeight="false" outlineLevel="0" collapsed="false">
      <c r="A60" s="5" t="s">
        <v>398</v>
      </c>
      <c r="B60" s="0" t="s">
        <v>79</v>
      </c>
      <c r="D60" s="16" t="n">
        <f aca="false">a26_gp/a26_rev+d_ai*D58</f>
        <v>0.646666666666667</v>
      </c>
      <c r="H60" s="8" t="s">
        <v>399</v>
      </c>
    </row>
    <row r="61" customFormat="false" ht="15" hidden="false" customHeight="false" outlineLevel="0" collapsed="false">
      <c r="A61" s="5" t="s">
        <v>400</v>
      </c>
      <c r="B61" s="0" t="s">
        <v>34</v>
      </c>
      <c r="C61" s="21" t="n">
        <f aca="false">a25_gp</f>
        <v>5.8154</v>
      </c>
      <c r="D61" s="21" t="n">
        <f aca="false">a26_gp</f>
        <v>7.938</v>
      </c>
      <c r="E61" s="21" t="n">
        <f aca="false">$D$60*E51+($D$60-d_ai)*E49</f>
        <v>9.81037807267075</v>
      </c>
      <c r="F61" s="21" t="n">
        <f aca="false">$D$60*F51+($D$60-d_ai)*F49</f>
        <v>10.4133795106426</v>
      </c>
      <c r="G61" s="21" t="n">
        <f aca="false">$D$60*G51+($D$60-d_ai)*G49</f>
        <v>11.1119338820698</v>
      </c>
    </row>
    <row r="62" customFormat="false" ht="15" hidden="false" customHeight="false" outlineLevel="0" collapsed="false">
      <c r="A62" s="5" t="s">
        <v>308</v>
      </c>
      <c r="B62" s="0" t="s">
        <v>79</v>
      </c>
      <c r="C62" s="16" t="n">
        <f aca="false">C61/C52</f>
        <v>0.645746582719833</v>
      </c>
      <c r="D62" s="16" t="n">
        <f aca="false">D61/D52</f>
        <v>0.63</v>
      </c>
      <c r="E62" s="16" t="n">
        <f aca="false">E61/E52</f>
        <v>0.624925134701372</v>
      </c>
      <c r="F62" s="16" t="n">
        <f aca="false">F61/F52</f>
        <v>0.625637544625293</v>
      </c>
      <c r="G62" s="16" t="n">
        <f aca="false">G61/G52</f>
        <v>0.625361828638603</v>
      </c>
    </row>
    <row r="63" customFormat="false" ht="15" hidden="false" customHeight="false" outlineLevel="0" collapsed="false">
      <c r="A63" s="5" t="s">
        <v>401</v>
      </c>
      <c r="B63" s="0" t="s">
        <v>34</v>
      </c>
      <c r="C63" s="21" t="n">
        <f aca="false">a25_opx</f>
        <v>1.4784</v>
      </c>
      <c r="D63" s="21" t="n">
        <f aca="false">a26_opx</f>
        <v>1.827</v>
      </c>
      <c r="E63" s="21" t="n">
        <f aca="false">D63*(1+MAX(0,phi*E57))</f>
        <v>2.07410420675368</v>
      </c>
      <c r="F63" s="21" t="n">
        <f aca="false">E63*(1+MAX(0,phi*F57))</f>
        <v>2.14284280046811</v>
      </c>
      <c r="G63" s="21" t="n">
        <f aca="false">F63*(1+MAX(0,phi*G57))</f>
        <v>2.22245813236009</v>
      </c>
    </row>
    <row r="64" customFormat="false" ht="15" hidden="false" customHeight="false" outlineLevel="0" collapsed="false">
      <c r="A64" s="5" t="s">
        <v>402</v>
      </c>
      <c r="B64" s="0" t="s">
        <v>34</v>
      </c>
      <c r="C64" s="21" t="n">
        <f aca="false">C63</f>
        <v>1.4784</v>
      </c>
      <c r="D64" s="21" t="n">
        <f aca="false">D63</f>
        <v>1.827</v>
      </c>
      <c r="E64" s="21" t="n">
        <f aca="false">E63+0*E52</f>
        <v>2.07410420675368</v>
      </c>
      <c r="F64" s="21" t="n">
        <f aca="false">F63+0*F52</f>
        <v>2.14284280046811</v>
      </c>
      <c r="G64" s="21" t="n">
        <f aca="false">G63+0*G52</f>
        <v>2.22245813236009</v>
      </c>
    </row>
    <row r="65" customFormat="false" ht="15" hidden="false" customHeight="false" outlineLevel="0" collapsed="false">
      <c r="A65" s="5" t="s">
        <v>403</v>
      </c>
      <c r="B65" s="0" t="s">
        <v>34</v>
      </c>
      <c r="C65" s="21" t="n">
        <f aca="false">C61-C64</f>
        <v>4.337</v>
      </c>
      <c r="D65" s="21" t="n">
        <f aca="false">D61-D64</f>
        <v>6.111</v>
      </c>
      <c r="E65" s="21" t="n">
        <f aca="false">E61-E64</f>
        <v>7.73627386591707</v>
      </c>
      <c r="F65" s="21" t="n">
        <f aca="false">F61-F64</f>
        <v>8.27053671017447</v>
      </c>
      <c r="G65" s="21" t="n">
        <f aca="false">G61-G64</f>
        <v>8.88947574970969</v>
      </c>
    </row>
    <row r="66" customFormat="false" ht="15" hidden="false" customHeight="false" outlineLevel="0" collapsed="false">
      <c r="A66" s="5" t="s">
        <v>313</v>
      </c>
      <c r="B66" s="0" t="s">
        <v>79</v>
      </c>
      <c r="C66" s="16" t="n">
        <f aca="false">C65/C52</f>
        <v>0.48158388576124</v>
      </c>
      <c r="D66" s="16" t="n">
        <f aca="false">D65/D52</f>
        <v>0.485</v>
      </c>
      <c r="E66" s="16" t="n">
        <f aca="false">E65/E52</f>
        <v>0.492803840171347</v>
      </c>
      <c r="F66" s="16" t="n">
        <f aca="false">F65/F52</f>
        <v>0.496895198604704</v>
      </c>
      <c r="G66" s="16" t="n">
        <f aca="false">G65/G52</f>
        <v>0.500285447112604</v>
      </c>
    </row>
    <row r="67" customFormat="false" ht="15" hidden="false" customHeight="false" outlineLevel="0" collapsed="false">
      <c r="A67" s="5" t="s">
        <v>404</v>
      </c>
      <c r="B67" s="0" t="s">
        <v>34</v>
      </c>
      <c r="C67" s="21" t="n">
        <f aca="false">a25_oth</f>
        <v>0.3936</v>
      </c>
      <c r="D67" s="21" t="n">
        <f aca="false">a26_oth</f>
        <v>0.4999</v>
      </c>
      <c r="E67" s="21" t="n">
        <f aca="false">oth_f</f>
        <v>0.55</v>
      </c>
      <c r="F67" s="21" t="n">
        <f aca="false">oth_f</f>
        <v>0.55</v>
      </c>
      <c r="G67" s="21" t="n">
        <f aca="false">oth_f</f>
        <v>0.55</v>
      </c>
    </row>
    <row r="68" customFormat="false" ht="15" hidden="false" customHeight="false" outlineLevel="0" collapsed="false">
      <c r="A68" s="5" t="s">
        <v>405</v>
      </c>
      <c r="B68" s="0" t="s">
        <v>79</v>
      </c>
      <c r="C68" s="16" t="n">
        <f aca="false">1-a25_ni/(a25_oi+a25_oth)</f>
        <v>0.195450894178328</v>
      </c>
      <c r="D68" s="16" t="n">
        <f aca="false">1-a26_ni/(a26_oi+a26_oth)</f>
        <v>0.209652694791935</v>
      </c>
      <c r="E68" s="16" t="n">
        <f aca="false">tx_f</f>
        <v>0.21</v>
      </c>
      <c r="F68" s="16" t="n">
        <f aca="false">tx_f</f>
        <v>0.21</v>
      </c>
      <c r="G68" s="16" t="n">
        <f aca="false">tx_f</f>
        <v>0.21</v>
      </c>
    </row>
    <row r="69" customFormat="false" ht="17.15" hidden="false" customHeight="false" outlineLevel="0" collapsed="false">
      <c r="A69" s="5" t="s">
        <v>372</v>
      </c>
      <c r="B69" s="0" t="s">
        <v>34</v>
      </c>
      <c r="C69" s="21" t="n">
        <f aca="false">a25_ni</f>
        <v>3.806</v>
      </c>
      <c r="D69" s="21" t="n">
        <f aca="false">a26_ni</f>
        <v>5.224907</v>
      </c>
      <c r="E69" s="21" t="n">
        <f aca="false">(E65+E67)*(1-E68)</f>
        <v>6.54615635407449</v>
      </c>
      <c r="F69" s="21" t="n">
        <f aca="false">(F65+F67)*(1-F68)</f>
        <v>6.96822400103783</v>
      </c>
      <c r="G69" s="21" t="n">
        <f aca="false">(G65+G67)*(1-G68)</f>
        <v>7.45718584227066</v>
      </c>
    </row>
    <row r="70" customFormat="false" ht="15" hidden="false" customHeight="false" outlineLevel="0" collapsed="false">
      <c r="A70" s="5" t="s">
        <v>406</v>
      </c>
      <c r="B70" s="5" t="s">
        <v>167</v>
      </c>
      <c r="C70" s="17" t="n">
        <f aca="false">a25_sh</f>
        <v>1.2757</v>
      </c>
      <c r="D70" s="17" t="n">
        <f aca="false">a26_sh</f>
        <v>1.27595</v>
      </c>
      <c r="E70" s="17" t="n">
        <f aca="false">D70*(1+sh_g)</f>
        <v>1.27595</v>
      </c>
      <c r="F70" s="17" t="n">
        <f aca="false">E70*(1+sh_g)</f>
        <v>1.27595</v>
      </c>
      <c r="G70" s="17" t="n">
        <f aca="false">F70*(1+sh_g)</f>
        <v>1.27595</v>
      </c>
    </row>
    <row r="71" customFormat="false" ht="17.15" hidden="false" customHeight="false" outlineLevel="0" collapsed="false">
      <c r="A71" s="0" t="s">
        <v>373</v>
      </c>
      <c r="B71" s="0" t="s">
        <v>202</v>
      </c>
      <c r="C71" s="21" t="n">
        <f aca="false">C69/C70</f>
        <v>2.9834600611429</v>
      </c>
      <c r="D71" s="21" t="n">
        <f aca="false">D69/D70</f>
        <v>4.0949151612524</v>
      </c>
      <c r="E71" s="21" t="n">
        <f aca="false">E69/E70</f>
        <v>5.13041761360123</v>
      </c>
      <c r="F71" s="21" t="n">
        <f aca="false">F69/F70</f>
        <v>5.46120459346983</v>
      </c>
      <c r="G71" s="21" t="n">
        <f aca="false">G69/G70</f>
        <v>5.84441854482594</v>
      </c>
    </row>
    <row r="72" customFormat="false" ht="17.15" hidden="false" customHeight="false" outlineLevel="0" collapsed="false">
      <c r="A72" s="0" t="s">
        <v>407</v>
      </c>
      <c r="B72" s="0" t="s">
        <v>79</v>
      </c>
      <c r="D72" s="16" t="n">
        <f aca="false">D71/C71-1</f>
        <v>0.372538957227979</v>
      </c>
      <c r="E72" s="16" t="n">
        <f aca="false">E71/D71-1</f>
        <v>0.25287519071143</v>
      </c>
      <c r="F72" s="16" t="n">
        <f aca="false">F71/E71-1</f>
        <v>0.0644756440473109</v>
      </c>
      <c r="G72" s="16" t="n">
        <f aca="false">G71/F71-1</f>
        <v>0.0701702243154061</v>
      </c>
    </row>
    <row r="75" customFormat="false" ht="17.15" hidden="false" customHeight="false" outlineLevel="0" collapsed="false">
      <c r="A75" s="3" t="s">
        <v>745</v>
      </c>
    </row>
    <row r="76" customFormat="false" ht="17.15" hidden="false" customHeight="false" outlineLevel="0" collapsed="false">
      <c r="A76" s="6" t="s">
        <v>23</v>
      </c>
      <c r="B76" s="6" t="s">
        <v>24</v>
      </c>
      <c r="C76" s="13" t="s">
        <v>295</v>
      </c>
      <c r="D76" s="13" t="s">
        <v>363</v>
      </c>
      <c r="E76" s="13" t="s">
        <v>364</v>
      </c>
      <c r="F76" s="13" t="s">
        <v>365</v>
      </c>
      <c r="G76" s="13" t="s">
        <v>366</v>
      </c>
      <c r="H76" s="6" t="s">
        <v>283</v>
      </c>
    </row>
    <row r="77" customFormat="false" ht="17.15" hidden="false" customHeight="false" outlineLevel="0" collapsed="false">
      <c r="A77" s="1" t="s">
        <v>382</v>
      </c>
    </row>
    <row r="78" customFormat="false" ht="17.15" hidden="false" customHeight="false" outlineLevel="0" collapsed="false">
      <c r="A78" s="0" t="s">
        <v>383</v>
      </c>
      <c r="B78" s="0" t="s">
        <v>34</v>
      </c>
      <c r="D78" s="21" t="n">
        <f aca="false">mkt_26*1</f>
        <v>32.0719</v>
      </c>
      <c r="E78" s="21" t="n">
        <f aca="false">mkt_27*1*1</f>
        <v>61.085</v>
      </c>
      <c r="F78" s="21" t="n">
        <f aca="false">mkt_28*um28_A*1</f>
        <v>69.005</v>
      </c>
      <c r="G78" s="21" t="n">
        <f aca="false">mkt_29*um29_A*1</f>
        <v>78.48215</v>
      </c>
    </row>
    <row r="79" customFormat="false" ht="15" hidden="false" customHeight="false" outlineLevel="0" collapsed="false">
      <c r="A79" s="5" t="s">
        <v>348</v>
      </c>
      <c r="B79" s="0" t="s">
        <v>79</v>
      </c>
      <c r="D79" s="16" t="n">
        <f aca="false">eth_26</f>
        <v>0.75</v>
      </c>
      <c r="E79" s="16" t="n">
        <f aca="false">eth_27</f>
        <v>0.8</v>
      </c>
      <c r="F79" s="16" t="n">
        <f aca="false">eth_28</f>
        <v>0.83</v>
      </c>
      <c r="G79" s="16" t="n">
        <f aca="false">eth_29</f>
        <v>0.85</v>
      </c>
    </row>
    <row r="80" customFormat="false" ht="17.15" hidden="false" customHeight="false" outlineLevel="0" collapsed="false">
      <c r="A80" s="0" t="s">
        <v>350</v>
      </c>
      <c r="B80" s="0" t="s">
        <v>34</v>
      </c>
      <c r="D80" s="21" t="n">
        <f aca="false">D78*D79</f>
        <v>24.053925</v>
      </c>
      <c r="E80" s="21" t="n">
        <f aca="false">E78*E79</f>
        <v>48.868</v>
      </c>
      <c r="F80" s="21" t="n">
        <f aca="false">F78*F79</f>
        <v>57.27415</v>
      </c>
      <c r="G80" s="21" t="n">
        <f aca="false">G78*G79</f>
        <v>66.7098275</v>
      </c>
    </row>
    <row r="81" customFormat="false" ht="17.15" hidden="false" customHeight="false" outlineLevel="0" collapsed="false">
      <c r="A81" s="0" t="s">
        <v>384</v>
      </c>
      <c r="B81" s="0" t="s">
        <v>79</v>
      </c>
      <c r="D81" s="16" t="n">
        <f aca="false">a26_ai/D80</f>
        <v>0.14550639864388</v>
      </c>
      <c r="H81" s="8" t="s">
        <v>385</v>
      </c>
    </row>
    <row r="82" customFormat="false" ht="17.15" hidden="false" customHeight="false" outlineLevel="0" collapsed="false">
      <c r="A82" s="5" t="s">
        <v>386</v>
      </c>
      <c r="B82" s="0" t="s">
        <v>57</v>
      </c>
      <c r="D82" s="19" t="n">
        <f aca="false">1</f>
        <v>1</v>
      </c>
      <c r="E82" s="19" t="n">
        <f aca="false">RHI_27</f>
        <v>1.05</v>
      </c>
      <c r="F82" s="19" t="n">
        <f aca="false">RHI_28</f>
        <v>1.05</v>
      </c>
      <c r="G82" s="19" t="n">
        <f aca="false">RHI_29</f>
        <v>1.05</v>
      </c>
    </row>
    <row r="83" customFormat="false" ht="17.15" hidden="false" customHeight="false" outlineLevel="0" collapsed="false">
      <c r="A83" s="0" t="s">
        <v>387</v>
      </c>
      <c r="B83" s="0" t="s">
        <v>79</v>
      </c>
      <c r="D83" s="16" t="n">
        <f aca="false">$D$81*D82</f>
        <v>0.14550639864388</v>
      </c>
      <c r="E83" s="16" t="n">
        <f aca="false">$D$81*E82</f>
        <v>0.152781718576074</v>
      </c>
      <c r="F83" s="16" t="n">
        <f aca="false">$D$81*F82</f>
        <v>0.152781718576074</v>
      </c>
      <c r="G83" s="16" t="n">
        <f aca="false">$D$81*G82</f>
        <v>0.152781718576074</v>
      </c>
    </row>
    <row r="84" customFormat="false" ht="17.15" hidden="false" customHeight="false" outlineLevel="0" collapsed="false">
      <c r="A84" s="0" t="s">
        <v>327</v>
      </c>
      <c r="B84" s="0" t="s">
        <v>34</v>
      </c>
      <c r="C84" s="21" t="n">
        <f aca="false">a25_ai</f>
        <v>1.63</v>
      </c>
      <c r="D84" s="21" t="n">
        <f aca="false">D80*D83</f>
        <v>3.5</v>
      </c>
      <c r="E84" s="21" t="n">
        <f aca="false">E80*E83</f>
        <v>7.4661370233756</v>
      </c>
      <c r="F84" s="21" t="n">
        <f aca="false">F80*F83</f>
        <v>8.75044306698387</v>
      </c>
      <c r="G84" s="21" t="n">
        <f aca="false">G80*G83</f>
        <v>10.1920420913635</v>
      </c>
    </row>
    <row r="85" customFormat="false" ht="17.15" hidden="false" customHeight="false" outlineLevel="0" collapsed="false">
      <c r="A85" s="1" t="s">
        <v>388</v>
      </c>
    </row>
    <row r="86" customFormat="false" ht="17.15" hidden="false" customHeight="false" outlineLevel="0" collapsed="false">
      <c r="A86" s="5" t="s">
        <v>389</v>
      </c>
      <c r="B86" s="0" t="s">
        <v>34</v>
      </c>
      <c r="C86" s="21" t="n">
        <f aca="false">a25_nai</f>
        <v>7.3757</v>
      </c>
      <c r="D86" s="21" t="n">
        <f aca="false">a26_nai</f>
        <v>9.1</v>
      </c>
      <c r="E86" s="21" t="n">
        <f aca="false">D86*(1+g_nai27)</f>
        <v>10.01</v>
      </c>
      <c r="F86" s="21" t="n">
        <f aca="false">E86*(1+g_nai28)</f>
        <v>10.8108</v>
      </c>
      <c r="G86" s="21" t="n">
        <f aca="false">F86*(1+g_nai29)</f>
        <v>11.459448</v>
      </c>
    </row>
    <row r="87" customFormat="false" ht="15" hidden="false" customHeight="false" outlineLevel="0" collapsed="false">
      <c r="A87" s="5" t="s">
        <v>302</v>
      </c>
      <c r="B87" s="0" t="s">
        <v>34</v>
      </c>
      <c r="C87" s="21" t="n">
        <f aca="false">a25_rev</f>
        <v>9.0057</v>
      </c>
      <c r="D87" s="21" t="n">
        <f aca="false">D84+D86</f>
        <v>12.6</v>
      </c>
      <c r="E87" s="21" t="n">
        <f aca="false">E84+E86</f>
        <v>17.4761370233756</v>
      </c>
      <c r="F87" s="21" t="n">
        <f aca="false">F84+F86</f>
        <v>19.5612430669839</v>
      </c>
      <c r="G87" s="21" t="n">
        <f aca="false">G84+G86</f>
        <v>21.6514900913635</v>
      </c>
    </row>
    <row r="88" customFormat="false" ht="17.15" hidden="false" customHeight="false" outlineLevel="0" collapsed="false">
      <c r="A88" s="5" t="s">
        <v>390</v>
      </c>
      <c r="B88" s="0" t="s">
        <v>34</v>
      </c>
      <c r="C88" s="21" t="n">
        <f aca="false">svc25</f>
        <v>1.4288</v>
      </c>
      <c r="D88" s="21" t="n">
        <f aca="false">C88*(1+g_svc26)</f>
        <v>1.743136</v>
      </c>
      <c r="E88" s="21" t="n">
        <f aca="false">D88*(1+g_svc27)</f>
        <v>2.0046064</v>
      </c>
      <c r="F88" s="21" t="n">
        <f aca="false">E88*(1+g_svc28)</f>
        <v>2.20506704</v>
      </c>
      <c r="G88" s="21" t="n">
        <f aca="false">F88*(1+g_svc29)</f>
        <v>2.3814724032</v>
      </c>
      <c r="H88" s="5" t="s">
        <v>391</v>
      </c>
    </row>
    <row r="89" customFormat="false" ht="17.15" hidden="false" customHeight="false" outlineLevel="0" collapsed="false">
      <c r="A89" s="5" t="s">
        <v>392</v>
      </c>
      <c r="B89" s="0" t="s">
        <v>34</v>
      </c>
      <c r="C89" s="21" t="n">
        <f aca="false">C86-C88</f>
        <v>5.9469</v>
      </c>
      <c r="D89" s="21" t="n">
        <f aca="false">D86-D88</f>
        <v>7.356864</v>
      </c>
      <c r="E89" s="21" t="n">
        <f aca="false">E86-E88</f>
        <v>8.0053936</v>
      </c>
      <c r="F89" s="21" t="n">
        <f aca="false">F86-F88</f>
        <v>8.60573296</v>
      </c>
      <c r="G89" s="21" t="n">
        <f aca="false">G86-G88</f>
        <v>9.0779755968</v>
      </c>
    </row>
    <row r="90" customFormat="false" ht="17.15" hidden="false" customHeight="false" outlineLevel="0" collapsed="false">
      <c r="A90" s="5" t="s">
        <v>393</v>
      </c>
      <c r="B90" s="0" t="s">
        <v>34</v>
      </c>
      <c r="C90" s="21" t="n">
        <f aca="false">C84+C89</f>
        <v>7.5769</v>
      </c>
      <c r="D90" s="21" t="n">
        <f aca="false">D84+D89</f>
        <v>10.856864</v>
      </c>
      <c r="E90" s="21" t="n">
        <f aca="false">E84+E89</f>
        <v>15.4715306233756</v>
      </c>
      <c r="F90" s="21" t="n">
        <f aca="false">F84+F89</f>
        <v>17.3561760269839</v>
      </c>
      <c r="G90" s="21" t="n">
        <f aca="false">G84+G89</f>
        <v>19.2700176881635</v>
      </c>
      <c r="H90" s="5" t="s">
        <v>394</v>
      </c>
    </row>
    <row r="91" customFormat="false" ht="15" hidden="false" customHeight="false" outlineLevel="0" collapsed="false">
      <c r="A91" s="5" t="s">
        <v>395</v>
      </c>
      <c r="B91" s="0" t="s">
        <v>34</v>
      </c>
      <c r="C91" s="17" t="n">
        <f aca="false">C90+C88-C87</f>
        <v>0</v>
      </c>
      <c r="D91" s="17" t="n">
        <f aca="false">D90+D88-D87</f>
        <v>0</v>
      </c>
      <c r="E91" s="17" t="n">
        <f aca="false">E90+E88-E87</f>
        <v>0</v>
      </c>
      <c r="F91" s="17" t="n">
        <f aca="false">F90+F88-F87</f>
        <v>0</v>
      </c>
      <c r="G91" s="17" t="n">
        <f aca="false">G90+G88-G87</f>
        <v>0</v>
      </c>
    </row>
    <row r="92" customFormat="false" ht="15" hidden="false" customHeight="false" outlineLevel="0" collapsed="false">
      <c r="A92" s="5" t="s">
        <v>396</v>
      </c>
      <c r="B92" s="0" t="s">
        <v>79</v>
      </c>
      <c r="D92" s="16" t="n">
        <f aca="false">D87/C87-1</f>
        <v>0.399113894533462</v>
      </c>
      <c r="E92" s="16" t="n">
        <f aca="false">E87/D87-1</f>
        <v>0.386995001855207</v>
      </c>
      <c r="F92" s="16" t="n">
        <f aca="false">F87/E87-1</f>
        <v>0.119311609929545</v>
      </c>
      <c r="G92" s="16" t="n">
        <f aca="false">G87/F87-1</f>
        <v>0.106856553912343</v>
      </c>
    </row>
    <row r="93" customFormat="false" ht="17.15" hidden="false" customHeight="false" outlineLevel="0" collapsed="false">
      <c r="A93" s="0" t="s">
        <v>332</v>
      </c>
      <c r="B93" s="0" t="s">
        <v>79</v>
      </c>
      <c r="C93" s="16" t="n">
        <f aca="false">C84/C87</f>
        <v>0.180996480007107</v>
      </c>
      <c r="D93" s="16" t="n">
        <f aca="false">D84/D87</f>
        <v>0.277777777777778</v>
      </c>
      <c r="E93" s="16" t="n">
        <f aca="false">E84/E87</f>
        <v>0.427218956534222</v>
      </c>
      <c r="F93" s="16" t="n">
        <f aca="false">F84/F87</f>
        <v>0.447335736129835</v>
      </c>
      <c r="G93" s="16" t="n">
        <f aca="false">G84/G87</f>
        <v>0.470731670123201</v>
      </c>
    </row>
    <row r="94" customFormat="false" ht="17.15" hidden="false" customHeight="false" outlineLevel="0" collapsed="false">
      <c r="A94" s="1" t="s">
        <v>397</v>
      </c>
    </row>
    <row r="95" customFormat="false" ht="17.15" hidden="false" customHeight="false" outlineLevel="0" collapsed="false">
      <c r="A95" s="5" t="s">
        <v>398</v>
      </c>
      <c r="B95" s="0" t="s">
        <v>79</v>
      </c>
      <c r="D95" s="16" t="n">
        <f aca="false">a26_gp/a26_rev+d_ai*D93</f>
        <v>0.646666666666667</v>
      </c>
      <c r="H95" s="8" t="s">
        <v>399</v>
      </c>
    </row>
    <row r="96" customFormat="false" ht="15" hidden="false" customHeight="false" outlineLevel="0" collapsed="false">
      <c r="A96" s="5" t="s">
        <v>400</v>
      </c>
      <c r="B96" s="0" t="s">
        <v>34</v>
      </c>
      <c r="C96" s="21" t="n">
        <f aca="false">a25_gp</f>
        <v>5.8154</v>
      </c>
      <c r="D96" s="21" t="n">
        <f aca="false">a26_gp</f>
        <v>7.938</v>
      </c>
      <c r="E96" s="21" t="n">
        <f aca="false">$D$95*E86+($D$95-d_ai)*E84</f>
        <v>10.8532670537137</v>
      </c>
      <c r="F96" s="21" t="n">
        <f aca="false">$D$95*F86+($D$95-d_ai)*F84</f>
        <v>12.1245772659639</v>
      </c>
      <c r="G96" s="21" t="n">
        <f aca="false">$D$95*G86+($D$95-d_ai)*G84</f>
        <v>13.3897744002666</v>
      </c>
    </row>
    <row r="97" customFormat="false" ht="15" hidden="false" customHeight="false" outlineLevel="0" collapsed="false">
      <c r="A97" s="5" t="s">
        <v>308</v>
      </c>
      <c r="B97" s="0" t="s">
        <v>79</v>
      </c>
      <c r="C97" s="16" t="n">
        <f aca="false">C96/C87</f>
        <v>0.645746582719833</v>
      </c>
      <c r="D97" s="16" t="n">
        <f aca="false">D96/D87</f>
        <v>0.63</v>
      </c>
      <c r="E97" s="16" t="n">
        <f aca="false">E96/E87</f>
        <v>0.621033529274614</v>
      </c>
      <c r="F97" s="16" t="n">
        <f aca="false">F96/F87</f>
        <v>0.619826522498877</v>
      </c>
      <c r="G97" s="16" t="n">
        <f aca="false">G96/G87</f>
        <v>0.618422766459275</v>
      </c>
    </row>
    <row r="98" customFormat="false" ht="15" hidden="false" customHeight="false" outlineLevel="0" collapsed="false">
      <c r="A98" s="5" t="s">
        <v>401</v>
      </c>
      <c r="B98" s="0" t="s">
        <v>34</v>
      </c>
      <c r="C98" s="21" t="n">
        <f aca="false">a25_opx</f>
        <v>1.4784</v>
      </c>
      <c r="D98" s="21" t="n">
        <f aca="false">a26_opx</f>
        <v>1.827</v>
      </c>
      <c r="E98" s="21" t="n">
        <f aca="false">D98*(1+MAX(0,phi*E92))</f>
        <v>2.2158719276142</v>
      </c>
      <c r="F98" s="21" t="n">
        <f aca="false">E98*(1+MAX(0,phi*F92))</f>
        <v>2.36128051350894</v>
      </c>
      <c r="G98" s="21" t="n">
        <f aca="false">F98*(1+MAX(0,phi*G92))</f>
        <v>2.5000555776806</v>
      </c>
    </row>
    <row r="99" customFormat="false" ht="15" hidden="false" customHeight="false" outlineLevel="0" collapsed="false">
      <c r="A99" s="5" t="s">
        <v>402</v>
      </c>
      <c r="B99" s="0" t="s">
        <v>34</v>
      </c>
      <c r="C99" s="21" t="n">
        <f aca="false">C98</f>
        <v>1.4784</v>
      </c>
      <c r="D99" s="21" t="n">
        <f aca="false">D98</f>
        <v>1.827</v>
      </c>
      <c r="E99" s="21" t="n">
        <f aca="false">E98+0*E87</f>
        <v>2.2158719276142</v>
      </c>
      <c r="F99" s="21" t="n">
        <f aca="false">F98+0*F87</f>
        <v>2.36128051350894</v>
      </c>
      <c r="G99" s="21" t="n">
        <f aca="false">G98+0*G87</f>
        <v>2.5000555776806</v>
      </c>
    </row>
    <row r="100" customFormat="false" ht="15" hidden="false" customHeight="false" outlineLevel="0" collapsed="false">
      <c r="A100" s="5" t="s">
        <v>403</v>
      </c>
      <c r="B100" s="0" t="s">
        <v>34</v>
      </c>
      <c r="C100" s="21" t="n">
        <f aca="false">C96-C99</f>
        <v>4.337</v>
      </c>
      <c r="D100" s="21" t="n">
        <f aca="false">D96-D99</f>
        <v>6.111</v>
      </c>
      <c r="E100" s="21" t="n">
        <f aca="false">E96-E99</f>
        <v>8.63739512609949</v>
      </c>
      <c r="F100" s="21" t="n">
        <f aca="false">F96-F99</f>
        <v>9.76329675245494</v>
      </c>
      <c r="G100" s="21" t="n">
        <f aca="false">G96-G99</f>
        <v>10.889718822586</v>
      </c>
    </row>
    <row r="101" customFormat="false" ht="15" hidden="false" customHeight="false" outlineLevel="0" collapsed="false">
      <c r="A101" s="5" t="s">
        <v>313</v>
      </c>
      <c r="B101" s="0" t="s">
        <v>79</v>
      </c>
      <c r="C101" s="16" t="n">
        <f aca="false">C100/C87</f>
        <v>0.48158388576124</v>
      </c>
      <c r="D101" s="16" t="n">
        <f aca="false">D100/D87</f>
        <v>0.485</v>
      </c>
      <c r="E101" s="16" t="n">
        <f aca="false">E100/E87</f>
        <v>0.494239379935414</v>
      </c>
      <c r="F101" s="16" t="n">
        <f aca="false">F100/F87</f>
        <v>0.499114331283668</v>
      </c>
      <c r="G101" s="16" t="n">
        <f aca="false">G100/G87</f>
        <v>0.502954705502221</v>
      </c>
    </row>
    <row r="102" customFormat="false" ht="15" hidden="false" customHeight="false" outlineLevel="0" collapsed="false">
      <c r="A102" s="5" t="s">
        <v>404</v>
      </c>
      <c r="B102" s="0" t="s">
        <v>34</v>
      </c>
      <c r="C102" s="21" t="n">
        <f aca="false">a25_oth</f>
        <v>0.3936</v>
      </c>
      <c r="D102" s="21" t="n">
        <f aca="false">a26_oth</f>
        <v>0.4999</v>
      </c>
      <c r="E102" s="21" t="n">
        <f aca="false">oth_f</f>
        <v>0.55</v>
      </c>
      <c r="F102" s="21" t="n">
        <f aca="false">oth_f</f>
        <v>0.55</v>
      </c>
      <c r="G102" s="21" t="n">
        <f aca="false">oth_f</f>
        <v>0.55</v>
      </c>
    </row>
    <row r="103" customFormat="false" ht="15" hidden="false" customHeight="false" outlineLevel="0" collapsed="false">
      <c r="A103" s="5" t="s">
        <v>405</v>
      </c>
      <c r="B103" s="0" t="s">
        <v>79</v>
      </c>
      <c r="C103" s="16" t="n">
        <f aca="false">1-a25_ni/(a25_oi+a25_oth)</f>
        <v>0.195450894178328</v>
      </c>
      <c r="D103" s="16" t="n">
        <f aca="false">1-a26_ni/(a26_oi+a26_oth)</f>
        <v>0.209652694791935</v>
      </c>
      <c r="E103" s="16" t="n">
        <f aca="false">tx_f</f>
        <v>0.21</v>
      </c>
      <c r="F103" s="16" t="n">
        <f aca="false">tx_f</f>
        <v>0.21</v>
      </c>
      <c r="G103" s="16" t="n">
        <f aca="false">tx_f</f>
        <v>0.21</v>
      </c>
    </row>
    <row r="104" customFormat="false" ht="17.15" hidden="false" customHeight="false" outlineLevel="0" collapsed="false">
      <c r="A104" s="5" t="s">
        <v>372</v>
      </c>
      <c r="B104" s="0" t="s">
        <v>34</v>
      </c>
      <c r="C104" s="21" t="n">
        <f aca="false">a25_ni</f>
        <v>3.806</v>
      </c>
      <c r="D104" s="21" t="n">
        <f aca="false">a26_ni</f>
        <v>5.224907</v>
      </c>
      <c r="E104" s="21" t="n">
        <f aca="false">(E100+E102)*(1-E103)</f>
        <v>7.25804214961859</v>
      </c>
      <c r="F104" s="21" t="n">
        <f aca="false">(F100+F102)*(1-F103)</f>
        <v>8.1475044344394</v>
      </c>
      <c r="G104" s="21" t="n">
        <f aca="false">(G100+G102)*(1-G103)</f>
        <v>9.03737786984292</v>
      </c>
    </row>
    <row r="105" customFormat="false" ht="15" hidden="false" customHeight="false" outlineLevel="0" collapsed="false">
      <c r="A105" s="5" t="s">
        <v>406</v>
      </c>
      <c r="B105" s="5" t="s">
        <v>167</v>
      </c>
      <c r="C105" s="17" t="n">
        <f aca="false">a25_sh</f>
        <v>1.2757</v>
      </c>
      <c r="D105" s="17" t="n">
        <f aca="false">a26_sh</f>
        <v>1.27595</v>
      </c>
      <c r="E105" s="17" t="n">
        <f aca="false">D105*(1+sh_g)</f>
        <v>1.27595</v>
      </c>
      <c r="F105" s="17" t="n">
        <f aca="false">E105*(1+sh_g)</f>
        <v>1.27595</v>
      </c>
      <c r="G105" s="17" t="n">
        <f aca="false">F105*(1+sh_g)</f>
        <v>1.27595</v>
      </c>
    </row>
    <row r="106" customFormat="false" ht="17.15" hidden="false" customHeight="false" outlineLevel="0" collapsed="false">
      <c r="A106" s="0" t="s">
        <v>373</v>
      </c>
      <c r="B106" s="0" t="s">
        <v>202</v>
      </c>
      <c r="C106" s="21" t="n">
        <f aca="false">C104/C105</f>
        <v>2.9834600611429</v>
      </c>
      <c r="D106" s="21" t="n">
        <f aca="false">D104/D105</f>
        <v>4.0949151612524</v>
      </c>
      <c r="E106" s="21" t="n">
        <f aca="false">E104/E105</f>
        <v>5.6883437043917</v>
      </c>
      <c r="F106" s="21" t="n">
        <f aca="false">F104/F105</f>
        <v>6.38544177627603</v>
      </c>
      <c r="G106" s="21" t="n">
        <f aca="false">G104/G105</f>
        <v>7.08286207911197</v>
      </c>
    </row>
    <row r="107" customFormat="false" ht="17.15" hidden="false" customHeight="false" outlineLevel="0" collapsed="false">
      <c r="A107" s="0" t="s">
        <v>407</v>
      </c>
      <c r="B107" s="0" t="s">
        <v>79</v>
      </c>
      <c r="D107" s="16" t="n">
        <f aca="false">D106/C106-1</f>
        <v>0.372538957227979</v>
      </c>
      <c r="E107" s="16" t="n">
        <f aca="false">E106/D106-1</f>
        <v>0.389123701076133</v>
      </c>
      <c r="F107" s="16" t="n">
        <f aca="false">F106/E106-1</f>
        <v>0.122548514666252</v>
      </c>
      <c r="G107" s="16" t="n">
        <f aca="false">G106/F106-1</f>
        <v>0.109220368342733</v>
      </c>
    </row>
    <row r="110" customFormat="false" ht="17.15" hidden="false" customHeight="false" outlineLevel="0" collapsed="false">
      <c r="A110" s="3" t="s">
        <v>746</v>
      </c>
    </row>
    <row r="111" customFormat="false" ht="17.15" hidden="false" customHeight="false" outlineLevel="0" collapsed="false">
      <c r="A111" s="6" t="s">
        <v>23</v>
      </c>
      <c r="B111" s="6" t="s">
        <v>24</v>
      </c>
      <c r="C111" s="13" t="s">
        <v>295</v>
      </c>
      <c r="D111" s="13" t="s">
        <v>363</v>
      </c>
      <c r="E111" s="13" t="s">
        <v>364</v>
      </c>
      <c r="F111" s="13" t="s">
        <v>365</v>
      </c>
      <c r="G111" s="13" t="s">
        <v>366</v>
      </c>
      <c r="H111" s="6" t="s">
        <v>283</v>
      </c>
    </row>
    <row r="112" customFormat="false" ht="17.15" hidden="false" customHeight="false" outlineLevel="0" collapsed="false">
      <c r="A112" s="1" t="s">
        <v>382</v>
      </c>
    </row>
    <row r="113" customFormat="false" ht="17.15" hidden="false" customHeight="false" outlineLevel="0" collapsed="false">
      <c r="A113" s="0" t="s">
        <v>383</v>
      </c>
      <c r="B113" s="0" t="s">
        <v>34</v>
      </c>
      <c r="D113" s="21" t="n">
        <f aca="false">mkt_26*1</f>
        <v>32.0719</v>
      </c>
      <c r="E113" s="21" t="n">
        <f aca="false">mkt_27*1*1</f>
        <v>61.085</v>
      </c>
      <c r="F113" s="21" t="n">
        <f aca="false">mkt_28*um28_A*1</f>
        <v>69.005</v>
      </c>
      <c r="G113" s="21" t="n">
        <f aca="false">mkt_29*um29_A*1</f>
        <v>78.48215</v>
      </c>
    </row>
    <row r="114" customFormat="false" ht="15" hidden="false" customHeight="false" outlineLevel="0" collapsed="false">
      <c r="A114" s="5" t="s">
        <v>348</v>
      </c>
      <c r="B114" s="0" t="s">
        <v>79</v>
      </c>
      <c r="D114" s="16" t="n">
        <f aca="false">ETLO_26</f>
        <v>0.7</v>
      </c>
      <c r="E114" s="16" t="n">
        <f aca="false">ETLO_27</f>
        <v>0.72</v>
      </c>
      <c r="F114" s="16" t="n">
        <f aca="false">ETLO_28</f>
        <v>0.74</v>
      </c>
      <c r="G114" s="16" t="n">
        <f aca="false">ETLO_29</f>
        <v>0.75</v>
      </c>
    </row>
    <row r="115" customFormat="false" ht="17.15" hidden="false" customHeight="false" outlineLevel="0" collapsed="false">
      <c r="A115" s="0" t="s">
        <v>350</v>
      </c>
      <c r="B115" s="0" t="s">
        <v>34</v>
      </c>
      <c r="D115" s="21" t="n">
        <f aca="false">D113*D114</f>
        <v>22.45033</v>
      </c>
      <c r="E115" s="21" t="n">
        <f aca="false">E113*E114</f>
        <v>43.9812</v>
      </c>
      <c r="F115" s="21" t="n">
        <f aca="false">F113*F114</f>
        <v>51.0637</v>
      </c>
      <c r="G115" s="21" t="n">
        <f aca="false">G113*G114</f>
        <v>58.8616125</v>
      </c>
    </row>
    <row r="116" customFormat="false" ht="17.15" hidden="false" customHeight="false" outlineLevel="0" collapsed="false">
      <c r="A116" s="0" t="s">
        <v>384</v>
      </c>
      <c r="B116" s="0" t="s">
        <v>79</v>
      </c>
      <c r="D116" s="16" t="n">
        <f aca="false">a26_ai/D115</f>
        <v>0.155899712832729</v>
      </c>
      <c r="H116" s="8" t="s">
        <v>385</v>
      </c>
    </row>
    <row r="117" customFormat="false" ht="17.15" hidden="false" customHeight="false" outlineLevel="0" collapsed="false">
      <c r="A117" s="5" t="s">
        <v>386</v>
      </c>
      <c r="B117" s="0" t="s">
        <v>57</v>
      </c>
      <c r="D117" s="19" t="n">
        <f aca="false">1</f>
        <v>1</v>
      </c>
      <c r="E117" s="19" t="n">
        <f aca="false">rel_27</f>
        <v>0.95</v>
      </c>
      <c r="F117" s="19" t="n">
        <f aca="false">rel_28</f>
        <v>0.9</v>
      </c>
      <c r="G117" s="19" t="n">
        <f aca="false">rel_29</f>
        <v>0.88</v>
      </c>
    </row>
    <row r="118" customFormat="false" ht="17.15" hidden="false" customHeight="false" outlineLevel="0" collapsed="false">
      <c r="A118" s="0" t="s">
        <v>387</v>
      </c>
      <c r="B118" s="0" t="s">
        <v>79</v>
      </c>
      <c r="D118" s="16" t="n">
        <f aca="false">$D$116*D117</f>
        <v>0.155899712832729</v>
      </c>
      <c r="E118" s="16" t="n">
        <f aca="false">$D$116*E117</f>
        <v>0.148104727191093</v>
      </c>
      <c r="F118" s="16" t="n">
        <f aca="false">$D$116*F117</f>
        <v>0.140309741549456</v>
      </c>
      <c r="G118" s="16" t="n">
        <f aca="false">$D$116*G117</f>
        <v>0.137191747292802</v>
      </c>
    </row>
    <row r="119" customFormat="false" ht="17.15" hidden="false" customHeight="false" outlineLevel="0" collapsed="false">
      <c r="A119" s="0" t="s">
        <v>327</v>
      </c>
      <c r="B119" s="0" t="s">
        <v>34</v>
      </c>
      <c r="C119" s="21" t="n">
        <f aca="false">a25_ai</f>
        <v>1.63</v>
      </c>
      <c r="D119" s="21" t="n">
        <f aca="false">D115*D118</f>
        <v>3.5</v>
      </c>
      <c r="E119" s="21" t="n">
        <f aca="false">E115*E118</f>
        <v>6.51382362753688</v>
      </c>
      <c r="F119" s="21" t="n">
        <f aca="false">F115*F118</f>
        <v>7.16473454955896</v>
      </c>
      <c r="G119" s="21" t="n">
        <f aca="false">G115*G118</f>
        <v>8.07532746734681</v>
      </c>
    </row>
    <row r="120" customFormat="false" ht="17.15" hidden="false" customHeight="false" outlineLevel="0" collapsed="false">
      <c r="A120" s="1" t="s">
        <v>388</v>
      </c>
    </row>
    <row r="121" customFormat="false" ht="17.15" hidden="false" customHeight="false" outlineLevel="0" collapsed="false">
      <c r="A121" s="5" t="s">
        <v>389</v>
      </c>
      <c r="B121" s="0" t="s">
        <v>34</v>
      </c>
      <c r="C121" s="21" t="n">
        <f aca="false">a25_nai</f>
        <v>7.3757</v>
      </c>
      <c r="D121" s="21" t="n">
        <f aca="false">a26_nai</f>
        <v>9.1</v>
      </c>
      <c r="E121" s="21" t="n">
        <f aca="false">D121*(1+g_nai27)</f>
        <v>10.01</v>
      </c>
      <c r="F121" s="21" t="n">
        <f aca="false">E121*(1+g_nai28)</f>
        <v>10.8108</v>
      </c>
      <c r="G121" s="21" t="n">
        <f aca="false">F121*(1+g_nai29)</f>
        <v>11.459448</v>
      </c>
    </row>
    <row r="122" customFormat="false" ht="15" hidden="false" customHeight="false" outlineLevel="0" collapsed="false">
      <c r="A122" s="5" t="s">
        <v>302</v>
      </c>
      <c r="B122" s="0" t="s">
        <v>34</v>
      </c>
      <c r="C122" s="21" t="n">
        <f aca="false">a25_rev</f>
        <v>9.0057</v>
      </c>
      <c r="D122" s="21" t="n">
        <f aca="false">D119+D121</f>
        <v>12.6</v>
      </c>
      <c r="E122" s="21" t="n">
        <f aca="false">E119+E121</f>
        <v>16.5238236275369</v>
      </c>
      <c r="F122" s="21" t="n">
        <f aca="false">F119+F121</f>
        <v>17.975534549559</v>
      </c>
      <c r="G122" s="21" t="n">
        <f aca="false">G119+G121</f>
        <v>19.5347754673468</v>
      </c>
    </row>
    <row r="123" customFormat="false" ht="17.15" hidden="false" customHeight="false" outlineLevel="0" collapsed="false">
      <c r="A123" s="5" t="s">
        <v>390</v>
      </c>
      <c r="B123" s="0" t="s">
        <v>34</v>
      </c>
      <c r="C123" s="21" t="n">
        <f aca="false">svc25</f>
        <v>1.4288</v>
      </c>
      <c r="D123" s="21" t="n">
        <f aca="false">C123*(1+g_svc26)</f>
        <v>1.743136</v>
      </c>
      <c r="E123" s="21" t="n">
        <f aca="false">D123*(1+g_svc27)</f>
        <v>2.0046064</v>
      </c>
      <c r="F123" s="21" t="n">
        <f aca="false">E123*(1+g_svc28)</f>
        <v>2.20506704</v>
      </c>
      <c r="G123" s="21" t="n">
        <f aca="false">F123*(1+g_svc29)</f>
        <v>2.3814724032</v>
      </c>
      <c r="H123" s="5" t="s">
        <v>391</v>
      </c>
    </row>
    <row r="124" customFormat="false" ht="17.15" hidden="false" customHeight="false" outlineLevel="0" collapsed="false">
      <c r="A124" s="5" t="s">
        <v>392</v>
      </c>
      <c r="B124" s="0" t="s">
        <v>34</v>
      </c>
      <c r="C124" s="21" t="n">
        <f aca="false">C121-C123</f>
        <v>5.9469</v>
      </c>
      <c r="D124" s="21" t="n">
        <f aca="false">D121-D123</f>
        <v>7.356864</v>
      </c>
      <c r="E124" s="21" t="n">
        <f aca="false">E121-E123</f>
        <v>8.0053936</v>
      </c>
      <c r="F124" s="21" t="n">
        <f aca="false">F121-F123</f>
        <v>8.60573296</v>
      </c>
      <c r="G124" s="21" t="n">
        <f aca="false">G121-G123</f>
        <v>9.0779755968</v>
      </c>
    </row>
    <row r="125" customFormat="false" ht="17.15" hidden="false" customHeight="false" outlineLevel="0" collapsed="false">
      <c r="A125" s="5" t="s">
        <v>393</v>
      </c>
      <c r="B125" s="0" t="s">
        <v>34</v>
      </c>
      <c r="C125" s="21" t="n">
        <f aca="false">C119+C124</f>
        <v>7.5769</v>
      </c>
      <c r="D125" s="21" t="n">
        <f aca="false">D119+D124</f>
        <v>10.856864</v>
      </c>
      <c r="E125" s="21" t="n">
        <f aca="false">E119+E124</f>
        <v>14.5192172275369</v>
      </c>
      <c r="F125" s="21" t="n">
        <f aca="false">F119+F124</f>
        <v>15.770467509559</v>
      </c>
      <c r="G125" s="21" t="n">
        <f aca="false">G119+G124</f>
        <v>17.1533030641468</v>
      </c>
      <c r="H125" s="5" t="s">
        <v>394</v>
      </c>
    </row>
    <row r="126" customFormat="false" ht="15" hidden="false" customHeight="false" outlineLevel="0" collapsed="false">
      <c r="A126" s="5" t="s">
        <v>395</v>
      </c>
      <c r="B126" s="0" t="s">
        <v>34</v>
      </c>
      <c r="C126" s="17" t="n">
        <f aca="false">C125+C123-C122</f>
        <v>0</v>
      </c>
      <c r="D126" s="17" t="n">
        <f aca="false">D125+D123-D122</f>
        <v>0</v>
      </c>
      <c r="E126" s="17" t="n">
        <f aca="false">E125+E123-E122</f>
        <v>0</v>
      </c>
      <c r="F126" s="17" t="n">
        <f aca="false">F125+F123-F122</f>
        <v>0</v>
      </c>
      <c r="G126" s="17" t="n">
        <f aca="false">G125+G123-G122</f>
        <v>0</v>
      </c>
    </row>
    <row r="127" customFormat="false" ht="15" hidden="false" customHeight="false" outlineLevel="0" collapsed="false">
      <c r="A127" s="5" t="s">
        <v>396</v>
      </c>
      <c r="B127" s="0" t="s">
        <v>79</v>
      </c>
      <c r="D127" s="16" t="n">
        <f aca="false">D122/C122-1</f>
        <v>0.399113894533462</v>
      </c>
      <c r="E127" s="16" t="n">
        <f aca="false">E122/D122-1</f>
        <v>0.311414573614038</v>
      </c>
      <c r="F127" s="16" t="n">
        <f aca="false">F122/E122-1</f>
        <v>0.0878556292263257</v>
      </c>
      <c r="G127" s="16" t="n">
        <f aca="false">G122/F122-1</f>
        <v>0.0867423949751804</v>
      </c>
    </row>
    <row r="128" customFormat="false" ht="17.15" hidden="false" customHeight="false" outlineLevel="0" collapsed="false">
      <c r="A128" s="0" t="s">
        <v>332</v>
      </c>
      <c r="B128" s="0" t="s">
        <v>79</v>
      </c>
      <c r="C128" s="16" t="n">
        <f aca="false">C119/C122</f>
        <v>0.180996480007107</v>
      </c>
      <c r="D128" s="16" t="n">
        <f aca="false">D119/D122</f>
        <v>0.277777777777778</v>
      </c>
      <c r="E128" s="16" t="n">
        <f aca="false">E119/E122</f>
        <v>0.3942080098629</v>
      </c>
      <c r="F128" s="16" t="n">
        <f aca="false">F119/F122</f>
        <v>0.398582558410468</v>
      </c>
      <c r="G128" s="16" t="n">
        <f aca="false">G119/G122</f>
        <v>0.413382149226392</v>
      </c>
    </row>
    <row r="129" customFormat="false" ht="17.15" hidden="false" customHeight="false" outlineLevel="0" collapsed="false">
      <c r="A129" s="1" t="s">
        <v>397</v>
      </c>
    </row>
    <row r="130" customFormat="false" ht="17.15" hidden="false" customHeight="false" outlineLevel="0" collapsed="false">
      <c r="A130" s="5" t="s">
        <v>398</v>
      </c>
      <c r="B130" s="0" t="s">
        <v>79</v>
      </c>
      <c r="D130" s="16" t="n">
        <f aca="false">a26_gp/a26_rev+d_ai*D128</f>
        <v>0.646666666666667</v>
      </c>
      <c r="H130" s="8" t="s">
        <v>399</v>
      </c>
    </row>
    <row r="131" customFormat="false" ht="15" hidden="false" customHeight="false" outlineLevel="0" collapsed="false">
      <c r="A131" s="5" t="s">
        <v>400</v>
      </c>
      <c r="B131" s="0" t="s">
        <v>34</v>
      </c>
      <c r="C131" s="21" t="n">
        <f aca="false">a25_gp</f>
        <v>5.8154</v>
      </c>
      <c r="D131" s="21" t="n">
        <f aca="false">a26_gp</f>
        <v>7.938</v>
      </c>
      <c r="E131" s="21" t="n">
        <f aca="false">$D$130*E121+($D$130-d_ai)*E119</f>
        <v>10.294576528155</v>
      </c>
      <c r="F131" s="21" t="n">
        <f aca="false">$D$130*F121+($D$130-d_ai)*F119</f>
        <v>11.1942949357413</v>
      </c>
      <c r="G131" s="21" t="n">
        <f aca="false">$D$130*G121+($D$130-d_ai)*G119</f>
        <v>12.1479684875101</v>
      </c>
    </row>
    <row r="132" customFormat="false" ht="15" hidden="false" customHeight="false" outlineLevel="0" collapsed="false">
      <c r="A132" s="5" t="s">
        <v>308</v>
      </c>
      <c r="B132" s="0" t="s">
        <v>79</v>
      </c>
      <c r="C132" s="16" t="n">
        <f aca="false">C131/C122</f>
        <v>0.645746582719833</v>
      </c>
      <c r="D132" s="16" t="n">
        <f aca="false">D131/D122</f>
        <v>0.63</v>
      </c>
      <c r="E132" s="16" t="n">
        <f aca="false">E131/E122</f>
        <v>0.623014186074893</v>
      </c>
      <c r="F132" s="16" t="n">
        <f aca="false">F131/F122</f>
        <v>0.622751713162039</v>
      </c>
      <c r="G132" s="16" t="n">
        <f aca="false">G131/G122</f>
        <v>0.621863737713084</v>
      </c>
    </row>
    <row r="133" customFormat="false" ht="15" hidden="false" customHeight="false" outlineLevel="0" collapsed="false">
      <c r="A133" s="5" t="s">
        <v>401</v>
      </c>
      <c r="B133" s="0" t="s">
        <v>34</v>
      </c>
      <c r="C133" s="21" t="n">
        <f aca="false">a25_opx</f>
        <v>1.4784</v>
      </c>
      <c r="D133" s="21" t="n">
        <f aca="false">a26_opx</f>
        <v>1.827</v>
      </c>
      <c r="E133" s="21" t="n">
        <f aca="false">D133*(1+MAX(0,phi*E127))</f>
        <v>2.13992493429607</v>
      </c>
      <c r="F133" s="21" t="n">
        <f aca="false">E133*(1+MAX(0,phi*F127))</f>
        <v>2.24332738267589</v>
      </c>
      <c r="G133" s="21" t="n">
        <f aca="false">F133*(1+MAX(0,phi*G127))</f>
        <v>2.35035275711358</v>
      </c>
    </row>
    <row r="134" customFormat="false" ht="15" hidden="false" customHeight="false" outlineLevel="0" collapsed="false">
      <c r="A134" s="5" t="s">
        <v>402</v>
      </c>
      <c r="B134" s="0" t="s">
        <v>34</v>
      </c>
      <c r="C134" s="21" t="n">
        <f aca="false">C133</f>
        <v>1.4784</v>
      </c>
      <c r="D134" s="21" t="n">
        <f aca="false">D133</f>
        <v>1.827</v>
      </c>
      <c r="E134" s="21" t="n">
        <f aca="false">E133+0*E122</f>
        <v>2.13992493429607</v>
      </c>
      <c r="F134" s="21" t="n">
        <f aca="false">F133+0*F122</f>
        <v>2.24332738267589</v>
      </c>
      <c r="G134" s="21" t="n">
        <f aca="false">G133+0*G122</f>
        <v>2.35035275711358</v>
      </c>
    </row>
    <row r="135" customFormat="false" ht="15" hidden="false" customHeight="false" outlineLevel="0" collapsed="false">
      <c r="A135" s="5" t="s">
        <v>403</v>
      </c>
      <c r="B135" s="0" t="s">
        <v>34</v>
      </c>
      <c r="C135" s="21" t="n">
        <f aca="false">C131-C134</f>
        <v>4.337</v>
      </c>
      <c r="D135" s="21" t="n">
        <f aca="false">D131-D134</f>
        <v>6.111</v>
      </c>
      <c r="E135" s="21" t="n">
        <f aca="false">E131-E134</f>
        <v>8.15465159385891</v>
      </c>
      <c r="F135" s="21" t="n">
        <f aca="false">F131-F134</f>
        <v>8.95096755306537</v>
      </c>
      <c r="G135" s="21" t="n">
        <f aca="false">G131-G134</f>
        <v>9.79761573039655</v>
      </c>
    </row>
    <row r="136" customFormat="false" ht="15" hidden="false" customHeight="false" outlineLevel="0" collapsed="false">
      <c r="A136" s="5" t="s">
        <v>313</v>
      </c>
      <c r="B136" s="0" t="s">
        <v>79</v>
      </c>
      <c r="C136" s="16" t="n">
        <f aca="false">C135/C122</f>
        <v>0.48158388576124</v>
      </c>
      <c r="D136" s="16" t="n">
        <f aca="false">D135/D122</f>
        <v>0.485</v>
      </c>
      <c r="E136" s="16" t="n">
        <f aca="false">E135/E122</f>
        <v>0.493508753038807</v>
      </c>
      <c r="F136" s="16" t="n">
        <f aca="false">F135/F122</f>
        <v>0.497952788462972</v>
      </c>
      <c r="G136" s="16" t="n">
        <f aca="false">G135/G122</f>
        <v>0.501547394121508</v>
      </c>
    </row>
    <row r="137" customFormat="false" ht="15" hidden="false" customHeight="false" outlineLevel="0" collapsed="false">
      <c r="A137" s="5" t="s">
        <v>404</v>
      </c>
      <c r="B137" s="0" t="s">
        <v>34</v>
      </c>
      <c r="C137" s="21" t="n">
        <f aca="false">a25_oth</f>
        <v>0.3936</v>
      </c>
      <c r="D137" s="21" t="n">
        <f aca="false">a26_oth</f>
        <v>0.4999</v>
      </c>
      <c r="E137" s="21" t="n">
        <f aca="false">oth_f</f>
        <v>0.55</v>
      </c>
      <c r="F137" s="21" t="n">
        <f aca="false">oth_f</f>
        <v>0.55</v>
      </c>
      <c r="G137" s="21" t="n">
        <f aca="false">oth_f</f>
        <v>0.55</v>
      </c>
    </row>
    <row r="138" customFormat="false" ht="15" hidden="false" customHeight="false" outlineLevel="0" collapsed="false">
      <c r="A138" s="5" t="s">
        <v>405</v>
      </c>
      <c r="B138" s="0" t="s">
        <v>79</v>
      </c>
      <c r="C138" s="16" t="n">
        <f aca="false">1-a25_ni/(a25_oi+a25_oth)</f>
        <v>0.195450894178328</v>
      </c>
      <c r="D138" s="16" t="n">
        <f aca="false">1-a26_ni/(a26_oi+a26_oth)</f>
        <v>0.209652694791935</v>
      </c>
      <c r="E138" s="16" t="n">
        <f aca="false">tx_f</f>
        <v>0.21</v>
      </c>
      <c r="F138" s="16" t="n">
        <f aca="false">tx_f</f>
        <v>0.21</v>
      </c>
      <c r="G138" s="16" t="n">
        <f aca="false">tx_f</f>
        <v>0.21</v>
      </c>
    </row>
    <row r="139" customFormat="false" ht="17.15" hidden="false" customHeight="false" outlineLevel="0" collapsed="false">
      <c r="A139" s="5" t="s">
        <v>372</v>
      </c>
      <c r="B139" s="0" t="s">
        <v>34</v>
      </c>
      <c r="C139" s="21" t="n">
        <f aca="false">a25_ni</f>
        <v>3.806</v>
      </c>
      <c r="D139" s="21" t="n">
        <f aca="false">a26_ni</f>
        <v>5.224907</v>
      </c>
      <c r="E139" s="21" t="n">
        <f aca="false">(E135+E137)*(1-E138)</f>
        <v>6.87667475914854</v>
      </c>
      <c r="F139" s="21" t="n">
        <f aca="false">(F135+F137)*(1-F138)</f>
        <v>7.50576436692164</v>
      </c>
      <c r="G139" s="21" t="n">
        <f aca="false">(G135+G137)*(1-G138)</f>
        <v>8.17461642701327</v>
      </c>
    </row>
    <row r="140" customFormat="false" ht="15" hidden="false" customHeight="false" outlineLevel="0" collapsed="false">
      <c r="A140" s="5" t="s">
        <v>406</v>
      </c>
      <c r="B140" s="5" t="s">
        <v>167</v>
      </c>
      <c r="C140" s="17" t="n">
        <f aca="false">a25_sh</f>
        <v>1.2757</v>
      </c>
      <c r="D140" s="17" t="n">
        <f aca="false">a26_sh</f>
        <v>1.27595</v>
      </c>
      <c r="E140" s="17" t="n">
        <f aca="false">D140*(1+sh_g)</f>
        <v>1.27595</v>
      </c>
      <c r="F140" s="17" t="n">
        <f aca="false">E140*(1+sh_g)</f>
        <v>1.27595</v>
      </c>
      <c r="G140" s="17" t="n">
        <f aca="false">F140*(1+sh_g)</f>
        <v>1.27595</v>
      </c>
    </row>
    <row r="141" customFormat="false" ht="17.15" hidden="false" customHeight="false" outlineLevel="0" collapsed="false">
      <c r="A141" s="0" t="s">
        <v>373</v>
      </c>
      <c r="B141" s="0" t="s">
        <v>202</v>
      </c>
      <c r="C141" s="21" t="n">
        <f aca="false">C139/C140</f>
        <v>2.9834600611429</v>
      </c>
      <c r="D141" s="21" t="n">
        <f aca="false">D139/D140</f>
        <v>4.0949151612524</v>
      </c>
      <c r="E141" s="21" t="n">
        <f aca="false">E139/E140</f>
        <v>5.38945472718252</v>
      </c>
      <c r="F141" s="21" t="n">
        <f aca="false">F139/F140</f>
        <v>5.8824909807764</v>
      </c>
      <c r="G141" s="21" t="n">
        <f aca="false">G139/G140</f>
        <v>6.40669025197952</v>
      </c>
    </row>
    <row r="142" customFormat="false" ht="17.15" hidden="false" customHeight="false" outlineLevel="0" collapsed="false">
      <c r="A142" s="0" t="s">
        <v>407</v>
      </c>
      <c r="B142" s="0" t="s">
        <v>79</v>
      </c>
      <c r="D142" s="16" t="n">
        <f aca="false">D141/C141-1</f>
        <v>0.372538957227979</v>
      </c>
      <c r="E142" s="16" t="n">
        <f aca="false">E141/D141-1</f>
        <v>0.316133427666471</v>
      </c>
      <c r="F142" s="16" t="n">
        <f aca="false">F141/E141-1</f>
        <v>0.0914816578952176</v>
      </c>
      <c r="G142" s="16" t="n">
        <f aca="false">G141/F141-1</f>
        <v>0.0891117849421577</v>
      </c>
    </row>
    <row r="145" customFormat="false" ht="17.15" hidden="false" customHeight="false" outlineLevel="0" collapsed="false">
      <c r="A145" s="3" t="s">
        <v>747</v>
      </c>
    </row>
    <row r="146" customFormat="false" ht="17.15" hidden="false" customHeight="false" outlineLevel="0" collapsed="false">
      <c r="A146" s="6" t="s">
        <v>23</v>
      </c>
      <c r="B146" s="6" t="s">
        <v>24</v>
      </c>
      <c r="C146" s="13" t="s">
        <v>295</v>
      </c>
      <c r="D146" s="13" t="s">
        <v>363</v>
      </c>
      <c r="E146" s="13" t="s">
        <v>364</v>
      </c>
      <c r="F146" s="13" t="s">
        <v>365</v>
      </c>
      <c r="G146" s="13" t="s">
        <v>366</v>
      </c>
      <c r="H146" s="6" t="s">
        <v>283</v>
      </c>
    </row>
    <row r="147" customFormat="false" ht="17.15" hidden="false" customHeight="false" outlineLevel="0" collapsed="false">
      <c r="A147" s="1" t="s">
        <v>382</v>
      </c>
    </row>
    <row r="148" customFormat="false" ht="17.15" hidden="false" customHeight="false" outlineLevel="0" collapsed="false">
      <c r="A148" s="0" t="s">
        <v>383</v>
      </c>
      <c r="B148" s="0" t="s">
        <v>34</v>
      </c>
      <c r="D148" s="21" t="n">
        <f aca="false">mkt_26*1</f>
        <v>32.0719</v>
      </c>
      <c r="E148" s="21" t="n">
        <f aca="false">mkt_27*1*1</f>
        <v>61.085</v>
      </c>
      <c r="F148" s="21" t="n">
        <f aca="false">mkt_28*um28_A*1</f>
        <v>69.005</v>
      </c>
      <c r="G148" s="21" t="n">
        <f aca="false">mkt_29*um29_A*1</f>
        <v>78.48215</v>
      </c>
    </row>
    <row r="149" customFormat="false" ht="15" hidden="false" customHeight="false" outlineLevel="0" collapsed="false">
      <c r="A149" s="5" t="s">
        <v>348</v>
      </c>
      <c r="B149" s="0" t="s">
        <v>79</v>
      </c>
      <c r="D149" s="16" t="n">
        <f aca="false">ETHI_26</f>
        <v>0.8</v>
      </c>
      <c r="E149" s="16" t="n">
        <f aca="false">ETHI_27</f>
        <v>0.88</v>
      </c>
      <c r="F149" s="16" t="n">
        <f aca="false">ETHI_28</f>
        <v>0.9</v>
      </c>
      <c r="G149" s="16" t="n">
        <f aca="false">ETHI_29</f>
        <v>0.92</v>
      </c>
    </row>
    <row r="150" customFormat="false" ht="17.15" hidden="false" customHeight="false" outlineLevel="0" collapsed="false">
      <c r="A150" s="0" t="s">
        <v>350</v>
      </c>
      <c r="B150" s="0" t="s">
        <v>34</v>
      </c>
      <c r="D150" s="21" t="n">
        <f aca="false">D148*D149</f>
        <v>25.65752</v>
      </c>
      <c r="E150" s="21" t="n">
        <f aca="false">E148*E149</f>
        <v>53.7548</v>
      </c>
      <c r="F150" s="21" t="n">
        <f aca="false">F148*F149</f>
        <v>62.1045</v>
      </c>
      <c r="G150" s="21" t="n">
        <f aca="false">G148*G149</f>
        <v>72.203578</v>
      </c>
    </row>
    <row r="151" customFormat="false" ht="17.15" hidden="false" customHeight="false" outlineLevel="0" collapsed="false">
      <c r="A151" s="0" t="s">
        <v>384</v>
      </c>
      <c r="B151" s="0" t="s">
        <v>79</v>
      </c>
      <c r="D151" s="16" t="n">
        <f aca="false">a26_ai/D150</f>
        <v>0.136412248728638</v>
      </c>
      <c r="H151" s="8" t="s">
        <v>385</v>
      </c>
    </row>
    <row r="152" customFormat="false" ht="17.15" hidden="false" customHeight="false" outlineLevel="0" collapsed="false">
      <c r="A152" s="5" t="s">
        <v>386</v>
      </c>
      <c r="B152" s="0" t="s">
        <v>57</v>
      </c>
      <c r="D152" s="19" t="n">
        <f aca="false">1</f>
        <v>1</v>
      </c>
      <c r="E152" s="19" t="n">
        <f aca="false">rel_27</f>
        <v>0.95</v>
      </c>
      <c r="F152" s="19" t="n">
        <f aca="false">rel_28</f>
        <v>0.9</v>
      </c>
      <c r="G152" s="19" t="n">
        <f aca="false">rel_29</f>
        <v>0.88</v>
      </c>
    </row>
    <row r="153" customFormat="false" ht="17.15" hidden="false" customHeight="false" outlineLevel="0" collapsed="false">
      <c r="A153" s="0" t="s">
        <v>387</v>
      </c>
      <c r="B153" s="0" t="s">
        <v>79</v>
      </c>
      <c r="D153" s="16" t="n">
        <f aca="false">$D$151*D152</f>
        <v>0.136412248728638</v>
      </c>
      <c r="E153" s="16" t="n">
        <f aca="false">$D$151*E152</f>
        <v>0.129591636292206</v>
      </c>
      <c r="F153" s="16" t="n">
        <f aca="false">$D$151*F152</f>
        <v>0.122771023855774</v>
      </c>
      <c r="G153" s="16" t="n">
        <f aca="false">$D$151*G152</f>
        <v>0.120042778881201</v>
      </c>
    </row>
    <row r="154" customFormat="false" ht="17.15" hidden="false" customHeight="false" outlineLevel="0" collapsed="false">
      <c r="A154" s="0" t="s">
        <v>327</v>
      </c>
      <c r="B154" s="0" t="s">
        <v>34</v>
      </c>
      <c r="C154" s="21" t="n">
        <f aca="false">a25_ai</f>
        <v>1.63</v>
      </c>
      <c r="D154" s="21" t="n">
        <f aca="false">D150*D153</f>
        <v>3.5</v>
      </c>
      <c r="E154" s="21" t="n">
        <f aca="false">E150*E153</f>
        <v>6.96617249056027</v>
      </c>
      <c r="F154" s="21" t="n">
        <f aca="false">F150*F153</f>
        <v>7.62463305105092</v>
      </c>
      <c r="G154" s="21" t="n">
        <f aca="false">G150*G153</f>
        <v>8.66751814828557</v>
      </c>
    </row>
    <row r="155" customFormat="false" ht="17.15" hidden="false" customHeight="false" outlineLevel="0" collapsed="false">
      <c r="A155" s="1" t="s">
        <v>388</v>
      </c>
    </row>
    <row r="156" customFormat="false" ht="17.15" hidden="false" customHeight="false" outlineLevel="0" collapsed="false">
      <c r="A156" s="5" t="s">
        <v>389</v>
      </c>
      <c r="B156" s="0" t="s">
        <v>34</v>
      </c>
      <c r="C156" s="21" t="n">
        <f aca="false">a25_nai</f>
        <v>7.3757</v>
      </c>
      <c r="D156" s="21" t="n">
        <f aca="false">a26_nai</f>
        <v>9.1</v>
      </c>
      <c r="E156" s="21" t="n">
        <f aca="false">D156*(1+g_nai27)</f>
        <v>10.01</v>
      </c>
      <c r="F156" s="21" t="n">
        <f aca="false">E156*(1+g_nai28)</f>
        <v>10.8108</v>
      </c>
      <c r="G156" s="21" t="n">
        <f aca="false">F156*(1+g_nai29)</f>
        <v>11.459448</v>
      </c>
    </row>
    <row r="157" customFormat="false" ht="15" hidden="false" customHeight="false" outlineLevel="0" collapsed="false">
      <c r="A157" s="5" t="s">
        <v>302</v>
      </c>
      <c r="B157" s="0" t="s">
        <v>34</v>
      </c>
      <c r="C157" s="21" t="n">
        <f aca="false">a25_rev</f>
        <v>9.0057</v>
      </c>
      <c r="D157" s="21" t="n">
        <f aca="false">D154+D156</f>
        <v>12.6</v>
      </c>
      <c r="E157" s="21" t="n">
        <f aca="false">E154+E156</f>
        <v>16.9761724905603</v>
      </c>
      <c r="F157" s="21" t="n">
        <f aca="false">F154+F156</f>
        <v>18.4354330510509</v>
      </c>
      <c r="G157" s="21" t="n">
        <f aca="false">G154+G156</f>
        <v>20.1269661482856</v>
      </c>
    </row>
    <row r="158" customFormat="false" ht="17.15" hidden="false" customHeight="false" outlineLevel="0" collapsed="false">
      <c r="A158" s="5" t="s">
        <v>390</v>
      </c>
      <c r="B158" s="0" t="s">
        <v>34</v>
      </c>
      <c r="C158" s="21" t="n">
        <f aca="false">svc25</f>
        <v>1.4288</v>
      </c>
      <c r="D158" s="21" t="n">
        <f aca="false">C158*(1+g_svc26)</f>
        <v>1.743136</v>
      </c>
      <c r="E158" s="21" t="n">
        <f aca="false">D158*(1+g_svc27)</f>
        <v>2.0046064</v>
      </c>
      <c r="F158" s="21" t="n">
        <f aca="false">E158*(1+g_svc28)</f>
        <v>2.20506704</v>
      </c>
      <c r="G158" s="21" t="n">
        <f aca="false">F158*(1+g_svc29)</f>
        <v>2.3814724032</v>
      </c>
      <c r="H158" s="5" t="s">
        <v>391</v>
      </c>
    </row>
    <row r="159" customFormat="false" ht="17.15" hidden="false" customHeight="false" outlineLevel="0" collapsed="false">
      <c r="A159" s="5" t="s">
        <v>392</v>
      </c>
      <c r="B159" s="0" t="s">
        <v>34</v>
      </c>
      <c r="C159" s="21" t="n">
        <f aca="false">C156-C158</f>
        <v>5.9469</v>
      </c>
      <c r="D159" s="21" t="n">
        <f aca="false">D156-D158</f>
        <v>7.356864</v>
      </c>
      <c r="E159" s="21" t="n">
        <f aca="false">E156-E158</f>
        <v>8.0053936</v>
      </c>
      <c r="F159" s="21" t="n">
        <f aca="false">F156-F158</f>
        <v>8.60573296</v>
      </c>
      <c r="G159" s="21" t="n">
        <f aca="false">G156-G158</f>
        <v>9.0779755968</v>
      </c>
    </row>
    <row r="160" customFormat="false" ht="17.15" hidden="false" customHeight="false" outlineLevel="0" collapsed="false">
      <c r="A160" s="5" t="s">
        <v>393</v>
      </c>
      <c r="B160" s="0" t="s">
        <v>34</v>
      </c>
      <c r="C160" s="21" t="n">
        <f aca="false">C154+C159</f>
        <v>7.5769</v>
      </c>
      <c r="D160" s="21" t="n">
        <f aca="false">D154+D159</f>
        <v>10.856864</v>
      </c>
      <c r="E160" s="21" t="n">
        <f aca="false">E154+E159</f>
        <v>14.9715660905603</v>
      </c>
      <c r="F160" s="21" t="n">
        <f aca="false">F154+F159</f>
        <v>16.2303660110509</v>
      </c>
      <c r="G160" s="21" t="n">
        <f aca="false">G154+G159</f>
        <v>17.7454937450856</v>
      </c>
      <c r="H160" s="5" t="s">
        <v>394</v>
      </c>
    </row>
    <row r="161" customFormat="false" ht="15" hidden="false" customHeight="false" outlineLevel="0" collapsed="false">
      <c r="A161" s="5" t="s">
        <v>395</v>
      </c>
      <c r="B161" s="0" t="s">
        <v>34</v>
      </c>
      <c r="C161" s="17" t="n">
        <f aca="false">C160+C158-C157</f>
        <v>0</v>
      </c>
      <c r="D161" s="17" t="n">
        <f aca="false">D160+D158-D157</f>
        <v>0</v>
      </c>
      <c r="E161" s="17" t="n">
        <f aca="false">E160+E158-E157</f>
        <v>0</v>
      </c>
      <c r="F161" s="17" t="n">
        <f aca="false">F160+F158-F157</f>
        <v>0</v>
      </c>
      <c r="G161" s="17" t="n">
        <f aca="false">G160+G158-G157</f>
        <v>0</v>
      </c>
    </row>
    <row r="162" customFormat="false" ht="15" hidden="false" customHeight="false" outlineLevel="0" collapsed="false">
      <c r="A162" s="5" t="s">
        <v>396</v>
      </c>
      <c r="B162" s="0" t="s">
        <v>79</v>
      </c>
      <c r="D162" s="16" t="n">
        <f aca="false">D157/C157-1</f>
        <v>0.399113894533462</v>
      </c>
      <c r="E162" s="16" t="n">
        <f aca="false">E157/D157-1</f>
        <v>0.347315277028593</v>
      </c>
      <c r="F162" s="16" t="n">
        <f aca="false">F157/E157-1</f>
        <v>0.0859593386731952</v>
      </c>
      <c r="G162" s="16" t="n">
        <f aca="false">G157/F157-1</f>
        <v>0.0917544541834467</v>
      </c>
    </row>
    <row r="163" customFormat="false" ht="17.15" hidden="false" customHeight="false" outlineLevel="0" collapsed="false">
      <c r="A163" s="0" t="s">
        <v>332</v>
      </c>
      <c r="B163" s="0" t="s">
        <v>79</v>
      </c>
      <c r="C163" s="16" t="n">
        <f aca="false">C154/C157</f>
        <v>0.180996480007107</v>
      </c>
      <c r="D163" s="16" t="n">
        <f aca="false">D154/D157</f>
        <v>0.277777777777778</v>
      </c>
      <c r="E163" s="16" t="n">
        <f aca="false">E154/E157</f>
        <v>0.410350006424232</v>
      </c>
      <c r="F163" s="16" t="n">
        <f aca="false">F154/F157</f>
        <v>0.413585785044321</v>
      </c>
      <c r="G163" s="16" t="n">
        <f aca="false">G154/G157</f>
        <v>0.430642059236726</v>
      </c>
    </row>
    <row r="164" customFormat="false" ht="17.15" hidden="false" customHeight="false" outlineLevel="0" collapsed="false">
      <c r="A164" s="1" t="s">
        <v>397</v>
      </c>
    </row>
    <row r="165" customFormat="false" ht="17.15" hidden="false" customHeight="false" outlineLevel="0" collapsed="false">
      <c r="A165" s="5" t="s">
        <v>398</v>
      </c>
      <c r="B165" s="0" t="s">
        <v>79</v>
      </c>
      <c r="D165" s="16" t="n">
        <f aca="false">a26_gp/a26_rev+d_ai*D163</f>
        <v>0.646666666666667</v>
      </c>
      <c r="H165" s="8" t="s">
        <v>399</v>
      </c>
    </row>
    <row r="166" customFormat="false" ht="15" hidden="false" customHeight="false" outlineLevel="0" collapsed="false">
      <c r="A166" s="5" t="s">
        <v>400</v>
      </c>
      <c r="B166" s="0" t="s">
        <v>34</v>
      </c>
      <c r="C166" s="21" t="n">
        <f aca="false">a25_gp</f>
        <v>5.8154</v>
      </c>
      <c r="D166" s="21" t="n">
        <f aca="false">a26_gp</f>
        <v>7.938</v>
      </c>
      <c r="E166" s="21" t="n">
        <f aca="false">$D$165*E156+($D$165-d_ai)*E154</f>
        <v>10.5599545277954</v>
      </c>
      <c r="F166" s="21" t="n">
        <f aca="false">$D$165*F156+($D$165-d_ai)*F154</f>
        <v>11.4641020566165</v>
      </c>
      <c r="G166" s="21" t="n">
        <f aca="false">$D$165*G156+($D$165-d_ai)*G154</f>
        <v>12.4953870203275</v>
      </c>
    </row>
    <row r="167" customFormat="false" ht="15" hidden="false" customHeight="false" outlineLevel="0" collapsed="false">
      <c r="A167" s="5" t="s">
        <v>308</v>
      </c>
      <c r="B167" s="0" t="s">
        <v>79</v>
      </c>
      <c r="C167" s="16" t="n">
        <f aca="false">C166/C157</f>
        <v>0.645746582719833</v>
      </c>
      <c r="D167" s="16" t="n">
        <f aca="false">D166/D157</f>
        <v>0.63</v>
      </c>
      <c r="E167" s="16" t="n">
        <f aca="false">E166/E157</f>
        <v>0.622045666281213</v>
      </c>
      <c r="F167" s="16" t="n">
        <f aca="false">F166/F157</f>
        <v>0.621851519564008</v>
      </c>
      <c r="G167" s="16" t="n">
        <f aca="false">G166/G157</f>
        <v>0.620828143112463</v>
      </c>
    </row>
    <row r="168" customFormat="false" ht="15" hidden="false" customHeight="false" outlineLevel="0" collapsed="false">
      <c r="A168" s="5" t="s">
        <v>401</v>
      </c>
      <c r="B168" s="0" t="s">
        <v>34</v>
      </c>
      <c r="C168" s="21" t="n">
        <f aca="false">a25_opx</f>
        <v>1.4784</v>
      </c>
      <c r="D168" s="21" t="n">
        <f aca="false">a26_opx</f>
        <v>1.827</v>
      </c>
      <c r="E168" s="21" t="n">
        <f aca="false">D168*(1+MAX(0,phi*E162))</f>
        <v>2.17599975612218</v>
      </c>
      <c r="F168" s="21" t="n">
        <f aca="false">E168*(1+MAX(0,phi*F162))</f>
        <v>2.2788758811163</v>
      </c>
      <c r="G168" s="21" t="n">
        <f aca="false">F168*(1+MAX(0,phi*G162))</f>
        <v>2.3938792380593</v>
      </c>
    </row>
    <row r="169" customFormat="false" ht="15" hidden="false" customHeight="false" outlineLevel="0" collapsed="false">
      <c r="A169" s="5" t="s">
        <v>402</v>
      </c>
      <c r="B169" s="0" t="s">
        <v>34</v>
      </c>
      <c r="C169" s="21" t="n">
        <f aca="false">C168</f>
        <v>1.4784</v>
      </c>
      <c r="D169" s="21" t="n">
        <f aca="false">D168</f>
        <v>1.827</v>
      </c>
      <c r="E169" s="21" t="n">
        <f aca="false">E168+0*E157</f>
        <v>2.17599975612218</v>
      </c>
      <c r="F169" s="21" t="n">
        <f aca="false">F168+0*F157</f>
        <v>2.2788758811163</v>
      </c>
      <c r="G169" s="21" t="n">
        <f aca="false">G168+0*G157</f>
        <v>2.3938792380593</v>
      </c>
    </row>
    <row r="170" customFormat="false" ht="15" hidden="false" customHeight="false" outlineLevel="0" collapsed="false">
      <c r="A170" s="5" t="s">
        <v>403</v>
      </c>
      <c r="B170" s="0" t="s">
        <v>34</v>
      </c>
      <c r="C170" s="21" t="n">
        <f aca="false">C166-C169</f>
        <v>4.337</v>
      </c>
      <c r="D170" s="21" t="n">
        <f aca="false">D166-D169</f>
        <v>6.111</v>
      </c>
      <c r="E170" s="21" t="n">
        <f aca="false">E166-E169</f>
        <v>8.38395477167318</v>
      </c>
      <c r="F170" s="21" t="n">
        <f aca="false">F166-F169</f>
        <v>9.18522617550025</v>
      </c>
      <c r="G170" s="21" t="n">
        <f aca="false">G166-G169</f>
        <v>10.1015077822682</v>
      </c>
    </row>
    <row r="171" customFormat="false" ht="15" hidden="false" customHeight="false" outlineLevel="0" collapsed="false">
      <c r="A171" s="5" t="s">
        <v>313</v>
      </c>
      <c r="B171" s="0" t="s">
        <v>79</v>
      </c>
      <c r="C171" s="16" t="n">
        <f aca="false">C170/C157</f>
        <v>0.48158388576124</v>
      </c>
      <c r="D171" s="16" t="n">
        <f aca="false">D170/D157</f>
        <v>0.485</v>
      </c>
      <c r="E171" s="16" t="n">
        <f aca="false">E170/E157</f>
        <v>0.493866021703959</v>
      </c>
      <c r="F171" s="16" t="n">
        <f aca="false">F170/F157</f>
        <v>0.498237613950525</v>
      </c>
      <c r="G171" s="16" t="n">
        <f aca="false">G170/G157</f>
        <v>0.501889241917799</v>
      </c>
    </row>
    <row r="172" customFormat="false" ht="15" hidden="false" customHeight="false" outlineLevel="0" collapsed="false">
      <c r="A172" s="5" t="s">
        <v>404</v>
      </c>
      <c r="B172" s="0" t="s">
        <v>34</v>
      </c>
      <c r="C172" s="21" t="n">
        <f aca="false">a25_oth</f>
        <v>0.3936</v>
      </c>
      <c r="D172" s="21" t="n">
        <f aca="false">a26_oth</f>
        <v>0.4999</v>
      </c>
      <c r="E172" s="21" t="n">
        <f aca="false">oth_f</f>
        <v>0.55</v>
      </c>
      <c r="F172" s="21" t="n">
        <f aca="false">oth_f</f>
        <v>0.55</v>
      </c>
      <c r="G172" s="21" t="n">
        <f aca="false">oth_f</f>
        <v>0.55</v>
      </c>
    </row>
    <row r="173" customFormat="false" ht="15" hidden="false" customHeight="false" outlineLevel="0" collapsed="false">
      <c r="A173" s="5" t="s">
        <v>405</v>
      </c>
      <c r="B173" s="0" t="s">
        <v>79</v>
      </c>
      <c r="C173" s="16" t="n">
        <f aca="false">1-a25_ni/(a25_oi+a25_oth)</f>
        <v>0.195450894178328</v>
      </c>
      <c r="D173" s="16" t="n">
        <f aca="false">1-a26_ni/(a26_oi+a26_oth)</f>
        <v>0.209652694791935</v>
      </c>
      <c r="E173" s="16" t="n">
        <f aca="false">tx_f</f>
        <v>0.21</v>
      </c>
      <c r="F173" s="16" t="n">
        <f aca="false">tx_f</f>
        <v>0.21</v>
      </c>
      <c r="G173" s="16" t="n">
        <f aca="false">tx_f</f>
        <v>0.21</v>
      </c>
    </row>
    <row r="174" customFormat="false" ht="17.15" hidden="false" customHeight="false" outlineLevel="0" collapsed="false">
      <c r="A174" s="5" t="s">
        <v>372</v>
      </c>
      <c r="B174" s="0" t="s">
        <v>34</v>
      </c>
      <c r="C174" s="21" t="n">
        <f aca="false">a25_ni</f>
        <v>3.806</v>
      </c>
      <c r="D174" s="21" t="n">
        <f aca="false">a26_ni</f>
        <v>5.224907</v>
      </c>
      <c r="E174" s="21" t="n">
        <f aca="false">(E170+E172)*(1-E173)</f>
        <v>7.05782426962181</v>
      </c>
      <c r="F174" s="21" t="n">
        <f aca="false">(F170+F172)*(1-F173)</f>
        <v>7.6908286786452</v>
      </c>
      <c r="G174" s="21" t="n">
        <f aca="false">(G170+G172)*(1-G173)</f>
        <v>8.41469114799191</v>
      </c>
    </row>
    <row r="175" customFormat="false" ht="15" hidden="false" customHeight="false" outlineLevel="0" collapsed="false">
      <c r="A175" s="5" t="s">
        <v>406</v>
      </c>
      <c r="B175" s="5" t="s">
        <v>167</v>
      </c>
      <c r="C175" s="17" t="n">
        <f aca="false">a25_sh</f>
        <v>1.2757</v>
      </c>
      <c r="D175" s="17" t="n">
        <f aca="false">a26_sh</f>
        <v>1.27595</v>
      </c>
      <c r="E175" s="17" t="n">
        <f aca="false">D175*(1+sh_g)</f>
        <v>1.27595</v>
      </c>
      <c r="F175" s="17" t="n">
        <f aca="false">E175*(1+sh_g)</f>
        <v>1.27595</v>
      </c>
      <c r="G175" s="17" t="n">
        <f aca="false">F175*(1+sh_g)</f>
        <v>1.27595</v>
      </c>
    </row>
    <row r="176" customFormat="false" ht="17.15" hidden="false" customHeight="false" outlineLevel="0" collapsed="false">
      <c r="A176" s="0" t="s">
        <v>373</v>
      </c>
      <c r="B176" s="0" t="s">
        <v>202</v>
      </c>
      <c r="C176" s="21" t="n">
        <f aca="false">C174/C175</f>
        <v>2.9834600611429</v>
      </c>
      <c r="D176" s="21" t="n">
        <f aca="false">D174/D175</f>
        <v>4.0949151612524</v>
      </c>
      <c r="E176" s="21" t="n">
        <f aca="false">E174/E175</f>
        <v>5.53142699135688</v>
      </c>
      <c r="F176" s="21" t="n">
        <f aca="false">F174/F175</f>
        <v>6.02753139123414</v>
      </c>
      <c r="G176" s="21" t="n">
        <f aca="false">G174/G175</f>
        <v>6.594843957829</v>
      </c>
    </row>
    <row r="177" customFormat="false" ht="17.15" hidden="false" customHeight="false" outlineLevel="0" collapsed="false">
      <c r="A177" s="0" t="s">
        <v>407</v>
      </c>
      <c r="B177" s="0" t="s">
        <v>79</v>
      </c>
      <c r="D177" s="16" t="n">
        <f aca="false">D176/C176-1</f>
        <v>0.372538957227979</v>
      </c>
      <c r="E177" s="16" t="n">
        <f aca="false">E176/D176-1</f>
        <v>0.35080380753606</v>
      </c>
      <c r="F177" s="16" t="n">
        <f aca="false">F176/E176-1</f>
        <v>0.0896883210521338</v>
      </c>
      <c r="G177" s="16" t="n">
        <f aca="false">G176/F176-1</f>
        <v>0.0941202176764944</v>
      </c>
    </row>
    <row r="180" customFormat="false" ht="17.15" hidden="false" customHeight="false" outlineLevel="0" collapsed="false">
      <c r="A180" s="3" t="s">
        <v>748</v>
      </c>
    </row>
    <row r="181" customFormat="false" ht="17.15" hidden="false" customHeight="false" outlineLevel="0" collapsed="false">
      <c r="A181" s="6" t="s">
        <v>23</v>
      </c>
      <c r="B181" s="6" t="s">
        <v>24</v>
      </c>
      <c r="C181" s="13" t="s">
        <v>295</v>
      </c>
      <c r="D181" s="13" t="s">
        <v>363</v>
      </c>
      <c r="E181" s="13" t="s">
        <v>364</v>
      </c>
      <c r="F181" s="13" t="s">
        <v>365</v>
      </c>
      <c r="G181" s="13" t="s">
        <v>366</v>
      </c>
      <c r="H181" s="6" t="s">
        <v>283</v>
      </c>
    </row>
    <row r="182" customFormat="false" ht="17.15" hidden="false" customHeight="false" outlineLevel="0" collapsed="false">
      <c r="A182" s="1" t="s">
        <v>382</v>
      </c>
    </row>
    <row r="183" customFormat="false" ht="17.15" hidden="false" customHeight="false" outlineLevel="0" collapsed="false">
      <c r="A183" s="0" t="s">
        <v>383</v>
      </c>
      <c r="B183" s="0" t="s">
        <v>34</v>
      </c>
      <c r="D183" s="21" t="n">
        <f aca="false">mkt_26*1</f>
        <v>32.0719</v>
      </c>
      <c r="E183" s="21" t="n">
        <f aca="false">mkt_27*1*mf_lo</f>
        <v>48.868</v>
      </c>
      <c r="F183" s="21" t="n">
        <f aca="false">mkt_28*um28_A*mf_lo</f>
        <v>55.204</v>
      </c>
      <c r="G183" s="21" t="n">
        <f aca="false">mkt_29*um29_A*mf_lo</f>
        <v>62.78572</v>
      </c>
    </row>
    <row r="184" customFormat="false" ht="15" hidden="false" customHeight="false" outlineLevel="0" collapsed="false">
      <c r="A184" s="5" t="s">
        <v>348</v>
      </c>
      <c r="B184" s="0" t="s">
        <v>79</v>
      </c>
      <c r="D184" s="16" t="n">
        <f aca="false">eth_26</f>
        <v>0.75</v>
      </c>
      <c r="E184" s="16" t="n">
        <f aca="false">eth_27</f>
        <v>0.8</v>
      </c>
      <c r="F184" s="16" t="n">
        <f aca="false">eth_28</f>
        <v>0.83</v>
      </c>
      <c r="G184" s="16" t="n">
        <f aca="false">eth_29</f>
        <v>0.85</v>
      </c>
    </row>
    <row r="185" customFormat="false" ht="17.15" hidden="false" customHeight="false" outlineLevel="0" collapsed="false">
      <c r="A185" s="0" t="s">
        <v>350</v>
      </c>
      <c r="B185" s="0" t="s">
        <v>34</v>
      </c>
      <c r="D185" s="21" t="n">
        <f aca="false">D183*D184</f>
        <v>24.053925</v>
      </c>
      <c r="E185" s="21" t="n">
        <f aca="false">E183*E184</f>
        <v>39.0944</v>
      </c>
      <c r="F185" s="21" t="n">
        <f aca="false">F183*F184</f>
        <v>45.81932</v>
      </c>
      <c r="G185" s="21" t="n">
        <f aca="false">G183*G184</f>
        <v>53.367862</v>
      </c>
    </row>
    <row r="186" customFormat="false" ht="17.15" hidden="false" customHeight="false" outlineLevel="0" collapsed="false">
      <c r="A186" s="0" t="s">
        <v>384</v>
      </c>
      <c r="B186" s="0" t="s">
        <v>79</v>
      </c>
      <c r="D186" s="16" t="n">
        <f aca="false">a26_ai/D185</f>
        <v>0.14550639864388</v>
      </c>
      <c r="H186" s="8" t="s">
        <v>385</v>
      </c>
    </row>
    <row r="187" customFormat="false" ht="17.15" hidden="false" customHeight="false" outlineLevel="0" collapsed="false">
      <c r="A187" s="5" t="s">
        <v>386</v>
      </c>
      <c r="B187" s="0" t="s">
        <v>57</v>
      </c>
      <c r="D187" s="19" t="n">
        <f aca="false">1</f>
        <v>1</v>
      </c>
      <c r="E187" s="19" t="n">
        <f aca="false">rel_27</f>
        <v>0.95</v>
      </c>
      <c r="F187" s="19" t="n">
        <f aca="false">rel_28</f>
        <v>0.9</v>
      </c>
      <c r="G187" s="19" t="n">
        <f aca="false">rel_29</f>
        <v>0.88</v>
      </c>
    </row>
    <row r="188" customFormat="false" ht="17.15" hidden="false" customHeight="false" outlineLevel="0" collapsed="false">
      <c r="A188" s="0" t="s">
        <v>387</v>
      </c>
      <c r="B188" s="0" t="s">
        <v>79</v>
      </c>
      <c r="D188" s="16" t="n">
        <f aca="false">$D$186*D187</f>
        <v>0.14550639864388</v>
      </c>
      <c r="E188" s="16" t="n">
        <f aca="false">$D$186*E187</f>
        <v>0.138231078711686</v>
      </c>
      <c r="F188" s="16" t="n">
        <f aca="false">$D$186*F187</f>
        <v>0.130955758779492</v>
      </c>
      <c r="G188" s="16" t="n">
        <f aca="false">$D$186*G187</f>
        <v>0.128045630806615</v>
      </c>
    </row>
    <row r="189" customFormat="false" ht="17.15" hidden="false" customHeight="false" outlineLevel="0" collapsed="false">
      <c r="A189" s="0" t="s">
        <v>327</v>
      </c>
      <c r="B189" s="0" t="s">
        <v>34</v>
      </c>
      <c r="C189" s="21" t="n">
        <f aca="false">a25_ai</f>
        <v>1.63</v>
      </c>
      <c r="D189" s="21" t="n">
        <f aca="false">D185*D188</f>
        <v>3.5</v>
      </c>
      <c r="E189" s="21" t="n">
        <f aca="false">E185*E188</f>
        <v>5.40406108358615</v>
      </c>
      <c r="F189" s="21" t="n">
        <f aca="false">F185*F188</f>
        <v>6.00030381736037</v>
      </c>
      <c r="G189" s="21" t="n">
        <f aca="false">G185*G188</f>
        <v>6.83352155459037</v>
      </c>
    </row>
    <row r="190" customFormat="false" ht="17.15" hidden="false" customHeight="false" outlineLevel="0" collapsed="false">
      <c r="A190" s="1" t="s">
        <v>388</v>
      </c>
    </row>
    <row r="191" customFormat="false" ht="17.15" hidden="false" customHeight="false" outlineLevel="0" collapsed="false">
      <c r="A191" s="5" t="s">
        <v>389</v>
      </c>
      <c r="B191" s="0" t="s">
        <v>34</v>
      </c>
      <c r="C191" s="21" t="n">
        <f aca="false">a25_nai</f>
        <v>7.3757</v>
      </c>
      <c r="D191" s="21" t="n">
        <f aca="false">a26_nai</f>
        <v>9.1</v>
      </c>
      <c r="E191" s="21" t="n">
        <f aca="false">D191*(1+g_nai27)</f>
        <v>10.01</v>
      </c>
      <c r="F191" s="21" t="n">
        <f aca="false">E191*(1+g_nai28)</f>
        <v>10.8108</v>
      </c>
      <c r="G191" s="21" t="n">
        <f aca="false">F191*(1+g_nai29)</f>
        <v>11.459448</v>
      </c>
    </row>
    <row r="192" customFormat="false" ht="15" hidden="false" customHeight="false" outlineLevel="0" collapsed="false">
      <c r="A192" s="5" t="s">
        <v>302</v>
      </c>
      <c r="B192" s="0" t="s">
        <v>34</v>
      </c>
      <c r="C192" s="21" t="n">
        <f aca="false">a25_rev</f>
        <v>9.0057</v>
      </c>
      <c r="D192" s="21" t="n">
        <f aca="false">D189+D191</f>
        <v>12.6</v>
      </c>
      <c r="E192" s="21" t="n">
        <f aca="false">E189+E191</f>
        <v>15.4140610835862</v>
      </c>
      <c r="F192" s="21" t="n">
        <f aca="false">F189+F191</f>
        <v>16.8111038173604</v>
      </c>
      <c r="G192" s="21" t="n">
        <f aca="false">G189+G191</f>
        <v>18.2929695545904</v>
      </c>
    </row>
    <row r="193" customFormat="false" ht="17.15" hidden="false" customHeight="false" outlineLevel="0" collapsed="false">
      <c r="A193" s="5" t="s">
        <v>390</v>
      </c>
      <c r="B193" s="0" t="s">
        <v>34</v>
      </c>
      <c r="C193" s="21" t="n">
        <f aca="false">svc25</f>
        <v>1.4288</v>
      </c>
      <c r="D193" s="21" t="n">
        <f aca="false">C193*(1+g_svc26)</f>
        <v>1.743136</v>
      </c>
      <c r="E193" s="21" t="n">
        <f aca="false">D193*(1+g_svc27)</f>
        <v>2.0046064</v>
      </c>
      <c r="F193" s="21" t="n">
        <f aca="false">E193*(1+g_svc28)</f>
        <v>2.20506704</v>
      </c>
      <c r="G193" s="21" t="n">
        <f aca="false">F193*(1+g_svc29)</f>
        <v>2.3814724032</v>
      </c>
      <c r="H193" s="5" t="s">
        <v>391</v>
      </c>
    </row>
    <row r="194" customFormat="false" ht="17.15" hidden="false" customHeight="false" outlineLevel="0" collapsed="false">
      <c r="A194" s="5" t="s">
        <v>392</v>
      </c>
      <c r="B194" s="0" t="s">
        <v>34</v>
      </c>
      <c r="C194" s="21" t="n">
        <f aca="false">C191-C193</f>
        <v>5.9469</v>
      </c>
      <c r="D194" s="21" t="n">
        <f aca="false">D191-D193</f>
        <v>7.356864</v>
      </c>
      <c r="E194" s="21" t="n">
        <f aca="false">E191-E193</f>
        <v>8.0053936</v>
      </c>
      <c r="F194" s="21" t="n">
        <f aca="false">F191-F193</f>
        <v>8.60573296</v>
      </c>
      <c r="G194" s="21" t="n">
        <f aca="false">G191-G193</f>
        <v>9.0779755968</v>
      </c>
    </row>
    <row r="195" customFormat="false" ht="17.15" hidden="false" customHeight="false" outlineLevel="0" collapsed="false">
      <c r="A195" s="5" t="s">
        <v>393</v>
      </c>
      <c r="B195" s="0" t="s">
        <v>34</v>
      </c>
      <c r="C195" s="21" t="n">
        <f aca="false">C189+C194</f>
        <v>7.5769</v>
      </c>
      <c r="D195" s="21" t="n">
        <f aca="false">D189+D194</f>
        <v>10.856864</v>
      </c>
      <c r="E195" s="21" t="n">
        <f aca="false">E189+E194</f>
        <v>13.4094546835862</v>
      </c>
      <c r="F195" s="21" t="n">
        <f aca="false">F189+F194</f>
        <v>14.6060367773604</v>
      </c>
      <c r="G195" s="21" t="n">
        <f aca="false">G189+G194</f>
        <v>15.9114971513904</v>
      </c>
      <c r="H195" s="5" t="s">
        <v>394</v>
      </c>
    </row>
    <row r="196" customFormat="false" ht="15" hidden="false" customHeight="false" outlineLevel="0" collapsed="false">
      <c r="A196" s="5" t="s">
        <v>395</v>
      </c>
      <c r="B196" s="0" t="s">
        <v>34</v>
      </c>
      <c r="C196" s="17" t="n">
        <f aca="false">C195+C193-C192</f>
        <v>0</v>
      </c>
      <c r="D196" s="17" t="n">
        <f aca="false">D195+D193-D192</f>
        <v>0</v>
      </c>
      <c r="E196" s="17" t="n">
        <f aca="false">E195+E193-E192</f>
        <v>0</v>
      </c>
      <c r="F196" s="17" t="n">
        <f aca="false">F195+F193-F192</f>
        <v>0</v>
      </c>
      <c r="G196" s="17" t="n">
        <f aca="false">G195+G193-G192</f>
        <v>0</v>
      </c>
    </row>
    <row r="197" customFormat="false" ht="15" hidden="false" customHeight="false" outlineLevel="0" collapsed="false">
      <c r="A197" s="5" t="s">
        <v>396</v>
      </c>
      <c r="B197" s="0" t="s">
        <v>79</v>
      </c>
      <c r="D197" s="16" t="n">
        <f aca="false">D192/C192-1</f>
        <v>0.399113894533462</v>
      </c>
      <c r="E197" s="16" t="n">
        <f aca="false">E192/D192-1</f>
        <v>0.223338181236996</v>
      </c>
      <c r="F197" s="16" t="n">
        <f aca="false">F192/E192-1</f>
        <v>0.090634306312817</v>
      </c>
      <c r="G197" s="16" t="n">
        <f aca="false">G192/F192-1</f>
        <v>0.0881480331886186</v>
      </c>
    </row>
    <row r="198" customFormat="false" ht="17.15" hidden="false" customHeight="false" outlineLevel="0" collapsed="false">
      <c r="A198" s="0" t="s">
        <v>332</v>
      </c>
      <c r="B198" s="0" t="s">
        <v>79</v>
      </c>
      <c r="C198" s="16" t="n">
        <f aca="false">C189/C192</f>
        <v>0.180996480007107</v>
      </c>
      <c r="D198" s="16" t="n">
        <f aca="false">D189/D192</f>
        <v>0.277777777777778</v>
      </c>
      <c r="E198" s="16" t="n">
        <f aca="false">E189/E192</f>
        <v>0.350592945900593</v>
      </c>
      <c r="F198" s="16" t="n">
        <f aca="false">F189/F192</f>
        <v>0.356925034938159</v>
      </c>
      <c r="G198" s="16" t="n">
        <f aca="false">G189/G192</f>
        <v>0.373559991678639</v>
      </c>
    </row>
    <row r="199" customFormat="false" ht="17.15" hidden="false" customHeight="false" outlineLevel="0" collapsed="false">
      <c r="A199" s="1" t="s">
        <v>397</v>
      </c>
    </row>
    <row r="200" customFormat="false" ht="17.15" hidden="false" customHeight="false" outlineLevel="0" collapsed="false">
      <c r="A200" s="5" t="s">
        <v>398</v>
      </c>
      <c r="B200" s="0" t="s">
        <v>79</v>
      </c>
      <c r="D200" s="16" t="n">
        <f aca="false">a26_gp/a26_rev+d_ai*D198</f>
        <v>0.646666666666667</v>
      </c>
      <c r="H200" s="8" t="s">
        <v>399</v>
      </c>
    </row>
    <row r="201" customFormat="false" ht="15" hidden="false" customHeight="false" outlineLevel="0" collapsed="false">
      <c r="A201" s="5" t="s">
        <v>400</v>
      </c>
      <c r="B201" s="0" t="s">
        <v>34</v>
      </c>
      <c r="C201" s="21" t="n">
        <f aca="false">a25_gp</f>
        <v>5.8154</v>
      </c>
      <c r="D201" s="21" t="n">
        <f aca="false">a26_gp</f>
        <v>7.938</v>
      </c>
      <c r="E201" s="21" t="n">
        <f aca="false">$D$200*E191+($D$200-d_ai)*E189</f>
        <v>9.64351583570388</v>
      </c>
      <c r="F201" s="21" t="n">
        <f aca="false">$D$200*F191+($D$200-d_ai)*F189</f>
        <v>10.5111622395181</v>
      </c>
      <c r="G201" s="21" t="n">
        <f aca="false">$D$200*G191+($D$200-d_ai)*G189</f>
        <v>11.4194423520264</v>
      </c>
    </row>
    <row r="202" customFormat="false" ht="15" hidden="false" customHeight="false" outlineLevel="0" collapsed="false">
      <c r="A202" s="5" t="s">
        <v>308</v>
      </c>
      <c r="B202" s="0" t="s">
        <v>79</v>
      </c>
      <c r="C202" s="16" t="n">
        <f aca="false">C201/C192</f>
        <v>0.645746582719833</v>
      </c>
      <c r="D202" s="16" t="n">
        <f aca="false">D201/D192</f>
        <v>0.63</v>
      </c>
      <c r="E202" s="16" t="n">
        <f aca="false">E201/E192</f>
        <v>0.625631089912631</v>
      </c>
      <c r="F202" s="16" t="n">
        <f aca="false">F201/F192</f>
        <v>0.625251164570377</v>
      </c>
      <c r="G202" s="16" t="n">
        <f aca="false">G201/G192</f>
        <v>0.624253067165949</v>
      </c>
    </row>
    <row r="203" customFormat="false" ht="15" hidden="false" customHeight="false" outlineLevel="0" collapsed="false">
      <c r="A203" s="5" t="s">
        <v>401</v>
      </c>
      <c r="B203" s="0" t="s">
        <v>34</v>
      </c>
      <c r="C203" s="21" t="n">
        <f aca="false">a25_opx</f>
        <v>1.4784</v>
      </c>
      <c r="D203" s="21" t="n">
        <f aca="false">a26_opx</f>
        <v>1.827</v>
      </c>
      <c r="E203" s="21" t="n">
        <f aca="false">D203*(1+MAX(0,phi*E197))</f>
        <v>2.051421371416</v>
      </c>
      <c r="F203" s="21" t="n">
        <f aca="false">E203*(1+MAX(0,phi*F197))</f>
        <v>2.15368240554046</v>
      </c>
      <c r="G203" s="21" t="n">
        <f aca="false">F203*(1+MAX(0,phi*G197))</f>
        <v>2.25809598302919</v>
      </c>
    </row>
    <row r="204" customFormat="false" ht="15" hidden="false" customHeight="false" outlineLevel="0" collapsed="false">
      <c r="A204" s="5" t="s">
        <v>402</v>
      </c>
      <c r="B204" s="0" t="s">
        <v>34</v>
      </c>
      <c r="C204" s="21" t="n">
        <f aca="false">C203</f>
        <v>1.4784</v>
      </c>
      <c r="D204" s="21" t="n">
        <f aca="false">D203</f>
        <v>1.827</v>
      </c>
      <c r="E204" s="21" t="n">
        <f aca="false">E203+0*E192</f>
        <v>2.051421371416</v>
      </c>
      <c r="F204" s="21" t="n">
        <f aca="false">F203+0*F192</f>
        <v>2.15368240554046</v>
      </c>
      <c r="G204" s="21" t="n">
        <f aca="false">G203+0*G192</f>
        <v>2.25809598302919</v>
      </c>
    </row>
    <row r="205" customFormat="false" ht="15" hidden="false" customHeight="false" outlineLevel="0" collapsed="false">
      <c r="A205" s="5" t="s">
        <v>403</v>
      </c>
      <c r="B205" s="0" t="s">
        <v>34</v>
      </c>
      <c r="C205" s="21" t="n">
        <f aca="false">C201-C204</f>
        <v>4.337</v>
      </c>
      <c r="D205" s="21" t="n">
        <f aca="false">D201-D204</f>
        <v>6.111</v>
      </c>
      <c r="E205" s="21" t="n">
        <f aca="false">E201-E204</f>
        <v>7.59209446428788</v>
      </c>
      <c r="F205" s="21" t="n">
        <f aca="false">F201-F204</f>
        <v>8.35747983397762</v>
      </c>
      <c r="G205" s="21" t="n">
        <f aca="false">G201-G204</f>
        <v>9.16134636899716</v>
      </c>
    </row>
    <row r="206" customFormat="false" ht="15" hidden="false" customHeight="false" outlineLevel="0" collapsed="false">
      <c r="A206" s="5" t="s">
        <v>313</v>
      </c>
      <c r="B206" s="0" t="s">
        <v>79</v>
      </c>
      <c r="C206" s="16" t="n">
        <f aca="false">C205/C192</f>
        <v>0.48158388576124</v>
      </c>
      <c r="D206" s="16" t="n">
        <f aca="false">D205/D192</f>
        <v>0.485</v>
      </c>
      <c r="E206" s="16" t="n">
        <f aca="false">E205/E192</f>
        <v>0.492543426623138</v>
      </c>
      <c r="F206" s="16" t="n">
        <f aca="false">F205/F192</f>
        <v>0.497140456972676</v>
      </c>
      <c r="G206" s="16" t="n">
        <f aca="false">G205/G192</f>
        <v>0.500812420949897</v>
      </c>
    </row>
    <row r="207" customFormat="false" ht="15" hidden="false" customHeight="false" outlineLevel="0" collapsed="false">
      <c r="A207" s="5" t="s">
        <v>404</v>
      </c>
      <c r="B207" s="0" t="s">
        <v>34</v>
      </c>
      <c r="C207" s="21" t="n">
        <f aca="false">a25_oth</f>
        <v>0.3936</v>
      </c>
      <c r="D207" s="21" t="n">
        <f aca="false">a26_oth</f>
        <v>0.4999</v>
      </c>
      <c r="E207" s="21" t="n">
        <f aca="false">oth_f</f>
        <v>0.55</v>
      </c>
      <c r="F207" s="21" t="n">
        <f aca="false">oth_f</f>
        <v>0.55</v>
      </c>
      <c r="G207" s="21" t="n">
        <f aca="false">oth_f</f>
        <v>0.55</v>
      </c>
    </row>
    <row r="208" customFormat="false" ht="15" hidden="false" customHeight="false" outlineLevel="0" collapsed="false">
      <c r="A208" s="5" t="s">
        <v>405</v>
      </c>
      <c r="B208" s="0" t="s">
        <v>79</v>
      </c>
      <c r="C208" s="16" t="n">
        <f aca="false">1-a25_ni/(a25_oi+a25_oth)</f>
        <v>0.195450894178328</v>
      </c>
      <c r="D208" s="16" t="n">
        <f aca="false">1-a26_ni/(a26_oi+a26_oth)</f>
        <v>0.209652694791935</v>
      </c>
      <c r="E208" s="16" t="n">
        <f aca="false">tx_f</f>
        <v>0.21</v>
      </c>
      <c r="F208" s="16" t="n">
        <f aca="false">tx_f</f>
        <v>0.21</v>
      </c>
      <c r="G208" s="16" t="n">
        <f aca="false">tx_f</f>
        <v>0.21</v>
      </c>
    </row>
    <row r="209" customFormat="false" ht="17.15" hidden="false" customHeight="false" outlineLevel="0" collapsed="false">
      <c r="A209" s="5" t="s">
        <v>372</v>
      </c>
      <c r="B209" s="0" t="s">
        <v>34</v>
      </c>
      <c r="C209" s="21" t="n">
        <f aca="false">a25_ni</f>
        <v>3.806</v>
      </c>
      <c r="D209" s="21" t="n">
        <f aca="false">a26_ni</f>
        <v>5.224907</v>
      </c>
      <c r="E209" s="21" t="n">
        <f aca="false">(E205+E207)*(1-E208)</f>
        <v>6.43225462678743</v>
      </c>
      <c r="F209" s="21" t="n">
        <f aca="false">(F205+F207)*(1-F208)</f>
        <v>7.03690906884232</v>
      </c>
      <c r="G209" s="21" t="n">
        <f aca="false">(G205+G207)*(1-G208)</f>
        <v>7.67196363150776</v>
      </c>
    </row>
    <row r="210" customFormat="false" ht="15" hidden="false" customHeight="false" outlineLevel="0" collapsed="false">
      <c r="A210" s="5" t="s">
        <v>406</v>
      </c>
      <c r="B210" s="5" t="s">
        <v>167</v>
      </c>
      <c r="C210" s="17" t="n">
        <f aca="false">a25_sh</f>
        <v>1.2757</v>
      </c>
      <c r="D210" s="17" t="n">
        <f aca="false">a26_sh</f>
        <v>1.27595</v>
      </c>
      <c r="E210" s="17" t="n">
        <f aca="false">D210*(1+sh_g)</f>
        <v>1.27595</v>
      </c>
      <c r="F210" s="17" t="n">
        <f aca="false">E210*(1+sh_g)</f>
        <v>1.27595</v>
      </c>
      <c r="G210" s="17" t="n">
        <f aca="false">F210*(1+sh_g)</f>
        <v>1.27595</v>
      </c>
    </row>
    <row r="211" customFormat="false" ht="17.15" hidden="false" customHeight="false" outlineLevel="0" collapsed="false">
      <c r="A211" s="0" t="s">
        <v>373</v>
      </c>
      <c r="B211" s="0" t="s">
        <v>202</v>
      </c>
      <c r="C211" s="21" t="n">
        <f aca="false">C209/C210</f>
        <v>2.9834600611429</v>
      </c>
      <c r="D211" s="21" t="n">
        <f aca="false">D209/D210</f>
        <v>4.0949151612524</v>
      </c>
      <c r="E211" s="21" t="n">
        <f aca="false">E209/E210</f>
        <v>5.04114943907475</v>
      </c>
      <c r="F211" s="21" t="n">
        <f aca="false">F209/F210</f>
        <v>5.51503512586099</v>
      </c>
      <c r="G211" s="21" t="n">
        <f aca="false">G209/G210</f>
        <v>6.01274629218054</v>
      </c>
    </row>
    <row r="212" customFormat="false" ht="17.15" hidden="false" customHeight="false" outlineLevel="0" collapsed="false">
      <c r="A212" s="0" t="s">
        <v>407</v>
      </c>
      <c r="B212" s="0" t="s">
        <v>79</v>
      </c>
      <c r="D212" s="16" t="n">
        <f aca="false">D211/C211-1</f>
        <v>0.372538957227979</v>
      </c>
      <c r="E212" s="16" t="n">
        <f aca="false">E211/D211-1</f>
        <v>0.231075429053077</v>
      </c>
      <c r="F212" s="16" t="n">
        <f aca="false">F211/E211-1</f>
        <v>0.0940034991053969</v>
      </c>
      <c r="G212" s="16" t="n">
        <f aca="false">G211/F211-1</f>
        <v>0.0902462368708581</v>
      </c>
    </row>
    <row r="215" customFormat="false" ht="17.15" hidden="false" customHeight="false" outlineLevel="0" collapsed="false">
      <c r="A215" s="3" t="s">
        <v>749</v>
      </c>
    </row>
    <row r="216" customFormat="false" ht="17.15" hidden="false" customHeight="false" outlineLevel="0" collapsed="false">
      <c r="A216" s="6" t="s">
        <v>23</v>
      </c>
      <c r="B216" s="6" t="s">
        <v>24</v>
      </c>
      <c r="C216" s="13" t="s">
        <v>295</v>
      </c>
      <c r="D216" s="13" t="s">
        <v>363</v>
      </c>
      <c r="E216" s="13" t="s">
        <v>364</v>
      </c>
      <c r="F216" s="13" t="s">
        <v>365</v>
      </c>
      <c r="G216" s="13" t="s">
        <v>366</v>
      </c>
      <c r="H216" s="6" t="s">
        <v>283</v>
      </c>
    </row>
    <row r="217" customFormat="false" ht="17.15" hidden="false" customHeight="false" outlineLevel="0" collapsed="false">
      <c r="A217" s="1" t="s">
        <v>382</v>
      </c>
    </row>
    <row r="218" customFormat="false" ht="17.15" hidden="false" customHeight="false" outlineLevel="0" collapsed="false">
      <c r="A218" s="0" t="s">
        <v>383</v>
      </c>
      <c r="B218" s="0" t="s">
        <v>34</v>
      </c>
      <c r="D218" s="21" t="n">
        <f aca="false">mkt_26*1</f>
        <v>32.0719</v>
      </c>
      <c r="E218" s="21" t="n">
        <f aca="false">mkt_27*1*mf_hi</f>
        <v>73.302</v>
      </c>
      <c r="F218" s="21" t="n">
        <f aca="false">mkt_28*um28_A*mf_hi</f>
        <v>82.806</v>
      </c>
      <c r="G218" s="21" t="n">
        <f aca="false">mkt_29*um29_A*mf_hi</f>
        <v>94.17858</v>
      </c>
    </row>
    <row r="219" customFormat="false" ht="15" hidden="false" customHeight="false" outlineLevel="0" collapsed="false">
      <c r="A219" s="5" t="s">
        <v>348</v>
      </c>
      <c r="B219" s="0" t="s">
        <v>79</v>
      </c>
      <c r="D219" s="16" t="n">
        <f aca="false">eth_26</f>
        <v>0.75</v>
      </c>
      <c r="E219" s="16" t="n">
        <f aca="false">eth_27</f>
        <v>0.8</v>
      </c>
      <c r="F219" s="16" t="n">
        <f aca="false">eth_28</f>
        <v>0.83</v>
      </c>
      <c r="G219" s="16" t="n">
        <f aca="false">eth_29</f>
        <v>0.85</v>
      </c>
    </row>
    <row r="220" customFormat="false" ht="17.15" hidden="false" customHeight="false" outlineLevel="0" collapsed="false">
      <c r="A220" s="0" t="s">
        <v>350</v>
      </c>
      <c r="B220" s="0" t="s">
        <v>34</v>
      </c>
      <c r="D220" s="21" t="n">
        <f aca="false">D218*D219</f>
        <v>24.053925</v>
      </c>
      <c r="E220" s="21" t="n">
        <f aca="false">E218*E219</f>
        <v>58.6416</v>
      </c>
      <c r="F220" s="21" t="n">
        <f aca="false">F218*F219</f>
        <v>68.72898</v>
      </c>
      <c r="G220" s="21" t="n">
        <f aca="false">G218*G219</f>
        <v>80.051793</v>
      </c>
    </row>
    <row r="221" customFormat="false" ht="17.15" hidden="false" customHeight="false" outlineLevel="0" collapsed="false">
      <c r="A221" s="0" t="s">
        <v>384</v>
      </c>
      <c r="B221" s="0" t="s">
        <v>79</v>
      </c>
      <c r="D221" s="16" t="n">
        <f aca="false">a26_ai/D220</f>
        <v>0.14550639864388</v>
      </c>
      <c r="H221" s="8" t="s">
        <v>385</v>
      </c>
    </row>
    <row r="222" customFormat="false" ht="17.15" hidden="false" customHeight="false" outlineLevel="0" collapsed="false">
      <c r="A222" s="5" t="s">
        <v>386</v>
      </c>
      <c r="B222" s="0" t="s">
        <v>57</v>
      </c>
      <c r="D222" s="19" t="n">
        <f aca="false">1</f>
        <v>1</v>
      </c>
      <c r="E222" s="19" t="n">
        <f aca="false">rel_27</f>
        <v>0.95</v>
      </c>
      <c r="F222" s="19" t="n">
        <f aca="false">rel_28</f>
        <v>0.9</v>
      </c>
      <c r="G222" s="19" t="n">
        <f aca="false">rel_29</f>
        <v>0.88</v>
      </c>
    </row>
    <row r="223" customFormat="false" ht="17.15" hidden="false" customHeight="false" outlineLevel="0" collapsed="false">
      <c r="A223" s="0" t="s">
        <v>387</v>
      </c>
      <c r="B223" s="0" t="s">
        <v>79</v>
      </c>
      <c r="D223" s="16" t="n">
        <f aca="false">$D$221*D222</f>
        <v>0.14550639864388</v>
      </c>
      <c r="E223" s="16" t="n">
        <f aca="false">$D$221*E222</f>
        <v>0.138231078711686</v>
      </c>
      <c r="F223" s="16" t="n">
        <f aca="false">$D$221*F222</f>
        <v>0.130955758779492</v>
      </c>
      <c r="G223" s="16" t="n">
        <f aca="false">$D$221*G222</f>
        <v>0.128045630806615</v>
      </c>
    </row>
    <row r="224" customFormat="false" ht="17.15" hidden="false" customHeight="false" outlineLevel="0" collapsed="false">
      <c r="A224" s="0" t="s">
        <v>327</v>
      </c>
      <c r="B224" s="0" t="s">
        <v>34</v>
      </c>
      <c r="C224" s="21" t="n">
        <f aca="false">a25_ai</f>
        <v>1.63</v>
      </c>
      <c r="D224" s="21" t="n">
        <f aca="false">D220*D223</f>
        <v>3.5</v>
      </c>
      <c r="E224" s="21" t="n">
        <f aca="false">E220*E223</f>
        <v>8.10609162537923</v>
      </c>
      <c r="F224" s="21" t="n">
        <f aca="false">F220*F223</f>
        <v>9.00045572604055</v>
      </c>
      <c r="G224" s="21" t="n">
        <f aca="false">G220*G223</f>
        <v>10.2502823318855</v>
      </c>
    </row>
    <row r="225" customFormat="false" ht="17.15" hidden="false" customHeight="false" outlineLevel="0" collapsed="false">
      <c r="A225" s="1" t="s">
        <v>388</v>
      </c>
    </row>
    <row r="226" customFormat="false" ht="17.15" hidden="false" customHeight="false" outlineLevel="0" collapsed="false">
      <c r="A226" s="5" t="s">
        <v>389</v>
      </c>
      <c r="B226" s="0" t="s">
        <v>34</v>
      </c>
      <c r="C226" s="21" t="n">
        <f aca="false">a25_nai</f>
        <v>7.3757</v>
      </c>
      <c r="D226" s="21" t="n">
        <f aca="false">a26_nai</f>
        <v>9.1</v>
      </c>
      <c r="E226" s="21" t="n">
        <f aca="false">D226*(1+g_nai27)</f>
        <v>10.01</v>
      </c>
      <c r="F226" s="21" t="n">
        <f aca="false">E226*(1+g_nai28)</f>
        <v>10.8108</v>
      </c>
      <c r="G226" s="21" t="n">
        <f aca="false">F226*(1+g_nai29)</f>
        <v>11.459448</v>
      </c>
    </row>
    <row r="227" customFormat="false" ht="15" hidden="false" customHeight="false" outlineLevel="0" collapsed="false">
      <c r="A227" s="5" t="s">
        <v>302</v>
      </c>
      <c r="B227" s="0" t="s">
        <v>34</v>
      </c>
      <c r="C227" s="21" t="n">
        <f aca="false">a25_rev</f>
        <v>9.0057</v>
      </c>
      <c r="D227" s="21" t="n">
        <f aca="false">D224+D226</f>
        <v>12.6</v>
      </c>
      <c r="E227" s="21" t="n">
        <f aca="false">E224+E226</f>
        <v>18.1160916253792</v>
      </c>
      <c r="F227" s="21" t="n">
        <f aca="false">F224+F226</f>
        <v>19.8112557260406</v>
      </c>
      <c r="G227" s="21" t="n">
        <f aca="false">G224+G226</f>
        <v>21.7097303318855</v>
      </c>
    </row>
    <row r="228" customFormat="false" ht="17.15" hidden="false" customHeight="false" outlineLevel="0" collapsed="false">
      <c r="A228" s="5" t="s">
        <v>390</v>
      </c>
      <c r="B228" s="0" t="s">
        <v>34</v>
      </c>
      <c r="C228" s="21" t="n">
        <f aca="false">svc25</f>
        <v>1.4288</v>
      </c>
      <c r="D228" s="21" t="n">
        <f aca="false">C228*(1+g_svc26)</f>
        <v>1.743136</v>
      </c>
      <c r="E228" s="21" t="n">
        <f aca="false">D228*(1+g_svc27)</f>
        <v>2.0046064</v>
      </c>
      <c r="F228" s="21" t="n">
        <f aca="false">E228*(1+g_svc28)</f>
        <v>2.20506704</v>
      </c>
      <c r="G228" s="21" t="n">
        <f aca="false">F228*(1+g_svc29)</f>
        <v>2.3814724032</v>
      </c>
      <c r="H228" s="5" t="s">
        <v>391</v>
      </c>
    </row>
    <row r="229" customFormat="false" ht="17.15" hidden="false" customHeight="false" outlineLevel="0" collapsed="false">
      <c r="A229" s="5" t="s">
        <v>392</v>
      </c>
      <c r="B229" s="0" t="s">
        <v>34</v>
      </c>
      <c r="C229" s="21" t="n">
        <f aca="false">C226-C228</f>
        <v>5.9469</v>
      </c>
      <c r="D229" s="21" t="n">
        <f aca="false">D226-D228</f>
        <v>7.356864</v>
      </c>
      <c r="E229" s="21" t="n">
        <f aca="false">E226-E228</f>
        <v>8.0053936</v>
      </c>
      <c r="F229" s="21" t="n">
        <f aca="false">F226-F228</f>
        <v>8.60573296</v>
      </c>
      <c r="G229" s="21" t="n">
        <f aca="false">G226-G228</f>
        <v>9.0779755968</v>
      </c>
    </row>
    <row r="230" customFormat="false" ht="17.15" hidden="false" customHeight="false" outlineLevel="0" collapsed="false">
      <c r="A230" s="5" t="s">
        <v>393</v>
      </c>
      <c r="B230" s="0" t="s">
        <v>34</v>
      </c>
      <c r="C230" s="21" t="n">
        <f aca="false">C224+C229</f>
        <v>7.5769</v>
      </c>
      <c r="D230" s="21" t="n">
        <f aca="false">D224+D229</f>
        <v>10.856864</v>
      </c>
      <c r="E230" s="21" t="n">
        <f aca="false">E224+E229</f>
        <v>16.1114852253792</v>
      </c>
      <c r="F230" s="21" t="n">
        <f aca="false">F224+F229</f>
        <v>17.6061886860406</v>
      </c>
      <c r="G230" s="21" t="n">
        <f aca="false">G224+G229</f>
        <v>19.3282579286855</v>
      </c>
      <c r="H230" s="5" t="s">
        <v>394</v>
      </c>
    </row>
    <row r="231" customFormat="false" ht="15" hidden="false" customHeight="false" outlineLevel="0" collapsed="false">
      <c r="A231" s="5" t="s">
        <v>395</v>
      </c>
      <c r="B231" s="0" t="s">
        <v>34</v>
      </c>
      <c r="C231" s="17" t="n">
        <f aca="false">C230+C228-C227</f>
        <v>0</v>
      </c>
      <c r="D231" s="17" t="n">
        <f aca="false">D230+D228-D227</f>
        <v>0</v>
      </c>
      <c r="E231" s="17" t="n">
        <f aca="false">E230+E228-E227</f>
        <v>0</v>
      </c>
      <c r="F231" s="17" t="n">
        <f aca="false">F230+F228-F227</f>
        <v>0</v>
      </c>
      <c r="G231" s="17" t="n">
        <f aca="false">G230+G228-G227</f>
        <v>0</v>
      </c>
    </row>
    <row r="232" customFormat="false" ht="15" hidden="false" customHeight="false" outlineLevel="0" collapsed="false">
      <c r="A232" s="5" t="s">
        <v>396</v>
      </c>
      <c r="B232" s="0" t="s">
        <v>79</v>
      </c>
      <c r="D232" s="16" t="n">
        <f aca="false">D227/C227-1</f>
        <v>0.399113894533462</v>
      </c>
      <c r="E232" s="16" t="n">
        <f aca="false">E227/D227-1</f>
        <v>0.437785049633272</v>
      </c>
      <c r="F232" s="16" t="n">
        <f aca="false">F227/E227-1</f>
        <v>0.0935722856626828</v>
      </c>
      <c r="G232" s="16" t="n">
        <f aca="false">G227/F227-1</f>
        <v>0.0958280803649201</v>
      </c>
    </row>
    <row r="233" customFormat="false" ht="17.15" hidden="false" customHeight="false" outlineLevel="0" collapsed="false">
      <c r="A233" s="0" t="s">
        <v>332</v>
      </c>
      <c r="B233" s="0" t="s">
        <v>79</v>
      </c>
      <c r="C233" s="16" t="n">
        <f aca="false">C224/C227</f>
        <v>0.180996480007107</v>
      </c>
      <c r="D233" s="16" t="n">
        <f aca="false">D224/D227</f>
        <v>0.277777777777778</v>
      </c>
      <c r="E233" s="16" t="n">
        <f aca="false">E224/E227</f>
        <v>0.447452562782539</v>
      </c>
      <c r="F233" s="16" t="n">
        <f aca="false">F224/F227</f>
        <v>0.454310208827907</v>
      </c>
      <c r="G233" s="16" t="n">
        <f aca="false">G224/G227</f>
        <v>0.472151527226975</v>
      </c>
    </row>
    <row r="234" customFormat="false" ht="17.15" hidden="false" customHeight="false" outlineLevel="0" collapsed="false">
      <c r="A234" s="1" t="s">
        <v>397</v>
      </c>
    </row>
    <row r="235" customFormat="false" ht="17.15" hidden="false" customHeight="false" outlineLevel="0" collapsed="false">
      <c r="A235" s="5" t="s">
        <v>398</v>
      </c>
      <c r="B235" s="0" t="s">
        <v>79</v>
      </c>
      <c r="D235" s="16" t="n">
        <f aca="false">a26_gp/a26_rev+d_ai*D233</f>
        <v>0.646666666666667</v>
      </c>
      <c r="H235" s="8" t="s">
        <v>399</v>
      </c>
    </row>
    <row r="236" customFormat="false" ht="15" hidden="false" customHeight="false" outlineLevel="0" collapsed="false">
      <c r="A236" s="5" t="s">
        <v>400</v>
      </c>
      <c r="B236" s="0" t="s">
        <v>34</v>
      </c>
      <c r="C236" s="21" t="n">
        <f aca="false">a25_gp</f>
        <v>5.8154</v>
      </c>
      <c r="D236" s="21" t="n">
        <f aca="false">a26_gp</f>
        <v>7.938</v>
      </c>
      <c r="E236" s="21" t="n">
        <f aca="false">$D$235*E226+($D$235-d_ai)*E224</f>
        <v>11.2287070868891</v>
      </c>
      <c r="F236" s="21" t="n">
        <f aca="false">$D$235*F226+($D$235-d_ai)*F224</f>
        <v>12.2712513592771</v>
      </c>
      <c r="G236" s="21" t="n">
        <f aca="false">$D$235*G226+($D$235-d_ai)*G224</f>
        <v>13.4239420080395</v>
      </c>
    </row>
    <row r="237" customFormat="false" ht="15" hidden="false" customHeight="false" outlineLevel="0" collapsed="false">
      <c r="A237" s="5" t="s">
        <v>308</v>
      </c>
      <c r="B237" s="0" t="s">
        <v>79</v>
      </c>
      <c r="C237" s="16" t="n">
        <f aca="false">C236/C227</f>
        <v>0.645746582719833</v>
      </c>
      <c r="D237" s="16" t="n">
        <f aca="false">D236/D227</f>
        <v>0.63</v>
      </c>
      <c r="E237" s="16" t="n">
        <f aca="false">E236/E227</f>
        <v>0.619819512899715</v>
      </c>
      <c r="F237" s="16" t="n">
        <f aca="false">F236/F227</f>
        <v>0.619408054136993</v>
      </c>
      <c r="G237" s="16" t="n">
        <f aca="false">G236/G227</f>
        <v>0.618337575033048</v>
      </c>
    </row>
    <row r="238" customFormat="false" ht="15" hidden="false" customHeight="false" outlineLevel="0" collapsed="false">
      <c r="A238" s="5" t="s">
        <v>401</v>
      </c>
      <c r="B238" s="0" t="s">
        <v>34</v>
      </c>
      <c r="C238" s="21" t="n">
        <f aca="false">a25_opx</f>
        <v>1.4784</v>
      </c>
      <c r="D238" s="21" t="n">
        <f aca="false">a26_opx</f>
        <v>1.827</v>
      </c>
      <c r="E238" s="21" t="n">
        <f aca="false">D238*(1+MAX(0,phi*E232))</f>
        <v>2.26690830712399</v>
      </c>
      <c r="F238" s="21" t="n">
        <f aca="false">E238*(1+MAX(0,phi*F232))</f>
        <v>2.38357419255092</v>
      </c>
      <c r="G238" s="21" t="n">
        <f aca="false">F238*(1+MAX(0,phi*G232))</f>
        <v>2.50920152915465</v>
      </c>
    </row>
    <row r="239" customFormat="false" ht="15" hidden="false" customHeight="false" outlineLevel="0" collapsed="false">
      <c r="A239" s="5" t="s">
        <v>402</v>
      </c>
      <c r="B239" s="0" t="s">
        <v>34</v>
      </c>
      <c r="C239" s="21" t="n">
        <f aca="false">C238</f>
        <v>1.4784</v>
      </c>
      <c r="D239" s="21" t="n">
        <f aca="false">D238</f>
        <v>1.827</v>
      </c>
      <c r="E239" s="21" t="n">
        <f aca="false">E238+0*E227</f>
        <v>2.26690830712399</v>
      </c>
      <c r="F239" s="21" t="n">
        <f aca="false">F238+0*F227</f>
        <v>2.38357419255092</v>
      </c>
      <c r="G239" s="21" t="n">
        <f aca="false">G238+0*G227</f>
        <v>2.50920152915465</v>
      </c>
    </row>
    <row r="240" customFormat="false" ht="15" hidden="false" customHeight="false" outlineLevel="0" collapsed="false">
      <c r="A240" s="5" t="s">
        <v>403</v>
      </c>
      <c r="B240" s="0" t="s">
        <v>34</v>
      </c>
      <c r="C240" s="21" t="n">
        <f aca="false">C236-C239</f>
        <v>4.337</v>
      </c>
      <c r="D240" s="21" t="n">
        <f aca="false">D236-D239</f>
        <v>6.111</v>
      </c>
      <c r="E240" s="21" t="n">
        <f aca="false">E236-E239</f>
        <v>8.96179877976516</v>
      </c>
      <c r="F240" s="21" t="n">
        <f aca="false">F236-F239</f>
        <v>9.88767716672621</v>
      </c>
      <c r="G240" s="21" t="n">
        <f aca="false">G236-G239</f>
        <v>10.9147404788849</v>
      </c>
    </row>
    <row r="241" customFormat="false" ht="15" hidden="false" customHeight="false" outlineLevel="0" collapsed="false">
      <c r="A241" s="5" t="s">
        <v>313</v>
      </c>
      <c r="B241" s="0" t="s">
        <v>79</v>
      </c>
      <c r="C241" s="16" t="n">
        <f aca="false">C240/C227</f>
        <v>0.48158388576124</v>
      </c>
      <c r="D241" s="16" t="n">
        <f aca="false">D240/D227</f>
        <v>0.485</v>
      </c>
      <c r="E241" s="16" t="n">
        <f aca="false">E240/E227</f>
        <v>0.494687207654127</v>
      </c>
      <c r="F241" s="16" t="n">
        <f aca="false">F240/F227</f>
        <v>0.499093914260545</v>
      </c>
      <c r="G241" s="16" t="n">
        <f aca="false">G240/G227</f>
        <v>0.502757994319909</v>
      </c>
    </row>
    <row r="242" customFormat="false" ht="15" hidden="false" customHeight="false" outlineLevel="0" collapsed="false">
      <c r="A242" s="5" t="s">
        <v>404</v>
      </c>
      <c r="B242" s="0" t="s">
        <v>34</v>
      </c>
      <c r="C242" s="21" t="n">
        <f aca="false">a25_oth</f>
        <v>0.3936</v>
      </c>
      <c r="D242" s="21" t="n">
        <f aca="false">a26_oth</f>
        <v>0.4999</v>
      </c>
      <c r="E242" s="21" t="n">
        <f aca="false">oth_f</f>
        <v>0.55</v>
      </c>
      <c r="F242" s="21" t="n">
        <f aca="false">oth_f</f>
        <v>0.55</v>
      </c>
      <c r="G242" s="21" t="n">
        <f aca="false">oth_f</f>
        <v>0.55</v>
      </c>
    </row>
    <row r="243" customFormat="false" ht="15" hidden="false" customHeight="false" outlineLevel="0" collapsed="false">
      <c r="A243" s="5" t="s">
        <v>405</v>
      </c>
      <c r="B243" s="0" t="s">
        <v>79</v>
      </c>
      <c r="C243" s="16" t="n">
        <f aca="false">1-a25_ni/(a25_oi+a25_oth)</f>
        <v>0.195450894178328</v>
      </c>
      <c r="D243" s="16" t="n">
        <f aca="false">1-a26_ni/(a26_oi+a26_oth)</f>
        <v>0.209652694791935</v>
      </c>
      <c r="E243" s="16" t="n">
        <f aca="false">tx_f</f>
        <v>0.21</v>
      </c>
      <c r="F243" s="16" t="n">
        <f aca="false">tx_f</f>
        <v>0.21</v>
      </c>
      <c r="G243" s="16" t="n">
        <f aca="false">tx_f</f>
        <v>0.21</v>
      </c>
    </row>
    <row r="244" customFormat="false" ht="17.15" hidden="false" customHeight="false" outlineLevel="0" collapsed="false">
      <c r="A244" s="5" t="s">
        <v>372</v>
      </c>
      <c r="B244" s="0" t="s">
        <v>34</v>
      </c>
      <c r="C244" s="21" t="n">
        <f aca="false">a25_ni</f>
        <v>3.806</v>
      </c>
      <c r="D244" s="21" t="n">
        <f aca="false">a26_ni</f>
        <v>5.224907</v>
      </c>
      <c r="E244" s="21" t="n">
        <f aca="false">(E240+E242)*(1-E243)</f>
        <v>7.51432103601447</v>
      </c>
      <c r="F244" s="21" t="n">
        <f aca="false">(F240+F242)*(1-F243)</f>
        <v>8.24576496171371</v>
      </c>
      <c r="G244" s="21" t="n">
        <f aca="false">(G240+G242)*(1-G243)</f>
        <v>9.05714497831905</v>
      </c>
    </row>
    <row r="245" customFormat="false" ht="15" hidden="false" customHeight="false" outlineLevel="0" collapsed="false">
      <c r="A245" s="5" t="s">
        <v>406</v>
      </c>
      <c r="B245" s="5" t="s">
        <v>167</v>
      </c>
      <c r="C245" s="17" t="n">
        <f aca="false">a25_sh</f>
        <v>1.2757</v>
      </c>
      <c r="D245" s="17" t="n">
        <f aca="false">a26_sh</f>
        <v>1.27595</v>
      </c>
      <c r="E245" s="17" t="n">
        <f aca="false">D245*(1+sh_g)</f>
        <v>1.27595</v>
      </c>
      <c r="F245" s="17" t="n">
        <f aca="false">E245*(1+sh_g)</f>
        <v>1.27595</v>
      </c>
      <c r="G245" s="17" t="n">
        <f aca="false">F245*(1+sh_g)</f>
        <v>1.27595</v>
      </c>
    </row>
    <row r="246" customFormat="false" ht="17.15" hidden="false" customHeight="false" outlineLevel="0" collapsed="false">
      <c r="A246" s="0" t="s">
        <v>373</v>
      </c>
      <c r="B246" s="0" t="s">
        <v>202</v>
      </c>
      <c r="C246" s="21" t="n">
        <f aca="false">C244/C245</f>
        <v>2.9834600611429</v>
      </c>
      <c r="D246" s="21" t="n">
        <f aca="false">D244/D245</f>
        <v>4.0949151612524</v>
      </c>
      <c r="E246" s="21" t="n">
        <f aca="false">E244/E245</f>
        <v>5.88919709707628</v>
      </c>
      <c r="F246" s="21" t="n">
        <f aca="false">F244/F245</f>
        <v>6.46245147671438</v>
      </c>
      <c r="G246" s="21" t="n">
        <f aca="false">G244/G245</f>
        <v>7.09835415049105</v>
      </c>
    </row>
    <row r="247" customFormat="false" ht="17.15" hidden="false" customHeight="false" outlineLevel="0" collapsed="false">
      <c r="A247" s="0" t="s">
        <v>407</v>
      </c>
      <c r="B247" s="0" t="s">
        <v>79</v>
      </c>
      <c r="D247" s="16" t="n">
        <f aca="false">D246/C246-1</f>
        <v>0.372538957227979</v>
      </c>
      <c r="E247" s="16" t="n">
        <f aca="false">E246/D246-1</f>
        <v>0.438173164807426</v>
      </c>
      <c r="F247" s="16" t="n">
        <f aca="false">F246/E246-1</f>
        <v>0.0973399888284763</v>
      </c>
      <c r="G247" s="16" t="n">
        <f aca="false">G246/F246-1</f>
        <v>0.0983996051758325</v>
      </c>
    </row>
    <row r="250" customFormat="false" ht="17.15" hidden="false" customHeight="false" outlineLevel="0" collapsed="false">
      <c r="A250" s="3" t="s">
        <v>750</v>
      </c>
    </row>
    <row r="251" customFormat="false" ht="17.15" hidden="false" customHeight="false" outlineLevel="0" collapsed="false">
      <c r="A251" s="6" t="s">
        <v>23</v>
      </c>
      <c r="B251" s="6" t="s">
        <v>24</v>
      </c>
      <c r="C251" s="13" t="s">
        <v>295</v>
      </c>
      <c r="D251" s="13" t="s">
        <v>363</v>
      </c>
      <c r="E251" s="13" t="s">
        <v>364</v>
      </c>
      <c r="F251" s="13" t="s">
        <v>365</v>
      </c>
      <c r="G251" s="13" t="s">
        <v>366</v>
      </c>
      <c r="H251" s="6" t="s">
        <v>283</v>
      </c>
    </row>
    <row r="252" customFormat="false" ht="17.15" hidden="false" customHeight="false" outlineLevel="0" collapsed="false">
      <c r="A252" s="1" t="s">
        <v>382</v>
      </c>
    </row>
    <row r="253" customFormat="false" ht="17.15" hidden="false" customHeight="false" outlineLevel="0" collapsed="false">
      <c r="A253" s="0" t="s">
        <v>383</v>
      </c>
      <c r="B253" s="0" t="s">
        <v>34</v>
      </c>
      <c r="D253" s="21" t="n">
        <f aca="false">mkt_26*1</f>
        <v>32.0719</v>
      </c>
      <c r="E253" s="21" t="n">
        <f aca="false">mkt_27*1*1</f>
        <v>61.085</v>
      </c>
      <c r="F253" s="21" t="n">
        <f aca="false">mkt_28*um28_A*1</f>
        <v>69.005</v>
      </c>
      <c r="G253" s="21" t="n">
        <f aca="false">mkt_29*um29_A*1</f>
        <v>78.48215</v>
      </c>
    </row>
    <row r="254" customFormat="false" ht="15" hidden="false" customHeight="false" outlineLevel="0" collapsed="false">
      <c r="A254" s="5" t="s">
        <v>348</v>
      </c>
      <c r="B254" s="0" t="s">
        <v>79</v>
      </c>
      <c r="D254" s="16" t="n">
        <f aca="false">eth_26</f>
        <v>0.75</v>
      </c>
      <c r="E254" s="16" t="n">
        <f aca="false">eth_27</f>
        <v>0.8</v>
      </c>
      <c r="F254" s="16" t="n">
        <f aca="false">eth_28</f>
        <v>0.83</v>
      </c>
      <c r="G254" s="16" t="n">
        <f aca="false">eth_29</f>
        <v>0.85</v>
      </c>
    </row>
    <row r="255" customFormat="false" ht="17.15" hidden="false" customHeight="false" outlineLevel="0" collapsed="false">
      <c r="A255" s="0" t="s">
        <v>350</v>
      </c>
      <c r="B255" s="0" t="s">
        <v>34</v>
      </c>
      <c r="D255" s="21" t="n">
        <f aca="false">D253*D254</f>
        <v>24.053925</v>
      </c>
      <c r="E255" s="21" t="n">
        <f aca="false">E253*E254</f>
        <v>48.868</v>
      </c>
      <c r="F255" s="21" t="n">
        <f aca="false">F253*F254</f>
        <v>57.27415</v>
      </c>
      <c r="G255" s="21" t="n">
        <f aca="false">G253*G254</f>
        <v>66.7098275</v>
      </c>
    </row>
    <row r="256" customFormat="false" ht="17.15" hidden="false" customHeight="false" outlineLevel="0" collapsed="false">
      <c r="A256" s="0" t="s">
        <v>384</v>
      </c>
      <c r="B256" s="0" t="s">
        <v>79</v>
      </c>
      <c r="D256" s="16" t="n">
        <f aca="false">a26_ai/D255</f>
        <v>0.14550639864388</v>
      </c>
      <c r="H256" s="8" t="s">
        <v>385</v>
      </c>
    </row>
    <row r="257" customFormat="false" ht="17.15" hidden="false" customHeight="false" outlineLevel="0" collapsed="false">
      <c r="A257" s="5" t="s">
        <v>386</v>
      </c>
      <c r="B257" s="0" t="s">
        <v>57</v>
      </c>
      <c r="D257" s="19" t="n">
        <f aca="false">1</f>
        <v>1</v>
      </c>
      <c r="E257" s="19" t="n">
        <f aca="false">rel_27</f>
        <v>0.95</v>
      </c>
      <c r="F257" s="19" t="n">
        <f aca="false">rel_28</f>
        <v>0.9</v>
      </c>
      <c r="G257" s="19" t="n">
        <f aca="false">rel_29</f>
        <v>0.88</v>
      </c>
    </row>
    <row r="258" customFormat="false" ht="17.15" hidden="false" customHeight="false" outlineLevel="0" collapsed="false">
      <c r="A258" s="0" t="s">
        <v>387</v>
      </c>
      <c r="B258" s="0" t="s">
        <v>79</v>
      </c>
      <c r="D258" s="16" t="n">
        <f aca="false">$D$256*D257</f>
        <v>0.14550639864388</v>
      </c>
      <c r="E258" s="16" t="n">
        <f aca="false">$D$256*E257</f>
        <v>0.138231078711686</v>
      </c>
      <c r="F258" s="16" t="n">
        <f aca="false">$D$256*F257</f>
        <v>0.130955758779492</v>
      </c>
      <c r="G258" s="16" t="n">
        <f aca="false">$D$256*G257</f>
        <v>0.128045630806615</v>
      </c>
    </row>
    <row r="259" customFormat="false" ht="17.15" hidden="false" customHeight="false" outlineLevel="0" collapsed="false">
      <c r="A259" s="0" t="s">
        <v>327</v>
      </c>
      <c r="B259" s="0" t="s">
        <v>34</v>
      </c>
      <c r="C259" s="21" t="n">
        <f aca="false">a25_ai</f>
        <v>1.63</v>
      </c>
      <c r="D259" s="21" t="n">
        <f aca="false">D255*D258</f>
        <v>3.5</v>
      </c>
      <c r="E259" s="21" t="n">
        <f aca="false">E255*E258</f>
        <v>6.75507635448269</v>
      </c>
      <c r="F259" s="21" t="n">
        <f aca="false">F255*F258</f>
        <v>7.50037977170046</v>
      </c>
      <c r="G259" s="21" t="n">
        <f aca="false">G255*G258</f>
        <v>8.54190194323796</v>
      </c>
    </row>
    <row r="260" customFormat="false" ht="17.15" hidden="false" customHeight="false" outlineLevel="0" collapsed="false">
      <c r="A260" s="1" t="s">
        <v>388</v>
      </c>
    </row>
    <row r="261" customFormat="false" ht="17.15" hidden="false" customHeight="false" outlineLevel="0" collapsed="false">
      <c r="A261" s="5" t="s">
        <v>389</v>
      </c>
      <c r="B261" s="0" t="s">
        <v>34</v>
      </c>
      <c r="C261" s="21" t="n">
        <f aca="false">a25_nai</f>
        <v>7.3757</v>
      </c>
      <c r="D261" s="21" t="n">
        <f aca="false">a26_nai</f>
        <v>9.1</v>
      </c>
      <c r="E261" s="21" t="n">
        <f aca="false">D261*(1+GNLO27)</f>
        <v>9.373</v>
      </c>
      <c r="F261" s="21" t="n">
        <f aca="false">E261*(1+GNLO28)</f>
        <v>9.56046</v>
      </c>
      <c r="G261" s="21" t="n">
        <f aca="false">F261*(1+GNLO29)</f>
        <v>9.7516692</v>
      </c>
    </row>
    <row r="262" customFormat="false" ht="15" hidden="false" customHeight="false" outlineLevel="0" collapsed="false">
      <c r="A262" s="5" t="s">
        <v>302</v>
      </c>
      <c r="B262" s="0" t="s">
        <v>34</v>
      </c>
      <c r="C262" s="21" t="n">
        <f aca="false">a25_rev</f>
        <v>9.0057</v>
      </c>
      <c r="D262" s="21" t="n">
        <f aca="false">D259+D261</f>
        <v>12.6</v>
      </c>
      <c r="E262" s="21" t="n">
        <f aca="false">E259+E261</f>
        <v>16.1280763544827</v>
      </c>
      <c r="F262" s="21" t="n">
        <f aca="false">F259+F261</f>
        <v>17.0608397717005</v>
      </c>
      <c r="G262" s="21" t="n">
        <f aca="false">G259+G261</f>
        <v>18.293571143238</v>
      </c>
    </row>
    <row r="263" customFormat="false" ht="17.15" hidden="false" customHeight="false" outlineLevel="0" collapsed="false">
      <c r="A263" s="5" t="s">
        <v>390</v>
      </c>
      <c r="B263" s="0" t="s">
        <v>34</v>
      </c>
      <c r="C263" s="21" t="n">
        <f aca="false">svc25</f>
        <v>1.4288</v>
      </c>
      <c r="D263" s="21" t="n">
        <f aca="false">C263*(1+g_svc26)</f>
        <v>1.743136</v>
      </c>
      <c r="E263" s="21" t="n">
        <f aca="false">D263*(1+g_svc27)</f>
        <v>2.0046064</v>
      </c>
      <c r="F263" s="21" t="n">
        <f aca="false">E263*(1+g_svc28)</f>
        <v>2.20506704</v>
      </c>
      <c r="G263" s="21" t="n">
        <f aca="false">F263*(1+g_svc29)</f>
        <v>2.3814724032</v>
      </c>
      <c r="H263" s="5" t="s">
        <v>391</v>
      </c>
    </row>
    <row r="264" customFormat="false" ht="17.15" hidden="false" customHeight="false" outlineLevel="0" collapsed="false">
      <c r="A264" s="5" t="s">
        <v>392</v>
      </c>
      <c r="B264" s="0" t="s">
        <v>34</v>
      </c>
      <c r="C264" s="21" t="n">
        <f aca="false">C261-C263</f>
        <v>5.9469</v>
      </c>
      <c r="D264" s="21" t="n">
        <f aca="false">D261-D263</f>
        <v>7.356864</v>
      </c>
      <c r="E264" s="21" t="n">
        <f aca="false">E261-E263</f>
        <v>7.3683936</v>
      </c>
      <c r="F264" s="21" t="n">
        <f aca="false">F261-F263</f>
        <v>7.35539296</v>
      </c>
      <c r="G264" s="21" t="n">
        <f aca="false">G261-G263</f>
        <v>7.3701967968</v>
      </c>
    </row>
    <row r="265" customFormat="false" ht="17.15" hidden="false" customHeight="false" outlineLevel="0" collapsed="false">
      <c r="A265" s="5" t="s">
        <v>393</v>
      </c>
      <c r="B265" s="0" t="s">
        <v>34</v>
      </c>
      <c r="C265" s="21" t="n">
        <f aca="false">C259+C264</f>
        <v>7.5769</v>
      </c>
      <c r="D265" s="21" t="n">
        <f aca="false">D259+D264</f>
        <v>10.856864</v>
      </c>
      <c r="E265" s="21" t="n">
        <f aca="false">E259+E264</f>
        <v>14.1234699544827</v>
      </c>
      <c r="F265" s="21" t="n">
        <f aca="false">F259+F264</f>
        <v>14.8557727317005</v>
      </c>
      <c r="G265" s="21" t="n">
        <f aca="false">G259+G264</f>
        <v>15.912098740038</v>
      </c>
      <c r="H265" s="5" t="s">
        <v>394</v>
      </c>
    </row>
    <row r="266" customFormat="false" ht="15" hidden="false" customHeight="false" outlineLevel="0" collapsed="false">
      <c r="A266" s="5" t="s">
        <v>395</v>
      </c>
      <c r="B266" s="0" t="s">
        <v>34</v>
      </c>
      <c r="C266" s="17" t="n">
        <f aca="false">C265+C263-C262</f>
        <v>0</v>
      </c>
      <c r="D266" s="17" t="n">
        <f aca="false">D265+D263-D262</f>
        <v>0</v>
      </c>
      <c r="E266" s="17" t="n">
        <f aca="false">E265+E263-E262</f>
        <v>0</v>
      </c>
      <c r="F266" s="17" t="n">
        <f aca="false">F265+F263-F262</f>
        <v>0</v>
      </c>
      <c r="G266" s="17" t="n">
        <f aca="false">G265+G263-G262</f>
        <v>0</v>
      </c>
    </row>
    <row r="267" customFormat="false" ht="15" hidden="false" customHeight="false" outlineLevel="0" collapsed="false">
      <c r="A267" s="5" t="s">
        <v>396</v>
      </c>
      <c r="B267" s="0" t="s">
        <v>79</v>
      </c>
      <c r="D267" s="16" t="n">
        <f aca="false">D262/C262-1</f>
        <v>0.399113894533462</v>
      </c>
      <c r="E267" s="16" t="n">
        <f aca="false">E262/D262-1</f>
        <v>0.280006059879579</v>
      </c>
      <c r="F267" s="16" t="n">
        <f aca="false">F262/E262-1</f>
        <v>0.0578347595036353</v>
      </c>
      <c r="G267" s="16" t="n">
        <f aca="false">G262/F262-1</f>
        <v>0.0722550230840502</v>
      </c>
    </row>
    <row r="268" customFormat="false" ht="17.15" hidden="false" customHeight="false" outlineLevel="0" collapsed="false">
      <c r="A268" s="0" t="s">
        <v>332</v>
      </c>
      <c r="B268" s="0" t="s">
        <v>79</v>
      </c>
      <c r="C268" s="16" t="n">
        <f aca="false">C259/C262</f>
        <v>0.180996480007107</v>
      </c>
      <c r="D268" s="16" t="n">
        <f aca="false">D259/D262</f>
        <v>0.277777777777778</v>
      </c>
      <c r="E268" s="16" t="n">
        <f aca="false">E259/E262</f>
        <v>0.418839556932353</v>
      </c>
      <c r="F268" s="16" t="n">
        <f aca="false">F259/F262</f>
        <v>0.439625474013399</v>
      </c>
      <c r="G268" s="16" t="n">
        <f aca="false">G259/G262</f>
        <v>0.466934633831481</v>
      </c>
    </row>
    <row r="269" customFormat="false" ht="17.15" hidden="false" customHeight="false" outlineLevel="0" collapsed="false">
      <c r="A269" s="1" t="s">
        <v>397</v>
      </c>
    </row>
    <row r="270" customFormat="false" ht="17.15" hidden="false" customHeight="false" outlineLevel="0" collapsed="false">
      <c r="A270" s="5" t="s">
        <v>398</v>
      </c>
      <c r="B270" s="0" t="s">
        <v>79</v>
      </c>
      <c r="D270" s="16" t="n">
        <f aca="false">a26_gp/a26_rev+d_ai*D268</f>
        <v>0.646666666666667</v>
      </c>
      <c r="H270" s="8" t="s">
        <v>399</v>
      </c>
    </row>
    <row r="271" customFormat="false" ht="15" hidden="false" customHeight="false" outlineLevel="0" collapsed="false">
      <c r="A271" s="5" t="s">
        <v>400</v>
      </c>
      <c r="B271" s="0" t="s">
        <v>34</v>
      </c>
      <c r="C271" s="21" t="n">
        <f aca="false">a25_gp</f>
        <v>5.8154</v>
      </c>
      <c r="D271" s="21" t="n">
        <f aca="false">a26_gp</f>
        <v>7.938</v>
      </c>
      <c r="E271" s="21" t="n">
        <f aca="false">$D$270*E261+($D$270-d_ai)*E259</f>
        <v>10.0241847946298</v>
      </c>
      <c r="F271" s="21" t="n">
        <f aca="false">$D$270*F261+($D$270-d_ai)*F259</f>
        <v>10.5826535993976</v>
      </c>
      <c r="G271" s="21" t="n">
        <f aca="false">$D$270*G261+($D$270-d_ai)*G259</f>
        <v>11.3173285560329</v>
      </c>
    </row>
    <row r="272" customFormat="false" ht="15" hidden="false" customHeight="false" outlineLevel="0" collapsed="false">
      <c r="A272" s="5" t="s">
        <v>308</v>
      </c>
      <c r="B272" s="0" t="s">
        <v>79</v>
      </c>
      <c r="C272" s="16" t="n">
        <f aca="false">C271/C262</f>
        <v>0.645746582719833</v>
      </c>
      <c r="D272" s="16" t="n">
        <f aca="false">D271/D262</f>
        <v>0.63</v>
      </c>
      <c r="E272" s="16" t="n">
        <f aca="false">E271/E262</f>
        <v>0.621536293250726</v>
      </c>
      <c r="F272" s="16" t="n">
        <f aca="false">F271/F262</f>
        <v>0.620289138225863</v>
      </c>
      <c r="G272" s="16" t="n">
        <f aca="false">G271/G262</f>
        <v>0.618650588636778</v>
      </c>
    </row>
    <row r="273" customFormat="false" ht="15" hidden="false" customHeight="false" outlineLevel="0" collapsed="false">
      <c r="A273" s="5" t="s">
        <v>401</v>
      </c>
      <c r="B273" s="0" t="s">
        <v>34</v>
      </c>
      <c r="C273" s="21" t="n">
        <f aca="false">a25_opx</f>
        <v>1.4784</v>
      </c>
      <c r="D273" s="21" t="n">
        <f aca="false">a26_opx</f>
        <v>1.827</v>
      </c>
      <c r="E273" s="21" t="n">
        <f aca="false">D273*(1+MAX(0,phi*E267))</f>
        <v>2.10836408926999</v>
      </c>
      <c r="F273" s="21" t="n">
        <f aca="false">E273*(1+MAX(0,phi*F267))</f>
        <v>2.17542929079696</v>
      </c>
      <c r="G273" s="21" t="n">
        <f aca="false">F273*(1+MAX(0,phi*G267))</f>
        <v>2.2618814222903</v>
      </c>
    </row>
    <row r="274" customFormat="false" ht="15" hidden="false" customHeight="false" outlineLevel="0" collapsed="false">
      <c r="A274" s="5" t="s">
        <v>402</v>
      </c>
      <c r="B274" s="0" t="s">
        <v>34</v>
      </c>
      <c r="C274" s="21" t="n">
        <f aca="false">C273</f>
        <v>1.4784</v>
      </c>
      <c r="D274" s="21" t="n">
        <f aca="false">D273</f>
        <v>1.827</v>
      </c>
      <c r="E274" s="21" t="n">
        <f aca="false">E273+0*E262</f>
        <v>2.10836408926999</v>
      </c>
      <c r="F274" s="21" t="n">
        <f aca="false">F273+0*F262</f>
        <v>2.17542929079696</v>
      </c>
      <c r="G274" s="21" t="n">
        <f aca="false">G273+0*G262</f>
        <v>2.2618814222903</v>
      </c>
    </row>
    <row r="275" customFormat="false" ht="15" hidden="false" customHeight="false" outlineLevel="0" collapsed="false">
      <c r="A275" s="5" t="s">
        <v>403</v>
      </c>
      <c r="B275" s="0" t="s">
        <v>34</v>
      </c>
      <c r="C275" s="21" t="n">
        <f aca="false">C271-C274</f>
        <v>4.337</v>
      </c>
      <c r="D275" s="21" t="n">
        <f aca="false">D271-D274</f>
        <v>6.111</v>
      </c>
      <c r="E275" s="21" t="n">
        <f aca="false">E271-E274</f>
        <v>7.91582070535985</v>
      </c>
      <c r="F275" s="21" t="n">
        <f aca="false">F271-F274</f>
        <v>8.40722430860064</v>
      </c>
      <c r="G275" s="21" t="n">
        <f aca="false">G271-G274</f>
        <v>9.05544713374264</v>
      </c>
    </row>
    <row r="276" customFormat="false" ht="15" hidden="false" customHeight="false" outlineLevel="0" collapsed="false">
      <c r="A276" s="5" t="s">
        <v>313</v>
      </c>
      <c r="B276" s="0" t="s">
        <v>79</v>
      </c>
      <c r="C276" s="16" t="n">
        <f aca="false">C275/C262</f>
        <v>0.48158388576124</v>
      </c>
      <c r="D276" s="16" t="n">
        <f aca="false">D275/D262</f>
        <v>0.485</v>
      </c>
      <c r="E276" s="16" t="n">
        <f aca="false">E275/E262</f>
        <v>0.49080997208695</v>
      </c>
      <c r="F276" s="16" t="n">
        <f aca="false">F275/F262</f>
        <v>0.49277904376935</v>
      </c>
      <c r="G276" s="16" t="n">
        <f aca="false">G275/G262</f>
        <v>0.495007074498404</v>
      </c>
    </row>
    <row r="277" customFormat="false" ht="15" hidden="false" customHeight="false" outlineLevel="0" collapsed="false">
      <c r="A277" s="5" t="s">
        <v>404</v>
      </c>
      <c r="B277" s="0" t="s">
        <v>34</v>
      </c>
      <c r="C277" s="21" t="n">
        <f aca="false">a25_oth</f>
        <v>0.3936</v>
      </c>
      <c r="D277" s="21" t="n">
        <f aca="false">a26_oth</f>
        <v>0.4999</v>
      </c>
      <c r="E277" s="21" t="n">
        <f aca="false">oth_f</f>
        <v>0.55</v>
      </c>
      <c r="F277" s="21" t="n">
        <f aca="false">oth_f</f>
        <v>0.55</v>
      </c>
      <c r="G277" s="21" t="n">
        <f aca="false">oth_f</f>
        <v>0.55</v>
      </c>
    </row>
    <row r="278" customFormat="false" ht="15" hidden="false" customHeight="false" outlineLevel="0" collapsed="false">
      <c r="A278" s="5" t="s">
        <v>405</v>
      </c>
      <c r="B278" s="0" t="s">
        <v>79</v>
      </c>
      <c r="C278" s="16" t="n">
        <f aca="false">1-a25_ni/(a25_oi+a25_oth)</f>
        <v>0.195450894178328</v>
      </c>
      <c r="D278" s="16" t="n">
        <f aca="false">1-a26_ni/(a26_oi+a26_oth)</f>
        <v>0.209652694791935</v>
      </c>
      <c r="E278" s="16" t="n">
        <f aca="false">tx_f</f>
        <v>0.21</v>
      </c>
      <c r="F278" s="16" t="n">
        <f aca="false">tx_f</f>
        <v>0.21</v>
      </c>
      <c r="G278" s="16" t="n">
        <f aca="false">tx_f</f>
        <v>0.21</v>
      </c>
    </row>
    <row r="279" customFormat="false" ht="17.15" hidden="false" customHeight="false" outlineLevel="0" collapsed="false">
      <c r="A279" s="5" t="s">
        <v>372</v>
      </c>
      <c r="B279" s="0" t="s">
        <v>34</v>
      </c>
      <c r="C279" s="21" t="n">
        <f aca="false">a25_ni</f>
        <v>3.806</v>
      </c>
      <c r="D279" s="21" t="n">
        <f aca="false">a26_ni</f>
        <v>5.224907</v>
      </c>
      <c r="E279" s="21" t="n">
        <f aca="false">(E275+E277)*(1-E278)</f>
        <v>6.68799835723428</v>
      </c>
      <c r="F279" s="21" t="n">
        <f aca="false">(F275+F277)*(1-F278)</f>
        <v>7.07620720379451</v>
      </c>
      <c r="G279" s="21" t="n">
        <f aca="false">(G275+G277)*(1-G278)</f>
        <v>7.58830323565668</v>
      </c>
    </row>
    <row r="280" customFormat="false" ht="15" hidden="false" customHeight="false" outlineLevel="0" collapsed="false">
      <c r="A280" s="5" t="s">
        <v>406</v>
      </c>
      <c r="B280" s="5" t="s">
        <v>167</v>
      </c>
      <c r="C280" s="17" t="n">
        <f aca="false">a25_sh</f>
        <v>1.2757</v>
      </c>
      <c r="D280" s="17" t="n">
        <f aca="false">a26_sh</f>
        <v>1.27595</v>
      </c>
      <c r="E280" s="17" t="n">
        <f aca="false">D280*(1+sh_g)</f>
        <v>1.27595</v>
      </c>
      <c r="F280" s="17" t="n">
        <f aca="false">E280*(1+sh_g)</f>
        <v>1.27595</v>
      </c>
      <c r="G280" s="17" t="n">
        <f aca="false">F280*(1+sh_g)</f>
        <v>1.27595</v>
      </c>
    </row>
    <row r="281" customFormat="false" ht="17.15" hidden="false" customHeight="false" outlineLevel="0" collapsed="false">
      <c r="A281" s="0" t="s">
        <v>373</v>
      </c>
      <c r="B281" s="0" t="s">
        <v>202</v>
      </c>
      <c r="C281" s="21" t="n">
        <f aca="false">C279/C280</f>
        <v>2.9834600611429</v>
      </c>
      <c r="D281" s="21" t="n">
        <f aca="false">D279/D280</f>
        <v>4.0949151612524</v>
      </c>
      <c r="E281" s="21" t="n">
        <f aca="false">E279/E280</f>
        <v>5.24158341411049</v>
      </c>
      <c r="F281" s="21" t="n">
        <f aca="false">F279/F280</f>
        <v>5.54583424412752</v>
      </c>
      <c r="G281" s="21" t="n">
        <f aca="false">G279/G280</f>
        <v>5.94717914938413</v>
      </c>
    </row>
    <row r="282" customFormat="false" ht="17.15" hidden="false" customHeight="false" outlineLevel="0" collapsed="false">
      <c r="A282" s="0" t="s">
        <v>407</v>
      </c>
      <c r="B282" s="0" t="s">
        <v>79</v>
      </c>
      <c r="D282" s="16" t="n">
        <f aca="false">D281/C281-1</f>
        <v>0.372538957227979</v>
      </c>
      <c r="E282" s="16" t="n">
        <f aca="false">E281/D281-1</f>
        <v>0.280022468770121</v>
      </c>
      <c r="F282" s="16" t="n">
        <f aca="false">F281/E281-1</f>
        <v>0.0580455953821082</v>
      </c>
      <c r="G282" s="16" t="n">
        <f aca="false">G281/F281-1</f>
        <v>0.0723687163354363</v>
      </c>
    </row>
    <row r="285" customFormat="false" ht="17.15" hidden="false" customHeight="false" outlineLevel="0" collapsed="false">
      <c r="A285" s="3" t="s">
        <v>751</v>
      </c>
    </row>
    <row r="286" customFormat="false" ht="17.15" hidden="false" customHeight="false" outlineLevel="0" collapsed="false">
      <c r="A286" s="6" t="s">
        <v>23</v>
      </c>
      <c r="B286" s="6" t="s">
        <v>24</v>
      </c>
      <c r="C286" s="13" t="s">
        <v>295</v>
      </c>
      <c r="D286" s="13" t="s">
        <v>363</v>
      </c>
      <c r="E286" s="13" t="s">
        <v>364</v>
      </c>
      <c r="F286" s="13" t="s">
        <v>365</v>
      </c>
      <c r="G286" s="13" t="s">
        <v>366</v>
      </c>
      <c r="H286" s="6" t="s">
        <v>283</v>
      </c>
    </row>
    <row r="287" customFormat="false" ht="17.15" hidden="false" customHeight="false" outlineLevel="0" collapsed="false">
      <c r="A287" s="1" t="s">
        <v>382</v>
      </c>
    </row>
    <row r="288" customFormat="false" ht="17.15" hidden="false" customHeight="false" outlineLevel="0" collapsed="false">
      <c r="A288" s="0" t="s">
        <v>383</v>
      </c>
      <c r="B288" s="0" t="s">
        <v>34</v>
      </c>
      <c r="D288" s="21" t="n">
        <f aca="false">mkt_26*1</f>
        <v>32.0719</v>
      </c>
      <c r="E288" s="21" t="n">
        <f aca="false">mkt_27*1*1</f>
        <v>61.085</v>
      </c>
      <c r="F288" s="21" t="n">
        <f aca="false">mkt_28*um28_A*1</f>
        <v>69.005</v>
      </c>
      <c r="G288" s="21" t="n">
        <f aca="false">mkt_29*um29_A*1</f>
        <v>78.48215</v>
      </c>
    </row>
    <row r="289" customFormat="false" ht="15" hidden="false" customHeight="false" outlineLevel="0" collapsed="false">
      <c r="A289" s="5" t="s">
        <v>348</v>
      </c>
      <c r="B289" s="0" t="s">
        <v>79</v>
      </c>
      <c r="D289" s="16" t="n">
        <f aca="false">eth_26</f>
        <v>0.75</v>
      </c>
      <c r="E289" s="16" t="n">
        <f aca="false">eth_27</f>
        <v>0.8</v>
      </c>
      <c r="F289" s="16" t="n">
        <f aca="false">eth_28</f>
        <v>0.83</v>
      </c>
      <c r="G289" s="16" t="n">
        <f aca="false">eth_29</f>
        <v>0.85</v>
      </c>
    </row>
    <row r="290" customFormat="false" ht="17.15" hidden="false" customHeight="false" outlineLevel="0" collapsed="false">
      <c r="A290" s="0" t="s">
        <v>350</v>
      </c>
      <c r="B290" s="0" t="s">
        <v>34</v>
      </c>
      <c r="D290" s="21" t="n">
        <f aca="false">D288*D289</f>
        <v>24.053925</v>
      </c>
      <c r="E290" s="21" t="n">
        <f aca="false">E288*E289</f>
        <v>48.868</v>
      </c>
      <c r="F290" s="21" t="n">
        <f aca="false">F288*F289</f>
        <v>57.27415</v>
      </c>
      <c r="G290" s="21" t="n">
        <f aca="false">G288*G289</f>
        <v>66.7098275</v>
      </c>
    </row>
    <row r="291" customFormat="false" ht="17.15" hidden="false" customHeight="false" outlineLevel="0" collapsed="false">
      <c r="A291" s="0" t="s">
        <v>384</v>
      </c>
      <c r="B291" s="0" t="s">
        <v>79</v>
      </c>
      <c r="D291" s="16" t="n">
        <f aca="false">a26_ai/D290</f>
        <v>0.14550639864388</v>
      </c>
      <c r="H291" s="8" t="s">
        <v>385</v>
      </c>
    </row>
    <row r="292" customFormat="false" ht="17.15" hidden="false" customHeight="false" outlineLevel="0" collapsed="false">
      <c r="A292" s="5" t="s">
        <v>386</v>
      </c>
      <c r="B292" s="0" t="s">
        <v>57</v>
      </c>
      <c r="D292" s="19" t="n">
        <f aca="false">1</f>
        <v>1</v>
      </c>
      <c r="E292" s="19" t="n">
        <f aca="false">rel_27</f>
        <v>0.95</v>
      </c>
      <c r="F292" s="19" t="n">
        <f aca="false">rel_28</f>
        <v>0.9</v>
      </c>
      <c r="G292" s="19" t="n">
        <f aca="false">rel_29</f>
        <v>0.88</v>
      </c>
    </row>
    <row r="293" customFormat="false" ht="17.15" hidden="false" customHeight="false" outlineLevel="0" collapsed="false">
      <c r="A293" s="0" t="s">
        <v>387</v>
      </c>
      <c r="B293" s="0" t="s">
        <v>79</v>
      </c>
      <c r="D293" s="16" t="n">
        <f aca="false">$D$291*D292</f>
        <v>0.14550639864388</v>
      </c>
      <c r="E293" s="16" t="n">
        <f aca="false">$D$291*E292</f>
        <v>0.138231078711686</v>
      </c>
      <c r="F293" s="16" t="n">
        <f aca="false">$D$291*F292</f>
        <v>0.130955758779492</v>
      </c>
      <c r="G293" s="16" t="n">
        <f aca="false">$D$291*G292</f>
        <v>0.128045630806615</v>
      </c>
    </row>
    <row r="294" customFormat="false" ht="17.15" hidden="false" customHeight="false" outlineLevel="0" collapsed="false">
      <c r="A294" s="0" t="s">
        <v>327</v>
      </c>
      <c r="B294" s="0" t="s">
        <v>34</v>
      </c>
      <c r="C294" s="21" t="n">
        <f aca="false">a25_ai</f>
        <v>1.63</v>
      </c>
      <c r="D294" s="21" t="n">
        <f aca="false">D290*D293</f>
        <v>3.5</v>
      </c>
      <c r="E294" s="21" t="n">
        <f aca="false">E290*E293</f>
        <v>6.75507635448269</v>
      </c>
      <c r="F294" s="21" t="n">
        <f aca="false">F290*F293</f>
        <v>7.50037977170046</v>
      </c>
      <c r="G294" s="21" t="n">
        <f aca="false">G290*G293</f>
        <v>8.54190194323796</v>
      </c>
    </row>
    <row r="295" customFormat="false" ht="17.15" hidden="false" customHeight="false" outlineLevel="0" collapsed="false">
      <c r="A295" s="1" t="s">
        <v>388</v>
      </c>
    </row>
    <row r="296" customFormat="false" ht="17.15" hidden="false" customHeight="false" outlineLevel="0" collapsed="false">
      <c r="A296" s="5" t="s">
        <v>389</v>
      </c>
      <c r="B296" s="0" t="s">
        <v>34</v>
      </c>
      <c r="C296" s="21" t="n">
        <f aca="false">a25_nai</f>
        <v>7.3757</v>
      </c>
      <c r="D296" s="21" t="n">
        <f aca="false">a26_nai</f>
        <v>9.1</v>
      </c>
      <c r="E296" s="21" t="n">
        <f aca="false">D296*(1+GNHI27)</f>
        <v>10.465</v>
      </c>
      <c r="F296" s="21" t="n">
        <f aca="false">E296*(1+GNHI28)</f>
        <v>11.7208</v>
      </c>
      <c r="G296" s="21" t="n">
        <f aca="false">F296*(1+GNHI29)</f>
        <v>12.89288</v>
      </c>
    </row>
    <row r="297" customFormat="false" ht="15" hidden="false" customHeight="false" outlineLevel="0" collapsed="false">
      <c r="A297" s="5" t="s">
        <v>302</v>
      </c>
      <c r="B297" s="0" t="s">
        <v>34</v>
      </c>
      <c r="C297" s="21" t="n">
        <f aca="false">a25_rev</f>
        <v>9.0057</v>
      </c>
      <c r="D297" s="21" t="n">
        <f aca="false">D294+D296</f>
        <v>12.6</v>
      </c>
      <c r="E297" s="21" t="n">
        <f aca="false">E294+E296</f>
        <v>17.2200763544827</v>
      </c>
      <c r="F297" s="21" t="n">
        <f aca="false">F294+F296</f>
        <v>19.2211797717005</v>
      </c>
      <c r="G297" s="21" t="n">
        <f aca="false">G294+G296</f>
        <v>21.434781943238</v>
      </c>
    </row>
    <row r="298" customFormat="false" ht="17.15" hidden="false" customHeight="false" outlineLevel="0" collapsed="false">
      <c r="A298" s="5" t="s">
        <v>390</v>
      </c>
      <c r="B298" s="0" t="s">
        <v>34</v>
      </c>
      <c r="C298" s="21" t="n">
        <f aca="false">svc25</f>
        <v>1.4288</v>
      </c>
      <c r="D298" s="21" t="n">
        <f aca="false">C298*(1+g_svc26)</f>
        <v>1.743136</v>
      </c>
      <c r="E298" s="21" t="n">
        <f aca="false">D298*(1+g_svc27)</f>
        <v>2.0046064</v>
      </c>
      <c r="F298" s="21" t="n">
        <f aca="false">E298*(1+g_svc28)</f>
        <v>2.20506704</v>
      </c>
      <c r="G298" s="21" t="n">
        <f aca="false">F298*(1+g_svc29)</f>
        <v>2.3814724032</v>
      </c>
      <c r="H298" s="5" t="s">
        <v>391</v>
      </c>
    </row>
    <row r="299" customFormat="false" ht="17.15" hidden="false" customHeight="false" outlineLevel="0" collapsed="false">
      <c r="A299" s="5" t="s">
        <v>392</v>
      </c>
      <c r="B299" s="0" t="s">
        <v>34</v>
      </c>
      <c r="C299" s="21" t="n">
        <f aca="false">C296-C298</f>
        <v>5.9469</v>
      </c>
      <c r="D299" s="21" t="n">
        <f aca="false">D296-D298</f>
        <v>7.356864</v>
      </c>
      <c r="E299" s="21" t="n">
        <f aca="false">E296-E298</f>
        <v>8.4603936</v>
      </c>
      <c r="F299" s="21" t="n">
        <f aca="false">F296-F298</f>
        <v>9.51573296</v>
      </c>
      <c r="G299" s="21" t="n">
        <f aca="false">G296-G298</f>
        <v>10.5114075968</v>
      </c>
    </row>
    <row r="300" customFormat="false" ht="17.15" hidden="false" customHeight="false" outlineLevel="0" collapsed="false">
      <c r="A300" s="5" t="s">
        <v>393</v>
      </c>
      <c r="B300" s="0" t="s">
        <v>34</v>
      </c>
      <c r="C300" s="21" t="n">
        <f aca="false">C294+C299</f>
        <v>7.5769</v>
      </c>
      <c r="D300" s="21" t="n">
        <f aca="false">D294+D299</f>
        <v>10.856864</v>
      </c>
      <c r="E300" s="21" t="n">
        <f aca="false">E294+E299</f>
        <v>15.2154699544827</v>
      </c>
      <c r="F300" s="21" t="n">
        <f aca="false">F294+F299</f>
        <v>17.0161127317005</v>
      </c>
      <c r="G300" s="21" t="n">
        <f aca="false">G294+G299</f>
        <v>19.053309540038</v>
      </c>
      <c r="H300" s="5" t="s">
        <v>394</v>
      </c>
    </row>
    <row r="301" customFormat="false" ht="15" hidden="false" customHeight="false" outlineLevel="0" collapsed="false">
      <c r="A301" s="5" t="s">
        <v>395</v>
      </c>
      <c r="B301" s="0" t="s">
        <v>34</v>
      </c>
      <c r="C301" s="17" t="n">
        <f aca="false">C300+C298-C297</f>
        <v>0</v>
      </c>
      <c r="D301" s="17" t="n">
        <f aca="false">D300+D298-D297</f>
        <v>0</v>
      </c>
      <c r="E301" s="17" t="n">
        <f aca="false">E300+E298-E297</f>
        <v>0</v>
      </c>
      <c r="F301" s="17" t="n">
        <f aca="false">F300+F298-F297</f>
        <v>0</v>
      </c>
      <c r="G301" s="17" t="n">
        <f aca="false">G300+G298-G297</f>
        <v>0</v>
      </c>
    </row>
    <row r="302" customFormat="false" ht="15" hidden="false" customHeight="false" outlineLevel="0" collapsed="false">
      <c r="A302" s="5" t="s">
        <v>396</v>
      </c>
      <c r="B302" s="0" t="s">
        <v>79</v>
      </c>
      <c r="D302" s="16" t="n">
        <f aca="false">D297/C297-1</f>
        <v>0.399113894533462</v>
      </c>
      <c r="E302" s="16" t="n">
        <f aca="false">E297/D297-1</f>
        <v>0.366672726546245</v>
      </c>
      <c r="F302" s="16" t="n">
        <f aca="false">F297/E297-1</f>
        <v>0.116207580966785</v>
      </c>
      <c r="G302" s="16" t="n">
        <f aca="false">G297/F297-1</f>
        <v>0.115164740033107</v>
      </c>
    </row>
    <row r="303" customFormat="false" ht="17.15" hidden="false" customHeight="false" outlineLevel="0" collapsed="false">
      <c r="A303" s="0" t="s">
        <v>332</v>
      </c>
      <c r="B303" s="0" t="s">
        <v>79</v>
      </c>
      <c r="C303" s="16" t="n">
        <f aca="false">C294/C297</f>
        <v>0.180996480007107</v>
      </c>
      <c r="D303" s="16" t="n">
        <f aca="false">D294/D297</f>
        <v>0.277777777777778</v>
      </c>
      <c r="E303" s="16" t="n">
        <f aca="false">E294/E297</f>
        <v>0.392279117434008</v>
      </c>
      <c r="F303" s="16" t="n">
        <f aca="false">F294/F297</f>
        <v>0.390214329234012</v>
      </c>
      <c r="G303" s="16" t="n">
        <f aca="false">G294/G297</f>
        <v>0.398506593902285</v>
      </c>
    </row>
    <row r="304" customFormat="false" ht="17.15" hidden="false" customHeight="false" outlineLevel="0" collapsed="false">
      <c r="A304" s="1" t="s">
        <v>397</v>
      </c>
    </row>
    <row r="305" customFormat="false" ht="17.15" hidden="false" customHeight="false" outlineLevel="0" collapsed="false">
      <c r="A305" s="5" t="s">
        <v>398</v>
      </c>
      <c r="B305" s="0" t="s">
        <v>79</v>
      </c>
      <c r="D305" s="16" t="n">
        <f aca="false">a26_gp/a26_rev+d_ai*D303</f>
        <v>0.646666666666667</v>
      </c>
      <c r="H305" s="8" t="s">
        <v>399</v>
      </c>
    </row>
    <row r="306" customFormat="false" ht="15" hidden="false" customHeight="false" outlineLevel="0" collapsed="false">
      <c r="A306" s="5" t="s">
        <v>400</v>
      </c>
      <c r="B306" s="0" t="s">
        <v>34</v>
      </c>
      <c r="C306" s="21" t="n">
        <f aca="false">a25_gp</f>
        <v>5.8154</v>
      </c>
      <c r="D306" s="21" t="n">
        <f aca="false">a26_gp</f>
        <v>7.938</v>
      </c>
      <c r="E306" s="21" t="n">
        <f aca="false">$D$305*E296+($D$305-d_ai)*E294</f>
        <v>10.7303447946298</v>
      </c>
      <c r="F306" s="21" t="n">
        <f aca="false">$D$305*F296+($D$305-d_ai)*F294</f>
        <v>11.9796734660643</v>
      </c>
      <c r="G306" s="21" t="n">
        <f aca="false">$D$305*G296+($D$305-d_ai)*G294</f>
        <v>13.3486448733663</v>
      </c>
    </row>
    <row r="307" customFormat="false" ht="15" hidden="false" customHeight="false" outlineLevel="0" collapsed="false">
      <c r="A307" s="5" t="s">
        <v>308</v>
      </c>
      <c r="B307" s="0" t="s">
        <v>79</v>
      </c>
      <c r="C307" s="16" t="n">
        <f aca="false">C306/C297</f>
        <v>0.645746582719833</v>
      </c>
      <c r="D307" s="16" t="n">
        <f aca="false">D306/D297</f>
        <v>0.63</v>
      </c>
      <c r="E307" s="16" t="n">
        <f aca="false">E306/E297</f>
        <v>0.623129919620626</v>
      </c>
      <c r="F307" s="16" t="n">
        <f aca="false">F306/F297</f>
        <v>0.623253806912626</v>
      </c>
      <c r="G307" s="16" t="n">
        <f aca="false">G306/G297</f>
        <v>0.62275627103253</v>
      </c>
    </row>
    <row r="308" customFormat="false" ht="15" hidden="false" customHeight="false" outlineLevel="0" collapsed="false">
      <c r="A308" s="5" t="s">
        <v>401</v>
      </c>
      <c r="B308" s="0" t="s">
        <v>34</v>
      </c>
      <c r="C308" s="21" t="n">
        <f aca="false">a25_opx</f>
        <v>1.4784</v>
      </c>
      <c r="D308" s="21" t="n">
        <f aca="false">a26_opx</f>
        <v>1.827</v>
      </c>
      <c r="E308" s="21" t="n">
        <f aca="false">D308*(1+MAX(0,phi*E302))</f>
        <v>2.19545108926999</v>
      </c>
      <c r="F308" s="21" t="n">
        <f aca="false">E308*(1+MAX(0,phi*F302))</f>
        <v>2.33577152238822</v>
      </c>
      <c r="G308" s="21" t="n">
        <f aca="false">F308*(1+MAX(0,phi*G302))</f>
        <v>2.48372070847214</v>
      </c>
    </row>
    <row r="309" customFormat="false" ht="15" hidden="false" customHeight="false" outlineLevel="0" collapsed="false">
      <c r="A309" s="5" t="s">
        <v>402</v>
      </c>
      <c r="B309" s="0" t="s">
        <v>34</v>
      </c>
      <c r="C309" s="21" t="n">
        <f aca="false">C308</f>
        <v>1.4784</v>
      </c>
      <c r="D309" s="21" t="n">
        <f aca="false">D308</f>
        <v>1.827</v>
      </c>
      <c r="E309" s="21" t="n">
        <f aca="false">E308+0*E297</f>
        <v>2.19545108926999</v>
      </c>
      <c r="F309" s="21" t="n">
        <f aca="false">F308+0*F297</f>
        <v>2.33577152238822</v>
      </c>
      <c r="G309" s="21" t="n">
        <f aca="false">G308+0*G297</f>
        <v>2.48372070847214</v>
      </c>
    </row>
    <row r="310" customFormat="false" ht="15" hidden="false" customHeight="false" outlineLevel="0" collapsed="false">
      <c r="A310" s="5" t="s">
        <v>403</v>
      </c>
      <c r="B310" s="0" t="s">
        <v>34</v>
      </c>
      <c r="C310" s="21" t="n">
        <f aca="false">C306-C309</f>
        <v>4.337</v>
      </c>
      <c r="D310" s="21" t="n">
        <f aca="false">D306-D309</f>
        <v>6.111</v>
      </c>
      <c r="E310" s="21" t="n">
        <f aca="false">E306-E309</f>
        <v>8.53489370535985</v>
      </c>
      <c r="F310" s="21" t="n">
        <f aca="false">F306-F309</f>
        <v>9.64390194367605</v>
      </c>
      <c r="G310" s="21" t="n">
        <f aca="false">G306-G309</f>
        <v>10.8649241648941</v>
      </c>
    </row>
    <row r="311" customFormat="false" ht="15" hidden="false" customHeight="false" outlineLevel="0" collapsed="false">
      <c r="A311" s="5" t="s">
        <v>313</v>
      </c>
      <c r="B311" s="0" t="s">
        <v>79</v>
      </c>
      <c r="C311" s="16" t="n">
        <f aca="false">C310/C297</f>
        <v>0.48158388576124</v>
      </c>
      <c r="D311" s="16" t="n">
        <f aca="false">D310/D297</f>
        <v>0.485</v>
      </c>
      <c r="E311" s="16" t="n">
        <f aca="false">E310/E297</f>
        <v>0.495636228879907</v>
      </c>
      <c r="F311" s="16" t="n">
        <f aca="false">F310/F297</f>
        <v>0.501733091216121</v>
      </c>
      <c r="G311" s="16" t="n">
        <f aca="false">G310/G297</f>
        <v>0.506882887526724</v>
      </c>
    </row>
    <row r="312" customFormat="false" ht="15" hidden="false" customHeight="false" outlineLevel="0" collapsed="false">
      <c r="A312" s="5" t="s">
        <v>404</v>
      </c>
      <c r="B312" s="0" t="s">
        <v>34</v>
      </c>
      <c r="C312" s="21" t="n">
        <f aca="false">a25_oth</f>
        <v>0.3936</v>
      </c>
      <c r="D312" s="21" t="n">
        <f aca="false">a26_oth</f>
        <v>0.4999</v>
      </c>
      <c r="E312" s="21" t="n">
        <f aca="false">oth_f</f>
        <v>0.55</v>
      </c>
      <c r="F312" s="21" t="n">
        <f aca="false">oth_f</f>
        <v>0.55</v>
      </c>
      <c r="G312" s="21" t="n">
        <f aca="false">oth_f</f>
        <v>0.55</v>
      </c>
    </row>
    <row r="313" customFormat="false" ht="15" hidden="false" customHeight="false" outlineLevel="0" collapsed="false">
      <c r="A313" s="5" t="s">
        <v>405</v>
      </c>
      <c r="B313" s="0" t="s">
        <v>79</v>
      </c>
      <c r="C313" s="16" t="n">
        <f aca="false">1-a25_ni/(a25_oi+a25_oth)</f>
        <v>0.195450894178328</v>
      </c>
      <c r="D313" s="16" t="n">
        <f aca="false">1-a26_ni/(a26_oi+a26_oth)</f>
        <v>0.209652694791935</v>
      </c>
      <c r="E313" s="16" t="n">
        <f aca="false">tx_f</f>
        <v>0.21</v>
      </c>
      <c r="F313" s="16" t="n">
        <f aca="false">tx_f</f>
        <v>0.21</v>
      </c>
      <c r="G313" s="16" t="n">
        <f aca="false">tx_f</f>
        <v>0.21</v>
      </c>
    </row>
    <row r="314" customFormat="false" ht="17.15" hidden="false" customHeight="false" outlineLevel="0" collapsed="false">
      <c r="A314" s="5" t="s">
        <v>372</v>
      </c>
      <c r="B314" s="0" t="s">
        <v>34</v>
      </c>
      <c r="C314" s="21" t="n">
        <f aca="false">a25_ni</f>
        <v>3.806</v>
      </c>
      <c r="D314" s="21" t="n">
        <f aca="false">a26_ni</f>
        <v>5.224907</v>
      </c>
      <c r="E314" s="21" t="n">
        <f aca="false">(E310+E312)*(1-E313)</f>
        <v>7.17706602723428</v>
      </c>
      <c r="F314" s="21" t="n">
        <f aca="false">(F310+F312)*(1-F313)</f>
        <v>8.05318253550408</v>
      </c>
      <c r="G314" s="21" t="n">
        <f aca="false">(G310+G312)*(1-G313)</f>
        <v>9.01779009026637</v>
      </c>
    </row>
    <row r="315" customFormat="false" ht="15" hidden="false" customHeight="false" outlineLevel="0" collapsed="false">
      <c r="A315" s="5" t="s">
        <v>406</v>
      </c>
      <c r="B315" s="5" t="s">
        <v>167</v>
      </c>
      <c r="C315" s="17" t="n">
        <f aca="false">a25_sh</f>
        <v>1.2757</v>
      </c>
      <c r="D315" s="17" t="n">
        <f aca="false">a26_sh</f>
        <v>1.27595</v>
      </c>
      <c r="E315" s="17" t="n">
        <f aca="false">D315*(1+sh_g)</f>
        <v>1.27595</v>
      </c>
      <c r="F315" s="17" t="n">
        <f aca="false">E315*(1+sh_g)</f>
        <v>1.27595</v>
      </c>
      <c r="G315" s="17" t="n">
        <f aca="false">F315*(1+sh_g)</f>
        <v>1.27595</v>
      </c>
    </row>
    <row r="316" customFormat="false" ht="17.15" hidden="false" customHeight="false" outlineLevel="0" collapsed="false">
      <c r="A316" s="0" t="s">
        <v>373</v>
      </c>
      <c r="B316" s="0" t="s">
        <v>202</v>
      </c>
      <c r="C316" s="21" t="n">
        <f aca="false">C314/C315</f>
        <v>2.9834600611429</v>
      </c>
      <c r="D316" s="21" t="n">
        <f aca="false">D314/D315</f>
        <v>4.0949151612524</v>
      </c>
      <c r="E316" s="21" t="n">
        <f aca="false">E314/E315</f>
        <v>5.62488030662196</v>
      </c>
      <c r="F316" s="21" t="n">
        <f aca="false">F314/F315</f>
        <v>6.31151889611982</v>
      </c>
      <c r="G316" s="21" t="n">
        <f aca="false">G314/G315</f>
        <v>7.06751055313011</v>
      </c>
    </row>
    <row r="317" customFormat="false" ht="17.15" hidden="false" customHeight="false" outlineLevel="0" collapsed="false">
      <c r="A317" s="0" t="s">
        <v>407</v>
      </c>
      <c r="B317" s="0" t="s">
        <v>79</v>
      </c>
      <c r="D317" s="16" t="n">
        <f aca="false">D316/C316-1</f>
        <v>0.372538957227979</v>
      </c>
      <c r="E317" s="16" t="n">
        <f aca="false">E316/D316-1</f>
        <v>0.373625602758917</v>
      </c>
      <c r="F317" s="16" t="n">
        <f aca="false">F316/E316-1</f>
        <v>0.122071680119043</v>
      </c>
      <c r="G317" s="16" t="n">
        <f aca="false">G316/F316-1</f>
        <v>0.119779671019453</v>
      </c>
    </row>
    <row r="320" customFormat="false" ht="17.15" hidden="false" customHeight="false" outlineLevel="0" collapsed="false">
      <c r="A320" s="3" t="s">
        <v>752</v>
      </c>
    </row>
    <row r="321" customFormat="false" ht="17.15" hidden="false" customHeight="false" outlineLevel="0" collapsed="false">
      <c r="A321" s="6" t="s">
        <v>23</v>
      </c>
      <c r="B321" s="6" t="s">
        <v>24</v>
      </c>
      <c r="C321" s="13" t="s">
        <v>295</v>
      </c>
      <c r="D321" s="13" t="s">
        <v>363</v>
      </c>
      <c r="E321" s="13" t="s">
        <v>364</v>
      </c>
      <c r="F321" s="13" t="s">
        <v>365</v>
      </c>
      <c r="G321" s="13" t="s">
        <v>366</v>
      </c>
      <c r="H321" s="6" t="s">
        <v>283</v>
      </c>
    </row>
    <row r="322" customFormat="false" ht="17.15" hidden="false" customHeight="false" outlineLevel="0" collapsed="false">
      <c r="A322" s="1" t="s">
        <v>382</v>
      </c>
    </row>
    <row r="323" customFormat="false" ht="17.15" hidden="false" customHeight="false" outlineLevel="0" collapsed="false">
      <c r="A323" s="0" t="s">
        <v>383</v>
      </c>
      <c r="B323" s="0" t="s">
        <v>34</v>
      </c>
      <c r="D323" s="21" t="n">
        <f aca="false">mkt_26*1</f>
        <v>32.0719</v>
      </c>
      <c r="E323" s="21" t="n">
        <f aca="false">mkt_27*1*1</f>
        <v>61.085</v>
      </c>
      <c r="F323" s="21" t="n">
        <f aca="false">mkt_28*um28_A*1</f>
        <v>69.005</v>
      </c>
      <c r="G323" s="21" t="n">
        <f aca="false">mkt_29*um29_A*1</f>
        <v>78.48215</v>
      </c>
    </row>
    <row r="324" customFormat="false" ht="15" hidden="false" customHeight="false" outlineLevel="0" collapsed="false">
      <c r="A324" s="5" t="s">
        <v>348</v>
      </c>
      <c r="B324" s="0" t="s">
        <v>79</v>
      </c>
      <c r="D324" s="16" t="n">
        <f aca="false">eth_26</f>
        <v>0.75</v>
      </c>
      <c r="E324" s="16" t="n">
        <f aca="false">eth_27</f>
        <v>0.8</v>
      </c>
      <c r="F324" s="16" t="n">
        <f aca="false">eth_28</f>
        <v>0.83</v>
      </c>
      <c r="G324" s="16" t="n">
        <f aca="false">eth_29</f>
        <v>0.85</v>
      </c>
    </row>
    <row r="325" customFormat="false" ht="17.15" hidden="false" customHeight="false" outlineLevel="0" collapsed="false">
      <c r="A325" s="0" t="s">
        <v>350</v>
      </c>
      <c r="B325" s="0" t="s">
        <v>34</v>
      </c>
      <c r="D325" s="21" t="n">
        <f aca="false">D323*D324</f>
        <v>24.053925</v>
      </c>
      <c r="E325" s="21" t="n">
        <f aca="false">E323*E324</f>
        <v>48.868</v>
      </c>
      <c r="F325" s="21" t="n">
        <f aca="false">F323*F324</f>
        <v>57.27415</v>
      </c>
      <c r="G325" s="21" t="n">
        <f aca="false">G323*G324</f>
        <v>66.7098275</v>
      </c>
    </row>
    <row r="326" customFormat="false" ht="17.15" hidden="false" customHeight="false" outlineLevel="0" collapsed="false">
      <c r="A326" s="0" t="s">
        <v>384</v>
      </c>
      <c r="B326" s="0" t="s">
        <v>79</v>
      </c>
      <c r="D326" s="16" t="n">
        <f aca="false">a26_ai/D325</f>
        <v>0.14550639864388</v>
      </c>
      <c r="H326" s="8" t="s">
        <v>385</v>
      </c>
    </row>
    <row r="327" customFormat="false" ht="17.15" hidden="false" customHeight="false" outlineLevel="0" collapsed="false">
      <c r="A327" s="5" t="s">
        <v>386</v>
      </c>
      <c r="B327" s="0" t="s">
        <v>57</v>
      </c>
      <c r="D327" s="19" t="n">
        <f aca="false">1</f>
        <v>1</v>
      </c>
      <c r="E327" s="19" t="n">
        <f aca="false">rel_27</f>
        <v>0.95</v>
      </c>
      <c r="F327" s="19" t="n">
        <f aca="false">rel_28</f>
        <v>0.9</v>
      </c>
      <c r="G327" s="19" t="n">
        <f aca="false">rel_29</f>
        <v>0.88</v>
      </c>
    </row>
    <row r="328" customFormat="false" ht="17.15" hidden="false" customHeight="false" outlineLevel="0" collapsed="false">
      <c r="A328" s="0" t="s">
        <v>387</v>
      </c>
      <c r="B328" s="0" t="s">
        <v>79</v>
      </c>
      <c r="D328" s="16" t="n">
        <f aca="false">$D$326*D327</f>
        <v>0.14550639864388</v>
      </c>
      <c r="E328" s="16" t="n">
        <f aca="false">$D$326*E327</f>
        <v>0.138231078711686</v>
      </c>
      <c r="F328" s="16" t="n">
        <f aca="false">$D$326*F327</f>
        <v>0.130955758779492</v>
      </c>
      <c r="G328" s="16" t="n">
        <f aca="false">$D$326*G327</f>
        <v>0.128045630806615</v>
      </c>
    </row>
    <row r="329" customFormat="false" ht="17.15" hidden="false" customHeight="false" outlineLevel="0" collapsed="false">
      <c r="A329" s="0" t="s">
        <v>327</v>
      </c>
      <c r="B329" s="0" t="s">
        <v>34</v>
      </c>
      <c r="C329" s="21" t="n">
        <f aca="false">a25_ai</f>
        <v>1.63</v>
      </c>
      <c r="D329" s="21" t="n">
        <f aca="false">D325*D328</f>
        <v>3.5</v>
      </c>
      <c r="E329" s="21" t="n">
        <f aca="false">E325*E328</f>
        <v>6.75507635448269</v>
      </c>
      <c r="F329" s="21" t="n">
        <f aca="false">F325*F328</f>
        <v>7.50037977170046</v>
      </c>
      <c r="G329" s="21" t="n">
        <f aca="false">G325*G328</f>
        <v>8.54190194323796</v>
      </c>
    </row>
    <row r="330" customFormat="false" ht="17.15" hidden="false" customHeight="false" outlineLevel="0" collapsed="false">
      <c r="A330" s="1" t="s">
        <v>388</v>
      </c>
    </row>
    <row r="331" customFormat="false" ht="17.15" hidden="false" customHeight="false" outlineLevel="0" collapsed="false">
      <c r="A331" s="5" t="s">
        <v>389</v>
      </c>
      <c r="B331" s="0" t="s">
        <v>34</v>
      </c>
      <c r="C331" s="21" t="n">
        <f aca="false">a25_nai</f>
        <v>7.3757</v>
      </c>
      <c r="D331" s="21" t="n">
        <f aca="false">a26_nai</f>
        <v>9.1</v>
      </c>
      <c r="E331" s="21" t="n">
        <f aca="false">D331*(1+g_nai27)</f>
        <v>10.01</v>
      </c>
      <c r="F331" s="21" t="n">
        <f aca="false">E331*(1+g_nai28)</f>
        <v>10.8108</v>
      </c>
      <c r="G331" s="21" t="n">
        <f aca="false">F331*(1+g_nai29)</f>
        <v>11.459448</v>
      </c>
    </row>
    <row r="332" customFormat="false" ht="15" hidden="false" customHeight="false" outlineLevel="0" collapsed="false">
      <c r="A332" s="5" t="s">
        <v>302</v>
      </c>
      <c r="B332" s="0" t="s">
        <v>34</v>
      </c>
      <c r="C332" s="21" t="n">
        <f aca="false">a25_rev</f>
        <v>9.0057</v>
      </c>
      <c r="D332" s="21" t="n">
        <f aca="false">D329+D331</f>
        <v>12.6</v>
      </c>
      <c r="E332" s="21" t="n">
        <f aca="false">E329+E331</f>
        <v>16.7650763544827</v>
      </c>
      <c r="F332" s="21" t="n">
        <f aca="false">F329+F331</f>
        <v>18.3111797717005</v>
      </c>
      <c r="G332" s="21" t="n">
        <f aca="false">G329+G331</f>
        <v>20.001349943238</v>
      </c>
    </row>
    <row r="333" customFormat="false" ht="17.15" hidden="false" customHeight="false" outlineLevel="0" collapsed="false">
      <c r="A333" s="5" t="s">
        <v>390</v>
      </c>
      <c r="B333" s="0" t="s">
        <v>34</v>
      </c>
      <c r="C333" s="21" t="n">
        <f aca="false">svc25</f>
        <v>1.4288</v>
      </c>
      <c r="D333" s="21" t="n">
        <f aca="false">C333*(1+g_svc26)</f>
        <v>1.743136</v>
      </c>
      <c r="E333" s="21" t="n">
        <f aca="false">D333*(1+g_svc27)</f>
        <v>2.0046064</v>
      </c>
      <c r="F333" s="21" t="n">
        <f aca="false">E333*(1+g_svc28)</f>
        <v>2.20506704</v>
      </c>
      <c r="G333" s="21" t="n">
        <f aca="false">F333*(1+g_svc29)</f>
        <v>2.3814724032</v>
      </c>
      <c r="H333" s="5" t="s">
        <v>391</v>
      </c>
    </row>
    <row r="334" customFormat="false" ht="17.15" hidden="false" customHeight="false" outlineLevel="0" collapsed="false">
      <c r="A334" s="5" t="s">
        <v>392</v>
      </c>
      <c r="B334" s="0" t="s">
        <v>34</v>
      </c>
      <c r="C334" s="21" t="n">
        <f aca="false">C331-C333</f>
        <v>5.9469</v>
      </c>
      <c r="D334" s="21" t="n">
        <f aca="false">D331-D333</f>
        <v>7.356864</v>
      </c>
      <c r="E334" s="21" t="n">
        <f aca="false">E331-E333</f>
        <v>8.0053936</v>
      </c>
      <c r="F334" s="21" t="n">
        <f aca="false">F331-F333</f>
        <v>8.60573296</v>
      </c>
      <c r="G334" s="21" t="n">
        <f aca="false">G331-G333</f>
        <v>9.0779755968</v>
      </c>
    </row>
    <row r="335" customFormat="false" ht="17.15" hidden="false" customHeight="false" outlineLevel="0" collapsed="false">
      <c r="A335" s="5" t="s">
        <v>393</v>
      </c>
      <c r="B335" s="0" t="s">
        <v>34</v>
      </c>
      <c r="C335" s="21" t="n">
        <f aca="false">C329+C334</f>
        <v>7.5769</v>
      </c>
      <c r="D335" s="21" t="n">
        <f aca="false">D329+D334</f>
        <v>10.856864</v>
      </c>
      <c r="E335" s="21" t="n">
        <f aca="false">E329+E334</f>
        <v>14.7604699544827</v>
      </c>
      <c r="F335" s="21" t="n">
        <f aca="false">F329+F334</f>
        <v>16.1061127317005</v>
      </c>
      <c r="G335" s="21" t="n">
        <f aca="false">G329+G334</f>
        <v>17.619877540038</v>
      </c>
      <c r="H335" s="5" t="s">
        <v>394</v>
      </c>
    </row>
    <row r="336" customFormat="false" ht="15" hidden="false" customHeight="false" outlineLevel="0" collapsed="false">
      <c r="A336" s="5" t="s">
        <v>395</v>
      </c>
      <c r="B336" s="0" t="s">
        <v>34</v>
      </c>
      <c r="C336" s="17" t="n">
        <f aca="false">C335+C333-C332</f>
        <v>0</v>
      </c>
      <c r="D336" s="17" t="n">
        <f aca="false">D335+D333-D332</f>
        <v>0</v>
      </c>
      <c r="E336" s="17" t="n">
        <f aca="false">E335+E333-E332</f>
        <v>0</v>
      </c>
      <c r="F336" s="17" t="n">
        <f aca="false">F335+F333-F332</f>
        <v>0</v>
      </c>
      <c r="G336" s="17" t="n">
        <f aca="false">G335+G333-G332</f>
        <v>0</v>
      </c>
    </row>
    <row r="337" customFormat="false" ht="15" hidden="false" customHeight="false" outlineLevel="0" collapsed="false">
      <c r="A337" s="5" t="s">
        <v>396</v>
      </c>
      <c r="B337" s="0" t="s">
        <v>79</v>
      </c>
      <c r="D337" s="16" t="n">
        <f aca="false">D332/C332-1</f>
        <v>0.399113894533462</v>
      </c>
      <c r="E337" s="16" t="n">
        <f aca="false">E332/D332-1</f>
        <v>0.330561615435134</v>
      </c>
      <c r="F337" s="16" t="n">
        <f aca="false">F332/E332-1</f>
        <v>0.0922216746602751</v>
      </c>
      <c r="G337" s="16" t="n">
        <f aca="false">G332/F332-1</f>
        <v>0.092302636564664</v>
      </c>
    </row>
    <row r="338" customFormat="false" ht="17.15" hidden="false" customHeight="false" outlineLevel="0" collapsed="false">
      <c r="A338" s="0" t="s">
        <v>332</v>
      </c>
      <c r="B338" s="0" t="s">
        <v>79</v>
      </c>
      <c r="C338" s="16" t="n">
        <f aca="false">C329/C332</f>
        <v>0.180996480007107</v>
      </c>
      <c r="D338" s="16" t="n">
        <f aca="false">D329/D332</f>
        <v>0.277777777777778</v>
      </c>
      <c r="E338" s="16" t="n">
        <f aca="false">E329/E332</f>
        <v>0.402925475056157</v>
      </c>
      <c r="F338" s="16" t="n">
        <f aca="false">F329/F332</f>
        <v>0.409606582711407</v>
      </c>
      <c r="G338" s="16" t="n">
        <f aca="false">G329/G332</f>
        <v>0.427066271400636</v>
      </c>
    </row>
    <row r="339" customFormat="false" ht="17.15" hidden="false" customHeight="false" outlineLevel="0" collapsed="false">
      <c r="A339" s="1" t="s">
        <v>397</v>
      </c>
    </row>
    <row r="340" customFormat="false" ht="17.15" hidden="false" customHeight="false" outlineLevel="0" collapsed="false">
      <c r="A340" s="5" t="s">
        <v>398</v>
      </c>
      <c r="B340" s="0" t="s">
        <v>79</v>
      </c>
      <c r="D340" s="16" t="n">
        <f aca="false">a26_gp/a26_rev+d_ai_lo*D338</f>
        <v>0.638333333333333</v>
      </c>
      <c r="H340" s="8" t="s">
        <v>399</v>
      </c>
    </row>
    <row r="341" customFormat="false" ht="15" hidden="false" customHeight="false" outlineLevel="0" collapsed="false">
      <c r="A341" s="5" t="s">
        <v>400</v>
      </c>
      <c r="B341" s="0" t="s">
        <v>34</v>
      </c>
      <c r="C341" s="21" t="n">
        <f aca="false">a25_gp</f>
        <v>5.8154</v>
      </c>
      <c r="D341" s="21" t="n">
        <f aca="false">a26_gp</f>
        <v>7.938</v>
      </c>
      <c r="E341" s="21" t="n">
        <f aca="false">$D$340*E331+($D$340-d_ai_lo)*E329</f>
        <v>10.4990547823103</v>
      </c>
      <c r="F341" s="21" t="n">
        <f aca="false">$D$340*F331+($D$340-d_ai_lo)*F329</f>
        <v>11.4636250277844</v>
      </c>
      <c r="G341" s="21" t="n">
        <f aca="false">$D$340*G331+($D$340-d_ai_lo)*G329</f>
        <v>12.5112713221364</v>
      </c>
    </row>
    <row r="342" customFormat="false" ht="15" hidden="false" customHeight="false" outlineLevel="0" collapsed="false">
      <c r="A342" s="5" t="s">
        <v>308</v>
      </c>
      <c r="B342" s="0" t="s">
        <v>79</v>
      </c>
      <c r="C342" s="16" t="n">
        <f aca="false">C341/C332</f>
        <v>0.645746582719833</v>
      </c>
      <c r="D342" s="16" t="n">
        <f aca="false">D341/D332</f>
        <v>0.63</v>
      </c>
      <c r="E342" s="16" t="n">
        <f aca="false">E341/E332</f>
        <v>0.626245569081649</v>
      </c>
      <c r="F342" s="16" t="n">
        <f aca="false">F341/F332</f>
        <v>0.626045135851991</v>
      </c>
      <c r="G342" s="16" t="n">
        <f aca="false">G341/G332</f>
        <v>0.625521345191314</v>
      </c>
    </row>
    <row r="343" customFormat="false" ht="15" hidden="false" customHeight="false" outlineLevel="0" collapsed="false">
      <c r="A343" s="5" t="s">
        <v>401</v>
      </c>
      <c r="B343" s="0" t="s">
        <v>34</v>
      </c>
      <c r="C343" s="21" t="n">
        <f aca="false">a25_opx</f>
        <v>1.4784</v>
      </c>
      <c r="D343" s="21" t="n">
        <f aca="false">a26_opx</f>
        <v>1.827</v>
      </c>
      <c r="E343" s="21" t="n">
        <f aca="false">D343*(1+MAX(0,phi*E337))</f>
        <v>2.15916483926999</v>
      </c>
      <c r="F343" s="21" t="n">
        <f aca="false">E343*(1+MAX(0,phi*F337))</f>
        <v>2.26868182780978</v>
      </c>
      <c r="G343" s="21" t="n">
        <f aca="false">F343*(1+MAX(0,phi*G337))</f>
        <v>2.38385475063803</v>
      </c>
    </row>
    <row r="344" customFormat="false" ht="15" hidden="false" customHeight="false" outlineLevel="0" collapsed="false">
      <c r="A344" s="5" t="s">
        <v>402</v>
      </c>
      <c r="B344" s="0" t="s">
        <v>34</v>
      </c>
      <c r="C344" s="21" t="n">
        <f aca="false">C343</f>
        <v>1.4784</v>
      </c>
      <c r="D344" s="21" t="n">
        <f aca="false">D343</f>
        <v>1.827</v>
      </c>
      <c r="E344" s="21" t="n">
        <f aca="false">E343+0*E332</f>
        <v>2.15916483926999</v>
      </c>
      <c r="F344" s="21" t="n">
        <f aca="false">F343+0*F332</f>
        <v>2.26868182780978</v>
      </c>
      <c r="G344" s="21" t="n">
        <f aca="false">G343+0*G332</f>
        <v>2.38385475063803</v>
      </c>
    </row>
    <row r="345" customFormat="false" ht="15" hidden="false" customHeight="false" outlineLevel="0" collapsed="false">
      <c r="A345" s="5" t="s">
        <v>403</v>
      </c>
      <c r="B345" s="0" t="s">
        <v>34</v>
      </c>
      <c r="C345" s="21" t="n">
        <f aca="false">C341-C344</f>
        <v>4.337</v>
      </c>
      <c r="D345" s="21" t="n">
        <f aca="false">D341-D344</f>
        <v>6.111</v>
      </c>
      <c r="E345" s="21" t="n">
        <f aca="false">E341-E344</f>
        <v>8.33988994304031</v>
      </c>
      <c r="F345" s="21" t="n">
        <f aca="false">F341-F344</f>
        <v>9.19494319997467</v>
      </c>
      <c r="G345" s="21" t="n">
        <f aca="false">G341-G344</f>
        <v>10.1274165714984</v>
      </c>
    </row>
    <row r="346" customFormat="false" ht="15" hidden="false" customHeight="false" outlineLevel="0" collapsed="false">
      <c r="A346" s="5" t="s">
        <v>313</v>
      </c>
      <c r="B346" s="0" t="s">
        <v>79</v>
      </c>
      <c r="C346" s="16" t="n">
        <f aca="false">C345/C332</f>
        <v>0.48158388576124</v>
      </c>
      <c r="D346" s="16" t="n">
        <f aca="false">D345/D332</f>
        <v>0.485</v>
      </c>
      <c r="E346" s="16" t="n">
        <f aca="false">E345/E332</f>
        <v>0.497456126456016</v>
      </c>
      <c r="F346" s="16" t="n">
        <f aca="false">F345/F332</f>
        <v>0.502149141377841</v>
      </c>
      <c r="G346" s="16" t="n">
        <f aca="false">G345/G332</f>
        <v>0.506336652287926</v>
      </c>
    </row>
    <row r="347" customFormat="false" ht="15" hidden="false" customHeight="false" outlineLevel="0" collapsed="false">
      <c r="A347" s="5" t="s">
        <v>404</v>
      </c>
      <c r="B347" s="0" t="s">
        <v>34</v>
      </c>
      <c r="C347" s="21" t="n">
        <f aca="false">a25_oth</f>
        <v>0.3936</v>
      </c>
      <c r="D347" s="21" t="n">
        <f aca="false">a26_oth</f>
        <v>0.4999</v>
      </c>
      <c r="E347" s="21" t="n">
        <f aca="false">oth_f</f>
        <v>0.55</v>
      </c>
      <c r="F347" s="21" t="n">
        <f aca="false">oth_f</f>
        <v>0.55</v>
      </c>
      <c r="G347" s="21" t="n">
        <f aca="false">oth_f</f>
        <v>0.55</v>
      </c>
    </row>
    <row r="348" customFormat="false" ht="15" hidden="false" customHeight="false" outlineLevel="0" collapsed="false">
      <c r="A348" s="5" t="s">
        <v>405</v>
      </c>
      <c r="B348" s="0" t="s">
        <v>79</v>
      </c>
      <c r="C348" s="16" t="n">
        <f aca="false">1-a25_ni/(a25_oi+a25_oth)</f>
        <v>0.195450894178328</v>
      </c>
      <c r="D348" s="16" t="n">
        <f aca="false">1-a26_ni/(a26_oi+a26_oth)</f>
        <v>0.209652694791935</v>
      </c>
      <c r="E348" s="16" t="n">
        <f aca="false">tx_f</f>
        <v>0.21</v>
      </c>
      <c r="F348" s="16" t="n">
        <f aca="false">tx_f</f>
        <v>0.21</v>
      </c>
      <c r="G348" s="16" t="n">
        <f aca="false">tx_f</f>
        <v>0.21</v>
      </c>
    </row>
    <row r="349" customFormat="false" ht="17.15" hidden="false" customHeight="false" outlineLevel="0" collapsed="false">
      <c r="A349" s="5" t="s">
        <v>372</v>
      </c>
      <c r="B349" s="0" t="s">
        <v>34</v>
      </c>
      <c r="C349" s="21" t="n">
        <f aca="false">a25_ni</f>
        <v>3.806</v>
      </c>
      <c r="D349" s="21" t="n">
        <f aca="false">a26_ni</f>
        <v>5.224907</v>
      </c>
      <c r="E349" s="21" t="n">
        <f aca="false">(E345+E347)*(1-E348)</f>
        <v>7.02301305500185</v>
      </c>
      <c r="F349" s="21" t="n">
        <f aca="false">(F345+F347)*(1-F348)</f>
        <v>7.69850512797999</v>
      </c>
      <c r="G349" s="21" t="n">
        <f aca="false">(G345+G347)*(1-G348)</f>
        <v>8.43515909148373</v>
      </c>
    </row>
    <row r="350" customFormat="false" ht="15" hidden="false" customHeight="false" outlineLevel="0" collapsed="false">
      <c r="A350" s="5" t="s">
        <v>406</v>
      </c>
      <c r="B350" s="5" t="s">
        <v>167</v>
      </c>
      <c r="C350" s="17" t="n">
        <f aca="false">a25_sh</f>
        <v>1.2757</v>
      </c>
      <c r="D350" s="17" t="n">
        <f aca="false">a26_sh</f>
        <v>1.27595</v>
      </c>
      <c r="E350" s="17" t="n">
        <f aca="false">D350*(1+sh_g)</f>
        <v>1.27595</v>
      </c>
      <c r="F350" s="17" t="n">
        <f aca="false">E350*(1+sh_g)</f>
        <v>1.27595</v>
      </c>
      <c r="G350" s="17" t="n">
        <f aca="false">F350*(1+sh_g)</f>
        <v>1.27595</v>
      </c>
    </row>
    <row r="351" customFormat="false" ht="17.15" hidden="false" customHeight="false" outlineLevel="0" collapsed="false">
      <c r="A351" s="0" t="s">
        <v>373</v>
      </c>
      <c r="B351" s="0" t="s">
        <v>202</v>
      </c>
      <c r="C351" s="21" t="n">
        <f aca="false">C349/C350</f>
        <v>2.9834600611429</v>
      </c>
      <c r="D351" s="21" t="n">
        <f aca="false">D349/D350</f>
        <v>4.0949151612524</v>
      </c>
      <c r="E351" s="21" t="n">
        <f aca="false">E349/E350</f>
        <v>5.50414440613021</v>
      </c>
      <c r="F351" s="21" t="n">
        <f aca="false">F349/F350</f>
        <v>6.03354765310552</v>
      </c>
      <c r="G351" s="21" t="n">
        <f aca="false">G349/G350</f>
        <v>6.61088529447371</v>
      </c>
    </row>
    <row r="352" customFormat="false" ht="17.15" hidden="false" customHeight="false" outlineLevel="0" collapsed="false">
      <c r="A352" s="0" t="s">
        <v>407</v>
      </c>
      <c r="B352" s="0" t="s">
        <v>79</v>
      </c>
      <c r="D352" s="16" t="n">
        <f aca="false">D351/C351-1</f>
        <v>0.372538957227979</v>
      </c>
      <c r="E352" s="16" t="n">
        <f aca="false">E351/D351-1</f>
        <v>0.344141255528921</v>
      </c>
      <c r="F352" s="16" t="n">
        <f aca="false">F351/E351-1</f>
        <v>0.0961826594494304</v>
      </c>
      <c r="G352" s="16" t="n">
        <f aca="false">G351/F351-1</f>
        <v>0.0956879226885741</v>
      </c>
    </row>
    <row r="355" customFormat="false" ht="17.15" hidden="false" customHeight="false" outlineLevel="0" collapsed="false">
      <c r="A355" s="3" t="s">
        <v>753</v>
      </c>
    </row>
    <row r="356" customFormat="false" ht="17.15" hidden="false" customHeight="false" outlineLevel="0" collapsed="false">
      <c r="A356" s="6" t="s">
        <v>23</v>
      </c>
      <c r="B356" s="6" t="s">
        <v>24</v>
      </c>
      <c r="C356" s="13" t="s">
        <v>295</v>
      </c>
      <c r="D356" s="13" t="s">
        <v>363</v>
      </c>
      <c r="E356" s="13" t="s">
        <v>364</v>
      </c>
      <c r="F356" s="13" t="s">
        <v>365</v>
      </c>
      <c r="G356" s="13" t="s">
        <v>366</v>
      </c>
      <c r="H356" s="6" t="s">
        <v>283</v>
      </c>
    </row>
    <row r="357" customFormat="false" ht="17.15" hidden="false" customHeight="false" outlineLevel="0" collapsed="false">
      <c r="A357" s="1" t="s">
        <v>382</v>
      </c>
    </row>
    <row r="358" customFormat="false" ht="17.15" hidden="false" customHeight="false" outlineLevel="0" collapsed="false">
      <c r="A358" s="0" t="s">
        <v>383</v>
      </c>
      <c r="B358" s="0" t="s">
        <v>34</v>
      </c>
      <c r="D358" s="21" t="n">
        <f aca="false">mkt_26*1</f>
        <v>32.0719</v>
      </c>
      <c r="E358" s="21" t="n">
        <f aca="false">mkt_27*1*1</f>
        <v>61.085</v>
      </c>
      <c r="F358" s="21" t="n">
        <f aca="false">mkt_28*um28_A*1</f>
        <v>69.005</v>
      </c>
      <c r="G358" s="21" t="n">
        <f aca="false">mkt_29*um29_A*1</f>
        <v>78.48215</v>
      </c>
    </row>
    <row r="359" customFormat="false" ht="15" hidden="false" customHeight="false" outlineLevel="0" collapsed="false">
      <c r="A359" s="5" t="s">
        <v>348</v>
      </c>
      <c r="B359" s="0" t="s">
        <v>79</v>
      </c>
      <c r="D359" s="16" t="n">
        <f aca="false">eth_26</f>
        <v>0.75</v>
      </c>
      <c r="E359" s="16" t="n">
        <f aca="false">eth_27</f>
        <v>0.8</v>
      </c>
      <c r="F359" s="16" t="n">
        <f aca="false">eth_28</f>
        <v>0.83</v>
      </c>
      <c r="G359" s="16" t="n">
        <f aca="false">eth_29</f>
        <v>0.85</v>
      </c>
    </row>
    <row r="360" customFormat="false" ht="17.15" hidden="false" customHeight="false" outlineLevel="0" collapsed="false">
      <c r="A360" s="0" t="s">
        <v>350</v>
      </c>
      <c r="B360" s="0" t="s">
        <v>34</v>
      </c>
      <c r="D360" s="21" t="n">
        <f aca="false">D358*D359</f>
        <v>24.053925</v>
      </c>
      <c r="E360" s="21" t="n">
        <f aca="false">E358*E359</f>
        <v>48.868</v>
      </c>
      <c r="F360" s="21" t="n">
        <f aca="false">F358*F359</f>
        <v>57.27415</v>
      </c>
      <c r="G360" s="21" t="n">
        <f aca="false">G358*G359</f>
        <v>66.7098275</v>
      </c>
    </row>
    <row r="361" customFormat="false" ht="17.15" hidden="false" customHeight="false" outlineLevel="0" collapsed="false">
      <c r="A361" s="0" t="s">
        <v>384</v>
      </c>
      <c r="B361" s="0" t="s">
        <v>79</v>
      </c>
      <c r="D361" s="16" t="n">
        <f aca="false">a26_ai/D360</f>
        <v>0.14550639864388</v>
      </c>
      <c r="H361" s="8" t="s">
        <v>385</v>
      </c>
    </row>
    <row r="362" customFormat="false" ht="17.15" hidden="false" customHeight="false" outlineLevel="0" collapsed="false">
      <c r="A362" s="5" t="s">
        <v>386</v>
      </c>
      <c r="B362" s="0" t="s">
        <v>57</v>
      </c>
      <c r="D362" s="19" t="n">
        <f aca="false">1</f>
        <v>1</v>
      </c>
      <c r="E362" s="19" t="n">
        <f aca="false">rel_27</f>
        <v>0.95</v>
      </c>
      <c r="F362" s="19" t="n">
        <f aca="false">rel_28</f>
        <v>0.9</v>
      </c>
      <c r="G362" s="19" t="n">
        <f aca="false">rel_29</f>
        <v>0.88</v>
      </c>
    </row>
    <row r="363" customFormat="false" ht="17.15" hidden="false" customHeight="false" outlineLevel="0" collapsed="false">
      <c r="A363" s="0" t="s">
        <v>387</v>
      </c>
      <c r="B363" s="0" t="s">
        <v>79</v>
      </c>
      <c r="D363" s="16" t="n">
        <f aca="false">$D$361*D362</f>
        <v>0.14550639864388</v>
      </c>
      <c r="E363" s="16" t="n">
        <f aca="false">$D$361*E362</f>
        <v>0.138231078711686</v>
      </c>
      <c r="F363" s="16" t="n">
        <f aca="false">$D$361*F362</f>
        <v>0.130955758779492</v>
      </c>
      <c r="G363" s="16" t="n">
        <f aca="false">$D$361*G362</f>
        <v>0.128045630806615</v>
      </c>
    </row>
    <row r="364" customFormat="false" ht="17.15" hidden="false" customHeight="false" outlineLevel="0" collapsed="false">
      <c r="A364" s="0" t="s">
        <v>327</v>
      </c>
      <c r="B364" s="0" t="s">
        <v>34</v>
      </c>
      <c r="C364" s="21" t="n">
        <f aca="false">a25_ai</f>
        <v>1.63</v>
      </c>
      <c r="D364" s="21" t="n">
        <f aca="false">D360*D363</f>
        <v>3.5</v>
      </c>
      <c r="E364" s="21" t="n">
        <f aca="false">E360*E363</f>
        <v>6.75507635448269</v>
      </c>
      <c r="F364" s="21" t="n">
        <f aca="false">F360*F363</f>
        <v>7.50037977170046</v>
      </c>
      <c r="G364" s="21" t="n">
        <f aca="false">G360*G363</f>
        <v>8.54190194323796</v>
      </c>
    </row>
    <row r="365" customFormat="false" ht="17.15" hidden="false" customHeight="false" outlineLevel="0" collapsed="false">
      <c r="A365" s="1" t="s">
        <v>388</v>
      </c>
    </row>
    <row r="366" customFormat="false" ht="17.15" hidden="false" customHeight="false" outlineLevel="0" collapsed="false">
      <c r="A366" s="5" t="s">
        <v>389</v>
      </c>
      <c r="B366" s="0" t="s">
        <v>34</v>
      </c>
      <c r="C366" s="21" t="n">
        <f aca="false">a25_nai</f>
        <v>7.3757</v>
      </c>
      <c r="D366" s="21" t="n">
        <f aca="false">a26_nai</f>
        <v>9.1</v>
      </c>
      <c r="E366" s="21" t="n">
        <f aca="false">D366*(1+g_nai27)</f>
        <v>10.01</v>
      </c>
      <c r="F366" s="21" t="n">
        <f aca="false">E366*(1+g_nai28)</f>
        <v>10.8108</v>
      </c>
      <c r="G366" s="21" t="n">
        <f aca="false">F366*(1+g_nai29)</f>
        <v>11.459448</v>
      </c>
    </row>
    <row r="367" customFormat="false" ht="15" hidden="false" customHeight="false" outlineLevel="0" collapsed="false">
      <c r="A367" s="5" t="s">
        <v>302</v>
      </c>
      <c r="B367" s="0" t="s">
        <v>34</v>
      </c>
      <c r="C367" s="21" t="n">
        <f aca="false">a25_rev</f>
        <v>9.0057</v>
      </c>
      <c r="D367" s="21" t="n">
        <f aca="false">D364+D366</f>
        <v>12.6</v>
      </c>
      <c r="E367" s="21" t="n">
        <f aca="false">E364+E366</f>
        <v>16.7650763544827</v>
      </c>
      <c r="F367" s="21" t="n">
        <f aca="false">F364+F366</f>
        <v>18.3111797717005</v>
      </c>
      <c r="G367" s="21" t="n">
        <f aca="false">G364+G366</f>
        <v>20.001349943238</v>
      </c>
    </row>
    <row r="368" customFormat="false" ht="17.15" hidden="false" customHeight="false" outlineLevel="0" collapsed="false">
      <c r="A368" s="5" t="s">
        <v>390</v>
      </c>
      <c r="B368" s="0" t="s">
        <v>34</v>
      </c>
      <c r="C368" s="21" t="n">
        <f aca="false">svc25</f>
        <v>1.4288</v>
      </c>
      <c r="D368" s="21" t="n">
        <f aca="false">C368*(1+g_svc26)</f>
        <v>1.743136</v>
      </c>
      <c r="E368" s="21" t="n">
        <f aca="false">D368*(1+g_svc27)</f>
        <v>2.0046064</v>
      </c>
      <c r="F368" s="21" t="n">
        <f aca="false">E368*(1+g_svc28)</f>
        <v>2.20506704</v>
      </c>
      <c r="G368" s="21" t="n">
        <f aca="false">F368*(1+g_svc29)</f>
        <v>2.3814724032</v>
      </c>
      <c r="H368" s="5" t="s">
        <v>391</v>
      </c>
    </row>
    <row r="369" customFormat="false" ht="17.15" hidden="false" customHeight="false" outlineLevel="0" collapsed="false">
      <c r="A369" s="5" t="s">
        <v>392</v>
      </c>
      <c r="B369" s="0" t="s">
        <v>34</v>
      </c>
      <c r="C369" s="21" t="n">
        <f aca="false">C366-C368</f>
        <v>5.9469</v>
      </c>
      <c r="D369" s="21" t="n">
        <f aca="false">D366-D368</f>
        <v>7.356864</v>
      </c>
      <c r="E369" s="21" t="n">
        <f aca="false">E366-E368</f>
        <v>8.0053936</v>
      </c>
      <c r="F369" s="21" t="n">
        <f aca="false">F366-F368</f>
        <v>8.60573296</v>
      </c>
      <c r="G369" s="21" t="n">
        <f aca="false">G366-G368</f>
        <v>9.0779755968</v>
      </c>
    </row>
    <row r="370" customFormat="false" ht="17.15" hidden="false" customHeight="false" outlineLevel="0" collapsed="false">
      <c r="A370" s="5" t="s">
        <v>393</v>
      </c>
      <c r="B370" s="0" t="s">
        <v>34</v>
      </c>
      <c r="C370" s="21" t="n">
        <f aca="false">C364+C369</f>
        <v>7.5769</v>
      </c>
      <c r="D370" s="21" t="n">
        <f aca="false">D364+D369</f>
        <v>10.856864</v>
      </c>
      <c r="E370" s="21" t="n">
        <f aca="false">E364+E369</f>
        <v>14.7604699544827</v>
      </c>
      <c r="F370" s="21" t="n">
        <f aca="false">F364+F369</f>
        <v>16.1061127317005</v>
      </c>
      <c r="G370" s="21" t="n">
        <f aca="false">G364+G369</f>
        <v>17.619877540038</v>
      </c>
      <c r="H370" s="5" t="s">
        <v>394</v>
      </c>
    </row>
    <row r="371" customFormat="false" ht="15" hidden="false" customHeight="false" outlineLevel="0" collapsed="false">
      <c r="A371" s="5" t="s">
        <v>395</v>
      </c>
      <c r="B371" s="0" t="s">
        <v>34</v>
      </c>
      <c r="C371" s="17" t="n">
        <f aca="false">C370+C368-C367</f>
        <v>0</v>
      </c>
      <c r="D371" s="17" t="n">
        <f aca="false">D370+D368-D367</f>
        <v>0</v>
      </c>
      <c r="E371" s="17" t="n">
        <f aca="false">E370+E368-E367</f>
        <v>0</v>
      </c>
      <c r="F371" s="17" t="n">
        <f aca="false">F370+F368-F367</f>
        <v>0</v>
      </c>
      <c r="G371" s="17" t="n">
        <f aca="false">G370+G368-G367</f>
        <v>0</v>
      </c>
    </row>
    <row r="372" customFormat="false" ht="15" hidden="false" customHeight="false" outlineLevel="0" collapsed="false">
      <c r="A372" s="5" t="s">
        <v>396</v>
      </c>
      <c r="B372" s="0" t="s">
        <v>79</v>
      </c>
      <c r="D372" s="16" t="n">
        <f aca="false">D367/C367-1</f>
        <v>0.399113894533462</v>
      </c>
      <c r="E372" s="16" t="n">
        <f aca="false">E367/D367-1</f>
        <v>0.330561615435134</v>
      </c>
      <c r="F372" s="16" t="n">
        <f aca="false">F367/E367-1</f>
        <v>0.0922216746602751</v>
      </c>
      <c r="G372" s="16" t="n">
        <f aca="false">G367/F367-1</f>
        <v>0.092302636564664</v>
      </c>
    </row>
    <row r="373" customFormat="false" ht="17.15" hidden="false" customHeight="false" outlineLevel="0" collapsed="false">
      <c r="A373" s="0" t="s">
        <v>332</v>
      </c>
      <c r="B373" s="0" t="s">
        <v>79</v>
      </c>
      <c r="C373" s="16" t="n">
        <f aca="false">C364/C367</f>
        <v>0.180996480007107</v>
      </c>
      <c r="D373" s="16" t="n">
        <f aca="false">D364/D367</f>
        <v>0.277777777777778</v>
      </c>
      <c r="E373" s="16" t="n">
        <f aca="false">E364/E367</f>
        <v>0.402925475056157</v>
      </c>
      <c r="F373" s="16" t="n">
        <f aca="false">F364/F367</f>
        <v>0.409606582711407</v>
      </c>
      <c r="G373" s="16" t="n">
        <f aca="false">G364/G367</f>
        <v>0.427066271400636</v>
      </c>
    </row>
    <row r="374" customFormat="false" ht="17.15" hidden="false" customHeight="false" outlineLevel="0" collapsed="false">
      <c r="A374" s="1" t="s">
        <v>397</v>
      </c>
    </row>
    <row r="375" customFormat="false" ht="17.15" hidden="false" customHeight="false" outlineLevel="0" collapsed="false">
      <c r="A375" s="5" t="s">
        <v>398</v>
      </c>
      <c r="B375" s="0" t="s">
        <v>79</v>
      </c>
      <c r="D375" s="16" t="n">
        <f aca="false">a26_gp/a26_rev+d_ai_hi*D373</f>
        <v>0.657777777777778</v>
      </c>
      <c r="H375" s="8" t="s">
        <v>399</v>
      </c>
    </row>
    <row r="376" customFormat="false" ht="15" hidden="false" customHeight="false" outlineLevel="0" collapsed="false">
      <c r="A376" s="5" t="s">
        <v>400</v>
      </c>
      <c r="B376" s="0" t="s">
        <v>34</v>
      </c>
      <c r="C376" s="21" t="n">
        <f aca="false">a25_gp</f>
        <v>5.8154</v>
      </c>
      <c r="D376" s="21" t="n">
        <f aca="false">a26_gp</f>
        <v>7.938</v>
      </c>
      <c r="E376" s="21" t="n">
        <f aca="false">$D$375*E366+($D$375-d_ai_hi)*E364</f>
        <v>10.3521870332781</v>
      </c>
      <c r="F376" s="21" t="n">
        <f aca="false">$D$375*F366+($D$375-d_ai_hi)*F364</f>
        <v>11.2946491615485</v>
      </c>
      <c r="G376" s="21" t="n">
        <f aca="false">$D$375*G366+($D$375-d_ai_hi)*G364</f>
        <v>12.302253323895</v>
      </c>
    </row>
    <row r="377" customFormat="false" ht="15" hidden="false" customHeight="false" outlineLevel="0" collapsed="false">
      <c r="A377" s="5" t="s">
        <v>308</v>
      </c>
      <c r="B377" s="0" t="s">
        <v>79</v>
      </c>
      <c r="C377" s="16" t="n">
        <f aca="false">C376/C367</f>
        <v>0.645746582719833</v>
      </c>
      <c r="D377" s="16" t="n">
        <f aca="false">D376/D367</f>
        <v>0.63</v>
      </c>
      <c r="E377" s="16" t="n">
        <f aca="false">E376/E367</f>
        <v>0.617485230272162</v>
      </c>
      <c r="F377" s="16" t="n">
        <f aca="false">F376/F367</f>
        <v>0.616817119506637</v>
      </c>
      <c r="G377" s="16" t="n">
        <f aca="false">G376/G367</f>
        <v>0.615071150637714</v>
      </c>
    </row>
    <row r="378" customFormat="false" ht="15" hidden="false" customHeight="false" outlineLevel="0" collapsed="false">
      <c r="A378" s="5" t="s">
        <v>401</v>
      </c>
      <c r="B378" s="0" t="s">
        <v>34</v>
      </c>
      <c r="C378" s="21" t="n">
        <f aca="false">a25_opx</f>
        <v>1.4784</v>
      </c>
      <c r="D378" s="21" t="n">
        <f aca="false">a26_opx</f>
        <v>1.827</v>
      </c>
      <c r="E378" s="21" t="n">
        <f aca="false">D378*(1+MAX(0,phi*E372))</f>
        <v>2.15916483926999</v>
      </c>
      <c r="F378" s="21" t="n">
        <f aca="false">E378*(1+MAX(0,phi*F372))</f>
        <v>2.26868182780978</v>
      </c>
      <c r="G378" s="21" t="n">
        <f aca="false">F378*(1+MAX(0,phi*G372))</f>
        <v>2.38385475063803</v>
      </c>
    </row>
    <row r="379" customFormat="false" ht="15" hidden="false" customHeight="false" outlineLevel="0" collapsed="false">
      <c r="A379" s="5" t="s">
        <v>402</v>
      </c>
      <c r="B379" s="0" t="s">
        <v>34</v>
      </c>
      <c r="C379" s="21" t="n">
        <f aca="false">C378</f>
        <v>1.4784</v>
      </c>
      <c r="D379" s="21" t="n">
        <f aca="false">D378</f>
        <v>1.827</v>
      </c>
      <c r="E379" s="21" t="n">
        <f aca="false">E378+0*E367</f>
        <v>2.15916483926999</v>
      </c>
      <c r="F379" s="21" t="n">
        <f aca="false">F378+0*F367</f>
        <v>2.26868182780978</v>
      </c>
      <c r="G379" s="21" t="n">
        <f aca="false">G378+0*G367</f>
        <v>2.38385475063803</v>
      </c>
    </row>
    <row r="380" customFormat="false" ht="15" hidden="false" customHeight="false" outlineLevel="0" collapsed="false">
      <c r="A380" s="5" t="s">
        <v>403</v>
      </c>
      <c r="B380" s="0" t="s">
        <v>34</v>
      </c>
      <c r="C380" s="21" t="n">
        <f aca="false">C376-C379</f>
        <v>4.337</v>
      </c>
      <c r="D380" s="21" t="n">
        <f aca="false">D376-D379</f>
        <v>6.111</v>
      </c>
      <c r="E380" s="21" t="n">
        <f aca="false">E376-E379</f>
        <v>8.19302219400813</v>
      </c>
      <c r="F380" s="21" t="n">
        <f aca="false">F376-F379</f>
        <v>9.0259673337387</v>
      </c>
      <c r="G380" s="21" t="n">
        <f aca="false">G376-G379</f>
        <v>9.91839857325692</v>
      </c>
    </row>
    <row r="381" customFormat="false" ht="15" hidden="false" customHeight="false" outlineLevel="0" collapsed="false">
      <c r="A381" s="5" t="s">
        <v>313</v>
      </c>
      <c r="B381" s="0" t="s">
        <v>79</v>
      </c>
      <c r="C381" s="16" t="n">
        <f aca="false">C380/C367</f>
        <v>0.48158388576124</v>
      </c>
      <c r="D381" s="16" t="n">
        <f aca="false">D380/D367</f>
        <v>0.485</v>
      </c>
      <c r="E381" s="16" t="n">
        <f aca="false">E380/E367</f>
        <v>0.48869578764653</v>
      </c>
      <c r="F381" s="16" t="n">
        <f aca="false">F380/F367</f>
        <v>0.492921125032487</v>
      </c>
      <c r="G381" s="16" t="n">
        <f aca="false">G380/G367</f>
        <v>0.495886457734325</v>
      </c>
    </row>
    <row r="382" customFormat="false" ht="15" hidden="false" customHeight="false" outlineLevel="0" collapsed="false">
      <c r="A382" s="5" t="s">
        <v>404</v>
      </c>
      <c r="B382" s="0" t="s">
        <v>34</v>
      </c>
      <c r="C382" s="21" t="n">
        <f aca="false">a25_oth</f>
        <v>0.3936</v>
      </c>
      <c r="D382" s="21" t="n">
        <f aca="false">a26_oth</f>
        <v>0.4999</v>
      </c>
      <c r="E382" s="21" t="n">
        <f aca="false">oth_f</f>
        <v>0.55</v>
      </c>
      <c r="F382" s="21" t="n">
        <f aca="false">oth_f</f>
        <v>0.55</v>
      </c>
      <c r="G382" s="21" t="n">
        <f aca="false">oth_f</f>
        <v>0.55</v>
      </c>
    </row>
    <row r="383" customFormat="false" ht="15" hidden="false" customHeight="false" outlineLevel="0" collapsed="false">
      <c r="A383" s="5" t="s">
        <v>405</v>
      </c>
      <c r="B383" s="0" t="s">
        <v>79</v>
      </c>
      <c r="C383" s="16" t="n">
        <f aca="false">1-a25_ni/(a25_oi+a25_oth)</f>
        <v>0.195450894178328</v>
      </c>
      <c r="D383" s="16" t="n">
        <f aca="false">1-a26_ni/(a26_oi+a26_oth)</f>
        <v>0.209652694791935</v>
      </c>
      <c r="E383" s="16" t="n">
        <f aca="false">tx_f</f>
        <v>0.21</v>
      </c>
      <c r="F383" s="16" t="n">
        <f aca="false">tx_f</f>
        <v>0.21</v>
      </c>
      <c r="G383" s="16" t="n">
        <f aca="false">tx_f</f>
        <v>0.21</v>
      </c>
    </row>
    <row r="384" customFormat="false" ht="17.15" hidden="false" customHeight="false" outlineLevel="0" collapsed="false">
      <c r="A384" s="5" t="s">
        <v>372</v>
      </c>
      <c r="B384" s="0" t="s">
        <v>34</v>
      </c>
      <c r="C384" s="21" t="n">
        <f aca="false">a25_ni</f>
        <v>3.806</v>
      </c>
      <c r="D384" s="21" t="n">
        <f aca="false">a26_ni</f>
        <v>5.224907</v>
      </c>
      <c r="E384" s="21" t="n">
        <f aca="false">(E380+E382)*(1-E383)</f>
        <v>6.90698753326642</v>
      </c>
      <c r="F384" s="21" t="n">
        <f aca="false">(F380+F382)*(1-F383)</f>
        <v>7.56501419365358</v>
      </c>
      <c r="G384" s="21" t="n">
        <f aca="false">(G380+G382)*(1-G383)</f>
        <v>8.27003487287297</v>
      </c>
    </row>
    <row r="385" customFormat="false" ht="15" hidden="false" customHeight="false" outlineLevel="0" collapsed="false">
      <c r="A385" s="5" t="s">
        <v>406</v>
      </c>
      <c r="B385" s="5" t="s">
        <v>167</v>
      </c>
      <c r="C385" s="17" t="n">
        <f aca="false">a25_sh</f>
        <v>1.2757</v>
      </c>
      <c r="D385" s="17" t="n">
        <f aca="false">a26_sh</f>
        <v>1.27595</v>
      </c>
      <c r="E385" s="17" t="n">
        <f aca="false">D385*(1+sh_g)</f>
        <v>1.27595</v>
      </c>
      <c r="F385" s="17" t="n">
        <f aca="false">E385*(1+sh_g)</f>
        <v>1.27595</v>
      </c>
      <c r="G385" s="17" t="n">
        <f aca="false">F385*(1+sh_g)</f>
        <v>1.27595</v>
      </c>
    </row>
    <row r="386" customFormat="false" ht="17.15" hidden="false" customHeight="false" outlineLevel="0" collapsed="false">
      <c r="A386" s="0" t="s">
        <v>373</v>
      </c>
      <c r="B386" s="0" t="s">
        <v>202</v>
      </c>
      <c r="C386" s="21" t="n">
        <f aca="false">C384/C385</f>
        <v>2.9834600611429</v>
      </c>
      <c r="D386" s="21" t="n">
        <f aca="false">D384/D385</f>
        <v>4.0949151612524</v>
      </c>
      <c r="E386" s="21" t="n">
        <f aca="false">E384/E385</f>
        <v>5.41321175066925</v>
      </c>
      <c r="F386" s="21" t="n">
        <f aca="false">F384/F385</f>
        <v>5.92892683385209</v>
      </c>
      <c r="G386" s="21" t="n">
        <f aca="false">G384/G385</f>
        <v>6.48147252860454</v>
      </c>
    </row>
    <row r="387" customFormat="false" ht="17.15" hidden="false" customHeight="false" outlineLevel="0" collapsed="false">
      <c r="A387" s="0" t="s">
        <v>407</v>
      </c>
      <c r="B387" s="0" t="s">
        <v>79</v>
      </c>
      <c r="D387" s="16" t="n">
        <f aca="false">D386/C386-1</f>
        <v>0.372538957227979</v>
      </c>
      <c r="E387" s="16" t="n">
        <f aca="false">E386/D386-1</f>
        <v>0.321935018798693</v>
      </c>
      <c r="F387" s="16" t="n">
        <f aca="false">F386/E386-1</f>
        <v>0.0952697043708084</v>
      </c>
      <c r="G387" s="16" t="n">
        <f aca="false">G386/F386-1</f>
        <v>0.0931948917968781</v>
      </c>
    </row>
    <row r="390" customFormat="false" ht="17.15" hidden="false" customHeight="false" outlineLevel="0" collapsed="false">
      <c r="A390" s="3" t="s">
        <v>754</v>
      </c>
    </row>
    <row r="391" customFormat="false" ht="17.15" hidden="false" customHeight="false" outlineLevel="0" collapsed="false">
      <c r="A391" s="6" t="s">
        <v>23</v>
      </c>
      <c r="B391" s="6" t="s">
        <v>24</v>
      </c>
      <c r="C391" s="13" t="s">
        <v>295</v>
      </c>
      <c r="D391" s="13" t="s">
        <v>363</v>
      </c>
      <c r="E391" s="13" t="s">
        <v>364</v>
      </c>
      <c r="F391" s="13" t="s">
        <v>365</v>
      </c>
      <c r="G391" s="13" t="s">
        <v>366</v>
      </c>
      <c r="H391" s="6" t="s">
        <v>283</v>
      </c>
    </row>
    <row r="392" customFormat="false" ht="17.15" hidden="false" customHeight="false" outlineLevel="0" collapsed="false">
      <c r="A392" s="1" t="s">
        <v>382</v>
      </c>
    </row>
    <row r="393" customFormat="false" ht="17.15" hidden="false" customHeight="false" outlineLevel="0" collapsed="false">
      <c r="A393" s="0" t="s">
        <v>383</v>
      </c>
      <c r="B393" s="0" t="s">
        <v>34</v>
      </c>
      <c r="D393" s="21" t="n">
        <f aca="false">mkt_26*1</f>
        <v>32.0719</v>
      </c>
      <c r="E393" s="21" t="n">
        <f aca="false">mkt_27*1*1</f>
        <v>61.085</v>
      </c>
      <c r="F393" s="21" t="n">
        <f aca="false">mkt_28*um28_A*1</f>
        <v>69.005</v>
      </c>
      <c r="G393" s="21" t="n">
        <f aca="false">mkt_29*um29_A*1</f>
        <v>78.48215</v>
      </c>
    </row>
    <row r="394" customFormat="false" ht="15" hidden="false" customHeight="false" outlineLevel="0" collapsed="false">
      <c r="A394" s="5" t="s">
        <v>348</v>
      </c>
      <c r="B394" s="0" t="s">
        <v>79</v>
      </c>
      <c r="D394" s="16" t="n">
        <f aca="false">eth_26</f>
        <v>0.75</v>
      </c>
      <c r="E394" s="16" t="n">
        <f aca="false">eth_27</f>
        <v>0.8</v>
      </c>
      <c r="F394" s="16" t="n">
        <f aca="false">eth_28</f>
        <v>0.83</v>
      </c>
      <c r="G394" s="16" t="n">
        <f aca="false">eth_29</f>
        <v>0.85</v>
      </c>
    </row>
    <row r="395" customFormat="false" ht="17.15" hidden="false" customHeight="false" outlineLevel="0" collapsed="false">
      <c r="A395" s="0" t="s">
        <v>350</v>
      </c>
      <c r="B395" s="0" t="s">
        <v>34</v>
      </c>
      <c r="D395" s="21" t="n">
        <f aca="false">D393*D394</f>
        <v>24.053925</v>
      </c>
      <c r="E395" s="21" t="n">
        <f aca="false">E393*E394</f>
        <v>48.868</v>
      </c>
      <c r="F395" s="21" t="n">
        <f aca="false">F393*F394</f>
        <v>57.27415</v>
      </c>
      <c r="G395" s="21" t="n">
        <f aca="false">G393*G394</f>
        <v>66.7098275</v>
      </c>
    </row>
    <row r="396" customFormat="false" ht="17.15" hidden="false" customHeight="false" outlineLevel="0" collapsed="false">
      <c r="A396" s="0" t="s">
        <v>384</v>
      </c>
      <c r="B396" s="0" t="s">
        <v>79</v>
      </c>
      <c r="D396" s="16" t="n">
        <f aca="false">a26_ai/D395</f>
        <v>0.14550639864388</v>
      </c>
      <c r="H396" s="8" t="s">
        <v>385</v>
      </c>
    </row>
    <row r="397" customFormat="false" ht="17.15" hidden="false" customHeight="false" outlineLevel="0" collapsed="false">
      <c r="A397" s="5" t="s">
        <v>386</v>
      </c>
      <c r="B397" s="0" t="s">
        <v>57</v>
      </c>
      <c r="D397" s="19" t="n">
        <f aca="false">1</f>
        <v>1</v>
      </c>
      <c r="E397" s="19" t="n">
        <f aca="false">rel_27</f>
        <v>0.95</v>
      </c>
      <c r="F397" s="19" t="n">
        <f aca="false">rel_28</f>
        <v>0.9</v>
      </c>
      <c r="G397" s="19" t="n">
        <f aca="false">rel_29</f>
        <v>0.88</v>
      </c>
    </row>
    <row r="398" customFormat="false" ht="17.15" hidden="false" customHeight="false" outlineLevel="0" collapsed="false">
      <c r="A398" s="0" t="s">
        <v>387</v>
      </c>
      <c r="B398" s="0" t="s">
        <v>79</v>
      </c>
      <c r="D398" s="16" t="n">
        <f aca="false">$D$396*D397</f>
        <v>0.14550639864388</v>
      </c>
      <c r="E398" s="16" t="n">
        <f aca="false">$D$396*E397</f>
        <v>0.138231078711686</v>
      </c>
      <c r="F398" s="16" t="n">
        <f aca="false">$D$396*F397</f>
        <v>0.130955758779492</v>
      </c>
      <c r="G398" s="16" t="n">
        <f aca="false">$D$396*G397</f>
        <v>0.128045630806615</v>
      </c>
    </row>
    <row r="399" customFormat="false" ht="17.15" hidden="false" customHeight="false" outlineLevel="0" collapsed="false">
      <c r="A399" s="0" t="s">
        <v>327</v>
      </c>
      <c r="B399" s="0" t="s">
        <v>34</v>
      </c>
      <c r="C399" s="21" t="n">
        <f aca="false">a25_ai</f>
        <v>1.63</v>
      </c>
      <c r="D399" s="21" t="n">
        <f aca="false">D395*D398</f>
        <v>3.5</v>
      </c>
      <c r="E399" s="21" t="n">
        <f aca="false">E395*E398</f>
        <v>6.75507635448269</v>
      </c>
      <c r="F399" s="21" t="n">
        <f aca="false">F395*F398</f>
        <v>7.50037977170046</v>
      </c>
      <c r="G399" s="21" t="n">
        <f aca="false">G395*G398</f>
        <v>8.54190194323796</v>
      </c>
    </row>
    <row r="400" customFormat="false" ht="17.15" hidden="false" customHeight="false" outlineLevel="0" collapsed="false">
      <c r="A400" s="1" t="s">
        <v>388</v>
      </c>
    </row>
    <row r="401" customFormat="false" ht="17.15" hidden="false" customHeight="false" outlineLevel="0" collapsed="false">
      <c r="A401" s="5" t="s">
        <v>389</v>
      </c>
      <c r="B401" s="0" t="s">
        <v>34</v>
      </c>
      <c r="C401" s="21" t="n">
        <f aca="false">a25_nai</f>
        <v>7.3757</v>
      </c>
      <c r="D401" s="21" t="n">
        <f aca="false">a26_nai</f>
        <v>9.1</v>
      </c>
      <c r="E401" s="21" t="n">
        <f aca="false">D401*(1+g_nai27)</f>
        <v>10.01</v>
      </c>
      <c r="F401" s="21" t="n">
        <f aca="false">E401*(1+g_nai28)</f>
        <v>10.8108</v>
      </c>
      <c r="G401" s="21" t="n">
        <f aca="false">F401*(1+g_nai29)</f>
        <v>11.459448</v>
      </c>
    </row>
    <row r="402" customFormat="false" ht="15" hidden="false" customHeight="false" outlineLevel="0" collapsed="false">
      <c r="A402" s="5" t="s">
        <v>302</v>
      </c>
      <c r="B402" s="0" t="s">
        <v>34</v>
      </c>
      <c r="C402" s="21" t="n">
        <f aca="false">a25_rev</f>
        <v>9.0057</v>
      </c>
      <c r="D402" s="21" t="n">
        <f aca="false">D399+D401</f>
        <v>12.6</v>
      </c>
      <c r="E402" s="21" t="n">
        <f aca="false">E399+E401</f>
        <v>16.7650763544827</v>
      </c>
      <c r="F402" s="21" t="n">
        <f aca="false">F399+F401</f>
        <v>18.3111797717005</v>
      </c>
      <c r="G402" s="21" t="n">
        <f aca="false">G399+G401</f>
        <v>20.001349943238</v>
      </c>
    </row>
    <row r="403" customFormat="false" ht="17.15" hidden="false" customHeight="false" outlineLevel="0" collapsed="false">
      <c r="A403" s="5" t="s">
        <v>390</v>
      </c>
      <c r="B403" s="0" t="s">
        <v>34</v>
      </c>
      <c r="C403" s="21" t="n">
        <f aca="false">svc25</f>
        <v>1.4288</v>
      </c>
      <c r="D403" s="21" t="n">
        <f aca="false">C403*(1+g_svc26)</f>
        <v>1.743136</v>
      </c>
      <c r="E403" s="21" t="n">
        <f aca="false">D403*(1+g_svc27)</f>
        <v>2.0046064</v>
      </c>
      <c r="F403" s="21" t="n">
        <f aca="false">E403*(1+g_svc28)</f>
        <v>2.20506704</v>
      </c>
      <c r="G403" s="21" t="n">
        <f aca="false">F403*(1+g_svc29)</f>
        <v>2.3814724032</v>
      </c>
      <c r="H403" s="5" t="s">
        <v>391</v>
      </c>
    </row>
    <row r="404" customFormat="false" ht="17.15" hidden="false" customHeight="false" outlineLevel="0" collapsed="false">
      <c r="A404" s="5" t="s">
        <v>392</v>
      </c>
      <c r="B404" s="0" t="s">
        <v>34</v>
      </c>
      <c r="C404" s="21" t="n">
        <f aca="false">C401-C403</f>
        <v>5.9469</v>
      </c>
      <c r="D404" s="21" t="n">
        <f aca="false">D401-D403</f>
        <v>7.356864</v>
      </c>
      <c r="E404" s="21" t="n">
        <f aca="false">E401-E403</f>
        <v>8.0053936</v>
      </c>
      <c r="F404" s="21" t="n">
        <f aca="false">F401-F403</f>
        <v>8.60573296</v>
      </c>
      <c r="G404" s="21" t="n">
        <f aca="false">G401-G403</f>
        <v>9.0779755968</v>
      </c>
    </row>
    <row r="405" customFormat="false" ht="17.15" hidden="false" customHeight="false" outlineLevel="0" collapsed="false">
      <c r="A405" s="5" t="s">
        <v>393</v>
      </c>
      <c r="B405" s="0" t="s">
        <v>34</v>
      </c>
      <c r="C405" s="21" t="n">
        <f aca="false">C399+C404</f>
        <v>7.5769</v>
      </c>
      <c r="D405" s="21" t="n">
        <f aca="false">D399+D404</f>
        <v>10.856864</v>
      </c>
      <c r="E405" s="21" t="n">
        <f aca="false">E399+E404</f>
        <v>14.7604699544827</v>
      </c>
      <c r="F405" s="21" t="n">
        <f aca="false">F399+F404</f>
        <v>16.1061127317005</v>
      </c>
      <c r="G405" s="21" t="n">
        <f aca="false">G399+G404</f>
        <v>17.619877540038</v>
      </c>
      <c r="H405" s="5" t="s">
        <v>394</v>
      </c>
    </row>
    <row r="406" customFormat="false" ht="15" hidden="false" customHeight="false" outlineLevel="0" collapsed="false">
      <c r="A406" s="5" t="s">
        <v>395</v>
      </c>
      <c r="B406" s="0" t="s">
        <v>34</v>
      </c>
      <c r="C406" s="17" t="n">
        <f aca="false">C405+C403-C402</f>
        <v>0</v>
      </c>
      <c r="D406" s="17" t="n">
        <f aca="false">D405+D403-D402</f>
        <v>0</v>
      </c>
      <c r="E406" s="17" t="n">
        <f aca="false">E405+E403-E402</f>
        <v>0</v>
      </c>
      <c r="F406" s="17" t="n">
        <f aca="false">F405+F403-F402</f>
        <v>0</v>
      </c>
      <c r="G406" s="17" t="n">
        <f aca="false">G405+G403-G402</f>
        <v>0</v>
      </c>
    </row>
    <row r="407" customFormat="false" ht="15" hidden="false" customHeight="false" outlineLevel="0" collapsed="false">
      <c r="A407" s="5" t="s">
        <v>396</v>
      </c>
      <c r="B407" s="0" t="s">
        <v>79</v>
      </c>
      <c r="D407" s="16" t="n">
        <f aca="false">D402/C402-1</f>
        <v>0.399113894533462</v>
      </c>
      <c r="E407" s="16" t="n">
        <f aca="false">E402/D402-1</f>
        <v>0.330561615435134</v>
      </c>
      <c r="F407" s="16" t="n">
        <f aca="false">F402/E402-1</f>
        <v>0.0922216746602751</v>
      </c>
      <c r="G407" s="16" t="n">
        <f aca="false">G402/F402-1</f>
        <v>0.092302636564664</v>
      </c>
    </row>
    <row r="408" customFormat="false" ht="17.15" hidden="false" customHeight="false" outlineLevel="0" collapsed="false">
      <c r="A408" s="0" t="s">
        <v>332</v>
      </c>
      <c r="B408" s="0" t="s">
        <v>79</v>
      </c>
      <c r="C408" s="16" t="n">
        <f aca="false">C399/C402</f>
        <v>0.180996480007107</v>
      </c>
      <c r="D408" s="16" t="n">
        <f aca="false">D399/D402</f>
        <v>0.277777777777778</v>
      </c>
      <c r="E408" s="16" t="n">
        <f aca="false">E399/E402</f>
        <v>0.402925475056157</v>
      </c>
      <c r="F408" s="16" t="n">
        <f aca="false">F399/F402</f>
        <v>0.409606582711407</v>
      </c>
      <c r="G408" s="16" t="n">
        <f aca="false">G399/G402</f>
        <v>0.427066271400636</v>
      </c>
    </row>
    <row r="409" customFormat="false" ht="17.15" hidden="false" customHeight="false" outlineLevel="0" collapsed="false">
      <c r="A409" s="1" t="s">
        <v>397</v>
      </c>
    </row>
    <row r="410" customFormat="false" ht="17.15" hidden="false" customHeight="false" outlineLevel="0" collapsed="false">
      <c r="A410" s="5" t="s">
        <v>398</v>
      </c>
      <c r="B410" s="0" t="s">
        <v>79</v>
      </c>
      <c r="D410" s="16" t="n">
        <f aca="false">a26_gp/a26_rev+d_ai*D408</f>
        <v>0.646666666666667</v>
      </c>
      <c r="H410" s="8" t="s">
        <v>399</v>
      </c>
    </row>
    <row r="411" customFormat="false" ht="15" hidden="false" customHeight="false" outlineLevel="0" collapsed="false">
      <c r="A411" s="5" t="s">
        <v>400</v>
      </c>
      <c r="B411" s="0" t="s">
        <v>34</v>
      </c>
      <c r="C411" s="21" t="n">
        <f aca="false">a25_gp</f>
        <v>5.8154</v>
      </c>
      <c r="D411" s="21" t="n">
        <f aca="false">a26_gp</f>
        <v>7.938</v>
      </c>
      <c r="E411" s="21" t="n">
        <f aca="false">$D$410*E401+($D$410-d_ai)*E399</f>
        <v>10.4361114612965</v>
      </c>
      <c r="F411" s="21" t="n">
        <f aca="false">$D$410*F401+($D$410-d_ai)*F399</f>
        <v>11.3912067993976</v>
      </c>
      <c r="G411" s="21" t="n">
        <f aca="false">$D$410*G401+($D$410-d_ai)*G399</f>
        <v>12.4216921800329</v>
      </c>
    </row>
    <row r="412" customFormat="false" ht="15" hidden="false" customHeight="false" outlineLevel="0" collapsed="false">
      <c r="A412" s="5" t="s">
        <v>308</v>
      </c>
      <c r="B412" s="0" t="s">
        <v>79</v>
      </c>
      <c r="C412" s="16" t="n">
        <f aca="false">C411/C402</f>
        <v>0.645746582719833</v>
      </c>
      <c r="D412" s="16" t="n">
        <f aca="false">D411/D402</f>
        <v>0.63</v>
      </c>
      <c r="E412" s="16" t="n">
        <f aca="false">E411/E402</f>
        <v>0.622491138163297</v>
      </c>
      <c r="F412" s="16" t="n">
        <f aca="false">F411/F402</f>
        <v>0.622090271703982</v>
      </c>
      <c r="G412" s="16" t="n">
        <f aca="false">G411/G402</f>
        <v>0.621042690382629</v>
      </c>
    </row>
    <row r="413" customFormat="false" ht="15" hidden="false" customHeight="false" outlineLevel="0" collapsed="false">
      <c r="A413" s="5" t="s">
        <v>401</v>
      </c>
      <c r="B413" s="0" t="s">
        <v>34</v>
      </c>
      <c r="C413" s="21" t="n">
        <f aca="false">a25_opx</f>
        <v>1.4784</v>
      </c>
      <c r="D413" s="21" t="n">
        <f aca="false">a26_opx</f>
        <v>1.827</v>
      </c>
      <c r="E413" s="21" t="n">
        <f aca="false">D413*(1+MAX(0,phi*E407))</f>
        <v>2.15916483926999</v>
      </c>
      <c r="F413" s="21" t="n">
        <f aca="false">E413*(1+MAX(0,phi*F407))</f>
        <v>2.26868182780978</v>
      </c>
      <c r="G413" s="21" t="n">
        <f aca="false">F413*(1+MAX(0,phi*G407))</f>
        <v>2.38385475063803</v>
      </c>
    </row>
    <row r="414" customFormat="false" ht="15" hidden="false" customHeight="false" outlineLevel="0" collapsed="false">
      <c r="A414" s="5" t="s">
        <v>402</v>
      </c>
      <c r="B414" s="0" t="s">
        <v>34</v>
      </c>
      <c r="C414" s="21" t="n">
        <f aca="false">C413</f>
        <v>1.4784</v>
      </c>
      <c r="D414" s="21" t="n">
        <f aca="false">D413</f>
        <v>1.827</v>
      </c>
      <c r="E414" s="21" t="n">
        <f aca="false">E413+opx_adj_hi*E402</f>
        <v>2.49446636635965</v>
      </c>
      <c r="F414" s="21" t="n">
        <f aca="false">F413+opx_adj_hi*F402</f>
        <v>2.63490542324379</v>
      </c>
      <c r="G414" s="21" t="n">
        <f aca="false">G413+opx_adj_hi*G402</f>
        <v>2.78388174950279</v>
      </c>
    </row>
    <row r="415" customFormat="false" ht="15" hidden="false" customHeight="false" outlineLevel="0" collapsed="false">
      <c r="A415" s="5" t="s">
        <v>403</v>
      </c>
      <c r="B415" s="0" t="s">
        <v>34</v>
      </c>
      <c r="C415" s="21" t="n">
        <f aca="false">C411-C414</f>
        <v>4.337</v>
      </c>
      <c r="D415" s="21" t="n">
        <f aca="false">D411-D414</f>
        <v>6.111</v>
      </c>
      <c r="E415" s="21" t="n">
        <f aca="false">E411-E414</f>
        <v>7.94164509493687</v>
      </c>
      <c r="F415" s="21" t="n">
        <f aca="false">F411-F414</f>
        <v>8.75630137615382</v>
      </c>
      <c r="G415" s="21" t="n">
        <f aca="false">G411-G414</f>
        <v>9.63781043053015</v>
      </c>
    </row>
    <row r="416" customFormat="false" ht="15" hidden="false" customHeight="false" outlineLevel="0" collapsed="false">
      <c r="A416" s="5" t="s">
        <v>313</v>
      </c>
      <c r="B416" s="0" t="s">
        <v>79</v>
      </c>
      <c r="C416" s="16" t="n">
        <f aca="false">C415/C402</f>
        <v>0.48158388576124</v>
      </c>
      <c r="D416" s="16" t="n">
        <f aca="false">D415/D402</f>
        <v>0.485</v>
      </c>
      <c r="E416" s="16" t="n">
        <f aca="false">E415/E402</f>
        <v>0.473701695537665</v>
      </c>
      <c r="F416" s="16" t="n">
        <f aca="false">F415/F402</f>
        <v>0.478194277229832</v>
      </c>
      <c r="G416" s="16" t="n">
        <f aca="false">G415/G402</f>
        <v>0.48185799747924</v>
      </c>
    </row>
    <row r="417" customFormat="false" ht="15" hidden="false" customHeight="false" outlineLevel="0" collapsed="false">
      <c r="A417" s="5" t="s">
        <v>404</v>
      </c>
      <c r="B417" s="0" t="s">
        <v>34</v>
      </c>
      <c r="C417" s="21" t="n">
        <f aca="false">a25_oth</f>
        <v>0.3936</v>
      </c>
      <c r="D417" s="21" t="n">
        <f aca="false">a26_oth</f>
        <v>0.4999</v>
      </c>
      <c r="E417" s="21" t="n">
        <f aca="false">oth_f</f>
        <v>0.55</v>
      </c>
      <c r="F417" s="21" t="n">
        <f aca="false">oth_f</f>
        <v>0.55</v>
      </c>
      <c r="G417" s="21" t="n">
        <f aca="false">oth_f</f>
        <v>0.55</v>
      </c>
    </row>
    <row r="418" customFormat="false" ht="15" hidden="false" customHeight="false" outlineLevel="0" collapsed="false">
      <c r="A418" s="5" t="s">
        <v>405</v>
      </c>
      <c r="B418" s="0" t="s">
        <v>79</v>
      </c>
      <c r="C418" s="16" t="n">
        <f aca="false">1-a25_ni/(a25_oi+a25_oth)</f>
        <v>0.195450894178328</v>
      </c>
      <c r="D418" s="16" t="n">
        <f aca="false">1-a26_ni/(a26_oi+a26_oth)</f>
        <v>0.209652694791935</v>
      </c>
      <c r="E418" s="16" t="n">
        <f aca="false">tx_f</f>
        <v>0.21</v>
      </c>
      <c r="F418" s="16" t="n">
        <f aca="false">tx_f</f>
        <v>0.21</v>
      </c>
      <c r="G418" s="16" t="n">
        <f aca="false">tx_f</f>
        <v>0.21</v>
      </c>
    </row>
    <row r="419" customFormat="false" ht="17.15" hidden="false" customHeight="false" outlineLevel="0" collapsed="false">
      <c r="A419" s="5" t="s">
        <v>372</v>
      </c>
      <c r="B419" s="0" t="s">
        <v>34</v>
      </c>
      <c r="C419" s="21" t="n">
        <f aca="false">a25_ni</f>
        <v>3.806</v>
      </c>
      <c r="D419" s="21" t="n">
        <f aca="false">a26_ni</f>
        <v>5.224907</v>
      </c>
      <c r="E419" s="21" t="n">
        <f aca="false">(E415+E417)*(1-E418)</f>
        <v>6.70839962500012</v>
      </c>
      <c r="F419" s="21" t="n">
        <f aca="false">(F415+F417)*(1-F418)</f>
        <v>7.35197808716152</v>
      </c>
      <c r="G419" s="21" t="n">
        <f aca="false">(G415+G417)*(1-G418)</f>
        <v>8.04837024011882</v>
      </c>
    </row>
    <row r="420" customFormat="false" ht="15" hidden="false" customHeight="false" outlineLevel="0" collapsed="false">
      <c r="A420" s="5" t="s">
        <v>406</v>
      </c>
      <c r="B420" s="5" t="s">
        <v>167</v>
      </c>
      <c r="C420" s="17" t="n">
        <f aca="false">a25_sh</f>
        <v>1.2757</v>
      </c>
      <c r="D420" s="17" t="n">
        <f aca="false">a26_sh</f>
        <v>1.27595</v>
      </c>
      <c r="E420" s="17" t="n">
        <f aca="false">D420*(1+sh_g)</f>
        <v>1.27595</v>
      </c>
      <c r="F420" s="17" t="n">
        <f aca="false">E420*(1+sh_g)</f>
        <v>1.27595</v>
      </c>
      <c r="G420" s="17" t="n">
        <f aca="false">F420*(1+sh_g)</f>
        <v>1.27595</v>
      </c>
    </row>
    <row r="421" customFormat="false" ht="17.15" hidden="false" customHeight="false" outlineLevel="0" collapsed="false">
      <c r="A421" s="0" t="s">
        <v>373</v>
      </c>
      <c r="B421" s="0" t="s">
        <v>202</v>
      </c>
      <c r="C421" s="21" t="n">
        <f aca="false">C419/C420</f>
        <v>2.9834600611429</v>
      </c>
      <c r="D421" s="21" t="n">
        <f aca="false">D419/D420</f>
        <v>4.0949151612524</v>
      </c>
      <c r="E421" s="21" t="n">
        <f aca="false">E419/E420</f>
        <v>5.25757249500382</v>
      </c>
      <c r="F421" s="21" t="n">
        <f aca="false">F419/F420</f>
        <v>5.76196409511463</v>
      </c>
      <c r="G421" s="21" t="n">
        <f aca="false">G419/G420</f>
        <v>6.30774735696447</v>
      </c>
    </row>
    <row r="422" customFormat="false" ht="17.15" hidden="false" customHeight="false" outlineLevel="0" collapsed="false">
      <c r="A422" s="0" t="s">
        <v>407</v>
      </c>
      <c r="B422" s="0" t="s">
        <v>79</v>
      </c>
      <c r="D422" s="16" t="n">
        <f aca="false">D421/C421-1</f>
        <v>0.372538957227979</v>
      </c>
      <c r="E422" s="16" t="n">
        <f aca="false">E421/D421-1</f>
        <v>0.283927087123297</v>
      </c>
      <c r="F422" s="16" t="n">
        <f aca="false">F421/E421-1</f>
        <v>0.0959362140208486</v>
      </c>
      <c r="G422" s="16" t="n">
        <f aca="false">G421/F421-1</f>
        <v>0.0947217394694613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755</v>
      </c>
    </row>
    <row r="2" customFormat="false" ht="17.15" hidden="false" customHeight="false" outlineLevel="0" collapsed="false">
      <c r="A2" s="5" t="s">
        <v>756</v>
      </c>
      <c r="B2" s="0" t="s">
        <v>757</v>
      </c>
    </row>
    <row r="3" customFormat="false" ht="17.15" hidden="false" customHeight="false" outlineLevel="0" collapsed="false">
      <c r="A3" s="5" t="s">
        <v>758</v>
      </c>
      <c r="B3" s="0" t="s">
        <v>759</v>
      </c>
    </row>
    <row r="4" customFormat="false" ht="17.15" hidden="false" customHeight="false" outlineLevel="0" collapsed="false">
      <c r="A4" s="5" t="s">
        <v>760</v>
      </c>
      <c r="B4" s="0" t="s">
        <v>761</v>
      </c>
    </row>
    <row r="5" customFormat="false" ht="17.15" hidden="false" customHeight="false" outlineLevel="0" collapsed="false">
      <c r="A5" s="5" t="s">
        <v>762</v>
      </c>
      <c r="B5" s="0" t="s">
        <v>763</v>
      </c>
    </row>
    <row r="6" customFormat="false" ht="17.15" hidden="false" customHeight="false" outlineLevel="0" collapsed="false">
      <c r="A6" s="5" t="s">
        <v>764</v>
      </c>
      <c r="B6" s="0" t="s">
        <v>765</v>
      </c>
    </row>
    <row r="7" customFormat="false" ht="17.15" hidden="false" customHeight="false" outlineLevel="0" collapsed="false">
      <c r="A7" s="5" t="s">
        <v>766</v>
      </c>
      <c r="B7" s="0" t="s">
        <v>767</v>
      </c>
    </row>
    <row r="8" customFormat="false" ht="17.15" hidden="false" customHeight="false" outlineLevel="0" collapsed="false">
      <c r="A8" s="5" t="s">
        <v>768</v>
      </c>
      <c r="B8" s="0" t="s">
        <v>769</v>
      </c>
    </row>
    <row r="9" customFormat="false" ht="17.15" hidden="false" customHeight="false" outlineLevel="0" collapsed="false">
      <c r="A9" s="5" t="s">
        <v>770</v>
      </c>
      <c r="B9" s="0" t="s">
        <v>771</v>
      </c>
    </row>
    <row r="10" customFormat="false" ht="17.15" hidden="false" customHeight="false" outlineLevel="0" collapsed="false">
      <c r="A10" s="5" t="s">
        <v>772</v>
      </c>
      <c r="B10" s="0" t="s">
        <v>773</v>
      </c>
    </row>
    <row r="11" customFormat="false" ht="17.15" hidden="false" customHeight="false" outlineLevel="0" collapsed="false">
      <c r="A11" s="5" t="s">
        <v>774</v>
      </c>
      <c r="B11" s="0" t="s">
        <v>775</v>
      </c>
    </row>
    <row r="12" customFormat="false" ht="17.15" hidden="false" customHeight="false" outlineLevel="0" collapsed="false">
      <c r="A12" s="5" t="s">
        <v>776</v>
      </c>
      <c r="B12" s="0" t="s">
        <v>777</v>
      </c>
    </row>
    <row r="13" customFormat="false" ht="17.15" hidden="false" customHeight="false" outlineLevel="0" collapsed="false">
      <c r="A13" s="5" t="s">
        <v>778</v>
      </c>
    </row>
    <row r="14" customFormat="false" ht="17.15" hidden="false" customHeight="false" outlineLevel="0" collapsed="false">
      <c r="A14" s="5" t="s">
        <v>779</v>
      </c>
      <c r="B14" s="5" t="s">
        <v>780</v>
      </c>
    </row>
    <row r="15" customFormat="false" ht="15" hidden="false" customHeight="false" outlineLevel="0" collapsed="false">
      <c r="A15" s="0" t="s">
        <v>781</v>
      </c>
      <c r="B15" s="5" t="s">
        <v>782</v>
      </c>
    </row>
    <row r="16" customFormat="false" ht="17.15" hidden="false" customHeight="false" outlineLevel="0" collapsed="false">
      <c r="A16" s="0" t="s">
        <v>783</v>
      </c>
      <c r="B16" s="0" t="s">
        <v>784</v>
      </c>
    </row>
    <row r="17" customFormat="false" ht="17.15" hidden="false" customHeight="false" outlineLevel="0" collapsed="false">
      <c r="A17" s="0" t="s">
        <v>785</v>
      </c>
      <c r="B17" s="5" t="s">
        <v>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2026-10-30T00:24:40Z</dcterms:created>
  <dc:creator>openpyxl</dc:creator>
  <dc:description/>
  <dc:language>en-US</dc:language>
  <cp:lastModifiedBy/>
  <dcterms:modified xsi:type="dcterms:W3CDTF">2026-10-30T00:24:40Z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