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fpc" vbProcedure="false">Q!$G$22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In!$E$71</definedName>
    <definedName function="false" hidden="false" name="ai_abf_hi" vbProcedure="false">In!$F$71</definedName>
    <definedName function="false" hidden="false" name="ai_abf_lo" vbProcedure="false">In!$D$71</definedName>
    <definedName function="false" hidden="false" name="ai_pcb" vbProcedure="false">In!$E$72</definedName>
    <definedName function="false" hidden="false" name="ai_pcb_hi" vbProcedure="false">In!$F$72</definedName>
    <definedName function="false" hidden="false" name="ai_pcb_lo" vbProcedure="false">In!$D$72</definedName>
    <definedName function="false" hidden="false" name="bk_eps27" vbProcedure="false">In!$E$123</definedName>
    <definedName function="false" hidden="false" name="bk_eps27_hi" vbProcedure="false">In!$F$123</definedName>
    <definedName function="false" hidden="false" name="bk_eps27_lo" vbProcedure="false">In!$D$123</definedName>
    <definedName function="false" hidden="false" name="capex26" vbProcedure="false">In!$E$99</definedName>
    <definedName function="false" hidden="false" name="cap_27" vbProcedure="false">In!$E$76</definedName>
    <definedName function="false" hidden="false" name="cap_27_hi" vbProcedure="false">In!$F$76</definedName>
    <definedName function="false" hidden="false" name="cap_27_lo" vbProcedure="false">In!$D$76</definedName>
    <definedName function="false" hidden="false" name="cap_28" vbProcedure="false">In!$E$77</definedName>
    <definedName function="false" hidden="false" name="cap_28_hi" vbProcedure="false">In!$F$77</definedName>
    <definedName function="false" hidden="false" name="cap_28_lo" vbProcedure="false">In!$D$77</definedName>
    <definedName function="false" hidden="false" name="cap_29" vbProcedure="false">In!$E$78</definedName>
    <definedName function="false" hidden="false" name="cap_29_hi" vbProcedure="false">In!$F$78</definedName>
    <definedName function="false" hidden="false" name="cap_29_lo" vbProcedure="false">In!$D$78</definedName>
    <definedName function="false" hidden="false" name="carry" vbProcedure="false">In!$E$80</definedName>
    <definedName function="false" hidden="false" name="carry_hi" vbProcedure="false">In!$F$80</definedName>
    <definedName function="false" hidden="false" name="carry_lo" vbProcedure="false">In!$D$80</definedName>
    <definedName function="false" hidden="false" name="cons_eps26" vbProcedure="false">In!$E$118</definedName>
    <definedName function="false" hidden="false" name="cons_eps26_hi" vbProcedure="false">In!$F$118</definedName>
    <definedName function="false" hidden="false" name="cons_eps26_lo" vbProcedure="false">In!$D$118</definedName>
    <definedName function="false" hidden="false" name="cons_eps27" vbProcedure="false">In!$E$119</definedName>
    <definedName function="false" hidden="false" name="cons_eps27_hi" vbProcedure="false">In!$F$119</definedName>
    <definedName function="false" hidden="false" name="cons_eps27_lo" vbProcedure="false">In!$D$119</definedName>
    <definedName function="false" hidden="false" name="cons_eps28" vbProcedure="false">In!$E$120</definedName>
    <definedName function="false" hidden="false" name="cons_eps28_hi" vbProcedure="false">In!$F$120</definedName>
    <definedName function="false" hidden="false" name="cons_eps28_lo" vbProcedure="false">In!$D$120</definedName>
    <definedName function="false" hidden="false" name="cons_feps" vbProcedure="false">In!$E$128</definedName>
    <definedName function="false" hidden="false" name="cons_rev27" vbProcedure="false">In!$E$121</definedName>
    <definedName function="false" hidden="false" name="cons_rev27_hi" vbProcedure="false">In!$F$121</definedName>
    <definedName function="false" hidden="false" name="cons_rev27_lo" vbProcedure="false">In!$D$121</definedName>
    <definedName function="false" hidden="false" name="cons_rev28" vbProcedure="false">In!$E$122</definedName>
    <definedName function="false" hidden="false" name="cons_rev28_hi" vbProcedure="false">In!$F$122</definedName>
    <definedName function="false" hidden="false" name="cons_rev28_lo" vbProcedure="false">In!$D$122</definedName>
    <definedName function="false" hidden="false" name="cons_tp" vbProcedure="false">In!$E$129</definedName>
    <definedName function="false" hidden="false" name="cx27_A" vbProcedure="false">In!$E$90</definedName>
    <definedName function="false" hidden="false" name="cx27_B" vbProcedure="false">In!$E$93</definedName>
    <definedName function="false" hidden="false" name="cx27_C" vbProcedure="false">In!$E$96</definedName>
    <definedName function="false" hidden="false" name="cx28_A" vbProcedure="false">In!$E$91</definedName>
    <definedName function="false" hidden="false" name="cx28_B" vbProcedure="false">In!$E$94</definedName>
    <definedName function="false" hidden="false" name="cx28_C" vbProcedure="false">In!$E$97</definedName>
    <definedName function="false" hidden="false" name="cx29_A" vbProcedure="false">In!$E$92</definedName>
    <definedName function="false" hidden="false" name="cx29_B" vbProcedure="false">In!$E$95</definedName>
    <definedName function="false" hidden="false" name="cx29_C" vbProcedure="false">In!$E$98</definedName>
    <definedName function="false" hidden="false" name="da26" vbProcedure="false">In!$E$100</definedName>
    <definedName function="false" hidden="false" name="el_o" vbProcedure="false">In!$E$74</definedName>
    <definedName function="false" hidden="false" name="el_o_hi" vbProcedure="false">In!$F$74</definedName>
    <definedName function="false" hidden="false" name="el_o_lo" vbProcedure="false">In!$D$74</definedName>
    <definedName function="false" hidden="false" name="fade_gA" vbProcedure="false">In!$E$141</definedName>
    <definedName function="false" hidden="false" name="fade_gB" vbProcedure="false">In!$E$142</definedName>
    <definedName function="false" hidden="false" name="fade_gC" vbProcedure="false">In!$E$143</definedName>
    <definedName function="false" hidden="false" name="fade_mA" vbProcedure="false">In!$E$144</definedName>
    <definedName function="false" hidden="false" name="fade_mB" vbProcedure="false">In!$E$145</definedName>
    <definedName function="false" hidden="false" name="fade_mC" vbProcedure="false">In!$E$146</definedName>
    <definedName function="false" hidden="false" name="fpe" vbProcedure="false">In!$E$126</definedName>
    <definedName function="false" hidden="false" name="ft_abf" vbProcedure="false">In!$E$88</definedName>
    <definedName function="false" hidden="false" name="ft_abf_hi" vbProcedure="false">In!$F$88</definedName>
    <definedName function="false" hidden="false" name="ft_abf_lo" vbProcedure="false">In!$D$88</definedName>
    <definedName function="false" hidden="false" name="ft_oth" vbProcedure="false">In!$E$89</definedName>
    <definedName function="false" hidden="false" name="ft_oth_hi" vbProcedure="false">In!$F$89</definedName>
    <definedName function="false" hidden="false" name="ft_oth_lo" vbProcedure="false">In!$D$89</definedName>
    <definedName function="false" hidden="false" name="fx" vbProcedure="false">In!$E$130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In!$E$49</definedName>
    <definedName function="false" hidden="false" name="g_asp_hi" vbProcedure="false">In!$F$49</definedName>
    <definedName function="false" hidden="false" name="g_asp_lo" vbProcedure="false">In!$D$49</definedName>
    <definedName function="false" hidden="false" name="g_bt" vbProcedure="false">In!$E$81</definedName>
    <definedName function="false" hidden="false" name="g_bt_hi" vbProcedure="false">In!$F$81</definedName>
    <definedName function="false" hidden="false" name="g_bt_lo" vbProcedure="false">In!$D$81</definedName>
    <definedName function="false" hidden="false" name="g_fpc" vbProcedure="false">In!$E$86</definedName>
    <definedName function="false" hidden="false" name="g_fpc_hi" vbProcedure="false">In!$F$86</definedName>
    <definedName function="false" hidden="false" name="g_fpc_lo" vbProcedure="false">In!$D$86</definedName>
    <definedName function="false" hidden="false" name="g_mix" vbProcedure="false">In!$E$79</definedName>
    <definedName function="false" hidden="false" name="g_mix_hi" vbProcedure="false">In!$F$79</definedName>
    <definedName function="false" hidden="false" name="g_mix_lo" vbProcedure="false">In!$D$79</definedName>
    <definedName function="false" hidden="false" name="g_nai" vbProcedure="false">In!$E$75</definedName>
    <definedName function="false" hidden="false" name="g_nai_hi" vbProcedure="false">In!$F$75</definedName>
    <definedName function="false" hidden="false" name="g_nai_lo" vbProcedure="false">In!$D$75</definedName>
    <definedName function="false" hidden="false" name="g_pai_27" vbProcedure="false">In!$E$82</definedName>
    <definedName function="false" hidden="false" name="g_pai_27_hi" vbProcedure="false">In!$F$82</definedName>
    <definedName function="false" hidden="false" name="g_pai_27_lo" vbProcedure="false">In!$D$82</definedName>
    <definedName function="false" hidden="false" name="g_pai_28" vbProcedure="false">In!$E$83</definedName>
    <definedName function="false" hidden="false" name="g_pai_28_hi" vbProcedure="false">In!$F$83</definedName>
    <definedName function="false" hidden="false" name="g_pai_28_lo" vbProcedure="false">In!$D$83</definedName>
    <definedName function="false" hidden="false" name="g_pai_29" vbProcedure="false">In!$E$84</definedName>
    <definedName function="false" hidden="false" name="g_pai_29_hi" vbProcedure="false">In!$F$84</definedName>
    <definedName function="false" hidden="false" name="g_pai_29_lo" vbProcedure="false">In!$D$84</definedName>
    <definedName function="false" hidden="false" name="g_pcbn" vbProcedure="false">In!$E$85</definedName>
    <definedName function="false" hidden="false" name="g_pcbn_hi" vbProcedure="false">In!$F$85</definedName>
    <definedName function="false" hidden="false" name="g_pcbn_lo" vbProcedure="false">In!$D$85</definedName>
    <definedName function="false" hidden="false" name="ibpp_27" vbProcedure="false">In!$E$50</definedName>
    <definedName function="false" hidden="false" name="ibpp_27_hi" vbProcedure="false">In!$F$50</definedName>
    <definedName function="false" hidden="false" name="ibpp_27_lo" vbProcedure="false">In!$D$50</definedName>
    <definedName function="false" hidden="false" name="ibpp_28" vbProcedure="false">In!$E$52</definedName>
    <definedName function="false" hidden="false" name="ibpp_28_hi" vbProcedure="false">In!$F$52</definedName>
    <definedName function="false" hidden="false" name="ibpp_28_lo" vbProcedure="false">In!$D$52</definedName>
    <definedName function="false" hidden="false" name="ibpp_29" vbProcedure="false">In!$E$54</definedName>
    <definedName function="false" hidden="false" name="ibpp_29_hi" vbProcedure="false">In!$F$54</definedName>
    <definedName function="false" hidden="false" name="ibpp_29_lo" vbProcedure="false">In!$D$54</definedName>
    <definedName function="false" hidden="false" name="ibrel_27" vbProcedure="false">In!$E$51</definedName>
    <definedName function="false" hidden="false" name="ibrel_28" vbProcedure="false">In!$E$53</definedName>
    <definedName function="false" hidden="false" name="ibrel_29" vbProcedure="false">In!$E$55</definedName>
    <definedName function="false" hidden="false" name="ib_sh26" vbProcedure="false">In!$E$56</definedName>
    <definedName function="false" hidden="false" name="ib_sh26_hi" vbProcedure="false">In!$F$56</definedName>
    <definedName function="false" hidden="false" name="ib_sh26_lo" vbProcedure="false">In!$D$56</definedName>
    <definedName function="false" hidden="false" name="ib_w_ot" vbProcedure="false">In!$E$57</definedName>
    <definedName function="false" hidden="false" name="ib_w_ot_hi" vbProcedure="false">In!$F$57</definedName>
    <definedName function="false" hidden="false" name="ib_w_ot_lo" vbProcedure="false">In!$D$57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In!$E$101</definedName>
    <definedName function="false" hidden="false" name="life_hi" vbProcedure="false">In!$F$101</definedName>
    <definedName function="false" hidden="false" name="life_lo" vbProcedure="false">In!$D$101</definedName>
    <definedName function="false" hidden="false" name="mx_abf" vbProcedure="false">In!$E$68</definedName>
    <definedName function="false" hidden="false" name="mx_abf_hi" vbProcedure="false">In!$F$68</definedName>
    <definedName function="false" hidden="false" name="mx_abf_lo" vbProcedure="false">In!$D$68</definedName>
    <definedName function="false" hidden="false" name="mx_bt" vbProcedure="false">In!$E$69</definedName>
    <definedName function="false" hidden="false" name="mx_bt_hi" vbProcedure="false">In!$F$69</definedName>
    <definedName function="false" hidden="false" name="mx_bt_lo" vbProcedure="false">In!$D$69</definedName>
    <definedName function="false" hidden="false" name="mx_pcb" vbProcedure="false">In!$E$70</definedName>
    <definedName function="false" hidden="false" name="mx_pcb_hi" vbProcedure="false">In!$F$70</definedName>
    <definedName function="false" hidden="false" name="mx_pcb_lo" vbProcedure="false">In!$D$70</definedName>
    <definedName function="false" hidden="false" name="nim5" vbProcedure="false">In!$E$132</definedName>
    <definedName function="false" hidden="false" name="nonop27" vbProcedure="false">In!$E$103</definedName>
    <definedName function="false" hidden="false" name="nonop27_hi" vbProcedure="false">In!$F$103</definedName>
    <definedName function="false" hidden="false" name="nonop27_lo" vbProcedure="false">In!$D$103</definedName>
    <definedName function="false" hidden="false" name="nonop28" vbProcedure="false">In!$E$104</definedName>
    <definedName function="false" hidden="false" name="nonop28_hi" vbProcedure="false">In!$F$104</definedName>
    <definedName function="false" hidden="false" name="nonop28_lo" vbProcedure="false">In!$D$104</definedName>
    <definedName function="false" hidden="false" name="nonop29" vbProcedure="false">In!$E$105</definedName>
    <definedName function="false" hidden="false" name="nonop29_hi" vbProcedure="false">In!$F$105</definedName>
    <definedName function="false" hidden="false" name="nonop29_lo" vbProcedure="false">In!$D$105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In!$E$127</definedName>
    <definedName function="false" hidden="false" name="phi" vbProcedure="false">In!$E$102</definedName>
    <definedName function="false" hidden="false" name="phi_hi" vbProcedure="false">In!$F$102</definedName>
    <definedName function="false" hidden="false" name="phi_lo" vbProcedure="false">In!$D$102</definedName>
    <definedName function="false" hidden="false" name="px" vbProcedure="false">In!$E$125</definedName>
    <definedName function="false" hidden="false" name="q3_gm" vbProcedure="false">In!$E$110</definedName>
    <definedName function="false" hidden="false" name="q3_gm_hi" vbProcedure="false">In!$F$110</definedName>
    <definedName function="false" hidden="false" name="q3_gm_lo" vbProcedure="false">In!$D$110</definedName>
    <definedName function="false" hidden="false" name="q3_opx" vbProcedure="false">In!$E$111</definedName>
    <definedName function="false" hidden="false" name="q3_opx_hi" vbProcedure="false">In!$F$111</definedName>
    <definedName function="false" hidden="false" name="q3_opx_lo" vbProcedure="false">In!$D$111</definedName>
    <definedName function="false" hidden="false" name="q3_rev" vbProcedure="false">In!$E$109</definedName>
    <definedName function="false" hidden="false" name="q4_g" vbProcedure="false">In!$E$112</definedName>
    <definedName function="false" hidden="false" name="q4_gm" vbProcedure="false">In!$E$113</definedName>
    <definedName function="false" hidden="false" name="q4_gm_hi" vbProcedure="false">In!$F$113</definedName>
    <definedName function="false" hidden="false" name="q4_gm_lo" vbProcedure="false">In!$D$113</definedName>
    <definedName function="false" hidden="false" name="q4_g_hi" vbProcedure="false">In!$F$112</definedName>
    <definedName function="false" hidden="false" name="q4_g_lo" vbProcedure="false">In!$D$112</definedName>
    <definedName function="false" hidden="false" name="q4_opx" vbProcedure="false">In!$E$114</definedName>
    <definedName function="false" hidden="false" name="q4_opx_hi" vbProcedure="false">In!$F$114</definedName>
    <definedName function="false" hidden="false" name="q4_opx_lo" vbProcedure="false">In!$D$114</definedName>
    <definedName function="false" hidden="false" name="q_nonop" vbProcedure="false">In!$E$115</definedName>
    <definedName function="false" hidden="false" name="q_nonop_hi" vbProcedure="false">In!$F$115</definedName>
    <definedName function="false" hidden="false" name="q_nonop_lo" vbProcedure="false">In!$D$115</definedName>
    <definedName function="false" hidden="false" name="q_sh" vbProcedure="false">In!$E$116</definedName>
    <definedName function="false" hidden="false" name="rm_factor" vbProcedure="false">Val!$B$153</definedName>
    <definedName function="false" hidden="false" name="sh_g" vbProcedure="false">In!$E$107</definedName>
    <definedName function="false" hidden="false" name="sh_g_hi" vbProcedure="false">In!$F$107</definedName>
    <definedName function="false" hidden="false" name="sh_g_lo" vbProcedure="false">In!$D$107</definedName>
    <definedName function="false" hidden="false" name="sh_nv_26" vbProcedure="false">In!$E$59</definedName>
    <definedName function="false" hidden="false" name="sh_nv_26_hi" vbProcedure="false">In!$F$59</definedName>
    <definedName function="false" hidden="false" name="sh_nv_26_lo" vbProcedure="false">In!$D$59</definedName>
    <definedName function="false" hidden="false" name="sh_nv_27" vbProcedure="false">In!$E$60</definedName>
    <definedName function="false" hidden="false" name="sh_nv_27_hi" vbProcedure="false">In!$F$60</definedName>
    <definedName function="false" hidden="false" name="sh_nv_27_lo" vbProcedure="false">In!$D$60</definedName>
    <definedName function="false" hidden="false" name="sh_nv_28" vbProcedure="false">In!$E$61</definedName>
    <definedName function="false" hidden="false" name="sh_nv_28_hi" vbProcedure="false">In!$F$61</definedName>
    <definedName function="false" hidden="false" name="sh_nv_28_lo" vbProcedure="false">In!$D$61</definedName>
    <definedName function="false" hidden="false" name="sh_nv_29" vbProcedure="false">In!$E$62</definedName>
    <definedName function="false" hidden="false" name="sh_nv_29_hi" vbProcedure="false">In!$F$62</definedName>
    <definedName function="false" hidden="false" name="sh_nv_29_lo" vbProcedure="false">In!$D$62</definedName>
    <definedName function="false" hidden="false" name="sh_ot_26" vbProcedure="false">In!$E$63</definedName>
    <definedName function="false" hidden="false" name="sh_ot_26_hi" vbProcedure="false">In!$F$63</definedName>
    <definedName function="false" hidden="false" name="sh_ot_26_lo" vbProcedure="false">In!$D$63</definedName>
    <definedName function="false" hidden="false" name="sh_ot_27" vbProcedure="false">In!$E$64</definedName>
    <definedName function="false" hidden="false" name="sh_ot_27_hi" vbProcedure="false">In!$F$64</definedName>
    <definedName function="false" hidden="false" name="sh_ot_27_lo" vbProcedure="false">In!$D$64</definedName>
    <definedName function="false" hidden="false" name="sh_ot_28" vbProcedure="false">In!$E$65</definedName>
    <definedName function="false" hidden="false" name="sh_ot_28_hi" vbProcedure="false">In!$F$65</definedName>
    <definedName function="false" hidden="false" name="sh_ot_28_lo" vbProcedure="false">In!$D$65</definedName>
    <definedName function="false" hidden="false" name="sh_ot_29" vbProcedure="false">In!$E$66</definedName>
    <definedName function="false" hidden="false" name="sh_ot_29_hi" vbProcedure="false">In!$F$66</definedName>
    <definedName function="false" hidden="false" name="sh_ot_29_lo" vbProcedure="false">In!$D$66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gt_abf_gap27" vbProcedure="false">In!$E$131</definedName>
    <definedName function="false" hidden="false" name="tp_comp_adj" vbProcedure="false">Val!$B$154</definedName>
    <definedName function="false" hidden="false" name="tp_g" vbProcedure="false">In!$E$138</definedName>
    <definedName function="false" hidden="false" name="tp_r" vbProcedure="false">In!$E$137</definedName>
    <definedName function="false" hidden="false" name="tp_roe" vbProcedure="false">In!$E$139</definedName>
    <definedName function="false" hidden="false" name="tp_wA" vbProcedure="false">In!$E$134</definedName>
    <definedName function="false" hidden="false" name="tp_wB" vbProcedure="false">In!$E$135</definedName>
    <definedName function="false" hidden="false" name="tp_wC" vbProcedure="false">In!$E$136</definedName>
    <definedName function="false" hidden="false" name="tp_w_dcf" vbProcedure="false">In!$E$140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In!$E$48</definedName>
    <definedName function="false" hidden="false" name="v_ot" vbProcedure="false">In!$E$58</definedName>
    <definedName function="false" hidden="false" name="v_ot_hi" vbProcedure="false">In!$F$58</definedName>
    <definedName function="false" hidden="false" name="v_ot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<sst xmlns="http://schemas.openxmlformats.org/spreadsheetml/2006/main" count="5520" uniqueCount="1090">
  <si>
    <r>
      <rPr>
        <b val="true"/>
        <sz val="11"/>
        <rFont val="Noto Sans CJK SC"/>
        <family val="2"/>
      </rPr>
      <t xml:space="preserve">欣興電子（</t>
    </r>
    <r>
      <rPr>
        <b val="true"/>
        <sz val="11"/>
        <rFont val="Cambria"/>
        <family val="0"/>
        <charset val="1"/>
      </rPr>
      <t xml:space="preserve">3037.TW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</si>
  <si>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ibiden/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（本專案權威），欣興份額與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</si>
  <si>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模型命題：欣興的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每顆載板金額（面積與層數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欣興份額，加上交換器、伺服器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載板（隨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；產能依光復二廠、楊梅二廠時程擴張。</t>
    </r>
    <r>
      <rPr>
        <sz val="11"/>
        <rFont val="Cambria"/>
        <family val="0"/>
        <charset val="1"/>
      </rPr>
      <t xml:space="preserve">BT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、軟板另推。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 </t>
    </r>
    <r>
      <rPr>
        <sz val="11"/>
        <rFont val="Cambria"/>
        <family val="0"/>
        <charset val="1"/>
      </rPr>
      <t xml:space="preserve">537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年仍在 </t>
    </r>
    <r>
      <rPr>
        <sz val="11"/>
        <rFont val="Cambria"/>
        <family val="0"/>
        <charset val="1"/>
      </rPr>
      <t xml:space="preserve">400–550 </t>
    </r>
    <r>
      <rPr>
        <sz val="11"/>
        <rFont val="Noto Sans CJK SC"/>
        <family val="2"/>
      </rPr>
      <t xml:space="preserve">億，擴產折舊是毛利率的關鍵。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</si>
  <si>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短缺與漲價能不能抵過擴產折舊，讓毛利率從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持續上升、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</si>
  <si>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</si>
  <si>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</si>
  <si>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欣興份額（</t>
    </r>
    <r>
      <rPr>
        <sz val="11"/>
        <rFont val="Cambria"/>
        <family val="0"/>
        <charset val="1"/>
      </rPr>
      <t xml:space="preserve">NVIDIA 25%→30%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30%→33%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每顆金額 ＝ </t>
    </r>
    <r>
      <rPr>
        <sz val="11"/>
        <rFont val="Cambria"/>
        <family val="0"/>
        <charset val="1"/>
      </rPr>
      <t xml:space="preserve">0.8 × 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1.05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</si>
  <si>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75%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AI IT </t>
    </r>
    <r>
      <rPr>
        <sz val="11"/>
        <rFont val="Noto Sans CJK SC"/>
        <family val="2"/>
      </rPr>
      <t xml:space="preserve">資本支出成長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溢價；營收＝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產能）。</t>
    </r>
    <r>
      <rPr>
        <sz val="11"/>
        <rFont val="Cambria"/>
        <family val="0"/>
        <charset val="1"/>
      </rPr>
      <t xml:space="preserve">BT +5%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顆數情境係數）、非 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+2%</t>
    </r>
    <r>
      <rPr>
        <sz val="11"/>
        <rFont val="Noto Sans CJK SC"/>
        <family val="2"/>
      </rPr>
      <t xml:space="preserve">、軟板與其他持平。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</si>
  <si>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年；資本支出依情境。營業費用彈性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億；稅與少數股權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；股數持平（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 </t>
    </r>
    <r>
      <rPr>
        <sz val="11"/>
        <rFont val="Cambria"/>
        <family val="0"/>
        <charset val="1"/>
      </rPr>
      <t xml:space="preserve">16.4 </t>
    </r>
    <r>
      <rPr>
        <sz val="11"/>
        <rFont val="Noto Sans CJK SC"/>
        <family val="2"/>
      </rPr>
      <t xml:space="preserve">億股）。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</si>
  <si>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11.70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一次性業外約 </t>
    </r>
    <r>
      <rPr>
        <sz val="11"/>
        <rFont val="Cambria"/>
        <family val="0"/>
        <charset val="1"/>
      </rPr>
      <t xml:space="preserve">89 </t>
    </r>
    <r>
      <rPr>
        <sz val="11"/>
        <rFont val="Noto Sans CJK SC"/>
        <family val="2"/>
      </rPr>
      <t xml:space="preserve">億）＋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526.5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27%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28.5%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</si>
  <si>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、景碩、南電、三星電機、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＝不如預期（原為顆數情境，另含資本支出路徑）。本版未做先驗，無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</si>
  <si>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達到；十年平均淨利率未找到，依工作單以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</si>
  <si>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未使用。公司數字經媒體與資料商轉載（公司原文待人工複核）；券商與資料商為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</si>
  <si>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加速器載板與其他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毛利用現金流通率近似，未建分廠稼動率與爬坡良率；</t>
    </r>
    <r>
      <rPr>
        <sz val="11"/>
        <rFont val="Cambria"/>
        <family val="0"/>
        <charset val="1"/>
      </rPr>
      <t xml:space="preserve">(4) DCF </t>
    </r>
    <r>
      <rPr>
        <sz val="11"/>
        <rFont val="Noto Sans CJK SC"/>
        <family val="2"/>
      </rPr>
      <t xml:space="preserve">未計客戶預付款（光復二廠、楊梅二廠全額預付）與營運資金，現金流偏低估；</t>
    </r>
    <r>
      <rPr>
        <sz val="11"/>
        <rFont val="Cambria"/>
        <family val="0"/>
        <charset val="1"/>
      </rPr>
      <t xml:space="preserve">(5) FY2026 </t>
    </r>
    <r>
      <rPr>
        <sz val="11"/>
        <rFont val="Noto Sans CJK SC"/>
        <family val="2"/>
      </rPr>
      <t xml:space="preserve">錨點含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一次性業外，</t>
    </r>
    <r>
      <rPr>
        <sz val="11"/>
        <rFont val="Cambria"/>
        <family val="0"/>
        <charset val="1"/>
      </rPr>
      <t xml:space="preserve">FY2026 P/E </t>
    </r>
    <r>
      <rPr>
        <sz val="11"/>
        <rFont val="Noto Sans CJK SC"/>
        <family val="2"/>
      </rPr>
      <t xml:space="preserve">偏低；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循環、與盈餘反向；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FactSet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月只有兩家券商；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</si>
  <si>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134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</si>
  <si>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漲價路徑最敏感：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溢價取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−24.1%</t>
    </r>
    <r>
      <rPr>
        <sz val="11"/>
        <color theme="1"/>
        <rFont val="Noto Sans CJK SC"/>
        <family val="2"/>
      </rPr>
      <t xml:space="preserve">、取高值 </t>
    </r>
    <r>
      <rPr>
        <sz val="11"/>
        <color theme="1"/>
        <rFont val="Calibri"/>
        <family val="2"/>
        <charset val="1"/>
      </rPr>
      <t xml:space="preserve">+24.1%</t>
    </r>
    <r>
      <rPr>
        <sz val="11"/>
        <color theme="1"/>
        <rFont val="Noto Sans CJK SC"/>
        <family val="2"/>
      </rPr>
      <t xml:space="preserve">；漲價年度化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−11.1%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</si>
  <si>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27.51</t>
    </r>
    <r>
      <rPr>
        <sz val="11"/>
        <color theme="1"/>
        <rFont val="Noto Sans CJK SC"/>
        <family val="2"/>
      </rPr>
      <t xml:space="preserve">（比 </t>
    </r>
    <r>
      <rPr>
        <sz val="11"/>
        <color theme="1"/>
        <rFont val="Calibri"/>
        <family val="2"/>
        <charset val="1"/>
      </rPr>
      <t xml:space="preserve">2026-06 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30.37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30.44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報價與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年資本支出。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</si>
  <si>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</si>
  <si>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</si>
  <si>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</si>
  <si>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未使用。公司原文＝公開資訊觀測站財報與法說會（經工商時報、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轉載）；公司說法與指引為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</si>
  <si>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</si>
  <si>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</si>
  <si>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</si>
  <si>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</si>
  <si>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</si>
  <si>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</si>
  <si>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</si>
  <si>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</si>
  <si>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</si>
  <si>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</si>
  <si>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</si>
  <si>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</si>
  <si>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</si>
  <si>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</si>
  <si>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</si>
  <si>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</si>
  <si>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</si>
  <si>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</si>
  <si>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</si>
  <si>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</si>
  <si>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</si>
  <si>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</si>
  <si>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</si>
  <si>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</si>
  <si>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</si>
  <si>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</si>
  <si>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</si>
  <si>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</si>
  <si>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</si>
  <si>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</si>
  <si>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</si>
  <si>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</si>
  <si>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</si>
  <si>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</si>
  <si>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</si>
  <si>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</si>
  <si>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</si>
  <si>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</si>
  <si>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</si>
  <si>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</si>
  <si>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</si>
  <si>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</si>
  <si>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</si>
  <si>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</si>
  <si>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</si>
  <si>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</si>
  <si>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</si>
  <si>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</si>
  <si>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</si>
  <si>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</si>
  <si>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</si>
  <si>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</si>
  <si>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</si>
  <si>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</si>
  <si>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</si>
  <si>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</si>
  <si>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</si>
  <si>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</si>
  <si>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</si>
  <si>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</si>
  <si>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</si>
  <si>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</si>
  <si>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</si>
  <si>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</si>
  <si>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</si>
  <si>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</si>
  <si>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</si>
  <si>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</si>
  <si>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</si>
  <si>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</si>
  <si>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</si>
  <si>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</si>
  <si>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</si>
  <si>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</si>
  <si>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</si>
  <si>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</si>
  <si>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</si>
  <si>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</si>
  <si>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</si>
  <si>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</si>
  <si>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</si>
  <si>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</si>
  <si>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</si>
  <si>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</si>
  <si>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</si>
  <si>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</si>
  <si>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</si>
  <si>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</si>
  <si>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</si>
  <si>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</si>
  <si>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</si>
  <si>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</si>
  <si>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</si>
  <si>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</si>
  <si>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</si>
  <si>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</si>
  <si>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</si>
  <si>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</si>
  <si>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</si>
  <si>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</si>
  <si>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</si>
  <si>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</si>
  <si>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</si>
  <si>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</si>
  <si>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</si>
  <si>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</si>
  <si>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</si>
  <si>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</si>
  <si>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</si>
  <si>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</si>
  <si>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</si>
  <si>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</si>
  <si>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</si>
  <si>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</si>
  <si>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</si>
  <si>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、網通）的成長依據；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</si>
  <si>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</si>
  <si>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</si>
  <si>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</si>
  <si>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</si>
  <si>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</si>
  <si>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</si>
  <si>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</si>
  <si>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</si>
  <si>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</si>
  <si>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</si>
  <si>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</si>
  <si>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</si>
  <si>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</si>
  <si>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</si>
  <si>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</si>
  <si>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</si>
  <si>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</si>
  <si>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</si>
  <si>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</si>
  <si>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</si>
  <si>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</si>
  <si>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</si>
  <si>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</si>
  <si>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</si>
  <si>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</si>
  <si>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</si>
  <si>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</si>
  <si>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數字唯讀取自 </t>
    </r>
    <r>
      <rPr>
        <b val="true"/>
        <sz val="11"/>
        <rFont val="Cambria"/>
        <family val="0"/>
        <charset val="1"/>
      </rPr>
      <t xml:space="preserve">ibiden/dist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</si>
  <si>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</si>
  <si>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</si>
  <si>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</si>
  <si>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</si>
  <si>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</si>
  <si>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</si>
  <si>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</si>
  <si>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</si>
  <si>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</si>
  <si>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</si>
  <si>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</si>
  <si>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</si>
  <si>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</si>
  <si>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</si>
  <si>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</si>
  <si>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</si>
  <si>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</si>
  <si>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</si>
  <si>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</si>
  <si>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</si>
  <si>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</si>
  <si>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</si>
  <si>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</si>
  <si>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</si>
  <si>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</si>
  <si>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</si>
  <si>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</si>
  <si>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</si>
  <si>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</si>
  <si>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</si>
  <si>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</si>
  <si>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</si>
  <si>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</si>
  <si>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</si>
  <si>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</si>
  <si>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</si>
  <si>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</si>
  <si>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</si>
  <si>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</si>
  <si>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</si>
  <si>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</si>
  <si>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</si>
  <si>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</si>
  <si>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sh_nv_26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</si>
  <si>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</si>
  <si>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</si>
  <si>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</si>
  <si>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</si>
  <si>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</si>
  <si>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</si>
  <si>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</si>
  <si>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</si>
  <si>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</si>
  <si>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</si>
  <si>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</si>
  <si>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</si>
  <si>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</si>
  <si>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</si>
  <si>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</si>
  <si>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</si>
  <si>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</si>
  <si>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—</t>
  </si>
  <si>
    <t xml:space="preserve">sh_ot_28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</si>
  <si>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</si>
  <si>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</si>
  <si>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</si>
  <si>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占比（公司說法；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組合推全年）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</si>
  <si>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</si>
  <si>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</si>
  <si>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ABF 52%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占比升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</si>
  <si>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59%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</si>
  <si>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</si>
  <si>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</si>
  <si>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BT 9%</t>
    </r>
  </si>
  <si>
    <t xml:space="preserve">mx_pcb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</si>
  <si>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</si>
  <si>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HDI 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9%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</si>
  <si>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HDI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11%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</si>
  <si>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</si>
  <si>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</si>
  <si>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</si>
  <si>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多為記憶體與手機，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集中在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0.66 × 62% ÷ 53% ≈ 0.77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</si>
  <si>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ai_pcb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</si>
  <si>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</si>
  <si>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PCB 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65–70%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</si>
  <si>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55–60%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</si>
  <si>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</si>
  <si>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</si>
  <si>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</si>
  <si>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加速器載板（校準殘差）；隨部署規模成長但低於等比例</t>
    </r>
  </si>
  <si>
    <t xml:space="preserve">量化：未找到</t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</si>
  <si>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</si>
  <si>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、一般伺服器）年增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</si>
  <si>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、一般伺服器緩步成長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</si>
  <si>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</si>
  <si>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</si>
  <si>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</si>
  <si>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</si>
  <si>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</si>
  <si>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</si>
  <si>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</si>
  <si>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</si>
  <si>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</si>
  <si>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</si>
  <si>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</si>
  <si>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高層數載板每片金額高，但也占用較多製程時間；淨效果 </t>
    </r>
    <r>
      <rPr>
        <sz val="11"/>
        <color theme="1"/>
        <rFont val="Calibri"/>
        <family val="2"/>
        <charset val="1"/>
      </rPr>
      <t xml:space="preserve">Assumed</t>
    </r>
  </si>
  <si>
    <t xml:space="preserve">carry</t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</si>
  <si>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只反映約半年漲價；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</si>
  <si>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溢價指數以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）為基期，已含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下半年漲價；欣興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基期含上半年較低價格</t>
    </r>
  </si>
  <si>
    <r>
      <rPr>
        <sz val="11"/>
        <color theme="1"/>
        <rFont val="Noto Sans CJK SC"/>
        <family val="2"/>
      </rPr>
      <t xml:space="preserve">媒體與法人：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，外資估最高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（口袋學堂，非公司指引）</t>
    </r>
  </si>
  <si>
    <t xml:space="preserve">g_bt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</si>
  <si>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</si>
  <si>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</si>
  <si>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記憶體循環上行（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</si>
  <si>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g_pai_27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</si>
  <si>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（顆數情境係數另乘）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</si>
  <si>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HDI 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85–90%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</si>
  <si>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伺服器加速器板、交換器板（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</si>
  <si>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g_pai_28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</si>
  <si>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</si>
  <si>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g_pai_29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</si>
  <si>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</si>
  <si>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g_pcbn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</si>
  <si>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年增（手機、消費、車用）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</si>
  <si>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IoT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、車用年減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應用別）</t>
    </r>
  </si>
  <si>
    <t xml:space="preserve">g_fpc</t>
  </si>
  <si>
    <t xml:space="preserve">軟板與其他年增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</si>
  <si>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占比、資本支出）：軟板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14%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</si>
  <si>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起）：擴產折舊是毛利率關鍵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</si>
  <si>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</si>
  <si>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</si>
  <si>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全公司現金毛利增量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頁（含漲價，偏高）</t>
    </r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</si>
  <si>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毛利率可能接近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（三立，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）；加回折舊約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</si>
  <si>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</si>
  <si>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、軟板）營收增量的現金毛利率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</si>
  <si>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全公司毛利率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（現金毛利率約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</si>
  <si>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t xml:space="preserve">cx27_A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</si>
  <si>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</si>
  <si>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NT$B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</si>
  <si>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預估）：美系券商估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年資本支出均逾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</si>
  <si>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億（第三次上修；公司）；光復二廠設備 </t>
    </r>
    <r>
      <rPr>
        <sz val="11"/>
        <color theme="1"/>
        <rFont val="Calibri"/>
        <family val="2"/>
        <charset val="1"/>
      </rPr>
      <t xml:space="preserve">300–400 </t>
    </r>
    <r>
      <rPr>
        <sz val="11"/>
        <color theme="1"/>
        <rFont val="Noto Sans CJK SC"/>
        <family val="2"/>
      </rPr>
      <t xml:space="preserve">億（富果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</si>
  <si>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cx28_A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</si>
  <si>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</si>
  <si>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cx29_A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</si>
  <si>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</si>
  <si>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cx27_B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</si>
  <si>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</si>
  <si>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cx28_B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</si>
  <si>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</si>
  <si>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cx29_B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</si>
  <si>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</si>
  <si>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cx27_C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</si>
  <si>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</si>
  <si>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cx28_C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</si>
  <si>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</si>
  <si>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cx29_C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</si>
  <si>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</si>
  <si>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</si>
  <si>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資本支出（公司預算）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</si>
  <si>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財報：營收、營業利益、業外、淨利）：董事會由 </t>
    </r>
    <r>
      <rPr>
        <sz val="11"/>
        <color theme="1"/>
        <rFont val="Calibri"/>
        <family val="2"/>
        <charset val="1"/>
      </rPr>
      <t xml:space="preserve">340 </t>
    </r>
    <r>
      <rPr>
        <sz val="11"/>
        <color theme="1"/>
        <rFont val="Noto Sans CJK SC"/>
        <family val="2"/>
      </rPr>
      <t xml:space="preserve">億上修至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</si>
  <si>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口袋學堂同；長交期設備另追加 </t>
    </r>
    <r>
      <rPr>
        <sz val="11"/>
        <color theme="1"/>
        <rFont val="Calibri"/>
        <family val="2"/>
        <charset val="1"/>
      </rPr>
      <t xml:space="preserve">176 </t>
    </r>
    <r>
      <rPr>
        <sz val="11"/>
        <color theme="1"/>
        <rFont val="Noto Sans CJK SC"/>
        <family val="2"/>
      </rPr>
      <t xml:space="preserve">億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</si>
  <si>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</si>
  <si>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折舊攤提（公司預估）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</si>
  <si>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</t>
    </r>
  </si>
  <si>
    <t xml:space="preserve">資本支出上修後可能更高（未找到更新）</t>
  </si>
  <si>
    <t xml:space="preserve">life</t>
  </si>
  <si>
    <t xml:space="preserve">新增資產平均折舊年限</t>
  </si>
  <si>
    <t xml:space="preserve">年</t>
  </si>
  <si>
    <r>
      <rPr>
        <sz val="11"/>
        <color theme="1"/>
        <rFont val="Noto Sans CJK SC"/>
        <family val="2"/>
      </rPr>
      <t xml:space="preserve">載板設備與廠房混合；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188 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年資本支出約合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</si>
  <si>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</si>
  <si>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</si>
  <si>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</si>
  <si>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39.9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</si>
  <si>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</si>
  <si>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</si>
  <si>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89.2 </t>
    </r>
    <r>
      <rPr>
        <sz val="11"/>
        <color theme="1"/>
        <rFont val="Noto Sans CJK SC"/>
        <family val="2"/>
      </rPr>
      <t xml:space="preserve">億含金融資產評價利益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億等一次性項目（口袋學堂、工商時報）；不外推</t>
    </r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</si>
  <si>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募資約 </t>
    </r>
    <r>
      <rPr>
        <sz val="11"/>
        <color theme="1"/>
        <rFont val="Calibri"/>
        <family val="2"/>
        <charset val="1"/>
      </rPr>
      <t xml:space="preserve">US$14 </t>
    </r>
    <r>
      <rPr>
        <sz val="11"/>
        <color theme="1"/>
        <rFont val="Noto Sans CJK SC"/>
        <family val="2"/>
      </rPr>
      <t xml:space="preserve">億）＋權益法（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</si>
  <si>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</si>
  <si>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</si>
  <si>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</si>
  <si>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</si>
  <si>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</si>
  <si>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所得稅與少數股權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</si>
  <si>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218.75</t>
    </r>
    <r>
      <rPr>
        <sz val="11"/>
        <color theme="1"/>
        <rFont val="Noto Sans CJK SC"/>
        <family val="2"/>
      </rPr>
      <t xml:space="preserve">、歸屬母公司 </t>
    </r>
    <r>
      <rPr>
        <sz val="11"/>
        <color theme="1"/>
        <rFont val="Calibri"/>
        <family val="2"/>
        <charset val="1"/>
      </rPr>
      <t xml:space="preserve">181.57 → 17.0%</t>
    </r>
    <r>
      <rPr>
        <sz val="11"/>
        <color theme="1"/>
        <rFont val="Noto Sans CJK SC"/>
        <family val="2"/>
      </rPr>
      <t xml:space="preserve">（工商時報）</t>
    </r>
  </si>
  <si>
    <r>
      <rPr>
        <sz val="11"/>
        <color theme="1"/>
        <rFont val="Calibri"/>
        <family val="2"/>
        <charset val="1"/>
      </rPr>
      <t xml:space="preserve">2Q26 15.8%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</si>
  <si>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</si>
  <si>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股數年變動（可轉債轉換、員工酬勞）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</si>
  <si>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</si>
  <si>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</si>
  <si>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</si>
  <si>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</si>
  <si>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</si>
  <si>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1H26 803.36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</si>
  <si>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3Q26 526.5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22.8%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</si>
  <si>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</si>
  <si>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</si>
  <si>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毛利率可望優於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24.8%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</si>
  <si>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27.2%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</si>
  <si>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</si>
  <si>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</si>
  <si>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</si>
  <si>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</si>
  <si>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</si>
  <si>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4Q26 579.2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</si>
  <si>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公司未給指引</t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</si>
  <si>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</si>
  <si>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</si>
  <si>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30.5%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</si>
  <si>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</si>
  <si>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</si>
  <si>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</si>
  <si>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</si>
  <si>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3.54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8.92</t>
    </r>
    <r>
      <rPr>
        <sz val="11"/>
        <color theme="1"/>
        <rFont val="Noto Sans CJK SC"/>
        <family val="2"/>
      </rPr>
      <t xml:space="preserve">（含一次性評價利益）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</si>
  <si>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前後公布（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</si>
  <si>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</si>
  <si>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</si>
  <si>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</si>
  <si>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1.64B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</si>
  <si>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萬單位、詢價）：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萬單位（每單位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股，以每單位 </t>
    </r>
    <r>
      <rPr>
        <sz val="11"/>
        <color theme="1"/>
        <rFont val="Calibri"/>
        <family val="2"/>
        <charset val="1"/>
      </rPr>
      <t xml:space="preserve">US$27 ÷ </t>
    </r>
    <r>
      <rPr>
        <sz val="11"/>
        <color theme="1"/>
        <rFont val="Noto Sans CJK SC"/>
        <family val="2"/>
      </rPr>
      <t xml:space="preserve">台股約 </t>
    </r>
    <r>
      <rPr>
        <sz val="11"/>
        <color theme="1"/>
        <rFont val="Calibri"/>
        <family val="2"/>
        <charset val="1"/>
      </rPr>
      <t xml:space="preserve">NT$880 </t>
    </r>
    <r>
      <rPr>
        <sz val="11"/>
        <color theme="1"/>
        <rFont val="Noto Sans CJK SC"/>
        <family val="2"/>
      </rPr>
      <t xml:space="preserve">推得）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</si>
  <si>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</si>
  <si>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</si>
  <si>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</si>
  <si>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</si>
  <si>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</si>
  <si>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元）之前；本土法人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（三立）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</si>
  <si>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</si>
  <si>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</si>
  <si>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預估））；本土法人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（三立）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</si>
  <si>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</si>
  <si>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</si>
  <si>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（經濟日報）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</si>
  <si>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</si>
  <si>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</si>
  <si>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</si>
  <si>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</si>
  <si>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</si>
  <si>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兩家平均：美系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</si>
  <si>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</si>
  <si>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</si>
  <si>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</si>
  <si>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</si>
  <si>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</si>
  <si>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1,100</t>
    </r>
  </si>
  <si>
    <r>
      <rPr>
        <sz val="11"/>
        <color theme="1"/>
        <rFont val="Calibri"/>
        <family val="2"/>
        <charset val="1"/>
      </rPr>
      <t xml:space="preserve">HiStock 2026-10-25 </t>
    </r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1,085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</si>
  <si>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</si>
  <si>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</si>
  <si>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</si>
  <si>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</si>
  <si>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</si>
  <si>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</si>
  <si>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72.24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</si>
  <si>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</si>
  <si>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</si>
  <si>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直接數字：未找到</t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</si>
  <si>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</si>
  <si>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</si>
  <si>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</si>
  <si>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</si>
  <si>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</si>
  <si>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</si>
  <si>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</si>
  <si>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Calibri"/>
        <family val="2"/>
        <charset val="1"/>
      </rPr>
      <t xml:space="preserve">Siliconomics SIF_fx_twd</t>
    </r>
    <r>
      <rPr>
        <sz val="11"/>
        <color theme="1"/>
        <rFont val="Noto Sans CJK SC"/>
        <family val="2"/>
      </rPr>
      <t xml:space="preserve">（全庫共用；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</si>
  <si>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鉅亨報價框：</t>
    </r>
    <r>
      <rPr>
        <sz val="11"/>
        <color theme="1"/>
        <rFont val="Calibri"/>
        <family val="2"/>
        <charset val="1"/>
      </rPr>
      <t xml:space="preserve">USD/TWD 32.508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</si>
  <si>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tgt_abf_gap27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</si>
  <si>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（外資報告）</t>
    </r>
  </si>
  <si>
    <r>
      <rPr>
        <sz val="11"/>
        <color theme="1"/>
        <rFont val="Noto Sans CJK SC"/>
        <family val="2"/>
      </rPr>
      <t xml:space="preserve">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</si>
  <si>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</si>
  <si>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</si>
  <si>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</si>
  <si>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</si>
  <si>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</si>
  <si>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</si>
  <si>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</si>
  <si>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</si>
  <si>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</si>
  <si>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</si>
  <si>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</si>
  <si>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</si>
  <si>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</si>
  <si>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</si>
  <si>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</si>
  <si>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</si>
  <si>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</si>
  <si>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</si>
  <si>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</si>
  <si>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</si>
  <si>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</si>
  <si>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</si>
  <si>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</si>
  <si>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12.94%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7.31%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</si>
  <si>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</si>
  <si>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</si>
  <si>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</si>
  <si>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</si>
  <si>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</si>
  <si>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</si>
  <si>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</si>
  <si>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</si>
  <si>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</si>
  <si>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</si>
  <si>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</si>
  <si>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</si>
  <si>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</si>
  <si>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</si>
  <si>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</si>
  <si>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</si>
  <si>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</si>
  <si>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</si>
  <si>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</si>
  <si>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</si>
  <si>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</si>
  <si>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</si>
  <si>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</si>
  <si>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</si>
  <si>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</si>
  <si>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</si>
  <si>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</si>
  <si>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</si>
  <si>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</si>
  <si>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</si>
  <si>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</si>
  <si>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</si>
  <si>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</si>
  <si>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</si>
  <si>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</si>
  <si>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</si>
  <si>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</si>
  <si>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</si>
  <si>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</si>
  <si>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</si>
  <si>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</si>
  <si>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</si>
  <si>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</si>
  <si>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</si>
  <si>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</si>
  <si>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</si>
  <si>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</si>
  <si>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</si>
  <si>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</si>
  <si>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</si>
  <si>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</si>
  <si>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</si>
  <si>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</si>
  <si>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</si>
  <si>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</si>
  <si>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</si>
  <si>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</si>
  <si>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</si>
  <si>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</si>
  <si>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</si>
  <si>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</si>
  <si>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</si>
  <si>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損益表（公司財報）；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</si>
  <si>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1Q26 374.46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2Q26 428.89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</si>
  <si>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</si>
  <si>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</si>
  <si>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1Q26 17.96%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24.8%</t>
    </r>
    <r>
      <rPr>
        <sz val="11"/>
        <color theme="1"/>
        <rFont val="Noto Sans CJK SC"/>
        <family val="2"/>
      </rPr>
      <t xml:space="preserve">（公司；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</si>
  <si>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毛利率</t>
  </si>
  <si>
    <t xml:space="preserve">FY2025 13.94%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</si>
  <si>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</si>
  <si>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</si>
  <si>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</si>
  <si>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</si>
  <si>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</si>
  <si>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1H26 94.08 </t>
    </r>
    <r>
      <rPr>
        <sz val="11"/>
        <color theme="1"/>
        <rFont val="Noto Sans CJK SC"/>
        <family val="2"/>
      </rPr>
      <t xml:space="preserve">億（口袋學堂；工商時報 </t>
    </r>
    <r>
      <rPr>
        <sz val="11"/>
        <color theme="1"/>
        <rFont val="Calibri"/>
        <family val="2"/>
        <charset val="1"/>
      </rPr>
      <t xml:space="preserve">94.07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</si>
  <si>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− 營業利益，近似）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</si>
  <si>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</si>
  <si>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億、湖口廠處分利益 </t>
    </r>
    <r>
      <rPr>
        <sz val="11"/>
        <color theme="1"/>
        <rFont val="Calibri"/>
        <family val="2"/>
        <charset val="1"/>
      </rPr>
      <t xml:space="preserve">5.6 </t>
    </r>
    <r>
      <rPr>
        <sz val="11"/>
        <color theme="1"/>
        <rFont val="Noto Sans CJK SC"/>
        <family val="2"/>
      </rPr>
      <t xml:space="preserve">億、欣興同泰減損 </t>
    </r>
    <r>
      <rPr>
        <sz val="11"/>
        <color theme="1"/>
        <rFont val="Calibri"/>
        <family val="2"/>
        <charset val="1"/>
      </rPr>
      <t xml:space="preserve">13.7 </t>
    </r>
    <r>
      <rPr>
        <sz val="11"/>
        <color theme="1"/>
        <rFont val="Noto Sans CJK SC"/>
        <family val="2"/>
      </rPr>
      <t xml:space="preserve">億（口袋學堂）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</si>
  <si>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</si>
  <si>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218.75 </t>
    </r>
    <r>
      <rPr>
        <sz val="11"/>
        <color theme="1"/>
        <rFont val="Noto Sans CJK SC"/>
        <family val="2"/>
      </rPr>
      <t xml:space="preserve">億（核對見第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列）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</si>
  <si>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</si>
  <si>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50.43 </t>
    </r>
    <r>
      <rPr>
        <sz val="11"/>
        <color theme="1"/>
        <rFont val="Noto Sans CJK SC"/>
        <family val="2"/>
      </rPr>
      <t xml:space="preserve">億（永豐）；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業外與稅後淨利接近營業利益</t>
    </r>
  </si>
  <si>
    <t xml:space="preserve">所得稅與少數股權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</si>
  <si>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</si>
  <si>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</si>
  <si>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</si>
  <si>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1H26 11.70</t>
    </r>
    <r>
      <rPr>
        <sz val="11"/>
        <color theme="1"/>
        <rFont val="Noto Sans CJK SC"/>
        <family val="2"/>
      </rPr>
      <t xml:space="preserve">（工商時報）</t>
    </r>
  </si>
  <si>
    <t xml:space="preserve">折舊攤提（年度）</t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</si>
  <si>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</si>
  <si>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FY2025 18.46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</si>
  <si>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</si>
  <si>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</si>
  <si>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</si>
  <si>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</si>
  <si>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</si>
  <si>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</si>
  <si>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</si>
  <si>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軟板與其他</t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</si>
  <si>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</si>
  <si>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稅前利益 自算 − 公司公布 </t>
    </r>
    <r>
      <rPr>
        <sz val="11"/>
        <color theme="1"/>
        <rFont val="Calibri"/>
        <family val="2"/>
        <charset val="1"/>
      </rPr>
      <t xml:space="preserve">21.875</t>
    </r>
    <r>
      <rPr>
        <sz val="11"/>
        <color theme="1"/>
        <rFont val="Noto Sans CJK SC"/>
        <family val="2"/>
      </rPr>
      <t xml:space="preserve">（應接近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</si>
  <si>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</si>
  <si>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</si>
  <si>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</si>
  <si>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57.92 − 1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</si>
  <si>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欣興在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）＋欣興，其餘為三星電機、景碩、南電、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</si>
  <si>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</si>
  <si>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</si>
  <si>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</si>
  <si>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</si>
  <si>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</si>
  <si>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</si>
  <si>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</si>
  <si>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</si>
  <si>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</si>
  <si>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</si>
  <si>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</si>
  <si>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</si>
  <si>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</si>
  <si>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</si>
  <si>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</si>
  <si>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</si>
  <si>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模型的非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權重假設份額相對值與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同步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</si>
  <si>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</si>
  <si>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；其餘為景碩、南電、三星電機、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</si>
  <si>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</si>
  <si>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對照值見 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</t>
    </r>
  </si>
  <si>
    <t xml:space="preserve">欣興加速器載板營收</t>
  </si>
  <si>
    <t xml:space="preserve">US$M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</si>
  <si>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</si>
  <si>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</si>
  <si>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</si>
  <si>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</si>
  <si>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模型相同係數）</t>
    </r>
  </si>
  <si>
    <r>
      <rPr>
        <b val="true"/>
        <sz val="11"/>
        <rFont val="Noto Sans CJK SC"/>
        <family val="2"/>
      </rPr>
      <t xml:space="preserve">讀法：欣興在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加速器載板約占兩到三成、在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約三成；加速器載板只占欣興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載板約三成，其餘是交換器、伺服器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與網通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載板（校準殘差，公司未揭露）。份額合計留給三星電機、景碩、南電、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</si>
  <si>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欣興損益（十億新台幣；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</si>
  <si>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</si>
  <si>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</si>
  <si>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</si>
  <si>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</si>
  <si>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</si>
  <si>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</si>
  <si>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</si>
  <si>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</si>
  <si>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</si>
  <si>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</si>
  <si>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</si>
  <si>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</si>
  <si>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</si>
  <si>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</si>
  <si>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</si>
  <si>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</si>
  <si>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</si>
  <si>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</si>
  <si>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</si>
  <si>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</si>
  <si>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</si>
  <si>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</si>
  <si>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</si>
  <si>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</si>
  <si>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</si>
  <si>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（順利）：顆數基準；資本支出 </t>
    </r>
    <r>
      <rPr>
        <b val="true"/>
        <sz val="11"/>
        <rFont val="Cambria"/>
        <family val="0"/>
        <charset val="1"/>
      </rPr>
      <t xml:space="preserve">FY2027–29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550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</si>
  <si>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</si>
  <si>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</si>
  <si>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</si>
  <si>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</si>
  <si>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</si>
  <si>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</si>
  <si>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</si>
  <si>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</si>
  <si>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</si>
  <si>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</si>
  <si>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</si>
  <si>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</si>
  <si>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</si>
  <si>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</si>
  <si>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</si>
  <si>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</si>
  <si>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欣興加速器載板營收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</si>
  <si>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欣興加速器載板營收（新台幣）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</si>
  <si>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</si>
  <si>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</si>
  <si>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公司：載板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</si>
  <si>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</si>
  <si>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</si>
  <si>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</si>
  <si>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</si>
  <si>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</si>
  <si>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</si>
  <si>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</si>
  <si>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</si>
  <si>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</si>
  <si>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</si>
  <si>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</si>
  <si>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</si>
  <si>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Noto Sans CJK SC"/>
        <family val="2"/>
      </rPr>
      <t xml:space="preserve">基準路徑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顆數情境係數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</si>
  <si>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</si>
  <si>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</si>
  <si>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公司產品別：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4Q25 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</si>
  <si>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</si>
  <si>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公司產品別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27%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）合併建模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</si>
  <si>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</si>
  <si>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</si>
  <si>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</si>
  <si>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</si>
  <si>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（載板＋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</si>
  <si>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</si>
  <si>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擴產折舊、毛利與損益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</si>
  <si>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</si>
  <si>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</si>
  <si>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</si>
  <si>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</si>
  <si>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</si>
  <si>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</si>
  <si>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</si>
  <si>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</si>
  <si>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營業外淨額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</si>
  <si>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一次性評價利益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</si>
  <si>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</si>
  <si>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</si>
  <si>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</si>
  <si>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</si>
  <si>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</si>
  <si>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</si>
  <si>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不含客戶預付款（光復二廠、楊梅二廠由客戶全額預付）與營運資金變動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</si>
  <si>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</si>
  <si>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480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420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380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</si>
  <si>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280 </t>
    </r>
    <r>
      <rPr>
        <b val="true"/>
        <sz val="1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</si>
  <si>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</si>
  <si>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循環位置：欣興不是設備股，不套設備市場見頂年；以本模型營收最高的會計年度為見頂年（比照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</si>
  <si>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</si>
  <si>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</si>
  <si>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</si>
  <si>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</si>
  <si>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</si>
  <si>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</si>
  <si>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</si>
  <si>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</si>
  <si>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</si>
  <si>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</si>
  <si>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</si>
  <si>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</si>
  <si>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</si>
  <si>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</si>
  <si>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方法：欣興資本密集、模型有資本支出與折舊，改用每股（淨利＋折舊－資本支出）（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</si>
  <si>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</si>
  <si>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</si>
  <si>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</si>
  <si>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</si>
  <si>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</si>
  <si>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</si>
  <si>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</si>
  <si>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</si>
  <si>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9% → </t>
    </r>
    <r>
      <rPr>
        <sz val="11"/>
        <color theme="1"/>
        <rFont val="Noto Sans CJK SC"/>
        <family val="2"/>
      </rPr>
      <t xml:space="preserve">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</si>
  <si>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</si>
  <si>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</si>
  <si>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</si>
  <si>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</si>
  <si>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</si>
  <si>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</si>
  <si>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</si>
  <si>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</si>
  <si>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</si>
  <si>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</si>
  <si>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</si>
  <si>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</si>
  <si>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t xml:space="preserve">2026-10-22</t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</si>
  <si>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</si>
  <si>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</si>
  <si>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</si>
  <si>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</si>
  <si>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</si>
  <si>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</si>
  <si>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</si>
  <si>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</si>
  <si>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</si>
  <si>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</si>
  <si>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股）；南電、三星電機價格日期較舊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</si>
  <si>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</si>
  <si>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</si>
  <si>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</si>
  <si>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</si>
  <si>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</si>
  <si>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</si>
  <si>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</si>
  <si>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</si>
  <si>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</si>
  <si>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</si>
  <si>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擷取）；本土法人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</si>
  <si>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</si>
  <si>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</si>
  <si>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</si>
  <si>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</si>
  <si>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</si>
  <si>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</si>
  <si>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</si>
  <si>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</si>
  <si>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</si>
  <si>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不計）的分位（超出十年區間時記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</si>
  <si>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</si>
  <si>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明確期＋永續；欣興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年資本支出 </t>
    </r>
    <r>
      <rPr>
        <sz val="11"/>
        <color theme="1"/>
        <rFont val="Calibri"/>
        <family val="2"/>
        <charset val="1"/>
      </rPr>
      <t xml:space="preserve">400–550 </t>
    </r>
    <r>
      <rPr>
        <sz val="11"/>
        <color theme="1"/>
        <rFont val="Noto Sans CJK SC"/>
        <family val="2"/>
      </rPr>
      <t xml:space="preserve">億，明確期現金流被擴產壓低，且未計客戶預付款（光復二廠、楊梅二廠全額預付），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短缺溢價期，倍數偏高、部分價格為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</si>
  <si>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</si>
  <si>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</si>
  <si>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</si>
  <si>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</si>
  <si>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</si>
  <si>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</si>
  <si>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三情境相同（錨點；含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</si>
  <si>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</si>
  <si>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開始；資本支出差異從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</si>
  <si>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</si>
  <si>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</si>
  <si>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</si>
  <si>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</si>
  <si>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</si>
  <si>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</si>
  <si>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</si>
  <si>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</si>
  <si>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</si>
  <si>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</si>
  <si>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</si>
  <si>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</si>
  <si>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</si>
  <si>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</si>
  <si>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</si>
  <si>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</si>
  <si>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</si>
  <si>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</si>
  <si>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</si>
  <si>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</si>
  <si>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</si>
  <si>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</si>
  <si>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</si>
  <si>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</si>
  <si>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短缺與漲價延續、擴產折舊被營收吸收」。本版未做先驗，無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</si>
  <si>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0.01 </t>
    </r>
    <r>
      <rPr>
        <b val="true"/>
        <sz val="11"/>
        <rFont val="Noto Sans CJK SC"/>
        <family val="2"/>
      </rPr>
      <t xml:space="preserve">元，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倍無意義，不計）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</si>
  <si>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</si>
  <si>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</si>
  <si>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</si>
  <si>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</si>
  <si>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</si>
  <si>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0.01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</si>
  <si>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</si>
  <si>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</si>
  <si>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</si>
  <si>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</si>
  <si>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</si>
  <si>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</si>
  <si>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</si>
  <si>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</si>
  <si>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</si>
  <si>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</si>
  <si>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</si>
  <si>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依循環位置取分位，兩個來源分別取分位再平均。欣興的落後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42–58x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6x</t>
    </r>
    <r>
      <rPr>
        <sz val="11"/>
        <color theme="1"/>
        <rFont val="Noto Sans CJK SC"/>
        <family val="2"/>
      </rPr>
      <t xml:space="preserve">；十年多為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</si>
  <si>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</si>
  <si>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</si>
  <si>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</si>
  <si>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</si>
  <si>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倍不計）；自算（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無資料，改用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50.40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</si>
  <si>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</si>
  <si>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</si>
  <si>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</si>
  <si>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</si>
  <si>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</si>
  <si>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</si>
  <si>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</si>
  <si>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</si>
  <si>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</si>
  <si>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</si>
  <si>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</si>
  <si>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</si>
  <si>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</si>
  <si>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</si>
  <si>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</si>
  <si>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</si>
  <si>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</si>
  <si>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</si>
  <si>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</si>
  <si>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</si>
  <si>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</si>
  <si>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</si>
  <si>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</si>
  <si>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</si>
  <si>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</si>
  <si>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</si>
  <si>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</si>
  <si>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</si>
  <si>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</si>
  <si>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</si>
  <si>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</si>
  <si>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</si>
  <si>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</si>
  <si>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</si>
  <si>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</si>
  <si>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</si>
  <si>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</si>
  <si>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</si>
  <si>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</si>
  <si>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</si>
  <si>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</si>
  <si>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</si>
  <si>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</si>
  <si>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</si>
  <si>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</si>
  <si>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欣興</t>
  </si>
  <si>
    <t xml:space="preserve">3037.TW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</si>
  <si>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</si>
  <si>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3037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</si>
  <si>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</si>
  <si>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4062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</si>
  <si>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3189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</si>
  <si>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8046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</si>
  <si>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009150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</si>
  <si>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ATS AV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</si>
  <si>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</si>
  <si>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</si>
  <si>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</si>
  <si>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</si>
  <si>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</si>
  <si>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</si>
  <si>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</si>
  <si>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</si>
  <si>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</si>
  <si>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</si>
  <si>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</si>
  <si>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</si>
  <si>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</si>
  <si>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</si>
  <si>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月券商數字只有兩家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</si>
  <si>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</si>
  <si>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</si>
  <si>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</si>
  <si>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</si>
  <si>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</si>
  <si>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</si>
  <si>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</si>
  <si>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</si>
  <si>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</si>
  <si>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</si>
  <si>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三立（本土法人）</t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</si>
  <si>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15.17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</si>
  <si>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</si>
  <si>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經濟日報（美系券商）</t>
  </si>
  <si>
    <r>
      <rPr>
        <sz val="11"/>
        <color theme="1"/>
        <rFont val="Calibri"/>
        <family val="2"/>
        <charset val="1"/>
      </rPr>
      <t xml:space="preserve">FY2027 EPS vs 2026-10 </t>
    </r>
    <r>
      <rPr>
        <sz val="11"/>
        <color theme="1"/>
        <rFont val="Noto Sans CJK SC"/>
        <family val="2"/>
      </rPr>
      <t xml:space="preserve">券商平均（美系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</si>
  <si>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t xml:space="preserve">經濟日報、三立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</si>
  <si>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</si>
  <si>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30.37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</si>
  <si>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</si>
  <si>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48.52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</si>
  <si>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</si>
  <si>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</si>
  <si>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</si>
  <si>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經濟日報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</si>
  <si>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</si>
  <si>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</si>
  <si>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</si>
  <si>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</si>
  <si>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</si>
  <si>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</si>
  <si>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</si>
  <si>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10-29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</si>
  <si>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579.2 </t>
    </r>
    <r>
      <rPr>
        <sz val="11"/>
        <color theme="1"/>
        <rFont val="Noto Sans CJK SC"/>
        <family val="2"/>
      </rPr>
      <t xml:space="preserve">億</t>
    </r>
  </si>
  <si>
    <t xml:space="preserve">三立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</si>
  <si>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4Q26 </t>
    </r>
    <r>
      <rPr>
        <sz val="11"/>
        <color theme="1"/>
        <rFont val="Noto Sans CJK SC"/>
        <family val="2"/>
      </rPr>
      <t xml:space="preserve">毛利率（假設）（百分點）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</si>
  <si>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</si>
  <si>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擴產折舊增量抵銷部分規模效益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</si>
  <si>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</si>
  <si>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</si>
  <si>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</si>
  <si>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</si>
  <si>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外資：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</si>
  <si>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</si>
  <si>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</si>
  <si>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</si>
  <si>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t xml:space="preserve">全年口徑低於下半年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</si>
  <si>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</si>
  <si>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</si>
  <si>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</si>
  <si>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</si>
  <si>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</si>
  <si>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</si>
  <si>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</si>
  <si>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</si>
  <si>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</si>
  <si>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</si>
  <si>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</si>
  <si>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</si>
  <si>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</si>
  <si>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</si>
  <si>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</si>
  <si>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</si>
  <si>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</si>
  <si>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</si>
  <si>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</si>
  <si>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</si>
  <si>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</si>
  <si>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</si>
  <si>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</si>
  <si>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</si>
  <si>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</si>
  <si>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</si>
  <si>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</si>
  <si>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</si>
  <si>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1.70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</si>
  <si>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</si>
  <si>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</si>
  <si>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</si>
  <si>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</si>
  <si>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</si>
  <si>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</si>
  <si>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</si>
  <si>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</si>
  <si>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</si>
  <si>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</si>
  <si>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</si>
  <si>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</si>
  <si>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</si>
  <si>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</si>
  <si>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</si>
  <si>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</si>
  <si>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</si>
  <si>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</si>
  <si>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資本支出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</si>
  <si>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億（折舊較低）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</si>
  <si>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</si>
  <si>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20%→22%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</si>
  <si>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</si>
  <si>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30%→36%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</si>
  <si>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</si>
  <si>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</si>
  <si>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</si>
  <si>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40%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</si>
  <si>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</si>
  <si>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</si>
  <si>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</si>
  <si>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</si>
  <si>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</si>
  <si>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</si>
  <si>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</si>
  <si>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</si>
  <si>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</si>
  <si>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</si>
  <si>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</si>
  <si>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</si>
  <si>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</si>
  <si>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</si>
  <si>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；資本支出較低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</si>
  <si>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</si>
  <si>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；資本支出最低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</si>
  <si>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產能受限時，顆數與份額的上修只部分轉成營收（滿足率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），產能與價格的影響較大；折舊年限與資本支出路徑直接改變毛利率；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</si>
  <si>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</si>
  <si>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</si>
  <si>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</si>
  <si>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</si>
  <si>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</si>
  <si>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</si>
  <si>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</si>
  <si>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</si>
  <si>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</si>
  <si>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</si>
  <si>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</si>
  <si>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</si>
  <si>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</si>
  <si>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</si>
  <si>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</si>
  <si>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</si>
  <si>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</si>
  <si>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</si>
  <si>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</si>
  <si>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</si>
  <si>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</si>
  <si>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</si>
  <si>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</si>
  <si>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</si>
  <si>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</si>
  <si>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</si>
  <si>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</si>
  <si>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</si>
  <si>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</si>
  <si>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</si>
  <si>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</si>
  <si>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</si>
  <si>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</si>
  <si>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</si>
  <si>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</si>
  <si>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</si>
  <si>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</si>
  <si>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</si>
  <si>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</si>
  <si>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</si>
  <si>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</si>
  <si>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來源（公司財報經媒體與資料商轉載；法說內容經媒體摘要；券商與資料商皆為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</si>
  <si>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財報（營收、營業利益、業外、淨利、資本支出）</t>
    </r>
  </si>
  <si>
    <t xml:space="preserve">https://www.ctee.com.tw/news/20260729700548-430201</t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</si>
  <si>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法說（產品組合、應用別、稼動率、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占比、產能時程）</t>
    </r>
  </si>
  <si>
    <t xml:space="preserve">https://www.ctee.com.tw/news/20260729701506-430201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</si>
  <si>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Quartr 2Q26 </t>
    </r>
    <r>
      <rPr>
        <sz val="11"/>
        <color theme="1"/>
        <rFont val="Noto Sans CJK SC"/>
        <family val="2"/>
      </rPr>
      <t xml:space="preserve">摘要（營收、毛利率、營業利益、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</si>
  <si>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https://quartr.com/events/unimicron-technology-corp-3037-q2-2026_F9DCOIJX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</si>
  <si>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產品組合、光復二廠）</t>
    </r>
  </si>
  <si>
    <t xml:space="preserve">https://blog.fugle.tw/post/earnings-call-3037-2026-02-25</t>
  </si>
  <si>
    <r>
      <rPr>
        <sz val="11"/>
        <color theme="1"/>
        <rFont val="Noto Sans CJK SC"/>
        <family val="2"/>
      </rPr>
      <t xml:space="preserve">媒體：口袋學堂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法說（業外明細、</t>
    </r>
    <r>
      <rPr>
        <sz val="11"/>
        <color theme="1"/>
        <rFont val="Calibri"/>
        <family val="2"/>
        <charset val="1"/>
      </rPr>
      <t xml:space="preserve">ABF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</si>
  <si>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https://www.pocket.tw/school/articles/7708/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</si>
  <si>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</si>
  <si>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https://uanalyze.com.tw/articles/4246852366</t>
  </si>
  <si>
    <r>
      <rPr>
        <sz val="11"/>
        <color theme="1"/>
        <rFont val="Noto Sans CJK SC"/>
        <family val="2"/>
      </rPr>
      <t xml:space="preserve">媒體：永豐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供需缺口、私募與可轉債）</t>
    </r>
  </si>
  <si>
    <r>
      <rPr>
        <sz val="11"/>
        <color theme="1"/>
        <rFont val="Calibri"/>
        <family val="2"/>
        <charset val="1"/>
      </rPr>
      <t xml:space="preserve">https://www.sinotrade.com.tw/richclub/hotstock/</t>
    </r>
    <r>
      <rPr>
        <sz val="11"/>
        <color theme="1"/>
        <rFont val="Noto Sans CJK SC"/>
        <family val="2"/>
      </rPr>
      <t xml:space="preserve">欣興</t>
    </r>
    <r>
      <rPr>
        <sz val="11"/>
        <color theme="1"/>
        <rFont val="Calibri"/>
        <family val="2"/>
        <charset val="1"/>
      </rPr>
      <t xml:space="preserve">-3037--1Q26-EPS</t>
    </r>
    <r>
      <rPr>
        <sz val="11"/>
        <color theme="1"/>
        <rFont val="Noto Sans CJK SC"/>
        <family val="2"/>
      </rPr>
      <t xml:space="preserve">繳出</t>
    </r>
    <r>
      <rPr>
        <sz val="11"/>
        <color theme="1"/>
        <rFont val="Calibri"/>
        <family val="2"/>
        <charset val="1"/>
      </rPr>
      <t xml:space="preserve">3-28</t>
    </r>
    <r>
      <rPr>
        <sz val="11"/>
        <color theme="1"/>
        <rFont val="Noto Sans CJK SC"/>
        <family val="2"/>
      </rPr>
      <t xml:space="preserve">元改寫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季新高</t>
    </r>
    <r>
      <rPr>
        <sz val="11"/>
        <color theme="1"/>
        <rFont val="Calibri"/>
        <family val="2"/>
        <charset val="1"/>
      </rPr>
      <t xml:space="preserve">-T-glass</t>
    </r>
    <r>
      <rPr>
        <sz val="11"/>
        <color theme="1"/>
        <rFont val="Noto Sans CJK SC"/>
        <family val="2"/>
      </rPr>
      <t xml:space="preserve">缺料推升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漲價循環的預期差再放大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豐學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盤後精選</t>
    </r>
    <r>
      <rPr>
        <sz val="11"/>
        <color theme="1"/>
        <rFont val="Calibri"/>
        <family val="2"/>
        <charset val="1"/>
      </rPr>
      <t xml:space="preserve">--69f16461f5cc3b01237ecb00</t>
    </r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</si>
  <si>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2026-04-10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董事會決議）</t>
    </r>
  </si>
  <si>
    <t xml:space="preserve">https://uanalyze.com.tw/articles/7364850419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</si>
  <si>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萬單位、每單位 </t>
    </r>
    <r>
      <rPr>
        <sz val="11"/>
        <color theme="1"/>
        <rFont val="Calibri"/>
        <family val="2"/>
        <charset val="1"/>
      </rPr>
      <t xml:space="preserve">US$26.96–27.76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</si>
  <si>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https://uanalyze.com.tw/articles/9347152010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</si>
  <si>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186.51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</si>
  <si>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https://finance.technews.tw/2026/10/08/unimicron-3037-202609-financial-report/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</si>
  <si>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本土法人（目標價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 23.42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2027 41.10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</si>
  <si>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t xml:space="preserve">https://www.mirrormedia.mg/external/setn_1923649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</si>
  <si>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EPS 2026 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2028 64.8</t>
    </r>
    <r>
      <rPr>
        <sz val="11"/>
        <color theme="1"/>
        <rFont val="Noto Sans CJK SC"/>
        <family val="2"/>
      </rPr>
      <t xml:space="preserve">、資本支出逾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億）</t>
    </r>
  </si>
  <si>
    <t xml:space="preserve">https://money.udn.com/money/story/5607/9808557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</si>
  <si>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</si>
  <si>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https://news.cnyes.com/news/id/6510190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</si>
  <si>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、現金流）</t>
    </r>
  </si>
  <si>
    <t xml:space="preserve">https://stockanalysis.com/quote/tpe/3037/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</si>
  <si>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</si>
  <si>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</si>
  <si>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</si>
  <si>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https://companiesmarketcap.com/unimicron/pe-ratio/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</si>
  <si>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</si>
  <si>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https://www.digrin.com/stocks/detail/3037.TW/price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</si>
  <si>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2016–2025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</si>
  <si>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https://www.wantgoo.com/stock/3037/profitability/dividend-payout-ratio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</si>
  <si>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（現價核對）</t>
    </r>
  </si>
  <si>
    <t xml:space="preserve">https://histock.tw/stock/3037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</si>
  <si>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</si>
  <si>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</si>
  <si>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年度拆分；加速器與其他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載板拆分；份額量化；折舊會計年限；客戶預付款金額；可轉債轉換價；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</si>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</sst>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"投資建議："&amp;Val!B134&amp;"（依上檔空間固定規則）"</f>
        <v>投資建議：放空（依上檔空間固定規則）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"&amp;Val!$B$133&amp;"、投資建議 "&amp;Val!$B$134&amp;"。相對倍數調整係數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DCF 不是 EPS：本模型前瞻 EPS 24.54 只比共識前瞻 EPS 25.66 低 4.4%，同業前瞻 P/E 中位數 43.4 倍與現價 ÷ 共識前瞻 EPS 42.3 倍相近；DCF 用每股（淨利＋折舊 − 資本支出），擴產期 FY2027 情境 A 每股現金流 9.16 只有 EPS 27.51 的 3"&amp;"3%，DCF 比現價低 64.2%（改用 EPS ×（1 − g／ROE）只有 249，因 ROE 8.6% 低於折現率 10%）。"</f>
        <v>重點觀察 1：目標價 NT$664.30（DCF 386.09、Comparable（相對倍數調整後）942.50；DCF 權重 50%），比現價 1085.00（2026-10-22）低 38.8%，級距 −25%～−50%、投資建議 放空。相對倍數調整係數 0.89（本公司 10 年前瞻倍數中位數 ÷ 同業的中位數，夾在 0.5–2.0；Val 第 0.5 節），調整前加權上檔空間 −33.3%；Comparable 單獨（市場主流同業法、未調整）為 −2.1%。以下為 2026-10-29 相對倍數調整前撰寫的說明，其中數字為調整前：主因是 DCF 不是 EPS：本模型前瞻 EPS 24.54 只比共識前瞻 EPS 25.66 低 4.4%，同業前瞻 P/E 中位數 43.4 倍與現價 ÷ 共識前瞻 EPS 42.3 倍相近；DCF 用每股（淨利＋折舊 − 資本支出），擴產期 FY2027 情境 A 每股現金流 9.16 只有 EPS 27.51 的 33%，DCF 比現價低 64.2%（改用 EPS ×（1 − g／ROE）只有 249，因 ROE 8.6% 低於折現率 10%）。</v>
      </c>
    </row>
    <row r="21" customFormat="false" ht="17.15" hidden="false" customHeight="false" outlineLevel="0" collapsed="false">
      <c r="A21" s="3" t="s">
        <v>15</v>
      </c>
    </row>
    <row r="22" customFormat="false" ht="17.15" hidden="false" customHeight="false" outlineLevel="0" collapsed="false">
      <c r="A22" s="3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3" t="s">
        <v>20</v>
      </c>
    </row>
    <row r="3" customFormat="false" ht="17.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3" t="s">
        <v>33</v>
      </c>
      <c r="E5" s="6" t="n">
        <v>5.4</v>
      </c>
      <c r="G5" s="7" t="s">
        <v>34</v>
      </c>
      <c r="H5" s="7" t="s">
        <v>35</v>
      </c>
      <c r="I5" s="3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3" t="s">
        <v>33</v>
      </c>
      <c r="E6" s="6" t="n">
        <v>2.4</v>
      </c>
      <c r="G6" s="7" t="s">
        <v>34</v>
      </c>
      <c r="H6" s="7" t="s">
        <v>39</v>
      </c>
      <c r="I6" s="3" t="s">
        <v>36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3" t="s">
        <v>33</v>
      </c>
      <c r="E7" s="6" t="n">
        <v>0.5</v>
      </c>
      <c r="G7" s="7" t="s">
        <v>34</v>
      </c>
      <c r="H7" s="7" t="s">
        <v>42</v>
      </c>
      <c r="I7" s="3" t="s">
        <v>36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6" t="n">
        <v>-0.5</v>
      </c>
      <c r="G8" s="7" t="s">
        <v>34</v>
      </c>
      <c r="H8" s="7" t="s">
        <v>46</v>
      </c>
      <c r="I8" s="3" t="s">
        <v>47</v>
      </c>
    </row>
    <row r="9" customFormat="false" ht="17.15" hidden="false" customHeight="false" outlineLevel="0" collapsed="false">
      <c r="A9" s="0" t="s">
        <v>48</v>
      </c>
      <c r="B9" s="0" t="s">
        <v>49</v>
      </c>
      <c r="C9" s="3" t="s">
        <v>33</v>
      </c>
      <c r="E9" s="6" t="n">
        <v>1.7</v>
      </c>
      <c r="G9" s="7" t="s">
        <v>34</v>
      </c>
      <c r="H9" s="7" t="s">
        <v>50</v>
      </c>
      <c r="I9" s="3" t="s">
        <v>36</v>
      </c>
    </row>
    <row r="10" customFormat="false" ht="17.15" hidden="false" customHeight="false" outlineLevel="0" collapsed="false">
      <c r="A10" s="0" t="s">
        <v>51</v>
      </c>
      <c r="B10" s="0" t="s">
        <v>52</v>
      </c>
      <c r="C10" s="3" t="s">
        <v>33</v>
      </c>
      <c r="E10" s="6" t="n">
        <v>7</v>
      </c>
      <c r="G10" s="7" t="s">
        <v>34</v>
      </c>
      <c r="H10" s="7" t="s">
        <v>53</v>
      </c>
      <c r="I10" s="3" t="s">
        <v>36</v>
      </c>
    </row>
    <row r="11" customFormat="false" ht="17.15" hidden="false" customHeight="false" outlineLevel="0" collapsed="false">
      <c r="A11" s="0" t="s">
        <v>54</v>
      </c>
      <c r="B11" s="0" t="s">
        <v>55</v>
      </c>
      <c r="C11" s="3" t="s">
        <v>33</v>
      </c>
      <c r="E11" s="6" t="n">
        <v>7</v>
      </c>
      <c r="G11" s="7" t="s">
        <v>34</v>
      </c>
      <c r="H11" s="7" t="s">
        <v>56</v>
      </c>
      <c r="I11" s="3" t="s">
        <v>36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E12" s="6" t="n">
        <v>0.15</v>
      </c>
      <c r="G12" s="7" t="s">
        <v>34</v>
      </c>
      <c r="H12" s="7" t="s">
        <v>59</v>
      </c>
      <c r="I12" s="3" t="s">
        <v>47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3" t="s">
        <v>33</v>
      </c>
      <c r="E13" s="6" t="n">
        <v>0</v>
      </c>
      <c r="G13" s="7" t="s">
        <v>34</v>
      </c>
      <c r="H13" s="7" t="s">
        <v>62</v>
      </c>
      <c r="I13" s="3" t="s">
        <v>36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3" t="s">
        <v>33</v>
      </c>
      <c r="E14" s="6" t="n">
        <v>0.3</v>
      </c>
      <c r="G14" s="7" t="s">
        <v>34</v>
      </c>
      <c r="H14" s="7" t="s">
        <v>65</v>
      </c>
      <c r="I14" s="3" t="s">
        <v>36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3" t="s">
        <v>33</v>
      </c>
      <c r="E15" s="6" t="n">
        <v>2</v>
      </c>
      <c r="G15" s="7" t="s">
        <v>34</v>
      </c>
      <c r="H15" s="7" t="s">
        <v>68</v>
      </c>
      <c r="I15" s="3" t="s">
        <v>36</v>
      </c>
    </row>
    <row r="16" customFormat="false" ht="17.15" hidden="false" customHeight="false" outlineLevel="0" collapsed="false">
      <c r="A16" s="0" t="s">
        <v>69</v>
      </c>
      <c r="B16" s="0" t="s">
        <v>70</v>
      </c>
      <c r="C16" s="0" t="s">
        <v>45</v>
      </c>
      <c r="E16" s="6" t="n">
        <v>0.15</v>
      </c>
      <c r="G16" s="7" t="s">
        <v>34</v>
      </c>
      <c r="H16" s="7" t="s">
        <v>71</v>
      </c>
      <c r="I16" s="3" t="s">
        <v>47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3" t="s">
        <v>33</v>
      </c>
      <c r="E17" s="6" t="n">
        <v>0.5</v>
      </c>
      <c r="G17" s="7" t="s">
        <v>34</v>
      </c>
      <c r="H17" s="7" t="s">
        <v>74</v>
      </c>
      <c r="I17" s="3" t="s">
        <v>36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3" t="s">
        <v>33</v>
      </c>
      <c r="E18" s="6" t="n">
        <v>0</v>
      </c>
      <c r="G18" s="7" t="s">
        <v>34</v>
      </c>
      <c r="H18" s="7" t="s">
        <v>77</v>
      </c>
      <c r="I18" s="3" t="s">
        <v>36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3" t="s">
        <v>33</v>
      </c>
      <c r="E19" s="6" t="n">
        <v>0</v>
      </c>
      <c r="G19" s="7" t="s">
        <v>34</v>
      </c>
      <c r="H19" s="7" t="s">
        <v>80</v>
      </c>
      <c r="I19" s="3" t="s">
        <v>36</v>
      </c>
    </row>
    <row r="20" customFormat="false" ht="17.15" hidden="false" customHeight="false" outlineLevel="0" collapsed="false">
      <c r="A20" s="0" t="s">
        <v>81</v>
      </c>
      <c r="B20" s="0" t="s">
        <v>82</v>
      </c>
      <c r="C20" s="0" t="s">
        <v>45</v>
      </c>
      <c r="E20" s="6" t="n">
        <v>0</v>
      </c>
      <c r="G20" s="7" t="s">
        <v>34</v>
      </c>
      <c r="H20" s="7" t="s">
        <v>83</v>
      </c>
      <c r="I20" s="3" t="s">
        <v>47</v>
      </c>
    </row>
    <row r="21" customFormat="false" ht="17.15" hidden="false" customHeight="false" outlineLevel="0" collapsed="false">
      <c r="A21" s="0" t="s">
        <v>84</v>
      </c>
      <c r="B21" s="0" t="s">
        <v>85</v>
      </c>
      <c r="C21" s="3" t="s">
        <v>33</v>
      </c>
      <c r="E21" s="6" t="n">
        <v>0.75</v>
      </c>
      <c r="G21" s="7" t="s">
        <v>34</v>
      </c>
      <c r="H21" s="7" t="s">
        <v>86</v>
      </c>
      <c r="I21" s="3" t="s">
        <v>36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3" t="s">
        <v>33</v>
      </c>
      <c r="E22" s="6" t="n">
        <v>1.5</v>
      </c>
      <c r="G22" s="7" t="s">
        <v>34</v>
      </c>
      <c r="H22" s="7" t="s">
        <v>89</v>
      </c>
      <c r="I22" s="3" t="s">
        <v>36</v>
      </c>
    </row>
    <row r="23" customFormat="false" ht="17.15" hidden="false" customHeight="false" outlineLevel="0" collapsed="false">
      <c r="A23" s="0" t="s">
        <v>90</v>
      </c>
      <c r="B23" s="0" t="s">
        <v>91</v>
      </c>
      <c r="C23" s="3" t="s">
        <v>33</v>
      </c>
      <c r="E23" s="6" t="n">
        <v>2</v>
      </c>
      <c r="G23" s="7" t="s">
        <v>34</v>
      </c>
      <c r="H23" s="7" t="s">
        <v>92</v>
      </c>
      <c r="I23" s="3" t="s">
        <v>36</v>
      </c>
    </row>
    <row r="24" customFormat="false" ht="17.15" hidden="false" customHeight="false" outlineLevel="0" collapsed="false">
      <c r="A24" s="0" t="s">
        <v>93</v>
      </c>
      <c r="B24" s="0" t="s">
        <v>94</v>
      </c>
      <c r="C24" s="0" t="s">
        <v>45</v>
      </c>
      <c r="E24" s="6" t="n">
        <v>0.15</v>
      </c>
      <c r="G24" s="7" t="s">
        <v>34</v>
      </c>
      <c r="H24" s="7" t="s">
        <v>95</v>
      </c>
      <c r="I24" s="3" t="s">
        <v>47</v>
      </c>
    </row>
    <row r="25" customFormat="false" ht="17.15" hidden="false" customHeight="false" outlineLevel="0" collapsed="false">
      <c r="A25" s="0" t="s">
        <v>96</v>
      </c>
      <c r="B25" s="0" t="s">
        <v>97</v>
      </c>
      <c r="C25" s="3" t="s">
        <v>33</v>
      </c>
      <c r="E25" s="6" t="n">
        <v>3.85</v>
      </c>
      <c r="G25" s="7" t="s">
        <v>34</v>
      </c>
      <c r="H25" s="7" t="s">
        <v>98</v>
      </c>
      <c r="I25" s="3" t="s">
        <v>36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3" t="s">
        <v>33</v>
      </c>
      <c r="E26" s="6" t="n">
        <v>5.5</v>
      </c>
      <c r="G26" s="7" t="s">
        <v>34</v>
      </c>
      <c r="H26" s="7" t="s">
        <v>101</v>
      </c>
      <c r="I26" s="3" t="s">
        <v>36</v>
      </c>
    </row>
    <row r="27" customFormat="false" ht="17.15" hidden="false" customHeight="false" outlineLevel="0" collapsed="false">
      <c r="A27" s="0" t="s">
        <v>102</v>
      </c>
      <c r="B27" s="0" t="s">
        <v>103</v>
      </c>
      <c r="C27" s="3" t="s">
        <v>33</v>
      </c>
      <c r="E27" s="6" t="n">
        <v>7</v>
      </c>
      <c r="G27" s="7" t="s">
        <v>34</v>
      </c>
      <c r="H27" s="7" t="s">
        <v>104</v>
      </c>
      <c r="I27" s="3" t="s">
        <v>36</v>
      </c>
    </row>
    <row r="28" customFormat="false" ht="17.15" hidden="false" customHeight="false" outlineLevel="0" collapsed="false">
      <c r="A28" s="0" t="s">
        <v>105</v>
      </c>
      <c r="B28" s="0" t="s">
        <v>106</v>
      </c>
      <c r="C28" s="0" t="s">
        <v>45</v>
      </c>
      <c r="E28" s="6" t="n">
        <v>0.15</v>
      </c>
      <c r="G28" s="7" t="s">
        <v>34</v>
      </c>
      <c r="H28" s="7" t="s">
        <v>107</v>
      </c>
      <c r="I28" s="3" t="s">
        <v>47</v>
      </c>
    </row>
    <row r="29" customFormat="false" ht="17.15" hidden="false" customHeight="false" outlineLevel="0" collapsed="false">
      <c r="A29" s="0" t="s">
        <v>108</v>
      </c>
      <c r="B29" s="0" t="s">
        <v>109</v>
      </c>
      <c r="C29" s="3" t="s">
        <v>33</v>
      </c>
      <c r="E29" s="6" t="n">
        <v>2</v>
      </c>
      <c r="G29" s="7" t="s">
        <v>34</v>
      </c>
      <c r="H29" s="7" t="s">
        <v>110</v>
      </c>
      <c r="I29" s="3" t="s">
        <v>36</v>
      </c>
    </row>
    <row r="30" customFormat="false" ht="17.15" hidden="false" customHeight="false" outlineLevel="0" collapsed="false">
      <c r="A30" s="0" t="s">
        <v>111</v>
      </c>
      <c r="B30" s="0" t="s">
        <v>112</v>
      </c>
      <c r="C30" s="3" t="s">
        <v>33</v>
      </c>
      <c r="E30" s="6" t="n">
        <v>2.5</v>
      </c>
      <c r="G30" s="7" t="s">
        <v>34</v>
      </c>
      <c r="H30" s="7" t="s">
        <v>113</v>
      </c>
      <c r="I30" s="3" t="s">
        <v>36</v>
      </c>
    </row>
    <row r="31" customFormat="false" ht="17.15" hidden="false" customHeight="false" outlineLevel="0" collapsed="false">
      <c r="A31" s="0" t="s">
        <v>114</v>
      </c>
      <c r="B31" s="0" t="s">
        <v>115</v>
      </c>
      <c r="C31" s="3" t="s">
        <v>33</v>
      </c>
      <c r="E31" s="6" t="n">
        <v>3</v>
      </c>
      <c r="G31" s="7" t="s">
        <v>34</v>
      </c>
      <c r="H31" s="7" t="s">
        <v>116</v>
      </c>
      <c r="I31" s="3" t="s">
        <v>36</v>
      </c>
    </row>
    <row r="32" customFormat="false" ht="17.15" hidden="false" customHeight="false" outlineLevel="0" collapsed="false">
      <c r="A32" s="0" t="s">
        <v>117</v>
      </c>
      <c r="B32" s="0" t="s">
        <v>118</v>
      </c>
      <c r="C32" s="0" t="s">
        <v>45</v>
      </c>
      <c r="E32" s="6" t="n">
        <v>0.15</v>
      </c>
      <c r="G32" s="7" t="s">
        <v>34</v>
      </c>
      <c r="H32" s="7" t="s">
        <v>119</v>
      </c>
      <c r="I32" s="3" t="s">
        <v>47</v>
      </c>
    </row>
    <row r="33" customFormat="false" ht="17.15" hidden="false" customHeight="false" outlineLevel="0" collapsed="false">
      <c r="A33" s="0" t="s">
        <v>120</v>
      </c>
      <c r="B33" s="3" t="s">
        <v>121</v>
      </c>
      <c r="C33" s="3" t="s">
        <v>33</v>
      </c>
      <c r="E33" s="6" t="n">
        <v>1</v>
      </c>
      <c r="G33" s="7" t="s">
        <v>34</v>
      </c>
      <c r="H33" s="7" t="s">
        <v>122</v>
      </c>
      <c r="I33" s="3" t="s">
        <v>36</v>
      </c>
    </row>
    <row r="34" customFormat="false" ht="17.15" hidden="false" customHeight="false" outlineLevel="0" collapsed="false">
      <c r="A34" s="0" t="s">
        <v>123</v>
      </c>
      <c r="B34" s="3" t="s">
        <v>124</v>
      </c>
      <c r="C34" s="3" t="s">
        <v>33</v>
      </c>
      <c r="E34" s="6" t="n">
        <v>4.5</v>
      </c>
      <c r="G34" s="7" t="s">
        <v>34</v>
      </c>
      <c r="H34" s="7" t="s">
        <v>125</v>
      </c>
      <c r="I34" s="3" t="s">
        <v>36</v>
      </c>
    </row>
    <row r="35" customFormat="false" ht="17.15" hidden="false" customHeight="false" outlineLevel="0" collapsed="false">
      <c r="A35" s="0" t="s">
        <v>126</v>
      </c>
      <c r="B35" s="3" t="s">
        <v>127</v>
      </c>
      <c r="C35" s="3" t="s">
        <v>33</v>
      </c>
      <c r="E35" s="6" t="n">
        <v>5</v>
      </c>
      <c r="G35" s="7" t="s">
        <v>34</v>
      </c>
      <c r="H35" s="7" t="s">
        <v>128</v>
      </c>
      <c r="I35" s="3" t="s">
        <v>36</v>
      </c>
    </row>
    <row r="36" customFormat="false" ht="17.15" hidden="false" customHeight="false" outlineLevel="0" collapsed="false">
      <c r="A36" s="0" t="s">
        <v>129</v>
      </c>
      <c r="B36" s="3" t="s">
        <v>130</v>
      </c>
      <c r="C36" s="0" t="s">
        <v>45</v>
      </c>
      <c r="E36" s="6" t="n">
        <v>0.15</v>
      </c>
      <c r="G36" s="7" t="s">
        <v>34</v>
      </c>
      <c r="H36" s="7" t="s">
        <v>131</v>
      </c>
      <c r="I36" s="3" t="s">
        <v>47</v>
      </c>
    </row>
    <row r="37" customFormat="false" ht="17.15" hidden="false" customHeight="false" outlineLevel="0" collapsed="false">
      <c r="A37" s="0" t="s">
        <v>132</v>
      </c>
      <c r="B37" s="0" t="s">
        <v>133</v>
      </c>
      <c r="C37" s="0" t="s">
        <v>134</v>
      </c>
      <c r="E37" s="6" t="n">
        <v>781.872916666666</v>
      </c>
      <c r="G37" s="7" t="s">
        <v>34</v>
      </c>
      <c r="H37" s="7" t="s">
        <v>135</v>
      </c>
      <c r="I37" s="3" t="s">
        <v>136</v>
      </c>
    </row>
    <row r="38" customFormat="false" ht="17.15" hidden="false" customHeight="false" outlineLevel="0" collapsed="false">
      <c r="A38" s="0" t="s">
        <v>137</v>
      </c>
      <c r="B38" s="0" t="s">
        <v>138</v>
      </c>
      <c r="C38" s="0" t="s">
        <v>134</v>
      </c>
      <c r="E38" s="6" t="n">
        <v>1565.35</v>
      </c>
      <c r="G38" s="7" t="s">
        <v>34</v>
      </c>
      <c r="H38" s="7" t="s">
        <v>135</v>
      </c>
      <c r="I38" s="3" t="s">
        <v>47</v>
      </c>
    </row>
    <row r="39" customFormat="false" ht="17.15" hidden="false" customHeight="false" outlineLevel="0" collapsed="false">
      <c r="A39" s="0" t="s">
        <v>139</v>
      </c>
      <c r="B39" s="0" t="s">
        <v>140</v>
      </c>
      <c r="C39" s="0" t="s">
        <v>134</v>
      </c>
      <c r="E39" s="6" t="n">
        <v>1984.26388888889</v>
      </c>
      <c r="G39" s="7" t="s">
        <v>34</v>
      </c>
      <c r="H39" s="7" t="s">
        <v>135</v>
      </c>
      <c r="I39" s="3" t="s">
        <v>47</v>
      </c>
    </row>
    <row r="40" customFormat="false" ht="17.15" hidden="false" customHeight="false" outlineLevel="0" collapsed="false">
      <c r="A40" s="0" t="s">
        <v>141</v>
      </c>
      <c r="B40" s="0" t="s">
        <v>142</v>
      </c>
      <c r="C40" s="0" t="s">
        <v>134</v>
      </c>
      <c r="E40" s="6" t="n">
        <v>2260.39027777778</v>
      </c>
      <c r="G40" s="7" t="s">
        <v>34</v>
      </c>
      <c r="H40" s="7" t="s">
        <v>135</v>
      </c>
      <c r="I40" s="3" t="s">
        <v>47</v>
      </c>
    </row>
    <row r="41" customFormat="false" ht="17.15" hidden="false" customHeight="false" outlineLevel="0" collapsed="false">
      <c r="A41" s="0" t="s">
        <v>143</v>
      </c>
      <c r="B41" s="3" t="s">
        <v>144</v>
      </c>
      <c r="C41" s="0" t="s">
        <v>145</v>
      </c>
      <c r="E41" s="6" t="n">
        <v>1</v>
      </c>
      <c r="G41" s="7" t="s">
        <v>146</v>
      </c>
      <c r="H41" s="7" t="s">
        <v>147</v>
      </c>
      <c r="I41" s="7" t="s">
        <v>148</v>
      </c>
    </row>
    <row r="42" customFormat="false" ht="17.15" hidden="false" customHeight="false" outlineLevel="0" collapsed="false">
      <c r="A42" s="0" t="s">
        <v>149</v>
      </c>
      <c r="B42" s="3" t="s">
        <v>150</v>
      </c>
      <c r="C42" s="0" t="s">
        <v>145</v>
      </c>
      <c r="E42" s="6" t="n">
        <v>1</v>
      </c>
      <c r="G42" s="7" t="s">
        <v>146</v>
      </c>
      <c r="H42" s="7" t="s">
        <v>151</v>
      </c>
      <c r="I42" s="3" t="s">
        <v>47</v>
      </c>
    </row>
    <row r="43" customFormat="false" ht="17.15" hidden="false" customHeight="false" outlineLevel="0" collapsed="false">
      <c r="A43" s="0" t="s">
        <v>152</v>
      </c>
      <c r="B43" s="3" t="s">
        <v>153</v>
      </c>
      <c r="C43" s="0" t="s">
        <v>145</v>
      </c>
      <c r="E43" s="6" t="n">
        <v>0.8</v>
      </c>
      <c r="G43" s="7" t="s">
        <v>146</v>
      </c>
      <c r="H43" s="7" t="s">
        <v>154</v>
      </c>
      <c r="I43" s="3" t="s">
        <v>47</v>
      </c>
    </row>
    <row r="44" customFormat="false" ht="17.15" hidden="false" customHeight="false" outlineLevel="0" collapsed="false">
      <c r="A44" s="0" t="s">
        <v>155</v>
      </c>
      <c r="B44" s="3" t="s">
        <v>156</v>
      </c>
      <c r="C44" s="0" t="s">
        <v>145</v>
      </c>
      <c r="E44" s="6" t="n">
        <v>0.85</v>
      </c>
      <c r="G44" s="7" t="s">
        <v>146</v>
      </c>
      <c r="H44" s="7" t="s">
        <v>157</v>
      </c>
      <c r="I44" s="3" t="s">
        <v>47</v>
      </c>
    </row>
    <row r="45" customFormat="false" ht="17.15" hidden="false" customHeight="false" outlineLevel="0" collapsed="false">
      <c r="A45" s="0" t="s">
        <v>158</v>
      </c>
      <c r="B45" s="3" t="s">
        <v>159</v>
      </c>
      <c r="C45" s="0" t="s">
        <v>145</v>
      </c>
      <c r="E45" s="6" t="n">
        <v>0.6</v>
      </c>
      <c r="G45" s="7" t="s">
        <v>146</v>
      </c>
      <c r="H45" s="7" t="s">
        <v>160</v>
      </c>
      <c r="I45" s="3" t="s">
        <v>47</v>
      </c>
    </row>
    <row r="46" customFormat="false" ht="17.15" hidden="false" customHeight="false" outlineLevel="0" collapsed="false">
      <c r="A46" s="0" t="s">
        <v>161</v>
      </c>
      <c r="B46" s="3" t="s">
        <v>162</v>
      </c>
      <c r="C46" s="0" t="s">
        <v>145</v>
      </c>
      <c r="E46" s="6" t="n">
        <v>0.6</v>
      </c>
      <c r="G46" s="7" t="s">
        <v>146</v>
      </c>
      <c r="H46" s="7" t="s">
        <v>163</v>
      </c>
      <c r="I46" s="3" t="s">
        <v>47</v>
      </c>
    </row>
    <row r="47" customFormat="false" ht="17.15" hidden="false" customHeight="false" outlineLevel="0" collapsed="false">
      <c r="A47" s="5" t="s">
        <v>164</v>
      </c>
    </row>
    <row r="48" customFormat="false" ht="17.15" hidden="false" customHeight="false" outlineLevel="0" collapsed="false">
      <c r="A48" s="0" t="s">
        <v>165</v>
      </c>
      <c r="B48" s="0" t="s">
        <v>166</v>
      </c>
      <c r="C48" s="0" t="s">
        <v>167</v>
      </c>
      <c r="E48" s="6" t="n">
        <v>215.308596</v>
      </c>
      <c r="G48" s="7" t="s">
        <v>34</v>
      </c>
      <c r="H48" s="7" t="s">
        <v>168</v>
      </c>
      <c r="I48" s="7" t="s">
        <v>169</v>
      </c>
    </row>
    <row r="49" customFormat="false" ht="17.15" hidden="false" customHeight="false" outlineLevel="0" collapsed="false">
      <c r="A49" s="0" t="s">
        <v>170</v>
      </c>
      <c r="B49" s="3" t="s">
        <v>171</v>
      </c>
      <c r="C49" s="0" t="s">
        <v>45</v>
      </c>
      <c r="D49" s="6" t="n">
        <v>0.1</v>
      </c>
      <c r="E49" s="6" t="n">
        <v>0.18</v>
      </c>
      <c r="F49" s="6" t="n">
        <v>0.22</v>
      </c>
      <c r="G49" s="7" t="s">
        <v>172</v>
      </c>
      <c r="H49" s="7" t="s">
        <v>173</v>
      </c>
      <c r="I49" s="7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145</v>
      </c>
      <c r="D50" s="6" t="n">
        <v>0.95</v>
      </c>
      <c r="E50" s="6" t="n">
        <v>1</v>
      </c>
      <c r="F50" s="6" t="n">
        <v>1.05</v>
      </c>
      <c r="G50" s="7" t="s">
        <v>146</v>
      </c>
      <c r="H50" s="7" t="s">
        <v>177</v>
      </c>
      <c r="I50" s="3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145</v>
      </c>
      <c r="E51" s="6" t="n">
        <v>0.95</v>
      </c>
      <c r="G51" s="7" t="s">
        <v>146</v>
      </c>
      <c r="H51" s="7" t="s">
        <v>181</v>
      </c>
      <c r="I51" s="7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145</v>
      </c>
      <c r="D52" s="6" t="n">
        <v>0.85</v>
      </c>
      <c r="E52" s="6" t="n">
        <v>0.95</v>
      </c>
      <c r="F52" s="6" t="n">
        <v>1.05</v>
      </c>
      <c r="G52" s="7" t="s">
        <v>146</v>
      </c>
      <c r="H52" s="7" t="s">
        <v>185</v>
      </c>
      <c r="I52" s="3" t="s">
        <v>47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0" t="s">
        <v>145</v>
      </c>
      <c r="E53" s="6" t="n">
        <v>0.88</v>
      </c>
      <c r="G53" s="7" t="s">
        <v>146</v>
      </c>
      <c r="H53" s="7" t="s">
        <v>188</v>
      </c>
      <c r="I53" s="7" t="s">
        <v>182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0" t="s">
        <v>145</v>
      </c>
      <c r="D54" s="6" t="n">
        <v>0.75</v>
      </c>
      <c r="E54" s="6" t="n">
        <v>0.9</v>
      </c>
      <c r="F54" s="6" t="n">
        <v>1</v>
      </c>
      <c r="G54" s="7" t="s">
        <v>146</v>
      </c>
      <c r="H54" s="7" t="s">
        <v>191</v>
      </c>
      <c r="I54" s="3" t="s">
        <v>47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0" t="s">
        <v>145</v>
      </c>
      <c r="E55" s="6" t="n">
        <v>0.85</v>
      </c>
      <c r="G55" s="7" t="s">
        <v>146</v>
      </c>
      <c r="H55" s="7" t="s">
        <v>194</v>
      </c>
      <c r="I55" s="7" t="s">
        <v>182</v>
      </c>
    </row>
    <row r="56" customFormat="false" ht="17.15" hidden="false" customHeight="false" outlineLevel="0" collapsed="false">
      <c r="A56" s="0" t="s">
        <v>195</v>
      </c>
      <c r="B56" s="0" t="s">
        <v>196</v>
      </c>
      <c r="C56" s="0" t="s">
        <v>45</v>
      </c>
      <c r="D56" s="6" t="n">
        <v>0.7</v>
      </c>
      <c r="E56" s="6" t="n">
        <v>0.7</v>
      </c>
      <c r="F56" s="6" t="n">
        <v>0.8</v>
      </c>
      <c r="G56" s="7" t="s">
        <v>197</v>
      </c>
      <c r="H56" s="7" t="s">
        <v>198</v>
      </c>
      <c r="I56" s="7" t="s">
        <v>199</v>
      </c>
    </row>
    <row r="57" customFormat="false" ht="17.15" hidden="false" customHeight="false" outlineLevel="0" collapsed="false">
      <c r="A57" s="0" t="s">
        <v>200</v>
      </c>
      <c r="B57" s="0" t="s">
        <v>201</v>
      </c>
      <c r="C57" s="0" t="s">
        <v>145</v>
      </c>
      <c r="D57" s="6" t="n">
        <v>0.2</v>
      </c>
      <c r="E57" s="6" t="n">
        <v>0.4</v>
      </c>
      <c r="F57" s="6" t="n">
        <v>0.6</v>
      </c>
      <c r="G57" s="7" t="s">
        <v>146</v>
      </c>
      <c r="H57" s="7" t="s">
        <v>202</v>
      </c>
      <c r="I57" s="7" t="s">
        <v>203</v>
      </c>
    </row>
    <row r="58" customFormat="false" ht="17.15" hidden="false" customHeight="false" outlineLevel="0" collapsed="false">
      <c r="A58" s="0" t="s">
        <v>204</v>
      </c>
      <c r="B58" s="3" t="s">
        <v>205</v>
      </c>
      <c r="C58" s="0" t="s">
        <v>145</v>
      </c>
      <c r="D58" s="6" t="n">
        <v>0.6</v>
      </c>
      <c r="E58" s="6" t="n">
        <v>0.8</v>
      </c>
      <c r="F58" s="6" t="n">
        <v>1</v>
      </c>
      <c r="G58" s="7" t="s">
        <v>146</v>
      </c>
      <c r="H58" s="7" t="s">
        <v>206</v>
      </c>
      <c r="I58" s="7" t="s">
        <v>207</v>
      </c>
    </row>
    <row r="59" customFormat="false" ht="17.15" hidden="false" customHeight="false" outlineLevel="0" collapsed="false">
      <c r="A59" s="0" t="s">
        <v>208</v>
      </c>
      <c r="B59" s="3" t="s">
        <v>209</v>
      </c>
      <c r="C59" s="0" t="s">
        <v>45</v>
      </c>
      <c r="D59" s="6" t="n">
        <v>0.2</v>
      </c>
      <c r="E59" s="6" t="n">
        <v>0.25</v>
      </c>
      <c r="F59" s="6" t="n">
        <v>0.3</v>
      </c>
      <c r="G59" s="7" t="s">
        <v>146</v>
      </c>
      <c r="H59" s="3" t="s">
        <v>210</v>
      </c>
      <c r="I59" s="7" t="s">
        <v>211</v>
      </c>
    </row>
    <row r="60" customFormat="false" ht="17.15" hidden="false" customHeight="false" outlineLevel="0" collapsed="false">
      <c r="A60" s="0" t="s">
        <v>212</v>
      </c>
      <c r="B60" s="3" t="s">
        <v>213</v>
      </c>
      <c r="C60" s="0" t="s">
        <v>45</v>
      </c>
      <c r="D60" s="6" t="n">
        <v>0.22</v>
      </c>
      <c r="E60" s="6" t="n">
        <v>0.27</v>
      </c>
      <c r="F60" s="6" t="n">
        <v>0.32</v>
      </c>
      <c r="G60" s="7" t="s">
        <v>146</v>
      </c>
      <c r="H60" s="7" t="s">
        <v>214</v>
      </c>
      <c r="I60" s="3" t="s">
        <v>215</v>
      </c>
    </row>
    <row r="61" customFormat="false" ht="17.15" hidden="false" customHeight="false" outlineLevel="0" collapsed="false">
      <c r="A61" s="0" t="s">
        <v>216</v>
      </c>
      <c r="B61" s="3" t="s">
        <v>217</v>
      </c>
      <c r="C61" s="0" t="s">
        <v>45</v>
      </c>
      <c r="D61" s="6" t="n">
        <v>0.22</v>
      </c>
      <c r="E61" s="6" t="n">
        <v>0.29</v>
      </c>
      <c r="F61" s="6" t="n">
        <v>0.35</v>
      </c>
      <c r="G61" s="7" t="s">
        <v>146</v>
      </c>
      <c r="H61" s="7" t="s">
        <v>214</v>
      </c>
      <c r="I61" s="3" t="s">
        <v>215</v>
      </c>
    </row>
    <row r="62" customFormat="false" ht="17.15" hidden="false" customHeight="false" outlineLevel="0" collapsed="false">
      <c r="A62" s="0" t="s">
        <v>218</v>
      </c>
      <c r="B62" s="3" t="s">
        <v>219</v>
      </c>
      <c r="C62" s="0" t="s">
        <v>45</v>
      </c>
      <c r="D62" s="6" t="n">
        <v>0.22</v>
      </c>
      <c r="E62" s="6" t="n">
        <v>0.3</v>
      </c>
      <c r="F62" s="6" t="n">
        <v>0.36</v>
      </c>
      <c r="G62" s="7" t="s">
        <v>146</v>
      </c>
      <c r="H62" s="7" t="s">
        <v>214</v>
      </c>
      <c r="I62" s="3" t="s">
        <v>215</v>
      </c>
    </row>
    <row r="63" customFormat="false" ht="17.15" hidden="false" customHeight="false" outlineLevel="0" collapsed="false">
      <c r="A63" s="0" t="s">
        <v>220</v>
      </c>
      <c r="B63" s="3" t="s">
        <v>221</v>
      </c>
      <c r="C63" s="0" t="s">
        <v>45</v>
      </c>
      <c r="D63" s="6" t="n">
        <v>0.22</v>
      </c>
      <c r="E63" s="6" t="n">
        <v>0.3</v>
      </c>
      <c r="F63" s="6" t="n">
        <v>0.4</v>
      </c>
      <c r="G63" s="7" t="s">
        <v>146</v>
      </c>
      <c r="H63" s="3" t="s">
        <v>222</v>
      </c>
      <c r="I63" s="3" t="s">
        <v>223</v>
      </c>
    </row>
    <row r="64" customFormat="false" ht="17.15" hidden="false" customHeight="false" outlineLevel="0" collapsed="false">
      <c r="A64" s="0" t="s">
        <v>224</v>
      </c>
      <c r="B64" s="3" t="s">
        <v>225</v>
      </c>
      <c r="C64" s="0" t="s">
        <v>45</v>
      </c>
      <c r="D64" s="6" t="n">
        <v>0.22</v>
      </c>
      <c r="E64" s="6" t="n">
        <v>0.31</v>
      </c>
      <c r="F64" s="6" t="n">
        <v>0.4</v>
      </c>
      <c r="G64" s="7" t="s">
        <v>146</v>
      </c>
      <c r="H64" s="3" t="s">
        <v>47</v>
      </c>
      <c r="I64" s="7" t="s">
        <v>226</v>
      </c>
    </row>
    <row r="65" customFormat="false" ht="17.15" hidden="false" customHeight="false" outlineLevel="0" collapsed="false">
      <c r="A65" s="0" t="s">
        <v>227</v>
      </c>
      <c r="B65" s="3" t="s">
        <v>228</v>
      </c>
      <c r="C65" s="0" t="s">
        <v>45</v>
      </c>
      <c r="D65" s="6" t="n">
        <v>0.22</v>
      </c>
      <c r="E65" s="6" t="n">
        <v>0.32</v>
      </c>
      <c r="F65" s="6" t="n">
        <v>0.4</v>
      </c>
      <c r="G65" s="7" t="s">
        <v>146</v>
      </c>
      <c r="H65" s="3" t="s">
        <v>47</v>
      </c>
      <c r="I65" s="7" t="s">
        <v>226</v>
      </c>
    </row>
    <row r="66" customFormat="false" ht="17.15" hidden="false" customHeight="false" outlineLevel="0" collapsed="false">
      <c r="A66" s="0" t="s">
        <v>229</v>
      </c>
      <c r="B66" s="3" t="s">
        <v>230</v>
      </c>
      <c r="C66" s="0" t="s">
        <v>45</v>
      </c>
      <c r="D66" s="6" t="n">
        <v>0.22</v>
      </c>
      <c r="E66" s="6" t="n">
        <v>0.33</v>
      </c>
      <c r="F66" s="6" t="n">
        <v>0.4</v>
      </c>
      <c r="G66" s="7" t="s">
        <v>146</v>
      </c>
      <c r="H66" s="3" t="s">
        <v>47</v>
      </c>
      <c r="I66" s="7" t="s">
        <v>226</v>
      </c>
    </row>
    <row r="67" customFormat="false" ht="17.15" hidden="false" customHeight="false" outlineLevel="0" collapsed="false">
      <c r="A67" s="5" t="s">
        <v>231</v>
      </c>
    </row>
    <row r="68" customFormat="false" ht="17.15" hidden="false" customHeight="false" outlineLevel="0" collapsed="false">
      <c r="A68" s="0" t="s">
        <v>232</v>
      </c>
      <c r="B68" s="0" t="s">
        <v>233</v>
      </c>
      <c r="C68" s="0" t="s">
        <v>45</v>
      </c>
      <c r="D68" s="6" t="n">
        <v>0.5</v>
      </c>
      <c r="E68" s="6" t="n">
        <v>0.53</v>
      </c>
      <c r="F68" s="6" t="n">
        <v>0.56</v>
      </c>
      <c r="G68" s="7" t="s">
        <v>197</v>
      </c>
      <c r="H68" s="3" t="s">
        <v>234</v>
      </c>
      <c r="I68" s="3" t="s">
        <v>235</v>
      </c>
    </row>
    <row r="69" customFormat="false" ht="17.15" hidden="false" customHeight="false" outlineLevel="0" collapsed="false">
      <c r="A69" s="0" t="s">
        <v>236</v>
      </c>
      <c r="B69" s="0" t="s">
        <v>237</v>
      </c>
      <c r="C69" s="0" t="s">
        <v>45</v>
      </c>
      <c r="D69" s="6" t="n">
        <v>0.08</v>
      </c>
      <c r="E69" s="6" t="n">
        <v>0.09</v>
      </c>
      <c r="F69" s="6" t="n">
        <v>0.1</v>
      </c>
      <c r="G69" s="7" t="s">
        <v>197</v>
      </c>
      <c r="H69" s="3" t="s">
        <v>238</v>
      </c>
      <c r="I69" s="7" t="s">
        <v>226</v>
      </c>
    </row>
    <row r="70" customFormat="false" ht="17.15" hidden="false" customHeight="false" outlineLevel="0" collapsed="false">
      <c r="A70" s="0" t="s">
        <v>239</v>
      </c>
      <c r="B70" s="0" t="s">
        <v>240</v>
      </c>
      <c r="C70" s="0" t="s">
        <v>45</v>
      </c>
      <c r="D70" s="6" t="n">
        <v>0.29</v>
      </c>
      <c r="E70" s="6" t="n">
        <v>0.31</v>
      </c>
      <c r="F70" s="6" t="n">
        <v>0.33</v>
      </c>
      <c r="G70" s="7" t="s">
        <v>197</v>
      </c>
      <c r="H70" s="3" t="s">
        <v>241</v>
      </c>
      <c r="I70" s="3" t="s">
        <v>242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45</v>
      </c>
      <c r="D71" s="6" t="n">
        <v>0.65</v>
      </c>
      <c r="E71" s="6" t="n">
        <v>0.75</v>
      </c>
      <c r="F71" s="6" t="n">
        <v>0.85</v>
      </c>
      <c r="G71" s="7" t="s">
        <v>146</v>
      </c>
      <c r="H71" s="3" t="s">
        <v>245</v>
      </c>
      <c r="I71" s="7" t="s">
        <v>246</v>
      </c>
    </row>
    <row r="72" customFormat="false" ht="17.15" hidden="false" customHeight="false" outlineLevel="0" collapsed="false">
      <c r="A72" s="0" t="s">
        <v>247</v>
      </c>
      <c r="B72" s="0" t="s">
        <v>248</v>
      </c>
      <c r="C72" s="0" t="s">
        <v>45</v>
      </c>
      <c r="D72" s="6" t="n">
        <v>0.55</v>
      </c>
      <c r="E72" s="6" t="n">
        <v>0.65</v>
      </c>
      <c r="F72" s="6" t="n">
        <v>0.75</v>
      </c>
      <c r="G72" s="7" t="s">
        <v>197</v>
      </c>
      <c r="H72" s="3" t="s">
        <v>249</v>
      </c>
      <c r="I72" s="3" t="s">
        <v>250</v>
      </c>
    </row>
    <row r="73" customFormat="false" ht="17.15" hidden="false" customHeight="false" outlineLevel="0" collapsed="false">
      <c r="A73" s="5" t="s">
        <v>251</v>
      </c>
    </row>
    <row r="74" customFormat="false" ht="17.15" hidden="false" customHeight="false" outlineLevel="0" collapsed="false">
      <c r="A74" s="0" t="s">
        <v>252</v>
      </c>
      <c r="B74" s="3" t="s">
        <v>253</v>
      </c>
      <c r="C74" s="0" t="s">
        <v>145</v>
      </c>
      <c r="D74" s="6" t="n">
        <v>0.3</v>
      </c>
      <c r="E74" s="6" t="n">
        <v>0.5</v>
      </c>
      <c r="F74" s="6" t="n">
        <v>0.8</v>
      </c>
      <c r="G74" s="7" t="s">
        <v>146</v>
      </c>
      <c r="H74" s="3" t="s">
        <v>254</v>
      </c>
      <c r="I74" s="3" t="s">
        <v>255</v>
      </c>
    </row>
    <row r="75" customFormat="false" ht="17.15" hidden="false" customHeight="false" outlineLevel="0" collapsed="false">
      <c r="A75" s="0" t="s">
        <v>256</v>
      </c>
      <c r="B75" s="3" t="s">
        <v>257</v>
      </c>
      <c r="C75" s="0" t="s">
        <v>45</v>
      </c>
      <c r="D75" s="6" t="n">
        <v>-0.02</v>
      </c>
      <c r="E75" s="6" t="n">
        <v>0.03</v>
      </c>
      <c r="F75" s="6" t="n">
        <v>0.06</v>
      </c>
      <c r="G75" s="7" t="s">
        <v>146</v>
      </c>
      <c r="H75" s="7" t="s">
        <v>258</v>
      </c>
      <c r="I75" s="7" t="s">
        <v>226</v>
      </c>
    </row>
    <row r="76" customFormat="false" ht="17.15" hidden="false" customHeight="false" outlineLevel="0" collapsed="false">
      <c r="A76" s="0" t="s">
        <v>259</v>
      </c>
      <c r="B76" s="0" t="s">
        <v>260</v>
      </c>
      <c r="C76" s="0" t="s">
        <v>145</v>
      </c>
      <c r="D76" s="6" t="n">
        <v>1.25</v>
      </c>
      <c r="E76" s="6" t="n">
        <v>1.35</v>
      </c>
      <c r="F76" s="6" t="n">
        <v>1.45</v>
      </c>
      <c r="G76" s="7" t="s">
        <v>146</v>
      </c>
      <c r="H76" s="3" t="s">
        <v>261</v>
      </c>
      <c r="I76" s="3" t="s">
        <v>262</v>
      </c>
    </row>
    <row r="77" customFormat="false" ht="17.15" hidden="false" customHeight="false" outlineLevel="0" collapsed="false">
      <c r="A77" s="0" t="s">
        <v>263</v>
      </c>
      <c r="B77" s="0" t="s">
        <v>264</v>
      </c>
      <c r="C77" s="0" t="s">
        <v>145</v>
      </c>
      <c r="D77" s="6" t="n">
        <v>1.5</v>
      </c>
      <c r="E77" s="6" t="n">
        <v>1.7</v>
      </c>
      <c r="F77" s="6" t="n">
        <v>1.9</v>
      </c>
      <c r="G77" s="7" t="s">
        <v>146</v>
      </c>
      <c r="H77" s="3" t="s">
        <v>47</v>
      </c>
      <c r="I77" s="3" t="s">
        <v>265</v>
      </c>
    </row>
    <row r="78" customFormat="false" ht="17.15" hidden="false" customHeight="false" outlineLevel="0" collapsed="false">
      <c r="A78" s="0" t="s">
        <v>266</v>
      </c>
      <c r="B78" s="0" t="s">
        <v>267</v>
      </c>
      <c r="C78" s="0" t="s">
        <v>145</v>
      </c>
      <c r="D78" s="6" t="n">
        <v>1.7</v>
      </c>
      <c r="E78" s="6" t="n">
        <v>2</v>
      </c>
      <c r="F78" s="6" t="n">
        <v>2.3</v>
      </c>
      <c r="G78" s="7" t="s">
        <v>146</v>
      </c>
      <c r="H78" s="3" t="s">
        <v>47</v>
      </c>
      <c r="I78" s="3" t="s">
        <v>265</v>
      </c>
    </row>
    <row r="79" customFormat="false" ht="17.15" hidden="false" customHeight="false" outlineLevel="0" collapsed="false">
      <c r="A79" s="0" t="s">
        <v>268</v>
      </c>
      <c r="B79" s="3" t="s">
        <v>269</v>
      </c>
      <c r="C79" s="0" t="s">
        <v>45</v>
      </c>
      <c r="D79" s="6" t="n">
        <v>0</v>
      </c>
      <c r="E79" s="6" t="n">
        <v>0.05</v>
      </c>
      <c r="F79" s="6" t="n">
        <v>0.08</v>
      </c>
      <c r="G79" s="7" t="s">
        <v>146</v>
      </c>
      <c r="H79" s="3" t="s">
        <v>270</v>
      </c>
      <c r="I79" s="7" t="s">
        <v>226</v>
      </c>
    </row>
    <row r="80" customFormat="false" ht="17.15" hidden="false" customHeight="false" outlineLevel="0" collapsed="false">
      <c r="A80" s="0" t="s">
        <v>271</v>
      </c>
      <c r="B80" s="3" t="s">
        <v>272</v>
      </c>
      <c r="C80" s="0" t="s">
        <v>45</v>
      </c>
      <c r="D80" s="6" t="n">
        <v>0</v>
      </c>
      <c r="E80" s="6" t="n">
        <v>0.05</v>
      </c>
      <c r="F80" s="6" t="n">
        <v>0.1</v>
      </c>
      <c r="G80" s="7" t="s">
        <v>146</v>
      </c>
      <c r="H80" s="7" t="s">
        <v>273</v>
      </c>
      <c r="I80" s="3" t="s">
        <v>274</v>
      </c>
    </row>
    <row r="81" customFormat="false" ht="17.15" hidden="false" customHeight="false" outlineLevel="0" collapsed="false">
      <c r="A81" s="0" t="s">
        <v>275</v>
      </c>
      <c r="B81" s="0" t="s">
        <v>276</v>
      </c>
      <c r="C81" s="0" t="s">
        <v>45</v>
      </c>
      <c r="D81" s="6" t="n">
        <v>0</v>
      </c>
      <c r="E81" s="6" t="n">
        <v>0.05</v>
      </c>
      <c r="F81" s="6" t="n">
        <v>0.1</v>
      </c>
      <c r="G81" s="7" t="s">
        <v>146</v>
      </c>
      <c r="H81" s="3" t="s">
        <v>277</v>
      </c>
      <c r="I81" s="3" t="s">
        <v>278</v>
      </c>
    </row>
    <row r="82" customFormat="false" ht="17.15" hidden="false" customHeight="false" outlineLevel="0" collapsed="false">
      <c r="A82" s="0" t="s">
        <v>279</v>
      </c>
      <c r="B82" s="0" t="s">
        <v>280</v>
      </c>
      <c r="C82" s="0" t="s">
        <v>45</v>
      </c>
      <c r="D82" s="6" t="n">
        <v>0.1</v>
      </c>
      <c r="E82" s="6" t="n">
        <v>0.2</v>
      </c>
      <c r="F82" s="6" t="n">
        <v>0.3</v>
      </c>
      <c r="G82" s="7" t="s">
        <v>146</v>
      </c>
      <c r="H82" s="3" t="s">
        <v>281</v>
      </c>
      <c r="I82" s="7" t="s">
        <v>282</v>
      </c>
    </row>
    <row r="83" customFormat="false" ht="17.15" hidden="false" customHeight="false" outlineLevel="0" collapsed="false">
      <c r="A83" s="0" t="s">
        <v>283</v>
      </c>
      <c r="B83" s="0" t="s">
        <v>284</v>
      </c>
      <c r="C83" s="0" t="s">
        <v>45</v>
      </c>
      <c r="D83" s="6" t="n">
        <v>0.05</v>
      </c>
      <c r="E83" s="6" t="n">
        <v>0.15</v>
      </c>
      <c r="F83" s="6" t="n">
        <v>0.25</v>
      </c>
      <c r="G83" s="7" t="s">
        <v>146</v>
      </c>
      <c r="H83" s="3" t="s">
        <v>47</v>
      </c>
      <c r="I83" s="7" t="s">
        <v>226</v>
      </c>
    </row>
    <row r="84" customFormat="false" ht="17.15" hidden="false" customHeight="false" outlineLevel="0" collapsed="false">
      <c r="A84" s="0" t="s">
        <v>285</v>
      </c>
      <c r="B84" s="0" t="s">
        <v>286</v>
      </c>
      <c r="C84" s="0" t="s">
        <v>45</v>
      </c>
      <c r="D84" s="6" t="n">
        <v>0</v>
      </c>
      <c r="E84" s="6" t="n">
        <v>0.1</v>
      </c>
      <c r="F84" s="6" t="n">
        <v>0.2</v>
      </c>
      <c r="G84" s="7" t="s">
        <v>146</v>
      </c>
      <c r="H84" s="3" t="s">
        <v>47</v>
      </c>
      <c r="I84" s="7" t="s">
        <v>226</v>
      </c>
    </row>
    <row r="85" customFormat="false" ht="17.15" hidden="false" customHeight="false" outlineLevel="0" collapsed="false">
      <c r="A85" s="0" t="s">
        <v>287</v>
      </c>
      <c r="B85" s="3" t="s">
        <v>288</v>
      </c>
      <c r="C85" s="0" t="s">
        <v>45</v>
      </c>
      <c r="D85" s="6" t="n">
        <v>-0.03</v>
      </c>
      <c r="E85" s="6" t="n">
        <v>0.02</v>
      </c>
      <c r="F85" s="6" t="n">
        <v>0.05</v>
      </c>
      <c r="G85" s="7" t="s">
        <v>146</v>
      </c>
      <c r="H85" s="3" t="s">
        <v>289</v>
      </c>
      <c r="I85" s="7" t="s">
        <v>226</v>
      </c>
    </row>
    <row r="86" customFormat="false" ht="17.15" hidden="false" customHeight="false" outlineLevel="0" collapsed="false">
      <c r="A86" s="0" t="s">
        <v>290</v>
      </c>
      <c r="B86" s="3" t="s">
        <v>291</v>
      </c>
      <c r="C86" s="0" t="s">
        <v>45</v>
      </c>
      <c r="D86" s="6" t="n">
        <v>-0.05</v>
      </c>
      <c r="E86" s="6" t="n">
        <v>0</v>
      </c>
      <c r="F86" s="6" t="n">
        <v>0.03</v>
      </c>
      <c r="G86" s="7" t="s">
        <v>146</v>
      </c>
      <c r="H86" s="3" t="s">
        <v>292</v>
      </c>
      <c r="I86" s="7" t="s">
        <v>226</v>
      </c>
    </row>
    <row r="87" customFormat="false" ht="17.15" hidden="false" customHeight="false" outlineLevel="0" collapsed="false">
      <c r="A87" s="5" t="s">
        <v>293</v>
      </c>
    </row>
    <row r="88" customFormat="false" ht="17.15" hidden="false" customHeight="false" outlineLevel="0" collapsed="false">
      <c r="A88" s="0" t="s">
        <v>294</v>
      </c>
      <c r="B88" s="0" t="s">
        <v>295</v>
      </c>
      <c r="C88" s="0" t="s">
        <v>45</v>
      </c>
      <c r="D88" s="6" t="n">
        <v>0.4</v>
      </c>
      <c r="E88" s="6" t="n">
        <v>0.5</v>
      </c>
      <c r="F88" s="6" t="n">
        <v>0.6</v>
      </c>
      <c r="G88" s="7" t="s">
        <v>146</v>
      </c>
      <c r="H88" s="7" t="s">
        <v>296</v>
      </c>
      <c r="I88" s="3" t="s">
        <v>297</v>
      </c>
    </row>
    <row r="89" customFormat="false" ht="17.15" hidden="false" customHeight="false" outlineLevel="0" collapsed="false">
      <c r="A89" s="0" t="s">
        <v>298</v>
      </c>
      <c r="B89" s="3" t="s">
        <v>299</v>
      </c>
      <c r="C89" s="0" t="s">
        <v>45</v>
      </c>
      <c r="D89" s="6" t="n">
        <v>0.15</v>
      </c>
      <c r="E89" s="6" t="n">
        <v>0.25</v>
      </c>
      <c r="F89" s="6" t="n">
        <v>0.35</v>
      </c>
      <c r="G89" s="7" t="s">
        <v>146</v>
      </c>
      <c r="H89" s="7" t="s">
        <v>300</v>
      </c>
      <c r="I89" s="7" t="s">
        <v>226</v>
      </c>
    </row>
    <row r="90" customFormat="false" ht="17.15" hidden="false" customHeight="false" outlineLevel="0" collapsed="false">
      <c r="A90" s="0" t="s">
        <v>301</v>
      </c>
      <c r="B90" s="3" t="s">
        <v>302</v>
      </c>
      <c r="C90" s="0" t="s">
        <v>303</v>
      </c>
      <c r="E90" s="6" t="n">
        <v>55</v>
      </c>
      <c r="G90" s="7" t="s">
        <v>146</v>
      </c>
      <c r="H90" s="3" t="s">
        <v>304</v>
      </c>
      <c r="I90" s="7" t="s">
        <v>305</v>
      </c>
    </row>
    <row r="91" customFormat="false" ht="17.15" hidden="false" customHeight="false" outlineLevel="0" collapsed="false">
      <c r="A91" s="0" t="s">
        <v>306</v>
      </c>
      <c r="B91" s="3" t="s">
        <v>307</v>
      </c>
      <c r="C91" s="0" t="s">
        <v>303</v>
      </c>
      <c r="E91" s="6" t="n">
        <v>50</v>
      </c>
      <c r="G91" s="7" t="s">
        <v>146</v>
      </c>
      <c r="H91" s="3" t="s">
        <v>47</v>
      </c>
      <c r="I91" s="7" t="s">
        <v>226</v>
      </c>
    </row>
    <row r="92" customFormat="false" ht="17.15" hidden="false" customHeight="false" outlineLevel="0" collapsed="false">
      <c r="A92" s="0" t="s">
        <v>308</v>
      </c>
      <c r="B92" s="3" t="s">
        <v>309</v>
      </c>
      <c r="C92" s="0" t="s">
        <v>303</v>
      </c>
      <c r="E92" s="6" t="n">
        <v>45</v>
      </c>
      <c r="G92" s="7" t="s">
        <v>146</v>
      </c>
      <c r="H92" s="3" t="s">
        <v>47</v>
      </c>
      <c r="I92" s="7" t="s">
        <v>226</v>
      </c>
    </row>
    <row r="93" customFormat="false" ht="17.15" hidden="false" customHeight="false" outlineLevel="0" collapsed="false">
      <c r="A93" s="0" t="s">
        <v>310</v>
      </c>
      <c r="B93" s="3" t="s">
        <v>311</v>
      </c>
      <c r="C93" s="0" t="s">
        <v>303</v>
      </c>
      <c r="E93" s="6" t="n">
        <v>48</v>
      </c>
      <c r="G93" s="7" t="s">
        <v>146</v>
      </c>
      <c r="H93" s="3" t="s">
        <v>47</v>
      </c>
      <c r="I93" s="7" t="s">
        <v>226</v>
      </c>
    </row>
    <row r="94" customFormat="false" ht="17.15" hidden="false" customHeight="false" outlineLevel="0" collapsed="false">
      <c r="A94" s="0" t="s">
        <v>312</v>
      </c>
      <c r="B94" s="3" t="s">
        <v>313</v>
      </c>
      <c r="C94" s="0" t="s">
        <v>303</v>
      </c>
      <c r="E94" s="6" t="n">
        <v>42</v>
      </c>
      <c r="G94" s="7" t="s">
        <v>146</v>
      </c>
      <c r="H94" s="3" t="s">
        <v>47</v>
      </c>
      <c r="I94" s="7" t="s">
        <v>226</v>
      </c>
    </row>
    <row r="95" customFormat="false" ht="17.15" hidden="false" customHeight="false" outlineLevel="0" collapsed="false">
      <c r="A95" s="0" t="s">
        <v>314</v>
      </c>
      <c r="B95" s="3" t="s">
        <v>315</v>
      </c>
      <c r="C95" s="0" t="s">
        <v>303</v>
      </c>
      <c r="E95" s="6" t="n">
        <v>38</v>
      </c>
      <c r="G95" s="7" t="s">
        <v>146</v>
      </c>
      <c r="H95" s="3" t="s">
        <v>47</v>
      </c>
      <c r="I95" s="7" t="s">
        <v>226</v>
      </c>
    </row>
    <row r="96" customFormat="false" ht="17.15" hidden="false" customHeight="false" outlineLevel="0" collapsed="false">
      <c r="A96" s="0" t="s">
        <v>316</v>
      </c>
      <c r="B96" s="3" t="s">
        <v>317</v>
      </c>
      <c r="C96" s="0" t="s">
        <v>303</v>
      </c>
      <c r="E96" s="6" t="n">
        <v>40</v>
      </c>
      <c r="G96" s="7" t="s">
        <v>146</v>
      </c>
      <c r="H96" s="3" t="s">
        <v>47</v>
      </c>
      <c r="I96" s="7" t="s">
        <v>226</v>
      </c>
    </row>
    <row r="97" customFormat="false" ht="17.15" hidden="false" customHeight="false" outlineLevel="0" collapsed="false">
      <c r="A97" s="0" t="s">
        <v>318</v>
      </c>
      <c r="B97" s="3" t="s">
        <v>319</v>
      </c>
      <c r="C97" s="0" t="s">
        <v>303</v>
      </c>
      <c r="E97" s="6" t="n">
        <v>30</v>
      </c>
      <c r="G97" s="7" t="s">
        <v>146</v>
      </c>
      <c r="H97" s="3" t="s">
        <v>47</v>
      </c>
      <c r="I97" s="7" t="s">
        <v>226</v>
      </c>
    </row>
    <row r="98" customFormat="false" ht="17.15" hidden="false" customHeight="false" outlineLevel="0" collapsed="false">
      <c r="A98" s="0" t="s">
        <v>320</v>
      </c>
      <c r="B98" s="3" t="s">
        <v>321</v>
      </c>
      <c r="C98" s="0" t="s">
        <v>303</v>
      </c>
      <c r="E98" s="6" t="n">
        <v>28</v>
      </c>
      <c r="G98" s="7" t="s">
        <v>146</v>
      </c>
      <c r="H98" s="3" t="s">
        <v>47</v>
      </c>
      <c r="I98" s="7" t="s">
        <v>226</v>
      </c>
    </row>
    <row r="99" customFormat="false" ht="17.15" hidden="false" customHeight="false" outlineLevel="0" collapsed="false">
      <c r="A99" s="0" t="s">
        <v>322</v>
      </c>
      <c r="B99" s="0" t="s">
        <v>323</v>
      </c>
      <c r="C99" s="0" t="s">
        <v>303</v>
      </c>
      <c r="E99" s="6" t="n">
        <v>53.7</v>
      </c>
      <c r="G99" s="7" t="s">
        <v>197</v>
      </c>
      <c r="H99" s="3" t="s">
        <v>324</v>
      </c>
      <c r="I99" s="3" t="s">
        <v>325</v>
      </c>
    </row>
    <row r="100" customFormat="false" ht="17.15" hidden="false" customHeight="false" outlineLevel="0" collapsed="false">
      <c r="A100" s="0" t="s">
        <v>326</v>
      </c>
      <c r="B100" s="0" t="s">
        <v>327</v>
      </c>
      <c r="C100" s="0" t="s">
        <v>303</v>
      </c>
      <c r="E100" s="6" t="n">
        <v>20.8</v>
      </c>
      <c r="G100" s="7" t="s">
        <v>197</v>
      </c>
      <c r="H100" s="3" t="s">
        <v>328</v>
      </c>
      <c r="I100" s="3" t="s">
        <v>329</v>
      </c>
    </row>
    <row r="101" customFormat="false" ht="17.15" hidden="false" customHeight="false" outlineLevel="0" collapsed="false">
      <c r="A101" s="0" t="s">
        <v>330</v>
      </c>
      <c r="B101" s="3" t="s">
        <v>331</v>
      </c>
      <c r="C101" s="3" t="s">
        <v>332</v>
      </c>
      <c r="D101" s="6" t="n">
        <v>6</v>
      </c>
      <c r="E101" s="6" t="n">
        <v>8</v>
      </c>
      <c r="F101" s="6" t="n">
        <v>10</v>
      </c>
      <c r="G101" s="7" t="s">
        <v>146</v>
      </c>
      <c r="H101" s="3" t="s">
        <v>333</v>
      </c>
      <c r="I101" s="3" t="s">
        <v>334</v>
      </c>
    </row>
    <row r="102" customFormat="false" ht="17.15" hidden="false" customHeight="false" outlineLevel="0" collapsed="false">
      <c r="A102" s="0" t="s">
        <v>335</v>
      </c>
      <c r="B102" s="3" t="s">
        <v>336</v>
      </c>
      <c r="C102" s="0" t="s">
        <v>145</v>
      </c>
      <c r="D102" s="6" t="n">
        <v>0.3</v>
      </c>
      <c r="E102" s="6" t="n">
        <v>0.6</v>
      </c>
      <c r="F102" s="6" t="n">
        <v>1</v>
      </c>
      <c r="G102" s="7" t="s">
        <v>146</v>
      </c>
      <c r="H102" s="7" t="s">
        <v>337</v>
      </c>
      <c r="I102" s="7" t="s">
        <v>226</v>
      </c>
    </row>
    <row r="103" customFormat="false" ht="17.15" hidden="false" customHeight="false" outlineLevel="0" collapsed="false">
      <c r="A103" s="0" t="s">
        <v>338</v>
      </c>
      <c r="B103" s="3" t="s">
        <v>339</v>
      </c>
      <c r="C103" s="0" t="s">
        <v>303</v>
      </c>
      <c r="D103" s="6" t="n">
        <v>0</v>
      </c>
      <c r="E103" s="6" t="n">
        <v>2</v>
      </c>
      <c r="F103" s="6" t="n">
        <v>4</v>
      </c>
      <c r="G103" s="7" t="s">
        <v>146</v>
      </c>
      <c r="H103" s="7" t="s">
        <v>340</v>
      </c>
      <c r="I103" s="3" t="s">
        <v>341</v>
      </c>
    </row>
    <row r="104" customFormat="false" ht="17.15" hidden="false" customHeight="false" outlineLevel="0" collapsed="false">
      <c r="A104" s="0" t="s">
        <v>342</v>
      </c>
      <c r="B104" s="3" t="s">
        <v>343</v>
      </c>
      <c r="C104" s="0" t="s">
        <v>303</v>
      </c>
      <c r="D104" s="6" t="n">
        <v>0</v>
      </c>
      <c r="E104" s="6" t="n">
        <v>2</v>
      </c>
      <c r="F104" s="6" t="n">
        <v>4</v>
      </c>
      <c r="G104" s="7" t="s">
        <v>146</v>
      </c>
      <c r="H104" s="3" t="s">
        <v>47</v>
      </c>
      <c r="I104" s="7" t="s">
        <v>226</v>
      </c>
    </row>
    <row r="105" customFormat="false" ht="17.15" hidden="false" customHeight="false" outlineLevel="0" collapsed="false">
      <c r="A105" s="0" t="s">
        <v>344</v>
      </c>
      <c r="B105" s="3" t="s">
        <v>345</v>
      </c>
      <c r="C105" s="0" t="s">
        <v>303</v>
      </c>
      <c r="D105" s="6" t="n">
        <v>0</v>
      </c>
      <c r="E105" s="6" t="n">
        <v>2</v>
      </c>
      <c r="F105" s="6" t="n">
        <v>4</v>
      </c>
      <c r="G105" s="7" t="s">
        <v>146</v>
      </c>
      <c r="H105" s="3" t="s">
        <v>47</v>
      </c>
      <c r="I105" s="7" t="s">
        <v>226</v>
      </c>
    </row>
    <row r="106" customFormat="false" ht="17.15" hidden="false" customHeight="false" outlineLevel="0" collapsed="false">
      <c r="A106" s="0" t="s">
        <v>346</v>
      </c>
      <c r="B106" s="3" t="s">
        <v>347</v>
      </c>
      <c r="C106" s="0" t="s">
        <v>45</v>
      </c>
      <c r="D106" s="6" t="n">
        <v>0.15</v>
      </c>
      <c r="E106" s="6" t="n">
        <v>0.18</v>
      </c>
      <c r="F106" s="6" t="n">
        <v>0.22</v>
      </c>
      <c r="G106" s="7" t="s">
        <v>34</v>
      </c>
      <c r="H106" s="7" t="s">
        <v>348</v>
      </c>
      <c r="I106" s="7" t="s">
        <v>349</v>
      </c>
    </row>
    <row r="107" customFormat="false" ht="17.15" hidden="false" customHeight="false" outlineLevel="0" collapsed="false">
      <c r="A107" s="0" t="s">
        <v>350</v>
      </c>
      <c r="B107" s="3" t="s">
        <v>351</v>
      </c>
      <c r="C107" s="0" t="s">
        <v>45</v>
      </c>
      <c r="D107" s="6" t="n">
        <v>0</v>
      </c>
      <c r="E107" s="6" t="n">
        <v>0</v>
      </c>
      <c r="F107" s="6" t="n">
        <v>0.01</v>
      </c>
      <c r="G107" s="7" t="s">
        <v>146</v>
      </c>
      <c r="H107" s="3" t="s">
        <v>352</v>
      </c>
      <c r="I107" s="7" t="s">
        <v>226</v>
      </c>
    </row>
    <row r="108" customFormat="false" ht="17.15" hidden="false" customHeight="false" outlineLevel="0" collapsed="false">
      <c r="A108" s="5" t="s">
        <v>353</v>
      </c>
    </row>
    <row r="109" customFormat="false" ht="17.15" hidden="false" customHeight="false" outlineLevel="0" collapsed="false">
      <c r="A109" s="0" t="s">
        <v>354</v>
      </c>
      <c r="B109" s="0" t="s">
        <v>355</v>
      </c>
      <c r="C109" s="0" t="s">
        <v>303</v>
      </c>
      <c r="E109" s="6" t="n">
        <v>52.65</v>
      </c>
      <c r="G109" s="7" t="s">
        <v>356</v>
      </c>
      <c r="H109" s="7" t="s">
        <v>357</v>
      </c>
      <c r="I109" s="3" t="s">
        <v>358</v>
      </c>
    </row>
    <row r="110" customFormat="false" ht="17.15" hidden="false" customHeight="false" outlineLevel="0" collapsed="false">
      <c r="A110" s="0" t="s">
        <v>359</v>
      </c>
      <c r="B110" s="0" t="s">
        <v>360</v>
      </c>
      <c r="C110" s="0" t="s">
        <v>45</v>
      </c>
      <c r="D110" s="6" t="n">
        <v>0.255</v>
      </c>
      <c r="E110" s="6" t="n">
        <v>0.27</v>
      </c>
      <c r="F110" s="6" t="n">
        <v>0.285</v>
      </c>
      <c r="G110" s="7" t="s">
        <v>146</v>
      </c>
      <c r="H110" s="3" t="s">
        <v>361</v>
      </c>
      <c r="I110" s="3" t="s">
        <v>362</v>
      </c>
    </row>
    <row r="111" customFormat="false" ht="17.15" hidden="false" customHeight="false" outlineLevel="0" collapsed="false">
      <c r="A111" s="0" t="s">
        <v>363</v>
      </c>
      <c r="B111" s="0" t="s">
        <v>364</v>
      </c>
      <c r="C111" s="0" t="s">
        <v>303</v>
      </c>
      <c r="D111" s="6" t="n">
        <v>4</v>
      </c>
      <c r="E111" s="6" t="n">
        <v>4.3</v>
      </c>
      <c r="F111" s="6" t="n">
        <v>4.6</v>
      </c>
      <c r="G111" s="7" t="s">
        <v>146</v>
      </c>
      <c r="H111" s="7" t="s">
        <v>365</v>
      </c>
      <c r="I111" s="7" t="s">
        <v>226</v>
      </c>
    </row>
    <row r="112" customFormat="false" ht="17.15" hidden="false" customHeight="false" outlineLevel="0" collapsed="false">
      <c r="A112" s="0" t="s">
        <v>366</v>
      </c>
      <c r="B112" s="0" t="s">
        <v>367</v>
      </c>
      <c r="C112" s="0" t="s">
        <v>45</v>
      </c>
      <c r="D112" s="6" t="n">
        <v>0</v>
      </c>
      <c r="E112" s="6" t="n">
        <v>0.05</v>
      </c>
      <c r="F112" s="6" t="n">
        <v>0.1</v>
      </c>
      <c r="G112" s="7" t="s">
        <v>146</v>
      </c>
      <c r="H112" s="3" t="s">
        <v>368</v>
      </c>
      <c r="I112" s="3" t="s">
        <v>369</v>
      </c>
    </row>
    <row r="113" customFormat="false" ht="17.15" hidden="false" customHeight="false" outlineLevel="0" collapsed="false">
      <c r="A113" s="0" t="s">
        <v>370</v>
      </c>
      <c r="B113" s="0" t="s">
        <v>371</v>
      </c>
      <c r="C113" s="0" t="s">
        <v>45</v>
      </c>
      <c r="D113" s="6" t="n">
        <v>0.265</v>
      </c>
      <c r="E113" s="6" t="n">
        <v>0.285</v>
      </c>
      <c r="F113" s="6" t="n">
        <v>0.305</v>
      </c>
      <c r="G113" s="7" t="s">
        <v>146</v>
      </c>
      <c r="H113" s="3" t="s">
        <v>372</v>
      </c>
      <c r="I113" s="7" t="s">
        <v>226</v>
      </c>
    </row>
    <row r="114" customFormat="false" ht="17.15" hidden="false" customHeight="false" outlineLevel="0" collapsed="false">
      <c r="A114" s="0" t="s">
        <v>373</v>
      </c>
      <c r="B114" s="0" t="s">
        <v>374</v>
      </c>
      <c r="C114" s="0" t="s">
        <v>303</v>
      </c>
      <c r="D114" s="6" t="n">
        <v>4.1</v>
      </c>
      <c r="E114" s="6" t="n">
        <v>4.4</v>
      </c>
      <c r="F114" s="6" t="n">
        <v>4.8</v>
      </c>
      <c r="G114" s="7" t="s">
        <v>146</v>
      </c>
      <c r="H114" s="3" t="s">
        <v>47</v>
      </c>
      <c r="I114" s="7" t="s">
        <v>226</v>
      </c>
    </row>
    <row r="115" customFormat="false" ht="17.15" hidden="false" customHeight="false" outlineLevel="0" collapsed="false">
      <c r="A115" s="0" t="s">
        <v>375</v>
      </c>
      <c r="B115" s="0" t="s">
        <v>376</v>
      </c>
      <c r="C115" s="0" t="s">
        <v>303</v>
      </c>
      <c r="D115" s="6" t="n">
        <v>0</v>
      </c>
      <c r="E115" s="6" t="n">
        <v>1</v>
      </c>
      <c r="F115" s="6" t="n">
        <v>3</v>
      </c>
      <c r="G115" s="7" t="s">
        <v>146</v>
      </c>
      <c r="H115" s="7" t="s">
        <v>377</v>
      </c>
      <c r="I115" s="7" t="s">
        <v>378</v>
      </c>
    </row>
    <row r="116" customFormat="false" ht="17.15" hidden="false" customHeight="false" outlineLevel="0" collapsed="false">
      <c r="A116" s="0" t="s">
        <v>379</v>
      </c>
      <c r="B116" s="0" t="s">
        <v>380</v>
      </c>
      <c r="C116" s="3" t="s">
        <v>381</v>
      </c>
      <c r="E116" s="6" t="n">
        <v>1.64</v>
      </c>
      <c r="G116" s="7" t="s">
        <v>197</v>
      </c>
      <c r="H116" s="7" t="s">
        <v>382</v>
      </c>
      <c r="I116" s="3" t="s">
        <v>383</v>
      </c>
    </row>
    <row r="117" customFormat="false" ht="17.15" hidden="false" customHeight="false" outlineLevel="0" collapsed="false">
      <c r="A117" s="5" t="s">
        <v>384</v>
      </c>
    </row>
    <row r="118" customFormat="false" ht="17.15" hidden="false" customHeight="false" outlineLevel="0" collapsed="false">
      <c r="A118" s="0" t="s">
        <v>385</v>
      </c>
      <c r="B118" s="3" t="s">
        <v>386</v>
      </c>
      <c r="C118" s="0" t="s">
        <v>387</v>
      </c>
      <c r="D118" s="6" t="n">
        <v>10.5</v>
      </c>
      <c r="E118" s="6" t="n">
        <v>15.17</v>
      </c>
      <c r="F118" s="6" t="n">
        <v>18.55</v>
      </c>
      <c r="G118" s="7" t="s">
        <v>197</v>
      </c>
      <c r="H118" s="3" t="s">
        <v>388</v>
      </c>
      <c r="I118" s="7" t="s">
        <v>389</v>
      </c>
    </row>
    <row r="119" customFormat="false" ht="17.15" hidden="false" customHeight="false" outlineLevel="0" collapsed="false">
      <c r="A119" s="0" t="s">
        <v>390</v>
      </c>
      <c r="B119" s="3" t="s">
        <v>391</v>
      </c>
      <c r="C119" s="0" t="s">
        <v>387</v>
      </c>
      <c r="D119" s="6" t="n">
        <v>21.27</v>
      </c>
      <c r="E119" s="6" t="n">
        <v>30.37</v>
      </c>
      <c r="F119" s="6" t="n">
        <v>41.37</v>
      </c>
      <c r="G119" s="7" t="s">
        <v>197</v>
      </c>
      <c r="H119" s="3" t="s">
        <v>388</v>
      </c>
      <c r="I119" s="3" t="s">
        <v>392</v>
      </c>
    </row>
    <row r="120" customFormat="false" ht="17.15" hidden="false" customHeight="false" outlineLevel="0" collapsed="false">
      <c r="A120" s="0" t="s">
        <v>393</v>
      </c>
      <c r="B120" s="3" t="s">
        <v>394</v>
      </c>
      <c r="C120" s="0" t="s">
        <v>387</v>
      </c>
      <c r="D120" s="6" t="n">
        <v>36.59</v>
      </c>
      <c r="E120" s="6" t="n">
        <v>48.52</v>
      </c>
      <c r="F120" s="6" t="n">
        <v>60.83</v>
      </c>
      <c r="G120" s="7" t="s">
        <v>197</v>
      </c>
      <c r="H120" s="3" t="s">
        <v>388</v>
      </c>
      <c r="I120" s="3" t="s">
        <v>395</v>
      </c>
    </row>
    <row r="121" customFormat="false" ht="17.15" hidden="false" customHeight="false" outlineLevel="0" collapsed="false">
      <c r="A121" s="0" t="s">
        <v>396</v>
      </c>
      <c r="B121" s="3" t="s">
        <v>397</v>
      </c>
      <c r="C121" s="0" t="s">
        <v>303</v>
      </c>
      <c r="D121" s="6" t="n">
        <v>193.5</v>
      </c>
      <c r="E121" s="6" t="n">
        <v>255.2</v>
      </c>
      <c r="F121" s="6" t="n">
        <v>320.2</v>
      </c>
      <c r="G121" s="7" t="s">
        <v>197</v>
      </c>
      <c r="H121" s="3" t="s">
        <v>388</v>
      </c>
      <c r="I121" s="7" t="s">
        <v>226</v>
      </c>
    </row>
    <row r="122" customFormat="false" ht="17.15" hidden="false" customHeight="false" outlineLevel="0" collapsed="false">
      <c r="A122" s="0" t="s">
        <v>398</v>
      </c>
      <c r="B122" s="3" t="s">
        <v>399</v>
      </c>
      <c r="C122" s="0" t="s">
        <v>303</v>
      </c>
      <c r="D122" s="6" t="n">
        <v>259.7</v>
      </c>
      <c r="E122" s="6" t="n">
        <v>326.5</v>
      </c>
      <c r="F122" s="6" t="n">
        <v>402.5</v>
      </c>
      <c r="G122" s="7" t="s">
        <v>197</v>
      </c>
      <c r="H122" s="3" t="s">
        <v>388</v>
      </c>
      <c r="I122" s="7" t="s">
        <v>226</v>
      </c>
    </row>
    <row r="123" customFormat="false" ht="17.15" hidden="false" customHeight="false" outlineLevel="0" collapsed="false">
      <c r="A123" s="0" t="s">
        <v>400</v>
      </c>
      <c r="B123" s="3" t="s">
        <v>401</v>
      </c>
      <c r="C123" s="0" t="s">
        <v>387</v>
      </c>
      <c r="D123" s="6" t="n">
        <v>37</v>
      </c>
      <c r="E123" s="6" t="n">
        <v>39.05</v>
      </c>
      <c r="F123" s="6" t="n">
        <v>41.1</v>
      </c>
      <c r="G123" s="7" t="s">
        <v>197</v>
      </c>
      <c r="H123" s="3" t="s">
        <v>402</v>
      </c>
      <c r="I123" s="3" t="s">
        <v>403</v>
      </c>
    </row>
    <row r="124" customFormat="false" ht="17.15" hidden="false" customHeight="false" outlineLevel="0" collapsed="false">
      <c r="A124" s="5" t="s">
        <v>404</v>
      </c>
    </row>
    <row r="125" customFormat="false" ht="17.15" hidden="false" customHeight="false" outlineLevel="0" collapsed="false">
      <c r="A125" s="0" t="s">
        <v>405</v>
      </c>
      <c r="B125" s="3" t="s">
        <v>406</v>
      </c>
      <c r="C125" s="0" t="s">
        <v>387</v>
      </c>
      <c r="E125" s="6" t="n">
        <v>1085</v>
      </c>
      <c r="G125" s="7" t="s">
        <v>197</v>
      </c>
      <c r="H125" s="7" t="s">
        <v>407</v>
      </c>
      <c r="I125" s="7" t="s">
        <v>408</v>
      </c>
    </row>
    <row r="126" customFormat="false" ht="17.15" hidden="false" customHeight="false" outlineLevel="0" collapsed="false">
      <c r="A126" s="0" t="s">
        <v>409</v>
      </c>
      <c r="B126" s="3" t="s">
        <v>410</v>
      </c>
      <c r="C126" s="0" t="s">
        <v>145</v>
      </c>
      <c r="E126" s="6" t="n">
        <v>42.28</v>
      </c>
      <c r="G126" s="7" t="s">
        <v>197</v>
      </c>
      <c r="H126" s="7" t="s">
        <v>411</v>
      </c>
      <c r="I126" s="3" t="s">
        <v>412</v>
      </c>
    </row>
    <row r="127" customFormat="false" ht="17.15" hidden="false" customHeight="false" outlineLevel="0" collapsed="false">
      <c r="A127" s="0" t="s">
        <v>413</v>
      </c>
      <c r="B127" s="3" t="s">
        <v>414</v>
      </c>
      <c r="C127" s="0" t="s">
        <v>145</v>
      </c>
      <c r="E127" s="6" t="n">
        <v>70.74</v>
      </c>
      <c r="G127" s="7" t="s">
        <v>197</v>
      </c>
      <c r="H127" s="7" t="s">
        <v>411</v>
      </c>
      <c r="I127" s="7" t="s">
        <v>415</v>
      </c>
    </row>
    <row r="128" customFormat="false" ht="17.15" hidden="false" customHeight="false" outlineLevel="0" collapsed="false">
      <c r="A128" s="0" t="s">
        <v>416</v>
      </c>
      <c r="B128" s="3" t="s">
        <v>417</v>
      </c>
      <c r="C128" s="0" t="s">
        <v>387</v>
      </c>
      <c r="E128" s="0" t="n">
        <f aca="false">px/fpe</f>
        <v>25.6622516556291</v>
      </c>
      <c r="G128" s="0" t="s">
        <v>34</v>
      </c>
      <c r="H128" s="0" t="s">
        <v>411</v>
      </c>
      <c r="I128" s="3" t="s">
        <v>418</v>
      </c>
    </row>
    <row r="129" customFormat="false" ht="17.15" hidden="false" customHeight="false" outlineLevel="0" collapsed="false">
      <c r="A129" s="0" t="s">
        <v>419</v>
      </c>
      <c r="B129" s="3" t="s">
        <v>420</v>
      </c>
      <c r="C129" s="0" t="s">
        <v>387</v>
      </c>
      <c r="E129" s="6" t="n">
        <v>1317.37</v>
      </c>
      <c r="G129" s="7" t="s">
        <v>197</v>
      </c>
      <c r="H129" s="7" t="s">
        <v>421</v>
      </c>
      <c r="I129" s="3" t="s">
        <v>422</v>
      </c>
    </row>
    <row r="130" customFormat="false" ht="17.15" hidden="false" customHeight="false" outlineLevel="0" collapsed="false">
      <c r="A130" s="0" t="s">
        <v>423</v>
      </c>
      <c r="B130" s="3" t="s">
        <v>424</v>
      </c>
      <c r="C130" s="0" t="s">
        <v>425</v>
      </c>
      <c r="E130" s="6" t="n">
        <v>32</v>
      </c>
      <c r="G130" s="7" t="s">
        <v>146</v>
      </c>
      <c r="H130" s="7" t="s">
        <v>426</v>
      </c>
      <c r="I130" s="3" t="s">
        <v>427</v>
      </c>
    </row>
    <row r="131" customFormat="false" ht="17.15" hidden="false" customHeight="false" outlineLevel="0" collapsed="false">
      <c r="A131" s="0" t="s">
        <v>428</v>
      </c>
      <c r="B131" s="0" t="s">
        <v>429</v>
      </c>
      <c r="C131" s="0" t="s">
        <v>45</v>
      </c>
      <c r="E131" s="6" t="n">
        <v>0.27</v>
      </c>
      <c r="G131" s="7" t="s">
        <v>197</v>
      </c>
      <c r="H131" s="3" t="s">
        <v>430</v>
      </c>
      <c r="I131" s="7" t="s">
        <v>431</v>
      </c>
    </row>
    <row r="132" customFormat="false" ht="17.15" hidden="false" customHeight="false" outlineLevel="0" collapsed="false">
      <c r="A132" s="0" t="s">
        <v>432</v>
      </c>
      <c r="B132" s="3" t="s">
        <v>433</v>
      </c>
      <c r="C132" s="0" t="s">
        <v>45</v>
      </c>
      <c r="E132" s="0" t="n">
        <f aca="false">AVERAGE(13.222/104.563,29.619/140.489,11.98/104.036,5.082/115.373,6.673/131.241)</f>
        <v>0.109464849893187</v>
      </c>
      <c r="G132" s="0" t="s">
        <v>34</v>
      </c>
      <c r="H132" s="0" t="s">
        <v>434</v>
      </c>
      <c r="I132" s="3" t="s">
        <v>435</v>
      </c>
    </row>
    <row r="133" customFormat="false" ht="17.15" hidden="false" customHeight="false" outlineLevel="0" collapsed="false">
      <c r="A133" s="5" t="s">
        <v>436</v>
      </c>
    </row>
    <row r="134" customFormat="false" ht="17.15" hidden="false" customHeight="false" outlineLevel="0" collapsed="false">
      <c r="A134" s="8" t="s">
        <v>437</v>
      </c>
      <c r="B134" s="9" t="s">
        <v>438</v>
      </c>
      <c r="C134" s="8" t="s">
        <v>45</v>
      </c>
      <c r="D134" s="8"/>
      <c r="E134" s="10" t="n">
        <v>0.3</v>
      </c>
      <c r="F134" s="8"/>
      <c r="G134" s="8" t="s">
        <v>146</v>
      </c>
      <c r="H134" s="8" t="s">
        <v>439</v>
      </c>
      <c r="I134" s="9" t="s">
        <v>440</v>
      </c>
    </row>
    <row r="135" customFormat="false" ht="17.15" hidden="false" customHeight="false" outlineLevel="0" collapsed="false">
      <c r="A135" s="8" t="s">
        <v>441</v>
      </c>
      <c r="B135" s="9" t="s">
        <v>442</v>
      </c>
      <c r="C135" s="8" t="s">
        <v>45</v>
      </c>
      <c r="D135" s="8"/>
      <c r="E135" s="10" t="n">
        <v>0.5</v>
      </c>
      <c r="F135" s="8"/>
      <c r="G135" s="8" t="s">
        <v>146</v>
      </c>
      <c r="H135" s="8" t="s">
        <v>439</v>
      </c>
      <c r="I135" s="9" t="s">
        <v>440</v>
      </c>
    </row>
    <row r="136" customFormat="false" ht="17.15" hidden="false" customHeight="false" outlineLevel="0" collapsed="false">
      <c r="A136" s="8" t="s">
        <v>443</v>
      </c>
      <c r="B136" s="9" t="s">
        <v>444</v>
      </c>
      <c r="C136" s="8" t="s">
        <v>45</v>
      </c>
      <c r="D136" s="8"/>
      <c r="E136" s="10" t="n">
        <v>0.2</v>
      </c>
      <c r="F136" s="8"/>
      <c r="G136" s="8" t="s">
        <v>146</v>
      </c>
      <c r="H136" s="8" t="s">
        <v>439</v>
      </c>
      <c r="I136" s="9" t="s">
        <v>440</v>
      </c>
    </row>
    <row r="137" customFormat="false" ht="17.15" hidden="false" customHeight="false" outlineLevel="0" collapsed="false">
      <c r="A137" s="8" t="s">
        <v>445</v>
      </c>
      <c r="B137" s="9" t="s">
        <v>446</v>
      </c>
      <c r="C137" s="8" t="s">
        <v>45</v>
      </c>
      <c r="D137" s="8"/>
      <c r="E137" s="10" t="n">
        <v>0.1</v>
      </c>
      <c r="F137" s="8"/>
      <c r="G137" s="8" t="s">
        <v>146</v>
      </c>
      <c r="H137" s="8" t="s">
        <v>447</v>
      </c>
      <c r="I137" s="8" t="s">
        <v>226</v>
      </c>
    </row>
    <row r="138" customFormat="false" ht="17.15" hidden="false" customHeight="false" outlineLevel="0" collapsed="false">
      <c r="A138" s="8" t="s">
        <v>448</v>
      </c>
      <c r="B138" s="9" t="s">
        <v>449</v>
      </c>
      <c r="C138" s="8" t="s">
        <v>45</v>
      </c>
      <c r="D138" s="8"/>
      <c r="E138" s="10" t="n">
        <v>0.04</v>
      </c>
      <c r="F138" s="8"/>
      <c r="G138" s="8" t="s">
        <v>146</v>
      </c>
      <c r="H138" s="8" t="s">
        <v>450</v>
      </c>
      <c r="I138" s="9" t="s">
        <v>451</v>
      </c>
    </row>
    <row r="139" customFormat="false" ht="17.15" hidden="false" customHeight="false" outlineLevel="0" collapsed="false">
      <c r="A139" s="8" t="s">
        <v>452</v>
      </c>
      <c r="B139" s="8" t="s">
        <v>453</v>
      </c>
      <c r="C139" s="8" t="s">
        <v>45</v>
      </c>
      <c r="D139" s="8"/>
      <c r="E139" s="8" t="n">
        <f aca="false">AVERAGE(0.1294,0.0567,0.0731)</f>
        <v>0.0864</v>
      </c>
      <c r="F139" s="8"/>
      <c r="G139" s="8" t="s">
        <v>34</v>
      </c>
      <c r="H139" s="8" t="s">
        <v>454</v>
      </c>
      <c r="I139" s="9" t="s">
        <v>455</v>
      </c>
    </row>
    <row r="140" customFormat="false" ht="17.15" hidden="false" customHeight="false" outlineLevel="0" collapsed="false">
      <c r="A140" s="8" t="s">
        <v>456</v>
      </c>
      <c r="B140" s="9" t="s">
        <v>457</v>
      </c>
      <c r="C140" s="8" t="s">
        <v>45</v>
      </c>
      <c r="D140" s="8"/>
      <c r="E140" s="10" t="n">
        <v>0.5</v>
      </c>
      <c r="F140" s="8"/>
      <c r="G140" s="8" t="s">
        <v>146</v>
      </c>
      <c r="H140" s="8" t="s">
        <v>458</v>
      </c>
      <c r="I140" s="8" t="s">
        <v>226</v>
      </c>
    </row>
    <row r="141" customFormat="false" ht="17.15" hidden="false" customHeight="false" outlineLevel="0" collapsed="false">
      <c r="A141" s="8" t="s">
        <v>459</v>
      </c>
      <c r="B141" s="9" t="s">
        <v>460</v>
      </c>
      <c r="C141" s="8" t="s">
        <v>45</v>
      </c>
      <c r="D141" s="8"/>
      <c r="E141" s="8" t="n">
        <f aca="false">tp_g+0.02</f>
        <v>0.06</v>
      </c>
      <c r="F141" s="8"/>
      <c r="G141" s="8" t="s">
        <v>146</v>
      </c>
      <c r="H141" s="9" t="s">
        <v>461</v>
      </c>
      <c r="I141" s="8" t="s">
        <v>462</v>
      </c>
    </row>
    <row r="142" customFormat="false" ht="17.15" hidden="false" customHeight="false" outlineLevel="0" collapsed="false">
      <c r="A142" s="8" t="s">
        <v>463</v>
      </c>
      <c r="B142" s="9" t="s">
        <v>464</v>
      </c>
      <c r="C142" s="8" t="s">
        <v>45</v>
      </c>
      <c r="D142" s="8"/>
      <c r="E142" s="8" t="n">
        <f aca="false">tp_g</f>
        <v>0.04</v>
      </c>
      <c r="F142" s="8"/>
      <c r="G142" s="8" t="s">
        <v>146</v>
      </c>
      <c r="H142" s="9" t="s">
        <v>47</v>
      </c>
      <c r="I142" s="8" t="s">
        <v>226</v>
      </c>
    </row>
    <row r="143" customFormat="false" ht="17.15" hidden="false" customHeight="false" outlineLevel="0" collapsed="false">
      <c r="A143" s="8" t="s">
        <v>465</v>
      </c>
      <c r="B143" s="9" t="s">
        <v>466</v>
      </c>
      <c r="C143" s="8" t="s">
        <v>45</v>
      </c>
      <c r="D143" s="8"/>
      <c r="E143" s="8" t="n">
        <f aca="false">tp_g-0.02</f>
        <v>0.02</v>
      </c>
      <c r="F143" s="8"/>
      <c r="G143" s="8" t="s">
        <v>146</v>
      </c>
      <c r="H143" s="9" t="s">
        <v>47</v>
      </c>
      <c r="I143" s="8" t="s">
        <v>226</v>
      </c>
    </row>
    <row r="144" customFormat="false" ht="17.15" hidden="false" customHeight="false" outlineLevel="0" collapsed="false">
      <c r="A144" s="8" t="s">
        <v>467</v>
      </c>
      <c r="B144" s="9" t="s">
        <v>468</v>
      </c>
      <c r="C144" s="8" t="s">
        <v>45</v>
      </c>
      <c r="D144" s="8"/>
      <c r="E144" s="11" t="n">
        <f aca="false">PL!G14</f>
        <v>0.173404512367757</v>
      </c>
      <c r="F144" s="8"/>
      <c r="G144" s="8" t="s">
        <v>34</v>
      </c>
      <c r="H144" s="8" t="s">
        <v>469</v>
      </c>
      <c r="I144" s="8" t="s">
        <v>226</v>
      </c>
    </row>
    <row r="145" customFormat="false" ht="17.15" hidden="false" customHeight="false" outlineLevel="0" collapsed="false">
      <c r="A145" s="8" t="s">
        <v>470</v>
      </c>
      <c r="B145" s="9" t="s">
        <v>471</v>
      </c>
      <c r="C145" s="8" t="s">
        <v>45</v>
      </c>
      <c r="D145" s="8"/>
      <c r="E145" s="12" t="n">
        <f aca="false">(PL!G28+PL!G28*0.8)/2</f>
        <v>0.146432000712044</v>
      </c>
      <c r="F145" s="8"/>
      <c r="G145" s="8" t="s">
        <v>146</v>
      </c>
      <c r="H145" s="9" t="s">
        <v>472</v>
      </c>
      <c r="I145" s="9" t="s">
        <v>473</v>
      </c>
    </row>
    <row r="146" customFormat="false" ht="17.15" hidden="false" customHeight="false" outlineLevel="0" collapsed="false">
      <c r="A146" s="8" t="s">
        <v>474</v>
      </c>
      <c r="B146" s="9" t="s">
        <v>475</v>
      </c>
      <c r="C146" s="8" t="s">
        <v>45</v>
      </c>
      <c r="D146" s="8"/>
      <c r="E146" s="12" t="n">
        <f aca="false">PL!G42*0.8</f>
        <v>0.108490033079181</v>
      </c>
      <c r="F146" s="8"/>
      <c r="G146" s="8" t="s">
        <v>146</v>
      </c>
      <c r="H146" s="9" t="s">
        <v>476</v>
      </c>
      <c r="I146" s="8" t="s">
        <v>226</v>
      </c>
    </row>
    <row r="148" customFormat="false" ht="17.15" hidden="false" customHeight="false" outlineLevel="0" collapsed="false">
      <c r="A148" s="1" t="s">
        <v>477</v>
      </c>
    </row>
    <row r="149" customFormat="false" ht="17.15" hidden="false" customHeight="false" outlineLevel="0" collapsed="false">
      <c r="A149" s="1" t="s">
        <v>21</v>
      </c>
      <c r="B149" s="1" t="s">
        <v>22</v>
      </c>
      <c r="C149" s="1" t="s">
        <v>23</v>
      </c>
      <c r="D149" s="1" t="s">
        <v>478</v>
      </c>
      <c r="E149" s="1" t="s">
        <v>479</v>
      </c>
      <c r="F149" s="1" t="s">
        <v>480</v>
      </c>
      <c r="G149" s="1" t="s">
        <v>27</v>
      </c>
      <c r="H149" s="1" t="s">
        <v>481</v>
      </c>
    </row>
    <row r="150" customFormat="false" ht="17.15" hidden="false" customHeight="false" outlineLevel="0" collapsed="false">
      <c r="A150" s="0" t="s">
        <v>482</v>
      </c>
      <c r="B150" s="0" t="s">
        <v>483</v>
      </c>
      <c r="C150" s="0" t="s">
        <v>145</v>
      </c>
      <c r="D150" s="0" t="n">
        <f aca="false">E41</f>
        <v>1</v>
      </c>
      <c r="E150" s="0" t="n">
        <f aca="false">E43</f>
        <v>0.8</v>
      </c>
      <c r="F150" s="0" t="n">
        <f aca="false">E45</f>
        <v>0.6</v>
      </c>
      <c r="G150" s="0" t="s">
        <v>34</v>
      </c>
      <c r="H150" s="3" t="s">
        <v>484</v>
      </c>
    </row>
    <row r="151" customFormat="false" ht="17.15" hidden="false" customHeight="false" outlineLevel="0" collapsed="false">
      <c r="A151" s="0" t="s">
        <v>485</v>
      </c>
      <c r="B151" s="0" t="s">
        <v>486</v>
      </c>
      <c r="C151" s="0" t="s">
        <v>145</v>
      </c>
      <c r="D151" s="0" t="n">
        <f aca="false">E42</f>
        <v>1</v>
      </c>
      <c r="E151" s="0" t="n">
        <f aca="false">E44</f>
        <v>0.85</v>
      </c>
      <c r="F151" s="0" t="n">
        <f aca="false">E46</f>
        <v>0.6</v>
      </c>
      <c r="G151" s="0" t="s">
        <v>34</v>
      </c>
      <c r="H151" s="3" t="s">
        <v>487</v>
      </c>
    </row>
    <row r="152" customFormat="false" ht="17.15" hidden="false" customHeight="false" outlineLevel="0" collapsed="false">
      <c r="A152" s="0" t="s">
        <v>488</v>
      </c>
      <c r="B152" s="3" t="s">
        <v>489</v>
      </c>
      <c r="C152" s="0" t="s">
        <v>303</v>
      </c>
      <c r="D152" s="0" t="n">
        <f aca="false">E90</f>
        <v>55</v>
      </c>
      <c r="E152" s="0" t="n">
        <f aca="false">E93</f>
        <v>48</v>
      </c>
      <c r="F152" s="0" t="n">
        <f aca="false">E96</f>
        <v>40</v>
      </c>
      <c r="G152" s="0" t="s">
        <v>34</v>
      </c>
      <c r="H152" s="3" t="s">
        <v>490</v>
      </c>
    </row>
    <row r="153" customFormat="false" ht="17.15" hidden="false" customHeight="false" outlineLevel="0" collapsed="false">
      <c r="A153" s="0" t="s">
        <v>491</v>
      </c>
      <c r="B153" s="3" t="s">
        <v>492</v>
      </c>
      <c r="C153" s="0" t="s">
        <v>303</v>
      </c>
      <c r="D153" s="0" t="n">
        <f aca="false">E91</f>
        <v>50</v>
      </c>
      <c r="E153" s="0" t="n">
        <f aca="false">E94</f>
        <v>42</v>
      </c>
      <c r="F153" s="0" t="n">
        <f aca="false">E97</f>
        <v>30</v>
      </c>
      <c r="G153" s="0" t="s">
        <v>34</v>
      </c>
      <c r="H153" s="3" t="s">
        <v>493</v>
      </c>
    </row>
    <row r="154" customFormat="false" ht="17.15" hidden="false" customHeight="false" outlineLevel="0" collapsed="false">
      <c r="A154" s="0" t="s">
        <v>494</v>
      </c>
      <c r="B154" s="3" t="s">
        <v>495</v>
      </c>
      <c r="C154" s="0" t="s">
        <v>303</v>
      </c>
      <c r="D154" s="0" t="n">
        <f aca="false">E92</f>
        <v>45</v>
      </c>
      <c r="E154" s="0" t="n">
        <f aca="false">E95</f>
        <v>38</v>
      </c>
      <c r="F154" s="0" t="n">
        <f aca="false">E98</f>
        <v>28</v>
      </c>
      <c r="G154" s="0" t="s">
        <v>34</v>
      </c>
      <c r="H154" s="3" t="s">
        <v>496</v>
      </c>
    </row>
    <row r="155" customFormat="false" ht="17.15" hidden="false" customHeight="false" outlineLevel="0" collapsed="false">
      <c r="A155" s="0" t="s">
        <v>497</v>
      </c>
      <c r="B155" s="0" t="s">
        <v>498</v>
      </c>
      <c r="C155" s="0" t="s">
        <v>45</v>
      </c>
      <c r="D155" s="0" t="n">
        <f aca="false">E141</f>
        <v>0.06</v>
      </c>
      <c r="E155" s="0" t="n">
        <f aca="false">E142</f>
        <v>0.04</v>
      </c>
      <c r="F155" s="0" t="n">
        <f aca="false">E143</f>
        <v>0.02</v>
      </c>
      <c r="G155" s="0" t="s">
        <v>34</v>
      </c>
      <c r="H155" s="3" t="s">
        <v>499</v>
      </c>
    </row>
    <row r="156" customFormat="false" ht="17.15" hidden="false" customHeight="false" outlineLevel="0" collapsed="false">
      <c r="A156" s="0" t="s">
        <v>500</v>
      </c>
      <c r="B156" s="0" t="s">
        <v>501</v>
      </c>
      <c r="C156" s="0" t="s">
        <v>45</v>
      </c>
      <c r="D156" s="13" t="n">
        <f aca="false">E144</f>
        <v>0.173404512367757</v>
      </c>
      <c r="E156" s="7" t="n">
        <f aca="false">E145</f>
        <v>0.146432000712044</v>
      </c>
      <c r="F156" s="7" t="n">
        <f aca="false">E146</f>
        <v>0.108490033079181</v>
      </c>
      <c r="G156" s="7" t="s">
        <v>34</v>
      </c>
      <c r="H156" s="3" t="s">
        <v>502</v>
      </c>
    </row>
    <row r="157" customFormat="false" ht="17.15" hidden="false" customHeight="false" outlineLevel="0" collapsed="false">
      <c r="A157" s="0" t="s">
        <v>503</v>
      </c>
      <c r="B157" s="3" t="s">
        <v>504</v>
      </c>
      <c r="C157" s="0" t="s">
        <v>45</v>
      </c>
      <c r="D157" s="0" t="n">
        <f aca="false">E134</f>
        <v>0.3</v>
      </c>
      <c r="E157" s="0" t="n">
        <f aca="false">E135</f>
        <v>0.5</v>
      </c>
      <c r="F157" s="0" t="n">
        <f aca="false">E136</f>
        <v>0.2</v>
      </c>
      <c r="G157" s="0" t="s">
        <v>34</v>
      </c>
      <c r="H157" s="3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506</v>
      </c>
    </row>
    <row r="2" customFormat="false" ht="17.15" hidden="false" customHeight="false" outlineLevel="0" collapsed="false">
      <c r="A2" s="0" t="s">
        <v>507</v>
      </c>
    </row>
    <row r="3" customFormat="false" ht="17.15" hidden="false" customHeight="false" outlineLevel="0" collapsed="false">
      <c r="A3" s="4" t="s">
        <v>22</v>
      </c>
      <c r="B3" s="14" t="s">
        <v>508</v>
      </c>
      <c r="C3" s="14" t="s">
        <v>509</v>
      </c>
      <c r="D3" s="14" t="s">
        <v>510</v>
      </c>
      <c r="E3" s="14" t="s">
        <v>511</v>
      </c>
      <c r="F3" s="14" t="s">
        <v>512</v>
      </c>
      <c r="G3" s="14" t="s">
        <v>513</v>
      </c>
      <c r="H3" s="4" t="s">
        <v>27</v>
      </c>
      <c r="I3" s="4" t="s">
        <v>514</v>
      </c>
      <c r="J3" s="4" t="s">
        <v>29</v>
      </c>
    </row>
    <row r="4" customFormat="false" ht="17.15" hidden="false" customHeight="false" outlineLevel="0" collapsed="false">
      <c r="A4" s="3" t="s">
        <v>515</v>
      </c>
      <c r="B4" s="15" t="n">
        <v>131.241</v>
      </c>
      <c r="C4" s="16" t="n">
        <f aca="false">80.336-D4</f>
        <v>37.447</v>
      </c>
      <c r="D4" s="15" t="n">
        <v>42.889</v>
      </c>
      <c r="E4" s="16" t="n">
        <f aca="false">q3_rev</f>
        <v>52.65</v>
      </c>
      <c r="F4" s="16" t="n">
        <f aca="false">E4*(1+q4_g)</f>
        <v>55.2825</v>
      </c>
      <c r="G4" s="16" t="n">
        <f aca="false">SUM(C4:F4)</f>
        <v>188.2685</v>
      </c>
      <c r="H4" s="7" t="s">
        <v>516</v>
      </c>
      <c r="I4" s="7" t="s">
        <v>517</v>
      </c>
      <c r="J4" s="7" t="s">
        <v>518</v>
      </c>
    </row>
    <row r="5" customFormat="false" ht="17.15" hidden="false" customHeight="false" outlineLevel="0" collapsed="false">
      <c r="A5" s="3" t="s">
        <v>519</v>
      </c>
      <c r="B5" s="15" t="n">
        <v>18.292</v>
      </c>
      <c r="C5" s="16" t="n">
        <f aca="false">C4*0.1796</f>
        <v>6.7254812</v>
      </c>
      <c r="D5" s="16" t="n">
        <f aca="false">D4*0.248</f>
        <v>10.636472</v>
      </c>
      <c r="E5" s="16" t="n">
        <f aca="false">E4*q3_gm</f>
        <v>14.2155</v>
      </c>
      <c r="F5" s="16" t="n">
        <f aca="false">F4*q4_gm</f>
        <v>15.7555125</v>
      </c>
      <c r="G5" s="16" t="n">
        <f aca="false">SUM(C5:F5)</f>
        <v>47.3329657</v>
      </c>
      <c r="H5" s="7" t="s">
        <v>520</v>
      </c>
      <c r="I5" s="7" t="s">
        <v>517</v>
      </c>
      <c r="J5" s="3" t="s">
        <v>521</v>
      </c>
    </row>
    <row r="6" customFormat="false" ht="15" hidden="false" customHeight="false" outlineLevel="0" collapsed="false">
      <c r="A6" s="3" t="s">
        <v>522</v>
      </c>
      <c r="B6" s="13" t="n">
        <f aca="false">B5/B4</f>
        <v>0.139377176339711</v>
      </c>
      <c r="C6" s="13" t="n">
        <f aca="false">C5/C4</f>
        <v>0.1796</v>
      </c>
      <c r="D6" s="13" t="n">
        <f aca="false">D5/D4</f>
        <v>0.248</v>
      </c>
      <c r="E6" s="13" t="n">
        <f aca="false">E5/E4</f>
        <v>0.27</v>
      </c>
      <c r="F6" s="13" t="n">
        <f aca="false">F5/F4</f>
        <v>0.285</v>
      </c>
      <c r="G6" s="13" t="n">
        <f aca="false">G5/G4</f>
        <v>0.251412029627899</v>
      </c>
      <c r="H6" s="7" t="s">
        <v>34</v>
      </c>
      <c r="I6" s="7" t="s">
        <v>226</v>
      </c>
      <c r="J6" s="7" t="s">
        <v>523</v>
      </c>
    </row>
    <row r="7" customFormat="false" ht="17.15" hidden="false" customHeight="false" outlineLevel="0" collapsed="false">
      <c r="A7" s="3" t="s">
        <v>524</v>
      </c>
      <c r="B7" s="16" t="n">
        <f aca="false">B5-B8</f>
        <v>11.618</v>
      </c>
      <c r="C7" s="16" t="n">
        <f aca="false">C5-C8</f>
        <v>3.9684812</v>
      </c>
      <c r="D7" s="16" t="n">
        <f aca="false">D5-D8</f>
        <v>3.985472</v>
      </c>
      <c r="E7" s="16" t="n">
        <f aca="false">q3_opx</f>
        <v>4.3</v>
      </c>
      <c r="F7" s="16" t="n">
        <f aca="false">q4_opx</f>
        <v>4.4</v>
      </c>
      <c r="G7" s="16" t="n">
        <f aca="false">SUM(C7:F7)</f>
        <v>16.6539532</v>
      </c>
      <c r="H7" s="7" t="s">
        <v>525</v>
      </c>
      <c r="I7" s="3" t="s">
        <v>526</v>
      </c>
      <c r="J7" s="7" t="s">
        <v>226</v>
      </c>
    </row>
    <row r="8" customFormat="false" ht="17.15" hidden="false" customHeight="false" outlineLevel="0" collapsed="false">
      <c r="A8" s="3" t="s">
        <v>527</v>
      </c>
      <c r="B8" s="15" t="n">
        <v>6.674</v>
      </c>
      <c r="C8" s="16" t="n">
        <f aca="false">9.408-D8</f>
        <v>2.757</v>
      </c>
      <c r="D8" s="15" t="n">
        <v>6.651</v>
      </c>
      <c r="E8" s="16" t="n">
        <f aca="false">E5-E7</f>
        <v>9.9155</v>
      </c>
      <c r="F8" s="16" t="n">
        <f aca="false">F5-F7</f>
        <v>11.3555125</v>
      </c>
      <c r="G8" s="16" t="n">
        <f aca="false">SUM(C8:F8)</f>
        <v>30.6790125</v>
      </c>
      <c r="H8" s="7" t="s">
        <v>528</v>
      </c>
      <c r="I8" s="7" t="s">
        <v>517</v>
      </c>
      <c r="J8" s="7" t="s">
        <v>529</v>
      </c>
    </row>
    <row r="9" customFormat="false" ht="17.15" hidden="false" customHeight="false" outlineLevel="0" collapsed="false">
      <c r="A9" s="3" t="s">
        <v>530</v>
      </c>
      <c r="B9" s="16" t="n">
        <f aca="false">B11-B8</f>
        <v>-0.00100000000000033</v>
      </c>
      <c r="C9" s="16" t="n">
        <f aca="false">12.466-D9</f>
        <v>3.542</v>
      </c>
      <c r="D9" s="15" t="n">
        <v>8.924</v>
      </c>
      <c r="E9" s="16" t="n">
        <f aca="false">q_nonop</f>
        <v>1</v>
      </c>
      <c r="F9" s="16" t="n">
        <f aca="false">q_nonop</f>
        <v>1</v>
      </c>
      <c r="G9" s="16" t="n">
        <f aca="false">SUM(C9:F9)</f>
        <v>14.466</v>
      </c>
      <c r="H9" s="7" t="s">
        <v>531</v>
      </c>
      <c r="I9" s="7" t="s">
        <v>517</v>
      </c>
      <c r="J9" s="7" t="s">
        <v>532</v>
      </c>
    </row>
    <row r="10" customFormat="false" ht="17.15" hidden="false" customHeight="false" outlineLevel="0" collapsed="false">
      <c r="A10" s="3" t="s">
        <v>533</v>
      </c>
      <c r="C10" s="16" t="n">
        <f aca="false">C8+C9</f>
        <v>6.299</v>
      </c>
      <c r="D10" s="16" t="n">
        <f aca="false">D8+D9</f>
        <v>15.575</v>
      </c>
      <c r="E10" s="16" t="n">
        <f aca="false">E8+E9</f>
        <v>10.9155</v>
      </c>
      <c r="F10" s="16" t="n">
        <f aca="false">F8+F9</f>
        <v>12.3555125</v>
      </c>
      <c r="G10" s="16" t="n">
        <f aca="false">SUM(C10:F10)</f>
        <v>45.1450125</v>
      </c>
      <c r="H10" s="7" t="s">
        <v>34</v>
      </c>
      <c r="I10" s="7" t="s">
        <v>226</v>
      </c>
      <c r="J10" s="7" t="s">
        <v>534</v>
      </c>
    </row>
    <row r="11" customFormat="false" ht="17.15" hidden="false" customHeight="false" outlineLevel="0" collapsed="false">
      <c r="A11" s="3" t="s">
        <v>535</v>
      </c>
      <c r="B11" s="15" t="n">
        <v>6.673</v>
      </c>
      <c r="C11" s="16" t="n">
        <f aca="false">18.157-D11</f>
        <v>5.043</v>
      </c>
      <c r="D11" s="15" t="n">
        <v>13.114</v>
      </c>
      <c r="E11" s="16" t="n">
        <f aca="false">E10*(1-tax)</f>
        <v>8.95071</v>
      </c>
      <c r="F11" s="16" t="n">
        <f aca="false">F10*(1-tax)</f>
        <v>10.13152025</v>
      </c>
      <c r="G11" s="16" t="n">
        <f aca="false">SUM(C11:F11)</f>
        <v>37.23923025</v>
      </c>
      <c r="H11" s="7" t="s">
        <v>528</v>
      </c>
      <c r="I11" s="7" t="s">
        <v>517</v>
      </c>
      <c r="J11" s="7" t="s">
        <v>536</v>
      </c>
    </row>
    <row r="12" customFormat="false" ht="15" hidden="false" customHeight="false" outlineLevel="0" collapsed="false">
      <c r="A12" s="3" t="s">
        <v>537</v>
      </c>
      <c r="C12" s="16" t="n">
        <f aca="false">C10-C11</f>
        <v>1.256</v>
      </c>
      <c r="D12" s="16" t="n">
        <f aca="false">D10-D11</f>
        <v>2.461</v>
      </c>
      <c r="E12" s="16" t="n">
        <f aca="false">E10-E11</f>
        <v>1.96479</v>
      </c>
      <c r="F12" s="16" t="n">
        <f aca="false">F10-F11</f>
        <v>2.22399225</v>
      </c>
      <c r="G12" s="16" t="n">
        <f aca="false">SUM(C12:F12)</f>
        <v>7.90578225</v>
      </c>
      <c r="H12" s="7" t="s">
        <v>34</v>
      </c>
      <c r="I12" s="7" t="s">
        <v>226</v>
      </c>
      <c r="J12" s="7" t="s">
        <v>226</v>
      </c>
    </row>
    <row r="13" customFormat="false" ht="17.15" hidden="false" customHeight="false" outlineLevel="0" collapsed="false">
      <c r="A13" s="3" t="s">
        <v>538</v>
      </c>
      <c r="B13" s="16" t="n">
        <f aca="false">B11/B14</f>
        <v>1.52351598173516</v>
      </c>
      <c r="C13" s="16" t="n">
        <f aca="false">C11/C14</f>
        <v>1.5375</v>
      </c>
      <c r="D13" s="16" t="n">
        <f aca="false">D11/D14</f>
        <v>1.55195266272189</v>
      </c>
      <c r="E13" s="16" t="n">
        <f aca="false">q_sh</f>
        <v>1.64</v>
      </c>
      <c r="F13" s="16" t="n">
        <f aca="false">q_sh</f>
        <v>1.64</v>
      </c>
      <c r="G13" s="16" t="n">
        <f aca="false">AVERAGE(C13:F13)</f>
        <v>1.59236316568047</v>
      </c>
      <c r="H13" s="7" t="s">
        <v>34</v>
      </c>
      <c r="I13" s="3" t="s">
        <v>539</v>
      </c>
      <c r="J13" s="7" t="s">
        <v>226</v>
      </c>
    </row>
    <row r="14" customFormat="false" ht="17.15" hidden="false" customHeight="false" outlineLevel="0" collapsed="false">
      <c r="A14" s="0" t="s">
        <v>540</v>
      </c>
      <c r="B14" s="17" t="n">
        <v>4.38</v>
      </c>
      <c r="C14" s="17" t="n">
        <v>3.28</v>
      </c>
      <c r="D14" s="17" t="n">
        <v>8.45</v>
      </c>
      <c r="E14" s="18" t="n">
        <f aca="false">E11/E13</f>
        <v>5.45775</v>
      </c>
      <c r="F14" s="18" t="n">
        <f aca="false">F11/F13</f>
        <v>6.17775625</v>
      </c>
      <c r="G14" s="18" t="n">
        <f aca="false">G11/G13</f>
        <v>23.3861414610695</v>
      </c>
      <c r="H14" s="7" t="s">
        <v>528</v>
      </c>
      <c r="I14" s="7" t="s">
        <v>517</v>
      </c>
      <c r="J14" s="7" t="s">
        <v>541</v>
      </c>
    </row>
    <row r="15" customFormat="false" ht="17.15" hidden="false" customHeight="false" outlineLevel="0" collapsed="false">
      <c r="A15" s="3" t="s">
        <v>542</v>
      </c>
      <c r="B15" s="15" t="n">
        <v>18.8</v>
      </c>
      <c r="G15" s="16" t="n">
        <f aca="false">da26</f>
        <v>20.8</v>
      </c>
      <c r="H15" s="7" t="s">
        <v>197</v>
      </c>
      <c r="I15" s="3" t="s">
        <v>543</v>
      </c>
      <c r="J15" s="7" t="s">
        <v>544</v>
      </c>
    </row>
    <row r="16" customFormat="false" ht="17.15" hidden="false" customHeight="false" outlineLevel="0" collapsed="false">
      <c r="A16" s="3" t="s">
        <v>545</v>
      </c>
      <c r="B16" s="15" t="n">
        <v>25.617</v>
      </c>
      <c r="G16" s="16" t="n">
        <f aca="false">capex26</f>
        <v>53.7</v>
      </c>
      <c r="H16" s="7" t="s">
        <v>546</v>
      </c>
      <c r="I16" s="7" t="s">
        <v>547</v>
      </c>
      <c r="J16" s="7" t="s">
        <v>226</v>
      </c>
    </row>
    <row r="18" customFormat="false" ht="17.15" hidden="false" customHeight="false" outlineLevel="0" collapsed="false">
      <c r="A18" s="5" t="s">
        <v>548</v>
      </c>
    </row>
    <row r="19" customFormat="false" ht="17.15" hidden="false" customHeight="false" outlineLevel="0" collapsed="false">
      <c r="A19" s="0" t="s">
        <v>549</v>
      </c>
      <c r="G19" s="16" t="n">
        <f aca="false">G4*mx_abf</f>
        <v>99.782305</v>
      </c>
      <c r="H19" s="7" t="s">
        <v>34</v>
      </c>
    </row>
    <row r="20" customFormat="false" ht="17.15" hidden="false" customHeight="false" outlineLevel="0" collapsed="false">
      <c r="A20" s="0" t="s">
        <v>550</v>
      </c>
      <c r="G20" s="16" t="n">
        <f aca="false">G4*mx_bt</f>
        <v>16.944165</v>
      </c>
      <c r="H20" s="7" t="s">
        <v>34</v>
      </c>
    </row>
    <row r="21" customFormat="false" ht="17.15" hidden="false" customHeight="false" outlineLevel="0" collapsed="false">
      <c r="A21" s="0" t="s">
        <v>551</v>
      </c>
      <c r="G21" s="16" t="n">
        <f aca="false">G4*mx_pcb</f>
        <v>58.363235</v>
      </c>
      <c r="H21" s="7" t="s">
        <v>34</v>
      </c>
    </row>
    <row r="22" customFormat="false" ht="15" hidden="false" customHeight="false" outlineLevel="0" collapsed="false">
      <c r="A22" s="3" t="s">
        <v>552</v>
      </c>
      <c r="G22" s="16" t="n">
        <f aca="false">G4*(1-mx_abf-mx_bt-mx_pcb)</f>
        <v>13.178795</v>
      </c>
      <c r="H22" s="7" t="s">
        <v>34</v>
      </c>
    </row>
    <row r="23" customFormat="false" ht="15" hidden="false" customHeight="false" outlineLevel="0" collapsed="false">
      <c r="A23" s="1" t="s">
        <v>553</v>
      </c>
    </row>
    <row r="24" customFormat="false" ht="17.15" hidden="false" customHeight="false" outlineLevel="0" collapsed="false">
      <c r="A24" s="0" t="s">
        <v>554</v>
      </c>
      <c r="B24" s="19" t="n">
        <f aca="false">C10+D10-21.875</f>
        <v>-0.00100000000000122</v>
      </c>
    </row>
    <row r="25" customFormat="false" ht="17.15" hidden="false" customHeight="false" outlineLevel="0" collapsed="false">
      <c r="A25" s="0" t="s">
        <v>555</v>
      </c>
      <c r="B25" s="20" t="n">
        <f aca="false">G4/B4-1</f>
        <v>0.434525034097576</v>
      </c>
    </row>
    <row r="26" customFormat="false" ht="17.15" hidden="false" customHeight="false" outlineLevel="0" collapsed="false">
      <c r="A26" s="0" t="s">
        <v>556</v>
      </c>
      <c r="B26" s="20" t="n">
        <f aca="false">((G5+G15)-(B5+B15))/(G4-B4)</f>
        <v>0.54431573714436</v>
      </c>
    </row>
    <row r="27" customFormat="false" ht="17.15" hidden="false" customHeight="false" outlineLevel="0" collapsed="false">
      <c r="A27" s="0" t="s">
        <v>557</v>
      </c>
      <c r="B27" s="20" t="n">
        <f aca="false">G14/23.42-1</f>
        <v>-0.00144571045817676</v>
      </c>
    </row>
    <row r="28" customFormat="false" ht="17.15" hidden="false" customHeight="false" outlineLevel="0" collapsed="false">
      <c r="A28" s="0" t="s">
        <v>558</v>
      </c>
      <c r="B28" s="20" t="n">
        <f aca="false">F4/57.92-1</f>
        <v>-0.0455369475138122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559</v>
      </c>
    </row>
    <row r="3" customFormat="false" ht="15" hidden="false" customHeight="false" outlineLevel="0" collapsed="false">
      <c r="A3" s="4" t="s">
        <v>22</v>
      </c>
      <c r="B3" s="4" t="s">
        <v>23</v>
      </c>
      <c r="C3" s="14" t="s">
        <v>560</v>
      </c>
      <c r="D3" s="14" t="s">
        <v>561</v>
      </c>
      <c r="E3" s="14" t="s">
        <v>562</v>
      </c>
      <c r="F3" s="14" t="s">
        <v>563</v>
      </c>
      <c r="G3" s="4" t="s">
        <v>481</v>
      </c>
    </row>
    <row r="4" customFormat="false" ht="17.15" hidden="false" customHeight="false" outlineLevel="0" collapsed="false">
      <c r="A4" s="0" t="s">
        <v>564</v>
      </c>
      <c r="B4" s="3" t="s">
        <v>33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565</v>
      </c>
    </row>
    <row r="5" customFormat="false" ht="17.15" hidden="false" customHeight="false" outlineLevel="0" collapsed="false">
      <c r="A5" s="3" t="s">
        <v>566</v>
      </c>
      <c r="B5" s="3" t="s">
        <v>33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567</v>
      </c>
      <c r="B6" s="0" t="s">
        <v>167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568</v>
      </c>
    </row>
    <row r="7" customFormat="false" ht="17.15" hidden="false" customHeight="false" outlineLevel="0" collapsed="false">
      <c r="A7" s="3" t="s">
        <v>569</v>
      </c>
      <c r="B7" s="0" t="s">
        <v>45</v>
      </c>
      <c r="C7" s="20" t="n">
        <f aca="false">PL!D69</f>
        <v>0.25</v>
      </c>
      <c r="D7" s="20" t="n">
        <f aca="false">PL!E69</f>
        <v>0.27</v>
      </c>
      <c r="E7" s="20" t="n">
        <f aca="false">PL!F69</f>
        <v>0.29</v>
      </c>
      <c r="F7" s="20" t="n">
        <f aca="false">PL!G69</f>
        <v>0.3</v>
      </c>
      <c r="G7" s="7" t="s">
        <v>146</v>
      </c>
    </row>
    <row r="8" customFormat="false" ht="17.15" hidden="false" customHeight="false" outlineLevel="0" collapsed="false">
      <c r="A8" s="0" t="s">
        <v>570</v>
      </c>
      <c r="B8" s="0" t="s">
        <v>45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571</v>
      </c>
    </row>
    <row r="9" customFormat="false" ht="17.15" hidden="false" customHeight="false" outlineLevel="0" collapsed="false">
      <c r="A9" s="3" t="s">
        <v>572</v>
      </c>
      <c r="B9" s="0" t="s">
        <v>45</v>
      </c>
      <c r="C9" s="20" t="n">
        <f aca="false">C7+C8</f>
        <v>0.95</v>
      </c>
      <c r="D9" s="20" t="n">
        <f aca="false">D7+D8</f>
        <v>0.935</v>
      </c>
      <c r="E9" s="20" t="n">
        <f aca="false">E7+E8</f>
        <v>0.906</v>
      </c>
      <c r="F9" s="20" t="n">
        <f aca="false">F7+F8</f>
        <v>0.895</v>
      </c>
      <c r="G9" s="3" t="s">
        <v>573</v>
      </c>
    </row>
    <row r="10" customFormat="false" ht="17.15" hidden="false" customHeight="false" outlineLevel="0" collapsed="false">
      <c r="A10" s="3" t="s">
        <v>574</v>
      </c>
      <c r="B10" s="0" t="s">
        <v>45</v>
      </c>
      <c r="C10" s="20" t="n">
        <f aca="false">PL!D70</f>
        <v>0.3</v>
      </c>
      <c r="D10" s="20" t="n">
        <f aca="false">PL!E70</f>
        <v>0.31</v>
      </c>
      <c r="E10" s="20" t="n">
        <f aca="false">PL!F70</f>
        <v>0.32</v>
      </c>
      <c r="F10" s="20" t="n">
        <f aca="false">PL!G70</f>
        <v>0.33</v>
      </c>
      <c r="G10" s="7" t="s">
        <v>146</v>
      </c>
    </row>
    <row r="11" customFormat="false" ht="17.15" hidden="false" customHeight="false" outlineLevel="0" collapsed="false">
      <c r="A11" s="0" t="s">
        <v>575</v>
      </c>
      <c r="B11" s="0" t="s">
        <v>45</v>
      </c>
      <c r="C11" s="20" t="n">
        <f aca="false">ib_w_ot*1/v_ot</f>
        <v>0.5</v>
      </c>
      <c r="D11" s="20" t="n">
        <f aca="false">ib_w_ot*ibrel_27/v_ot</f>
        <v>0.475</v>
      </c>
      <c r="E11" s="20" t="n">
        <f aca="false">ib_w_ot*ibrel_28/v_ot</f>
        <v>0.44</v>
      </c>
      <c r="F11" s="20" t="n">
        <f aca="false">ib_w_ot*ibrel_29/v_ot</f>
        <v>0.425</v>
      </c>
      <c r="G11" s="7" t="s">
        <v>576</v>
      </c>
    </row>
    <row r="12" customFormat="false" ht="17.15" hidden="false" customHeight="false" outlineLevel="0" collapsed="false">
      <c r="A12" s="3" t="s">
        <v>577</v>
      </c>
      <c r="B12" s="0" t="s">
        <v>45</v>
      </c>
      <c r="C12" s="20" t="n">
        <f aca="false">C10+C11</f>
        <v>0.8</v>
      </c>
      <c r="D12" s="20" t="n">
        <f aca="false">D10+D11</f>
        <v>0.785</v>
      </c>
      <c r="E12" s="20" t="n">
        <f aca="false">E10+E11</f>
        <v>0.76</v>
      </c>
      <c r="F12" s="20" t="n">
        <f aca="false">F10+F11</f>
        <v>0.755</v>
      </c>
      <c r="G12" s="3" t="s">
        <v>578</v>
      </c>
    </row>
    <row r="13" customFormat="false" ht="17.15" hidden="false" customHeight="false" outlineLevel="0" collapsed="false">
      <c r="A13" s="3" t="s">
        <v>579</v>
      </c>
      <c r="B13" s="0" t="s">
        <v>167</v>
      </c>
      <c r="C13" s="22" t="n">
        <f aca="false">PL!D68*PL!D69*PL!D67</f>
        <v>53.827149</v>
      </c>
      <c r="D13" s="22" t="n">
        <f aca="false">PL!E68*PL!E69*PL!E67</f>
        <v>72.02718461988</v>
      </c>
      <c r="E13" s="22" t="n">
        <f aca="false">PL!F68*PL!F69*PL!F67</f>
        <v>86.72339795584</v>
      </c>
      <c r="F13" s="22" t="n">
        <f aca="false">PL!G68*PL!G69*PL!G67</f>
        <v>100.290651864721</v>
      </c>
      <c r="G13" s="7" t="s">
        <v>580</v>
      </c>
    </row>
    <row r="14" customFormat="false" ht="15" hidden="false" customHeight="false" outlineLevel="0" collapsed="false">
      <c r="A14" s="3" t="s">
        <v>581</v>
      </c>
      <c r="B14" s="0" t="s">
        <v>582</v>
      </c>
      <c r="C14" s="22" t="n">
        <f aca="false">PL!D71</f>
        <v>801.809211504</v>
      </c>
      <c r="D14" s="22" t="n">
        <f aca="false">PL!E71</f>
        <v>1624.8799315544</v>
      </c>
      <c r="E14" s="22" t="n">
        <f aca="false">PL!F71</f>
        <v>2125.32134231777</v>
      </c>
      <c r="F14" s="22" t="n">
        <f aca="false">PL!G71</f>
        <v>2788.4812844467</v>
      </c>
    </row>
    <row r="15" customFormat="false" ht="17.15" hidden="false" customHeight="false" outlineLevel="0" collapsed="false">
      <c r="A15" s="3" t="s">
        <v>583</v>
      </c>
      <c r="B15" s="0" t="s">
        <v>303</v>
      </c>
      <c r="C15" s="23" t="n">
        <f aca="false">PL!D81</f>
        <v>74.83672875</v>
      </c>
      <c r="D15" s="23" t="n">
        <f aca="false">PL!E81</f>
        <v>123.201474818424</v>
      </c>
      <c r="E15" s="23" t="n">
        <f aca="false">PL!F81</f>
        <v>146.159163513688</v>
      </c>
      <c r="F15" s="23" t="n">
        <f aca="false">PL!G81</f>
        <v>168.250789949789</v>
      </c>
    </row>
    <row r="16" customFormat="false" ht="17.15" hidden="false" customHeight="false" outlineLevel="0" collapsed="false">
      <c r="A16" s="3" t="s">
        <v>584</v>
      </c>
      <c r="B16" s="0" t="s">
        <v>45</v>
      </c>
      <c r="C16" s="24" t="n">
        <f aca="false">PL!D81/fx/itc_26</f>
        <v>0.00299108425881764</v>
      </c>
      <c r="D16" s="24" t="n">
        <f aca="false">PL!E81/fx/itc_27</f>
        <v>0.0024595432894086</v>
      </c>
      <c r="E16" s="24" t="n">
        <f aca="false">PL!F81/fx/itc_28</f>
        <v>0.00230184799782873</v>
      </c>
      <c r="F16" s="24" t="n">
        <f aca="false">PL!G81/fx/itc_29</f>
        <v>0.00232607494273067</v>
      </c>
      <c r="G16" s="7" t="s">
        <v>585</v>
      </c>
    </row>
    <row r="17" customFormat="false" ht="17.15" hidden="false" customHeight="false" outlineLevel="0" collapsed="false">
      <c r="A17" s="3" t="s">
        <v>586</v>
      </c>
      <c r="B17" s="0" t="s">
        <v>582</v>
      </c>
      <c r="C17" s="22" t="n">
        <f aca="false">PL!D81/fx/itc_26*37.59*1000</f>
        <v>112.434857288955</v>
      </c>
      <c r="D17" s="22" t="n">
        <f aca="false">PL!E81/fx/itc_27*37.59*1000</f>
        <v>92.4542322488694</v>
      </c>
      <c r="E17" s="22" t="n">
        <f aca="false">PL!F81/fx/itc_28*37.59*1000</f>
        <v>86.5264662383819</v>
      </c>
      <c r="F17" s="22" t="n">
        <f aca="false">PL!G81/fx/itc_29*37.59*1000</f>
        <v>87.437157097246</v>
      </c>
      <c r="G17" s="7" t="s">
        <v>587</v>
      </c>
    </row>
    <row r="19" customFormat="false" ht="17.15" hidden="false" customHeight="false" outlineLevel="0" collapsed="false">
      <c r="A19" s="1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589</v>
      </c>
    </row>
    <row r="2" customFormat="false" ht="17.15" hidden="false" customHeight="false" outlineLevel="0" collapsed="false">
      <c r="A2" s="3" t="s">
        <v>590</v>
      </c>
    </row>
    <row r="3" customFormat="false" ht="17.15" hidden="false" customHeight="false" outlineLevel="0" collapsed="false">
      <c r="A3" s="4" t="s">
        <v>591</v>
      </c>
      <c r="B3" s="4" t="s">
        <v>23</v>
      </c>
      <c r="C3" s="14" t="s">
        <v>508</v>
      </c>
      <c r="D3" s="14" t="s">
        <v>592</v>
      </c>
      <c r="E3" s="14" t="s">
        <v>593</v>
      </c>
      <c r="F3" s="14" t="s">
        <v>594</v>
      </c>
      <c r="G3" s="14" t="s">
        <v>595</v>
      </c>
      <c r="H3" s="14" t="s">
        <v>596</v>
      </c>
      <c r="I3" s="14" t="s">
        <v>597</v>
      </c>
      <c r="J3" s="14" t="s">
        <v>598</v>
      </c>
      <c r="K3" s="4" t="s">
        <v>481</v>
      </c>
    </row>
    <row r="4" customFormat="false" ht="17.15" hidden="false" customHeight="false" outlineLevel="0" collapsed="false">
      <c r="A4" s="1" t="s">
        <v>599</v>
      </c>
    </row>
    <row r="5" customFormat="false" ht="15" hidden="false" customHeight="false" outlineLevel="0" collapsed="false">
      <c r="A5" s="3" t="s">
        <v>515</v>
      </c>
      <c r="B5" s="0" t="s">
        <v>303</v>
      </c>
      <c r="C5" s="23" t="n">
        <f aca="false">C90</f>
        <v>131.241</v>
      </c>
      <c r="D5" s="23" t="n">
        <f aca="false">D90</f>
        <v>188.2685</v>
      </c>
      <c r="E5" s="23" t="n">
        <f aca="false">E90</f>
        <v>245.842654649375</v>
      </c>
      <c r="F5" s="23" t="n">
        <f aca="false">F90</f>
        <v>278.087872457713</v>
      </c>
      <c r="G5" s="23" t="n">
        <f aca="false">G90</f>
        <v>307.567718792106</v>
      </c>
      <c r="H5" s="25" t="n">
        <f aca="false">H90</f>
        <v>335.455725464882</v>
      </c>
      <c r="I5" s="25" t="n">
        <f aca="false">I90</f>
        <v>360.727741503264</v>
      </c>
      <c r="J5" s="25" t="n">
        <f aca="false">J90</f>
        <v>382.371405993459</v>
      </c>
    </row>
    <row r="6" customFormat="false" ht="15" hidden="false" customHeight="false" outlineLevel="0" collapsed="false">
      <c r="A6" s="3" t="s">
        <v>600</v>
      </c>
      <c r="B6" s="0" t="s">
        <v>45</v>
      </c>
      <c r="D6" s="20" t="n">
        <f aca="false">D92</f>
        <v>0.434525034097576</v>
      </c>
      <c r="E6" s="20" t="n">
        <f aca="false">E92</f>
        <v>0.30580875</v>
      </c>
      <c r="F6" s="20" t="n">
        <f aca="false">F92</f>
        <v>0.131162014396266</v>
      </c>
      <c r="G6" s="20" t="n">
        <f aca="false">G92</f>
        <v>0.106009104510217</v>
      </c>
      <c r="H6" s="26" t="n">
        <f aca="false">H92</f>
        <v>0.0906727363401445</v>
      </c>
      <c r="I6" s="26" t="n">
        <f aca="false">I92</f>
        <v>0.0753363681700722</v>
      </c>
      <c r="J6" s="26" t="n">
        <f aca="false">J92</f>
        <v>0.06</v>
      </c>
    </row>
    <row r="7" customFormat="false" ht="17.15" hidden="false" customHeight="false" outlineLevel="0" collapsed="false">
      <c r="A7" s="0" t="s">
        <v>601</v>
      </c>
      <c r="B7" s="0" t="s">
        <v>303</v>
      </c>
      <c r="D7" s="23" t="n">
        <f aca="false">D79</f>
        <v>99.782305</v>
      </c>
      <c r="E7" s="23" t="n">
        <f aca="false">E79</f>
        <v>148.513488204375</v>
      </c>
      <c r="F7" s="23" t="n">
        <f aca="false">F79</f>
        <v>172.623925357313</v>
      </c>
      <c r="G7" s="23" t="n">
        <f aca="false">G79</f>
        <v>195.509494648723</v>
      </c>
    </row>
    <row r="8" customFormat="false" ht="17.15" hidden="false" customHeight="false" outlineLevel="0" collapsed="false">
      <c r="A8" s="0" t="s">
        <v>602</v>
      </c>
      <c r="B8" s="0" t="s">
        <v>303</v>
      </c>
      <c r="D8" s="23" t="n">
        <f aca="false">D81</f>
        <v>74.83672875</v>
      </c>
      <c r="E8" s="23" t="n">
        <f aca="false">E81</f>
        <v>123.201474818424</v>
      </c>
      <c r="F8" s="23" t="n">
        <f aca="false">F81</f>
        <v>146.159163513688</v>
      </c>
      <c r="G8" s="23" t="n">
        <f aca="false">G81</f>
        <v>168.250789949789</v>
      </c>
    </row>
    <row r="9" customFormat="false" ht="17.15" hidden="false" customHeight="false" outlineLevel="0" collapsed="false">
      <c r="A9" s="0" t="s">
        <v>603</v>
      </c>
      <c r="B9" s="0" t="s">
        <v>45</v>
      </c>
      <c r="D9" s="20" t="n">
        <f aca="false">D80</f>
        <v>1</v>
      </c>
      <c r="E9" s="20" t="n">
        <f aca="false">E80</f>
        <v>0.985135401617438</v>
      </c>
      <c r="F9" s="20" t="n">
        <f aca="false">F80</f>
        <v>1</v>
      </c>
      <c r="G9" s="20" t="n">
        <f aca="false">G80</f>
        <v>1</v>
      </c>
    </row>
    <row r="10" customFormat="false" ht="15" hidden="false" customHeight="false" outlineLevel="0" collapsed="false">
      <c r="A10" s="3" t="s">
        <v>522</v>
      </c>
      <c r="B10" s="0" t="s">
        <v>45</v>
      </c>
      <c r="C10" s="13" t="n">
        <f aca="false">C101</f>
        <v>0.139377176339711</v>
      </c>
      <c r="D10" s="13" t="n">
        <f aca="false">D101</f>
        <v>0.251412029627899</v>
      </c>
      <c r="E10" s="13" t="n">
        <f aca="false">E101</f>
        <v>0.295840315893205</v>
      </c>
      <c r="F10" s="13" t="n">
        <f aca="false">F101</f>
        <v>0.287468917111458</v>
      </c>
      <c r="G10" s="13" t="n">
        <f aca="false">G101</f>
        <v>0.278488663650955</v>
      </c>
    </row>
    <row r="11" customFormat="false" ht="15" hidden="false" customHeight="false" outlineLevel="0" collapsed="false">
      <c r="A11" s="3" t="s">
        <v>604</v>
      </c>
      <c r="B11" s="0" t="s">
        <v>303</v>
      </c>
      <c r="C11" s="23" t="n">
        <f aca="false">C97</f>
        <v>18.8</v>
      </c>
      <c r="D11" s="23" t="n">
        <f aca="false">D97</f>
        <v>20.8</v>
      </c>
      <c r="E11" s="23" t="n">
        <f aca="false">E97</f>
        <v>24.9125</v>
      </c>
      <c r="F11" s="23" t="n">
        <f aca="false">F97</f>
        <v>28.6734375</v>
      </c>
      <c r="G11" s="23" t="n">
        <f aca="false">G97</f>
        <v>31.3392578125</v>
      </c>
      <c r="H11" s="25" t="n">
        <f aca="false">H97</f>
        <v>34.1808740732286</v>
      </c>
      <c r="I11" s="25" t="n">
        <f aca="false">I97</f>
        <v>36.7559369867843</v>
      </c>
      <c r="J11" s="25" t="n">
        <f aca="false">J97</f>
        <v>38.9612932059913</v>
      </c>
    </row>
    <row r="12" customFormat="false" ht="15" hidden="false" customHeight="false" outlineLevel="0" collapsed="false">
      <c r="A12" s="3" t="s">
        <v>605</v>
      </c>
      <c r="B12" s="0" t="s">
        <v>45</v>
      </c>
      <c r="C12" s="13" t="n">
        <f aca="false">C104</f>
        <v>0.0508530108731265</v>
      </c>
      <c r="D12" s="13" t="n">
        <f aca="false">D104</f>
        <v>0.162953507888999</v>
      </c>
      <c r="E12" s="13" t="n">
        <f aca="false">E104</f>
        <v>0.215668272540921</v>
      </c>
      <c r="F12" s="13" t="n">
        <f aca="false">F104</f>
        <v>0.211015360260849</v>
      </c>
      <c r="G12" s="13" t="n">
        <f aca="false">G104</f>
        <v>0.204966284514997</v>
      </c>
    </row>
    <row r="13" customFormat="false" ht="15" hidden="false" customHeight="false" outlineLevel="0" collapsed="false">
      <c r="A13" s="3" t="s">
        <v>535</v>
      </c>
      <c r="B13" s="0" t="s">
        <v>303</v>
      </c>
      <c r="C13" s="23" t="n">
        <f aca="false">C108</f>
        <v>6.673</v>
      </c>
      <c r="D13" s="23" t="n">
        <f aca="false">D108</f>
        <v>37.23923025</v>
      </c>
      <c r="E13" s="23" t="n">
        <f aca="false">E108</f>
        <v>45.116777728986</v>
      </c>
      <c r="F13" s="23" t="n">
        <f aca="false">F108</f>
        <v>49.7582663244866</v>
      </c>
      <c r="G13" s="23" t="n">
        <f aca="false">G108</f>
        <v>53.3336302972087</v>
      </c>
      <c r="H13" s="25" t="n">
        <f aca="false">H108</f>
        <v>58.1695364952102</v>
      </c>
      <c r="I13" s="25" t="n">
        <f aca="false">I108</f>
        <v>62.5518181128958</v>
      </c>
      <c r="J13" s="25" t="n">
        <f aca="false">J108</f>
        <v>66.3049271996696</v>
      </c>
    </row>
    <row r="14" customFormat="false" ht="15" hidden="false" customHeight="false" outlineLevel="0" collapsed="false">
      <c r="A14" s="3" t="s">
        <v>606</v>
      </c>
      <c r="B14" s="0" t="s">
        <v>45</v>
      </c>
      <c r="C14" s="13" t="n">
        <f aca="false">C112</f>
        <v>0.0508453913030227</v>
      </c>
      <c r="D14" s="13" t="n">
        <f aca="false">D112</f>
        <v>0.197798517808343</v>
      </c>
      <c r="E14" s="13" t="n">
        <f aca="false">E112</f>
        <v>0.183518916980995</v>
      </c>
      <c r="F14" s="13" t="n">
        <f aca="false">F112</f>
        <v>0.178930011886991</v>
      </c>
      <c r="G14" s="13" t="n">
        <f aca="false">G112</f>
        <v>0.173404512367757</v>
      </c>
      <c r="H14" s="27" t="n">
        <f aca="false">H112</f>
        <v>0.173404512367757</v>
      </c>
      <c r="I14" s="27" t="n">
        <f aca="false">I112</f>
        <v>0.173404512367757</v>
      </c>
      <c r="J14" s="27" t="n">
        <f aca="false">J112</f>
        <v>0.173404512367757</v>
      </c>
    </row>
    <row r="15" customFormat="false" ht="15" hidden="false" customHeight="false" outlineLevel="0" collapsed="false">
      <c r="A15" s="0" t="s">
        <v>607</v>
      </c>
      <c r="B15" s="0" t="s">
        <v>387</v>
      </c>
      <c r="C15" s="18" t="n">
        <f aca="false">C110</f>
        <v>4.38</v>
      </c>
      <c r="D15" s="18" t="n">
        <f aca="false">D110</f>
        <v>23.3861414610695</v>
      </c>
      <c r="E15" s="18" t="n">
        <f aca="false">E110</f>
        <v>27.5102303225525</v>
      </c>
      <c r="F15" s="18" t="n">
        <f aca="false">F110</f>
        <v>30.3404062954186</v>
      </c>
      <c r="G15" s="18" t="n">
        <f aca="false">G110</f>
        <v>32.5205062787858</v>
      </c>
      <c r="H15" s="28" t="n">
        <f aca="false">H110</f>
        <v>35.4692295702501</v>
      </c>
      <c r="I15" s="28" t="n">
        <f aca="false">I110</f>
        <v>38.1413525078633</v>
      </c>
      <c r="J15" s="28" t="n">
        <f aca="false">J110</f>
        <v>40.4298336583351</v>
      </c>
    </row>
    <row r="16" customFormat="false" ht="17.15" hidden="false" customHeight="false" outlineLevel="0" collapsed="false">
      <c r="A16" s="0" t="s">
        <v>608</v>
      </c>
      <c r="B16" s="0" t="s">
        <v>45</v>
      </c>
      <c r="D16" s="20" t="n">
        <f aca="false">D111</f>
        <v>4.33930170344053</v>
      </c>
      <c r="E16" s="20" t="n">
        <f aca="false">E111</f>
        <v>0.176347554740839</v>
      </c>
      <c r="F16" s="20" t="n">
        <f aca="false">F111</f>
        <v>0.1028772183905</v>
      </c>
      <c r="G16" s="20" t="n">
        <f aca="false">G111</f>
        <v>0.0718546733402288</v>
      </c>
      <c r="H16" s="26" t="n">
        <f aca="false">H111</f>
        <v>0.0906727363401445</v>
      </c>
      <c r="I16" s="26" t="n">
        <f aca="false">I111</f>
        <v>0.0753363681700725</v>
      </c>
      <c r="J16" s="26" t="n">
        <f aca="false">J111</f>
        <v>0.0599999999999998</v>
      </c>
    </row>
    <row r="18" customFormat="false" ht="17.15" hidden="false" customHeight="false" outlineLevel="0" collapsed="false">
      <c r="A18" s="1" t="s">
        <v>609</v>
      </c>
    </row>
    <row r="19" customFormat="false" ht="15" hidden="false" customHeight="false" outlineLevel="0" collapsed="false">
      <c r="A19" s="3" t="s">
        <v>515</v>
      </c>
      <c r="B19" s="0" t="s">
        <v>303</v>
      </c>
      <c r="C19" s="23" t="n">
        <f aca="false">C148</f>
        <v>131.241</v>
      </c>
      <c r="D19" s="23" t="n">
        <f aca="false">D148</f>
        <v>188.2685</v>
      </c>
      <c r="E19" s="23" t="n">
        <f aca="false">E148</f>
        <v>245.842654649375</v>
      </c>
      <c r="F19" s="23" t="n">
        <f aca="false">F148</f>
        <v>238.385675395975</v>
      </c>
      <c r="G19" s="23" t="n">
        <f aca="false">G148</f>
        <v>273.692049703463</v>
      </c>
      <c r="H19" s="25" t="n">
        <f aca="false">H148</f>
        <v>304.364919667865</v>
      </c>
      <c r="I19" s="25" t="n">
        <f aca="false">I148</f>
        <v>327.507418628453</v>
      </c>
      <c r="J19" s="25" t="n">
        <f aca="false">J148</f>
        <v>340.607715373591</v>
      </c>
    </row>
    <row r="20" customFormat="false" ht="15" hidden="false" customHeight="false" outlineLevel="0" collapsed="false">
      <c r="A20" s="3" t="s">
        <v>600</v>
      </c>
      <c r="B20" s="0" t="s">
        <v>45</v>
      </c>
      <c r="D20" s="20" t="n">
        <f aca="false">D150</f>
        <v>0.434525034097576</v>
      </c>
      <c r="E20" s="20" t="n">
        <f aca="false">E150</f>
        <v>0.30580875</v>
      </c>
      <c r="F20" s="20" t="n">
        <f aca="false">F150</f>
        <v>-0.0303323248117182</v>
      </c>
      <c r="G20" s="20" t="n">
        <f aca="false">G150</f>
        <v>0.148106106832306</v>
      </c>
      <c r="H20" s="26" t="n">
        <f aca="false">H150</f>
        <v>0.112070737888204</v>
      </c>
      <c r="I20" s="26" t="n">
        <f aca="false">I150</f>
        <v>0.0760353689441018</v>
      </c>
      <c r="J20" s="26" t="n">
        <f aca="false">J150</f>
        <v>0.04</v>
      </c>
    </row>
    <row r="21" customFormat="false" ht="17.15" hidden="false" customHeight="false" outlineLevel="0" collapsed="false">
      <c r="A21" s="0" t="s">
        <v>601</v>
      </c>
      <c r="B21" s="0" t="s">
        <v>303</v>
      </c>
      <c r="D21" s="23" t="n">
        <f aca="false">D137</f>
        <v>99.782305</v>
      </c>
      <c r="E21" s="23" t="n">
        <f aca="false">E137</f>
        <v>148.513488204375</v>
      </c>
      <c r="F21" s="23" t="n">
        <f aca="false">F137</f>
        <v>143.392092654575</v>
      </c>
      <c r="G21" s="23" t="n">
        <f aca="false">G137</f>
        <v>170.271876156255</v>
      </c>
    </row>
    <row r="22" customFormat="false" ht="17.15" hidden="false" customHeight="false" outlineLevel="0" collapsed="false">
      <c r="A22" s="0" t="s">
        <v>602</v>
      </c>
      <c r="B22" s="0" t="s">
        <v>303</v>
      </c>
      <c r="D22" s="23" t="n">
        <f aca="false">D139</f>
        <v>74.83672875</v>
      </c>
      <c r="E22" s="23" t="n">
        <f aca="false">E139</f>
        <v>123.201474818424</v>
      </c>
      <c r="F22" s="23" t="n">
        <f aca="false">F139</f>
        <v>116.92733081095</v>
      </c>
      <c r="G22" s="23" t="n">
        <f aca="false">G139</f>
        <v>143.013171457321</v>
      </c>
    </row>
    <row r="23" customFormat="false" ht="17.15" hidden="false" customHeight="false" outlineLevel="0" collapsed="false">
      <c r="A23" s="0" t="s">
        <v>603</v>
      </c>
      <c r="B23" s="0" t="s">
        <v>45</v>
      </c>
      <c r="D23" s="20" t="n">
        <f aca="false">D138</f>
        <v>1</v>
      </c>
      <c r="E23" s="20" t="n">
        <f aca="false">E138</f>
        <v>0.985135401617438</v>
      </c>
      <c r="F23" s="20" t="n">
        <f aca="false">F138</f>
        <v>1</v>
      </c>
      <c r="G23" s="20" t="n">
        <f aca="false">G138</f>
        <v>1</v>
      </c>
    </row>
    <row r="24" customFormat="false" ht="15" hidden="false" customHeight="false" outlineLevel="0" collapsed="false">
      <c r="A24" s="3" t="s">
        <v>522</v>
      </c>
      <c r="B24" s="0" t="s">
        <v>45</v>
      </c>
      <c r="C24" s="13" t="n">
        <f aca="false">C159</f>
        <v>0.139377176339711</v>
      </c>
      <c r="D24" s="13" t="n">
        <f aca="false">D159</f>
        <v>0.251412029627899</v>
      </c>
      <c r="E24" s="13" t="n">
        <f aca="false">E159</f>
        <v>0.295840315893205</v>
      </c>
      <c r="F24" s="13" t="n">
        <f aca="false">F159</f>
        <v>0.26687737583122</v>
      </c>
      <c r="G24" s="13" t="n">
        <f aca="false">G159</f>
        <v>0.268096403326941</v>
      </c>
    </row>
    <row r="25" customFormat="false" ht="15" hidden="false" customHeight="false" outlineLevel="0" collapsed="false">
      <c r="A25" s="3" t="s">
        <v>604</v>
      </c>
      <c r="B25" s="0" t="s">
        <v>303</v>
      </c>
      <c r="C25" s="23" t="n">
        <f aca="false">C155</f>
        <v>18.8</v>
      </c>
      <c r="D25" s="23" t="n">
        <f aca="false">D155</f>
        <v>20.8</v>
      </c>
      <c r="E25" s="23" t="n">
        <f aca="false">E155</f>
        <v>24.9125</v>
      </c>
      <c r="F25" s="23" t="n">
        <f aca="false">F155</f>
        <v>27.7984375</v>
      </c>
      <c r="G25" s="23" t="n">
        <f aca="false">G155</f>
        <v>29.5736328125</v>
      </c>
      <c r="H25" s="25" t="n">
        <f aca="false">H155</f>
        <v>32.8879716638317</v>
      </c>
      <c r="I25" s="25" t="n">
        <f aca="false">I155</f>
        <v>35.3886207231143</v>
      </c>
      <c r="J25" s="25" t="n">
        <f aca="false">J155</f>
        <v>36.8041655520389</v>
      </c>
    </row>
    <row r="26" customFormat="false" ht="15" hidden="false" customHeight="false" outlineLevel="0" collapsed="false">
      <c r="A26" s="3" t="s">
        <v>605</v>
      </c>
      <c r="B26" s="0" t="s">
        <v>45</v>
      </c>
      <c r="C26" s="13" t="n">
        <f aca="false">C162</f>
        <v>0.0508530108731265</v>
      </c>
      <c r="D26" s="13" t="n">
        <f aca="false">D162</f>
        <v>0.162953507888999</v>
      </c>
      <c r="E26" s="13" t="n">
        <f aca="false">E162</f>
        <v>0.215668272540921</v>
      </c>
      <c r="F26" s="13" t="n">
        <f aca="false">F162</f>
        <v>0.185702182834164</v>
      </c>
      <c r="G26" s="13" t="n">
        <f aca="false">G162</f>
        <v>0.19110986213989</v>
      </c>
    </row>
    <row r="27" customFormat="false" ht="15" hidden="false" customHeight="false" outlineLevel="0" collapsed="false">
      <c r="A27" s="3" t="s">
        <v>535</v>
      </c>
      <c r="B27" s="0" t="s">
        <v>303</v>
      </c>
      <c r="C27" s="23" t="n">
        <f aca="false">C166</f>
        <v>6.673</v>
      </c>
      <c r="D27" s="23" t="n">
        <f aca="false">D166</f>
        <v>37.23923025</v>
      </c>
      <c r="E27" s="23" t="n">
        <f aca="false">E166</f>
        <v>45.116777728986</v>
      </c>
      <c r="F27" s="23" t="n">
        <f aca="false">F166</f>
        <v>37.9403670274917</v>
      </c>
      <c r="G27" s="23" t="n">
        <f aca="false">G166</f>
        <v>44.5303049078424</v>
      </c>
      <c r="H27" s="25" t="n">
        <f aca="false">H166</f>
        <v>47.8701540693427</v>
      </c>
      <c r="I27" s="25" t="n">
        <f aca="false">I166</f>
        <v>49.7337727266087</v>
      </c>
      <c r="J27" s="25" t="n">
        <f aca="false">J166</f>
        <v>49.8758692201133</v>
      </c>
    </row>
    <row r="28" customFormat="false" ht="15" hidden="false" customHeight="false" outlineLevel="0" collapsed="false">
      <c r="A28" s="3" t="s">
        <v>606</v>
      </c>
      <c r="B28" s="0" t="s">
        <v>45</v>
      </c>
      <c r="C28" s="13" t="n">
        <f aca="false">C170</f>
        <v>0.0508453913030227</v>
      </c>
      <c r="D28" s="13" t="n">
        <f aca="false">D170</f>
        <v>0.197798517808343</v>
      </c>
      <c r="E28" s="13" t="n">
        <f aca="false">E170</f>
        <v>0.183518916980995</v>
      </c>
      <c r="F28" s="13" t="n">
        <f aca="false">F170</f>
        <v>0.159155397925946</v>
      </c>
      <c r="G28" s="13" t="n">
        <f aca="false">G170</f>
        <v>0.162702223013382</v>
      </c>
      <c r="H28" s="27" t="n">
        <f aca="false">H170</f>
        <v>0.157278815579603</v>
      </c>
      <c r="I28" s="27" t="n">
        <f aca="false">I170</f>
        <v>0.151855408145823</v>
      </c>
      <c r="J28" s="27" t="n">
        <f aca="false">J170</f>
        <v>0.146432000712044</v>
      </c>
    </row>
    <row r="29" customFormat="false" ht="15" hidden="false" customHeight="false" outlineLevel="0" collapsed="false">
      <c r="A29" s="0" t="s">
        <v>607</v>
      </c>
      <c r="B29" s="0" t="s">
        <v>387</v>
      </c>
      <c r="C29" s="18" t="n">
        <f aca="false">C168</f>
        <v>4.38</v>
      </c>
      <c r="D29" s="18" t="n">
        <f aca="false">D168</f>
        <v>23.3861414610695</v>
      </c>
      <c r="E29" s="18" t="n">
        <f aca="false">E168</f>
        <v>27.5102303225525</v>
      </c>
      <c r="F29" s="18" t="n">
        <f aca="false">F168</f>
        <v>23.1343701387145</v>
      </c>
      <c r="G29" s="18" t="n">
        <f aca="false">G168</f>
        <v>27.1526249438064</v>
      </c>
      <c r="H29" s="28" t="n">
        <f aca="false">H168</f>
        <v>29.1891183349651</v>
      </c>
      <c r="I29" s="28" t="n">
        <f aca="false">I168</f>
        <v>30.3254711747614</v>
      </c>
      <c r="J29" s="28" t="n">
        <f aca="false">J168</f>
        <v>30.4121153781179</v>
      </c>
    </row>
    <row r="30" customFormat="false" ht="17.15" hidden="false" customHeight="false" outlineLevel="0" collapsed="false">
      <c r="A30" s="0" t="s">
        <v>608</v>
      </c>
      <c r="B30" s="0" t="s">
        <v>45</v>
      </c>
      <c r="D30" s="20" t="n">
        <f aca="false">D169</f>
        <v>4.33930170344053</v>
      </c>
      <c r="E30" s="20" t="n">
        <f aca="false">E169</f>
        <v>0.176347554740839</v>
      </c>
      <c r="F30" s="20" t="n">
        <f aca="false">F169</f>
        <v>-0.159063015195868</v>
      </c>
      <c r="G30" s="20" t="n">
        <f aca="false">G169</f>
        <v>0.173691990791118</v>
      </c>
      <c r="H30" s="26" t="n">
        <f aca="false">H169</f>
        <v>0.0750017132919303</v>
      </c>
      <c r="I30" s="26" t="n">
        <f aca="false">I169</f>
        <v>0.0389307010494775</v>
      </c>
      <c r="J30" s="26" t="n">
        <f aca="false">J169</f>
        <v>0.00285714285714289</v>
      </c>
    </row>
    <row r="32" customFormat="false" ht="17.15" hidden="false" customHeight="false" outlineLevel="0" collapsed="false">
      <c r="A32" s="1" t="s">
        <v>610</v>
      </c>
    </row>
    <row r="33" customFormat="false" ht="15" hidden="false" customHeight="false" outlineLevel="0" collapsed="false">
      <c r="A33" s="3" t="s">
        <v>515</v>
      </c>
      <c r="B33" s="0" t="s">
        <v>303</v>
      </c>
      <c r="C33" s="23" t="n">
        <f aca="false">C206</f>
        <v>131.241</v>
      </c>
      <c r="D33" s="23" t="n">
        <f aca="false">D206</f>
        <v>188.2685</v>
      </c>
      <c r="E33" s="23" t="n">
        <f aca="false">E206</f>
        <v>245.842654649375</v>
      </c>
      <c r="F33" s="23" t="n">
        <f aca="false">F206</f>
        <v>198.683478334238</v>
      </c>
      <c r="G33" s="23" t="n">
        <f aca="false">G206</f>
        <v>217.23260122239</v>
      </c>
      <c r="H33" s="25" t="n">
        <f aca="false">H206</f>
        <v>232.201399973629</v>
      </c>
      <c r="I33" s="25" t="n">
        <f aca="false">I206</f>
        <v>242.523539199511</v>
      </c>
      <c r="J33" s="25" t="n">
        <f aca="false">J206</f>
        <v>247.374009983501</v>
      </c>
    </row>
    <row r="34" customFormat="false" ht="15" hidden="false" customHeight="false" outlineLevel="0" collapsed="false">
      <c r="A34" s="3" t="s">
        <v>600</v>
      </c>
      <c r="B34" s="0" t="s">
        <v>45</v>
      </c>
      <c r="D34" s="20" t="n">
        <f aca="false">D208</f>
        <v>0.434525034097576</v>
      </c>
      <c r="E34" s="20" t="n">
        <f aca="false">E208</f>
        <v>0.30580875</v>
      </c>
      <c r="F34" s="20" t="n">
        <f aca="false">F208</f>
        <v>-0.191826664019703</v>
      </c>
      <c r="G34" s="20" t="n">
        <f aca="false">G208</f>
        <v>0.0933601678592939</v>
      </c>
      <c r="H34" s="26" t="n">
        <f aca="false">H208</f>
        <v>0.0689067785728626</v>
      </c>
      <c r="I34" s="26" t="n">
        <f aca="false">I208</f>
        <v>0.0444533892864313</v>
      </c>
      <c r="J34" s="26" t="n">
        <f aca="false">J208</f>
        <v>0.02</v>
      </c>
    </row>
    <row r="35" customFormat="false" ht="17.15" hidden="false" customHeight="false" outlineLevel="0" collapsed="false">
      <c r="A35" s="0" t="s">
        <v>601</v>
      </c>
      <c r="B35" s="0" t="s">
        <v>303</v>
      </c>
      <c r="D35" s="23" t="n">
        <f aca="false">D195</f>
        <v>99.782305</v>
      </c>
      <c r="E35" s="23" t="n">
        <f aca="false">E195</f>
        <v>148.513488204375</v>
      </c>
      <c r="F35" s="23" t="n">
        <f aca="false">F195</f>
        <v>114.160259951838</v>
      </c>
      <c r="G35" s="23" t="n">
        <f aca="false">G195</f>
        <v>128.209178668807</v>
      </c>
    </row>
    <row r="36" customFormat="false" ht="17.15" hidden="false" customHeight="false" outlineLevel="0" collapsed="false">
      <c r="A36" s="0" t="s">
        <v>602</v>
      </c>
      <c r="B36" s="0" t="s">
        <v>303</v>
      </c>
      <c r="D36" s="23" t="n">
        <f aca="false">D197</f>
        <v>74.83672875</v>
      </c>
      <c r="E36" s="23" t="n">
        <f aca="false">E197</f>
        <v>123.201474818424</v>
      </c>
      <c r="F36" s="23" t="n">
        <f aca="false">F197</f>
        <v>87.6954981082126</v>
      </c>
      <c r="G36" s="23" t="n">
        <f aca="false">G197</f>
        <v>100.950473969874</v>
      </c>
    </row>
    <row r="37" customFormat="false" ht="17.15" hidden="false" customHeight="false" outlineLevel="0" collapsed="false">
      <c r="A37" s="0" t="s">
        <v>603</v>
      </c>
      <c r="B37" s="0" t="s">
        <v>45</v>
      </c>
      <c r="D37" s="20" t="n">
        <f aca="false">D196</f>
        <v>1</v>
      </c>
      <c r="E37" s="20" t="n">
        <f aca="false">E196</f>
        <v>0.985135401617438</v>
      </c>
      <c r="F37" s="20" t="n">
        <f aca="false">F196</f>
        <v>1</v>
      </c>
      <c r="G37" s="20" t="n">
        <f aca="false">G196</f>
        <v>1</v>
      </c>
    </row>
    <row r="38" customFormat="false" ht="15" hidden="false" customHeight="false" outlineLevel="0" collapsed="false">
      <c r="A38" s="3" t="s">
        <v>522</v>
      </c>
      <c r="B38" s="0" t="s">
        <v>45</v>
      </c>
      <c r="C38" s="13" t="n">
        <f aca="false">C217</f>
        <v>0.139377176339711</v>
      </c>
      <c r="D38" s="13" t="n">
        <f aca="false">D217</f>
        <v>0.251412029627899</v>
      </c>
      <c r="E38" s="13" t="n">
        <f aca="false">E217</f>
        <v>0.295840315893205</v>
      </c>
      <c r="F38" s="13" t="n">
        <f aca="false">F217</f>
        <v>0.238685510296111</v>
      </c>
      <c r="G38" s="13" t="n">
        <f aca="false">G217</f>
        <v>0.240959985334981</v>
      </c>
    </row>
    <row r="39" customFormat="false" ht="15" hidden="false" customHeight="false" outlineLevel="0" collapsed="false">
      <c r="A39" s="3" t="s">
        <v>604</v>
      </c>
      <c r="B39" s="0" t="s">
        <v>303</v>
      </c>
      <c r="C39" s="23" t="n">
        <f aca="false">C213</f>
        <v>18.8</v>
      </c>
      <c r="D39" s="23" t="n">
        <f aca="false">D213</f>
        <v>20.8</v>
      </c>
      <c r="E39" s="23" t="n">
        <f aca="false">E213</f>
        <v>24.9125</v>
      </c>
      <c r="F39" s="23" t="n">
        <f aca="false">F213</f>
        <v>26.7984375</v>
      </c>
      <c r="G39" s="23" t="n">
        <f aca="false">G213</f>
        <v>27.1986328125</v>
      </c>
      <c r="H39" s="25" t="n">
        <f aca="false">H213</f>
        <v>29.0728029811955</v>
      </c>
      <c r="I39" s="25" t="n">
        <f aca="false">I213</f>
        <v>30.3651876097663</v>
      </c>
      <c r="J39" s="25" t="n">
        <f aca="false">J213</f>
        <v>30.9724913619617</v>
      </c>
    </row>
    <row r="40" customFormat="false" ht="15" hidden="false" customHeight="false" outlineLevel="0" collapsed="false">
      <c r="A40" s="3" t="s">
        <v>605</v>
      </c>
      <c r="B40" s="0" t="s">
        <v>45</v>
      </c>
      <c r="C40" s="13" t="n">
        <f aca="false">C220</f>
        <v>0.0508530108731265</v>
      </c>
      <c r="D40" s="13" t="n">
        <f aca="false">D220</f>
        <v>0.162953507888999</v>
      </c>
      <c r="E40" s="13" t="n">
        <f aca="false">E220</f>
        <v>0.215668272540921</v>
      </c>
      <c r="F40" s="13" t="n">
        <f aca="false">F220</f>
        <v>0.150901666386088</v>
      </c>
      <c r="G40" s="13" t="n">
        <f aca="false">G220</f>
        <v>0.156174426763565</v>
      </c>
    </row>
    <row r="41" customFormat="false" ht="15" hidden="false" customHeight="false" outlineLevel="0" collapsed="false">
      <c r="A41" s="3" t="s">
        <v>535</v>
      </c>
      <c r="B41" s="0" t="s">
        <v>303</v>
      </c>
      <c r="C41" s="23" t="n">
        <f aca="false">C224</f>
        <v>6.673</v>
      </c>
      <c r="D41" s="23" t="n">
        <f aca="false">D224</f>
        <v>37.23923025</v>
      </c>
      <c r="E41" s="23" t="n">
        <f aca="false">E224</f>
        <v>45.116777728986</v>
      </c>
      <c r="F41" s="23" t="n">
        <f aca="false">F224</f>
        <v>26.2249677304969</v>
      </c>
      <c r="G41" s="23" t="n">
        <f aca="false">G224</f>
        <v>29.4594651156172</v>
      </c>
      <c r="H41" s="25" t="n">
        <f aca="false">H224</f>
        <v>29.3901271581998</v>
      </c>
      <c r="I41" s="25" t="n">
        <f aca="false">I224</f>
        <v>28.504002356088</v>
      </c>
      <c r="J41" s="25" t="n">
        <f aca="false">J224</f>
        <v>26.8376145260398</v>
      </c>
    </row>
    <row r="42" customFormat="false" ht="15" hidden="false" customHeight="false" outlineLevel="0" collapsed="false">
      <c r="A42" s="3" t="s">
        <v>606</v>
      </c>
      <c r="B42" s="0" t="s">
        <v>45</v>
      </c>
      <c r="C42" s="13" t="n">
        <f aca="false">C228</f>
        <v>0.0508453913030227</v>
      </c>
      <c r="D42" s="13" t="n">
        <f aca="false">D228</f>
        <v>0.197798517808343</v>
      </c>
      <c r="E42" s="13" t="n">
        <f aca="false">E228</f>
        <v>0.183518916980995</v>
      </c>
      <c r="F42" s="13" t="n">
        <f aca="false">F228</f>
        <v>0.131993701491272</v>
      </c>
      <c r="G42" s="13" t="n">
        <f aca="false">G228</f>
        <v>0.135612541348977</v>
      </c>
      <c r="H42" s="27" t="n">
        <f aca="false">H228</f>
        <v>0.126571705259045</v>
      </c>
      <c r="I42" s="27" t="n">
        <f aca="false">I228</f>
        <v>0.117530869169113</v>
      </c>
      <c r="J42" s="27" t="n">
        <f aca="false">J228</f>
        <v>0.108490033079181</v>
      </c>
    </row>
    <row r="43" customFormat="false" ht="15" hidden="false" customHeight="false" outlineLevel="0" collapsed="false">
      <c r="A43" s="0" t="s">
        <v>607</v>
      </c>
      <c r="B43" s="0" t="s">
        <v>387</v>
      </c>
      <c r="C43" s="18" t="n">
        <f aca="false">C226</f>
        <v>4.38</v>
      </c>
      <c r="D43" s="18" t="n">
        <f aca="false">D226</f>
        <v>23.3861414610695</v>
      </c>
      <c r="E43" s="18" t="n">
        <f aca="false">E226</f>
        <v>27.5102303225525</v>
      </c>
      <c r="F43" s="18" t="n">
        <f aca="false">F226</f>
        <v>15.9908339820103</v>
      </c>
      <c r="G43" s="18" t="n">
        <f aca="false">G226</f>
        <v>17.9630884851324</v>
      </c>
      <c r="H43" s="28" t="n">
        <f aca="false">H226</f>
        <v>17.9208092428047</v>
      </c>
      <c r="I43" s="28" t="n">
        <f aca="false">I226</f>
        <v>17.3804892415171</v>
      </c>
      <c r="J43" s="28" t="n">
        <f aca="false">J226</f>
        <v>16.3643991012438</v>
      </c>
    </row>
    <row r="44" customFormat="false" ht="17.15" hidden="false" customHeight="false" outlineLevel="0" collapsed="false">
      <c r="A44" s="0" t="s">
        <v>608</v>
      </c>
      <c r="B44" s="0" t="s">
        <v>45</v>
      </c>
      <c r="D44" s="20" t="n">
        <f aca="false">D227</f>
        <v>4.33930170344053</v>
      </c>
      <c r="E44" s="20" t="n">
        <f aca="false">E227</f>
        <v>0.176347554740839</v>
      </c>
      <c r="F44" s="20" t="n">
        <f aca="false">F227</f>
        <v>-0.4187313666763</v>
      </c>
      <c r="G44" s="20" t="n">
        <f aca="false">G227</f>
        <v>0.123336563017348</v>
      </c>
      <c r="H44" s="26" t="n">
        <f aca="false">H227</f>
        <v>-0.00235367333199477</v>
      </c>
      <c r="I44" s="26" t="n">
        <f aca="false">I227</f>
        <v>-0.030150424234028</v>
      </c>
      <c r="J44" s="26" t="n">
        <f aca="false">J227</f>
        <v>-0.0584615384615385</v>
      </c>
    </row>
    <row r="46" customFormat="false" ht="17.15" hidden="false" customHeight="false" outlineLevel="0" collapsed="false">
      <c r="A46" s="1" t="s">
        <v>611</v>
      </c>
    </row>
    <row r="47" customFormat="false" ht="17.15" hidden="false" customHeight="false" outlineLevel="0" collapsed="false">
      <c r="A47" s="3" t="s">
        <v>612</v>
      </c>
      <c r="D47" s="29" t="n">
        <f aca="false">ABS(D90-a26_rev)+ABS(D148-a26_rev)+ABS(D206-a26_rev)</f>
        <v>0</v>
      </c>
    </row>
    <row r="48" customFormat="false" ht="17.15" hidden="false" customHeight="false" outlineLevel="0" collapsed="false">
      <c r="A48" s="3" t="s">
        <v>613</v>
      </c>
      <c r="D48" s="29" t="n">
        <f aca="false">ABS(D110-a26_eps)+ABS(D168-a26_eps)+ABS(D226-a26_eps)</f>
        <v>0</v>
      </c>
    </row>
    <row r="49" customFormat="false" ht="17.15" hidden="false" customHeight="false" outlineLevel="0" collapsed="false">
      <c r="A49" s="3" t="s">
        <v>614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615</v>
      </c>
    </row>
    <row r="61" customFormat="false" ht="17.15" hidden="false" customHeight="false" outlineLevel="0" collapsed="false">
      <c r="A61" s="4" t="s">
        <v>22</v>
      </c>
      <c r="B61" s="4" t="s">
        <v>23</v>
      </c>
      <c r="C61" s="14" t="s">
        <v>508</v>
      </c>
      <c r="D61" s="14" t="s">
        <v>592</v>
      </c>
      <c r="E61" s="14" t="s">
        <v>593</v>
      </c>
      <c r="F61" s="14" t="s">
        <v>594</v>
      </c>
      <c r="G61" s="14" t="s">
        <v>595</v>
      </c>
      <c r="H61" s="14" t="s">
        <v>596</v>
      </c>
      <c r="I61" s="14" t="s">
        <v>597</v>
      </c>
      <c r="J61" s="14" t="s">
        <v>598</v>
      </c>
      <c r="K61" s="4" t="s">
        <v>481</v>
      </c>
    </row>
    <row r="62" customFormat="false" ht="17.15" hidden="false" customHeight="false" outlineLevel="0" collapsed="false">
      <c r="A62" s="5" t="s">
        <v>616</v>
      </c>
    </row>
    <row r="63" customFormat="false" ht="17.15" hidden="false" customHeight="false" outlineLevel="0" collapsed="false">
      <c r="A63" s="0" t="s">
        <v>617</v>
      </c>
      <c r="B63" s="3" t="s">
        <v>33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618</v>
      </c>
    </row>
    <row r="64" customFormat="false" ht="17.15" hidden="false" customHeight="false" outlineLevel="0" collapsed="false">
      <c r="A64" s="3" t="s">
        <v>619</v>
      </c>
      <c r="B64" s="3" t="s">
        <v>33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620</v>
      </c>
    </row>
    <row r="65" customFormat="false" ht="17.15" hidden="false" customHeight="false" outlineLevel="0" collapsed="false">
      <c r="A65" s="3" t="s">
        <v>621</v>
      </c>
      <c r="B65" s="0" t="s">
        <v>145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622</v>
      </c>
    </row>
    <row r="66" customFormat="false" ht="17.15" hidden="false" customHeight="false" outlineLevel="0" collapsed="false">
      <c r="A66" s="0" t="s">
        <v>623</v>
      </c>
      <c r="B66" s="0" t="s">
        <v>145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624</v>
      </c>
    </row>
    <row r="67" customFormat="false" ht="17.15" hidden="false" customHeight="false" outlineLevel="0" collapsed="false">
      <c r="A67" s="3" t="s">
        <v>625</v>
      </c>
      <c r="B67" s="0" t="s">
        <v>145</v>
      </c>
      <c r="D67" s="18" t="n">
        <f aca="false">1</f>
        <v>1</v>
      </c>
      <c r="E67" s="18" t="n">
        <f aca="false">1+carry</f>
        <v>1.05</v>
      </c>
      <c r="F67" s="18" t="n">
        <f aca="false">1+carry</f>
        <v>1.05</v>
      </c>
      <c r="G67" s="18" t="n">
        <f aca="false">1+carry</f>
        <v>1.05</v>
      </c>
      <c r="K67" s="7" t="s">
        <v>626</v>
      </c>
    </row>
    <row r="68" customFormat="false" ht="17.15" hidden="false" customHeight="false" outlineLevel="0" collapsed="false">
      <c r="A68" s="3" t="s">
        <v>627</v>
      </c>
      <c r="B68" s="0" t="s">
        <v>628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629</v>
      </c>
    </row>
    <row r="69" customFormat="false" ht="17.15" hidden="false" customHeight="false" outlineLevel="0" collapsed="false">
      <c r="A69" s="3" t="s">
        <v>630</v>
      </c>
      <c r="B69" s="0" t="s">
        <v>45</v>
      </c>
      <c r="D69" s="20" t="n">
        <f aca="false">sh_nv_26</f>
        <v>0.25</v>
      </c>
      <c r="E69" s="20" t="n">
        <f aca="false">sh_nv_27</f>
        <v>0.27</v>
      </c>
      <c r="F69" s="20" t="n">
        <f aca="false">sh_nv_28</f>
        <v>0.29</v>
      </c>
      <c r="G69" s="20" t="n">
        <f aca="false">sh_nv_29</f>
        <v>0.3</v>
      </c>
    </row>
    <row r="70" customFormat="false" ht="17.15" hidden="false" customHeight="false" outlineLevel="0" collapsed="false">
      <c r="A70" s="3" t="s">
        <v>631</v>
      </c>
      <c r="B70" s="0" t="s">
        <v>45</v>
      </c>
      <c r="D70" s="20" t="n">
        <f aca="false">sh_ot_26</f>
        <v>0.3</v>
      </c>
      <c r="E70" s="20" t="n">
        <f aca="false">sh_ot_27</f>
        <v>0.31</v>
      </c>
      <c r="F70" s="20" t="n">
        <f aca="false">sh_ot_28</f>
        <v>0.32</v>
      </c>
      <c r="G70" s="20" t="n">
        <f aca="false">sh_ot_29</f>
        <v>0.33</v>
      </c>
    </row>
    <row r="71" customFormat="false" ht="17.15" hidden="false" customHeight="false" outlineLevel="0" collapsed="false">
      <c r="A71" s="3" t="s">
        <v>632</v>
      </c>
      <c r="B71" s="0" t="s">
        <v>582</v>
      </c>
      <c r="D71" s="22" t="n">
        <f aca="false">(D63*D68*D69+D64*D68*v_ot*D70)*D67</f>
        <v>801.809211504</v>
      </c>
      <c r="E71" s="22" t="n">
        <f aca="false">(E63*E68*E69+E64*E68*v_ot*E70)*E67</f>
        <v>1624.8799315544</v>
      </c>
      <c r="F71" s="22" t="n">
        <f aca="false">(F63*F68*F69+F64*F68*v_ot*F70)*F67</f>
        <v>2125.32134231777</v>
      </c>
      <c r="G71" s="22" t="n">
        <f aca="false">(G63*G68*G69+G64*G68*v_ot*G70)*G67</f>
        <v>2788.4812844467</v>
      </c>
    </row>
    <row r="72" customFormat="false" ht="15" hidden="false" customHeight="false" outlineLevel="0" collapsed="false">
      <c r="A72" s="3" t="s">
        <v>633</v>
      </c>
      <c r="B72" s="0" t="s">
        <v>303</v>
      </c>
      <c r="D72" s="21" t="n">
        <f aca="false">D71*fx/1000</f>
        <v>25.657894768128</v>
      </c>
      <c r="E72" s="21" t="n">
        <f aca="false">E71*fx/1000</f>
        <v>51.9961578097409</v>
      </c>
      <c r="F72" s="21" t="n">
        <f aca="false">F71*fx/1000</f>
        <v>68.0102829541688</v>
      </c>
      <c r="G72" s="21" t="n">
        <f aca="false">G71*fx/1000</f>
        <v>89.2314011022944</v>
      </c>
    </row>
    <row r="73" customFormat="false" ht="17.15" hidden="false" customHeight="false" outlineLevel="0" collapsed="false">
      <c r="A73" s="5" t="s">
        <v>634</v>
      </c>
    </row>
    <row r="74" customFormat="false" ht="17.15" hidden="false" customHeight="false" outlineLevel="0" collapsed="false">
      <c r="A74" s="0" t="s">
        <v>635</v>
      </c>
      <c r="B74" s="0" t="s">
        <v>303</v>
      </c>
      <c r="D74" s="21" t="n">
        <f aca="false">a26_abf*ai_abf</f>
        <v>74.83672875</v>
      </c>
      <c r="K74" s="3" t="s">
        <v>636</v>
      </c>
    </row>
    <row r="75" customFormat="false" ht="17.15" hidden="false" customHeight="false" outlineLevel="0" collapsed="false">
      <c r="A75" s="3" t="s">
        <v>637</v>
      </c>
      <c r="B75" s="0" t="s">
        <v>303</v>
      </c>
      <c r="D75" s="21" t="n">
        <f aca="false">D74-D72</f>
        <v>49.178833981872</v>
      </c>
      <c r="E75" s="21" t="n">
        <f aca="false">$D75*(itc_27/itc_26)^el_o*1*1*E66*E67</f>
        <v>73.0642903440322</v>
      </c>
      <c r="F75" s="21" t="n">
        <f aca="false">$D75*(itc_28/itc_26)^el_o*um28_A*1*F66*F67</f>
        <v>78.1488805595188</v>
      </c>
      <c r="G75" s="21" t="n">
        <f aca="false">$D75*(itc_29/itc_26)^el_o*um29_A*1*G66*G67</f>
        <v>79.0193888474949</v>
      </c>
      <c r="K75" s="7" t="s">
        <v>638</v>
      </c>
    </row>
    <row r="76" customFormat="false" ht="17.15" hidden="false" customHeight="false" outlineLevel="0" collapsed="false">
      <c r="A76" s="3" t="s">
        <v>639</v>
      </c>
      <c r="B76" s="0" t="s">
        <v>303</v>
      </c>
      <c r="D76" s="21" t="n">
        <f aca="false">a26_abf-D74</f>
        <v>24.94557625</v>
      </c>
      <c r="E76" s="21" t="n">
        <f aca="false">D76*(1+g_nai)</f>
        <v>25.6939435375</v>
      </c>
      <c r="F76" s="21" t="n">
        <f aca="false">E76*(1+g_nai)</f>
        <v>26.464761843625</v>
      </c>
      <c r="G76" s="21" t="n">
        <f aca="false">F76*(1+g_nai)</f>
        <v>27.2587046989338</v>
      </c>
    </row>
    <row r="77" customFormat="false" ht="17.15" hidden="false" customHeight="false" outlineLevel="0" collapsed="false">
      <c r="A77" s="0" t="s">
        <v>640</v>
      </c>
      <c r="B77" s="0" t="s">
        <v>303</v>
      </c>
      <c r="D77" s="21" t="n">
        <f aca="false">D72+D75+D76</f>
        <v>99.782305</v>
      </c>
      <c r="E77" s="21" t="n">
        <f aca="false">E72+E75+E76</f>
        <v>150.754391691273</v>
      </c>
      <c r="F77" s="21" t="n">
        <f aca="false">F72+F75+F76</f>
        <v>172.623925357313</v>
      </c>
      <c r="G77" s="21" t="n">
        <f aca="false">G72+G75+G76</f>
        <v>195.509494648723</v>
      </c>
    </row>
    <row r="78" customFormat="false" ht="17.15" hidden="false" customHeight="false" outlineLevel="0" collapsed="false">
      <c r="A78" s="0" t="s">
        <v>641</v>
      </c>
      <c r="B78" s="0" t="s">
        <v>303</v>
      </c>
      <c r="D78" s="21" t="n">
        <f aca="false">a26_abf</f>
        <v>99.782305</v>
      </c>
      <c r="E78" s="21" t="n">
        <f aca="false">$D77*cap_27*(1+g_mix)^1*E66*E67</f>
        <v>148.513488204375</v>
      </c>
      <c r="F78" s="21" t="n">
        <f aca="false">$D77*cap_28*(1+g_mix)^2*F66*F67</f>
        <v>186.549442683384</v>
      </c>
      <c r="G78" s="21" t="n">
        <f aca="false">$D77*cap_29*(1+g_mix)^3*G66*G67</f>
        <v>218.314827660431</v>
      </c>
      <c r="K78" s="7" t="s">
        <v>642</v>
      </c>
    </row>
    <row r="79" customFormat="false" ht="17.15" hidden="false" customHeight="false" outlineLevel="0" collapsed="false">
      <c r="A79" s="0" t="s">
        <v>643</v>
      </c>
      <c r="B79" s="0" t="s">
        <v>303</v>
      </c>
      <c r="D79" s="21" t="n">
        <f aca="false">a26_abf</f>
        <v>99.782305</v>
      </c>
      <c r="E79" s="21" t="n">
        <f aca="false">MIN(E77,E78)</f>
        <v>148.513488204375</v>
      </c>
      <c r="F79" s="21" t="n">
        <f aca="false">MIN(F77,F78)</f>
        <v>172.623925357313</v>
      </c>
      <c r="G79" s="21" t="n">
        <f aca="false">MIN(G77,G78)</f>
        <v>195.509494648723</v>
      </c>
    </row>
    <row r="80" customFormat="false" ht="17.15" hidden="false" customHeight="false" outlineLevel="0" collapsed="false">
      <c r="A80" s="3" t="s">
        <v>644</v>
      </c>
      <c r="B80" s="0" t="s">
        <v>45</v>
      </c>
      <c r="D80" s="20" t="n">
        <f aca="false">D79/D77</f>
        <v>1</v>
      </c>
      <c r="E80" s="20" t="n">
        <f aca="false">E79/E77</f>
        <v>0.985135401617438</v>
      </c>
      <c r="F80" s="20" t="n">
        <f aca="false">F79/F77</f>
        <v>1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645</v>
      </c>
      <c r="B81" s="0" t="s">
        <v>303</v>
      </c>
      <c r="D81" s="21" t="n">
        <f aca="false">(D72+D75)*D80</f>
        <v>74.83672875</v>
      </c>
      <c r="E81" s="21" t="n">
        <f aca="false">(E72+E75)*E80</f>
        <v>123.201474818424</v>
      </c>
      <c r="F81" s="21" t="n">
        <f aca="false">(F72+F75)*F80</f>
        <v>146.159163513688</v>
      </c>
      <c r="G81" s="21" t="n">
        <f aca="false">(G72+G75)*G80</f>
        <v>168.250789949789</v>
      </c>
    </row>
    <row r="82" customFormat="false" ht="17.15" hidden="false" customHeight="false" outlineLevel="0" collapsed="false">
      <c r="A82" s="3" t="s">
        <v>646</v>
      </c>
      <c r="B82" s="0" t="s">
        <v>45</v>
      </c>
      <c r="D82" s="20" t="n">
        <f aca="false">D72/(D72+D75)</f>
        <v>0.342851634440636</v>
      </c>
      <c r="E82" s="20" t="n">
        <f aca="false">E72/(E72+E75)</f>
        <v>0.41576820311572</v>
      </c>
      <c r="F82" s="20" t="n">
        <f aca="false">F72/(F72+F75)</f>
        <v>0.465316585831443</v>
      </c>
      <c r="G82" s="20" t="n">
        <f aca="false">G72/(G72+G75)</f>
        <v>0.530347590813235</v>
      </c>
    </row>
    <row r="83" customFormat="false" ht="17.15" hidden="false" customHeight="false" outlineLevel="0" collapsed="false">
      <c r="A83" s="5" t="s">
        <v>647</v>
      </c>
    </row>
    <row r="84" customFormat="false" ht="17.15" hidden="false" customHeight="false" outlineLevel="0" collapsed="false">
      <c r="A84" s="0" t="s">
        <v>550</v>
      </c>
      <c r="B84" s="0" t="s">
        <v>303</v>
      </c>
      <c r="D84" s="21" t="n">
        <f aca="false">a26_bt</f>
        <v>16.944165</v>
      </c>
      <c r="E84" s="21" t="n">
        <f aca="false">D84*(1+g_bt)</f>
        <v>17.79137325</v>
      </c>
      <c r="F84" s="21" t="n">
        <f aca="false">E84*(1+g_bt)</f>
        <v>18.6809419125</v>
      </c>
      <c r="G84" s="21" t="n">
        <f aca="false">F84*(1+g_bt)</f>
        <v>19.614989008125</v>
      </c>
    </row>
    <row r="85" customFormat="false" ht="17.15" hidden="false" customHeight="false" outlineLevel="0" collapsed="false">
      <c r="A85" s="0" t="s">
        <v>648</v>
      </c>
      <c r="B85" s="0" t="s">
        <v>303</v>
      </c>
      <c r="D85" s="21" t="n">
        <f aca="false">a26_pcb*ai_pcb</f>
        <v>37.93610275</v>
      </c>
      <c r="E85" s="21" t="n">
        <f aca="false">D85*(1+g_pai_27)</f>
        <v>45.5233233</v>
      </c>
      <c r="F85" s="21" t="n">
        <f aca="false">D85*(1+g_pai_27)*(1+g_pai_28)*um28_A</f>
        <v>52.351821795</v>
      </c>
      <c r="G85" s="21" t="n">
        <f aca="false">D85*(1+g_pai_27)*(1+g_pai_28)*(1+g_pai_29)*um29_A</f>
        <v>57.5870039745</v>
      </c>
      <c r="K85" s="3" t="s">
        <v>649</v>
      </c>
    </row>
    <row r="86" customFormat="false" ht="17.15" hidden="false" customHeight="false" outlineLevel="0" collapsed="false">
      <c r="A86" s="3" t="s">
        <v>650</v>
      </c>
      <c r="B86" s="0" t="s">
        <v>303</v>
      </c>
      <c r="D86" s="21" t="n">
        <f aca="false">a26_pcb*(1-ai_pcb)</f>
        <v>20.42713225</v>
      </c>
      <c r="E86" s="21" t="n">
        <f aca="false">D86*(1+g_pcbn)</f>
        <v>20.835674895</v>
      </c>
      <c r="F86" s="21" t="n">
        <f aca="false">E86*(1+g_pcbn)</f>
        <v>21.2523883929</v>
      </c>
      <c r="G86" s="21" t="n">
        <f aca="false">F86*(1+g_pcbn)</f>
        <v>21.677436160758</v>
      </c>
    </row>
    <row r="87" customFormat="false" ht="15" hidden="false" customHeight="false" outlineLevel="0" collapsed="false">
      <c r="A87" s="3" t="s">
        <v>552</v>
      </c>
      <c r="B87" s="0" t="s">
        <v>303</v>
      </c>
      <c r="D87" s="21" t="n">
        <f aca="false">a26_fpc</f>
        <v>13.178795</v>
      </c>
      <c r="E87" s="21" t="n">
        <f aca="false">D87*(1+g_fpc)</f>
        <v>13.178795</v>
      </c>
      <c r="F87" s="21" t="n">
        <f aca="false">E87*(1+g_fpc)</f>
        <v>13.178795</v>
      </c>
      <c r="G87" s="21" t="n">
        <f aca="false">F87*(1+g_fpc)</f>
        <v>13.178795</v>
      </c>
    </row>
    <row r="88" customFormat="false" ht="17.15" hidden="false" customHeight="false" outlineLevel="0" collapsed="false">
      <c r="A88" s="3" t="s">
        <v>651</v>
      </c>
      <c r="B88" s="0" t="s">
        <v>303</v>
      </c>
      <c r="D88" s="21" t="n">
        <f aca="false">D79+D84</f>
        <v>116.72647</v>
      </c>
      <c r="E88" s="21" t="n">
        <f aca="false">E79+E84</f>
        <v>166.304861454375</v>
      </c>
      <c r="F88" s="21" t="n">
        <f aca="false">F79+F84</f>
        <v>191.304867269813</v>
      </c>
      <c r="G88" s="21" t="n">
        <f aca="false">G79+G84</f>
        <v>215.124483656848</v>
      </c>
      <c r="K88" s="3" t="s">
        <v>652</v>
      </c>
    </row>
    <row r="89" customFormat="false" ht="17.15" hidden="false" customHeight="false" outlineLevel="0" collapsed="false">
      <c r="A89" s="0" t="s">
        <v>653</v>
      </c>
      <c r="B89" s="0" t="s">
        <v>303</v>
      </c>
      <c r="D89" s="21" t="n">
        <f aca="false">D85+D86</f>
        <v>58.363235</v>
      </c>
      <c r="E89" s="21" t="n">
        <f aca="false">E85+E86</f>
        <v>66.358998195</v>
      </c>
      <c r="F89" s="21" t="n">
        <f aca="false">F85+F86</f>
        <v>73.6042101879</v>
      </c>
      <c r="G89" s="21" t="n">
        <f aca="false">G85+G86</f>
        <v>79.264440135258</v>
      </c>
      <c r="K89" s="3" t="s">
        <v>654</v>
      </c>
    </row>
    <row r="90" customFormat="false" ht="17.15" hidden="false" customHeight="false" outlineLevel="0" collapsed="false">
      <c r="A90" s="3" t="s">
        <v>515</v>
      </c>
      <c r="B90" s="0" t="s">
        <v>303</v>
      </c>
      <c r="C90" s="23" t="n">
        <f aca="false">a25_rev</f>
        <v>131.241</v>
      </c>
      <c r="D90" s="23" t="n">
        <f aca="false">D88+D89+D87</f>
        <v>188.2685</v>
      </c>
      <c r="E90" s="23" t="n">
        <f aca="false">E88+E89+E87</f>
        <v>245.842654649375</v>
      </c>
      <c r="F90" s="23" t="n">
        <f aca="false">F88+F89+F87</f>
        <v>278.087872457713</v>
      </c>
      <c r="G90" s="23" t="n">
        <f aca="false">G88+G89+G87</f>
        <v>307.567718792106</v>
      </c>
      <c r="H90" s="25" t="n">
        <f aca="false">G90*(1+H92)</f>
        <v>335.455725464882</v>
      </c>
      <c r="I90" s="25" t="n">
        <f aca="false">H90*(1+I92)</f>
        <v>360.727741503264</v>
      </c>
      <c r="J90" s="25" t="n">
        <f aca="false">I90*(1+J92)</f>
        <v>382.371405993459</v>
      </c>
      <c r="K90" s="7" t="s">
        <v>655</v>
      </c>
    </row>
    <row r="91" customFormat="false" ht="17.15" hidden="false" customHeight="false" outlineLevel="0" collapsed="false">
      <c r="A91" s="3" t="s">
        <v>656</v>
      </c>
      <c r="B91" s="0" t="s">
        <v>303</v>
      </c>
      <c r="D91" s="19" t="n">
        <f aca="false">D88+D89+D87-D90</f>
        <v>0</v>
      </c>
      <c r="E91" s="19" t="n">
        <f aca="false">E88+E89+E87-E90</f>
        <v>0</v>
      </c>
      <c r="F91" s="19" t="n">
        <f aca="false">F88+F89+F87-F90</f>
        <v>0</v>
      </c>
      <c r="G91" s="19" t="n">
        <f aca="false">G88+G89+G87-G90</f>
        <v>0</v>
      </c>
    </row>
    <row r="92" customFormat="false" ht="15" hidden="false" customHeight="false" outlineLevel="0" collapsed="false">
      <c r="A92" s="3" t="s">
        <v>657</v>
      </c>
      <c r="B92" s="0" t="s">
        <v>45</v>
      </c>
      <c r="D92" s="20" t="n">
        <f aca="false">D90/C90-1</f>
        <v>0.434525034097576</v>
      </c>
      <c r="E92" s="20" t="n">
        <f aca="false">E90/D90-1</f>
        <v>0.30580875</v>
      </c>
      <c r="F92" s="20" t="n">
        <f aca="false">F90/E90-1</f>
        <v>0.131162014396266</v>
      </c>
      <c r="G92" s="20" t="n">
        <f aca="false">G90/F90-1</f>
        <v>0.106009104510217</v>
      </c>
      <c r="H92" s="26" t="n">
        <f aca="false">$G92+(fade_gA-$G92)*1/3</f>
        <v>0.0906727363401445</v>
      </c>
      <c r="I92" s="26" t="n">
        <f aca="false">$G92+(fade_gA-$G92)*2/3</f>
        <v>0.0753363681700722</v>
      </c>
      <c r="J92" s="26" t="n">
        <f aca="false">$G92+(fade_gA-$G92)*3/3</f>
        <v>0.06</v>
      </c>
    </row>
    <row r="93" customFormat="false" ht="17.15" hidden="false" customHeight="false" outlineLevel="0" collapsed="false">
      <c r="A93" s="0" t="s">
        <v>658</v>
      </c>
      <c r="B93" s="0" t="s">
        <v>45</v>
      </c>
      <c r="D93" s="20" t="n">
        <f aca="false">D79/D90</f>
        <v>0.53</v>
      </c>
      <c r="E93" s="20" t="n">
        <f aca="false">E79/E90</f>
        <v>0.604099758100105</v>
      </c>
      <c r="F93" s="20" t="n">
        <f aca="false">F79/F90</f>
        <v>0.620753159178355</v>
      </c>
      <c r="G93" s="20" t="n">
        <f aca="false">G79/G90</f>
        <v>0.635663246508889</v>
      </c>
    </row>
    <row r="94" customFormat="false" ht="17.15" hidden="false" customHeight="false" outlineLevel="0" collapsed="false">
      <c r="A94" s="0" t="s">
        <v>659</v>
      </c>
      <c r="B94" s="0" t="s">
        <v>45</v>
      </c>
      <c r="D94" s="20" t="n">
        <f aca="false">(D81+D85)/D90</f>
        <v>0.599</v>
      </c>
      <c r="E94" s="20" t="n">
        <f aca="false">(E81+E85)/E90</f>
        <v>0.686312138790815</v>
      </c>
      <c r="F94" s="20" t="n">
        <f aca="false">(F81+F85)/F90</f>
        <v>0.713842655396179</v>
      </c>
      <c r="G94" s="20" t="n">
        <f aca="false">(G81+G85)/G90</f>
        <v>0.734270146461436</v>
      </c>
      <c r="K94" s="3" t="s">
        <v>660</v>
      </c>
    </row>
    <row r="95" customFormat="false" ht="17.15" hidden="false" customHeight="false" outlineLevel="0" collapsed="false">
      <c r="A95" s="5" t="s">
        <v>661</v>
      </c>
    </row>
    <row r="96" customFormat="false" ht="15" hidden="false" customHeight="false" outlineLevel="0" collapsed="false">
      <c r="A96" s="3" t="s">
        <v>662</v>
      </c>
      <c r="B96" s="0" t="s">
        <v>303</v>
      </c>
      <c r="C96" s="23" t="n">
        <f aca="false">a25_cx</f>
        <v>25.617</v>
      </c>
      <c r="D96" s="23" t="n">
        <f aca="false">capex26</f>
        <v>53.7</v>
      </c>
      <c r="E96" s="23" t="n">
        <f aca="false">cx27_A</f>
        <v>55</v>
      </c>
      <c r="F96" s="23" t="n">
        <f aca="false">cx28_A</f>
        <v>50</v>
      </c>
      <c r="G96" s="23" t="n">
        <f aca="false">cx29_A</f>
        <v>45</v>
      </c>
      <c r="H96" s="25" t="n">
        <f aca="false">H90*H113</f>
        <v>46.0491114644872</v>
      </c>
      <c r="I96" s="25" t="n">
        <f aca="false">I90*I113</f>
        <v>46.2587658972454</v>
      </c>
      <c r="J96" s="25" t="n">
        <f aca="false">J90*J113</f>
        <v>45.5792023656988</v>
      </c>
    </row>
    <row r="97" customFormat="false" ht="17.15" hidden="false" customHeight="false" outlineLevel="0" collapsed="false">
      <c r="A97" s="3" t="s">
        <v>663</v>
      </c>
      <c r="B97" s="0" t="s">
        <v>303</v>
      </c>
      <c r="C97" s="23" t="n">
        <f aca="false">a25_da</f>
        <v>18.8</v>
      </c>
      <c r="D97" s="23" t="n">
        <f aca="false">da26</f>
        <v>20.8</v>
      </c>
      <c r="E97" s="23" t="n">
        <f aca="false">D97*(1-1/life)+D96/life</f>
        <v>24.9125</v>
      </c>
      <c r="F97" s="23" t="n">
        <f aca="false">E97*(1-1/life)+E96/life</f>
        <v>28.6734375</v>
      </c>
      <c r="G97" s="23" t="n">
        <f aca="false">F97*(1-1/life)+F96/life</f>
        <v>31.3392578125</v>
      </c>
      <c r="H97" s="25" t="n">
        <f aca="false">H90*H98</f>
        <v>34.1808740732286</v>
      </c>
      <c r="I97" s="25" t="n">
        <f aca="false">I90*I98</f>
        <v>36.7559369867843</v>
      </c>
      <c r="J97" s="25" t="n">
        <f aca="false">J90*J98</f>
        <v>38.9612932059913</v>
      </c>
      <c r="K97" s="3" t="s">
        <v>664</v>
      </c>
    </row>
    <row r="98" customFormat="false" ht="17.15" hidden="false" customHeight="false" outlineLevel="0" collapsed="false">
      <c r="A98" s="3" t="s">
        <v>665</v>
      </c>
      <c r="B98" s="0" t="s">
        <v>45</v>
      </c>
      <c r="C98" s="20" t="n">
        <f aca="false">C97/C90</f>
        <v>0.143247917952469</v>
      </c>
      <c r="D98" s="20" t="n">
        <f aca="false">D97/D90</f>
        <v>0.110480510547436</v>
      </c>
      <c r="E98" s="20" t="n">
        <f aca="false">E97/E90</f>
        <v>0.101335140704247</v>
      </c>
      <c r="F98" s="20" t="n">
        <f aca="false">F97/F90</f>
        <v>0.103109269910216</v>
      </c>
      <c r="G98" s="20" t="n">
        <f aca="false">G97/G90</f>
        <v>0.101893846127861</v>
      </c>
      <c r="H98" s="26" t="n">
        <f aca="false">$G98</f>
        <v>0.101893846127861</v>
      </c>
      <c r="I98" s="26" t="n">
        <f aca="false">$G98</f>
        <v>0.101893846127861</v>
      </c>
      <c r="J98" s="26" t="n">
        <f aca="false">$G98</f>
        <v>0.101893846127861</v>
      </c>
    </row>
    <row r="99" customFormat="false" ht="17.15" hidden="false" customHeight="false" outlineLevel="0" collapsed="false">
      <c r="A99" s="3" t="s">
        <v>666</v>
      </c>
      <c r="B99" s="0" t="s">
        <v>303</v>
      </c>
      <c r="E99" s="21" t="n">
        <f aca="false">E81*(1-1/(E66*E67))</f>
        <v>5.86673689611544</v>
      </c>
      <c r="F99" s="21" t="n">
        <f aca="false">F81*(1-1/(F66*F67))</f>
        <v>-0.366313693016785</v>
      </c>
      <c r="G99" s="21" t="n">
        <f aca="false">G81*(1-1/(G66*G67))</f>
        <v>-9.7923740182417</v>
      </c>
      <c r="K99" s="7" t="s">
        <v>667</v>
      </c>
    </row>
    <row r="100" customFormat="false" ht="17.15" hidden="false" customHeight="false" outlineLevel="0" collapsed="false">
      <c r="A100" s="3" t="s">
        <v>668</v>
      </c>
      <c r="B100" s="0" t="s">
        <v>303</v>
      </c>
      <c r="C100" s="21" t="n">
        <f aca="false">a25_gp</f>
        <v>18.292</v>
      </c>
      <c r="D100" s="21" t="n">
        <f aca="false">a26_gp</f>
        <v>47.3329657</v>
      </c>
      <c r="E100" s="21" t="n">
        <f aca="false">$D100+ft_abf*(E79-E99-$D79)+ft_oth*((E90-E79)-($D90-$D79))+E99-(E97-$D97)</f>
        <v>72.7301686114952</v>
      </c>
      <c r="F100" s="21" t="n">
        <f aca="false">$D100+ft_abf*(F79-F99-$D79)+ft_oth*((F90-F79)-($D90-$D79))+F99-(F97-$D97)</f>
        <v>79.9416195572479</v>
      </c>
      <c r="G100" s="21" t="n">
        <f aca="false">$D100+ft_abf*(G79-G99-$D79)+ft_oth*((G90-G79)-($D90-$D79))+G99-(G97-$D97)</f>
        <v>85.6541229885864</v>
      </c>
      <c r="K100" s="3" t="s">
        <v>669</v>
      </c>
    </row>
    <row r="101" customFormat="false" ht="15" hidden="false" customHeight="false" outlineLevel="0" collapsed="false">
      <c r="A101" s="3" t="s">
        <v>522</v>
      </c>
      <c r="B101" s="0" t="s">
        <v>45</v>
      </c>
      <c r="C101" s="13" t="n">
        <f aca="false">C100/C90</f>
        <v>0.139377176339711</v>
      </c>
      <c r="D101" s="13" t="n">
        <f aca="false">D100/D90</f>
        <v>0.251412029627899</v>
      </c>
      <c r="E101" s="13" t="n">
        <f aca="false">E100/E90</f>
        <v>0.295840315893205</v>
      </c>
      <c r="F101" s="13" t="n">
        <f aca="false">F100/F90</f>
        <v>0.287468917111458</v>
      </c>
      <c r="G101" s="13" t="n">
        <f aca="false">G100/G90</f>
        <v>0.278488663650955</v>
      </c>
    </row>
    <row r="102" customFormat="false" ht="15" hidden="false" customHeight="false" outlineLevel="0" collapsed="false">
      <c r="A102" s="3" t="s">
        <v>524</v>
      </c>
      <c r="B102" s="0" t="s">
        <v>303</v>
      </c>
      <c r="C102" s="21" t="n">
        <f aca="false">a25_opx</f>
        <v>11.618</v>
      </c>
      <c r="D102" s="21" t="n">
        <f aca="false">a26_opx</f>
        <v>16.6539532</v>
      </c>
      <c r="E102" s="21" t="n">
        <f aca="false">D102*(1+phi*E92)</f>
        <v>19.7097079663903</v>
      </c>
      <c r="F102" s="21" t="n">
        <f aca="false">E102*(1+phi*F92)</f>
        <v>21.2608069664106</v>
      </c>
      <c r="G102" s="21" t="n">
        <f aca="false">F102*(1+phi*G92)</f>
        <v>22.6131104310149</v>
      </c>
    </row>
    <row r="103" customFormat="false" ht="15" hidden="false" customHeight="false" outlineLevel="0" collapsed="false">
      <c r="A103" s="3" t="s">
        <v>527</v>
      </c>
      <c r="B103" s="0" t="s">
        <v>303</v>
      </c>
      <c r="C103" s="21" t="n">
        <f aca="false">C100-C102</f>
        <v>6.674</v>
      </c>
      <c r="D103" s="21" t="n">
        <f aca="false">D100-D102</f>
        <v>30.6790125</v>
      </c>
      <c r="E103" s="21" t="n">
        <f aca="false">E100-E102</f>
        <v>53.0204606451049</v>
      </c>
      <c r="F103" s="21" t="n">
        <f aca="false">F100-F102</f>
        <v>58.6808125908373</v>
      </c>
      <c r="G103" s="21" t="n">
        <f aca="false">G100-G102</f>
        <v>63.0410125575715</v>
      </c>
    </row>
    <row r="104" customFormat="false" ht="15" hidden="false" customHeight="false" outlineLevel="0" collapsed="false">
      <c r="A104" s="3" t="s">
        <v>605</v>
      </c>
      <c r="B104" s="0" t="s">
        <v>45</v>
      </c>
      <c r="C104" s="13" t="n">
        <f aca="false">C103/C90</f>
        <v>0.0508530108731265</v>
      </c>
      <c r="D104" s="13" t="n">
        <f aca="false">D103/D90</f>
        <v>0.162953507888999</v>
      </c>
      <c r="E104" s="13" t="n">
        <f aca="false">E103/E90</f>
        <v>0.215668272540921</v>
      </c>
      <c r="F104" s="13" t="n">
        <f aca="false">F103/F90</f>
        <v>0.211015360260849</v>
      </c>
      <c r="G104" s="13" t="n">
        <f aca="false">G103/G90</f>
        <v>0.204966284514997</v>
      </c>
    </row>
    <row r="105" customFormat="false" ht="17.15" hidden="false" customHeight="false" outlineLevel="0" collapsed="false">
      <c r="A105" s="3" t="s">
        <v>670</v>
      </c>
      <c r="B105" s="0" t="s">
        <v>303</v>
      </c>
      <c r="C105" s="21" t="n">
        <f aca="false">a25_nonop</f>
        <v>-0.00100000000000033</v>
      </c>
      <c r="D105" s="21" t="n">
        <f aca="false">a26_nonop</f>
        <v>14.466</v>
      </c>
      <c r="E105" s="21" t="n">
        <f aca="false">nonop27</f>
        <v>2</v>
      </c>
      <c r="F105" s="21" t="n">
        <f aca="false">nonop28</f>
        <v>2</v>
      </c>
      <c r="G105" s="21" t="n">
        <f aca="false">nonop29</f>
        <v>2</v>
      </c>
      <c r="K105" s="7" t="s">
        <v>671</v>
      </c>
    </row>
    <row r="106" customFormat="false" ht="15" hidden="false" customHeight="false" outlineLevel="0" collapsed="false">
      <c r="A106" s="3" t="s">
        <v>533</v>
      </c>
      <c r="B106" s="0" t="s">
        <v>303</v>
      </c>
      <c r="C106" s="21" t="n">
        <f aca="false">C103+C105</f>
        <v>6.673</v>
      </c>
      <c r="D106" s="21" t="n">
        <f aca="false">D103+D105</f>
        <v>45.1450125</v>
      </c>
      <c r="E106" s="21" t="n">
        <f aca="false">E103+E105</f>
        <v>55.0204606451049</v>
      </c>
      <c r="F106" s="21" t="n">
        <f aca="false">F103+F105</f>
        <v>60.6808125908373</v>
      </c>
      <c r="G106" s="21" t="n">
        <f aca="false">G103+G105</f>
        <v>65.0410125575715</v>
      </c>
    </row>
    <row r="107" customFormat="false" ht="15" hidden="false" customHeight="false" outlineLevel="0" collapsed="false">
      <c r="A107" s="3" t="s">
        <v>537</v>
      </c>
      <c r="B107" s="0" t="s">
        <v>303</v>
      </c>
      <c r="E107" s="21" t="n">
        <f aca="false">E106*tax</f>
        <v>9.90368291611888</v>
      </c>
      <c r="F107" s="21" t="n">
        <f aca="false">F106*tax</f>
        <v>10.9225462663507</v>
      </c>
      <c r="G107" s="21" t="n">
        <f aca="false">G106*tax</f>
        <v>11.7073822603629</v>
      </c>
    </row>
    <row r="108" customFormat="false" ht="15" hidden="false" customHeight="false" outlineLevel="0" collapsed="false">
      <c r="A108" s="3" t="s">
        <v>535</v>
      </c>
      <c r="B108" s="0" t="s">
        <v>303</v>
      </c>
      <c r="C108" s="21" t="n">
        <f aca="false">a25_ni</f>
        <v>6.673</v>
      </c>
      <c r="D108" s="21" t="n">
        <f aca="false">a26_ni</f>
        <v>37.23923025</v>
      </c>
      <c r="E108" s="21" t="n">
        <f aca="false">E106-E107</f>
        <v>45.116777728986</v>
      </c>
      <c r="F108" s="21" t="n">
        <f aca="false">F106-F107</f>
        <v>49.7582663244866</v>
      </c>
      <c r="G108" s="21" t="n">
        <f aca="false">G106-G107</f>
        <v>53.3336302972087</v>
      </c>
      <c r="H108" s="30" t="n">
        <f aca="false">H90*H112</f>
        <v>58.1695364952102</v>
      </c>
      <c r="I108" s="30" t="n">
        <f aca="false">I90*I112</f>
        <v>62.5518181128958</v>
      </c>
      <c r="J108" s="30" t="n">
        <f aca="false">J90*J112</f>
        <v>66.3049271996696</v>
      </c>
    </row>
    <row r="109" customFormat="false" ht="15" hidden="false" customHeight="false" outlineLevel="0" collapsed="false">
      <c r="A109" s="3" t="s">
        <v>672</v>
      </c>
      <c r="B109" s="3" t="s">
        <v>381</v>
      </c>
      <c r="C109" s="29" t="n">
        <f aca="false">a25_sh</f>
        <v>1.52351598173516</v>
      </c>
      <c r="D109" s="29" t="n">
        <f aca="false">a26_sh</f>
        <v>1.59236316568047</v>
      </c>
      <c r="E109" s="29" t="n">
        <f aca="false">a26_shend*(1+sh_g)</f>
        <v>1.64</v>
      </c>
      <c r="F109" s="29" t="n">
        <f aca="false">E109*(1+sh_g)</f>
        <v>1.64</v>
      </c>
      <c r="G109" s="29" t="n">
        <f aca="false">F109*(1+sh_g)</f>
        <v>1.64</v>
      </c>
      <c r="H109" s="31" t="n">
        <f aca="false">G109*(1+sh_g)</f>
        <v>1.64</v>
      </c>
      <c r="I109" s="31" t="n">
        <f aca="false">H109*(1+sh_g)</f>
        <v>1.64</v>
      </c>
      <c r="J109" s="31" t="n">
        <f aca="false">I109*(1+sh_g)</f>
        <v>1.64</v>
      </c>
    </row>
    <row r="110" customFormat="false" ht="17.15" hidden="false" customHeight="false" outlineLevel="0" collapsed="false">
      <c r="A110" s="0" t="s">
        <v>540</v>
      </c>
      <c r="B110" s="0" t="s">
        <v>387</v>
      </c>
      <c r="C110" s="18" t="n">
        <f aca="false">C108/C109</f>
        <v>4.38</v>
      </c>
      <c r="D110" s="18" t="n">
        <f aca="false">D108/D109</f>
        <v>23.3861414610695</v>
      </c>
      <c r="E110" s="18" t="n">
        <f aca="false">E108/E109</f>
        <v>27.5102303225525</v>
      </c>
      <c r="F110" s="18" t="n">
        <f aca="false">F108/F109</f>
        <v>30.3404062954186</v>
      </c>
      <c r="G110" s="18" t="n">
        <f aca="false">G108/G109</f>
        <v>32.5205062787858</v>
      </c>
      <c r="H110" s="28" t="n">
        <f aca="false">H108/H109</f>
        <v>35.4692295702501</v>
      </c>
      <c r="I110" s="28" t="n">
        <f aca="false">I108/I109</f>
        <v>38.1413525078633</v>
      </c>
      <c r="J110" s="28" t="n">
        <f aca="false">J108/J109</f>
        <v>40.4298336583351</v>
      </c>
    </row>
    <row r="111" customFormat="false" ht="17.15" hidden="false" customHeight="false" outlineLevel="0" collapsed="false">
      <c r="A111" s="0" t="s">
        <v>673</v>
      </c>
      <c r="B111" s="0" t="s">
        <v>45</v>
      </c>
      <c r="D111" s="20" t="n">
        <f aca="false">D110/C110-1</f>
        <v>4.33930170344053</v>
      </c>
      <c r="E111" s="20" t="n">
        <f aca="false">E110/D110-1</f>
        <v>0.176347554740839</v>
      </c>
      <c r="F111" s="20" t="n">
        <f aca="false">F110/E110-1</f>
        <v>0.1028772183905</v>
      </c>
      <c r="G111" s="20" t="n">
        <f aca="false">G110/F110-1</f>
        <v>0.0718546733402288</v>
      </c>
      <c r="H111" s="26" t="n">
        <f aca="false">H110/G110-1</f>
        <v>0.0906727363401445</v>
      </c>
      <c r="I111" s="26" t="n">
        <f aca="false">I110/H110-1</f>
        <v>0.0753363681700725</v>
      </c>
      <c r="J111" s="26" t="n">
        <f aca="false">J110/I110-1</f>
        <v>0.0599999999999998</v>
      </c>
    </row>
    <row r="112" customFormat="false" ht="17.15" hidden="false" customHeight="false" outlineLevel="0" collapsed="false">
      <c r="A112" s="3" t="s">
        <v>674</v>
      </c>
      <c r="B112" s="0" t="s">
        <v>45</v>
      </c>
      <c r="C112" s="13" t="n">
        <f aca="false">C108/C90</f>
        <v>0.0508453913030227</v>
      </c>
      <c r="D112" s="13" t="n">
        <f aca="false">D108/D90</f>
        <v>0.197798517808343</v>
      </c>
      <c r="E112" s="13" t="n">
        <f aca="false">E108/E90</f>
        <v>0.183518916980995</v>
      </c>
      <c r="F112" s="13" t="n">
        <f aca="false">F108/F90</f>
        <v>0.178930011886991</v>
      </c>
      <c r="G112" s="13" t="n">
        <f aca="false">G108/G90</f>
        <v>0.173404512367757</v>
      </c>
      <c r="H112" s="27" t="n">
        <f aca="false">$G112+(fade_mA-$G112)*1/3</f>
        <v>0.173404512367757</v>
      </c>
      <c r="I112" s="27" t="n">
        <f aca="false">$G112+(fade_mA-$G112)*2/3</f>
        <v>0.173404512367757</v>
      </c>
      <c r="J112" s="27" t="n">
        <f aca="false">$G112+(fade_mA-$G112)*3/3</f>
        <v>0.173404512367757</v>
      </c>
    </row>
    <row r="113" customFormat="false" ht="17.15" hidden="false" customHeight="false" outlineLevel="0" collapsed="false">
      <c r="A113" s="3" t="s">
        <v>675</v>
      </c>
      <c r="B113" s="0" t="s">
        <v>45</v>
      </c>
      <c r="C113" s="20" t="n">
        <f aca="false">C96/C90</f>
        <v>0.195190527350447</v>
      </c>
      <c r="D113" s="20" t="n">
        <f aca="false">D96/D90</f>
        <v>0.285230933480641</v>
      </c>
      <c r="E113" s="20" t="n">
        <f aca="false">E96/E90</f>
        <v>0.223720330706817</v>
      </c>
      <c r="F113" s="20" t="n">
        <f aca="false">F96/F90</f>
        <v>0.179799282716305</v>
      </c>
      <c r="G113" s="20" t="n">
        <f aca="false">G96/G90</f>
        <v>0.146309242649801</v>
      </c>
      <c r="H113" s="26" t="n">
        <f aca="false">$G113+($G98*(1+tp_g)^(life/2)-$G113)*1/3</f>
        <v>0.137273291134534</v>
      </c>
      <c r="I113" s="26" t="n">
        <f aca="false">$G113+($G98*(1+tp_g)^(life/2)-$G113)*2/3</f>
        <v>0.128237339619268</v>
      </c>
      <c r="J113" s="26" t="n">
        <f aca="false">$G113+($G98*(1+tp_g)^(life/2)-$G113)*3/3</f>
        <v>0.119201388104001</v>
      </c>
      <c r="K113" s="7" t="s">
        <v>676</v>
      </c>
    </row>
    <row r="114" customFormat="false" ht="15" hidden="false" customHeight="false" outlineLevel="0" collapsed="false">
      <c r="A114" s="3" t="s">
        <v>677</v>
      </c>
      <c r="B114" s="0" t="s">
        <v>303</v>
      </c>
      <c r="E114" s="21" t="n">
        <f aca="false">E108+E97-E96</f>
        <v>15.029277728986</v>
      </c>
      <c r="F114" s="21" t="n">
        <f aca="false">F108+F97-F96</f>
        <v>28.4317038244866</v>
      </c>
      <c r="G114" s="21" t="n">
        <f aca="false">G108+G97-G96</f>
        <v>39.6728881097087</v>
      </c>
      <c r="H114" s="30" t="n">
        <f aca="false">H108+H97-H96</f>
        <v>46.3012991039516</v>
      </c>
      <c r="I114" s="30" t="n">
        <f aca="false">I108+I97-I96</f>
        <v>53.0489892024347</v>
      </c>
      <c r="J114" s="30" t="n">
        <f aca="false">J108+J97-J96</f>
        <v>59.6870180399621</v>
      </c>
      <c r="K114" s="3" t="s">
        <v>678</v>
      </c>
    </row>
    <row r="115" customFormat="false" ht="15" hidden="false" customHeight="false" outlineLevel="0" collapsed="false">
      <c r="A115" s="3" t="s">
        <v>679</v>
      </c>
      <c r="B115" s="0" t="s">
        <v>387</v>
      </c>
      <c r="E115" s="18" t="n">
        <f aca="false">E114/E109</f>
        <v>9.1641937371866</v>
      </c>
      <c r="F115" s="18" t="n">
        <f aca="false">F114/F109</f>
        <v>17.3364047710284</v>
      </c>
      <c r="G115" s="18" t="n">
        <f aca="false">G114/G109</f>
        <v>24.1907854327492</v>
      </c>
      <c r="H115" s="28" t="n">
        <f aca="false">H114/H109</f>
        <v>28.232499453629</v>
      </c>
      <c r="I115" s="28" t="n">
        <f aca="false">I114/I109</f>
        <v>32.3469446356309</v>
      </c>
      <c r="J115" s="28" t="n">
        <f aca="false">J114/J109</f>
        <v>36.3945231950988</v>
      </c>
    </row>
    <row r="118" customFormat="false" ht="17.15" hidden="false" customHeight="false" outlineLevel="0" collapsed="false">
      <c r="A118" s="1" t="s">
        <v>680</v>
      </c>
    </row>
    <row r="119" customFormat="false" ht="17.15" hidden="false" customHeight="false" outlineLevel="0" collapsed="false">
      <c r="A119" s="4" t="s">
        <v>22</v>
      </c>
      <c r="B119" s="4" t="s">
        <v>23</v>
      </c>
      <c r="C119" s="14" t="s">
        <v>508</v>
      </c>
      <c r="D119" s="14" t="s">
        <v>592</v>
      </c>
      <c r="E119" s="14" t="s">
        <v>593</v>
      </c>
      <c r="F119" s="14" t="s">
        <v>594</v>
      </c>
      <c r="G119" s="14" t="s">
        <v>595</v>
      </c>
      <c r="H119" s="14" t="s">
        <v>596</v>
      </c>
      <c r="I119" s="14" t="s">
        <v>597</v>
      </c>
      <c r="J119" s="14" t="s">
        <v>598</v>
      </c>
      <c r="K119" s="4" t="s">
        <v>481</v>
      </c>
    </row>
    <row r="120" customFormat="false" ht="17.15" hidden="false" customHeight="false" outlineLevel="0" collapsed="false">
      <c r="A120" s="5" t="s">
        <v>616</v>
      </c>
    </row>
    <row r="121" customFormat="false" ht="17.15" hidden="false" customHeight="false" outlineLevel="0" collapsed="false">
      <c r="A121" s="0" t="s">
        <v>617</v>
      </c>
      <c r="B121" s="3" t="s">
        <v>33</v>
      </c>
      <c r="D121" s="21" t="n">
        <f aca="false">(u_bw_26+u_rb_26+u_ru_26+u_hp_26)*1</f>
        <v>7.6</v>
      </c>
      <c r="E121" s="21" t="n">
        <f aca="false">(u_bw_27+u_rb_27+u_ru_27+u_hp_27)*1*1</f>
        <v>9.7</v>
      </c>
      <c r="F121" s="21" t="n">
        <f aca="false">(u_bw_28+u_rb_28+u_ru_28+u_hp_28)*um28_B*1</f>
        <v>7.6</v>
      </c>
      <c r="G121" s="21" t="n">
        <f aca="false">(u_bw_28*(1+g29_bw)+u_rb_28*(1+g29_rb)+u_ru_28*(1+g29_ru)+u_hp_28*(1+g29_hp))*um29_B*1</f>
        <v>9.01</v>
      </c>
      <c r="K121" s="7" t="s">
        <v>618</v>
      </c>
    </row>
    <row r="122" customFormat="false" ht="17.15" hidden="false" customHeight="false" outlineLevel="0" collapsed="false">
      <c r="A122" s="3" t="s">
        <v>619</v>
      </c>
      <c r="B122" s="3" t="s">
        <v>33</v>
      </c>
      <c r="D122" s="21" t="n">
        <f aca="false">(u_amd_26+u_tpu_26+u_trn_26+u_oth_26)*1</f>
        <v>7.6</v>
      </c>
      <c r="E122" s="21" t="n">
        <f aca="false">(u_amd_27+u_tpu_27+u_trn_27+u_oth_27)*1*1</f>
        <v>14</v>
      </c>
      <c r="F122" s="21" t="n">
        <f aca="false">(u_amd_28+u_tpu_28+u_trn_28+u_oth_28)*um28_B*1</f>
        <v>13.6</v>
      </c>
      <c r="G122" s="21" t="n">
        <f aca="false">(u_amd_28*(1+g29_amd)+u_tpu_28*(1+g29_tpu)+u_trn_28*(1+g29_trn)+u_oth_28*(1+g29_oth))*um29_B*1</f>
        <v>16.6175</v>
      </c>
      <c r="K122" s="7" t="s">
        <v>620</v>
      </c>
    </row>
    <row r="123" customFormat="false" ht="17.15" hidden="false" customHeight="false" outlineLevel="0" collapsed="false">
      <c r="A123" s="3" t="s">
        <v>621</v>
      </c>
      <c r="B123" s="0" t="s">
        <v>145</v>
      </c>
      <c r="D123" s="19" t="n">
        <f aca="false">1</f>
        <v>1</v>
      </c>
      <c r="E123" s="19" t="n">
        <f aca="false">D123*(1+g_asp)</f>
        <v>1.18</v>
      </c>
      <c r="F123" s="19" t="n">
        <f aca="false">E123*(1+g_asp)</f>
        <v>1.3924</v>
      </c>
      <c r="G123" s="19" t="n">
        <f aca="false">F123*(1+g_asp)</f>
        <v>1.643032</v>
      </c>
      <c r="K123" s="7" t="s">
        <v>622</v>
      </c>
    </row>
    <row r="124" customFormat="false" ht="17.15" hidden="false" customHeight="false" outlineLevel="0" collapsed="false">
      <c r="A124" s="0" t="s">
        <v>623</v>
      </c>
      <c r="B124" s="0" t="s">
        <v>145</v>
      </c>
      <c r="D124" s="18" t="n">
        <f aca="false">1</f>
        <v>1</v>
      </c>
      <c r="E124" s="18" t="n">
        <f aca="false">ibpp_27</f>
        <v>1</v>
      </c>
      <c r="F124" s="18" t="n">
        <f aca="false">ibpp_28</f>
        <v>0.95</v>
      </c>
      <c r="G124" s="18" t="n">
        <f aca="false">ibpp_29</f>
        <v>0.9</v>
      </c>
      <c r="K124" s="7" t="s">
        <v>624</v>
      </c>
    </row>
    <row r="125" customFormat="false" ht="17.15" hidden="false" customHeight="false" outlineLevel="0" collapsed="false">
      <c r="A125" s="3" t="s">
        <v>625</v>
      </c>
      <c r="B125" s="0" t="s">
        <v>145</v>
      </c>
      <c r="D125" s="18" t="n">
        <f aca="false">1</f>
        <v>1</v>
      </c>
      <c r="E125" s="18" t="n">
        <f aca="false">1+carry</f>
        <v>1.05</v>
      </c>
      <c r="F125" s="18" t="n">
        <f aca="false">1+carry</f>
        <v>1.05</v>
      </c>
      <c r="G125" s="18" t="n">
        <f aca="false">1+carry</f>
        <v>1.05</v>
      </c>
      <c r="K125" s="7" t="s">
        <v>626</v>
      </c>
    </row>
    <row r="126" customFormat="false" ht="17.15" hidden="false" customHeight="false" outlineLevel="0" collapsed="false">
      <c r="A126" s="3" t="s">
        <v>627</v>
      </c>
      <c r="B126" s="0" t="s">
        <v>628</v>
      </c>
      <c r="D126" s="23" t="n">
        <f aca="false">v26*D123*D124</f>
        <v>215.308596</v>
      </c>
      <c r="E126" s="23" t="n">
        <f aca="false">v26*E123*E124</f>
        <v>254.06414328</v>
      </c>
      <c r="F126" s="23" t="n">
        <f aca="false">v26*F123*F124</f>
        <v>284.80590461688</v>
      </c>
      <c r="G126" s="23" t="n">
        <f aca="false">v26*G123*G124</f>
        <v>318.383021792765</v>
      </c>
      <c r="K126" s="7" t="s">
        <v>629</v>
      </c>
    </row>
    <row r="127" customFormat="false" ht="17.15" hidden="false" customHeight="false" outlineLevel="0" collapsed="false">
      <c r="A127" s="3" t="s">
        <v>630</v>
      </c>
      <c r="B127" s="0" t="s">
        <v>45</v>
      </c>
      <c r="D127" s="20" t="n">
        <f aca="false">sh_nv_26</f>
        <v>0.25</v>
      </c>
      <c r="E127" s="20" t="n">
        <f aca="false">sh_nv_27</f>
        <v>0.27</v>
      </c>
      <c r="F127" s="20" t="n">
        <f aca="false">sh_nv_28</f>
        <v>0.29</v>
      </c>
      <c r="G127" s="20" t="n">
        <f aca="false">sh_nv_29</f>
        <v>0.3</v>
      </c>
    </row>
    <row r="128" customFormat="false" ht="17.15" hidden="false" customHeight="false" outlineLevel="0" collapsed="false">
      <c r="A128" s="3" t="s">
        <v>631</v>
      </c>
      <c r="B128" s="0" t="s">
        <v>45</v>
      </c>
      <c r="D128" s="20" t="n">
        <f aca="false">sh_ot_26</f>
        <v>0.3</v>
      </c>
      <c r="E128" s="20" t="n">
        <f aca="false">sh_ot_27</f>
        <v>0.31</v>
      </c>
      <c r="F128" s="20" t="n">
        <f aca="false">sh_ot_28</f>
        <v>0.32</v>
      </c>
      <c r="G128" s="20" t="n">
        <f aca="false">sh_ot_29</f>
        <v>0.33</v>
      </c>
    </row>
    <row r="129" customFormat="false" ht="17.15" hidden="false" customHeight="false" outlineLevel="0" collapsed="false">
      <c r="A129" s="3" t="s">
        <v>632</v>
      </c>
      <c r="B129" s="0" t="s">
        <v>582</v>
      </c>
      <c r="D129" s="22" t="n">
        <f aca="false">(D121*D126*D127+D122*D126*v_ot*D128)*D125</f>
        <v>801.809211504</v>
      </c>
      <c r="E129" s="22" t="n">
        <f aca="false">(E121*E126*E127+E122*E126*v_ot*E128)*E125</f>
        <v>1624.8799315544</v>
      </c>
      <c r="F129" s="22" t="n">
        <f aca="false">(F121*F126*F127+F122*F126*v_ot*F128)*F125</f>
        <v>1700.25707385422</v>
      </c>
      <c r="G129" s="22" t="n">
        <f aca="false">(G121*G126*G127+G122*G126*v_ot*G128)*G125</f>
        <v>2370.20909177969</v>
      </c>
    </row>
    <row r="130" customFormat="false" ht="15" hidden="false" customHeight="false" outlineLevel="0" collapsed="false">
      <c r="A130" s="3" t="s">
        <v>633</v>
      </c>
      <c r="B130" s="0" t="s">
        <v>303</v>
      </c>
      <c r="D130" s="21" t="n">
        <f aca="false">D129*fx/1000</f>
        <v>25.657894768128</v>
      </c>
      <c r="E130" s="21" t="n">
        <f aca="false">E129*fx/1000</f>
        <v>51.9961578097409</v>
      </c>
      <c r="F130" s="21" t="n">
        <f aca="false">F129*fx/1000</f>
        <v>54.408226363335</v>
      </c>
      <c r="G130" s="21" t="n">
        <f aca="false">G129*fx/1000</f>
        <v>75.8466909369502</v>
      </c>
    </row>
    <row r="131" customFormat="false" ht="17.15" hidden="false" customHeight="false" outlineLevel="0" collapsed="false">
      <c r="A131" s="5" t="s">
        <v>634</v>
      </c>
    </row>
    <row r="132" customFormat="false" ht="17.15" hidden="false" customHeight="false" outlineLevel="0" collapsed="false">
      <c r="A132" s="0" t="s">
        <v>635</v>
      </c>
      <c r="B132" s="0" t="s">
        <v>303</v>
      </c>
      <c r="D132" s="21" t="n">
        <f aca="false">a26_abf*ai_abf</f>
        <v>74.83672875</v>
      </c>
      <c r="K132" s="3" t="s">
        <v>636</v>
      </c>
    </row>
    <row r="133" customFormat="false" ht="17.15" hidden="false" customHeight="false" outlineLevel="0" collapsed="false">
      <c r="A133" s="3" t="s">
        <v>637</v>
      </c>
      <c r="B133" s="0" t="s">
        <v>303</v>
      </c>
      <c r="D133" s="21" t="n">
        <f aca="false">D132-D130</f>
        <v>49.178833981872</v>
      </c>
      <c r="E133" s="21" t="n">
        <f aca="false">$D133*(itc_27/itc_26)^el_o*1*1*E124*E125</f>
        <v>73.0642903440322</v>
      </c>
      <c r="F133" s="21" t="n">
        <f aca="false">$D133*(itc_28/itc_26)^el_o*um28_B*1*F124*F125</f>
        <v>62.519104447615</v>
      </c>
      <c r="G133" s="21" t="n">
        <f aca="false">$D133*(itc_29/itc_26)^el_o*um29_B*1*G124*G125</f>
        <v>67.1664805203707</v>
      </c>
      <c r="K133" s="7" t="s">
        <v>638</v>
      </c>
    </row>
    <row r="134" customFormat="false" ht="17.15" hidden="false" customHeight="false" outlineLevel="0" collapsed="false">
      <c r="A134" s="3" t="s">
        <v>639</v>
      </c>
      <c r="B134" s="0" t="s">
        <v>303</v>
      </c>
      <c r="D134" s="21" t="n">
        <f aca="false">a26_abf-D132</f>
        <v>24.94557625</v>
      </c>
      <c r="E134" s="21" t="n">
        <f aca="false">D134*(1+g_nai)</f>
        <v>25.6939435375</v>
      </c>
      <c r="F134" s="21" t="n">
        <f aca="false">E134*(1+g_nai)</f>
        <v>26.464761843625</v>
      </c>
      <c r="G134" s="21" t="n">
        <f aca="false">F134*(1+g_nai)</f>
        <v>27.2587046989338</v>
      </c>
    </row>
    <row r="135" customFormat="false" ht="17.15" hidden="false" customHeight="false" outlineLevel="0" collapsed="false">
      <c r="A135" s="0" t="s">
        <v>640</v>
      </c>
      <c r="B135" s="0" t="s">
        <v>303</v>
      </c>
      <c r="D135" s="21" t="n">
        <f aca="false">D130+D133+D134</f>
        <v>99.782305</v>
      </c>
      <c r="E135" s="21" t="n">
        <f aca="false">E130+E133+E134</f>
        <v>150.754391691273</v>
      </c>
      <c r="F135" s="21" t="n">
        <f aca="false">F130+F133+F134</f>
        <v>143.392092654575</v>
      </c>
      <c r="G135" s="21" t="n">
        <f aca="false">G130+G133+G134</f>
        <v>170.271876156255</v>
      </c>
    </row>
    <row r="136" customFormat="false" ht="17.15" hidden="false" customHeight="false" outlineLevel="0" collapsed="false">
      <c r="A136" s="0" t="s">
        <v>641</v>
      </c>
      <c r="B136" s="0" t="s">
        <v>303</v>
      </c>
      <c r="D136" s="21" t="n">
        <f aca="false">a26_abf</f>
        <v>99.782305</v>
      </c>
      <c r="E136" s="21" t="n">
        <f aca="false">$D135*cap_27*(1+g_mix)^1*E124*E125</f>
        <v>148.513488204375</v>
      </c>
      <c r="F136" s="21" t="n">
        <f aca="false">$D135*cap_28*(1+g_mix)^2*F124*F125</f>
        <v>186.549442683384</v>
      </c>
      <c r="G136" s="21" t="n">
        <f aca="false">$D135*cap_29*(1+g_mix)^3*G124*G125</f>
        <v>218.314827660431</v>
      </c>
      <c r="K136" s="7" t="s">
        <v>642</v>
      </c>
    </row>
    <row r="137" customFormat="false" ht="17.15" hidden="false" customHeight="false" outlineLevel="0" collapsed="false">
      <c r="A137" s="0" t="s">
        <v>643</v>
      </c>
      <c r="B137" s="0" t="s">
        <v>303</v>
      </c>
      <c r="D137" s="21" t="n">
        <f aca="false">a26_abf</f>
        <v>99.782305</v>
      </c>
      <c r="E137" s="21" t="n">
        <f aca="false">MIN(E135,E136)</f>
        <v>148.513488204375</v>
      </c>
      <c r="F137" s="21" t="n">
        <f aca="false">MIN(F135,F136)</f>
        <v>143.392092654575</v>
      </c>
      <c r="G137" s="21" t="n">
        <f aca="false">MIN(G135,G136)</f>
        <v>170.271876156255</v>
      </c>
    </row>
    <row r="138" customFormat="false" ht="17.15" hidden="false" customHeight="false" outlineLevel="0" collapsed="false">
      <c r="A138" s="3" t="s">
        <v>644</v>
      </c>
      <c r="B138" s="0" t="s">
        <v>45</v>
      </c>
      <c r="D138" s="20" t="n">
        <f aca="false">D137/D135</f>
        <v>1</v>
      </c>
      <c r="E138" s="20" t="n">
        <f aca="false">E137/E135</f>
        <v>0.985135401617438</v>
      </c>
      <c r="F138" s="20" t="n">
        <f aca="false">F137/F135</f>
        <v>1</v>
      </c>
      <c r="G138" s="20" t="n">
        <f aca="false">G137/G135</f>
        <v>1</v>
      </c>
    </row>
    <row r="139" customFormat="false" ht="17.15" hidden="false" customHeight="false" outlineLevel="0" collapsed="false">
      <c r="A139" s="0" t="s">
        <v>645</v>
      </c>
      <c r="B139" s="0" t="s">
        <v>303</v>
      </c>
      <c r="D139" s="21" t="n">
        <f aca="false">(D130+D133)*D138</f>
        <v>74.83672875</v>
      </c>
      <c r="E139" s="21" t="n">
        <f aca="false">(E130+E133)*E138</f>
        <v>123.201474818424</v>
      </c>
      <c r="F139" s="21" t="n">
        <f aca="false">(F130+F133)*F138</f>
        <v>116.92733081095</v>
      </c>
      <c r="G139" s="21" t="n">
        <f aca="false">(G130+G133)*G138</f>
        <v>143.013171457321</v>
      </c>
    </row>
    <row r="140" customFormat="false" ht="17.15" hidden="false" customHeight="false" outlineLevel="0" collapsed="false">
      <c r="A140" s="3" t="s">
        <v>646</v>
      </c>
      <c r="B140" s="0" t="s">
        <v>45</v>
      </c>
      <c r="D140" s="20" t="n">
        <f aca="false">D130/(D130+D133)</f>
        <v>0.342851634440636</v>
      </c>
      <c r="E140" s="20" t="n">
        <f aca="false">E130/(E130+E133)</f>
        <v>0.41576820311572</v>
      </c>
      <c r="F140" s="20" t="n">
        <f aca="false">F130/(F130+F133)</f>
        <v>0.465316585831444</v>
      </c>
      <c r="G140" s="20" t="n">
        <f aca="false">G130/(G130+G133)</f>
        <v>0.530347590813235</v>
      </c>
    </row>
    <row r="141" customFormat="false" ht="17.15" hidden="false" customHeight="false" outlineLevel="0" collapsed="false">
      <c r="A141" s="5" t="s">
        <v>647</v>
      </c>
    </row>
    <row r="142" customFormat="false" ht="17.15" hidden="false" customHeight="false" outlineLevel="0" collapsed="false">
      <c r="A142" s="0" t="s">
        <v>550</v>
      </c>
      <c r="B142" s="0" t="s">
        <v>303</v>
      </c>
      <c r="D142" s="21" t="n">
        <f aca="false">a26_bt</f>
        <v>16.944165</v>
      </c>
      <c r="E142" s="21" t="n">
        <f aca="false">D142*(1+g_bt)</f>
        <v>17.79137325</v>
      </c>
      <c r="F142" s="21" t="n">
        <f aca="false">E142*(1+g_bt)</f>
        <v>18.6809419125</v>
      </c>
      <c r="G142" s="21" t="n">
        <f aca="false">F142*(1+g_bt)</f>
        <v>19.614989008125</v>
      </c>
    </row>
    <row r="143" customFormat="false" ht="17.15" hidden="false" customHeight="false" outlineLevel="0" collapsed="false">
      <c r="A143" s="0" t="s">
        <v>648</v>
      </c>
      <c r="B143" s="0" t="s">
        <v>303</v>
      </c>
      <c r="D143" s="21" t="n">
        <f aca="false">a26_pcb*ai_pcb</f>
        <v>37.93610275</v>
      </c>
      <c r="E143" s="21" t="n">
        <f aca="false">D143*(1+g_pai_27)</f>
        <v>45.5233233</v>
      </c>
      <c r="F143" s="21" t="n">
        <f aca="false">D143*(1+g_pai_27)*(1+g_pai_28)*um28_B</f>
        <v>41.881457436</v>
      </c>
      <c r="G143" s="21" t="n">
        <f aca="false">D143*(1+g_pai_27)*(1+g_pai_28)*(1+g_pai_29)*um29_B</f>
        <v>48.948953378325</v>
      </c>
      <c r="K143" s="3" t="s">
        <v>649</v>
      </c>
    </row>
    <row r="144" customFormat="false" ht="17.15" hidden="false" customHeight="false" outlineLevel="0" collapsed="false">
      <c r="A144" s="3" t="s">
        <v>650</v>
      </c>
      <c r="B144" s="0" t="s">
        <v>303</v>
      </c>
      <c r="D144" s="21" t="n">
        <f aca="false">a26_pcb*(1-ai_pcb)</f>
        <v>20.42713225</v>
      </c>
      <c r="E144" s="21" t="n">
        <f aca="false">D144*(1+g_pcbn)</f>
        <v>20.835674895</v>
      </c>
      <c r="F144" s="21" t="n">
        <f aca="false">E144*(1+g_pcbn)</f>
        <v>21.2523883929</v>
      </c>
      <c r="G144" s="21" t="n">
        <f aca="false">F144*(1+g_pcbn)</f>
        <v>21.677436160758</v>
      </c>
    </row>
    <row r="145" customFormat="false" ht="15" hidden="false" customHeight="false" outlineLevel="0" collapsed="false">
      <c r="A145" s="3" t="s">
        <v>552</v>
      </c>
      <c r="B145" s="0" t="s">
        <v>303</v>
      </c>
      <c r="D145" s="21" t="n">
        <f aca="false">a26_fpc</f>
        <v>13.178795</v>
      </c>
      <c r="E145" s="21" t="n">
        <f aca="false">D145*(1+g_fpc)</f>
        <v>13.178795</v>
      </c>
      <c r="F145" s="21" t="n">
        <f aca="false">E145*(1+g_fpc)</f>
        <v>13.178795</v>
      </c>
      <c r="G145" s="21" t="n">
        <f aca="false">F145*(1+g_fpc)</f>
        <v>13.178795</v>
      </c>
    </row>
    <row r="146" customFormat="false" ht="17.15" hidden="false" customHeight="false" outlineLevel="0" collapsed="false">
      <c r="A146" s="3" t="s">
        <v>651</v>
      </c>
      <c r="B146" s="0" t="s">
        <v>303</v>
      </c>
      <c r="D146" s="21" t="n">
        <f aca="false">D137+D142</f>
        <v>116.72647</v>
      </c>
      <c r="E146" s="21" t="n">
        <f aca="false">E137+E142</f>
        <v>166.304861454375</v>
      </c>
      <c r="F146" s="21" t="n">
        <f aca="false">F137+F142</f>
        <v>162.073034567075</v>
      </c>
      <c r="G146" s="21" t="n">
        <f aca="false">G137+G142</f>
        <v>189.88686516438</v>
      </c>
      <c r="K146" s="3" t="s">
        <v>652</v>
      </c>
    </row>
    <row r="147" customFormat="false" ht="17.15" hidden="false" customHeight="false" outlineLevel="0" collapsed="false">
      <c r="A147" s="0" t="s">
        <v>653</v>
      </c>
      <c r="B147" s="0" t="s">
        <v>303</v>
      </c>
      <c r="D147" s="21" t="n">
        <f aca="false">D143+D144</f>
        <v>58.363235</v>
      </c>
      <c r="E147" s="21" t="n">
        <f aca="false">E143+E144</f>
        <v>66.358998195</v>
      </c>
      <c r="F147" s="21" t="n">
        <f aca="false">F143+F144</f>
        <v>63.1338458289</v>
      </c>
      <c r="G147" s="21" t="n">
        <f aca="false">G143+G144</f>
        <v>70.626389539083</v>
      </c>
      <c r="K147" s="3" t="s">
        <v>654</v>
      </c>
    </row>
    <row r="148" customFormat="false" ht="17.15" hidden="false" customHeight="false" outlineLevel="0" collapsed="false">
      <c r="A148" s="3" t="s">
        <v>515</v>
      </c>
      <c r="B148" s="0" t="s">
        <v>303</v>
      </c>
      <c r="C148" s="23" t="n">
        <f aca="false">a25_rev</f>
        <v>131.241</v>
      </c>
      <c r="D148" s="23" t="n">
        <f aca="false">D146+D147+D145</f>
        <v>188.2685</v>
      </c>
      <c r="E148" s="23" t="n">
        <f aca="false">E146+E147+E145</f>
        <v>245.842654649375</v>
      </c>
      <c r="F148" s="23" t="n">
        <f aca="false">F146+F147+F145</f>
        <v>238.385675395975</v>
      </c>
      <c r="G148" s="23" t="n">
        <f aca="false">G146+G147+G145</f>
        <v>273.692049703463</v>
      </c>
      <c r="H148" s="25" t="n">
        <f aca="false">G148*(1+H150)</f>
        <v>304.364919667865</v>
      </c>
      <c r="I148" s="25" t="n">
        <f aca="false">H148*(1+I150)</f>
        <v>327.507418628453</v>
      </c>
      <c r="J148" s="25" t="n">
        <f aca="false">I148*(1+J150)</f>
        <v>340.607715373591</v>
      </c>
      <c r="K148" s="7" t="s">
        <v>655</v>
      </c>
    </row>
    <row r="149" customFormat="false" ht="17.15" hidden="false" customHeight="false" outlineLevel="0" collapsed="false">
      <c r="A149" s="3" t="s">
        <v>656</v>
      </c>
      <c r="B149" s="0" t="s">
        <v>303</v>
      </c>
      <c r="D149" s="19" t="n">
        <f aca="false">D146+D147+D145-D148</f>
        <v>0</v>
      </c>
      <c r="E149" s="19" t="n">
        <f aca="false">E146+E147+E145-E148</f>
        <v>0</v>
      </c>
      <c r="F149" s="19" t="n">
        <f aca="false">F146+F147+F145-F148</f>
        <v>0</v>
      </c>
      <c r="G149" s="19" t="n">
        <f aca="false">G146+G147+G145-G148</f>
        <v>0</v>
      </c>
    </row>
    <row r="150" customFormat="false" ht="15" hidden="false" customHeight="false" outlineLevel="0" collapsed="false">
      <c r="A150" s="3" t="s">
        <v>657</v>
      </c>
      <c r="B150" s="0" t="s">
        <v>45</v>
      </c>
      <c r="D150" s="20" t="n">
        <f aca="false">D148/C148-1</f>
        <v>0.434525034097576</v>
      </c>
      <c r="E150" s="20" t="n">
        <f aca="false">E148/D148-1</f>
        <v>0.30580875</v>
      </c>
      <c r="F150" s="20" t="n">
        <f aca="false">F148/E148-1</f>
        <v>-0.0303323248117182</v>
      </c>
      <c r="G150" s="20" t="n">
        <f aca="false">G148/F148-1</f>
        <v>0.148106106832306</v>
      </c>
      <c r="H150" s="26" t="n">
        <f aca="false">$G150+(fade_gB-$G150)*1/3</f>
        <v>0.112070737888204</v>
      </c>
      <c r="I150" s="26" t="n">
        <f aca="false">$G150+(fade_gB-$G150)*2/3</f>
        <v>0.0760353689441018</v>
      </c>
      <c r="J150" s="26" t="n">
        <f aca="false">$G150+(fade_gB-$G150)*3/3</f>
        <v>0.04</v>
      </c>
    </row>
    <row r="151" customFormat="false" ht="17.15" hidden="false" customHeight="false" outlineLevel="0" collapsed="false">
      <c r="A151" s="0" t="s">
        <v>658</v>
      </c>
      <c r="B151" s="0" t="s">
        <v>45</v>
      </c>
      <c r="D151" s="20" t="n">
        <f aca="false">D137/D148</f>
        <v>0.53</v>
      </c>
      <c r="E151" s="20" t="n">
        <f aca="false">E137/E148</f>
        <v>0.604099758100105</v>
      </c>
      <c r="F151" s="20" t="n">
        <f aca="false">F137/F148</f>
        <v>0.601513041487878</v>
      </c>
      <c r="G151" s="20" t="n">
        <f aca="false">G137/G148</f>
        <v>0.622129420057102</v>
      </c>
    </row>
    <row r="152" customFormat="false" ht="17.15" hidden="false" customHeight="false" outlineLevel="0" collapsed="false">
      <c r="A152" s="0" t="s">
        <v>659</v>
      </c>
      <c r="B152" s="0" t="s">
        <v>45</v>
      </c>
      <c r="D152" s="20" t="n">
        <f aca="false">(D139+D143)/D148</f>
        <v>0.599</v>
      </c>
      <c r="E152" s="20" t="n">
        <f aca="false">(E139+E143)/E148</f>
        <v>0.686312138790815</v>
      </c>
      <c r="F152" s="20" t="n">
        <f aca="false">(F139+F143)/F148</f>
        <v>0.666184274634613</v>
      </c>
      <c r="G152" s="20" t="n">
        <f aca="false">(G139+G143)/G148</f>
        <v>0.701379981784752</v>
      </c>
      <c r="K152" s="3" t="s">
        <v>660</v>
      </c>
    </row>
    <row r="153" customFormat="false" ht="17.15" hidden="false" customHeight="false" outlineLevel="0" collapsed="false">
      <c r="A153" s="5" t="s">
        <v>661</v>
      </c>
    </row>
    <row r="154" customFormat="false" ht="15" hidden="false" customHeight="false" outlineLevel="0" collapsed="false">
      <c r="A154" s="3" t="s">
        <v>662</v>
      </c>
      <c r="B154" s="0" t="s">
        <v>303</v>
      </c>
      <c r="C154" s="23" t="n">
        <f aca="false">a25_cx</f>
        <v>25.617</v>
      </c>
      <c r="D154" s="23" t="n">
        <f aca="false">capex26</f>
        <v>53.7</v>
      </c>
      <c r="E154" s="23" t="n">
        <f aca="false">cx27_B</f>
        <v>48</v>
      </c>
      <c r="F154" s="23" t="n">
        <f aca="false">cx28_B</f>
        <v>42</v>
      </c>
      <c r="G154" s="23" t="n">
        <f aca="false">cx29_B</f>
        <v>38</v>
      </c>
      <c r="H154" s="25" t="n">
        <f aca="false">H148*H171</f>
        <v>40.9972170838248</v>
      </c>
      <c r="I154" s="25" t="n">
        <f aca="false">I148*I171</f>
        <v>42.7570682450018</v>
      </c>
      <c r="J154" s="25" t="n">
        <f aca="false">J148*J171</f>
        <v>43.0556681147098</v>
      </c>
    </row>
    <row r="155" customFormat="false" ht="17.15" hidden="false" customHeight="false" outlineLevel="0" collapsed="false">
      <c r="A155" s="3" t="s">
        <v>663</v>
      </c>
      <c r="B155" s="0" t="s">
        <v>303</v>
      </c>
      <c r="C155" s="23" t="n">
        <f aca="false">a25_da</f>
        <v>18.8</v>
      </c>
      <c r="D155" s="23" t="n">
        <f aca="false">da26</f>
        <v>20.8</v>
      </c>
      <c r="E155" s="23" t="n">
        <f aca="false">D155*(1-1/life)+D154/life</f>
        <v>24.9125</v>
      </c>
      <c r="F155" s="23" t="n">
        <f aca="false">E155*(1-1/life)+E154/life</f>
        <v>27.7984375</v>
      </c>
      <c r="G155" s="23" t="n">
        <f aca="false">F155*(1-1/life)+F154/life</f>
        <v>29.5736328125</v>
      </c>
      <c r="H155" s="25" t="n">
        <f aca="false">H148*H156</f>
        <v>32.8879716638317</v>
      </c>
      <c r="I155" s="25" t="n">
        <f aca="false">I148*I156</f>
        <v>35.3886207231143</v>
      </c>
      <c r="J155" s="25" t="n">
        <f aca="false">J148*J156</f>
        <v>36.8041655520389</v>
      </c>
      <c r="K155" s="3" t="s">
        <v>664</v>
      </c>
    </row>
    <row r="156" customFormat="false" ht="17.15" hidden="false" customHeight="false" outlineLevel="0" collapsed="false">
      <c r="A156" s="3" t="s">
        <v>665</v>
      </c>
      <c r="B156" s="0" t="s">
        <v>45</v>
      </c>
      <c r="C156" s="20" t="n">
        <f aca="false">C155/C148</f>
        <v>0.143247917952469</v>
      </c>
      <c r="D156" s="20" t="n">
        <f aca="false">D155/D148</f>
        <v>0.110480510547436</v>
      </c>
      <c r="E156" s="20" t="n">
        <f aca="false">E155/E148</f>
        <v>0.101335140704247</v>
      </c>
      <c r="F156" s="20" t="n">
        <f aca="false">F155/F148</f>
        <v>0.11661119089402</v>
      </c>
      <c r="G156" s="20" t="n">
        <f aca="false">G155/G148</f>
        <v>0.108054409488848</v>
      </c>
      <c r="H156" s="26" t="n">
        <f aca="false">$G156</f>
        <v>0.108054409488848</v>
      </c>
      <c r="I156" s="26" t="n">
        <f aca="false">$G156</f>
        <v>0.108054409488848</v>
      </c>
      <c r="J156" s="26" t="n">
        <f aca="false">$G156</f>
        <v>0.108054409488848</v>
      </c>
    </row>
    <row r="157" customFormat="false" ht="17.15" hidden="false" customHeight="false" outlineLevel="0" collapsed="false">
      <c r="A157" s="3" t="s">
        <v>666</v>
      </c>
      <c r="B157" s="0" t="s">
        <v>303</v>
      </c>
      <c r="E157" s="21" t="n">
        <f aca="false">E139*(1-1/(E124*E125))</f>
        <v>5.86673689611544</v>
      </c>
      <c r="F157" s="21" t="n">
        <f aca="false">F139*(1-1/(F124*F125))</f>
        <v>-0.293050954413428</v>
      </c>
      <c r="G157" s="21" t="n">
        <f aca="false">G139*(1-1/(G124*G125))</f>
        <v>-8.32351791550544</v>
      </c>
      <c r="K157" s="7" t="s">
        <v>667</v>
      </c>
    </row>
    <row r="158" customFormat="false" ht="17.15" hidden="false" customHeight="false" outlineLevel="0" collapsed="false">
      <c r="A158" s="3" t="s">
        <v>668</v>
      </c>
      <c r="B158" s="0" t="s">
        <v>303</v>
      </c>
      <c r="C158" s="21" t="n">
        <f aca="false">a25_gp</f>
        <v>18.292</v>
      </c>
      <c r="D158" s="21" t="n">
        <f aca="false">a26_gp</f>
        <v>47.3329657</v>
      </c>
      <c r="E158" s="21" t="n">
        <f aca="false">$D158+ft_abf*(E137-E157-$D137)+ft_oth*((E148-E137)-($D148-$D137))+E157-(E155-$D155)</f>
        <v>72.7301686114952</v>
      </c>
      <c r="F158" s="21" t="n">
        <f aca="false">$D158+ft_abf*(F137-F157-$D137)+ft_oth*((F148-F137)-($D148-$D137))+F157-(F155-$D155)</f>
        <v>63.6197434854308</v>
      </c>
      <c r="G158" s="21" t="n">
        <f aca="false">$D158+ft_abf*(G137-G157-$D137)+ft_oth*((G148-G137)-($D148-$D137))+G157-(G155-$D155)</f>
        <v>73.3758541446766</v>
      </c>
      <c r="K158" s="3" t="s">
        <v>669</v>
      </c>
    </row>
    <row r="159" customFormat="false" ht="15" hidden="false" customHeight="false" outlineLevel="0" collapsed="false">
      <c r="A159" s="3" t="s">
        <v>522</v>
      </c>
      <c r="B159" s="0" t="s">
        <v>45</v>
      </c>
      <c r="C159" s="13" t="n">
        <f aca="false">C158/C148</f>
        <v>0.139377176339711</v>
      </c>
      <c r="D159" s="13" t="n">
        <f aca="false">D158/D148</f>
        <v>0.251412029627899</v>
      </c>
      <c r="E159" s="13" t="n">
        <f aca="false">E158/E148</f>
        <v>0.295840315893205</v>
      </c>
      <c r="F159" s="13" t="n">
        <f aca="false">F158/F148</f>
        <v>0.26687737583122</v>
      </c>
      <c r="G159" s="13" t="n">
        <f aca="false">G158/G148</f>
        <v>0.268096403326941</v>
      </c>
    </row>
    <row r="160" customFormat="false" ht="15" hidden="false" customHeight="false" outlineLevel="0" collapsed="false">
      <c r="A160" s="3" t="s">
        <v>524</v>
      </c>
      <c r="B160" s="0" t="s">
        <v>303</v>
      </c>
      <c r="C160" s="21" t="n">
        <f aca="false">a25_opx</f>
        <v>11.618</v>
      </c>
      <c r="D160" s="21" t="n">
        <f aca="false">a26_opx</f>
        <v>16.6539532</v>
      </c>
      <c r="E160" s="21" t="n">
        <f aca="false">D160*(1+phi*E150)</f>
        <v>19.7097079663903</v>
      </c>
      <c r="F160" s="21" t="n">
        <f aca="false">E160*(1+phi*F150)</f>
        <v>19.3510032080019</v>
      </c>
      <c r="G160" s="21" t="n">
        <f aca="false">F160*(1+phi*G150)</f>
        <v>21.0706042570639</v>
      </c>
    </row>
    <row r="161" customFormat="false" ht="15" hidden="false" customHeight="false" outlineLevel="0" collapsed="false">
      <c r="A161" s="3" t="s">
        <v>527</v>
      </c>
      <c r="B161" s="0" t="s">
        <v>303</v>
      </c>
      <c r="C161" s="21" t="n">
        <f aca="false">C158-C160</f>
        <v>6.674</v>
      </c>
      <c r="D161" s="21" t="n">
        <f aca="false">D158-D160</f>
        <v>30.6790125</v>
      </c>
      <c r="E161" s="21" t="n">
        <f aca="false">E158-E160</f>
        <v>53.0204606451049</v>
      </c>
      <c r="F161" s="21" t="n">
        <f aca="false">F158-F160</f>
        <v>44.2687402774289</v>
      </c>
      <c r="G161" s="21" t="n">
        <f aca="false">G158-G160</f>
        <v>52.3052498876127</v>
      </c>
    </row>
    <row r="162" customFormat="false" ht="15" hidden="false" customHeight="false" outlineLevel="0" collapsed="false">
      <c r="A162" s="3" t="s">
        <v>605</v>
      </c>
      <c r="B162" s="0" t="s">
        <v>45</v>
      </c>
      <c r="C162" s="13" t="n">
        <f aca="false">C161/C148</f>
        <v>0.0508530108731265</v>
      </c>
      <c r="D162" s="13" t="n">
        <f aca="false">D161/D148</f>
        <v>0.162953507888999</v>
      </c>
      <c r="E162" s="13" t="n">
        <f aca="false">E161/E148</f>
        <v>0.215668272540921</v>
      </c>
      <c r="F162" s="13" t="n">
        <f aca="false">F161/F148</f>
        <v>0.185702182834164</v>
      </c>
      <c r="G162" s="13" t="n">
        <f aca="false">G161/G148</f>
        <v>0.19110986213989</v>
      </c>
    </row>
    <row r="163" customFormat="false" ht="17.15" hidden="false" customHeight="false" outlineLevel="0" collapsed="false">
      <c r="A163" s="3" t="s">
        <v>670</v>
      </c>
      <c r="B163" s="0" t="s">
        <v>303</v>
      </c>
      <c r="C163" s="21" t="n">
        <f aca="false">a25_nonop</f>
        <v>-0.00100000000000033</v>
      </c>
      <c r="D163" s="21" t="n">
        <f aca="false">a26_nonop</f>
        <v>14.466</v>
      </c>
      <c r="E163" s="21" t="n">
        <f aca="false">nonop27</f>
        <v>2</v>
      </c>
      <c r="F163" s="21" t="n">
        <f aca="false">nonop28</f>
        <v>2</v>
      </c>
      <c r="G163" s="21" t="n">
        <f aca="false">nonop29</f>
        <v>2</v>
      </c>
      <c r="K163" s="7" t="s">
        <v>671</v>
      </c>
    </row>
    <row r="164" customFormat="false" ht="15" hidden="false" customHeight="false" outlineLevel="0" collapsed="false">
      <c r="A164" s="3" t="s">
        <v>533</v>
      </c>
      <c r="B164" s="0" t="s">
        <v>303</v>
      </c>
      <c r="C164" s="21" t="n">
        <f aca="false">C161+C163</f>
        <v>6.673</v>
      </c>
      <c r="D164" s="21" t="n">
        <f aca="false">D161+D163</f>
        <v>45.1450125</v>
      </c>
      <c r="E164" s="21" t="n">
        <f aca="false">E161+E163</f>
        <v>55.0204606451049</v>
      </c>
      <c r="F164" s="21" t="n">
        <f aca="false">F161+F163</f>
        <v>46.2687402774289</v>
      </c>
      <c r="G164" s="21" t="n">
        <f aca="false">G161+G163</f>
        <v>54.3052498876127</v>
      </c>
    </row>
    <row r="165" customFormat="false" ht="15" hidden="false" customHeight="false" outlineLevel="0" collapsed="false">
      <c r="A165" s="3" t="s">
        <v>537</v>
      </c>
      <c r="B165" s="0" t="s">
        <v>303</v>
      </c>
      <c r="E165" s="21" t="n">
        <f aca="false">E164*tax</f>
        <v>9.90368291611888</v>
      </c>
      <c r="F165" s="21" t="n">
        <f aca="false">F164*tax</f>
        <v>8.3283732499372</v>
      </c>
      <c r="G165" s="21" t="n">
        <f aca="false">G164*tax</f>
        <v>9.77494497977029</v>
      </c>
    </row>
    <row r="166" customFormat="false" ht="15" hidden="false" customHeight="false" outlineLevel="0" collapsed="false">
      <c r="A166" s="3" t="s">
        <v>535</v>
      </c>
      <c r="B166" s="0" t="s">
        <v>303</v>
      </c>
      <c r="C166" s="21" t="n">
        <f aca="false">a25_ni</f>
        <v>6.673</v>
      </c>
      <c r="D166" s="21" t="n">
        <f aca="false">a26_ni</f>
        <v>37.23923025</v>
      </c>
      <c r="E166" s="21" t="n">
        <f aca="false">E164-E165</f>
        <v>45.116777728986</v>
      </c>
      <c r="F166" s="21" t="n">
        <f aca="false">F164-F165</f>
        <v>37.9403670274917</v>
      </c>
      <c r="G166" s="21" t="n">
        <f aca="false">G164-G165</f>
        <v>44.5303049078424</v>
      </c>
      <c r="H166" s="30" t="n">
        <f aca="false">H148*H170</f>
        <v>47.8701540693427</v>
      </c>
      <c r="I166" s="30" t="n">
        <f aca="false">I148*I170</f>
        <v>49.7337727266087</v>
      </c>
      <c r="J166" s="30" t="n">
        <f aca="false">J148*J170</f>
        <v>49.8758692201133</v>
      </c>
    </row>
    <row r="167" customFormat="false" ht="15" hidden="false" customHeight="false" outlineLevel="0" collapsed="false">
      <c r="A167" s="3" t="s">
        <v>672</v>
      </c>
      <c r="B167" s="3" t="s">
        <v>381</v>
      </c>
      <c r="C167" s="29" t="n">
        <f aca="false">a25_sh</f>
        <v>1.52351598173516</v>
      </c>
      <c r="D167" s="29" t="n">
        <f aca="false">a26_sh</f>
        <v>1.59236316568047</v>
      </c>
      <c r="E167" s="29" t="n">
        <f aca="false">a26_shend*(1+sh_g)</f>
        <v>1.64</v>
      </c>
      <c r="F167" s="29" t="n">
        <f aca="false">E167*(1+sh_g)</f>
        <v>1.64</v>
      </c>
      <c r="G167" s="29" t="n">
        <f aca="false">F167*(1+sh_g)</f>
        <v>1.64</v>
      </c>
      <c r="H167" s="31" t="n">
        <f aca="false">G167*(1+sh_g)</f>
        <v>1.64</v>
      </c>
      <c r="I167" s="31" t="n">
        <f aca="false">H167*(1+sh_g)</f>
        <v>1.64</v>
      </c>
      <c r="J167" s="31" t="n">
        <f aca="false">I167*(1+sh_g)</f>
        <v>1.64</v>
      </c>
    </row>
    <row r="168" customFormat="false" ht="17.15" hidden="false" customHeight="false" outlineLevel="0" collapsed="false">
      <c r="A168" s="0" t="s">
        <v>540</v>
      </c>
      <c r="B168" s="0" t="s">
        <v>387</v>
      </c>
      <c r="C168" s="18" t="n">
        <f aca="false">C166/C167</f>
        <v>4.38</v>
      </c>
      <c r="D168" s="18" t="n">
        <f aca="false">D166/D167</f>
        <v>23.3861414610695</v>
      </c>
      <c r="E168" s="18" t="n">
        <f aca="false">E166/E167</f>
        <v>27.5102303225525</v>
      </c>
      <c r="F168" s="18" t="n">
        <f aca="false">F166/F167</f>
        <v>23.1343701387145</v>
      </c>
      <c r="G168" s="18" t="n">
        <f aca="false">G166/G167</f>
        <v>27.1526249438064</v>
      </c>
      <c r="H168" s="28" t="n">
        <f aca="false">H166/H167</f>
        <v>29.1891183349651</v>
      </c>
      <c r="I168" s="28" t="n">
        <f aca="false">I166/I167</f>
        <v>30.3254711747614</v>
      </c>
      <c r="J168" s="28" t="n">
        <f aca="false">J166/J167</f>
        <v>30.4121153781179</v>
      </c>
    </row>
    <row r="169" customFormat="false" ht="17.15" hidden="false" customHeight="false" outlineLevel="0" collapsed="false">
      <c r="A169" s="0" t="s">
        <v>673</v>
      </c>
      <c r="B169" s="0" t="s">
        <v>45</v>
      </c>
      <c r="D169" s="20" t="n">
        <f aca="false">D168/C168-1</f>
        <v>4.33930170344053</v>
      </c>
      <c r="E169" s="20" t="n">
        <f aca="false">E168/D168-1</f>
        <v>0.176347554740839</v>
      </c>
      <c r="F169" s="20" t="n">
        <f aca="false">F168/E168-1</f>
        <v>-0.159063015195868</v>
      </c>
      <c r="G169" s="20" t="n">
        <f aca="false">G168/F168-1</f>
        <v>0.173691990791118</v>
      </c>
      <c r="H169" s="26" t="n">
        <f aca="false">H168/G168-1</f>
        <v>0.0750017132919303</v>
      </c>
      <c r="I169" s="26" t="n">
        <f aca="false">I168/H168-1</f>
        <v>0.0389307010494775</v>
      </c>
      <c r="J169" s="26" t="n">
        <f aca="false">J168/I168-1</f>
        <v>0.00285714285714289</v>
      </c>
    </row>
    <row r="170" customFormat="false" ht="17.15" hidden="false" customHeight="false" outlineLevel="0" collapsed="false">
      <c r="A170" s="3" t="s">
        <v>674</v>
      </c>
      <c r="B170" s="0" t="s">
        <v>45</v>
      </c>
      <c r="C170" s="13" t="n">
        <f aca="false">C166/C148</f>
        <v>0.0508453913030227</v>
      </c>
      <c r="D170" s="13" t="n">
        <f aca="false">D166/D148</f>
        <v>0.197798517808343</v>
      </c>
      <c r="E170" s="13" t="n">
        <f aca="false">E166/E148</f>
        <v>0.183518916980995</v>
      </c>
      <c r="F170" s="13" t="n">
        <f aca="false">F166/F148</f>
        <v>0.159155397925946</v>
      </c>
      <c r="G170" s="13" t="n">
        <f aca="false">G166/G148</f>
        <v>0.162702223013382</v>
      </c>
      <c r="H170" s="27" t="n">
        <f aca="false">$G170+(fade_mB-$G170)*1/3</f>
        <v>0.157278815579603</v>
      </c>
      <c r="I170" s="27" t="n">
        <f aca="false">$G170+(fade_mB-$G170)*2/3</f>
        <v>0.151855408145823</v>
      </c>
      <c r="J170" s="27" t="n">
        <f aca="false">$G170+(fade_mB-$G170)*3/3</f>
        <v>0.146432000712044</v>
      </c>
    </row>
    <row r="171" customFormat="false" ht="17.15" hidden="false" customHeight="false" outlineLevel="0" collapsed="false">
      <c r="A171" s="3" t="s">
        <v>675</v>
      </c>
      <c r="B171" s="0" t="s">
        <v>45</v>
      </c>
      <c r="C171" s="20" t="n">
        <f aca="false">C154/C148</f>
        <v>0.195190527350447</v>
      </c>
      <c r="D171" s="20" t="n">
        <f aca="false">D154/D148</f>
        <v>0.285230933480641</v>
      </c>
      <c r="E171" s="20" t="n">
        <f aca="false">E154/E148</f>
        <v>0.195246834071404</v>
      </c>
      <c r="F171" s="20" t="n">
        <f aca="false">F154/F148</f>
        <v>0.176185082976295</v>
      </c>
      <c r="G171" s="20" t="n">
        <f aca="false">G154/G148</f>
        <v>0.138842176969232</v>
      </c>
      <c r="H171" s="26" t="n">
        <f aca="false">$G171+($G156*(1+tp_g)^(life/2)-$G171)*1/3</f>
        <v>0.134697576608246</v>
      </c>
      <c r="I171" s="26" t="n">
        <f aca="false">$G171+($G156*(1+tp_g)^(life/2)-$G171)*2/3</f>
        <v>0.13055297624726</v>
      </c>
      <c r="J171" s="26" t="n">
        <f aca="false">$G171+($G156*(1+tp_g)^(life/2)-$G171)*3/3</f>
        <v>0.126408375886274</v>
      </c>
      <c r="K171" s="7" t="s">
        <v>676</v>
      </c>
    </row>
    <row r="172" customFormat="false" ht="15" hidden="false" customHeight="false" outlineLevel="0" collapsed="false">
      <c r="A172" s="3" t="s">
        <v>677</v>
      </c>
      <c r="B172" s="0" t="s">
        <v>303</v>
      </c>
      <c r="E172" s="21" t="n">
        <f aca="false">E166+E155-E154</f>
        <v>22.029277728986</v>
      </c>
      <c r="F172" s="21" t="n">
        <f aca="false">F166+F155-F154</f>
        <v>23.7388045274917</v>
      </c>
      <c r="G172" s="21" t="n">
        <f aca="false">G166+G155-G154</f>
        <v>36.1039377203424</v>
      </c>
      <c r="H172" s="30" t="n">
        <f aca="false">H166+H155-H154</f>
        <v>39.7609086493495</v>
      </c>
      <c r="I172" s="30" t="n">
        <f aca="false">I166+I155-I154</f>
        <v>42.3653252047212</v>
      </c>
      <c r="J172" s="30" t="n">
        <f aca="false">J166+J155-J154</f>
        <v>43.6243666574424</v>
      </c>
      <c r="K172" s="3" t="s">
        <v>678</v>
      </c>
    </row>
    <row r="173" customFormat="false" ht="15" hidden="false" customHeight="false" outlineLevel="0" collapsed="false">
      <c r="A173" s="3" t="s">
        <v>679</v>
      </c>
      <c r="B173" s="0" t="s">
        <v>387</v>
      </c>
      <c r="E173" s="18" t="n">
        <f aca="false">E172/E167</f>
        <v>13.4324864201134</v>
      </c>
      <c r="F173" s="18" t="n">
        <f aca="false">F172/F167</f>
        <v>14.4748808094462</v>
      </c>
      <c r="G173" s="18" t="n">
        <f aca="false">G172/G167</f>
        <v>22.0145961709405</v>
      </c>
      <c r="H173" s="28" t="n">
        <f aca="false">H172/H167</f>
        <v>24.2444564935058</v>
      </c>
      <c r="I173" s="28" t="n">
        <f aca="false">I172/I167</f>
        <v>25.8325153687325</v>
      </c>
      <c r="J173" s="28" t="n">
        <f aca="false">J172/J167</f>
        <v>26.6002235716112</v>
      </c>
    </row>
    <row r="176" customFormat="false" ht="17.15" hidden="false" customHeight="false" outlineLevel="0" collapsed="false">
      <c r="A176" s="1" t="s">
        <v>681</v>
      </c>
    </row>
    <row r="177" customFormat="false" ht="17.15" hidden="false" customHeight="false" outlineLevel="0" collapsed="false">
      <c r="A177" s="4" t="s">
        <v>22</v>
      </c>
      <c r="B177" s="4" t="s">
        <v>23</v>
      </c>
      <c r="C177" s="14" t="s">
        <v>508</v>
      </c>
      <c r="D177" s="14" t="s">
        <v>592</v>
      </c>
      <c r="E177" s="14" t="s">
        <v>593</v>
      </c>
      <c r="F177" s="14" t="s">
        <v>594</v>
      </c>
      <c r="G177" s="14" t="s">
        <v>595</v>
      </c>
      <c r="H177" s="14" t="s">
        <v>596</v>
      </c>
      <c r="I177" s="14" t="s">
        <v>597</v>
      </c>
      <c r="J177" s="14" t="s">
        <v>598</v>
      </c>
      <c r="K177" s="4" t="s">
        <v>481</v>
      </c>
    </row>
    <row r="178" customFormat="false" ht="17.15" hidden="false" customHeight="false" outlineLevel="0" collapsed="false">
      <c r="A178" s="5" t="s">
        <v>616</v>
      </c>
    </row>
    <row r="179" customFormat="false" ht="17.15" hidden="false" customHeight="false" outlineLevel="0" collapsed="false">
      <c r="A179" s="0" t="s">
        <v>617</v>
      </c>
      <c r="B179" s="3" t="s">
        <v>33</v>
      </c>
      <c r="D179" s="21" t="n">
        <f aca="false">(u_bw_26+u_rb_26+u_ru_26+u_hp_26)*1</f>
        <v>7.6</v>
      </c>
      <c r="E179" s="21" t="n">
        <f aca="false">(u_bw_27+u_rb_27+u_ru_27+u_hp_27)*1*1</f>
        <v>9.7</v>
      </c>
      <c r="F179" s="21" t="n">
        <f aca="false">(u_bw_28+u_rb_28+u_ru_28+u_hp_28)*um28_C*1</f>
        <v>5.7</v>
      </c>
      <c r="G179" s="21" t="n">
        <f aca="false">(u_bw_28*(1+g29_bw)+u_rb_28*(1+g29_rb)+u_ru_28*(1+g29_ru)+u_hp_28*(1+g29_hp))*um29_C*1</f>
        <v>6.36</v>
      </c>
      <c r="K179" s="7" t="s">
        <v>618</v>
      </c>
    </row>
    <row r="180" customFormat="false" ht="17.15" hidden="false" customHeight="false" outlineLevel="0" collapsed="false">
      <c r="A180" s="3" t="s">
        <v>619</v>
      </c>
      <c r="B180" s="3" t="s">
        <v>33</v>
      </c>
      <c r="D180" s="21" t="n">
        <f aca="false">(u_amd_26+u_tpu_26+u_trn_26+u_oth_26)*1</f>
        <v>7.6</v>
      </c>
      <c r="E180" s="21" t="n">
        <f aca="false">(u_amd_27+u_tpu_27+u_trn_27+u_oth_27)*1*1</f>
        <v>14</v>
      </c>
      <c r="F180" s="21" t="n">
        <f aca="false">(u_amd_28+u_tpu_28+u_trn_28+u_oth_28)*um28_C*1</f>
        <v>10.2</v>
      </c>
      <c r="G180" s="21" t="n">
        <f aca="false">(u_amd_28*(1+g29_amd)+u_tpu_28*(1+g29_tpu)+u_trn_28*(1+g29_trn)+u_oth_28*(1+g29_oth))*um29_C*1</f>
        <v>11.73</v>
      </c>
      <c r="K180" s="7" t="s">
        <v>620</v>
      </c>
    </row>
    <row r="181" customFormat="false" ht="17.15" hidden="false" customHeight="false" outlineLevel="0" collapsed="false">
      <c r="A181" s="3" t="s">
        <v>621</v>
      </c>
      <c r="B181" s="0" t="s">
        <v>145</v>
      </c>
      <c r="D181" s="19" t="n">
        <f aca="false">1</f>
        <v>1</v>
      </c>
      <c r="E181" s="19" t="n">
        <f aca="false">D181*(1+g_asp)</f>
        <v>1.18</v>
      </c>
      <c r="F181" s="19" t="n">
        <f aca="false">E181*(1+g_asp)</f>
        <v>1.3924</v>
      </c>
      <c r="G181" s="19" t="n">
        <f aca="false">F181*(1+g_asp)</f>
        <v>1.643032</v>
      </c>
      <c r="K181" s="7" t="s">
        <v>622</v>
      </c>
    </row>
    <row r="182" customFormat="false" ht="17.15" hidden="false" customHeight="false" outlineLevel="0" collapsed="false">
      <c r="A182" s="0" t="s">
        <v>623</v>
      </c>
      <c r="B182" s="0" t="s">
        <v>145</v>
      </c>
      <c r="D182" s="18" t="n">
        <f aca="false">1</f>
        <v>1</v>
      </c>
      <c r="E182" s="18" t="n">
        <f aca="false">ibpp_27</f>
        <v>1</v>
      </c>
      <c r="F182" s="18" t="n">
        <f aca="false">ibpp_28</f>
        <v>0.95</v>
      </c>
      <c r="G182" s="18" t="n">
        <f aca="false">ibpp_29</f>
        <v>0.9</v>
      </c>
      <c r="K182" s="7" t="s">
        <v>624</v>
      </c>
    </row>
    <row r="183" customFormat="false" ht="17.15" hidden="false" customHeight="false" outlineLevel="0" collapsed="false">
      <c r="A183" s="3" t="s">
        <v>625</v>
      </c>
      <c r="B183" s="0" t="s">
        <v>145</v>
      </c>
      <c r="D183" s="18" t="n">
        <f aca="false">1</f>
        <v>1</v>
      </c>
      <c r="E183" s="18" t="n">
        <f aca="false">1+carry</f>
        <v>1.05</v>
      </c>
      <c r="F183" s="18" t="n">
        <f aca="false">1+carry</f>
        <v>1.05</v>
      </c>
      <c r="G183" s="18" t="n">
        <f aca="false">1+carry</f>
        <v>1.05</v>
      </c>
      <c r="K183" s="7" t="s">
        <v>626</v>
      </c>
    </row>
    <row r="184" customFormat="false" ht="17.15" hidden="false" customHeight="false" outlineLevel="0" collapsed="false">
      <c r="A184" s="3" t="s">
        <v>627</v>
      </c>
      <c r="B184" s="0" t="s">
        <v>628</v>
      </c>
      <c r="D184" s="23" t="n">
        <f aca="false">v26*D181*D182</f>
        <v>215.308596</v>
      </c>
      <c r="E184" s="23" t="n">
        <f aca="false">v26*E181*E182</f>
        <v>254.06414328</v>
      </c>
      <c r="F184" s="23" t="n">
        <f aca="false">v26*F181*F182</f>
        <v>284.80590461688</v>
      </c>
      <c r="G184" s="23" t="n">
        <f aca="false">v26*G181*G182</f>
        <v>318.383021792765</v>
      </c>
      <c r="K184" s="7" t="s">
        <v>629</v>
      </c>
    </row>
    <row r="185" customFormat="false" ht="17.15" hidden="false" customHeight="false" outlineLevel="0" collapsed="false">
      <c r="A185" s="3" t="s">
        <v>630</v>
      </c>
      <c r="B185" s="0" t="s">
        <v>45</v>
      </c>
      <c r="D185" s="20" t="n">
        <f aca="false">sh_nv_26</f>
        <v>0.25</v>
      </c>
      <c r="E185" s="20" t="n">
        <f aca="false">sh_nv_27</f>
        <v>0.27</v>
      </c>
      <c r="F185" s="20" t="n">
        <f aca="false">sh_nv_28</f>
        <v>0.29</v>
      </c>
      <c r="G185" s="20" t="n">
        <f aca="false">sh_nv_29</f>
        <v>0.3</v>
      </c>
    </row>
    <row r="186" customFormat="false" ht="17.15" hidden="false" customHeight="false" outlineLevel="0" collapsed="false">
      <c r="A186" s="3" t="s">
        <v>631</v>
      </c>
      <c r="B186" s="0" t="s">
        <v>45</v>
      </c>
      <c r="D186" s="20" t="n">
        <f aca="false">sh_ot_26</f>
        <v>0.3</v>
      </c>
      <c r="E186" s="20" t="n">
        <f aca="false">sh_ot_27</f>
        <v>0.31</v>
      </c>
      <c r="F186" s="20" t="n">
        <f aca="false">sh_ot_28</f>
        <v>0.32</v>
      </c>
      <c r="G186" s="20" t="n">
        <f aca="false">sh_ot_29</f>
        <v>0.33</v>
      </c>
    </row>
    <row r="187" customFormat="false" ht="17.15" hidden="false" customHeight="false" outlineLevel="0" collapsed="false">
      <c r="A187" s="3" t="s">
        <v>632</v>
      </c>
      <c r="B187" s="0" t="s">
        <v>582</v>
      </c>
      <c r="D187" s="22" t="n">
        <f aca="false">(D179*D184*D185+D180*D184*v_ot*D186)*D183</f>
        <v>801.809211504</v>
      </c>
      <c r="E187" s="22" t="n">
        <f aca="false">(E179*E184*E185+E180*E184*v_ot*E186)*E183</f>
        <v>1624.8799315544</v>
      </c>
      <c r="F187" s="22" t="n">
        <f aca="false">(F179*F184*F185+F180*F184*v_ot*F186)*F183</f>
        <v>1275.19280539066</v>
      </c>
      <c r="G187" s="22" t="n">
        <f aca="false">(G179*G184*G185+G180*G184*v_ot*G186)*G183</f>
        <v>1673.08877066802</v>
      </c>
    </row>
    <row r="188" customFormat="false" ht="15" hidden="false" customHeight="false" outlineLevel="0" collapsed="false">
      <c r="A188" s="3" t="s">
        <v>633</v>
      </c>
      <c r="B188" s="0" t="s">
        <v>303</v>
      </c>
      <c r="D188" s="21" t="n">
        <f aca="false">D187*fx/1000</f>
        <v>25.657894768128</v>
      </c>
      <c r="E188" s="21" t="n">
        <f aca="false">E187*fx/1000</f>
        <v>51.9961578097409</v>
      </c>
      <c r="F188" s="21" t="n">
        <f aca="false">F187*fx/1000</f>
        <v>40.8061697725013</v>
      </c>
      <c r="G188" s="21" t="n">
        <f aca="false">G187*fx/1000</f>
        <v>53.5388406613766</v>
      </c>
    </row>
    <row r="189" customFormat="false" ht="17.15" hidden="false" customHeight="false" outlineLevel="0" collapsed="false">
      <c r="A189" s="5" t="s">
        <v>634</v>
      </c>
    </row>
    <row r="190" customFormat="false" ht="17.15" hidden="false" customHeight="false" outlineLevel="0" collapsed="false">
      <c r="A190" s="0" t="s">
        <v>635</v>
      </c>
      <c r="B190" s="0" t="s">
        <v>303</v>
      </c>
      <c r="D190" s="21" t="n">
        <f aca="false">a26_abf*ai_abf</f>
        <v>74.83672875</v>
      </c>
      <c r="K190" s="3" t="s">
        <v>636</v>
      </c>
    </row>
    <row r="191" customFormat="false" ht="17.15" hidden="false" customHeight="false" outlineLevel="0" collapsed="false">
      <c r="A191" s="3" t="s">
        <v>637</v>
      </c>
      <c r="B191" s="0" t="s">
        <v>303</v>
      </c>
      <c r="D191" s="21" t="n">
        <f aca="false">D190-D188</f>
        <v>49.178833981872</v>
      </c>
      <c r="E191" s="21" t="n">
        <f aca="false">$D191*(itc_27/itc_26)^el_o*1*1*E182*E183</f>
        <v>73.0642903440322</v>
      </c>
      <c r="F191" s="21" t="n">
        <f aca="false">$D191*(itc_28/itc_26)^el_o*um28_C*1*F182*F183</f>
        <v>46.8893283357113</v>
      </c>
      <c r="G191" s="21" t="n">
        <f aca="false">$D191*(itc_29/itc_26)^el_o*um29_C*1*G182*G183</f>
        <v>47.411633308497</v>
      </c>
      <c r="K191" s="7" t="s">
        <v>638</v>
      </c>
    </row>
    <row r="192" customFormat="false" ht="17.15" hidden="false" customHeight="false" outlineLevel="0" collapsed="false">
      <c r="A192" s="3" t="s">
        <v>639</v>
      </c>
      <c r="B192" s="0" t="s">
        <v>303</v>
      </c>
      <c r="D192" s="21" t="n">
        <f aca="false">a26_abf-D190</f>
        <v>24.94557625</v>
      </c>
      <c r="E192" s="21" t="n">
        <f aca="false">D192*(1+g_nai)</f>
        <v>25.6939435375</v>
      </c>
      <c r="F192" s="21" t="n">
        <f aca="false">E192*(1+g_nai)</f>
        <v>26.464761843625</v>
      </c>
      <c r="G192" s="21" t="n">
        <f aca="false">F192*(1+g_nai)</f>
        <v>27.2587046989338</v>
      </c>
    </row>
    <row r="193" customFormat="false" ht="17.15" hidden="false" customHeight="false" outlineLevel="0" collapsed="false">
      <c r="A193" s="0" t="s">
        <v>640</v>
      </c>
      <c r="B193" s="0" t="s">
        <v>303</v>
      </c>
      <c r="D193" s="21" t="n">
        <f aca="false">D188+D191+D192</f>
        <v>99.782305</v>
      </c>
      <c r="E193" s="21" t="n">
        <f aca="false">E188+E191+E192</f>
        <v>150.754391691273</v>
      </c>
      <c r="F193" s="21" t="n">
        <f aca="false">F188+F191+F192</f>
        <v>114.160259951838</v>
      </c>
      <c r="G193" s="21" t="n">
        <f aca="false">G188+G191+G192</f>
        <v>128.209178668807</v>
      </c>
    </row>
    <row r="194" customFormat="false" ht="17.15" hidden="false" customHeight="false" outlineLevel="0" collapsed="false">
      <c r="A194" s="0" t="s">
        <v>641</v>
      </c>
      <c r="B194" s="0" t="s">
        <v>303</v>
      </c>
      <c r="D194" s="21" t="n">
        <f aca="false">a26_abf</f>
        <v>99.782305</v>
      </c>
      <c r="E194" s="21" t="n">
        <f aca="false">$D193*cap_27*(1+g_mix)^1*E182*E183</f>
        <v>148.513488204375</v>
      </c>
      <c r="F194" s="21" t="n">
        <f aca="false">$D193*cap_28*(1+g_mix)^2*F182*F183</f>
        <v>186.549442683384</v>
      </c>
      <c r="G194" s="21" t="n">
        <f aca="false">$D193*cap_29*(1+g_mix)^3*G182*G183</f>
        <v>218.314827660431</v>
      </c>
      <c r="K194" s="7" t="s">
        <v>642</v>
      </c>
    </row>
    <row r="195" customFormat="false" ht="17.15" hidden="false" customHeight="false" outlineLevel="0" collapsed="false">
      <c r="A195" s="0" t="s">
        <v>643</v>
      </c>
      <c r="B195" s="0" t="s">
        <v>303</v>
      </c>
      <c r="D195" s="21" t="n">
        <f aca="false">a26_abf</f>
        <v>99.782305</v>
      </c>
      <c r="E195" s="21" t="n">
        <f aca="false">MIN(E193,E194)</f>
        <v>148.513488204375</v>
      </c>
      <c r="F195" s="21" t="n">
        <f aca="false">MIN(F193,F194)</f>
        <v>114.160259951838</v>
      </c>
      <c r="G195" s="21" t="n">
        <f aca="false">MIN(G193,G194)</f>
        <v>128.209178668807</v>
      </c>
    </row>
    <row r="196" customFormat="false" ht="17.15" hidden="false" customHeight="false" outlineLevel="0" collapsed="false">
      <c r="A196" s="3" t="s">
        <v>644</v>
      </c>
      <c r="B196" s="0" t="s">
        <v>45</v>
      </c>
      <c r="D196" s="20" t="n">
        <f aca="false">D195/D193</f>
        <v>1</v>
      </c>
      <c r="E196" s="20" t="n">
        <f aca="false">E195/E193</f>
        <v>0.985135401617438</v>
      </c>
      <c r="F196" s="20" t="n">
        <f aca="false">F195/F193</f>
        <v>1</v>
      </c>
      <c r="G196" s="20" t="n">
        <f aca="false">G195/G193</f>
        <v>1</v>
      </c>
    </row>
    <row r="197" customFormat="false" ht="17.15" hidden="false" customHeight="false" outlineLevel="0" collapsed="false">
      <c r="A197" s="0" t="s">
        <v>645</v>
      </c>
      <c r="B197" s="0" t="s">
        <v>303</v>
      </c>
      <c r="D197" s="21" t="n">
        <f aca="false">(D188+D191)*D196</f>
        <v>74.83672875</v>
      </c>
      <c r="E197" s="21" t="n">
        <f aca="false">(E188+E191)*E196</f>
        <v>123.201474818424</v>
      </c>
      <c r="F197" s="21" t="n">
        <f aca="false">(F188+F191)*F196</f>
        <v>87.6954981082126</v>
      </c>
      <c r="G197" s="21" t="n">
        <f aca="false">(G188+G191)*G196</f>
        <v>100.950473969874</v>
      </c>
    </row>
    <row r="198" customFormat="false" ht="17.15" hidden="false" customHeight="false" outlineLevel="0" collapsed="false">
      <c r="A198" s="3" t="s">
        <v>646</v>
      </c>
      <c r="B198" s="0" t="s">
        <v>45</v>
      </c>
      <c r="D198" s="20" t="n">
        <f aca="false">D188/(D188+D191)</f>
        <v>0.342851634440636</v>
      </c>
      <c r="E198" s="20" t="n">
        <f aca="false">E188/(E188+E191)</f>
        <v>0.41576820311572</v>
      </c>
      <c r="F198" s="20" t="n">
        <f aca="false">F188/(F188+F191)</f>
        <v>0.465316585831444</v>
      </c>
      <c r="G198" s="20" t="n">
        <f aca="false">G188/(G188+G191)</f>
        <v>0.530347590813235</v>
      </c>
    </row>
    <row r="199" customFormat="false" ht="17.15" hidden="false" customHeight="false" outlineLevel="0" collapsed="false">
      <c r="A199" s="5" t="s">
        <v>647</v>
      </c>
    </row>
    <row r="200" customFormat="false" ht="17.15" hidden="false" customHeight="false" outlineLevel="0" collapsed="false">
      <c r="A200" s="0" t="s">
        <v>550</v>
      </c>
      <c r="B200" s="0" t="s">
        <v>303</v>
      </c>
      <c r="D200" s="21" t="n">
        <f aca="false">a26_bt</f>
        <v>16.944165</v>
      </c>
      <c r="E200" s="21" t="n">
        <f aca="false">D200*(1+g_bt)</f>
        <v>17.79137325</v>
      </c>
      <c r="F200" s="21" t="n">
        <f aca="false">E200*(1+g_bt)</f>
        <v>18.6809419125</v>
      </c>
      <c r="G200" s="21" t="n">
        <f aca="false">F200*(1+g_bt)</f>
        <v>19.614989008125</v>
      </c>
    </row>
    <row r="201" customFormat="false" ht="17.15" hidden="false" customHeight="false" outlineLevel="0" collapsed="false">
      <c r="A201" s="0" t="s">
        <v>648</v>
      </c>
      <c r="B201" s="0" t="s">
        <v>303</v>
      </c>
      <c r="D201" s="21" t="n">
        <f aca="false">a26_pcb*ai_pcb</f>
        <v>37.93610275</v>
      </c>
      <c r="E201" s="21" t="n">
        <f aca="false">D201*(1+g_pai_27)</f>
        <v>45.5233233</v>
      </c>
      <c r="F201" s="21" t="n">
        <f aca="false">D201*(1+g_pai_27)*(1+g_pai_28)*um28_C</f>
        <v>31.411093077</v>
      </c>
      <c r="G201" s="21" t="n">
        <f aca="false">D201*(1+g_pai_27)*(1+g_pai_28)*(1+g_pai_29)*um29_C</f>
        <v>34.5522023847</v>
      </c>
      <c r="K201" s="3" t="s">
        <v>649</v>
      </c>
    </row>
    <row r="202" customFormat="false" ht="17.15" hidden="false" customHeight="false" outlineLevel="0" collapsed="false">
      <c r="A202" s="3" t="s">
        <v>650</v>
      </c>
      <c r="B202" s="0" t="s">
        <v>303</v>
      </c>
      <c r="D202" s="21" t="n">
        <f aca="false">a26_pcb*(1-ai_pcb)</f>
        <v>20.42713225</v>
      </c>
      <c r="E202" s="21" t="n">
        <f aca="false">D202*(1+g_pcbn)</f>
        <v>20.835674895</v>
      </c>
      <c r="F202" s="21" t="n">
        <f aca="false">E202*(1+g_pcbn)</f>
        <v>21.2523883929</v>
      </c>
      <c r="G202" s="21" t="n">
        <f aca="false">F202*(1+g_pcbn)</f>
        <v>21.677436160758</v>
      </c>
    </row>
    <row r="203" customFormat="false" ht="15" hidden="false" customHeight="false" outlineLevel="0" collapsed="false">
      <c r="A203" s="3" t="s">
        <v>552</v>
      </c>
      <c r="B203" s="0" t="s">
        <v>303</v>
      </c>
      <c r="D203" s="21" t="n">
        <f aca="false">a26_fpc</f>
        <v>13.178795</v>
      </c>
      <c r="E203" s="21" t="n">
        <f aca="false">D203*(1+g_fpc)</f>
        <v>13.178795</v>
      </c>
      <c r="F203" s="21" t="n">
        <f aca="false">E203*(1+g_fpc)</f>
        <v>13.178795</v>
      </c>
      <c r="G203" s="21" t="n">
        <f aca="false">F203*(1+g_fpc)</f>
        <v>13.178795</v>
      </c>
    </row>
    <row r="204" customFormat="false" ht="17.15" hidden="false" customHeight="false" outlineLevel="0" collapsed="false">
      <c r="A204" s="3" t="s">
        <v>651</v>
      </c>
      <c r="B204" s="0" t="s">
        <v>303</v>
      </c>
      <c r="D204" s="21" t="n">
        <f aca="false">D195+D200</f>
        <v>116.72647</v>
      </c>
      <c r="E204" s="21" t="n">
        <f aca="false">E195+E200</f>
        <v>166.304861454375</v>
      </c>
      <c r="F204" s="21" t="n">
        <f aca="false">F195+F200</f>
        <v>132.841201864338</v>
      </c>
      <c r="G204" s="21" t="n">
        <f aca="false">G195+G200</f>
        <v>147.824167676932</v>
      </c>
      <c r="K204" s="3" t="s">
        <v>652</v>
      </c>
    </row>
    <row r="205" customFormat="false" ht="17.15" hidden="false" customHeight="false" outlineLevel="0" collapsed="false">
      <c r="A205" s="0" t="s">
        <v>653</v>
      </c>
      <c r="B205" s="0" t="s">
        <v>303</v>
      </c>
      <c r="D205" s="21" t="n">
        <f aca="false">D201+D202</f>
        <v>58.363235</v>
      </c>
      <c r="E205" s="21" t="n">
        <f aca="false">E201+E202</f>
        <v>66.358998195</v>
      </c>
      <c r="F205" s="21" t="n">
        <f aca="false">F201+F202</f>
        <v>52.6634814699</v>
      </c>
      <c r="G205" s="21" t="n">
        <f aca="false">G201+G202</f>
        <v>56.229638545458</v>
      </c>
      <c r="K205" s="3" t="s">
        <v>654</v>
      </c>
    </row>
    <row r="206" customFormat="false" ht="17.15" hidden="false" customHeight="false" outlineLevel="0" collapsed="false">
      <c r="A206" s="3" t="s">
        <v>515</v>
      </c>
      <c r="B206" s="0" t="s">
        <v>303</v>
      </c>
      <c r="C206" s="23" t="n">
        <f aca="false">a25_rev</f>
        <v>131.241</v>
      </c>
      <c r="D206" s="23" t="n">
        <f aca="false">D204+D205+D203</f>
        <v>188.2685</v>
      </c>
      <c r="E206" s="23" t="n">
        <f aca="false">E204+E205+E203</f>
        <v>245.842654649375</v>
      </c>
      <c r="F206" s="23" t="n">
        <f aca="false">F204+F205+F203</f>
        <v>198.683478334238</v>
      </c>
      <c r="G206" s="23" t="n">
        <f aca="false">G204+G205+G203</f>
        <v>217.23260122239</v>
      </c>
      <c r="H206" s="25" t="n">
        <f aca="false">G206*(1+H208)</f>
        <v>232.201399973629</v>
      </c>
      <c r="I206" s="25" t="n">
        <f aca="false">H206*(1+I208)</f>
        <v>242.523539199511</v>
      </c>
      <c r="J206" s="25" t="n">
        <f aca="false">I206*(1+J208)</f>
        <v>247.374009983501</v>
      </c>
      <c r="K206" s="7" t="s">
        <v>655</v>
      </c>
    </row>
    <row r="207" customFormat="false" ht="17.15" hidden="false" customHeight="false" outlineLevel="0" collapsed="false">
      <c r="A207" s="3" t="s">
        <v>656</v>
      </c>
      <c r="B207" s="0" t="s">
        <v>303</v>
      </c>
      <c r="D207" s="19" t="n">
        <f aca="false">D204+D205+D203-D206</f>
        <v>0</v>
      </c>
      <c r="E207" s="19" t="n">
        <f aca="false">E204+E205+E203-E206</f>
        <v>0</v>
      </c>
      <c r="F207" s="19" t="n">
        <f aca="false">F204+F205+F203-F206</f>
        <v>0</v>
      </c>
      <c r="G207" s="19" t="n">
        <f aca="false">G204+G205+G203-G206</f>
        <v>0</v>
      </c>
    </row>
    <row r="208" customFormat="false" ht="15" hidden="false" customHeight="false" outlineLevel="0" collapsed="false">
      <c r="A208" s="3" t="s">
        <v>657</v>
      </c>
      <c r="B208" s="0" t="s">
        <v>45</v>
      </c>
      <c r="D208" s="20" t="n">
        <f aca="false">D206/C206-1</f>
        <v>0.434525034097576</v>
      </c>
      <c r="E208" s="20" t="n">
        <f aca="false">E206/D206-1</f>
        <v>0.30580875</v>
      </c>
      <c r="F208" s="20" t="n">
        <f aca="false">F206/E206-1</f>
        <v>-0.191826664019703</v>
      </c>
      <c r="G208" s="20" t="n">
        <f aca="false">G206/F206-1</f>
        <v>0.0933601678592939</v>
      </c>
      <c r="H208" s="26" t="n">
        <f aca="false">$G208+(fade_gC-$G208)*1/3</f>
        <v>0.0689067785728626</v>
      </c>
      <c r="I208" s="26" t="n">
        <f aca="false">$G208+(fade_gC-$G208)*2/3</f>
        <v>0.0444533892864313</v>
      </c>
      <c r="J208" s="26" t="n">
        <f aca="false">$G208+(fade_gC-$G208)*3/3</f>
        <v>0.02</v>
      </c>
    </row>
    <row r="209" customFormat="false" ht="17.15" hidden="false" customHeight="false" outlineLevel="0" collapsed="false">
      <c r="A209" s="0" t="s">
        <v>658</v>
      </c>
      <c r="B209" s="0" t="s">
        <v>45</v>
      </c>
      <c r="D209" s="20" t="n">
        <f aca="false">D195/D206</f>
        <v>0.53</v>
      </c>
      <c r="E209" s="20" t="n">
        <f aca="false">E195/E206</f>
        <v>0.604099758100105</v>
      </c>
      <c r="F209" s="20" t="n">
        <f aca="false">F195/F206</f>
        <v>0.574583558275491</v>
      </c>
      <c r="G209" s="20" t="n">
        <f aca="false">G195/G206</f>
        <v>0.590193083116259</v>
      </c>
    </row>
    <row r="210" customFormat="false" ht="17.15" hidden="false" customHeight="false" outlineLevel="0" collapsed="false">
      <c r="A210" s="0" t="s">
        <v>659</v>
      </c>
      <c r="B210" s="0" t="s">
        <v>45</v>
      </c>
      <c r="D210" s="20" t="n">
        <f aca="false">(D197+D201)/D206</f>
        <v>0.599</v>
      </c>
      <c r="E210" s="20" t="n">
        <f aca="false">(E197+E201)/E206</f>
        <v>0.686312138790815</v>
      </c>
      <c r="F210" s="20" t="n">
        <f aca="false">(F197+F201)/F206</f>
        <v>0.599479091989945</v>
      </c>
      <c r="G210" s="20" t="n">
        <f aca="false">(G197+G201)/G206</f>
        <v>0.623767683082954</v>
      </c>
      <c r="K210" s="3" t="s">
        <v>660</v>
      </c>
    </row>
    <row r="211" customFormat="false" ht="17.15" hidden="false" customHeight="false" outlineLevel="0" collapsed="false">
      <c r="A211" s="5" t="s">
        <v>661</v>
      </c>
    </row>
    <row r="212" customFormat="false" ht="15" hidden="false" customHeight="false" outlineLevel="0" collapsed="false">
      <c r="A212" s="3" t="s">
        <v>662</v>
      </c>
      <c r="B212" s="0" t="s">
        <v>303</v>
      </c>
      <c r="C212" s="23" t="n">
        <f aca="false">a25_cx</f>
        <v>25.617</v>
      </c>
      <c r="D212" s="23" t="n">
        <f aca="false">capex26</f>
        <v>53.7</v>
      </c>
      <c r="E212" s="23" t="n">
        <f aca="false">cx27_C</f>
        <v>40</v>
      </c>
      <c r="F212" s="23" t="n">
        <f aca="false">cx28_C</f>
        <v>30</v>
      </c>
      <c r="G212" s="23" t="n">
        <f aca="false">cx29_C</f>
        <v>28</v>
      </c>
      <c r="H212" s="25" t="n">
        <f aca="false">H206*H229</f>
        <v>31.2899490102751</v>
      </c>
      <c r="I212" s="25" t="n">
        <f aca="false">I206*I229</f>
        <v>34.1019339728363</v>
      </c>
      <c r="J212" s="25" t="n">
        <f aca="false">J206*J229</f>
        <v>36.2334341443169</v>
      </c>
    </row>
    <row r="213" customFormat="false" ht="17.15" hidden="false" customHeight="false" outlineLevel="0" collapsed="false">
      <c r="A213" s="3" t="s">
        <v>663</v>
      </c>
      <c r="B213" s="0" t="s">
        <v>303</v>
      </c>
      <c r="C213" s="23" t="n">
        <f aca="false">a25_da</f>
        <v>18.8</v>
      </c>
      <c r="D213" s="23" t="n">
        <f aca="false">da26</f>
        <v>20.8</v>
      </c>
      <c r="E213" s="23" t="n">
        <f aca="false">D213*(1-1/life)+D212/life</f>
        <v>24.9125</v>
      </c>
      <c r="F213" s="23" t="n">
        <f aca="false">E213*(1-1/life)+E212/life</f>
        <v>26.7984375</v>
      </c>
      <c r="G213" s="23" t="n">
        <f aca="false">F213*(1-1/life)+F212/life</f>
        <v>27.1986328125</v>
      </c>
      <c r="H213" s="25" t="n">
        <f aca="false">H206*H214</f>
        <v>29.0728029811955</v>
      </c>
      <c r="I213" s="25" t="n">
        <f aca="false">I206*I214</f>
        <v>30.3651876097663</v>
      </c>
      <c r="J213" s="25" t="n">
        <f aca="false">J206*J214</f>
        <v>30.9724913619617</v>
      </c>
      <c r="K213" s="3" t="s">
        <v>664</v>
      </c>
    </row>
    <row r="214" customFormat="false" ht="17.15" hidden="false" customHeight="false" outlineLevel="0" collapsed="false">
      <c r="A214" s="3" t="s">
        <v>665</v>
      </c>
      <c r="B214" s="0" t="s">
        <v>45</v>
      </c>
      <c r="C214" s="20" t="n">
        <f aca="false">C213/C206</f>
        <v>0.143247917952469</v>
      </c>
      <c r="D214" s="20" t="n">
        <f aca="false">D213/D206</f>
        <v>0.110480510547436</v>
      </c>
      <c r="E214" s="20" t="n">
        <f aca="false">E213/E206</f>
        <v>0.101335140704247</v>
      </c>
      <c r="F214" s="20" t="n">
        <f aca="false">F213/F206</f>
        <v>0.134880050040789</v>
      </c>
      <c r="G214" s="20" t="n">
        <f aca="false">G213/G206</f>
        <v>0.125205114975609</v>
      </c>
      <c r="H214" s="26" t="n">
        <f aca="false">$G214</f>
        <v>0.125205114975609</v>
      </c>
      <c r="I214" s="26" t="n">
        <f aca="false">$G214</f>
        <v>0.125205114975609</v>
      </c>
      <c r="J214" s="26" t="n">
        <f aca="false">$G214</f>
        <v>0.125205114975609</v>
      </c>
    </row>
    <row r="215" customFormat="false" ht="17.15" hidden="false" customHeight="false" outlineLevel="0" collapsed="false">
      <c r="A215" s="3" t="s">
        <v>666</v>
      </c>
      <c r="B215" s="0" t="s">
        <v>303</v>
      </c>
      <c r="E215" s="21" t="n">
        <f aca="false">E197*(1-1/(E182*E183))</f>
        <v>5.86673689611544</v>
      </c>
      <c r="F215" s="21" t="n">
        <f aca="false">F197*(1-1/(F182*F183))</f>
        <v>-0.219788215810071</v>
      </c>
      <c r="G215" s="21" t="n">
        <f aca="false">G197*(1-1/(G182*G183))</f>
        <v>-5.87542441094502</v>
      </c>
      <c r="K215" s="7" t="s">
        <v>667</v>
      </c>
    </row>
    <row r="216" customFormat="false" ht="17.15" hidden="false" customHeight="false" outlineLevel="0" collapsed="false">
      <c r="A216" s="3" t="s">
        <v>668</v>
      </c>
      <c r="B216" s="0" t="s">
        <v>303</v>
      </c>
      <c r="C216" s="21" t="n">
        <f aca="false">a25_gp</f>
        <v>18.292</v>
      </c>
      <c r="D216" s="21" t="n">
        <f aca="false">a26_gp</f>
        <v>47.3329657</v>
      </c>
      <c r="E216" s="21" t="n">
        <f aca="false">$D216+ft_abf*(E195-E215-$D195)+ft_oth*((E206-E195)-($D206-$D195))+E215-(E213-$D213)</f>
        <v>72.7301686114952</v>
      </c>
      <c r="F216" s="21" t="n">
        <f aca="false">$D216+ft_abf*(F195-F215-$D195)+ft_oth*((F206-F195)-($D206-$D195))+F215-(F213-$D213)</f>
        <v>47.4228674136138</v>
      </c>
      <c r="G216" s="21" t="n">
        <f aca="false">$D216+ft_abf*(G195-G215-$D195)+ft_oth*((G206-G195)-($D206-$D195))+G215-(G213-$D213)</f>
        <v>52.3443644048269</v>
      </c>
      <c r="K216" s="3" t="s">
        <v>669</v>
      </c>
    </row>
    <row r="217" customFormat="false" ht="15" hidden="false" customHeight="false" outlineLevel="0" collapsed="false">
      <c r="A217" s="3" t="s">
        <v>522</v>
      </c>
      <c r="B217" s="0" t="s">
        <v>45</v>
      </c>
      <c r="C217" s="13" t="n">
        <f aca="false">C216/C206</f>
        <v>0.139377176339711</v>
      </c>
      <c r="D217" s="13" t="n">
        <f aca="false">D216/D206</f>
        <v>0.251412029627899</v>
      </c>
      <c r="E217" s="13" t="n">
        <f aca="false">E216/E206</f>
        <v>0.295840315893205</v>
      </c>
      <c r="F217" s="13" t="n">
        <f aca="false">F216/F206</f>
        <v>0.238685510296111</v>
      </c>
      <c r="G217" s="13" t="n">
        <f aca="false">G216/G206</f>
        <v>0.240959985334981</v>
      </c>
    </row>
    <row r="218" customFormat="false" ht="15" hidden="false" customHeight="false" outlineLevel="0" collapsed="false">
      <c r="A218" s="3" t="s">
        <v>524</v>
      </c>
      <c r="B218" s="0" t="s">
        <v>303</v>
      </c>
      <c r="C218" s="21" t="n">
        <f aca="false">a25_opx</f>
        <v>11.618</v>
      </c>
      <c r="D218" s="21" t="n">
        <f aca="false">a26_opx</f>
        <v>16.6539532</v>
      </c>
      <c r="E218" s="21" t="n">
        <f aca="false">D218*(1+phi*E208)</f>
        <v>19.7097079663903</v>
      </c>
      <c r="F218" s="21" t="n">
        <f aca="false">E218*(1+phi*F208)</f>
        <v>17.4411994495932</v>
      </c>
      <c r="G218" s="21" t="n">
        <f aca="false">F218*(1+phi*G208)</f>
        <v>18.418187434562</v>
      </c>
    </row>
    <row r="219" customFormat="false" ht="15" hidden="false" customHeight="false" outlineLevel="0" collapsed="false">
      <c r="A219" s="3" t="s">
        <v>527</v>
      </c>
      <c r="B219" s="0" t="s">
        <v>303</v>
      </c>
      <c r="C219" s="21" t="n">
        <f aca="false">C216-C218</f>
        <v>6.674</v>
      </c>
      <c r="D219" s="21" t="n">
        <f aca="false">D216-D218</f>
        <v>30.6790125</v>
      </c>
      <c r="E219" s="21" t="n">
        <f aca="false">E216-E218</f>
        <v>53.0204606451049</v>
      </c>
      <c r="F219" s="21" t="n">
        <f aca="false">F216-F218</f>
        <v>29.9816679640206</v>
      </c>
      <c r="G219" s="21" t="n">
        <f aca="false">G216-G218</f>
        <v>33.9261769702649</v>
      </c>
    </row>
    <row r="220" customFormat="false" ht="15" hidden="false" customHeight="false" outlineLevel="0" collapsed="false">
      <c r="A220" s="3" t="s">
        <v>605</v>
      </c>
      <c r="B220" s="0" t="s">
        <v>45</v>
      </c>
      <c r="C220" s="13" t="n">
        <f aca="false">C219/C206</f>
        <v>0.0508530108731265</v>
      </c>
      <c r="D220" s="13" t="n">
        <f aca="false">D219/D206</f>
        <v>0.162953507888999</v>
      </c>
      <c r="E220" s="13" t="n">
        <f aca="false">E219/E206</f>
        <v>0.215668272540921</v>
      </c>
      <c r="F220" s="13" t="n">
        <f aca="false">F219/F206</f>
        <v>0.150901666386088</v>
      </c>
      <c r="G220" s="13" t="n">
        <f aca="false">G219/G206</f>
        <v>0.156174426763565</v>
      </c>
    </row>
    <row r="221" customFormat="false" ht="17.15" hidden="false" customHeight="false" outlineLevel="0" collapsed="false">
      <c r="A221" s="3" t="s">
        <v>670</v>
      </c>
      <c r="B221" s="0" t="s">
        <v>303</v>
      </c>
      <c r="C221" s="21" t="n">
        <f aca="false">a25_nonop</f>
        <v>-0.00100000000000033</v>
      </c>
      <c r="D221" s="21" t="n">
        <f aca="false">a26_nonop</f>
        <v>14.466</v>
      </c>
      <c r="E221" s="21" t="n">
        <f aca="false">nonop27</f>
        <v>2</v>
      </c>
      <c r="F221" s="21" t="n">
        <f aca="false">nonop28</f>
        <v>2</v>
      </c>
      <c r="G221" s="21" t="n">
        <f aca="false">nonop29</f>
        <v>2</v>
      </c>
      <c r="K221" s="7" t="s">
        <v>671</v>
      </c>
    </row>
    <row r="222" customFormat="false" ht="15" hidden="false" customHeight="false" outlineLevel="0" collapsed="false">
      <c r="A222" s="3" t="s">
        <v>533</v>
      </c>
      <c r="B222" s="0" t="s">
        <v>303</v>
      </c>
      <c r="C222" s="21" t="n">
        <f aca="false">C219+C221</f>
        <v>6.673</v>
      </c>
      <c r="D222" s="21" t="n">
        <f aca="false">D219+D221</f>
        <v>45.1450125</v>
      </c>
      <c r="E222" s="21" t="n">
        <f aca="false">E219+E221</f>
        <v>55.0204606451049</v>
      </c>
      <c r="F222" s="21" t="n">
        <f aca="false">F219+F221</f>
        <v>31.9816679640206</v>
      </c>
      <c r="G222" s="21" t="n">
        <f aca="false">G219+G221</f>
        <v>35.9261769702649</v>
      </c>
    </row>
    <row r="223" customFormat="false" ht="15" hidden="false" customHeight="false" outlineLevel="0" collapsed="false">
      <c r="A223" s="3" t="s">
        <v>537</v>
      </c>
      <c r="B223" s="0" t="s">
        <v>303</v>
      </c>
      <c r="E223" s="21" t="n">
        <f aca="false">E222*tax</f>
        <v>9.90368291611888</v>
      </c>
      <c r="F223" s="21" t="n">
        <f aca="false">F222*tax</f>
        <v>5.7567002335237</v>
      </c>
      <c r="G223" s="21" t="n">
        <f aca="false">G222*tax</f>
        <v>6.46671185464768</v>
      </c>
    </row>
    <row r="224" customFormat="false" ht="15" hidden="false" customHeight="false" outlineLevel="0" collapsed="false">
      <c r="A224" s="3" t="s">
        <v>535</v>
      </c>
      <c r="B224" s="0" t="s">
        <v>303</v>
      </c>
      <c r="C224" s="21" t="n">
        <f aca="false">a25_ni</f>
        <v>6.673</v>
      </c>
      <c r="D224" s="21" t="n">
        <f aca="false">a26_ni</f>
        <v>37.23923025</v>
      </c>
      <c r="E224" s="21" t="n">
        <f aca="false">E222-E223</f>
        <v>45.116777728986</v>
      </c>
      <c r="F224" s="21" t="n">
        <f aca="false">F222-F223</f>
        <v>26.2249677304969</v>
      </c>
      <c r="G224" s="21" t="n">
        <f aca="false">G222-G223</f>
        <v>29.4594651156172</v>
      </c>
      <c r="H224" s="30" t="n">
        <f aca="false">H206*H228</f>
        <v>29.3901271581998</v>
      </c>
      <c r="I224" s="30" t="n">
        <f aca="false">I206*I228</f>
        <v>28.504002356088</v>
      </c>
      <c r="J224" s="30" t="n">
        <f aca="false">J206*J228</f>
        <v>26.8376145260398</v>
      </c>
    </row>
    <row r="225" customFormat="false" ht="15" hidden="false" customHeight="false" outlineLevel="0" collapsed="false">
      <c r="A225" s="3" t="s">
        <v>672</v>
      </c>
      <c r="B225" s="3" t="s">
        <v>381</v>
      </c>
      <c r="C225" s="29" t="n">
        <f aca="false">a25_sh</f>
        <v>1.52351598173516</v>
      </c>
      <c r="D225" s="29" t="n">
        <f aca="false">a26_sh</f>
        <v>1.59236316568047</v>
      </c>
      <c r="E225" s="29" t="n">
        <f aca="false">a26_shend*(1+sh_g)</f>
        <v>1.64</v>
      </c>
      <c r="F225" s="29" t="n">
        <f aca="false">E225*(1+sh_g)</f>
        <v>1.64</v>
      </c>
      <c r="G225" s="29" t="n">
        <f aca="false">F225*(1+sh_g)</f>
        <v>1.64</v>
      </c>
      <c r="H225" s="31" t="n">
        <f aca="false">G225*(1+sh_g)</f>
        <v>1.64</v>
      </c>
      <c r="I225" s="31" t="n">
        <f aca="false">H225*(1+sh_g)</f>
        <v>1.64</v>
      </c>
      <c r="J225" s="31" t="n">
        <f aca="false">I225*(1+sh_g)</f>
        <v>1.64</v>
      </c>
    </row>
    <row r="226" customFormat="false" ht="17.15" hidden="false" customHeight="false" outlineLevel="0" collapsed="false">
      <c r="A226" s="0" t="s">
        <v>540</v>
      </c>
      <c r="B226" s="0" t="s">
        <v>387</v>
      </c>
      <c r="C226" s="18" t="n">
        <f aca="false">C224/C225</f>
        <v>4.38</v>
      </c>
      <c r="D226" s="18" t="n">
        <f aca="false">D224/D225</f>
        <v>23.3861414610695</v>
      </c>
      <c r="E226" s="18" t="n">
        <f aca="false">E224/E225</f>
        <v>27.5102303225525</v>
      </c>
      <c r="F226" s="18" t="n">
        <f aca="false">F224/F225</f>
        <v>15.9908339820103</v>
      </c>
      <c r="G226" s="18" t="n">
        <f aca="false">G224/G225</f>
        <v>17.9630884851324</v>
      </c>
      <c r="H226" s="28" t="n">
        <f aca="false">H224/H225</f>
        <v>17.9208092428047</v>
      </c>
      <c r="I226" s="28" t="n">
        <f aca="false">I224/I225</f>
        <v>17.3804892415171</v>
      </c>
      <c r="J226" s="28" t="n">
        <f aca="false">J224/J225</f>
        <v>16.3643991012438</v>
      </c>
    </row>
    <row r="227" customFormat="false" ht="17.15" hidden="false" customHeight="false" outlineLevel="0" collapsed="false">
      <c r="A227" s="0" t="s">
        <v>673</v>
      </c>
      <c r="B227" s="0" t="s">
        <v>45</v>
      </c>
      <c r="D227" s="20" t="n">
        <f aca="false">D226/C226-1</f>
        <v>4.33930170344053</v>
      </c>
      <c r="E227" s="20" t="n">
        <f aca="false">E226/D226-1</f>
        <v>0.176347554740839</v>
      </c>
      <c r="F227" s="20" t="n">
        <f aca="false">F226/E226-1</f>
        <v>-0.4187313666763</v>
      </c>
      <c r="G227" s="20" t="n">
        <f aca="false">G226/F226-1</f>
        <v>0.123336563017348</v>
      </c>
      <c r="H227" s="26" t="n">
        <f aca="false">H226/G226-1</f>
        <v>-0.00235367333199477</v>
      </c>
      <c r="I227" s="26" t="n">
        <f aca="false">I226/H226-1</f>
        <v>-0.030150424234028</v>
      </c>
      <c r="J227" s="26" t="n">
        <f aca="false">J226/I226-1</f>
        <v>-0.0584615384615385</v>
      </c>
    </row>
    <row r="228" customFormat="false" ht="17.15" hidden="false" customHeight="false" outlineLevel="0" collapsed="false">
      <c r="A228" s="3" t="s">
        <v>674</v>
      </c>
      <c r="B228" s="0" t="s">
        <v>45</v>
      </c>
      <c r="C228" s="13" t="n">
        <f aca="false">C224/C206</f>
        <v>0.0508453913030227</v>
      </c>
      <c r="D228" s="13" t="n">
        <f aca="false">D224/D206</f>
        <v>0.197798517808343</v>
      </c>
      <c r="E228" s="13" t="n">
        <f aca="false">E224/E206</f>
        <v>0.183518916980995</v>
      </c>
      <c r="F228" s="13" t="n">
        <f aca="false">F224/F206</f>
        <v>0.131993701491272</v>
      </c>
      <c r="G228" s="13" t="n">
        <f aca="false">G224/G206</f>
        <v>0.135612541348977</v>
      </c>
      <c r="H228" s="27" t="n">
        <f aca="false">$G228+(fade_mC-$G228)*1/3</f>
        <v>0.126571705259045</v>
      </c>
      <c r="I228" s="27" t="n">
        <f aca="false">$G228+(fade_mC-$G228)*2/3</f>
        <v>0.117530869169113</v>
      </c>
      <c r="J228" s="27" t="n">
        <f aca="false">$G228+(fade_mC-$G228)*3/3</f>
        <v>0.108490033079181</v>
      </c>
    </row>
    <row r="229" customFormat="false" ht="17.15" hidden="false" customHeight="false" outlineLevel="0" collapsed="false">
      <c r="A229" s="3" t="s">
        <v>675</v>
      </c>
      <c r="B229" s="0" t="s">
        <v>45</v>
      </c>
      <c r="C229" s="20" t="n">
        <f aca="false">C212/C206</f>
        <v>0.195190527350447</v>
      </c>
      <c r="D229" s="20" t="n">
        <f aca="false">D212/D206</f>
        <v>0.285230933480641</v>
      </c>
      <c r="E229" s="20" t="n">
        <f aca="false">E212/E206</f>
        <v>0.162705695059503</v>
      </c>
      <c r="F229" s="20" t="n">
        <f aca="false">F212/F206</f>
        <v>0.150993933927068</v>
      </c>
      <c r="G229" s="20" t="n">
        <f aca="false">G212/G206</f>
        <v>0.128894097121892</v>
      </c>
      <c r="H229" s="26" t="n">
        <f aca="false">$G229+($G214*(1+tp_g)^(life/2)-$G229)*1/3</f>
        <v>0.134753489917928</v>
      </c>
      <c r="I229" s="26" t="n">
        <f aca="false">$G229+($G214*(1+tp_g)^(life/2)-$G229)*2/3</f>
        <v>0.140612882713964</v>
      </c>
      <c r="J229" s="26" t="n">
        <f aca="false">$G229+($G214*(1+tp_g)^(life/2)-$G229)*3/3</f>
        <v>0.14647227551</v>
      </c>
      <c r="K229" s="7" t="s">
        <v>676</v>
      </c>
    </row>
    <row r="230" customFormat="false" ht="15" hidden="false" customHeight="false" outlineLevel="0" collapsed="false">
      <c r="A230" s="3" t="s">
        <v>677</v>
      </c>
      <c r="B230" s="0" t="s">
        <v>303</v>
      </c>
      <c r="E230" s="21" t="n">
        <f aca="false">E224+E213-E212</f>
        <v>30.029277728986</v>
      </c>
      <c r="F230" s="21" t="n">
        <f aca="false">F224+F213-F212</f>
        <v>23.0234052304969</v>
      </c>
      <c r="G230" s="21" t="n">
        <f aca="false">G224+G213-G212</f>
        <v>28.6580979281172</v>
      </c>
      <c r="H230" s="30" t="n">
        <f aca="false">H224+H213-H212</f>
        <v>27.1729811291201</v>
      </c>
      <c r="I230" s="30" t="n">
        <f aca="false">I224+I213-I212</f>
        <v>24.767255993018</v>
      </c>
      <c r="J230" s="30" t="n">
        <f aca="false">J224+J213-J212</f>
        <v>21.5766717436845</v>
      </c>
      <c r="K230" s="3" t="s">
        <v>678</v>
      </c>
    </row>
    <row r="231" customFormat="false" ht="15" hidden="false" customHeight="false" outlineLevel="0" collapsed="false">
      <c r="A231" s="3" t="s">
        <v>679</v>
      </c>
      <c r="B231" s="0" t="s">
        <v>387</v>
      </c>
      <c r="E231" s="18" t="n">
        <f aca="false">E230/E225</f>
        <v>18.3105352006012</v>
      </c>
      <c r="F231" s="18" t="n">
        <f aca="false">F230/F225</f>
        <v>14.0386617259127</v>
      </c>
      <c r="G231" s="18" t="n">
        <f aca="false">G230/G225</f>
        <v>17.474449956169</v>
      </c>
      <c r="H231" s="28" t="n">
        <f aca="false">H230/H225</f>
        <v>16.5688909323903</v>
      </c>
      <c r="I231" s="28" t="n">
        <f aca="false">I230/I225</f>
        <v>15.1019853615964</v>
      </c>
      <c r="J231" s="28" t="n">
        <f aca="false">J230/J225</f>
        <v>13.1565071607833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682</v>
      </c>
    </row>
    <row r="2" customFormat="false" ht="17.15" hidden="false" customHeight="false" outlineLevel="0" collapsed="false">
      <c r="A2" s="3" t="s">
        <v>683</v>
      </c>
    </row>
    <row r="4" customFormat="false" ht="17.15" hidden="false" customHeight="false" outlineLevel="0" collapsed="false">
      <c r="A4" s="5" t="s">
        <v>684</v>
      </c>
    </row>
    <row r="5" customFormat="false" ht="17.15" hidden="false" customHeight="false" outlineLevel="0" collapsed="false">
      <c r="A5" s="5" t="s">
        <v>685</v>
      </c>
    </row>
    <row r="6" customFormat="false" ht="17.15" hidden="false" customHeight="false" outlineLevel="0" collapsed="false">
      <c r="A6" s="4" t="s">
        <v>22</v>
      </c>
      <c r="B6" s="14" t="s">
        <v>686</v>
      </c>
      <c r="C6" s="14" t="s">
        <v>687</v>
      </c>
      <c r="D6" s="14" t="s">
        <v>688</v>
      </c>
      <c r="E6" s="4" t="s">
        <v>481</v>
      </c>
    </row>
    <row r="7" customFormat="false" ht="17.15" hidden="false" customHeight="false" outlineLevel="0" collapsed="false">
      <c r="A7" s="3" t="s">
        <v>689</v>
      </c>
      <c r="E7" s="0" t="s">
        <v>690</v>
      </c>
    </row>
    <row r="8" customFormat="false" ht="15" hidden="false" customHeight="false" outlineLevel="0" collapsed="false">
      <c r="A8" s="0" t="s">
        <v>691</v>
      </c>
      <c r="B8" s="18" t="n">
        <f aca="false">PL!E15</f>
        <v>27.5102303225525</v>
      </c>
      <c r="C8" s="18" t="n">
        <f aca="false">PL!E29</f>
        <v>27.5102303225525</v>
      </c>
      <c r="D8" s="18" t="n">
        <f aca="false">PL!E43</f>
        <v>27.5102303225525</v>
      </c>
    </row>
    <row r="9" customFormat="false" ht="15" hidden="false" customHeight="false" outlineLevel="0" collapsed="false">
      <c r="A9" s="0" t="s">
        <v>692</v>
      </c>
      <c r="B9" s="18" t="n">
        <f aca="false">PL!F15</f>
        <v>30.3404062954186</v>
      </c>
      <c r="C9" s="18" t="n">
        <f aca="false">PL!F29</f>
        <v>23.1343701387145</v>
      </c>
      <c r="D9" s="18" t="n">
        <f aca="false">PL!F43</f>
        <v>15.9908339820103</v>
      </c>
    </row>
    <row r="10" customFormat="false" ht="15" hidden="false" customHeight="false" outlineLevel="0" collapsed="false">
      <c r="A10" s="0" t="s">
        <v>693</v>
      </c>
      <c r="B10" s="18" t="n">
        <f aca="false">PL!G15</f>
        <v>32.5205062787858</v>
      </c>
      <c r="C10" s="18" t="n">
        <f aca="false">PL!G29</f>
        <v>27.1526249438064</v>
      </c>
      <c r="D10" s="18" t="n">
        <f aca="false">PL!G43</f>
        <v>17.9630884851324</v>
      </c>
    </row>
    <row r="11" customFormat="false" ht="15" hidden="false" customHeight="false" outlineLevel="0" collapsed="false">
      <c r="A11" s="0" t="s">
        <v>694</v>
      </c>
      <c r="B11" s="18" t="n">
        <f aca="false">PL!H15</f>
        <v>35.4692295702501</v>
      </c>
      <c r="C11" s="18" t="n">
        <f aca="false">PL!H29</f>
        <v>29.1891183349651</v>
      </c>
      <c r="D11" s="18" t="n">
        <f aca="false">PL!H43</f>
        <v>17.9208092428047</v>
      </c>
    </row>
    <row r="12" customFormat="false" ht="15" hidden="false" customHeight="false" outlineLevel="0" collapsed="false">
      <c r="A12" s="0" t="s">
        <v>695</v>
      </c>
      <c r="B12" s="18" t="n">
        <f aca="false">PL!I15</f>
        <v>38.1413525078633</v>
      </c>
      <c r="C12" s="18" t="n">
        <f aca="false">PL!I29</f>
        <v>30.3254711747614</v>
      </c>
      <c r="D12" s="18" t="n">
        <f aca="false">PL!I43</f>
        <v>17.3804892415171</v>
      </c>
    </row>
    <row r="13" customFormat="false" ht="15" hidden="false" customHeight="false" outlineLevel="0" collapsed="false">
      <c r="A13" s="0" t="s">
        <v>696</v>
      </c>
      <c r="B13" s="18" t="n">
        <f aca="false">PL!J15</f>
        <v>40.4298336583351</v>
      </c>
      <c r="C13" s="18" t="n">
        <f aca="false">PL!J29</f>
        <v>30.4121153781179</v>
      </c>
      <c r="D13" s="18" t="n">
        <f aca="false">PL!J43</f>
        <v>16.3643991012438</v>
      </c>
    </row>
    <row r="14" customFormat="false" ht="17.15" hidden="false" customHeight="false" outlineLevel="0" collapsed="false">
      <c r="A14" s="3" t="s">
        <v>697</v>
      </c>
      <c r="E14" s="3" t="s">
        <v>698</v>
      </c>
    </row>
    <row r="15" customFormat="false" ht="17.15" hidden="false" customHeight="false" outlineLevel="0" collapsed="false">
      <c r="A15" s="3" t="s">
        <v>699</v>
      </c>
      <c r="B15" s="20" t="n">
        <f aca="false">MIN(tp_g/tp_roe,0.8)</f>
        <v>0.462962962962963</v>
      </c>
      <c r="E15" s="7" t="s">
        <v>700</v>
      </c>
    </row>
    <row r="16" customFormat="false" ht="15" hidden="false" customHeight="false" outlineLevel="0" collapsed="false">
      <c r="A16" s="0" t="s">
        <v>691</v>
      </c>
      <c r="B16" s="18" t="n">
        <f aca="false">PL!E115</f>
        <v>9.1641937371866</v>
      </c>
      <c r="C16" s="18" t="n">
        <f aca="false">PL!E173</f>
        <v>13.4324864201134</v>
      </c>
      <c r="D16" s="18" t="n">
        <f aca="false">PL!E231</f>
        <v>18.3105352006012</v>
      </c>
    </row>
    <row r="17" customFormat="false" ht="15" hidden="false" customHeight="false" outlineLevel="0" collapsed="false">
      <c r="A17" s="0" t="s">
        <v>692</v>
      </c>
      <c r="B17" s="18" t="n">
        <f aca="false">PL!F115</f>
        <v>17.3364047710284</v>
      </c>
      <c r="C17" s="18" t="n">
        <f aca="false">PL!F173</f>
        <v>14.4748808094462</v>
      </c>
      <c r="D17" s="18" t="n">
        <f aca="false">PL!F231</f>
        <v>14.0386617259127</v>
      </c>
    </row>
    <row r="18" customFormat="false" ht="15" hidden="false" customHeight="false" outlineLevel="0" collapsed="false">
      <c r="A18" s="0" t="s">
        <v>693</v>
      </c>
      <c r="B18" s="18" t="n">
        <f aca="false">PL!G115</f>
        <v>24.1907854327492</v>
      </c>
      <c r="C18" s="18" t="n">
        <f aca="false">PL!G173</f>
        <v>22.0145961709405</v>
      </c>
      <c r="D18" s="18" t="n">
        <f aca="false">PL!G231</f>
        <v>17.474449956169</v>
      </c>
    </row>
    <row r="19" customFormat="false" ht="15" hidden="false" customHeight="false" outlineLevel="0" collapsed="false">
      <c r="A19" s="0" t="s">
        <v>694</v>
      </c>
      <c r="B19" s="18" t="n">
        <f aca="false">PL!H115</f>
        <v>28.232499453629</v>
      </c>
      <c r="C19" s="18" t="n">
        <f aca="false">PL!H173</f>
        <v>24.2444564935058</v>
      </c>
      <c r="D19" s="18" t="n">
        <f aca="false">PL!H231</f>
        <v>16.5688909323903</v>
      </c>
    </row>
    <row r="20" customFormat="false" ht="15" hidden="false" customHeight="false" outlineLevel="0" collapsed="false">
      <c r="A20" s="0" t="s">
        <v>695</v>
      </c>
      <c r="B20" s="18" t="n">
        <f aca="false">PL!I115</f>
        <v>32.3469446356309</v>
      </c>
      <c r="C20" s="18" t="n">
        <f aca="false">PL!I173</f>
        <v>25.8325153687325</v>
      </c>
      <c r="D20" s="18" t="n">
        <f aca="false">PL!I231</f>
        <v>15.1019853615964</v>
      </c>
    </row>
    <row r="21" customFormat="false" ht="15" hidden="false" customHeight="false" outlineLevel="0" collapsed="false">
      <c r="A21" s="0" t="s">
        <v>696</v>
      </c>
      <c r="B21" s="18" t="n">
        <f aca="false">PL!J115</f>
        <v>36.3945231950988</v>
      </c>
      <c r="C21" s="18" t="n">
        <f aca="false">PL!J173</f>
        <v>26.6002235716112</v>
      </c>
      <c r="D21" s="18" t="n">
        <f aca="false">PL!J231</f>
        <v>13.1565071607833</v>
      </c>
    </row>
    <row r="22" customFormat="false" ht="17.15" hidden="false" customHeight="false" outlineLevel="0" collapsed="false">
      <c r="A22" s="0" t="s">
        <v>701</v>
      </c>
      <c r="B22" s="18" t="n">
        <f aca="false">SUMPRODUCT(B16:B21,1/(1+tp_r)^{1;2;3;4;5;6})+B21*(1+tp_g)/(tp_r-tp_g)/(1+tp_r)^6</f>
        <v>456.837263844424</v>
      </c>
      <c r="C22" s="18" t="n">
        <f aca="false">SUMPRODUCT(C16:C21,1/(1+tp_r)^{1;2;3;4;5;6})+C21*(1+tp_g)/(tp_r-tp_g)/(1+tp_r)^6</f>
        <v>348.590637829222</v>
      </c>
      <c r="D22" s="18" t="n">
        <f aca="false">SUMPRODUCT(D16:D21,1/(1+tp_r)^{1;2;3;4;5;6})+D21*(1+tp_g)/(tp_r-tp_g)/(1+tp_r)^6</f>
        <v>198.223471151975</v>
      </c>
      <c r="E22" s="7" t="s">
        <v>702</v>
      </c>
    </row>
    <row r="23" customFormat="false" ht="17.15" hidden="false" customHeight="false" outlineLevel="0" collapsed="false">
      <c r="A23" s="0" t="s">
        <v>703</v>
      </c>
      <c r="B23" s="18" t="n">
        <f aca="false">B22*(1+tp_r)</f>
        <v>502.520990228867</v>
      </c>
      <c r="C23" s="18" t="n">
        <f aca="false">C22*(1+tp_r)</f>
        <v>383.449701612145</v>
      </c>
      <c r="D23" s="18" t="n">
        <f aca="false">D22*(1+tp_r)</f>
        <v>218.045818267173</v>
      </c>
    </row>
    <row r="24" customFormat="false" ht="17.15" hidden="false" customHeight="false" outlineLevel="0" collapsed="false">
      <c r="A24" s="0" t="s">
        <v>704</v>
      </c>
      <c r="B24" s="32" t="n">
        <f aca="false">tp_wA*B23+tp_wB*C23+tp_wC*D23</f>
        <v>386.090311528167</v>
      </c>
      <c r="E24" s="7" t="s">
        <v>705</v>
      </c>
    </row>
    <row r="25" customFormat="false" ht="17.15" hidden="false" customHeight="false" outlineLevel="0" collapsed="false">
      <c r="A25" s="3" t="s">
        <v>706</v>
      </c>
      <c r="B25" s="18" t="n">
        <f aca="false">(tp_wA*(SUMPRODUCT(B8:B13,1/(1+tp_r)^{1;2;3;4;5;6})+B13*(1+tp_g)/(tp_r-tp_g)/(1+tp_r)^6)+tp_wB*(SUMPRODUCT(C8:C13,1/(1+tp_r)^{1;2;3;4;5;6})+C13*(1+tp_g)/(tp_r-tp_g)/(1+tp_r)^6)+tp_wC*(SUMPRODUCT(D8:D13,1/(1+tp_r)^{1;2;3;4;5;6})+D13*(1+tp_g)/(tp_r-tp_g)/(1+tp_r)^6))*(1-B15)*(1+tp_r)</f>
        <v>248.156823355711</v>
      </c>
      <c r="E25" s="3" t="s">
        <v>707</v>
      </c>
    </row>
    <row r="26" customFormat="false" ht="17.15" hidden="false" customHeight="false" outlineLevel="0" collapsed="false">
      <c r="A26" s="5" t="s">
        <v>708</v>
      </c>
    </row>
    <row r="27" customFormat="false" ht="17.15" hidden="false" customHeight="false" outlineLevel="0" collapsed="false">
      <c r="A27" s="4" t="s">
        <v>709</v>
      </c>
      <c r="B27" s="4" t="s">
        <v>710</v>
      </c>
      <c r="C27" s="4" t="s">
        <v>711</v>
      </c>
      <c r="D27" s="4" t="s">
        <v>712</v>
      </c>
      <c r="E27" s="4" t="s">
        <v>713</v>
      </c>
      <c r="F27" s="4" t="s">
        <v>27</v>
      </c>
    </row>
    <row r="28" customFormat="false" ht="17.15" hidden="false" customHeight="false" outlineLevel="0" collapsed="false">
      <c r="A28" s="0" t="s">
        <v>714</v>
      </c>
      <c r="B28" s="0" t="s">
        <v>715</v>
      </c>
      <c r="C28" s="33" t="n">
        <v>53.97</v>
      </c>
      <c r="D28" s="7" t="s">
        <v>716</v>
      </c>
      <c r="E28" s="7" t="s">
        <v>717</v>
      </c>
      <c r="F28" s="7" t="s">
        <v>197</v>
      </c>
    </row>
    <row r="29" customFormat="false" ht="17.15" hidden="false" customHeight="false" outlineLevel="0" collapsed="false">
      <c r="A29" s="3" t="s">
        <v>718</v>
      </c>
      <c r="B29" s="0" t="s">
        <v>719</v>
      </c>
      <c r="C29" s="33" t="n">
        <v>44.7</v>
      </c>
      <c r="D29" s="7" t="s">
        <v>720</v>
      </c>
      <c r="E29" s="7" t="s">
        <v>717</v>
      </c>
      <c r="F29" s="7" t="s">
        <v>197</v>
      </c>
    </row>
    <row r="30" customFormat="false" ht="17.15" hidden="false" customHeight="false" outlineLevel="0" collapsed="false">
      <c r="A30" s="3" t="s">
        <v>721</v>
      </c>
      <c r="B30" s="0" t="s">
        <v>722</v>
      </c>
      <c r="C30" s="33" t="n">
        <v>33.73</v>
      </c>
      <c r="D30" s="7" t="s">
        <v>723</v>
      </c>
      <c r="E30" s="7" t="s">
        <v>717</v>
      </c>
      <c r="F30" s="7" t="s">
        <v>197</v>
      </c>
    </row>
    <row r="31" customFormat="false" ht="17.15" hidden="false" customHeight="false" outlineLevel="0" collapsed="false">
      <c r="A31" s="3" t="s">
        <v>724</v>
      </c>
      <c r="B31" s="0" t="s">
        <v>725</v>
      </c>
      <c r="C31" s="33" t="n">
        <v>43.4</v>
      </c>
      <c r="D31" s="7" t="s">
        <v>726</v>
      </c>
      <c r="E31" s="7" t="s">
        <v>717</v>
      </c>
      <c r="F31" s="7" t="s">
        <v>197</v>
      </c>
    </row>
    <row r="32" customFormat="false" ht="17.15" hidden="false" customHeight="false" outlineLevel="0" collapsed="false">
      <c r="A32" s="0" t="s">
        <v>727</v>
      </c>
      <c r="B32" s="0" t="s">
        <v>728</v>
      </c>
      <c r="C32" s="33" t="n">
        <v>14.91</v>
      </c>
      <c r="D32" s="7" t="s">
        <v>729</v>
      </c>
      <c r="E32" s="7" t="s">
        <v>717</v>
      </c>
      <c r="F32" s="7" t="s">
        <v>197</v>
      </c>
    </row>
    <row r="33" customFormat="false" ht="17.15" hidden="false" customHeight="false" outlineLevel="0" collapsed="false">
      <c r="A33" s="3" t="s">
        <v>730</v>
      </c>
      <c r="B33" s="34" t="n">
        <f aca="false">MEDIAN(C28:C32)</f>
        <v>43.4</v>
      </c>
      <c r="E33" s="7" t="s">
        <v>731</v>
      </c>
    </row>
    <row r="34" customFormat="false" ht="17.15" hidden="false" customHeight="false" outlineLevel="0" collapsed="false">
      <c r="A34" s="0" t="s">
        <v>732</v>
      </c>
      <c r="B34" s="18" t="n">
        <f aca="false">tp_wA*(2/12*B8+10/12*B9)+tp_wB*(2/12*C8+10/12*C9)+tp_wC*(2/12*D8+10/12*D9)</f>
        <v>24.4745998490795</v>
      </c>
      <c r="E34" s="3" t="s">
        <v>733</v>
      </c>
    </row>
    <row r="35" customFormat="false" ht="17.15" hidden="false" customHeight="false" outlineLevel="0" collapsed="false">
      <c r="A35" s="0" t="s">
        <v>734</v>
      </c>
      <c r="B35" s="32" t="n">
        <f aca="false">B33*B34</f>
        <v>1062.19763345005</v>
      </c>
      <c r="E35" s="3" t="s">
        <v>735</v>
      </c>
    </row>
    <row r="37" customFormat="false" ht="17.15" hidden="false" customHeight="false" outlineLevel="0" collapsed="false">
      <c r="A37" s="5" t="s">
        <v>736</v>
      </c>
    </row>
    <row r="38" customFormat="false" ht="15" hidden="false" customHeight="false" outlineLevel="0" collapsed="false">
      <c r="A38" s="4" t="s">
        <v>22</v>
      </c>
      <c r="B38" s="4" t="s">
        <v>737</v>
      </c>
      <c r="C38" s="4"/>
      <c r="D38" s="4"/>
      <c r="E38" s="4" t="s">
        <v>481</v>
      </c>
    </row>
    <row r="39" customFormat="false" ht="17.15" hidden="false" customHeight="false" outlineLevel="0" collapsed="false">
      <c r="A39" s="3" t="s">
        <v>738</v>
      </c>
      <c r="B39" s="32" t="n">
        <f aca="false">tp_w_dcf*B24+(1-tp_w_dcf)*tp_comp_adj</f>
        <v>664.296882625485</v>
      </c>
      <c r="E39" s="7" t="s">
        <v>739</v>
      </c>
    </row>
    <row r="40" customFormat="false" ht="17.15" hidden="false" customHeight="false" outlineLevel="0" collapsed="false">
      <c r="A40" s="0" t="s">
        <v>740</v>
      </c>
      <c r="B40" s="18" t="n">
        <f aca="false">B35</f>
        <v>1062.19763345005</v>
      </c>
    </row>
    <row r="41" customFormat="false" ht="17.15" hidden="false" customHeight="false" outlineLevel="0" collapsed="false">
      <c r="A41" s="3" t="s">
        <v>741</v>
      </c>
      <c r="B41" s="18" t="n">
        <f aca="false">cons_tp</f>
        <v>1317.37</v>
      </c>
      <c r="E41" s="7" t="s">
        <v>742</v>
      </c>
    </row>
    <row r="42" customFormat="false" ht="17.15" hidden="false" customHeight="false" outlineLevel="0" collapsed="false">
      <c r="A42" s="3" t="s">
        <v>743</v>
      </c>
      <c r="B42" s="20" t="n">
        <f aca="false">B39/px-1</f>
        <v>-0.387744808640106</v>
      </c>
      <c r="E42" s="3" t="s">
        <v>744</v>
      </c>
    </row>
    <row r="43" customFormat="false" ht="17.15" hidden="false" customHeight="false" outlineLevel="0" collapsed="false">
      <c r="A43" s="3" t="s">
        <v>745</v>
      </c>
      <c r="B43" s="20" t="n">
        <f aca="false">B40/px-1</f>
        <v>-0.0210160060368209</v>
      </c>
    </row>
    <row r="44" customFormat="false" ht="17.15" hidden="false" customHeight="false" outlineLevel="0" collapsed="false">
      <c r="A44" s="3" t="s">
        <v>746</v>
      </c>
      <c r="B44" s="20" t="n">
        <f aca="false">B34/cons_feps-1</f>
        <v>-0.0462801091068383</v>
      </c>
      <c r="E44" s="3" t="s">
        <v>747</v>
      </c>
    </row>
    <row r="45" customFormat="false" ht="17.15" hidden="false" customHeight="false" outlineLevel="0" collapsed="false">
      <c r="A45" s="3" t="s">
        <v>748</v>
      </c>
      <c r="B45" s="20" t="n">
        <f aca="false">(cons_tp/cons_feps)/B33-1</f>
        <v>0.182832585104802</v>
      </c>
      <c r="E45" s="0" t="str">
        <f aca="false">"共識目標價隱含 "&amp;TEXT(cons_tp/cons_feps,"0.0")&amp;"x，同業中位數 "&amp;TEXT(B33,"0.0")&amp;"x"</f>
        <v>共識目標價隱含 51.3x，同業中位數 43.4x</v>
      </c>
    </row>
    <row r="46" customFormat="false" ht="17.15" hidden="false" customHeight="false" outlineLevel="0" collapsed="false">
      <c r="A46" s="3" t="s">
        <v>749</v>
      </c>
      <c r="B46" s="35" t="str">
        <f aca="false">TEXT(D23,"#,##0")&amp;"～"&amp;TEXT(B23,"#,##0")</f>
        <v>218～503</v>
      </c>
      <c r="E46" s="7" t="s">
        <v>750</v>
      </c>
    </row>
    <row r="47" customFormat="false" ht="17.15" hidden="false" customHeight="false" outlineLevel="0" collapsed="false">
      <c r="A47" s="3" t="s">
        <v>751</v>
      </c>
      <c r="B47" s="36" t="n">
        <f aca="false">IF(px/B9&gt;=MAX($B$86:$B$95),1,IF(px/B9&lt;=MIN($B$86:$B$95),0,PERCENTRANK($B$86:$B$95,px/B9)))</f>
        <v>0.705</v>
      </c>
      <c r="C47" s="36" t="n">
        <f aca="false">IF(px/C9&gt;=MAX($B$86:$B$95),1,IF(px/C9&lt;=MIN($B$86:$B$95),0,PERCENTRANK($B$86:$B$95,px/C9)))</f>
        <v>0.824</v>
      </c>
      <c r="D47" s="36" t="n">
        <f aca="false">IF(px/D9&gt;=MAX($B$86:$B$95),1,IF(px/D9&lt;=MIN($B$86:$B$95),0,PERCENTRANK($B$86:$B$95,px/D9)))</f>
        <v>1</v>
      </c>
      <c r="E47" s="3" t="s">
        <v>752</v>
      </c>
    </row>
    <row r="48" customFormat="false" ht="17.15" hidden="false" customHeight="false" outlineLevel="0" collapsed="false">
      <c r="A48" s="3" t="s">
        <v>753</v>
      </c>
      <c r="B48" s="0" t="s">
        <v>754</v>
      </c>
    </row>
    <row r="51" customFormat="false" ht="17.15" hidden="false" customHeight="false" outlineLevel="0" collapsed="false">
      <c r="A51" s="5" t="s">
        <v>755</v>
      </c>
    </row>
    <row r="52" customFormat="false" ht="15" hidden="false" customHeight="false" outlineLevel="0" collapsed="false">
      <c r="A52" s="4" t="s">
        <v>22</v>
      </c>
      <c r="B52" s="14" t="s">
        <v>756</v>
      </c>
      <c r="C52" s="14" t="s">
        <v>757</v>
      </c>
      <c r="D52" s="14" t="s">
        <v>758</v>
      </c>
      <c r="E52" s="4" t="s">
        <v>481</v>
      </c>
    </row>
    <row r="53" customFormat="false" ht="17.15" hidden="false" customHeight="false" outlineLevel="0" collapsed="false">
      <c r="A53" s="3" t="s">
        <v>759</v>
      </c>
      <c r="B53" s="22" t="n">
        <f aca="false">px</f>
        <v>1085</v>
      </c>
    </row>
    <row r="54" customFormat="false" ht="17.15" hidden="false" customHeight="false" outlineLevel="0" collapsed="false">
      <c r="A54" s="3" t="s">
        <v>760</v>
      </c>
      <c r="B54" s="34" t="n">
        <f aca="false">px/PL!D15</f>
        <v>46.3949985852168</v>
      </c>
      <c r="C54" s="34" t="n">
        <f aca="false">px/PL!D29</f>
        <v>46.3949985852168</v>
      </c>
      <c r="D54" s="34" t="n">
        <f aca="false">px/PL!D43</f>
        <v>46.3949985852168</v>
      </c>
      <c r="E54" s="7" t="s">
        <v>761</v>
      </c>
    </row>
    <row r="55" customFormat="false" ht="17.15" hidden="false" customHeight="false" outlineLevel="0" collapsed="false">
      <c r="A55" s="3" t="s">
        <v>762</v>
      </c>
      <c r="B55" s="34" t="n">
        <f aca="false">px/PL!E15</f>
        <v>39.4398733590585</v>
      </c>
      <c r="C55" s="34" t="n">
        <f aca="false">px/PL!E29</f>
        <v>39.4398733590585</v>
      </c>
      <c r="D55" s="34" t="n">
        <f aca="false">px/PL!E43</f>
        <v>39.4398733590585</v>
      </c>
      <c r="E55" s="7" t="s">
        <v>763</v>
      </c>
    </row>
    <row r="56" customFormat="false" ht="17.15" hidden="false" customHeight="false" outlineLevel="0" collapsed="false">
      <c r="A56" s="3" t="s">
        <v>764</v>
      </c>
      <c r="B56" s="34" t="n">
        <f aca="false">px/PL!F15</f>
        <v>35.7608922384086</v>
      </c>
      <c r="C56" s="34" t="n">
        <f aca="false">px/PL!F29</f>
        <v>46.8999152989385</v>
      </c>
      <c r="D56" s="34" t="n">
        <f aca="false">px/PL!F43</f>
        <v>67.8513704301243</v>
      </c>
    </row>
    <row r="57" customFormat="false" ht="17.15" hidden="false" customHeight="false" outlineLevel="0" collapsed="false">
      <c r="A57" s="3" t="s">
        <v>765</v>
      </c>
      <c r="B57" s="34" t="n">
        <f aca="false">px/PL!G15</f>
        <v>33.3635642292501</v>
      </c>
      <c r="C57" s="34" t="n">
        <f aca="false">px/PL!G29</f>
        <v>39.9593042015444</v>
      </c>
      <c r="D57" s="34" t="n">
        <f aca="false">px/PL!G43</f>
        <v>60.4016397791518</v>
      </c>
    </row>
    <row r="58" customFormat="false" ht="17.15" hidden="false" customHeight="false" outlineLevel="0" collapsed="false">
      <c r="A58" s="3" t="s">
        <v>766</v>
      </c>
      <c r="B58" s="18" t="n">
        <f aca="false">0.2*PL!D29+0.8*PL!E29</f>
        <v>26.6854125502559</v>
      </c>
    </row>
    <row r="59" customFormat="false" ht="17.15" hidden="false" customHeight="false" outlineLevel="0" collapsed="false">
      <c r="A59" s="3" t="s">
        <v>767</v>
      </c>
      <c r="B59" s="34" t="n">
        <f aca="false">px/B58</f>
        <v>40.6589179746294</v>
      </c>
    </row>
    <row r="60" customFormat="false" ht="17.15" hidden="false" customHeight="false" outlineLevel="0" collapsed="false">
      <c r="A60" s="3" t="s">
        <v>414</v>
      </c>
      <c r="B60" s="34" t="n">
        <f aca="false">pe_ttm</f>
        <v>70.74</v>
      </c>
    </row>
    <row r="61" customFormat="false" ht="17.15" hidden="false" customHeight="false" outlineLevel="0" collapsed="false">
      <c r="A61" s="3" t="s">
        <v>410</v>
      </c>
      <c r="B61" s="34" t="n">
        <f aca="false">fpe</f>
        <v>42.28</v>
      </c>
    </row>
    <row r="63" customFormat="false" ht="17.15" hidden="false" customHeight="false" outlineLevel="0" collapsed="false">
      <c r="A63" s="5" t="s">
        <v>768</v>
      </c>
    </row>
    <row r="64" customFormat="false" ht="17.15" hidden="false" customHeight="false" outlineLevel="0" collapsed="false">
      <c r="A64" s="4" t="s">
        <v>769</v>
      </c>
      <c r="B64" s="4" t="s">
        <v>770</v>
      </c>
      <c r="C64" s="14" t="s">
        <v>771</v>
      </c>
      <c r="D64" s="4" t="s">
        <v>772</v>
      </c>
      <c r="E64" s="4" t="s">
        <v>773</v>
      </c>
      <c r="F64" s="4" t="s">
        <v>481</v>
      </c>
    </row>
    <row r="65" customFormat="false" ht="17.15" hidden="false" customHeight="false" outlineLevel="0" collapsed="false">
      <c r="A65" s="0" t="s">
        <v>756</v>
      </c>
      <c r="B65" s="0" t="n">
        <f aca="false">INDEX({2026,2027,2028,2029},MATCH(MAX(PL!D90:G90),PL!D90:G90,0))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22.63</v>
      </c>
      <c r="E65" s="0" t="str">
        <f aca="false">IF(B65=2029,"是：營收到觀測期末仍在增加","否")</f>
        <v>是：營收到觀測期末仍在增加</v>
      </c>
      <c r="F65" s="7" t="s">
        <v>774</v>
      </c>
    </row>
    <row r="66" customFormat="false" ht="15" hidden="false" customHeight="false" outlineLevel="0" collapsed="false">
      <c r="A66" s="0" t="s">
        <v>757</v>
      </c>
      <c r="B66" s="0" t="n">
        <f aca="false">INDEX({2026,2027,2028,2029},MATCH(MAX(PL!D148:G148),PL!D148:G148,0))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22.63</v>
      </c>
      <c r="E66" s="0" t="str">
        <f aca="false">IF(B66=2029,"是：營收到觀測期末仍在增加","否")</f>
        <v>是：營收到觀測期末仍在增加</v>
      </c>
      <c r="F66" s="3" t="s">
        <v>47</v>
      </c>
    </row>
    <row r="67" customFormat="false" ht="15" hidden="false" customHeight="false" outlineLevel="0" collapsed="false">
      <c r="A67" s="0" t="s">
        <v>758</v>
      </c>
      <c r="B67" s="0" t="n">
        <f aca="false">INDEX({2026,2027,2028,2029},MATCH(MAX(PL!D206:G206),PL!D206:G206,0))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18.4</v>
      </c>
      <c r="E67" s="0" t="str">
        <f aca="false">IF(B67=2029,"是：營收到觀測期末仍在增加","否")</f>
        <v>否</v>
      </c>
      <c r="F67" s="3" t="s">
        <v>47</v>
      </c>
    </row>
    <row r="69" customFormat="false" ht="17.15" hidden="false" customHeight="false" outlineLevel="0" collapsed="false">
      <c r="A69" s="5" t="s">
        <v>775</v>
      </c>
    </row>
    <row r="70" customFormat="false" ht="17.15" hidden="false" customHeight="false" outlineLevel="0" collapsed="false">
      <c r="A70" s="4" t="s">
        <v>769</v>
      </c>
      <c r="B70" s="14" t="s">
        <v>776</v>
      </c>
      <c r="C70" s="4" t="s">
        <v>777</v>
      </c>
      <c r="D70" s="4" t="s">
        <v>778</v>
      </c>
      <c r="E70" s="4" t="s">
        <v>779</v>
      </c>
      <c r="F70" s="4" t="s">
        <v>780</v>
      </c>
      <c r="G70" s="4" t="s">
        <v>781</v>
      </c>
    </row>
    <row r="71" customFormat="false" ht="15" hidden="false" customHeight="false" outlineLevel="0" collapsed="false">
      <c r="A71" s="8" t="s">
        <v>756</v>
      </c>
      <c r="B71" s="32" t="n">
        <f aca="false">PL!E15</f>
        <v>27.5102303225525</v>
      </c>
      <c r="C71" s="32" t="n">
        <f aca="false">B71</f>
        <v>27.5102303225525</v>
      </c>
      <c r="D71" s="37" t="n">
        <f aca="false">D65</f>
        <v>22.63</v>
      </c>
      <c r="E71" s="38" t="n">
        <f aca="false">C71*D71</f>
        <v>622.556512199362</v>
      </c>
      <c r="F71" s="39" t="n">
        <f aca="false">E71/px-1</f>
        <v>-0.42621519612962</v>
      </c>
      <c r="G71" s="37" t="n">
        <f aca="false">px/C71</f>
        <v>39.4398733590585</v>
      </c>
    </row>
    <row r="72" customFormat="false" ht="15" hidden="false" customHeight="false" outlineLevel="0" collapsed="false">
      <c r="A72" s="8" t="s">
        <v>757</v>
      </c>
      <c r="B72" s="32" t="n">
        <f aca="false">PL!E29</f>
        <v>27.5102303225525</v>
      </c>
      <c r="C72" s="32" t="n">
        <f aca="false">B72</f>
        <v>27.5102303225525</v>
      </c>
      <c r="D72" s="37" t="n">
        <f aca="false">D66</f>
        <v>22.63</v>
      </c>
      <c r="E72" s="38" t="n">
        <f aca="false">C72*D72</f>
        <v>622.556512199362</v>
      </c>
      <c r="F72" s="39" t="n">
        <f aca="false">E72/px-1</f>
        <v>-0.42621519612962</v>
      </c>
      <c r="G72" s="37" t="n">
        <f aca="false">px/C72</f>
        <v>39.4398733590585</v>
      </c>
    </row>
    <row r="73" customFormat="false" ht="15" hidden="false" customHeight="false" outlineLevel="0" collapsed="false">
      <c r="A73" s="8" t="s">
        <v>758</v>
      </c>
      <c r="B73" s="32" t="n">
        <f aca="false">PL!E43</f>
        <v>27.5102303225525</v>
      </c>
      <c r="C73" s="32" t="n">
        <f aca="false">B73</f>
        <v>27.5102303225525</v>
      </c>
      <c r="D73" s="37" t="n">
        <f aca="false">D67</f>
        <v>18.4</v>
      </c>
      <c r="E73" s="38" t="n">
        <f aca="false">C73*D73</f>
        <v>506.188237934965</v>
      </c>
      <c r="F73" s="39" t="n">
        <f aca="false">E73/px-1</f>
        <v>-0.533467061811092</v>
      </c>
      <c r="G73" s="37" t="n">
        <f aca="false">px/C73</f>
        <v>39.4398733590585</v>
      </c>
    </row>
    <row r="75" customFormat="false" ht="17.15" hidden="false" customHeight="false" outlineLevel="0" collapsed="false">
      <c r="A75" s="5" t="s">
        <v>782</v>
      </c>
    </row>
    <row r="76" customFormat="false" ht="17.15" hidden="false" customHeight="false" outlineLevel="0" collapsed="false">
      <c r="A76" s="14" t="s">
        <v>783</v>
      </c>
      <c r="B76" s="4" t="s">
        <v>784</v>
      </c>
      <c r="C76" s="4" t="s">
        <v>785</v>
      </c>
      <c r="D76" s="4" t="s">
        <v>786</v>
      </c>
      <c r="E76" s="4" t="s">
        <v>787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26.8206691788065</v>
      </c>
      <c r="C77" s="34" t="n">
        <f aca="false">px*A77/PL!F29</f>
        <v>35.1749364742039</v>
      </c>
      <c r="D77" s="34" t="n">
        <f aca="false">px*A77/PL!F43</f>
        <v>50.8885278225932</v>
      </c>
      <c r="E77" s="34" t="n">
        <f aca="false">pe_mid</f>
        <v>22.63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35.7608922384086</v>
      </c>
      <c r="C78" s="34" t="n">
        <f aca="false">px*A78/PL!F29</f>
        <v>46.8999152989385</v>
      </c>
      <c r="D78" s="34" t="n">
        <f aca="false">px*A78/PL!F43</f>
        <v>67.8513704301243</v>
      </c>
      <c r="E78" s="34" t="n">
        <f aca="false">pe_mid</f>
        <v>22.63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39.3369814622495</v>
      </c>
      <c r="C79" s="34" t="n">
        <f aca="false">px*A79/PL!F29</f>
        <v>51.5899068288323</v>
      </c>
      <c r="D79" s="34" t="n">
        <f aca="false">px*A79/PL!F43</f>
        <v>74.6365074731368</v>
      </c>
      <c r="E79" s="34" t="n">
        <f aca="false">pe_mid</f>
        <v>22.63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43.2706796084744</v>
      </c>
      <c r="C80" s="34" t="n">
        <f aca="false">px*A80/PL!F29</f>
        <v>56.7488975117156</v>
      </c>
      <c r="D80" s="34" t="n">
        <f aca="false">px*A80/PL!F43</f>
        <v>82.1001582204504</v>
      </c>
      <c r="E80" s="34" t="n">
        <f aca="false">pe_mid</f>
        <v>22.63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53.6413383576129</v>
      </c>
      <c r="C81" s="34" t="n">
        <f aca="false">px*A81/PL!F29</f>
        <v>70.3498729484077</v>
      </c>
      <c r="D81" s="34" t="n">
        <f aca="false">px*A81/PL!F43</f>
        <v>101.777055645186</v>
      </c>
      <c r="E81" s="34" t="n">
        <f aca="false">pe_mid</f>
        <v>22.63</v>
      </c>
    </row>
    <row r="82" customFormat="false" ht="17.15" hidden="false" customHeight="false" outlineLevel="0" collapsed="false">
      <c r="A82" s="3" t="s">
        <v>788</v>
      </c>
    </row>
    <row r="84" customFormat="false" ht="17.15" hidden="false" customHeight="false" outlineLevel="0" collapsed="false">
      <c r="A84" s="5" t="s">
        <v>789</v>
      </c>
    </row>
    <row r="85" customFormat="false" ht="17.15" hidden="false" customHeight="false" outlineLevel="0" collapsed="false">
      <c r="A85" s="4" t="s">
        <v>790</v>
      </c>
      <c r="B85" s="4" t="s">
        <v>791</v>
      </c>
      <c r="C85" s="14" t="s">
        <v>792</v>
      </c>
      <c r="D85" s="4" t="s">
        <v>793</v>
      </c>
    </row>
    <row r="86" customFormat="false" ht="17.15" hidden="false" customHeight="false" outlineLevel="0" collapsed="false">
      <c r="A86" s="0" t="s">
        <v>794</v>
      </c>
      <c r="E86" s="3" t="s">
        <v>795</v>
      </c>
    </row>
    <row r="87" customFormat="false" ht="15" hidden="false" customHeight="false" outlineLevel="0" collapsed="false">
      <c r="A87" s="0" t="s">
        <v>796</v>
      </c>
      <c r="B87" s="18" t="n">
        <f aca="false">AVERAGE(C87:D87)</f>
        <v>53.6071428571429</v>
      </c>
      <c r="C87" s="18" t="n">
        <f aca="false">B106</f>
        <v>49</v>
      </c>
      <c r="D87" s="18" t="n">
        <f aca="false">C106</f>
        <v>58.2142857142857</v>
      </c>
    </row>
    <row r="88" customFormat="false" ht="15" hidden="false" customHeight="false" outlineLevel="0" collapsed="false">
      <c r="A88" s="0" t="s">
        <v>797</v>
      </c>
      <c r="B88" s="18" t="n">
        <f aca="false">AVERAGE(C88:D88)</f>
        <v>18.395652173913</v>
      </c>
      <c r="C88" s="18" t="n">
        <f aca="false">B107</f>
        <v>17.4</v>
      </c>
      <c r="D88" s="18" t="n">
        <f aca="false">C107</f>
        <v>19.3913043478261</v>
      </c>
    </row>
    <row r="89" customFormat="false" ht="15" hidden="false" customHeight="false" outlineLevel="0" collapsed="false">
      <c r="A89" s="0" t="s">
        <v>798</v>
      </c>
      <c r="B89" s="18" t="n">
        <f aca="false">AVERAGE(C89:D89)</f>
        <v>17.625</v>
      </c>
      <c r="C89" s="18" t="n">
        <f aca="false">B108</f>
        <v>16.5</v>
      </c>
      <c r="D89" s="18" t="n">
        <f aca="false">C108</f>
        <v>18.75</v>
      </c>
    </row>
    <row r="90" customFormat="false" ht="15" hidden="false" customHeight="false" outlineLevel="0" collapsed="false">
      <c r="A90" s="0" t="s">
        <v>799</v>
      </c>
      <c r="B90" s="18" t="n">
        <f aca="false">AVERAGE(C90:D90)</f>
        <v>22.1844919786096</v>
      </c>
      <c r="C90" s="18" t="n">
        <f aca="false">B109</f>
        <v>21</v>
      </c>
      <c r="D90" s="18" t="n">
        <f aca="false">C109</f>
        <v>23.3689839572193</v>
      </c>
    </row>
    <row r="91" customFormat="false" ht="15" hidden="false" customHeight="false" outlineLevel="0" collapsed="false">
      <c r="A91" s="0" t="s">
        <v>800</v>
      </c>
      <c r="B91" s="18" t="n">
        <f aca="false">AVERAGE(C91:D91)</f>
        <v>24.6119153674833</v>
      </c>
      <c r="C91" s="18" t="n">
        <f aca="false">B110</f>
        <v>23.5</v>
      </c>
      <c r="D91" s="18" t="n">
        <f aca="false">C110</f>
        <v>25.7238307349666</v>
      </c>
    </row>
    <row r="92" customFormat="false" ht="15" hidden="false" customHeight="false" outlineLevel="0" collapsed="false">
      <c r="A92" s="0" t="s">
        <v>801</v>
      </c>
      <c r="B92" s="18" t="n">
        <f aca="false">AVERAGE(C92:D92)</f>
        <v>5.77304780876494</v>
      </c>
      <c r="C92" s="18" t="n">
        <f aca="false">B111</f>
        <v>5.57</v>
      </c>
      <c r="D92" s="18" t="n">
        <f aca="false">C111</f>
        <v>5.97609561752988</v>
      </c>
    </row>
    <row r="93" customFormat="false" ht="15" hidden="false" customHeight="false" outlineLevel="0" collapsed="false">
      <c r="A93" s="0" t="s">
        <v>802</v>
      </c>
      <c r="B93" s="18" t="n">
        <f aca="false">AVERAGE(C93:D93)</f>
        <v>22.1175126903553</v>
      </c>
      <c r="C93" s="18" t="n">
        <f aca="false">B112</f>
        <v>21.9</v>
      </c>
      <c r="D93" s="18" t="n">
        <f aca="false">C112</f>
        <v>22.3350253807107</v>
      </c>
    </row>
    <row r="94" customFormat="false" ht="15" hidden="false" customHeight="false" outlineLevel="0" collapsed="false">
      <c r="A94" s="0" t="s">
        <v>803</v>
      </c>
      <c r="B94" s="18" t="n">
        <f aca="false">AVERAGE(C94:D94)</f>
        <v>42.0077844311377</v>
      </c>
      <c r="C94" s="18" t="n">
        <f aca="false">B113</f>
        <v>41.8</v>
      </c>
      <c r="D94" s="18" t="n">
        <f aca="false">C113</f>
        <v>42.2155688622755</v>
      </c>
    </row>
    <row r="95" customFormat="false" ht="15" hidden="false" customHeight="false" outlineLevel="0" collapsed="false">
      <c r="A95" s="0" t="s">
        <v>804</v>
      </c>
      <c r="B95" s="18" t="n">
        <f aca="false">AVERAGE(C95:D95)</f>
        <v>50.25</v>
      </c>
      <c r="C95" s="18" t="n">
        <f aca="false">B114</f>
        <v>50.1</v>
      </c>
      <c r="D95" s="18" t="n">
        <f aca="false">C114</f>
        <v>50.4</v>
      </c>
    </row>
    <row r="96" customFormat="false" ht="15" hidden="false" customHeight="false" outlineLevel="0" collapsed="false">
      <c r="A96" s="3" t="s">
        <v>805</v>
      </c>
      <c r="B96" s="0" t="n">
        <f aca="false">COUNT($B$86:$B$95)</f>
        <v>9</v>
      </c>
    </row>
    <row r="100" customFormat="false" ht="17.15" hidden="false" customHeight="false" outlineLevel="0" collapsed="false">
      <c r="A100" s="5" t="s">
        <v>806</v>
      </c>
    </row>
    <row r="101" customFormat="false" ht="17.15" hidden="false" customHeight="false" outlineLevel="0" collapsed="false">
      <c r="A101" s="3" t="s">
        <v>807</v>
      </c>
    </row>
    <row r="103" customFormat="false" ht="17.15" hidden="false" customHeight="false" outlineLevel="0" collapsed="false">
      <c r="A103" s="5" t="s">
        <v>808</v>
      </c>
    </row>
    <row r="104" customFormat="false" ht="17.15" hidden="false" customHeight="false" outlineLevel="0" collapsed="false">
      <c r="A104" s="4" t="s">
        <v>790</v>
      </c>
      <c r="B104" s="14" t="s">
        <v>809</v>
      </c>
      <c r="C104" s="4" t="s">
        <v>810</v>
      </c>
      <c r="D104" s="4" t="s">
        <v>811</v>
      </c>
    </row>
    <row r="105" customFormat="false" ht="17.15" hidden="false" customHeight="false" outlineLevel="0" collapsed="false">
      <c r="A105" s="0" t="s">
        <v>794</v>
      </c>
      <c r="D105" s="0" t="s">
        <v>812</v>
      </c>
    </row>
    <row r="106" customFormat="false" ht="15" hidden="false" customHeight="false" outlineLevel="0" collapsed="false">
      <c r="A106" s="0" t="s">
        <v>796</v>
      </c>
      <c r="B106" s="17" t="n">
        <v>49</v>
      </c>
      <c r="C106" s="18" t="n">
        <f aca="false">16.3/0.28</f>
        <v>58.2142857142857</v>
      </c>
    </row>
    <row r="107" customFormat="false" ht="15" hidden="false" customHeight="false" outlineLevel="0" collapsed="false">
      <c r="A107" s="0" t="s">
        <v>797</v>
      </c>
      <c r="B107" s="17" t="n">
        <v>17.4</v>
      </c>
      <c r="C107" s="18" t="n">
        <f aca="false">22.3/1.15</f>
        <v>19.3913043478261</v>
      </c>
    </row>
    <row r="108" customFormat="false" ht="15" hidden="false" customHeight="false" outlineLevel="0" collapsed="false">
      <c r="A108" s="0" t="s">
        <v>798</v>
      </c>
      <c r="B108" s="17" t="n">
        <v>16.5</v>
      </c>
      <c r="C108" s="18" t="n">
        <f aca="false">42/2.24</f>
        <v>18.75</v>
      </c>
    </row>
    <row r="109" customFormat="false" ht="15" hidden="false" customHeight="false" outlineLevel="0" collapsed="false">
      <c r="A109" s="0" t="s">
        <v>799</v>
      </c>
      <c r="B109" s="17" t="n">
        <v>21</v>
      </c>
      <c r="C109" s="18" t="n">
        <f aca="false">87.4/3.74</f>
        <v>23.3689839572193</v>
      </c>
    </row>
    <row r="110" customFormat="false" ht="15" hidden="false" customHeight="false" outlineLevel="0" collapsed="false">
      <c r="A110" s="0" t="s">
        <v>800</v>
      </c>
      <c r="B110" s="17" t="n">
        <v>23.5</v>
      </c>
      <c r="C110" s="18" t="n">
        <f aca="false">231/8.98</f>
        <v>25.7238307349666</v>
      </c>
    </row>
    <row r="111" customFormat="false" ht="15" hidden="false" customHeight="false" outlineLevel="0" collapsed="false">
      <c r="A111" s="0" t="s">
        <v>801</v>
      </c>
      <c r="B111" s="17" t="n">
        <v>5.57</v>
      </c>
      <c r="C111" s="18" t="n">
        <f aca="false">120/20.08</f>
        <v>5.97609561752988</v>
      </c>
    </row>
    <row r="112" customFormat="false" ht="15" hidden="false" customHeight="false" outlineLevel="0" collapsed="false">
      <c r="A112" s="0" t="s">
        <v>802</v>
      </c>
      <c r="B112" s="17" t="n">
        <v>21.9</v>
      </c>
      <c r="C112" s="18" t="n">
        <f aca="false">176/7.88</f>
        <v>22.3350253807107</v>
      </c>
    </row>
    <row r="113" customFormat="false" ht="15" hidden="false" customHeight="false" outlineLevel="0" collapsed="false">
      <c r="A113" s="0" t="s">
        <v>803</v>
      </c>
      <c r="B113" s="17" t="n">
        <v>41.8</v>
      </c>
      <c r="C113" s="18" t="n">
        <f aca="false">141/3.34</f>
        <v>42.2155688622755</v>
      </c>
    </row>
    <row r="114" customFormat="false" ht="15" hidden="false" customHeight="false" outlineLevel="0" collapsed="false">
      <c r="A114" s="0" t="s">
        <v>804</v>
      </c>
      <c r="B114" s="17" t="n">
        <v>50.1</v>
      </c>
      <c r="C114" s="17" t="n">
        <v>50.4</v>
      </c>
    </row>
    <row r="115" customFormat="false" ht="17.15" hidden="false" customHeight="false" outlineLevel="0" collapsed="false">
      <c r="A115" s="0" t="s">
        <v>813</v>
      </c>
      <c r="B115" s="18" t="n">
        <f aca="false">PERCENTILE(B105:B114,0.25)</f>
        <v>17.4</v>
      </c>
      <c r="C115" s="18" t="n">
        <f aca="false">PERCENTILE(C105:C114,0.25)</f>
        <v>19.3913043478261</v>
      </c>
    </row>
    <row r="116" customFormat="false" ht="15" hidden="false" customHeight="false" outlineLevel="0" collapsed="false">
      <c r="A116" s="3" t="s">
        <v>814</v>
      </c>
      <c r="B116" s="18" t="n">
        <f aca="false">MEDIAN(B105:B114)</f>
        <v>21.9</v>
      </c>
      <c r="C116" s="18" t="n">
        <f aca="false">MEDIAN(C105:C114)</f>
        <v>23.3689839572193</v>
      </c>
    </row>
    <row r="117" customFormat="false" ht="17.15" hidden="false" customHeight="false" outlineLevel="0" collapsed="false">
      <c r="A117" s="0" t="s">
        <v>815</v>
      </c>
      <c r="B117" s="18" t="n">
        <f aca="false">PERCENTILE(B105:B114,0.75)</f>
        <v>41.8</v>
      </c>
      <c r="C117" s="18" t="n">
        <f aca="false">PERCENTILE(C105:C114,0.75)</f>
        <v>42.2155688622755</v>
      </c>
    </row>
    <row r="118" customFormat="false" ht="15" hidden="false" customHeight="false" outlineLevel="0" collapsed="false">
      <c r="A118" s="3" t="s">
        <v>816</v>
      </c>
      <c r="B118" s="18" t="n">
        <f aca="false">MIN(B105:B114)</f>
        <v>5.57</v>
      </c>
      <c r="C118" s="18" t="n">
        <f aca="false">MIN(C105:C114)</f>
        <v>5.97609561752988</v>
      </c>
    </row>
    <row r="119" customFormat="false" ht="15" hidden="false" customHeight="false" outlineLevel="0" collapsed="false">
      <c r="A119" s="3" t="s">
        <v>817</v>
      </c>
      <c r="B119" s="18" t="n">
        <f aca="false">MAX(B105:B114)</f>
        <v>50.1</v>
      </c>
      <c r="C119" s="18" t="n">
        <f aca="false">MAX(C105:C114)</f>
        <v>58.2142857142857</v>
      </c>
    </row>
    <row r="120" customFormat="false" ht="17.15" hidden="false" customHeight="false" outlineLevel="0" collapsed="false">
      <c r="A120" s="1" t="s">
        <v>818</v>
      </c>
      <c r="B120" s="18" t="n">
        <f aca="false">ROUND(AVERAGE(B115,C115),2)</f>
        <v>18.4</v>
      </c>
    </row>
    <row r="121" customFormat="false" ht="17.15" hidden="false" customHeight="false" outlineLevel="0" collapsed="false">
      <c r="A121" s="1" t="s">
        <v>819</v>
      </c>
      <c r="B121" s="18" t="n">
        <f aca="false">ROUND(AVERAGE(B116,C116),2)</f>
        <v>22.63</v>
      </c>
    </row>
    <row r="122" customFormat="false" ht="17.15" hidden="false" customHeight="false" outlineLevel="0" collapsed="false">
      <c r="A122" s="1" t="s">
        <v>820</v>
      </c>
      <c r="B122" s="18" t="n">
        <f aca="false">ROUND(AVERAGE(B117,C117),2)</f>
        <v>42.01</v>
      </c>
    </row>
    <row r="123" customFormat="false" ht="17.15" hidden="false" customHeight="false" outlineLevel="0" collapsed="false">
      <c r="A123" s="1" t="s">
        <v>821</v>
      </c>
      <c r="B123" s="18" t="n">
        <f aca="false">ROUND(MIN(B118,C118),2)</f>
        <v>5.57</v>
      </c>
    </row>
    <row r="124" customFormat="false" ht="17.15" hidden="false" customHeight="false" outlineLevel="0" collapsed="false">
      <c r="A124" s="1" t="s">
        <v>822</v>
      </c>
      <c r="B124" s="18" t="n">
        <f aca="false">ROUND(MAX(B119,C119),2)</f>
        <v>58.21</v>
      </c>
    </row>
    <row r="126" customFormat="false" ht="17.15" hidden="false" customHeight="false" outlineLevel="0" collapsed="false">
      <c r="A126" s="5" t="s">
        <v>823</v>
      </c>
    </row>
    <row r="127" customFormat="false" ht="17.15" hidden="false" customHeight="false" outlineLevel="0" collapsed="false">
      <c r="A127" s="4" t="s">
        <v>824</v>
      </c>
      <c r="B127" s="4" t="s">
        <v>825</v>
      </c>
      <c r="C127" s="4" t="s">
        <v>826</v>
      </c>
      <c r="D127" s="4" t="s">
        <v>25</v>
      </c>
      <c r="E127" s="4" t="s">
        <v>827</v>
      </c>
      <c r="F127" s="4" t="s">
        <v>779</v>
      </c>
      <c r="G127" s="4" t="s">
        <v>828</v>
      </c>
      <c r="H127" s="4" t="s">
        <v>829</v>
      </c>
    </row>
    <row r="128" customFormat="false" ht="17.15" hidden="false" customHeight="false" outlineLevel="0" collapsed="false">
      <c r="A128" s="3" t="s">
        <v>830</v>
      </c>
      <c r="B128" s="0" t="s">
        <v>831</v>
      </c>
      <c r="C128" s="18" t="n">
        <f aca="false">B120</f>
        <v>18.4</v>
      </c>
      <c r="D128" s="7" t="s">
        <v>832</v>
      </c>
      <c r="E128" s="18" t="n">
        <f aca="false">C72</f>
        <v>27.5102303225525</v>
      </c>
      <c r="F128" s="23" t="n">
        <f aca="false">C128*E128</f>
        <v>506.188237934965</v>
      </c>
      <c r="G128" s="20" t="n">
        <f aca="false">F128/px-1</f>
        <v>-0.533467061811092</v>
      </c>
      <c r="H128" s="18" t="n">
        <f aca="false">px/E128</f>
        <v>39.4398733590585</v>
      </c>
    </row>
    <row r="129" customFormat="false" ht="17.15" hidden="false" customHeight="false" outlineLevel="0" collapsed="false">
      <c r="A129" s="3" t="s">
        <v>833</v>
      </c>
      <c r="B129" s="3" t="s">
        <v>834</v>
      </c>
      <c r="C129" s="18" t="n">
        <f aca="false">B121</f>
        <v>22.63</v>
      </c>
      <c r="D129" s="7" t="s">
        <v>832</v>
      </c>
      <c r="E129" s="18" t="n">
        <f aca="false">C72</f>
        <v>27.5102303225525</v>
      </c>
      <c r="F129" s="23" t="n">
        <f aca="false">C129*E129</f>
        <v>622.556512199362</v>
      </c>
      <c r="G129" s="20" t="n">
        <f aca="false">F129/px-1</f>
        <v>-0.42621519612962</v>
      </c>
      <c r="H129" s="18" t="n">
        <f aca="false">px/E129</f>
        <v>39.4398733590585</v>
      </c>
    </row>
    <row r="130" customFormat="false" ht="17.15" hidden="false" customHeight="false" outlineLevel="0" collapsed="false">
      <c r="A130" s="3" t="s">
        <v>835</v>
      </c>
      <c r="B130" s="0" t="s">
        <v>836</v>
      </c>
      <c r="C130" s="18" t="n">
        <f aca="false">B122</f>
        <v>42.01</v>
      </c>
      <c r="D130" s="7" t="s">
        <v>832</v>
      </c>
      <c r="E130" s="18" t="n">
        <f aca="false">C72</f>
        <v>27.5102303225525</v>
      </c>
      <c r="F130" s="23" t="n">
        <f aca="false">C130*E130</f>
        <v>1155.70477585043</v>
      </c>
      <c r="G130" s="20" t="n">
        <f aca="false">F130/px-1</f>
        <v>0.065165692028045</v>
      </c>
      <c r="H130" s="18" t="n">
        <f aca="false">px/E130</f>
        <v>39.4398733590585</v>
      </c>
    </row>
    <row r="133" customFormat="false" ht="17.15" hidden="false" customHeight="false" outlineLevel="0" collapsed="false">
      <c r="A133" s="3" t="s">
        <v>837</v>
      </c>
      <c r="B133" s="35" t="str">
        <f aca="false">IF(B42&gt;0.5,"大於 50%",IF(B42&gt;0.25,"25%–50%",IF(B42&gt;=0,"0%–25%",IF(B42&gt;=-0.25,"0%～−25%",IF(B42&gt;=-0.5,"−25%～−50%","小於 −50%")))))</f>
        <v>−25%～−50%</v>
      </c>
      <c r="E133" s="3" t="s">
        <v>838</v>
      </c>
    </row>
    <row r="134" customFormat="false" ht="17.15" hidden="false" customHeight="false" outlineLevel="0" collapsed="false">
      <c r="A134" s="3" t="s">
        <v>839</v>
      </c>
      <c r="B134" s="35" t="str">
        <f aca="false">IF(B42&gt;0.5,"強力買進",IF(B42&gt;0.25,"買進",IF(B42&gt;=-0.25,"中立",IF(B42&gt;=-0.5,"放空","強力放空"))))</f>
        <v>放空</v>
      </c>
      <c r="E134" s="3" t="s">
        <v>840</v>
      </c>
    </row>
    <row r="137" customFormat="false" ht="17.15" hidden="false" customHeight="false" outlineLevel="0" collapsed="false">
      <c r="A137" s="5" t="s">
        <v>841</v>
      </c>
    </row>
    <row r="138" customFormat="false" ht="17.15" hidden="false" customHeight="false" outlineLevel="0" collapsed="false">
      <c r="A138" s="3" t="s">
        <v>842</v>
      </c>
    </row>
    <row r="139" customFormat="false" ht="17.15" hidden="false" customHeight="false" outlineLevel="0" collapsed="false">
      <c r="A139" s="4" t="s">
        <v>843</v>
      </c>
      <c r="B139" s="4" t="s">
        <v>710</v>
      </c>
      <c r="C139" s="4" t="s">
        <v>844</v>
      </c>
      <c r="D139" s="14" t="s">
        <v>845</v>
      </c>
      <c r="E139" s="14" t="s">
        <v>846</v>
      </c>
      <c r="F139" s="14" t="s">
        <v>847</v>
      </c>
      <c r="G139" s="14" t="s">
        <v>848</v>
      </c>
      <c r="H139" s="14" t="s">
        <v>849</v>
      </c>
      <c r="I139" s="14" t="s">
        <v>850</v>
      </c>
      <c r="J139" s="14" t="s">
        <v>851</v>
      </c>
      <c r="K139" s="14" t="s">
        <v>852</v>
      </c>
      <c r="L139" s="14" t="s">
        <v>853</v>
      </c>
      <c r="M139" s="14" t="s">
        <v>854</v>
      </c>
      <c r="N139" s="4" t="s">
        <v>855</v>
      </c>
      <c r="O139" s="14" t="s">
        <v>856</v>
      </c>
      <c r="P139" s="4" t="s">
        <v>857</v>
      </c>
      <c r="Q139" s="4" t="s">
        <v>713</v>
      </c>
    </row>
    <row r="140" customFormat="false" ht="17.15" hidden="false" customHeight="false" outlineLevel="0" collapsed="false">
      <c r="A140" s="3" t="s">
        <v>858</v>
      </c>
      <c r="B140" s="0" t="s">
        <v>859</v>
      </c>
      <c r="C140" s="3" t="s">
        <v>860</v>
      </c>
      <c r="D140" s="17" t="n">
        <v>36.2455</v>
      </c>
      <c r="E140" s="17" t="n">
        <v>38.823</v>
      </c>
      <c r="F140" s="17" t="n">
        <v>16.6045</v>
      </c>
      <c r="G140" s="17" t="n">
        <v>14.654</v>
      </c>
      <c r="H140" s="17" t="n">
        <v>19.9305</v>
      </c>
      <c r="I140" s="17" t="n">
        <v>12.189</v>
      </c>
      <c r="J140" s="17" t="n">
        <v>11.7795</v>
      </c>
      <c r="K140" s="17" t="n">
        <v>16.117</v>
      </c>
      <c r="L140" s="17" t="n">
        <v>14.3045</v>
      </c>
      <c r="M140" s="17" t="n">
        <v>32.275</v>
      </c>
      <c r="N140" s="7" t="n">
        <f aca="false">COUNT(D140:M140)</f>
        <v>10</v>
      </c>
      <c r="O140" s="18" t="n">
        <f aca="false">IF(N140&gt;0,MEDIAN(D140:M140),"")</f>
        <v>16.36075</v>
      </c>
      <c r="P140" s="18" t="n">
        <f aca="false">IF(N140&gt;=7,O140,"")</f>
        <v>16.36075</v>
      </c>
      <c r="Q140" s="7" t="s">
        <v>861</v>
      </c>
    </row>
    <row r="141" customFormat="false" ht="17.15" hidden="false" customHeight="false" outlineLevel="0" collapsed="false">
      <c r="A141" s="0" t="s">
        <v>714</v>
      </c>
      <c r="B141" s="0" t="s">
        <v>715</v>
      </c>
      <c r="C141" s="3" t="s">
        <v>862</v>
      </c>
      <c r="D141" s="17" t="n">
        <v>27.158</v>
      </c>
      <c r="E141" s="17" t="n">
        <v>19.7875</v>
      </c>
      <c r="F141" s="17" t="n">
        <v>22.96</v>
      </c>
      <c r="G141" s="17" t="n">
        <v>23.0705</v>
      </c>
      <c r="H141" s="17" t="n">
        <v>21.41</v>
      </c>
      <c r="I141" s="17" t="n">
        <v>12.928</v>
      </c>
      <c r="J141" s="17" t="n">
        <v>17.4575</v>
      </c>
      <c r="K141" s="17" t="n">
        <v>20.983</v>
      </c>
      <c r="L141" s="17" t="n">
        <v>19.837</v>
      </c>
      <c r="M141" s="17" t="n">
        <v>51.143</v>
      </c>
      <c r="N141" s="7" t="n">
        <f aca="false">COUNT(D141:M141)</f>
        <v>10</v>
      </c>
      <c r="O141" s="18" t="n">
        <f aca="false">IF(N141&gt;0,MEDIAN(D141:M141),"")</f>
        <v>21.1965</v>
      </c>
      <c r="P141" s="18" t="n">
        <f aca="false">IF(N141&gt;=7,O141,"")</f>
        <v>21.1965</v>
      </c>
      <c r="Q141" s="7" t="s">
        <v>863</v>
      </c>
    </row>
    <row r="142" customFormat="false" ht="17.15" hidden="false" customHeight="false" outlineLevel="0" collapsed="false">
      <c r="A142" s="3" t="s">
        <v>718</v>
      </c>
      <c r="B142" s="0" t="s">
        <v>719</v>
      </c>
      <c r="C142" s="3" t="s">
        <v>862</v>
      </c>
      <c r="D142" s="17" t="n">
        <v>12.649</v>
      </c>
      <c r="E142" s="17" t="n">
        <v>12.413</v>
      </c>
      <c r="F142" s="17" t="n">
        <v>18.1005</v>
      </c>
      <c r="G142" s="17" t="n">
        <v>30.043</v>
      </c>
      <c r="H142" s="17" t="n">
        <v>22.6855</v>
      </c>
      <c r="I142" s="17" t="n">
        <v>11.458</v>
      </c>
      <c r="J142" s="17" t="n">
        <v>11.5835</v>
      </c>
      <c r="K142" s="17" t="n">
        <v>20.1675</v>
      </c>
      <c r="L142" s="17" t="n">
        <v>18.7765</v>
      </c>
      <c r="M142" s="17" t="n">
        <v>37.4805</v>
      </c>
      <c r="N142" s="7" t="n">
        <f aca="false">COUNT(D142:M142)</f>
        <v>10</v>
      </c>
      <c r="O142" s="18" t="n">
        <f aca="false">IF(N142&gt;0,MEDIAN(D142:M142),"")</f>
        <v>18.4385</v>
      </c>
      <c r="P142" s="18" t="n">
        <f aca="false">IF(N142&gt;=7,O142,"")</f>
        <v>18.4385</v>
      </c>
      <c r="Q142" s="7" t="s">
        <v>864</v>
      </c>
    </row>
    <row r="143" customFormat="false" ht="17.15" hidden="false" customHeight="false" outlineLevel="0" collapsed="false">
      <c r="A143" s="3" t="s">
        <v>721</v>
      </c>
      <c r="B143" s="0" t="s">
        <v>722</v>
      </c>
      <c r="C143" s="3" t="s">
        <v>862</v>
      </c>
      <c r="D143" s="17" t="n">
        <v>33.246</v>
      </c>
      <c r="E143" s="17" t="n">
        <v>32.75</v>
      </c>
      <c r="F143" s="17" t="n">
        <v>48.109</v>
      </c>
      <c r="G143" s="17" t="n">
        <v>26.1905</v>
      </c>
      <c r="H143" s="17" t="n">
        <v>26.139</v>
      </c>
      <c r="I143" s="17" t="n">
        <v>12.3135</v>
      </c>
      <c r="J143" s="17" t="n">
        <v>12.602</v>
      </c>
      <c r="K143" s="17" t="n">
        <v>21.9195</v>
      </c>
      <c r="L143" s="17" t="n">
        <v>28.0235</v>
      </c>
      <c r="M143" s="17" t="n">
        <v>35.814</v>
      </c>
      <c r="N143" s="7" t="n">
        <f aca="false">COUNT(D143:M143)</f>
        <v>10</v>
      </c>
      <c r="O143" s="18" t="n">
        <f aca="false">IF(N143&gt;0,MEDIAN(D143:M143),"")</f>
        <v>27.107</v>
      </c>
      <c r="P143" s="18" t="n">
        <f aca="false">IF(N143&gt;=7,O143,"")</f>
        <v>27.107</v>
      </c>
      <c r="Q143" s="7" t="s">
        <v>865</v>
      </c>
    </row>
    <row r="144" customFormat="false" ht="17.15" hidden="false" customHeight="false" outlineLevel="0" collapsed="false">
      <c r="A144" s="3" t="s">
        <v>724</v>
      </c>
      <c r="B144" s="0" t="s">
        <v>725</v>
      </c>
      <c r="C144" s="3" t="s">
        <v>862</v>
      </c>
      <c r="D144" s="17" t="n">
        <v>26.6675</v>
      </c>
      <c r="E144" s="17" t="n">
        <v>17.1685</v>
      </c>
      <c r="F144" s="17" t="n">
        <v>10.305</v>
      </c>
      <c r="G144" s="17" t="n">
        <v>16.685</v>
      </c>
      <c r="H144" s="17" t="n">
        <v>14.069</v>
      </c>
      <c r="I144" s="17" t="n">
        <v>9.6445</v>
      </c>
      <c r="J144" s="17" t="n">
        <v>12.798</v>
      </c>
      <c r="K144" s="17" t="n">
        <v>15.2645</v>
      </c>
      <c r="L144" s="17" t="n">
        <v>13.68</v>
      </c>
      <c r="M144" s="17" t="n">
        <v>32.8125</v>
      </c>
      <c r="N144" s="7" t="n">
        <f aca="false">COUNT(D144:M144)</f>
        <v>10</v>
      </c>
      <c r="O144" s="18" t="n">
        <f aca="false">IF(N144&gt;0,MEDIAN(D144:M144),"")</f>
        <v>14.66675</v>
      </c>
      <c r="P144" s="18" t="n">
        <f aca="false">IF(N144&gt;=7,O144,"")</f>
        <v>14.66675</v>
      </c>
      <c r="Q144" s="7" t="s">
        <v>866</v>
      </c>
    </row>
    <row r="145" customFormat="false" ht="17.15" hidden="false" customHeight="false" outlineLevel="0" collapsed="false">
      <c r="A145" s="0" t="s">
        <v>727</v>
      </c>
      <c r="B145" s="0" t="s">
        <v>728</v>
      </c>
      <c r="C145" s="3" t="s">
        <v>862</v>
      </c>
      <c r="D145" s="17" t="n">
        <v>42.9415</v>
      </c>
      <c r="E145" s="17" t="n">
        <v>12.716</v>
      </c>
      <c r="F145" s="17" t="n">
        <v>8.306</v>
      </c>
      <c r="G145" s="17" t="n">
        <v>9.871</v>
      </c>
      <c r="H145" s="17" t="n">
        <v>17.1775</v>
      </c>
      <c r="I145" s="17" t="n">
        <v>17.1875</v>
      </c>
      <c r="J145" s="17" t="n">
        <v>9.7265</v>
      </c>
      <c r="K145" s="17" t="n">
        <v>9.708</v>
      </c>
      <c r="L145" s="17" t="n">
        <v>85.82</v>
      </c>
      <c r="M145" s="17" t="n">
        <v>30.0005</v>
      </c>
      <c r="N145" s="7" t="n">
        <f aca="false">COUNT(D145:M145)</f>
        <v>10</v>
      </c>
      <c r="O145" s="18" t="n">
        <f aca="false">IF(N145&gt;0,MEDIAN(D145:M145),"")</f>
        <v>14.94675</v>
      </c>
      <c r="P145" s="18" t="n">
        <f aca="false">IF(N145&gt;=7,O145,"")</f>
        <v>14.94675</v>
      </c>
      <c r="Q145" s="7" t="s">
        <v>867</v>
      </c>
    </row>
    <row r="147" customFormat="false" ht="17.15" hidden="false" customHeight="false" outlineLevel="0" collapsed="false">
      <c r="A147" s="3" t="s">
        <v>868</v>
      </c>
      <c r="B147" s="18" t="n">
        <f aca="false">P140</f>
        <v>16.36075</v>
      </c>
      <c r="E147" s="3" t="s">
        <v>869</v>
      </c>
    </row>
    <row r="148" customFormat="false" ht="15" hidden="false" customHeight="false" outlineLevel="0" collapsed="false">
      <c r="A148" s="3" t="s">
        <v>870</v>
      </c>
      <c r="B148" s="40" t="n">
        <f aca="false">COUNT(P141:P145)</f>
        <v>5</v>
      </c>
    </row>
    <row r="149" customFormat="false" ht="17.15" hidden="false" customHeight="false" outlineLevel="0" collapsed="false">
      <c r="A149" s="3" t="s">
        <v>871</v>
      </c>
      <c r="B149" s="18" t="n">
        <f aca="false">IF(B148&gt;0,MEDIAN(P141:P145),"")</f>
        <v>18.4385</v>
      </c>
    </row>
    <row r="150" customFormat="false" ht="17.15" hidden="false" customHeight="false" outlineLevel="0" collapsed="false">
      <c r="A150" s="3" t="s">
        <v>872</v>
      </c>
      <c r="B150" s="18" t="n">
        <f aca="false">IF(AND(ISNUMBER(B147),B148&gt;=2),B147/B149,"")</f>
        <v>0.887314586327522</v>
      </c>
      <c r="E150" s="3" t="s">
        <v>873</v>
      </c>
    </row>
    <row r="151" customFormat="false" ht="17.15" hidden="false" customHeight="false" outlineLevel="0" collapsed="false">
      <c r="A151" s="3" t="s">
        <v>874</v>
      </c>
      <c r="B151" s="17" t="n">
        <v>0.5</v>
      </c>
      <c r="E151" s="7" t="s">
        <v>875</v>
      </c>
    </row>
    <row r="152" customFormat="false" ht="17.15" hidden="false" customHeight="false" outlineLevel="0" collapsed="false">
      <c r="A152" s="3" t="s">
        <v>876</v>
      </c>
      <c r="B152" s="17" t="n">
        <v>2</v>
      </c>
      <c r="E152" s="7" t="s">
        <v>877</v>
      </c>
    </row>
    <row r="153" customFormat="false" ht="17.15" hidden="false" customHeight="false" outlineLevel="0" collapsed="false">
      <c r="A153" s="1" t="s">
        <v>878</v>
      </c>
      <c r="B153" s="32" t="n">
        <f aca="false">IF(ISNUMBER(B150),MIN(MAX(B150,B151),B152),1)</f>
        <v>0.887314586327522</v>
      </c>
      <c r="E153" s="3" t="s">
        <v>879</v>
      </c>
    </row>
    <row r="154" customFormat="false" ht="17.15" hidden="false" customHeight="false" outlineLevel="0" collapsed="false">
      <c r="A154" s="5" t="s">
        <v>880</v>
      </c>
      <c r="B154" s="32" t="n">
        <f aca="false">Val!$B$35*B153</f>
        <v>942.503453722803</v>
      </c>
      <c r="E154" s="3" t="s">
        <v>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882</v>
      </c>
    </row>
    <row r="3" customFormat="false" ht="17.15" hidden="false" customHeight="false" outlineLevel="0" collapsed="false">
      <c r="A3" s="4" t="s">
        <v>22</v>
      </c>
      <c r="B3" s="4" t="s">
        <v>883</v>
      </c>
      <c r="C3" s="4" t="s">
        <v>884</v>
      </c>
      <c r="D3" s="4" t="s">
        <v>885</v>
      </c>
      <c r="E3" s="4" t="s">
        <v>886</v>
      </c>
      <c r="F3" s="4" t="s">
        <v>887</v>
      </c>
      <c r="G3" s="4" t="s">
        <v>888</v>
      </c>
      <c r="H3" s="4" t="s">
        <v>889</v>
      </c>
      <c r="I3" s="4" t="s">
        <v>890</v>
      </c>
      <c r="J3" s="4" t="s">
        <v>481</v>
      </c>
    </row>
    <row r="4" customFormat="false" ht="17.15" hidden="false" customHeight="false" outlineLevel="0" collapsed="false">
      <c r="A4" s="5" t="s">
        <v>891</v>
      </c>
    </row>
    <row r="5" customFormat="false" ht="17.15" hidden="false" customHeight="false" outlineLevel="0" collapsed="false">
      <c r="A5" s="0" t="s">
        <v>892</v>
      </c>
      <c r="B5" s="21" t="n">
        <v>23.42</v>
      </c>
      <c r="C5" s="21" t="n">
        <f aca="false">PL!D110</f>
        <v>23.3861414610695</v>
      </c>
      <c r="D5" s="20" t="n">
        <f aca="false">C5/B5-1</f>
        <v>-0.00144571045817676</v>
      </c>
      <c r="E5" s="21" t="n">
        <f aca="false">PL!D168</f>
        <v>23.3861414610695</v>
      </c>
      <c r="F5" s="20" t="n">
        <f aca="false">E5/B5-1</f>
        <v>-0.00144571045817676</v>
      </c>
      <c r="G5" s="21" t="n">
        <f aca="false">PL!D226</f>
        <v>23.3861414610695</v>
      </c>
      <c r="H5" s="20" t="n">
        <f aca="false">G5/B5-1</f>
        <v>-0.00144571045817676</v>
      </c>
      <c r="I5" s="3" t="s">
        <v>893</v>
      </c>
      <c r="J5" s="7" t="s">
        <v>894</v>
      </c>
    </row>
    <row r="6" customFormat="false" ht="17.15" hidden="false" customHeight="false" outlineLevel="0" collapsed="false">
      <c r="A6" s="0" t="s">
        <v>895</v>
      </c>
      <c r="B6" s="21" t="n">
        <v>21</v>
      </c>
      <c r="C6" s="21" t="n">
        <f aca="false">PL!D110</f>
        <v>23.3861414610695</v>
      </c>
      <c r="D6" s="20" t="n">
        <f aca="false">C6/B6-1</f>
        <v>0.113625783860452</v>
      </c>
      <c r="E6" s="21" t="n">
        <f aca="false">PL!D168</f>
        <v>23.3861414610695</v>
      </c>
      <c r="F6" s="20" t="n">
        <f aca="false">E6/B6-1</f>
        <v>0.113625783860452</v>
      </c>
      <c r="G6" s="21" t="n">
        <f aca="false">PL!D226</f>
        <v>23.3861414610695</v>
      </c>
      <c r="H6" s="20" t="n">
        <f aca="false">G6/B6-1</f>
        <v>0.113625783860452</v>
      </c>
      <c r="I6" s="3" t="s">
        <v>896</v>
      </c>
    </row>
    <row r="7" customFormat="false" ht="17.15" hidden="false" customHeight="false" outlineLevel="0" collapsed="false">
      <c r="A7" s="0" t="s">
        <v>897</v>
      </c>
      <c r="B7" s="21" t="n">
        <f aca="false">bk_eps27</f>
        <v>39.05</v>
      </c>
      <c r="C7" s="21" t="n">
        <f aca="false">PL!E110</f>
        <v>27.5102303225525</v>
      </c>
      <c r="D7" s="20" t="n">
        <f aca="false">C7/B7-1</f>
        <v>-0.295512667796352</v>
      </c>
      <c r="E7" s="21" t="n">
        <f aca="false">PL!E168</f>
        <v>27.5102303225525</v>
      </c>
      <c r="F7" s="20" t="n">
        <f aca="false">E7/B7-1</f>
        <v>-0.295512667796352</v>
      </c>
      <c r="G7" s="21" t="n">
        <f aca="false">PL!E226</f>
        <v>27.5102303225525</v>
      </c>
      <c r="H7" s="20" t="n">
        <f aca="false">G7/B7-1</f>
        <v>-0.295512667796352</v>
      </c>
      <c r="I7" s="3" t="s">
        <v>898</v>
      </c>
      <c r="J7" s="3" t="s">
        <v>899</v>
      </c>
    </row>
    <row r="8" customFormat="false" ht="17.15" hidden="false" customHeight="false" outlineLevel="0" collapsed="false">
      <c r="A8" s="0" t="s">
        <v>900</v>
      </c>
      <c r="B8" s="21" t="n">
        <f aca="false">cons_eps27</f>
        <v>30.37</v>
      </c>
      <c r="C8" s="21" t="n">
        <f aca="false">PL!E110</f>
        <v>27.5102303225525</v>
      </c>
      <c r="D8" s="20" t="n">
        <f aca="false">C8/B8-1</f>
        <v>-0.094164296261032</v>
      </c>
      <c r="E8" s="21" t="n">
        <f aca="false">PL!E168</f>
        <v>27.5102303225525</v>
      </c>
      <c r="F8" s="20" t="n">
        <f aca="false">E8/B8-1</f>
        <v>-0.094164296261032</v>
      </c>
      <c r="G8" s="21" t="n">
        <f aca="false">PL!E226</f>
        <v>27.5102303225525</v>
      </c>
      <c r="H8" s="20" t="n">
        <f aca="false">G8/B8-1</f>
        <v>-0.094164296261032</v>
      </c>
      <c r="I8" s="3" t="s">
        <v>901</v>
      </c>
    </row>
    <row r="9" customFormat="false" ht="17.15" hidden="false" customHeight="false" outlineLevel="0" collapsed="false">
      <c r="A9" s="0" t="s">
        <v>902</v>
      </c>
      <c r="B9" s="21" t="n">
        <f aca="false">cons_eps28</f>
        <v>48.52</v>
      </c>
      <c r="C9" s="21" t="n">
        <f aca="false">PL!F110</f>
        <v>30.3404062954186</v>
      </c>
      <c r="D9" s="20" t="n">
        <f aca="false">C9/B9-1</f>
        <v>-0.374682475362353</v>
      </c>
      <c r="E9" s="21" t="n">
        <f aca="false">PL!F168</f>
        <v>23.1343701387145</v>
      </c>
      <c r="F9" s="20" t="n">
        <f aca="false">E9/B9-1</f>
        <v>-0.523199296399125</v>
      </c>
      <c r="G9" s="21" t="n">
        <f aca="false">PL!F226</f>
        <v>15.9908339820103</v>
      </c>
      <c r="H9" s="20" t="n">
        <f aca="false">G9/B9-1</f>
        <v>-0.670427988829137</v>
      </c>
      <c r="I9" s="3" t="s">
        <v>903</v>
      </c>
      <c r="J9" s="3" t="s">
        <v>904</v>
      </c>
    </row>
    <row r="10" customFormat="false" ht="17.15" hidden="false" customHeight="false" outlineLevel="0" collapsed="false">
      <c r="A10" s="0" t="s">
        <v>905</v>
      </c>
      <c r="B10" s="21" t="n">
        <v>64.8</v>
      </c>
      <c r="C10" s="21" t="n">
        <f aca="false">PL!F110</f>
        <v>30.3404062954186</v>
      </c>
      <c r="D10" s="20" t="n">
        <f aca="false">C10/B10-1</f>
        <v>-0.531783853465762</v>
      </c>
      <c r="E10" s="21" t="n">
        <f aca="false">PL!F168</f>
        <v>23.1343701387145</v>
      </c>
      <c r="F10" s="20" t="n">
        <f aca="false">E10/B10-1</f>
        <v>-0.642988115143295</v>
      </c>
      <c r="G10" s="21" t="n">
        <f aca="false">PL!F226</f>
        <v>15.9908339820103</v>
      </c>
      <c r="H10" s="20" t="n">
        <f aca="false">G10/B10-1</f>
        <v>-0.753227870647989</v>
      </c>
      <c r="I10" s="3" t="s">
        <v>906</v>
      </c>
    </row>
    <row r="11" customFormat="false" ht="17.15" hidden="false" customHeight="false" outlineLevel="0" collapsed="false">
      <c r="A11" s="0" t="s">
        <v>907</v>
      </c>
      <c r="B11" s="23" t="n">
        <f aca="false">cons_rev27</f>
        <v>255.2</v>
      </c>
      <c r="C11" s="23" t="n">
        <f aca="false">PL!E90</f>
        <v>245.842654649375</v>
      </c>
      <c r="D11" s="20" t="n">
        <f aca="false">C11/B11-1</f>
        <v>-0.0366667137563675</v>
      </c>
      <c r="E11" s="23" t="n">
        <f aca="false">PL!E148</f>
        <v>245.842654649375</v>
      </c>
      <c r="F11" s="20" t="n">
        <f aca="false">E11/B11-1</f>
        <v>-0.0366667137563675</v>
      </c>
      <c r="G11" s="23" t="n">
        <f aca="false">PL!E206</f>
        <v>245.842654649375</v>
      </c>
      <c r="H11" s="20" t="n">
        <f aca="false">G11/B11-1</f>
        <v>-0.0366667137563675</v>
      </c>
      <c r="I11" s="3" t="s">
        <v>903</v>
      </c>
    </row>
    <row r="12" customFormat="false" ht="17.15" hidden="false" customHeight="false" outlineLevel="0" collapsed="false">
      <c r="A12" s="0" t="s">
        <v>908</v>
      </c>
      <c r="B12" s="23" t="n">
        <f aca="false">cons_rev28</f>
        <v>326.5</v>
      </c>
      <c r="C12" s="23" t="n">
        <f aca="false">PL!F90</f>
        <v>278.087872457713</v>
      </c>
      <c r="D12" s="20" t="n">
        <f aca="false">C12/B12-1</f>
        <v>-0.148276041477144</v>
      </c>
      <c r="E12" s="23" t="n">
        <f aca="false">PL!F148</f>
        <v>238.385675395975</v>
      </c>
      <c r="F12" s="20" t="n">
        <f aca="false">E12/B12-1</f>
        <v>-0.269875419920444</v>
      </c>
      <c r="G12" s="23" t="n">
        <f aca="false">PL!F206</f>
        <v>198.683478334238</v>
      </c>
      <c r="H12" s="20" t="n">
        <f aca="false">G12/B12-1</f>
        <v>-0.391474798363744</v>
      </c>
      <c r="I12" s="3" t="s">
        <v>903</v>
      </c>
    </row>
    <row r="13" customFormat="false" ht="17.15" hidden="false" customHeight="false" outlineLevel="0" collapsed="false">
      <c r="A13" s="3" t="s">
        <v>909</v>
      </c>
      <c r="B13" s="21" t="n">
        <f aca="false">cons_feps</f>
        <v>25.6622516556291</v>
      </c>
      <c r="C13" s="21" t="n">
        <f aca="false">0.2*PL!D110+0.8*PL!E110</f>
        <v>26.6854125502559</v>
      </c>
      <c r="D13" s="20" t="n">
        <f aca="false">C13/B13-1</f>
        <v>0.0398702697002933</v>
      </c>
      <c r="E13" s="21" t="n">
        <f aca="false">0.2*PL!D168+0.8*PL!E168</f>
        <v>26.6854125502559</v>
      </c>
      <c r="F13" s="20" t="n">
        <f aca="false">E13/B13-1</f>
        <v>0.0398702697002933</v>
      </c>
      <c r="G13" s="21" t="n">
        <f aca="false">0.2*PL!D226+0.8*PL!E226</f>
        <v>26.6854125502559</v>
      </c>
      <c r="H13" s="20" t="n">
        <f aca="false">G13/B13-1</f>
        <v>0.0398702697002933</v>
      </c>
      <c r="I13" s="7" t="s">
        <v>910</v>
      </c>
      <c r="J13" s="3" t="s">
        <v>911</v>
      </c>
    </row>
    <row r="14" customFormat="false" ht="17.15" hidden="false" customHeight="false" outlineLevel="0" collapsed="false">
      <c r="A14" s="5" t="s">
        <v>912</v>
      </c>
    </row>
    <row r="15" customFormat="false" ht="17.15" hidden="false" customHeight="false" outlineLevel="0" collapsed="false">
      <c r="A15" s="0" t="s">
        <v>913</v>
      </c>
      <c r="B15" s="20" t="n">
        <v>0.272</v>
      </c>
      <c r="C15" s="20" t="n">
        <f aca="false">Q!E6</f>
        <v>0.27</v>
      </c>
      <c r="D15" s="20" t="n">
        <f aca="false">C15-B15</f>
        <v>-0.002</v>
      </c>
      <c r="E15" s="20" t="n">
        <f aca="false">Q!E6</f>
        <v>0.27</v>
      </c>
      <c r="F15" s="20" t="n">
        <f aca="false">E15-B15</f>
        <v>-0.002</v>
      </c>
      <c r="G15" s="20" t="n">
        <f aca="false">Q!E6</f>
        <v>0.27</v>
      </c>
      <c r="H15" s="20" t="n">
        <f aca="false">G15-B15</f>
        <v>-0.002</v>
      </c>
      <c r="I15" s="3" t="s">
        <v>893</v>
      </c>
      <c r="J15" s="7" t="s">
        <v>914</v>
      </c>
    </row>
    <row r="16" customFormat="false" ht="17.15" hidden="false" customHeight="false" outlineLevel="0" collapsed="false">
      <c r="A16" s="0" t="s">
        <v>915</v>
      </c>
      <c r="B16" s="23" t="n">
        <v>57.92</v>
      </c>
      <c r="C16" s="23" t="n">
        <f aca="false">Q!F4</f>
        <v>55.2825</v>
      </c>
      <c r="D16" s="20" t="n">
        <f aca="false">C16/B16-1</f>
        <v>-0.0455369475138122</v>
      </c>
      <c r="E16" s="23" t="n">
        <f aca="false">Q!F4</f>
        <v>55.2825</v>
      </c>
      <c r="F16" s="20" t="n">
        <f aca="false">E16/B16-1</f>
        <v>-0.0455369475138122</v>
      </c>
      <c r="G16" s="23" t="n">
        <f aca="false">Q!F4</f>
        <v>55.2825</v>
      </c>
      <c r="H16" s="20" t="n">
        <f aca="false">G16/B16-1</f>
        <v>-0.0455369475138122</v>
      </c>
      <c r="I16" s="3" t="s">
        <v>916</v>
      </c>
    </row>
    <row r="17" customFormat="false" ht="17.15" hidden="false" customHeight="false" outlineLevel="0" collapsed="false">
      <c r="A17" s="0" t="s">
        <v>917</v>
      </c>
      <c r="B17" s="20" t="n">
        <f aca="false">Q!F6</f>
        <v>0.285</v>
      </c>
      <c r="C17" s="20" t="n">
        <f aca="false">PL!E101</f>
        <v>0.295840315893205</v>
      </c>
      <c r="D17" s="20" t="n">
        <f aca="false">C17-B17</f>
        <v>0.0108403158932051</v>
      </c>
      <c r="E17" s="20" t="n">
        <f aca="false">PL!E159</f>
        <v>0.295840315893205</v>
      </c>
      <c r="F17" s="20" t="n">
        <f aca="false">E17-B17</f>
        <v>0.0108403158932051</v>
      </c>
      <c r="G17" s="20" t="n">
        <f aca="false">PL!E217</f>
        <v>0.295840315893205</v>
      </c>
      <c r="H17" s="20" t="n">
        <f aca="false">G17-B17</f>
        <v>0.0108403158932051</v>
      </c>
      <c r="I17" s="7" t="s">
        <v>918</v>
      </c>
      <c r="J17" s="3" t="s">
        <v>919</v>
      </c>
    </row>
    <row r="18" customFormat="false" ht="17.15" hidden="false" customHeight="false" outlineLevel="0" collapsed="false">
      <c r="A18" s="0" t="s">
        <v>920</v>
      </c>
      <c r="B18" s="20" t="n">
        <f aca="false">Q!G6</f>
        <v>0.251412029627899</v>
      </c>
      <c r="C18" s="20" t="n">
        <f aca="false">PL!F101</f>
        <v>0.287468917111458</v>
      </c>
      <c r="D18" s="20" t="n">
        <f aca="false">C18-B18</f>
        <v>0.0360568874835596</v>
      </c>
      <c r="E18" s="20" t="n">
        <f aca="false">PL!F159</f>
        <v>0.26687737583122</v>
      </c>
      <c r="F18" s="20" t="n">
        <f aca="false">E18-B18</f>
        <v>0.0154653462033214</v>
      </c>
      <c r="G18" s="20" t="n">
        <f aca="false">PL!F217</f>
        <v>0.238685510296111</v>
      </c>
      <c r="H18" s="20" t="n">
        <f aca="false">G18-B18</f>
        <v>-0.0127265193317878</v>
      </c>
      <c r="I18" s="7" t="s">
        <v>918</v>
      </c>
    </row>
    <row r="19" customFormat="false" ht="17.15" hidden="false" customHeight="false" outlineLevel="0" collapsed="false">
      <c r="A19" s="5" t="s">
        <v>921</v>
      </c>
    </row>
    <row r="20" customFormat="false" ht="17.15" hidden="false" customHeight="false" outlineLevel="0" collapsed="false">
      <c r="A20" s="0" t="s">
        <v>922</v>
      </c>
      <c r="C20" s="20" t="n">
        <f aca="false">PL!E80</f>
        <v>0.985135401617438</v>
      </c>
      <c r="E20" s="20" t="n">
        <f aca="false">PL!E138</f>
        <v>0.985135401617438</v>
      </c>
      <c r="G20" s="20" t="n">
        <f aca="false">PL!E196</f>
        <v>0.985135401617438</v>
      </c>
      <c r="I20" s="7" t="s">
        <v>923</v>
      </c>
      <c r="J20" s="3" t="s">
        <v>924</v>
      </c>
    </row>
    <row r="21" customFormat="false" ht="17.15" hidden="false" customHeight="false" outlineLevel="0" collapsed="false">
      <c r="A21" s="0" t="s">
        <v>925</v>
      </c>
      <c r="C21" s="20" t="n">
        <f aca="false">PL!F80</f>
        <v>1</v>
      </c>
      <c r="E21" s="20" t="n">
        <f aca="false">PL!F138</f>
        <v>1</v>
      </c>
      <c r="G21" s="20" t="n">
        <f aca="false">PL!F196</f>
        <v>1</v>
      </c>
      <c r="I21" s="7" t="s">
        <v>923</v>
      </c>
    </row>
    <row r="22" customFormat="false" ht="17.15" hidden="false" customHeight="false" outlineLevel="0" collapsed="false">
      <c r="A22" s="0" t="s">
        <v>926</v>
      </c>
      <c r="B22" s="20" t="n">
        <v>0.7</v>
      </c>
      <c r="C22" s="20" t="n">
        <f aca="false">PL!D94</f>
        <v>0.599</v>
      </c>
      <c r="D22" s="20" t="n">
        <f aca="false">C22-B22</f>
        <v>-0.101</v>
      </c>
      <c r="E22" s="20" t="n">
        <f aca="false">PL!D152</f>
        <v>0.599</v>
      </c>
      <c r="F22" s="20" t="n">
        <f aca="false">E22-B22</f>
        <v>-0.101</v>
      </c>
      <c r="G22" s="20" t="n">
        <f aca="false">PL!D210</f>
        <v>0.599</v>
      </c>
      <c r="H22" s="20" t="n">
        <f aca="false">G22-B22</f>
        <v>-0.101</v>
      </c>
      <c r="I22" s="3" t="s">
        <v>927</v>
      </c>
      <c r="J22" s="3" t="s">
        <v>928</v>
      </c>
    </row>
    <row r="23" customFormat="false" ht="17.15" hidden="false" customHeight="false" outlineLevel="0" collapsed="false">
      <c r="A23" s="0" t="s">
        <v>929</v>
      </c>
      <c r="C23" s="20" t="n">
        <f aca="false">Units!D9</f>
        <v>0.935</v>
      </c>
      <c r="E23" s="20" t="n">
        <f aca="false">Units!D9</f>
        <v>0.935</v>
      </c>
      <c r="G23" s="20" t="n">
        <f aca="false">Units!D9</f>
        <v>0.935</v>
      </c>
      <c r="I23" s="7" t="s">
        <v>930</v>
      </c>
      <c r="J23" s="3" t="s">
        <v>931</v>
      </c>
    </row>
    <row r="24" customFormat="false" ht="17.15" hidden="false" customHeight="false" outlineLevel="0" collapsed="false">
      <c r="A24" s="0" t="s">
        <v>932</v>
      </c>
      <c r="C24" s="20" t="n">
        <f aca="false">Units!D12</f>
        <v>0.785</v>
      </c>
      <c r="E24" s="20" t="n">
        <f aca="false">Units!D12</f>
        <v>0.785</v>
      </c>
      <c r="G24" s="20" t="n">
        <f aca="false">Units!D12</f>
        <v>0.785</v>
      </c>
      <c r="I24" s="7" t="s">
        <v>930</v>
      </c>
      <c r="J24" s="3" t="s">
        <v>931</v>
      </c>
    </row>
    <row r="25" customFormat="false" ht="17.15" hidden="false" customHeight="false" outlineLevel="0" collapsed="false">
      <c r="A25" s="0" t="s">
        <v>933</v>
      </c>
      <c r="C25" s="22" t="n">
        <f aca="false">Units!D13</f>
        <v>72.02718461988</v>
      </c>
      <c r="E25" s="22" t="n">
        <f aca="false">Units!D13</f>
        <v>72.02718461988</v>
      </c>
      <c r="G25" s="22" t="n">
        <f aca="false">Units!D13</f>
        <v>72.02718461988</v>
      </c>
      <c r="I25" s="7" t="s">
        <v>930</v>
      </c>
      <c r="J25" s="7" t="s">
        <v>934</v>
      </c>
    </row>
    <row r="26" customFormat="false" ht="17.15" hidden="false" customHeight="false" outlineLevel="0" collapsed="false">
      <c r="A26" s="0" t="s">
        <v>935</v>
      </c>
      <c r="C26" s="22" t="n">
        <f aca="false">Units!D17</f>
        <v>92.4542322488694</v>
      </c>
      <c r="E26" s="22" t="n">
        <f aca="false">Units!D17</f>
        <v>92.4542322488694</v>
      </c>
      <c r="G26" s="22" t="n">
        <f aca="false">Units!D17</f>
        <v>92.4542322488694</v>
      </c>
      <c r="I26" s="7" t="s">
        <v>930</v>
      </c>
      <c r="J26" s="7" t="s">
        <v>936</v>
      </c>
    </row>
    <row r="27" customFormat="false" ht="17.15" hidden="false" customHeight="false" outlineLevel="0" collapsed="false">
      <c r="A27" s="5" t="s">
        <v>937</v>
      </c>
    </row>
    <row r="28" customFormat="false" ht="17.15" hidden="false" customHeight="false" outlineLevel="0" collapsed="false">
      <c r="A28" s="0" t="s">
        <v>938</v>
      </c>
      <c r="B28" s="23" t="n">
        <v>40</v>
      </c>
      <c r="C28" s="23" t="n">
        <f aca="false">PL!E96</f>
        <v>55</v>
      </c>
      <c r="D28" s="20" t="n">
        <f aca="false">C28/B28-1</f>
        <v>0.375</v>
      </c>
      <c r="E28" s="23" t="n">
        <f aca="false">PL!E154</f>
        <v>48</v>
      </c>
      <c r="F28" s="20" t="n">
        <f aca="false">E28/B28-1</f>
        <v>0.2</v>
      </c>
      <c r="G28" s="23" t="n">
        <f aca="false">PL!E212</f>
        <v>40</v>
      </c>
      <c r="H28" s="20" t="n">
        <f aca="false">G28/B28-1</f>
        <v>0</v>
      </c>
      <c r="I28" s="3" t="s">
        <v>906</v>
      </c>
    </row>
    <row r="29" customFormat="false" ht="17.15" hidden="false" customHeight="false" outlineLevel="0" collapsed="false">
      <c r="A29" s="0" t="s">
        <v>939</v>
      </c>
      <c r="B29" s="23" t="n">
        <v>40</v>
      </c>
      <c r="C29" s="23" t="n">
        <f aca="false">PL!F96</f>
        <v>50</v>
      </c>
      <c r="D29" s="20" t="n">
        <f aca="false">C29/B29-1</f>
        <v>0.25</v>
      </c>
      <c r="E29" s="23" t="n">
        <f aca="false">PL!F154</f>
        <v>42</v>
      </c>
      <c r="F29" s="20" t="n">
        <f aca="false">E29/B29-1</f>
        <v>0.05</v>
      </c>
      <c r="G29" s="23" t="n">
        <f aca="false">PL!F212</f>
        <v>30</v>
      </c>
      <c r="H29" s="20" t="n">
        <f aca="false">G29/B29-1</f>
        <v>-0.25</v>
      </c>
      <c r="I29" s="3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940</v>
      </c>
    </row>
    <row r="3" customFormat="false" ht="17.15" hidden="false" customHeight="false" outlineLevel="0" collapsed="false">
      <c r="A3" s="4" t="s">
        <v>941</v>
      </c>
      <c r="B3" s="4" t="s">
        <v>942</v>
      </c>
      <c r="C3" s="14" t="s">
        <v>943</v>
      </c>
      <c r="D3" s="14" t="s">
        <v>944</v>
      </c>
      <c r="E3" s="14" t="s">
        <v>776</v>
      </c>
      <c r="F3" s="14" t="s">
        <v>945</v>
      </c>
      <c r="G3" s="14" t="s">
        <v>946</v>
      </c>
      <c r="H3" s="14" t="s">
        <v>947</v>
      </c>
      <c r="I3" s="14" t="s">
        <v>948</v>
      </c>
      <c r="J3" s="14" t="s">
        <v>949</v>
      </c>
    </row>
    <row r="4" customFormat="false" ht="17.15" hidden="false" customHeight="false" outlineLevel="0" collapsed="false">
      <c r="A4" s="3" t="s">
        <v>950</v>
      </c>
      <c r="B4" s="0" t="s">
        <v>951</v>
      </c>
      <c r="C4" s="23" t="n">
        <f aca="false">PL!E90</f>
        <v>245.842654649375</v>
      </c>
      <c r="D4" s="13" t="n">
        <f aca="false">PL!E101</f>
        <v>0.295840315893205</v>
      </c>
      <c r="E4" s="18" t="n">
        <f aca="false">PL!E110</f>
        <v>27.5102303225525</v>
      </c>
      <c r="F4" s="20" t="n">
        <f aca="false">E4/E$4-1</f>
        <v>0</v>
      </c>
      <c r="G4" s="23" t="n">
        <f aca="false">PL!F90</f>
        <v>278.087872457713</v>
      </c>
      <c r="H4" s="13" t="n">
        <f aca="false">PL!F101</f>
        <v>0.287468917111458</v>
      </c>
      <c r="I4" s="18" t="n">
        <f aca="false">PL!F110</f>
        <v>30.3404062954186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952</v>
      </c>
      <c r="B5" s="0" t="s">
        <v>953</v>
      </c>
      <c r="C5" s="23" t="n">
        <f aca="false">E80</f>
        <v>223.071468505519</v>
      </c>
      <c r="D5" s="13" t="n">
        <f aca="false">E91</f>
        <v>0.272528402099809</v>
      </c>
      <c r="E5" s="18" t="n">
        <f aca="false">E100</f>
        <v>22.1460930890963</v>
      </c>
      <c r="F5" s="20" t="n">
        <f aca="false">E5/E$4-1</f>
        <v>-0.194986998311631</v>
      </c>
      <c r="G5" s="23" t="n">
        <f aca="false">F80</f>
        <v>248.856039754975</v>
      </c>
      <c r="H5" s="13" t="n">
        <f aca="false">F91</f>
        <v>0.262651188371948</v>
      </c>
      <c r="I5" s="18" t="n">
        <f aca="false">F100</f>
        <v>23.7890479070327</v>
      </c>
      <c r="J5" s="20" t="n">
        <f aca="false">I5/I$4-1</f>
        <v>-0.215928498932963</v>
      </c>
    </row>
    <row r="6" customFormat="false" ht="17.15" hidden="false" customHeight="false" outlineLevel="0" collapsed="false">
      <c r="A6" s="0" t="s">
        <v>954</v>
      </c>
      <c r="B6" s="0" t="s">
        <v>955</v>
      </c>
      <c r="C6" s="23" t="n">
        <f aca="false">E138</f>
        <v>245.842654649375</v>
      </c>
      <c r="D6" s="13" t="n">
        <f aca="false">E149</f>
        <v>0.296189162161754</v>
      </c>
      <c r="E6" s="18" t="n">
        <f aca="false">E158</f>
        <v>27.5531109689147</v>
      </c>
      <c r="F6" s="20" t="n">
        <f aca="false">E6/E$4-1</f>
        <v>0.0015587163705828</v>
      </c>
      <c r="G6" s="23" t="n">
        <f aca="false">F138</f>
        <v>292.013389783784</v>
      </c>
      <c r="H6" s="13" t="n">
        <f aca="false">F149</f>
        <v>0.297535715786274</v>
      </c>
      <c r="I6" s="18" t="n">
        <f aca="false">F158</f>
        <v>33.4768718374113</v>
      </c>
      <c r="J6" s="20" t="n">
        <f aca="false">I6/I$4-1</f>
        <v>0.103375858301088</v>
      </c>
    </row>
    <row r="7" customFormat="false" ht="17.15" hidden="false" customHeight="false" outlineLevel="0" collapsed="false">
      <c r="A7" s="0" t="s">
        <v>956</v>
      </c>
      <c r="B7" s="3" t="s">
        <v>957</v>
      </c>
      <c r="C7" s="23" t="n">
        <f aca="false">E196</f>
        <v>234.841655523125</v>
      </c>
      <c r="D7" s="13" t="n">
        <f aca="false">E207</f>
        <v>0.285351345984118</v>
      </c>
      <c r="E7" s="18" t="n">
        <f aca="false">E216</f>
        <v>24.9432769012437</v>
      </c>
      <c r="F7" s="20" t="n">
        <f aca="false">E7/E$4-1</f>
        <v>-0.0933090487143041</v>
      </c>
      <c r="G7" s="23" t="n">
        <f aca="false">F196</f>
        <v>270.066396526916</v>
      </c>
      <c r="H7" s="13" t="n">
        <f aca="false">F207</f>
        <v>0.281187861531011</v>
      </c>
      <c r="I7" s="18" t="n">
        <f aca="false">F216</f>
        <v>28.5461564446503</v>
      </c>
      <c r="J7" s="20" t="n">
        <f aca="false">I7/I$4-1</f>
        <v>-0.0591373046655358</v>
      </c>
    </row>
    <row r="8" customFormat="false" ht="17.15" hidden="false" customHeight="false" outlineLevel="0" collapsed="false">
      <c r="A8" s="0" t="s">
        <v>958</v>
      </c>
      <c r="B8" s="0" t="s">
        <v>959</v>
      </c>
      <c r="C8" s="23" t="n">
        <f aca="false">E254</f>
        <v>248.083558136273</v>
      </c>
      <c r="D8" s="13" t="n">
        <f aca="false">E265</f>
        <v>0.297862874025061</v>
      </c>
      <c r="E8" s="18" t="n">
        <f aca="false">E274</f>
        <v>28.0331187262785</v>
      </c>
      <c r="F8" s="20" t="n">
        <f aca="false">E8/E$4-1</f>
        <v>0.0190070529252293</v>
      </c>
      <c r="G8" s="23" t="n">
        <f aca="false">F254</f>
        <v>278.087872457713</v>
      </c>
      <c r="H8" s="13" t="n">
        <f aca="false">F265</f>
        <v>0.287468917111458</v>
      </c>
      <c r="I8" s="18" t="n">
        <f aca="false">F274</f>
        <v>30.3370387171696</v>
      </c>
      <c r="J8" s="20" t="n">
        <f aca="false">I8/I$4-1</f>
        <v>-0.000110993182365959</v>
      </c>
    </row>
    <row r="9" customFormat="false" ht="17.15" hidden="false" customHeight="false" outlineLevel="0" collapsed="false">
      <c r="A9" s="0" t="s">
        <v>960</v>
      </c>
      <c r="B9" s="0" t="s">
        <v>961</v>
      </c>
      <c r="C9" s="23" t="n">
        <f aca="false">E312</f>
        <v>238.416980239156</v>
      </c>
      <c r="D9" s="13" t="n">
        <f aca="false">E323</f>
        <v>0.276568382139817</v>
      </c>
      <c r="E9" s="18" t="n">
        <f aca="false">E332</f>
        <v>24.3115045208796</v>
      </c>
      <c r="F9" s="20" t="n">
        <f aca="false">E9/E$4-1</f>
        <v>-0.116274046569889</v>
      </c>
      <c r="G9" s="23" t="n">
        <f aca="false">F312</f>
        <v>262.702697351009</v>
      </c>
      <c r="H9" s="13" t="n">
        <f aca="false">F323</f>
        <v>0.245739556926921</v>
      </c>
      <c r="I9" s="18" t="n">
        <f aca="false">F332</f>
        <v>23.0301680179344</v>
      </c>
      <c r="J9" s="20" t="n">
        <f aca="false">I9/I$4-1</f>
        <v>-0.240940685049035</v>
      </c>
    </row>
    <row r="10" customFormat="false" ht="17.15" hidden="false" customHeight="false" outlineLevel="0" collapsed="false">
      <c r="A10" s="0" t="s">
        <v>962</v>
      </c>
      <c r="B10" s="0" t="s">
        <v>963</v>
      </c>
      <c r="C10" s="23" t="n">
        <f aca="false">E370</f>
        <v>253.268329059594</v>
      </c>
      <c r="D10" s="13" t="n">
        <f aca="false">E381</f>
        <v>0.314181591749596</v>
      </c>
      <c r="E10" s="18" t="n">
        <f aca="false">E390</f>
        <v>30.7342101442839</v>
      </c>
      <c r="F10" s="20" t="n">
        <f aca="false">E10/E$4-1</f>
        <v>0.117192033070275</v>
      </c>
      <c r="G10" s="23" t="n">
        <f aca="false">F370</f>
        <v>293.473047564417</v>
      </c>
      <c r="H10" s="13" t="n">
        <f aca="false">F381</f>
        <v>0.324822996370827</v>
      </c>
      <c r="I10" s="18" t="n">
        <f aca="false">F390</f>
        <v>37.6540781440031</v>
      </c>
      <c r="J10" s="20" t="n">
        <f aca="false">I10/I$4-1</f>
        <v>0.241053853312729</v>
      </c>
    </row>
    <row r="11" customFormat="false" ht="17.15" hidden="false" customHeight="false" outlineLevel="0" collapsed="false">
      <c r="A11" s="3" t="s">
        <v>964</v>
      </c>
      <c r="B11" s="3" t="s">
        <v>965</v>
      </c>
      <c r="C11" s="23" t="n">
        <f aca="false">E428</f>
        <v>238.7705837825</v>
      </c>
      <c r="D11" s="13" t="n">
        <f aca="false">E439</f>
        <v>0.277508073567211</v>
      </c>
      <c r="E11" s="18" t="n">
        <f aca="false">E448</f>
        <v>24.4632038621598</v>
      </c>
      <c r="F11" s="20" t="n">
        <f aca="false">E11/E$4-1</f>
        <v>-0.1107597582669</v>
      </c>
      <c r="G11" s="23" t="n">
        <f aca="false">F428</f>
        <v>271.127912290394</v>
      </c>
      <c r="H11" s="13" t="n">
        <f aca="false">F439</f>
        <v>0.269177963911594</v>
      </c>
      <c r="I11" s="18" t="n">
        <f aca="false">F448</f>
        <v>27.0376144895989</v>
      </c>
      <c r="J11" s="20" t="n">
        <f aca="false">I11/I$4-1</f>
        <v>-0.10885786345974</v>
      </c>
    </row>
    <row r="12" customFormat="false" ht="17.15" hidden="false" customHeight="false" outlineLevel="0" collapsed="false">
      <c r="A12" s="3" t="s">
        <v>966</v>
      </c>
      <c r="C12" s="23" t="n">
        <f aca="false">E486</f>
        <v>252.91472551625</v>
      </c>
      <c r="D12" s="13" t="n">
        <f aca="false">E497</f>
        <v>0.313328444096623</v>
      </c>
      <c r="E12" s="18" t="n">
        <f aca="false">E506</f>
        <v>30.5801592540155</v>
      </c>
      <c r="F12" s="20" t="n">
        <f aca="false">E12/E$4-1</f>
        <v>0.111592265694203</v>
      </c>
      <c r="G12" s="23" t="n">
        <f aca="false">F486</f>
        <v>285.047832625031</v>
      </c>
      <c r="H12" s="13" t="n">
        <f aca="false">F497</f>
        <v>0.304866656674011</v>
      </c>
      <c r="I12" s="18" t="n">
        <f aca="false">F506</f>
        <v>33.6427114393279</v>
      </c>
      <c r="J12" s="20" t="n">
        <f aca="false">I12/I$4-1</f>
        <v>0.108841823400629</v>
      </c>
    </row>
    <row r="13" customFormat="false" ht="17.15" hidden="false" customHeight="false" outlineLevel="0" collapsed="false">
      <c r="A13" s="0" t="s">
        <v>967</v>
      </c>
      <c r="B13" s="3" t="s">
        <v>968</v>
      </c>
      <c r="C13" s="23" t="n">
        <f aca="false">E544</f>
        <v>245.842654649375</v>
      </c>
      <c r="D13" s="13" t="n">
        <f aca="false">E555</f>
        <v>0.27840459206839</v>
      </c>
      <c r="E13" s="18" t="n">
        <f aca="false">E564</f>
        <v>25.3670080071395</v>
      </c>
      <c r="F13" s="20" t="n">
        <f aca="false">E13/E$4-1</f>
        <v>-0.0779063748388902</v>
      </c>
      <c r="G13" s="23" t="n">
        <f aca="false">F544</f>
        <v>278.087872457713</v>
      </c>
      <c r="H13" s="13" t="n">
        <f aca="false">F555</f>
        <v>0.261143449048675</v>
      </c>
      <c r="I13" s="18" t="n">
        <f aca="false">F564</f>
        <v>26.6800095929022</v>
      </c>
      <c r="J13" s="20" t="n">
        <f aca="false">I13/I$4-1</f>
        <v>-0.120644287583887</v>
      </c>
    </row>
    <row r="14" customFormat="false" ht="17.15" hidden="false" customHeight="false" outlineLevel="0" collapsed="false">
      <c r="A14" s="0" t="s">
        <v>969</v>
      </c>
      <c r="C14" s="23" t="n">
        <f aca="false">E602</f>
        <v>245.842654649375</v>
      </c>
      <c r="D14" s="13" t="n">
        <f aca="false">E613</f>
        <v>0.31327603971802</v>
      </c>
      <c r="E14" s="18" t="n">
        <f aca="false">E622</f>
        <v>29.6534526379654</v>
      </c>
      <c r="F14" s="20" t="n">
        <f aca="false">E14/E$4-1</f>
        <v>0.0779063748388906</v>
      </c>
      <c r="G14" s="23" t="n">
        <f aca="false">F602</f>
        <v>278.087872457713</v>
      </c>
      <c r="H14" s="13" t="n">
        <f aca="false">F613</f>
        <v>0.313794385174242</v>
      </c>
      <c r="I14" s="18" t="n">
        <f aca="false">F622</f>
        <v>34.0008029979351</v>
      </c>
      <c r="J14" s="20" t="n">
        <f aca="false">I14/I$4-1</f>
        <v>0.120644287583887</v>
      </c>
    </row>
    <row r="15" customFormat="false" ht="17.15" hidden="false" customHeight="false" outlineLevel="0" collapsed="false">
      <c r="A15" s="3" t="s">
        <v>970</v>
      </c>
      <c r="B15" s="3" t="s">
        <v>971</v>
      </c>
      <c r="C15" s="23" t="n">
        <f aca="false">E660</f>
        <v>245.842654649375</v>
      </c>
      <c r="D15" s="13" t="n">
        <f aca="false">E671</f>
        <v>0.29224331135483</v>
      </c>
      <c r="E15" s="18" t="n">
        <f aca="false">E680</f>
        <v>27.0680817503025</v>
      </c>
      <c r="F15" s="20" t="n">
        <f aca="false">E15/E$4-1</f>
        <v>-0.0160721508713626</v>
      </c>
      <c r="G15" s="23" t="n">
        <f aca="false">F660</f>
        <v>278.087872457713</v>
      </c>
      <c r="H15" s="13" t="n">
        <f aca="false">F671</f>
        <v>0.281363741811884</v>
      </c>
      <c r="I15" s="18" t="n">
        <f aca="false">F680</f>
        <v>29.4915186903986</v>
      </c>
      <c r="J15" s="20" t="n">
        <f aca="false">I15/I$4-1</f>
        <v>-0.0279787817194846</v>
      </c>
    </row>
    <row r="16" customFormat="false" ht="17.15" hidden="false" customHeight="false" outlineLevel="0" collapsed="false">
      <c r="A16" s="3" t="s">
        <v>972</v>
      </c>
      <c r="C16" s="23" t="n">
        <f aca="false">E718</f>
        <v>245.842654649375</v>
      </c>
      <c r="D16" s="13" t="n">
        <f aca="false">E729</f>
        <v>0.29943732043158</v>
      </c>
      <c r="E16" s="18" t="n">
        <f aca="false">E738</f>
        <v>27.9523788948025</v>
      </c>
      <c r="F16" s="20" t="n">
        <f aca="false">E16/E$4-1</f>
        <v>0.0160721508713628</v>
      </c>
      <c r="G16" s="23" t="n">
        <f aca="false">F718</f>
        <v>278.087872457713</v>
      </c>
      <c r="H16" s="13" t="n">
        <f aca="false">F729</f>
        <v>0.293574092411032</v>
      </c>
      <c r="I16" s="18" t="n">
        <f aca="false">F738</f>
        <v>31.1892939004386</v>
      </c>
      <c r="J16" s="20" t="n">
        <f aca="false">I16/I$4-1</f>
        <v>0.0279787817194848</v>
      </c>
    </row>
    <row r="17" customFormat="false" ht="17.15" hidden="false" customHeight="false" outlineLevel="0" collapsed="false">
      <c r="A17" s="3" t="s">
        <v>973</v>
      </c>
      <c r="B17" s="3" t="s">
        <v>974</v>
      </c>
      <c r="C17" s="23" t="n">
        <f aca="false">E776</f>
        <v>245.842654649375</v>
      </c>
      <c r="D17" s="13" t="n">
        <f aca="false">E787</f>
        <v>0.290264256135437</v>
      </c>
      <c r="E17" s="18" t="n">
        <f aca="false">E796</f>
        <v>26.8248136558858</v>
      </c>
      <c r="F17" s="20" t="n">
        <f aca="false">E17/E$4-1</f>
        <v>-0.024914973761771</v>
      </c>
      <c r="G17" s="23" t="n">
        <f aca="false">F776</f>
        <v>278.087872457713</v>
      </c>
      <c r="H17" s="13" t="n">
        <f aca="false">F787</f>
        <v>0.27885291051157</v>
      </c>
      <c r="I17" s="18" t="n">
        <f aca="false">F796</f>
        <v>29.1424028231964</v>
      </c>
      <c r="J17" s="20" t="n">
        <f aca="false">I17/I$4-1</f>
        <v>-0.0394854129690124</v>
      </c>
    </row>
    <row r="18" customFormat="false" ht="17.15" hidden="false" customHeight="false" outlineLevel="0" collapsed="false">
      <c r="A18" s="3" t="s">
        <v>975</v>
      </c>
      <c r="C18" s="23" t="n">
        <f aca="false">E834</f>
        <v>245.842654649375</v>
      </c>
      <c r="D18" s="13" t="n">
        <f aca="false">E845</f>
        <v>0.299185951747866</v>
      </c>
      <c r="E18" s="18" t="n">
        <f aca="false">E854</f>
        <v>27.9214803225525</v>
      </c>
      <c r="F18" s="20" t="n">
        <f aca="false">E18/E$4-1</f>
        <v>0.0149489842570623</v>
      </c>
      <c r="G18" s="23" t="n">
        <f aca="false">F834</f>
        <v>278.087872457713</v>
      </c>
      <c r="H18" s="13" t="n">
        <f aca="false">F845</f>
        <v>0.292835700951436</v>
      </c>
      <c r="I18" s="18" t="n">
        <f aca="false">F854</f>
        <v>31.0866250454186</v>
      </c>
      <c r="J18" s="20" t="n">
        <f aca="false">I18/I$4-1</f>
        <v>0.0245948832304423</v>
      </c>
    </row>
    <row r="19" customFormat="false" ht="17.15" hidden="false" customHeight="false" outlineLevel="0" collapsed="false">
      <c r="A19" s="3" t="s">
        <v>976</v>
      </c>
      <c r="B19" s="0" t="s">
        <v>977</v>
      </c>
      <c r="C19" s="23" t="n">
        <f aca="false">E892</f>
        <v>245.842654649375</v>
      </c>
      <c r="D19" s="13" t="n">
        <f aca="false">E903</f>
        <v>0.295840315893205</v>
      </c>
      <c r="E19" s="18" t="n">
        <f aca="false">E912</f>
        <v>27.5102303225525</v>
      </c>
      <c r="F19" s="20" t="n">
        <f aca="false">E19/E$4-1</f>
        <v>0</v>
      </c>
      <c r="G19" s="23" t="n">
        <f aca="false">F892</f>
        <v>278.087872457713</v>
      </c>
      <c r="H19" s="13" t="n">
        <f aca="false">F903</f>
        <v>0.29421139021332</v>
      </c>
      <c r="I19" s="18" t="n">
        <f aca="false">F912</f>
        <v>31.2779062954186</v>
      </c>
      <c r="J19" s="20" t="n">
        <f aca="false">I19/I$4-1</f>
        <v>0.0308993884548461</v>
      </c>
    </row>
    <row r="20" customFormat="false" ht="17.15" hidden="false" customHeight="false" outlineLevel="0" collapsed="false">
      <c r="A20" s="3" t="s">
        <v>978</v>
      </c>
      <c r="B20" s="0" t="s">
        <v>979</v>
      </c>
      <c r="C20" s="23" t="n">
        <f aca="false">E950</f>
        <v>245.842654649375</v>
      </c>
      <c r="D20" s="13" t="n">
        <f aca="false">E961</f>
        <v>0.295836236072211</v>
      </c>
      <c r="E20" s="18" t="n">
        <f aca="false">E970</f>
        <v>27.5097288255406</v>
      </c>
      <c r="F20" s="20" t="n">
        <f aca="false">E20/E$4-1</f>
        <v>-1.82294733972466E-005</v>
      </c>
      <c r="G20" s="23" t="n">
        <f aca="false">F950</f>
        <v>275.884611380628</v>
      </c>
      <c r="H20" s="13" t="n">
        <f aca="false">F961</f>
        <v>0.285781615737612</v>
      </c>
      <c r="I20" s="18" t="n">
        <f aca="false">F970</f>
        <v>29.8439634983208</v>
      </c>
      <c r="J20" s="20" t="n">
        <f aca="false">I20/I$4-1</f>
        <v>-0.0163624307553463</v>
      </c>
    </row>
    <row r="21" customFormat="false" ht="17.15" hidden="false" customHeight="false" outlineLevel="0" collapsed="false">
      <c r="A21" s="3" t="s">
        <v>980</v>
      </c>
      <c r="B21" s="0" t="s">
        <v>981</v>
      </c>
      <c r="C21" s="23" t="n">
        <f aca="false">E1008</f>
        <v>245.842654649375</v>
      </c>
      <c r="D21" s="13" t="n">
        <f aca="false">E1019</f>
        <v>0.295844382179491</v>
      </c>
      <c r="E21" s="18" t="n">
        <f aca="false">E1028</f>
        <v>27.51073015586</v>
      </c>
      <c r="F21" s="20" t="n">
        <f aca="false">E21/E$4-1</f>
        <v>1.81689975577992E-005</v>
      </c>
      <c r="G21" s="23" t="n">
        <f aca="false">F1008</f>
        <v>279.38203308726</v>
      </c>
      <c r="H21" s="13" t="n">
        <f aca="false">F1019</f>
        <v>0.288447604258348</v>
      </c>
      <c r="I21" s="18" t="n">
        <f aca="false">F1028</f>
        <v>30.6320089245889</v>
      </c>
      <c r="J21" s="20" t="n">
        <f aca="false">I21/I$4-1</f>
        <v>0.00961103244073214</v>
      </c>
    </row>
    <row r="22" customFormat="false" ht="17.15" hidden="false" customHeight="false" outlineLevel="0" collapsed="false">
      <c r="A22" s="3" t="s">
        <v>982</v>
      </c>
      <c r="B22" s="0" t="s">
        <v>983</v>
      </c>
      <c r="C22" s="23" t="n">
        <f aca="false">E1066</f>
        <v>244.457592743257</v>
      </c>
      <c r="D22" s="13" t="n">
        <f aca="false">E1077</f>
        <v>0.294511475839418</v>
      </c>
      <c r="E22" s="18" t="n">
        <f aca="false">E1086</f>
        <v>27.1796853849084</v>
      </c>
      <c r="F22" s="20" t="n">
        <f aca="false">E22/E$4-1</f>
        <v>-0.0120153460646631</v>
      </c>
      <c r="G22" s="23" t="n">
        <f aca="false">F1066</f>
        <v>270.398747671604</v>
      </c>
      <c r="H22" s="13" t="n">
        <f aca="false">F1077</f>
        <v>0.281460965756187</v>
      </c>
      <c r="I22" s="18" t="n">
        <f aca="false">F1086</f>
        <v>28.6101270826068</v>
      </c>
      <c r="J22" s="20" t="n">
        <f aca="false">I22/I$4-1</f>
        <v>-0.057028874167485</v>
      </c>
    </row>
    <row r="23" customFormat="false" ht="17.15" hidden="false" customHeight="false" outlineLevel="0" collapsed="false">
      <c r="A23" s="3" t="s">
        <v>984</v>
      </c>
      <c r="B23" s="0" t="s">
        <v>985</v>
      </c>
      <c r="C23" s="23" t="n">
        <f aca="false">E1124</f>
        <v>245.842654649375</v>
      </c>
      <c r="D23" s="13" t="n">
        <f aca="false">E1135</f>
        <v>0.29587843545906</v>
      </c>
      <c r="E23" s="18" t="n">
        <f aca="false">E1144</f>
        <v>27.5149160301844</v>
      </c>
      <c r="F23" s="20" t="n">
        <f aca="false">E23/E$4-1</f>
        <v>0.000170326005162647</v>
      </c>
      <c r="G23" s="23" t="n">
        <f aca="false">F1124</f>
        <v>281.84275766253</v>
      </c>
      <c r="H23" s="13" t="n">
        <f aca="false">F1135</f>
        <v>0.290283693887525</v>
      </c>
      <c r="I23" s="18" t="n">
        <f aca="false">F1144</f>
        <v>31.1864638658306</v>
      </c>
      <c r="J23" s="20" t="n">
        <f aca="false">I23/I$4-1</f>
        <v>0.0278855056248768</v>
      </c>
    </row>
    <row r="24" customFormat="false" ht="17.15" hidden="false" customHeight="false" outlineLevel="0" collapsed="false">
      <c r="A24" s="3" t="s">
        <v>986</v>
      </c>
      <c r="B24" s="3" t="s">
        <v>987</v>
      </c>
      <c r="C24" s="23" t="n">
        <f aca="false">E1182</f>
        <v>238.61238487504</v>
      </c>
      <c r="D24" s="13" t="n">
        <f aca="false">E1193</f>
        <v>0.288894438170297</v>
      </c>
      <c r="E24" s="18" t="n">
        <f aca="false">E1202</f>
        <v>25.8039151440829</v>
      </c>
      <c r="F24" s="20" t="n">
        <f aca="false">E24/E$4-1</f>
        <v>-0.0620247507368479</v>
      </c>
      <c r="G24" s="23" t="n">
        <f aca="false">F1182</f>
        <v>264.806932381013</v>
      </c>
      <c r="H24" s="13" t="n">
        <f aca="false">F1193</f>
        <v>0.276872631851862</v>
      </c>
      <c r="I24" s="18" t="n">
        <f aca="false">F1202</f>
        <v>27.3594424522203</v>
      </c>
      <c r="J24" s="20" t="n">
        <f aca="false">I24/I$4-1</f>
        <v>-0.0982506237448916</v>
      </c>
    </row>
    <row r="25" customFormat="false" ht="17.15" hidden="false" customHeight="false" outlineLevel="0" collapsed="false">
      <c r="A25" s="3" t="s">
        <v>988</v>
      </c>
      <c r="C25" s="23" t="n">
        <f aca="false">E1240</f>
        <v>245.842654649375</v>
      </c>
      <c r="D25" s="13" t="n">
        <f aca="false">E1251</f>
        <v>0.296087638158132</v>
      </c>
      <c r="E25" s="18" t="n">
        <f aca="false">E1260</f>
        <v>27.5406315036342</v>
      </c>
      <c r="F25" s="20" t="n">
        <f aca="false">E25/E$4-1</f>
        <v>0.00110508638878204</v>
      </c>
      <c r="G25" s="23" t="n">
        <f aca="false">F1240</f>
        <v>292.013389783784</v>
      </c>
      <c r="H25" s="13" t="n">
        <f aca="false">F1251</f>
        <v>0.297537860597873</v>
      </c>
      <c r="I25" s="18" t="n">
        <f aca="false">F1260</f>
        <v>33.477184994264</v>
      </c>
      <c r="J25" s="20" t="n">
        <f aca="false">I25/I$4-1</f>
        <v>0.103386179746677</v>
      </c>
    </row>
    <row r="26" customFormat="false" ht="17.15" hidden="false" customHeight="false" outlineLevel="0" collapsed="false">
      <c r="A26" s="0" t="s">
        <v>989</v>
      </c>
      <c r="B26" s="3" t="s">
        <v>990</v>
      </c>
      <c r="C26" s="23" t="n">
        <f aca="false">E1298</f>
        <v>242.049044374375</v>
      </c>
      <c r="D26" s="13" t="n">
        <f aca="false">E1309</f>
        <v>0.296558766543697</v>
      </c>
      <c r="E26" s="18" t="n">
        <f aca="false">E1318</f>
        <v>27.1367021852715</v>
      </c>
      <c r="F26" s="20" t="n">
        <f aca="false">E26/E$4-1</f>
        <v>-0.0135777902584402</v>
      </c>
      <c r="G26" s="23" t="n">
        <f aca="false">F1298</f>
        <v>269.552249338963</v>
      </c>
      <c r="H26" s="13" t="n">
        <f aca="false">F1309</f>
        <v>0.288655405281805</v>
      </c>
      <c r="I26" s="18" t="n">
        <f aca="false">F1318</f>
        <v>29.4846755305981</v>
      </c>
      <c r="J26" s="20" t="n">
        <f aca="false">I26/I$4-1</f>
        <v>-0.0282043278026175</v>
      </c>
    </row>
    <row r="27" customFormat="false" ht="17.15" hidden="false" customHeight="false" outlineLevel="0" collapsed="false">
      <c r="A27" s="0" t="s">
        <v>991</v>
      </c>
      <c r="B27" s="3" t="s">
        <v>992</v>
      </c>
      <c r="C27" s="23" t="n">
        <f aca="false">E1356</f>
        <v>249.636264924375</v>
      </c>
      <c r="D27" s="13" t="n">
        <f aca="false">E1367</f>
        <v>0.295143701186867</v>
      </c>
      <c r="E27" s="18" t="n">
        <f aca="false">E1376</f>
        <v>27.8837584598335</v>
      </c>
      <c r="F27" s="20" t="n">
        <f aca="false">E27/E$4-1</f>
        <v>0.0135777902584402</v>
      </c>
      <c r="G27" s="23" t="n">
        <f aca="false">F1356</f>
        <v>287.382217631463</v>
      </c>
      <c r="H27" s="13" t="n">
        <f aca="false">F1367</f>
        <v>0.286257119625202</v>
      </c>
      <c r="I27" s="18" t="n">
        <f aca="false">F1376</f>
        <v>31.2738876552666</v>
      </c>
      <c r="J27" s="20" t="n">
        <f aca="false">I27/I$4-1</f>
        <v>0.030766936696853</v>
      </c>
    </row>
    <row r="28" customFormat="false" ht="17.15" hidden="false" customHeight="false" outlineLevel="0" collapsed="false">
      <c r="A28" s="3" t="s">
        <v>993</v>
      </c>
      <c r="B28" s="3" t="s">
        <v>994</v>
      </c>
      <c r="C28" s="23" t="n">
        <f aca="false">E1414</f>
        <v>245.842654649375</v>
      </c>
      <c r="D28" s="13" t="n">
        <f aca="false">E1425</f>
        <v>0.295840315893205</v>
      </c>
      <c r="E28" s="18" t="n">
        <f aca="false">E1434</f>
        <v>26.4916454004224</v>
      </c>
      <c r="F28" s="20" t="n">
        <f aca="false">E28/E$4-1</f>
        <v>-0.0370256777274264</v>
      </c>
      <c r="G28" s="23" t="n">
        <f aca="false">F1414</f>
        <v>278.087872457713</v>
      </c>
      <c r="H28" s="13" t="n">
        <f aca="false">F1425</f>
        <v>0.287468917111458</v>
      </c>
      <c r="I28" s="18" t="n">
        <f aca="false">F1434</f>
        <v>28.6711887230615</v>
      </c>
      <c r="J28" s="20" t="n">
        <f aca="false">I28/I$4-1</f>
        <v>-0.0550163223295125</v>
      </c>
    </row>
    <row r="29" customFormat="false" ht="17.15" hidden="false" customHeight="false" outlineLevel="0" collapsed="false">
      <c r="A29" s="3" t="s">
        <v>995</v>
      </c>
      <c r="B29" s="3" t="s">
        <v>996</v>
      </c>
      <c r="C29" s="23" t="n">
        <f aca="false">E1472</f>
        <v>245.842654649375</v>
      </c>
      <c r="D29" s="13" t="n">
        <f aca="false">E1483</f>
        <v>0.295840315893205</v>
      </c>
      <c r="E29" s="18" t="n">
        <f aca="false">E1492</f>
        <v>26.1682678677938</v>
      </c>
      <c r="F29" s="20" t="n">
        <f aca="false">E29/E$4-1</f>
        <v>-0.0487804878048781</v>
      </c>
      <c r="G29" s="23" t="n">
        <f aca="false">F1472</f>
        <v>278.087872457713</v>
      </c>
      <c r="H29" s="13" t="n">
        <f aca="false">F1483</f>
        <v>0.287468917111458</v>
      </c>
      <c r="I29" s="18" t="n">
        <f aca="false">F1492</f>
        <v>28.8603864761299</v>
      </c>
      <c r="J29" s="20" t="n">
        <f aca="false">I29/I$4-1</f>
        <v>-0.048780487804878</v>
      </c>
    </row>
    <row r="30" customFormat="false" ht="17.15" hidden="false" customHeight="false" outlineLevel="0" collapsed="false">
      <c r="A30" s="3" t="s">
        <v>997</v>
      </c>
      <c r="B30" s="3" t="s">
        <v>998</v>
      </c>
      <c r="C30" s="23" t="n">
        <f aca="false">E1530</f>
        <v>245.842654649375</v>
      </c>
      <c r="D30" s="13" t="n">
        <f aca="false">E1541</f>
        <v>0.295840315893205</v>
      </c>
      <c r="E30" s="18" t="n">
        <f aca="false">E1550</f>
        <v>26.5102303225525</v>
      </c>
      <c r="F30" s="20" t="n">
        <f aca="false">E30/E$4-1</f>
        <v>-0.0363501136949848</v>
      </c>
      <c r="G30" s="23" t="n">
        <f aca="false">F1530</f>
        <v>278.087872457713</v>
      </c>
      <c r="H30" s="13" t="n">
        <f aca="false">F1541</f>
        <v>0.287468917111458</v>
      </c>
      <c r="I30" s="18" t="n">
        <f aca="false">F1550</f>
        <v>29.3404062954186</v>
      </c>
      <c r="J30" s="20" t="n">
        <f aca="false">I30/I$4-1</f>
        <v>-0.0329593476851692</v>
      </c>
    </row>
    <row r="31" customFormat="false" ht="17.15" hidden="false" customHeight="false" outlineLevel="0" collapsed="false">
      <c r="A31" s="3" t="s">
        <v>999</v>
      </c>
      <c r="B31" s="0" t="s">
        <v>1000</v>
      </c>
      <c r="C31" s="23" t="n">
        <f aca="false">PL!E148</f>
        <v>245.842654649375</v>
      </c>
      <c r="D31" s="13" t="n">
        <f aca="false">PL!E159</f>
        <v>0.295840315893205</v>
      </c>
      <c r="E31" s="18" t="n">
        <f aca="false">PL!E168</f>
        <v>27.5102303225525</v>
      </c>
      <c r="F31" s="20" t="n">
        <f aca="false">E31/E$4-1</f>
        <v>0</v>
      </c>
      <c r="G31" s="23" t="n">
        <f aca="false">PL!F148</f>
        <v>238.385675395975</v>
      </c>
      <c r="H31" s="13" t="n">
        <f aca="false">PL!F159</f>
        <v>0.26687737583122</v>
      </c>
      <c r="I31" s="18" t="n">
        <f aca="false">PL!F168</f>
        <v>23.1343701387145</v>
      </c>
      <c r="J31" s="20" t="n">
        <f aca="false">I31/I$4-1</f>
        <v>-0.237506251120714</v>
      </c>
    </row>
    <row r="32" customFormat="false" ht="17.15" hidden="false" customHeight="false" outlineLevel="0" collapsed="false">
      <c r="A32" s="3" t="s">
        <v>1001</v>
      </c>
      <c r="B32" s="0" t="s">
        <v>1002</v>
      </c>
      <c r="C32" s="23" t="n">
        <f aca="false">PL!E206</f>
        <v>245.842654649375</v>
      </c>
      <c r="D32" s="13" t="n">
        <f aca="false">PL!E217</f>
        <v>0.295840315893205</v>
      </c>
      <c r="E32" s="18" t="n">
        <f aca="false">PL!E226</f>
        <v>27.5102303225525</v>
      </c>
      <c r="F32" s="20" t="n">
        <f aca="false">E32/E$4-1</f>
        <v>0</v>
      </c>
      <c r="G32" s="23" t="n">
        <f aca="false">PL!F206</f>
        <v>198.683478334238</v>
      </c>
      <c r="H32" s="13" t="n">
        <f aca="false">PL!F217</f>
        <v>0.238685510296111</v>
      </c>
      <c r="I32" s="18" t="n">
        <f aca="false">PL!F226</f>
        <v>15.9908339820103</v>
      </c>
      <c r="J32" s="20" t="n">
        <f aca="false">I32/I$4-1</f>
        <v>-0.472952543011104</v>
      </c>
    </row>
    <row r="34" customFormat="false" ht="17.15" hidden="false" customHeight="false" outlineLevel="0" collapsed="false">
      <c r="A34" s="3" t="s">
        <v>1003</v>
      </c>
    </row>
    <row r="36" customFormat="false" ht="17.15" hidden="false" customHeight="false" outlineLevel="0" collapsed="false">
      <c r="A36" s="1" t="s">
        <v>1004</v>
      </c>
    </row>
    <row r="37" customFormat="false" ht="17.15" hidden="false" customHeight="false" outlineLevel="0" collapsed="false">
      <c r="A37" s="4" t="s">
        <v>941</v>
      </c>
      <c r="B37" s="4" t="s">
        <v>942</v>
      </c>
      <c r="C37" s="14" t="s">
        <v>1005</v>
      </c>
      <c r="D37" s="14" t="s">
        <v>880</v>
      </c>
      <c r="E37" s="4" t="s">
        <v>1006</v>
      </c>
      <c r="F37" s="4" t="s">
        <v>1007</v>
      </c>
    </row>
    <row r="38" customFormat="false" ht="17.15" hidden="false" customHeight="false" outlineLevel="0" collapsed="false">
      <c r="A38" s="3" t="s">
        <v>25</v>
      </c>
      <c r="B38" s="0" t="s">
        <v>1008</v>
      </c>
      <c r="C38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386.090311528167</v>
      </c>
      <c r="D38" s="23" t="n">
        <f aca="false">tp_comp_adj</f>
        <v>942.503453722803</v>
      </c>
      <c r="E38" s="23" t="n">
        <f aca="false">tp_w_dcf*C38+(1-tp_w_dcf)*D38</f>
        <v>664.296882625485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1009</v>
      </c>
      <c r="B39" s="0" t="s">
        <v>1010</v>
      </c>
      <c r="C39" s="23" t="n">
        <f aca="false">(tp_wA*(SUMPRODUCT(Val!B16:B21,1/(1+(tp_r+0.01))^{1;2;3;4;5;6})+Val!B21*(1+tp_g)/((tp_r+0.01)-tp_g)/(1+(tp_r+0.01))^6)+tp_wB*(SUMPRODUCT(Val!C16:C21,1/(1+(tp_r+0.01))^{1;2;3;4;5;6})+Val!C21*(1+tp_g)/((tp_r+0.01)-tp_g)/(1+(tp_r+0.01))^6)+tp_wC*(SUMPRODUCT(Val!D16:D21,1/(1+(tp_r+0.01))^{1;2;3;4;5;6})+Val!D21*(1+tp_g)/((tp_r+0.01)-tp_g)/(1+(tp_r+0.01))^6))*(1+(tp_r+0.01))</f>
        <v>331.561514190456</v>
      </c>
      <c r="D39" s="23" t="n">
        <f aca="false">tp_comp_adj</f>
        <v>942.503453722803</v>
      </c>
      <c r="E39" s="23" t="n">
        <f aca="false">tp_w_dcf*C39+(1-tp_w_dcf)*D39</f>
        <v>637.032483956629</v>
      </c>
      <c r="F39" s="20" t="n">
        <f aca="false">E39/E$38-1</f>
        <v>-0.0410424907627128</v>
      </c>
    </row>
    <row r="40" customFormat="false" ht="17.15" hidden="false" customHeight="false" outlineLevel="0" collapsed="false">
      <c r="A40" s="3" t="s">
        <v>1011</v>
      </c>
      <c r="B40" s="0" t="s">
        <v>1012</v>
      </c>
      <c r="C40" s="23" t="n">
        <f aca="false">(tp_wA*(SUMPRODUCT(Val!B16:B21,1/(1+(tp_r-0.01))^{1;2;3;4;5;6})+Val!B21*(1+tp_g)/((tp_r-0.01)-tp_g)/(1+(tp_r-0.01))^6)+tp_wB*(SUMPRODUCT(Val!C16:C21,1/(1+(tp_r-0.01))^{1;2;3;4;5;6})+Val!C21*(1+tp_g)/((tp_r-0.01)-tp_g)/(1+(tp_r-0.01))^6)+tp_wC*(SUMPRODUCT(Val!D16:D21,1/(1+(tp_r-0.01))^{1;2;3;4;5;6})+Val!D21*(1+tp_g)/((tp_r-0.01)-tp_g)/(1+(tp_r-0.01))^6))*(1+(tp_r-0.01))</f>
        <v>462.474579828337</v>
      </c>
      <c r="D40" s="23" t="n">
        <f aca="false">tp_comp_adj</f>
        <v>942.503453722803</v>
      </c>
      <c r="E40" s="23" t="n">
        <f aca="false">tp_w_dcf*C40+(1-tp_w_dcf)*D40</f>
        <v>702.48901677557</v>
      </c>
      <c r="F40" s="20" t="n">
        <f aca="false">E40/E$38-1</f>
        <v>0.0574925686827539</v>
      </c>
    </row>
    <row r="41" customFormat="false" ht="17.15" hidden="false" customHeight="false" outlineLevel="0" collapsed="false">
      <c r="A41" s="3" t="s">
        <v>1013</v>
      </c>
      <c r="B41" s="0" t="s">
        <v>1014</v>
      </c>
      <c r="C41" s="23" t="n">
        <f aca="false">(tp_wA*(SUMPRODUCT(Val!B16:B21,1/(1+tp_r)^{1;2;3;4;5;6})+Val!B21*(1+(tp_g+0.01))/(tp_r-(tp_g+0.01))/(1+tp_r)^6)+tp_wB*(SUMPRODUCT(Val!C16:C21,1/(1+tp_r)^{1;2;3;4;5;6})+Val!C21*(1+(tp_g+0.01))/(tp_r-(tp_g+0.01))/(1+tp_r)^6)+tp_wC*(SUMPRODUCT(Val!D16:D21,1/(1+tp_r)^{1;2;3;4;5;6})+Val!D21*(1+(tp_g+0.01))/(tp_r-(tp_g+0.01))/(1+tp_r)^6))*(1+tp_r)</f>
        <v>447.219492541513</v>
      </c>
      <c r="D41" s="23" t="n">
        <f aca="false">tp_comp_adj</f>
        <v>942.503453722803</v>
      </c>
      <c r="E41" s="23" t="n">
        <f aca="false">tp_w_dcf*C41+(1-tp_w_dcf)*D41</f>
        <v>694.861473132158</v>
      </c>
      <c r="F41" s="20" t="n">
        <f aca="false">E41/E$38-1</f>
        <v>0.046010437962426</v>
      </c>
    </row>
    <row r="42" customFormat="false" ht="17.15" hidden="false" customHeight="false" outlineLevel="0" collapsed="false">
      <c r="A42" s="3" t="s">
        <v>1015</v>
      </c>
      <c r="B42" s="0" t="s">
        <v>1016</v>
      </c>
      <c r="C42" s="23" t="n">
        <f aca="false">(tp_wA*(SUMPRODUCT(Val!B16:B21,1/(1+tp_r)^{1;2;3;4;5;6})+Val!B21*(1+(tp_g-0.01))/(tp_r-(tp_g-0.01))/(1+tp_r)^6)+tp_wB*(SUMPRODUCT(Val!C16:C21,1/(1+tp_r)^{1;2;3;4;5;6})+Val!C21*(1+(tp_g-0.01))/(tp_r-(tp_g-0.01))/(1+tp_r)^6)+tp_wC*(SUMPRODUCT(Val!D16:D21,1/(1+tp_r)^{1;2;3;4;5;6})+Val!D21*(1+(tp_g-0.01))/(tp_r-(tp_g-0.01))/(1+tp_r)^6))*(1+tp_r)</f>
        <v>342.426610804348</v>
      </c>
      <c r="D42" s="23" t="n">
        <f aca="false">tp_comp_adj</f>
        <v>942.503453722803</v>
      </c>
      <c r="E42" s="23" t="n">
        <f aca="false">tp_w_dcf*C42+(1-tp_w_dcf)*D42</f>
        <v>642.465032263576</v>
      </c>
      <c r="F42" s="20" t="n">
        <f aca="false">E42/E$38-1</f>
        <v>-0.0328645985445901</v>
      </c>
    </row>
    <row r="43" customFormat="false" ht="17.15" hidden="false" customHeight="false" outlineLevel="0" collapsed="false">
      <c r="A43" s="0" t="s">
        <v>1017</v>
      </c>
      <c r="C43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386.090311528167</v>
      </c>
      <c r="D43" s="23" t="n">
        <f aca="false">tp_comp_adj</f>
        <v>942.503453722803</v>
      </c>
      <c r="E43" s="23" t="n">
        <f aca="false">0.3*C43+(1-0.3)*D43</f>
        <v>775.579511064412</v>
      </c>
      <c r="F43" s="20" t="n">
        <f aca="false">E43/E$38-1</f>
        <v>0.167519419930299</v>
      </c>
    </row>
    <row r="44" customFormat="false" ht="17.15" hidden="false" customHeight="false" outlineLevel="0" collapsed="false">
      <c r="A44" s="0" t="s">
        <v>1018</v>
      </c>
      <c r="C44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386.090311528167</v>
      </c>
      <c r="D44" s="23" t="n">
        <f aca="false">tp_comp_adj</f>
        <v>942.503453722803</v>
      </c>
      <c r="E44" s="23" t="n">
        <f aca="false">0.7*C44+(1-0.7)*D44</f>
        <v>553.014254186558</v>
      </c>
      <c r="F44" s="20" t="n">
        <f aca="false">E44/E$38-1</f>
        <v>-0.167519419930299</v>
      </c>
    </row>
    <row r="50" customFormat="false" ht="17.15" hidden="false" customHeight="false" outlineLevel="0" collapsed="false">
      <c r="A50" s="1" t="s">
        <v>1019</v>
      </c>
    </row>
    <row r="51" customFormat="false" ht="17.15" hidden="false" customHeight="false" outlineLevel="0" collapsed="false">
      <c r="A51" s="4" t="s">
        <v>22</v>
      </c>
      <c r="B51" s="4" t="s">
        <v>23</v>
      </c>
      <c r="C51" s="14" t="s">
        <v>508</v>
      </c>
      <c r="D51" s="14" t="s">
        <v>592</v>
      </c>
      <c r="E51" s="14" t="s">
        <v>593</v>
      </c>
      <c r="F51" s="14" t="s">
        <v>594</v>
      </c>
      <c r="G51" s="14" t="s">
        <v>595</v>
      </c>
      <c r="H51" s="14" t="s">
        <v>596</v>
      </c>
      <c r="I51" s="14" t="s">
        <v>597</v>
      </c>
      <c r="J51" s="14" t="s">
        <v>598</v>
      </c>
      <c r="K51" s="4" t="s">
        <v>481</v>
      </c>
    </row>
    <row r="52" customFormat="false" ht="17.15" hidden="false" customHeight="false" outlineLevel="0" collapsed="false">
      <c r="A52" s="5" t="s">
        <v>616</v>
      </c>
    </row>
    <row r="53" customFormat="false" ht="17.15" hidden="false" customHeight="false" outlineLevel="0" collapsed="false">
      <c r="A53" s="0" t="s">
        <v>617</v>
      </c>
      <c r="B53" s="3" t="s">
        <v>33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618</v>
      </c>
    </row>
    <row r="54" customFormat="false" ht="17.15" hidden="false" customHeight="false" outlineLevel="0" collapsed="false">
      <c r="A54" s="3" t="s">
        <v>619</v>
      </c>
      <c r="B54" s="3" t="s">
        <v>33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620</v>
      </c>
    </row>
    <row r="55" customFormat="false" ht="17.15" hidden="false" customHeight="false" outlineLevel="0" collapsed="false">
      <c r="A55" s="3" t="s">
        <v>621</v>
      </c>
      <c r="B55" s="0" t="s">
        <v>145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622</v>
      </c>
    </row>
    <row r="56" customFormat="false" ht="17.15" hidden="false" customHeight="false" outlineLevel="0" collapsed="false">
      <c r="A56" s="0" t="s">
        <v>623</v>
      </c>
      <c r="B56" s="0" t="s">
        <v>145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624</v>
      </c>
    </row>
    <row r="57" customFormat="false" ht="17.15" hidden="false" customHeight="false" outlineLevel="0" collapsed="false">
      <c r="A57" s="3" t="s">
        <v>625</v>
      </c>
      <c r="B57" s="0" t="s">
        <v>145</v>
      </c>
      <c r="D57" s="18" t="n">
        <f aca="false">1</f>
        <v>1</v>
      </c>
      <c r="E57" s="18" t="n">
        <f aca="false">1+carry</f>
        <v>1.05</v>
      </c>
      <c r="F57" s="18" t="n">
        <f aca="false">1+carry</f>
        <v>1.05</v>
      </c>
      <c r="G57" s="18" t="n">
        <f aca="false">1+carry</f>
        <v>1.05</v>
      </c>
      <c r="K57" s="7" t="s">
        <v>626</v>
      </c>
    </row>
    <row r="58" customFormat="false" ht="17.15" hidden="false" customHeight="false" outlineLevel="0" collapsed="false">
      <c r="A58" s="3" t="s">
        <v>627</v>
      </c>
      <c r="B58" s="0" t="s">
        <v>628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629</v>
      </c>
    </row>
    <row r="59" customFormat="false" ht="17.15" hidden="false" customHeight="false" outlineLevel="0" collapsed="false">
      <c r="A59" s="3" t="s">
        <v>630</v>
      </c>
      <c r="B59" s="0" t="s">
        <v>45</v>
      </c>
      <c r="D59" s="20" t="n">
        <f aca="false">sh_nv_26</f>
        <v>0.25</v>
      </c>
      <c r="E59" s="20" t="n">
        <f aca="false">sh_nv_27</f>
        <v>0.27</v>
      </c>
      <c r="F59" s="20" t="n">
        <f aca="false">sh_nv_28</f>
        <v>0.29</v>
      </c>
      <c r="G59" s="20" t="n">
        <f aca="false">sh_nv_29</f>
        <v>0.3</v>
      </c>
    </row>
    <row r="60" customFormat="false" ht="17.15" hidden="false" customHeight="false" outlineLevel="0" collapsed="false">
      <c r="A60" s="3" t="s">
        <v>631</v>
      </c>
      <c r="B60" s="0" t="s">
        <v>45</v>
      </c>
      <c r="D60" s="20" t="n">
        <f aca="false">sh_ot_26</f>
        <v>0.3</v>
      </c>
      <c r="E60" s="20" t="n">
        <f aca="false">sh_ot_27</f>
        <v>0.31</v>
      </c>
      <c r="F60" s="20" t="n">
        <f aca="false">sh_ot_28</f>
        <v>0.32</v>
      </c>
      <c r="G60" s="20" t="n">
        <f aca="false">sh_ot_29</f>
        <v>0.33</v>
      </c>
    </row>
    <row r="61" customFormat="false" ht="17.15" hidden="false" customHeight="false" outlineLevel="0" collapsed="false">
      <c r="A61" s="3" t="s">
        <v>632</v>
      </c>
      <c r="B61" s="0" t="s">
        <v>582</v>
      </c>
      <c r="D61" s="22" t="n">
        <f aca="false">(D53*D58*D59+D54*D58*v_ot*D60)*D57</f>
        <v>801.809211504</v>
      </c>
      <c r="E61" s="22" t="n">
        <f aca="false">(E53*E58*E59+E54*E58*v_ot*E60)*E57</f>
        <v>1299.90394524352</v>
      </c>
      <c r="F61" s="22" t="n">
        <f aca="false">(F53*F58*F59+F54*F58*v_ot*F60)*F57</f>
        <v>1700.25707385422</v>
      </c>
      <c r="G61" s="22" t="n">
        <f aca="false">(G53*G58*G59+G54*G58*v_ot*G60)*G57</f>
        <v>2230.78502755736</v>
      </c>
    </row>
    <row r="62" customFormat="false" ht="15" hidden="false" customHeight="false" outlineLevel="0" collapsed="false">
      <c r="A62" s="3" t="s">
        <v>633</v>
      </c>
      <c r="B62" s="0" t="s">
        <v>303</v>
      </c>
      <c r="D62" s="21" t="n">
        <f aca="false">D61*fx/1000</f>
        <v>25.657894768128</v>
      </c>
      <c r="E62" s="21" t="n">
        <f aca="false">E61*fx/1000</f>
        <v>41.5969262477927</v>
      </c>
      <c r="F62" s="21" t="n">
        <f aca="false">F61*fx/1000</f>
        <v>54.408226363335</v>
      </c>
      <c r="G62" s="21" t="n">
        <f aca="false">G61*fx/1000</f>
        <v>71.3851208818355</v>
      </c>
    </row>
    <row r="63" customFormat="false" ht="17.15" hidden="false" customHeight="false" outlineLevel="0" collapsed="false">
      <c r="A63" s="5" t="s">
        <v>634</v>
      </c>
    </row>
    <row r="64" customFormat="false" ht="17.15" hidden="false" customHeight="false" outlineLevel="0" collapsed="false">
      <c r="A64" s="0" t="s">
        <v>635</v>
      </c>
      <c r="B64" s="0" t="s">
        <v>303</v>
      </c>
      <c r="D64" s="21" t="n">
        <f aca="false">a26_abf*ai_abf</f>
        <v>74.83672875</v>
      </c>
      <c r="K64" s="3" t="s">
        <v>636</v>
      </c>
    </row>
    <row r="65" customFormat="false" ht="17.15" hidden="false" customHeight="false" outlineLevel="0" collapsed="false">
      <c r="A65" s="3" t="s">
        <v>637</v>
      </c>
      <c r="B65" s="0" t="s">
        <v>303</v>
      </c>
      <c r="D65" s="21" t="n">
        <f aca="false">D64-D62</f>
        <v>49.178833981872</v>
      </c>
      <c r="E65" s="21" t="n">
        <f aca="false">$D65*(itc_27/itc_26)^el_o*1*0.8*E56*E57</f>
        <v>58.4514322752258</v>
      </c>
      <c r="F65" s="21" t="n">
        <f aca="false">$D65*(itc_28/itc_26)^el_o*um28_A*0.8*F56*F57</f>
        <v>62.519104447615</v>
      </c>
      <c r="G65" s="21" t="n">
        <f aca="false">$D65*(itc_29/itc_26)^el_o*um29_A*0.8*G56*G57</f>
        <v>63.215511077996</v>
      </c>
      <c r="K65" s="7" t="s">
        <v>638</v>
      </c>
    </row>
    <row r="66" customFormat="false" ht="17.15" hidden="false" customHeight="false" outlineLevel="0" collapsed="false">
      <c r="A66" s="3" t="s">
        <v>639</v>
      </c>
      <c r="B66" s="0" t="s">
        <v>303</v>
      </c>
      <c r="D66" s="21" t="n">
        <f aca="false">a26_abf-D64</f>
        <v>24.94557625</v>
      </c>
      <c r="E66" s="21" t="n">
        <f aca="false">D66*(1+g_nai)</f>
        <v>25.6939435375</v>
      </c>
      <c r="F66" s="21" t="n">
        <f aca="false">E66*(1+g_nai)</f>
        <v>26.464761843625</v>
      </c>
      <c r="G66" s="21" t="n">
        <f aca="false">F66*(1+g_nai)</f>
        <v>27.2587046989338</v>
      </c>
    </row>
    <row r="67" customFormat="false" ht="17.15" hidden="false" customHeight="false" outlineLevel="0" collapsed="false">
      <c r="A67" s="0" t="s">
        <v>640</v>
      </c>
      <c r="B67" s="0" t="s">
        <v>303</v>
      </c>
      <c r="D67" s="21" t="n">
        <f aca="false">D62+D65+D66</f>
        <v>99.782305</v>
      </c>
      <c r="E67" s="21" t="n">
        <f aca="false">E62+E65+E66</f>
        <v>125.742302060519</v>
      </c>
      <c r="F67" s="21" t="n">
        <f aca="false">F62+F65+F66</f>
        <v>143.392092654575</v>
      </c>
      <c r="G67" s="21" t="n">
        <f aca="false">G62+G65+G66</f>
        <v>161.859336658765</v>
      </c>
    </row>
    <row r="68" customFormat="false" ht="17.15" hidden="false" customHeight="false" outlineLevel="0" collapsed="false">
      <c r="A68" s="0" t="s">
        <v>641</v>
      </c>
      <c r="B68" s="0" t="s">
        <v>303</v>
      </c>
      <c r="D68" s="21" t="n">
        <f aca="false">a26_abf</f>
        <v>99.782305</v>
      </c>
      <c r="E68" s="21" t="n">
        <f aca="false">$D67*cap_27*(1+g_mix)^1*E56*E57</f>
        <v>148.513488204375</v>
      </c>
      <c r="F68" s="21" t="n">
        <f aca="false">$D67*cap_28*(1+g_mix)^2*F56*F57</f>
        <v>186.549442683384</v>
      </c>
      <c r="G68" s="21" t="n">
        <f aca="false">$D67*cap_29*(1+g_mix)^3*G56*G57</f>
        <v>218.314827660431</v>
      </c>
      <c r="K68" s="7" t="s">
        <v>642</v>
      </c>
    </row>
    <row r="69" customFormat="false" ht="17.15" hidden="false" customHeight="false" outlineLevel="0" collapsed="false">
      <c r="A69" s="0" t="s">
        <v>643</v>
      </c>
      <c r="B69" s="0" t="s">
        <v>303</v>
      </c>
      <c r="D69" s="21" t="n">
        <f aca="false">a26_abf</f>
        <v>99.782305</v>
      </c>
      <c r="E69" s="21" t="n">
        <f aca="false">MIN(E67,E68)</f>
        <v>125.742302060519</v>
      </c>
      <c r="F69" s="21" t="n">
        <f aca="false">MIN(F67,F68)</f>
        <v>143.392092654575</v>
      </c>
      <c r="G69" s="21" t="n">
        <f aca="false">MIN(G67,G68)</f>
        <v>161.859336658765</v>
      </c>
    </row>
    <row r="70" customFormat="false" ht="17.15" hidden="false" customHeight="false" outlineLevel="0" collapsed="false">
      <c r="A70" s="3" t="s">
        <v>644</v>
      </c>
      <c r="B70" s="0" t="s">
        <v>45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645</v>
      </c>
      <c r="B71" s="0" t="s">
        <v>303</v>
      </c>
      <c r="D71" s="21" t="n">
        <f aca="false">(D62+D65)*D70</f>
        <v>74.83672875</v>
      </c>
      <c r="E71" s="21" t="n">
        <f aca="false">(E62+E65)*E70</f>
        <v>100.048358523019</v>
      </c>
      <c r="F71" s="21" t="n">
        <f aca="false">(F62+F65)*F70</f>
        <v>116.92733081095</v>
      </c>
      <c r="G71" s="21" t="n">
        <f aca="false">(G62+G65)*G70</f>
        <v>134.600631959831</v>
      </c>
    </row>
    <row r="72" customFormat="false" ht="17.15" hidden="false" customHeight="false" outlineLevel="0" collapsed="false">
      <c r="A72" s="3" t="s">
        <v>646</v>
      </c>
      <c r="B72" s="0" t="s">
        <v>45</v>
      </c>
      <c r="D72" s="20" t="n">
        <f aca="false">D62/(D62+D65)</f>
        <v>0.342851634440636</v>
      </c>
      <c r="E72" s="20" t="n">
        <f aca="false">E62/(E62+E65)</f>
        <v>0.41576820311572</v>
      </c>
      <c r="F72" s="20" t="n">
        <f aca="false">F62/(F62+F65)</f>
        <v>0.465316585831444</v>
      </c>
      <c r="G72" s="20" t="n">
        <f aca="false">G62/(G62+G65)</f>
        <v>0.530347590813235</v>
      </c>
    </row>
    <row r="73" customFormat="false" ht="17.15" hidden="false" customHeight="false" outlineLevel="0" collapsed="false">
      <c r="A73" s="5" t="s">
        <v>647</v>
      </c>
    </row>
    <row r="74" customFormat="false" ht="17.15" hidden="false" customHeight="false" outlineLevel="0" collapsed="false">
      <c r="A74" s="0" t="s">
        <v>550</v>
      </c>
      <c r="B74" s="0" t="s">
        <v>303</v>
      </c>
      <c r="D74" s="21" t="n">
        <f aca="false">a26_bt</f>
        <v>16.944165</v>
      </c>
      <c r="E74" s="21" t="n">
        <f aca="false">D74*(1+g_bt)</f>
        <v>17.79137325</v>
      </c>
      <c r="F74" s="21" t="n">
        <f aca="false">E74*(1+g_bt)</f>
        <v>18.6809419125</v>
      </c>
      <c r="G74" s="21" t="n">
        <f aca="false">F74*(1+g_bt)</f>
        <v>19.614989008125</v>
      </c>
    </row>
    <row r="75" customFormat="false" ht="17.15" hidden="false" customHeight="false" outlineLevel="0" collapsed="false">
      <c r="A75" s="0" t="s">
        <v>648</v>
      </c>
      <c r="B75" s="0" t="s">
        <v>303</v>
      </c>
      <c r="D75" s="21" t="n">
        <f aca="false">a26_pcb*ai_pcb</f>
        <v>37.93610275</v>
      </c>
      <c r="E75" s="21" t="n">
        <f aca="false">D75*(1+g_pai_27)</f>
        <v>45.5233233</v>
      </c>
      <c r="F75" s="21" t="n">
        <f aca="false">D75*(1+g_pai_27)*(1+g_pai_28)*um28_A</f>
        <v>52.351821795</v>
      </c>
      <c r="G75" s="21" t="n">
        <f aca="false">D75*(1+g_pai_27)*(1+g_pai_28)*(1+g_pai_29)*um29_A</f>
        <v>57.5870039745</v>
      </c>
      <c r="K75" s="3" t="s">
        <v>649</v>
      </c>
    </row>
    <row r="76" customFormat="false" ht="17.15" hidden="false" customHeight="false" outlineLevel="0" collapsed="false">
      <c r="A76" s="3" t="s">
        <v>650</v>
      </c>
      <c r="B76" s="0" t="s">
        <v>303</v>
      </c>
      <c r="D76" s="21" t="n">
        <f aca="false">a26_pcb*(1-ai_pcb)</f>
        <v>20.42713225</v>
      </c>
      <c r="E76" s="21" t="n">
        <f aca="false">D76*(1+g_pcbn)</f>
        <v>20.835674895</v>
      </c>
      <c r="F76" s="21" t="n">
        <f aca="false">E76*(1+g_pcbn)</f>
        <v>21.2523883929</v>
      </c>
      <c r="G76" s="21" t="n">
        <f aca="false">F76*(1+g_pcbn)</f>
        <v>21.677436160758</v>
      </c>
    </row>
    <row r="77" customFormat="false" ht="15" hidden="false" customHeight="false" outlineLevel="0" collapsed="false">
      <c r="A77" s="3" t="s">
        <v>552</v>
      </c>
      <c r="B77" s="0" t="s">
        <v>303</v>
      </c>
      <c r="D77" s="21" t="n">
        <f aca="false">a26_fpc</f>
        <v>13.178795</v>
      </c>
      <c r="E77" s="21" t="n">
        <f aca="false">D77*(1+g_fpc)</f>
        <v>13.178795</v>
      </c>
      <c r="F77" s="21" t="n">
        <f aca="false">E77*(1+g_fpc)</f>
        <v>13.178795</v>
      </c>
      <c r="G77" s="21" t="n">
        <f aca="false">F77*(1+g_fpc)</f>
        <v>13.178795</v>
      </c>
    </row>
    <row r="78" customFormat="false" ht="17.15" hidden="false" customHeight="false" outlineLevel="0" collapsed="false">
      <c r="A78" s="3" t="s">
        <v>651</v>
      </c>
      <c r="B78" s="0" t="s">
        <v>303</v>
      </c>
      <c r="D78" s="21" t="n">
        <f aca="false">D69+D74</f>
        <v>116.72647</v>
      </c>
      <c r="E78" s="21" t="n">
        <f aca="false">E69+E74</f>
        <v>143.533675310519</v>
      </c>
      <c r="F78" s="21" t="n">
        <f aca="false">F69+F74</f>
        <v>162.073034567075</v>
      </c>
      <c r="G78" s="21" t="n">
        <f aca="false">G69+G74</f>
        <v>181.47432566689</v>
      </c>
      <c r="K78" s="3" t="s">
        <v>652</v>
      </c>
    </row>
    <row r="79" customFormat="false" ht="17.15" hidden="false" customHeight="false" outlineLevel="0" collapsed="false">
      <c r="A79" s="0" t="s">
        <v>653</v>
      </c>
      <c r="B79" s="0" t="s">
        <v>303</v>
      </c>
      <c r="D79" s="21" t="n">
        <f aca="false">D75+D76</f>
        <v>58.363235</v>
      </c>
      <c r="E79" s="21" t="n">
        <f aca="false">E75+E76</f>
        <v>66.358998195</v>
      </c>
      <c r="F79" s="21" t="n">
        <f aca="false">F75+F76</f>
        <v>73.6042101879</v>
      </c>
      <c r="G79" s="21" t="n">
        <f aca="false">G75+G76</f>
        <v>79.264440135258</v>
      </c>
      <c r="K79" s="3" t="s">
        <v>654</v>
      </c>
    </row>
    <row r="80" customFormat="false" ht="17.15" hidden="false" customHeight="false" outlineLevel="0" collapsed="false">
      <c r="A80" s="3" t="s">
        <v>515</v>
      </c>
      <c r="B80" s="0" t="s">
        <v>303</v>
      </c>
      <c r="C80" s="23" t="n">
        <f aca="false">a25_rev</f>
        <v>131.241</v>
      </c>
      <c r="D80" s="23" t="n">
        <f aca="false">D78+D79+D77</f>
        <v>188.2685</v>
      </c>
      <c r="E80" s="23" t="n">
        <f aca="false">E78+E79+E77</f>
        <v>223.071468505519</v>
      </c>
      <c r="F80" s="23" t="n">
        <f aca="false">F78+F79+F77</f>
        <v>248.856039754975</v>
      </c>
      <c r="G80" s="23" t="n">
        <f aca="false">G78+G79+G77</f>
        <v>273.917560802148</v>
      </c>
      <c r="H80" s="25" t="n">
        <f aca="false">G80*(1+H82)</f>
        <v>297.786171495096</v>
      </c>
      <c r="I80" s="25" t="n">
        <f aca="false">H80*(1+I82)</f>
        <v>319.693992713652</v>
      </c>
      <c r="J80" s="25" t="n">
        <f aca="false">I80*(1+J82)</f>
        <v>338.875632276471</v>
      </c>
      <c r="K80" s="7" t="s">
        <v>655</v>
      </c>
    </row>
    <row r="81" customFormat="false" ht="17.15" hidden="false" customHeight="false" outlineLevel="0" collapsed="false">
      <c r="A81" s="3" t="s">
        <v>656</v>
      </c>
      <c r="B81" s="0" t="s">
        <v>303</v>
      </c>
      <c r="D81" s="19" t="n">
        <f aca="false">D78+D79+D77-D80</f>
        <v>0</v>
      </c>
      <c r="E81" s="19" t="n">
        <f aca="false">E78+E79+E77-E80</f>
        <v>0</v>
      </c>
      <c r="F81" s="19" t="n">
        <f aca="false">F78+F79+F77-F80</f>
        <v>0</v>
      </c>
      <c r="G81" s="19" t="n">
        <f aca="false">G78+G79+G77-G80</f>
        <v>0</v>
      </c>
    </row>
    <row r="82" customFormat="false" ht="15" hidden="false" customHeight="false" outlineLevel="0" collapsed="false">
      <c r="A82" s="3" t="s">
        <v>657</v>
      </c>
      <c r="B82" s="0" t="s">
        <v>45</v>
      </c>
      <c r="D82" s="20" t="n">
        <f aca="false">D80/C80-1</f>
        <v>0.434525034097576</v>
      </c>
      <c r="E82" s="20" t="n">
        <f aca="false">E80/D80-1</f>
        <v>0.184858160050771</v>
      </c>
      <c r="F82" s="20" t="n">
        <f aca="false">F80/E80-1</f>
        <v>0.115588835372815</v>
      </c>
      <c r="G82" s="20" t="n">
        <f aca="false">G80/F80-1</f>
        <v>0.100706902962246</v>
      </c>
      <c r="H82" s="26" t="n">
        <f aca="false">$G82+(fade_gA-$G82)*1/3</f>
        <v>0.0871379353081642</v>
      </c>
      <c r="I82" s="26" t="n">
        <f aca="false">$G82+(fade_gA-$G82)*2/3</f>
        <v>0.0735689676540821</v>
      </c>
      <c r="J82" s="26" t="n">
        <f aca="false">$G82+(fade_gA-$G82)*3/3</f>
        <v>0.06</v>
      </c>
    </row>
    <row r="83" customFormat="false" ht="17.15" hidden="false" customHeight="false" outlineLevel="0" collapsed="false">
      <c r="A83" s="0" t="s">
        <v>658</v>
      </c>
      <c r="B83" s="0" t="s">
        <v>45</v>
      </c>
      <c r="D83" s="20" t="n">
        <f aca="false">D69/D80</f>
        <v>0.53</v>
      </c>
      <c r="E83" s="20" t="n">
        <f aca="false">E69/E80</f>
        <v>0.563686171534787</v>
      </c>
      <c r="F83" s="20" t="n">
        <f aca="false">F69/F80</f>
        <v>0.576204993038383</v>
      </c>
      <c r="G83" s="20" t="n">
        <f aca="false">G69/G80</f>
        <v>0.590905293493311</v>
      </c>
    </row>
    <row r="84" customFormat="false" ht="17.15" hidden="false" customHeight="false" outlineLevel="0" collapsed="false">
      <c r="A84" s="0" t="s">
        <v>659</v>
      </c>
      <c r="B84" s="0" t="s">
        <v>45</v>
      </c>
      <c r="D84" s="20" t="n">
        <f aca="false">(D71+D75)/D80</f>
        <v>0.599</v>
      </c>
      <c r="E84" s="20" t="n">
        <f aca="false">(E71+E75)/E80</f>
        <v>0.652578668165343</v>
      </c>
      <c r="F84" s="20" t="n">
        <f aca="false">(F71+F75)/F80</f>
        <v>0.68022923121586</v>
      </c>
      <c r="G84" s="20" t="n">
        <f aca="false">(G71+G75)/G80</f>
        <v>0.701625829945052</v>
      </c>
      <c r="K84" s="3" t="s">
        <v>660</v>
      </c>
    </row>
    <row r="85" customFormat="false" ht="17.15" hidden="false" customHeight="false" outlineLevel="0" collapsed="false">
      <c r="A85" s="5" t="s">
        <v>661</v>
      </c>
    </row>
    <row r="86" customFormat="false" ht="15" hidden="false" customHeight="false" outlineLevel="0" collapsed="false">
      <c r="A86" s="3" t="s">
        <v>662</v>
      </c>
      <c r="B86" s="0" t="s">
        <v>303</v>
      </c>
      <c r="C86" s="23" t="n">
        <f aca="false">a25_cx</f>
        <v>25.617</v>
      </c>
      <c r="D86" s="23" t="n">
        <f aca="false">capex26</f>
        <v>53.7</v>
      </c>
      <c r="E86" s="23" t="n">
        <f aca="false">cx27_A</f>
        <v>55</v>
      </c>
      <c r="F86" s="23" t="n">
        <f aca="false">cx28_A</f>
        <v>50</v>
      </c>
      <c r="G86" s="23" t="n">
        <f aca="false">cx29_A</f>
        <v>45</v>
      </c>
      <c r="H86" s="25" t="n">
        <f aca="false">H80*H103</f>
        <v>45.8998692204089</v>
      </c>
      <c r="I86" s="25" t="n">
        <f aca="false">I80*I103</f>
        <v>46.0330606380365</v>
      </c>
      <c r="J86" s="25" t="n">
        <f aca="false">J80*J103</f>
        <v>45.356812825361</v>
      </c>
    </row>
    <row r="87" customFormat="false" ht="17.15" hidden="false" customHeight="false" outlineLevel="0" collapsed="false">
      <c r="A87" s="3" t="s">
        <v>663</v>
      </c>
      <c r="B87" s="0" t="s">
        <v>303</v>
      </c>
      <c r="C87" s="23" t="n">
        <f aca="false">a25_da</f>
        <v>18.8</v>
      </c>
      <c r="D87" s="23" t="n">
        <f aca="false">da26</f>
        <v>20.8</v>
      </c>
      <c r="E87" s="23" t="n">
        <f aca="false">D87*(1-1/life)+D86/life</f>
        <v>24.9125</v>
      </c>
      <c r="F87" s="23" t="n">
        <f aca="false">E87*(1-1/life)+E86/life</f>
        <v>28.6734375</v>
      </c>
      <c r="G87" s="23" t="n">
        <f aca="false">F87*(1-1/life)+F86/life</f>
        <v>31.3392578125</v>
      </c>
      <c r="H87" s="25" t="n">
        <f aca="false">H80*H88</f>
        <v>34.0700960323715</v>
      </c>
      <c r="I87" s="25" t="n">
        <f aca="false">I80*I88</f>
        <v>36.5765978253485</v>
      </c>
      <c r="J87" s="25" t="n">
        <f aca="false">J80*J88</f>
        <v>38.7711936948694</v>
      </c>
      <c r="K87" s="3" t="s">
        <v>664</v>
      </c>
    </row>
    <row r="88" customFormat="false" ht="17.15" hidden="false" customHeight="false" outlineLevel="0" collapsed="false">
      <c r="A88" s="3" t="s">
        <v>665</v>
      </c>
      <c r="B88" s="0" t="s">
        <v>45</v>
      </c>
      <c r="C88" s="20" t="n">
        <f aca="false">C87/C80</f>
        <v>0.143247917952469</v>
      </c>
      <c r="D88" s="20" t="n">
        <f aca="false">D87/D80</f>
        <v>0.110480510547436</v>
      </c>
      <c r="E88" s="20" t="n">
        <f aca="false">E87/E80</f>
        <v>0.111679454871136</v>
      </c>
      <c r="F88" s="20" t="n">
        <f aca="false">F87/F80</f>
        <v>0.1152209828953</v>
      </c>
      <c r="G88" s="20" t="n">
        <f aca="false">G87/G80</f>
        <v>0.114411276592582</v>
      </c>
      <c r="H88" s="26" t="n">
        <f aca="false">$G88</f>
        <v>0.114411276592582</v>
      </c>
      <c r="I88" s="26" t="n">
        <f aca="false">$G88</f>
        <v>0.114411276592582</v>
      </c>
      <c r="J88" s="26" t="n">
        <f aca="false">$G88</f>
        <v>0.114411276592582</v>
      </c>
    </row>
    <row r="89" customFormat="false" ht="17.15" hidden="false" customHeight="false" outlineLevel="0" collapsed="false">
      <c r="A89" s="3" t="s">
        <v>666</v>
      </c>
      <c r="B89" s="0" t="s">
        <v>303</v>
      </c>
      <c r="E89" s="21" t="n">
        <f aca="false">E71*(1-1/(E56*E57))</f>
        <v>4.76420754871517</v>
      </c>
      <c r="F89" s="21" t="n">
        <f aca="false">F71*(1-1/(F56*F57))</f>
        <v>-0.293050954413428</v>
      </c>
      <c r="G89" s="21" t="n">
        <f aca="false">G71*(1-1/(G56*G57))</f>
        <v>-7.83389921459336</v>
      </c>
      <c r="K89" s="7" t="s">
        <v>667</v>
      </c>
    </row>
    <row r="90" customFormat="false" ht="17.15" hidden="false" customHeight="false" outlineLevel="0" collapsed="false">
      <c r="A90" s="3" t="s">
        <v>668</v>
      </c>
      <c r="B90" s="0" t="s">
        <v>303</v>
      </c>
      <c r="C90" s="21" t="n">
        <f aca="false">a25_gp</f>
        <v>18.292</v>
      </c>
      <c r="D90" s="21" t="n">
        <f aca="false">a26_gp</f>
        <v>47.3329657</v>
      </c>
      <c r="E90" s="21" t="n">
        <f aca="false">$D90+ft_abf*(E69-E89-$D69)+ft_oth*((E80-E69)-($D80-$D69))+E89-(E87-$D87)</f>
        <v>60.7933108658669</v>
      </c>
      <c r="F90" s="21" t="n">
        <f aca="false">$D90+ft_abf*(F69-F89-$D69)+ft_oth*((F80-F69)-($D80-$D69))+F89-(F87-$D87)</f>
        <v>65.3623345751808</v>
      </c>
      <c r="G90" s="21" t="n">
        <f aca="false">$D90+ft_abf*(G69-G89-$D69)+ft_oth*((G80-G69)-($D80-$D69))+G89-(G87-$D87)</f>
        <v>69.8082813954317</v>
      </c>
      <c r="K90" s="3" t="s">
        <v>669</v>
      </c>
    </row>
    <row r="91" customFormat="false" ht="15" hidden="false" customHeight="false" outlineLevel="0" collapsed="false">
      <c r="A91" s="3" t="s">
        <v>522</v>
      </c>
      <c r="B91" s="0" t="s">
        <v>45</v>
      </c>
      <c r="C91" s="13" t="n">
        <f aca="false">C90/C80</f>
        <v>0.139377176339711</v>
      </c>
      <c r="D91" s="13" t="n">
        <f aca="false">D90/D80</f>
        <v>0.251412029627899</v>
      </c>
      <c r="E91" s="13" t="n">
        <f aca="false">E90/E80</f>
        <v>0.272528402099809</v>
      </c>
      <c r="F91" s="13" t="n">
        <f aca="false">F90/F80</f>
        <v>0.262651188371948</v>
      </c>
      <c r="G91" s="13" t="n">
        <f aca="false">G90/G80</f>
        <v>0.25485142752806</v>
      </c>
    </row>
    <row r="92" customFormat="false" ht="15" hidden="false" customHeight="false" outlineLevel="0" collapsed="false">
      <c r="A92" s="3" t="s">
        <v>524</v>
      </c>
      <c r="B92" s="0" t="s">
        <v>303</v>
      </c>
      <c r="C92" s="21" t="n">
        <f aca="false">a25_opx</f>
        <v>11.618</v>
      </c>
      <c r="D92" s="21" t="n">
        <f aca="false">a26_opx</f>
        <v>16.6539532</v>
      </c>
      <c r="E92" s="21" t="n">
        <f aca="false">D92*(1+phi*E82)</f>
        <v>18.5011246876742</v>
      </c>
      <c r="F92" s="21" t="n">
        <f aca="false">E92*(1+phi*F82)</f>
        <v>19.7842387611155</v>
      </c>
      <c r="G92" s="21" t="n">
        <f aca="false">F92*(1+phi*G82)</f>
        <v>20.979684408974</v>
      </c>
    </row>
    <row r="93" customFormat="false" ht="15" hidden="false" customHeight="false" outlineLevel="0" collapsed="false">
      <c r="A93" s="3" t="s">
        <v>527</v>
      </c>
      <c r="B93" s="0" t="s">
        <v>303</v>
      </c>
      <c r="C93" s="21" t="n">
        <f aca="false">C90-C92</f>
        <v>6.674</v>
      </c>
      <c r="D93" s="21" t="n">
        <f aca="false">D90-D92</f>
        <v>30.6790125</v>
      </c>
      <c r="E93" s="21" t="n">
        <f aca="false">E90-E92</f>
        <v>42.2921861781927</v>
      </c>
      <c r="F93" s="21" t="n">
        <f aca="false">F90-F92</f>
        <v>45.5780958140653</v>
      </c>
      <c r="G93" s="21" t="n">
        <f aca="false">G90-G92</f>
        <v>48.8285969864576</v>
      </c>
    </row>
    <row r="94" customFormat="false" ht="15" hidden="false" customHeight="false" outlineLevel="0" collapsed="false">
      <c r="A94" s="3" t="s">
        <v>605</v>
      </c>
      <c r="B94" s="0" t="s">
        <v>45</v>
      </c>
      <c r="C94" s="13" t="n">
        <f aca="false">C93/C80</f>
        <v>0.0508530108731265</v>
      </c>
      <c r="D94" s="13" t="n">
        <f aca="false">D93/D80</f>
        <v>0.162953507888999</v>
      </c>
      <c r="E94" s="13" t="n">
        <f aca="false">E93/E80</f>
        <v>0.189590297950392</v>
      </c>
      <c r="F94" s="13" t="n">
        <f aca="false">F93/F80</f>
        <v>0.183150450593611</v>
      </c>
      <c r="G94" s="13" t="n">
        <f aca="false">G93/G80</f>
        <v>0.178260192020791</v>
      </c>
    </row>
    <row r="95" customFormat="false" ht="17.15" hidden="false" customHeight="false" outlineLevel="0" collapsed="false">
      <c r="A95" s="3" t="s">
        <v>670</v>
      </c>
      <c r="B95" s="0" t="s">
        <v>303</v>
      </c>
      <c r="C95" s="21" t="n">
        <f aca="false">a25_nonop</f>
        <v>-0.00100000000000033</v>
      </c>
      <c r="D95" s="21" t="n">
        <f aca="false">a26_nonop</f>
        <v>14.466</v>
      </c>
      <c r="E95" s="21" t="n">
        <f aca="false">nonop27</f>
        <v>2</v>
      </c>
      <c r="F95" s="21" t="n">
        <f aca="false">nonop28</f>
        <v>2</v>
      </c>
      <c r="G95" s="21" t="n">
        <f aca="false">nonop29</f>
        <v>2</v>
      </c>
      <c r="K95" s="7" t="s">
        <v>671</v>
      </c>
    </row>
    <row r="96" customFormat="false" ht="15" hidden="false" customHeight="false" outlineLevel="0" collapsed="false">
      <c r="A96" s="3" t="s">
        <v>533</v>
      </c>
      <c r="B96" s="0" t="s">
        <v>303</v>
      </c>
      <c r="C96" s="21" t="n">
        <f aca="false">C93+C95</f>
        <v>6.673</v>
      </c>
      <c r="D96" s="21" t="n">
        <f aca="false">D93+D95</f>
        <v>45.1450125</v>
      </c>
      <c r="E96" s="21" t="n">
        <f aca="false">E93+E95</f>
        <v>44.2921861781927</v>
      </c>
      <c r="F96" s="21" t="n">
        <f aca="false">F93+F95</f>
        <v>47.5780958140653</v>
      </c>
      <c r="G96" s="21" t="n">
        <f aca="false">G93+G95</f>
        <v>50.8285969864576</v>
      </c>
    </row>
    <row r="97" customFormat="false" ht="15" hidden="false" customHeight="false" outlineLevel="0" collapsed="false">
      <c r="A97" s="3" t="s">
        <v>537</v>
      </c>
      <c r="B97" s="0" t="s">
        <v>303</v>
      </c>
      <c r="E97" s="21" t="n">
        <f aca="false">E96*tax</f>
        <v>7.97259351207468</v>
      </c>
      <c r="F97" s="21" t="n">
        <f aca="false">F96*tax</f>
        <v>8.56405724653176</v>
      </c>
      <c r="G97" s="21" t="n">
        <f aca="false">G96*tax</f>
        <v>9.14914745756238</v>
      </c>
    </row>
    <row r="98" customFormat="false" ht="15" hidden="false" customHeight="false" outlineLevel="0" collapsed="false">
      <c r="A98" s="3" t="s">
        <v>535</v>
      </c>
      <c r="B98" s="0" t="s">
        <v>303</v>
      </c>
      <c r="C98" s="21" t="n">
        <f aca="false">a25_ni</f>
        <v>6.673</v>
      </c>
      <c r="D98" s="21" t="n">
        <f aca="false">a26_ni</f>
        <v>37.23923025</v>
      </c>
      <c r="E98" s="21" t="n">
        <f aca="false">E96-E97</f>
        <v>36.319592666118</v>
      </c>
      <c r="F98" s="21" t="n">
        <f aca="false">F96-F97</f>
        <v>39.0140385675336</v>
      </c>
      <c r="G98" s="21" t="n">
        <f aca="false">G96-G97</f>
        <v>41.6794495288953</v>
      </c>
      <c r="H98" s="30" t="n">
        <f aca="false">H80*H102</f>
        <v>47.4200290897389</v>
      </c>
      <c r="I98" s="30" t="n">
        <f aca="false">I80*I102</f>
        <v>53.1725262947048</v>
      </c>
      <c r="J98" s="30" t="n">
        <f aca="false">J80*J102</f>
        <v>58.7625637682168</v>
      </c>
    </row>
    <row r="99" customFormat="false" ht="15" hidden="false" customHeight="false" outlineLevel="0" collapsed="false">
      <c r="A99" s="3" t="s">
        <v>672</v>
      </c>
      <c r="B99" s="3" t="s">
        <v>381</v>
      </c>
      <c r="C99" s="29" t="n">
        <f aca="false">a25_sh</f>
        <v>1.52351598173516</v>
      </c>
      <c r="D99" s="29" t="n">
        <f aca="false">a26_sh</f>
        <v>1.59236316568047</v>
      </c>
      <c r="E99" s="29" t="n">
        <f aca="false">a26_shend*(1+sh_g)</f>
        <v>1.64</v>
      </c>
      <c r="F99" s="29" t="n">
        <f aca="false">E99*(1+sh_g)</f>
        <v>1.64</v>
      </c>
      <c r="G99" s="29" t="n">
        <f aca="false">F99*(1+sh_g)</f>
        <v>1.64</v>
      </c>
      <c r="H99" s="31" t="n">
        <f aca="false">G99*(1+sh_g)</f>
        <v>1.64</v>
      </c>
      <c r="I99" s="31" t="n">
        <f aca="false">H99*(1+sh_g)</f>
        <v>1.64</v>
      </c>
      <c r="J99" s="31" t="n">
        <f aca="false">I99*(1+sh_g)</f>
        <v>1.64</v>
      </c>
    </row>
    <row r="100" customFormat="false" ht="17.15" hidden="false" customHeight="false" outlineLevel="0" collapsed="false">
      <c r="A100" s="0" t="s">
        <v>540</v>
      </c>
      <c r="B100" s="0" t="s">
        <v>387</v>
      </c>
      <c r="C100" s="18" t="n">
        <f aca="false">C98/C99</f>
        <v>4.38</v>
      </c>
      <c r="D100" s="18" t="n">
        <f aca="false">D98/D99</f>
        <v>23.3861414610695</v>
      </c>
      <c r="E100" s="18" t="n">
        <f aca="false">E98/E99</f>
        <v>22.1460930890963</v>
      </c>
      <c r="F100" s="18" t="n">
        <f aca="false">F98/F99</f>
        <v>23.7890479070327</v>
      </c>
      <c r="G100" s="18" t="n">
        <f aca="false">G98/G99</f>
        <v>25.4142984932288</v>
      </c>
      <c r="H100" s="28" t="n">
        <f aca="false">H98/H99</f>
        <v>28.9146518839871</v>
      </c>
      <c r="I100" s="28" t="n">
        <f aca="false">I98/I99</f>
        <v>32.4222721309176</v>
      </c>
      <c r="J100" s="28" t="n">
        <f aca="false">J98/J99</f>
        <v>35.8308315659859</v>
      </c>
    </row>
    <row r="101" customFormat="false" ht="17.15" hidden="false" customHeight="false" outlineLevel="0" collapsed="false">
      <c r="A101" s="0" t="s">
        <v>673</v>
      </c>
      <c r="B101" s="0" t="s">
        <v>45</v>
      </c>
      <c r="D101" s="20" t="n">
        <f aca="false">D100/C100-1</f>
        <v>4.33930170344053</v>
      </c>
      <c r="E101" s="20" t="n">
        <f aca="false">E100/D100-1</f>
        <v>-0.0530249239293048</v>
      </c>
      <c r="F101" s="20" t="n">
        <f aca="false">F100/E100-1</f>
        <v>0.074187117850834</v>
      </c>
      <c r="G101" s="20" t="n">
        <f aca="false">G100/F100-1</f>
        <v>0.0683192783732924</v>
      </c>
      <c r="H101" s="26" t="n">
        <f aca="false">H100/G100-1</f>
        <v>0.137731654945774</v>
      </c>
      <c r="I101" s="26" t="n">
        <f aca="false">I100/H100-1</f>
        <v>0.121309440660186</v>
      </c>
      <c r="J101" s="26" t="n">
        <f aca="false">J100/I100-1</f>
        <v>0.105130184007615</v>
      </c>
    </row>
    <row r="102" customFormat="false" ht="17.15" hidden="false" customHeight="false" outlineLevel="0" collapsed="false">
      <c r="A102" s="3" t="s">
        <v>674</v>
      </c>
      <c r="B102" s="0" t="s">
        <v>45</v>
      </c>
      <c r="C102" s="13" t="n">
        <f aca="false">C98/C80</f>
        <v>0.0508453913030227</v>
      </c>
      <c r="D102" s="13" t="n">
        <f aca="false">D98/D80</f>
        <v>0.197798517808343</v>
      </c>
      <c r="E102" s="13" t="n">
        <f aca="false">E98/E80</f>
        <v>0.162815948222529</v>
      </c>
      <c r="F102" s="13" t="n">
        <f aca="false">F98/F80</f>
        <v>0.15677352499038</v>
      </c>
      <c r="G102" s="13" t="n">
        <f aca="false">G98/G80</f>
        <v>0.152160560304494</v>
      </c>
      <c r="H102" s="27" t="n">
        <f aca="false">$G102+(fade_mA-$G102)*1/3</f>
        <v>0.159241877658915</v>
      </c>
      <c r="I102" s="27" t="n">
        <f aca="false">$G102+(fade_mA-$G102)*2/3</f>
        <v>0.166323195013336</v>
      </c>
      <c r="J102" s="27" t="n">
        <f aca="false">$G102+(fade_mA-$G102)*3/3</f>
        <v>0.173404512367757</v>
      </c>
    </row>
    <row r="103" customFormat="false" ht="17.15" hidden="false" customHeight="false" outlineLevel="0" collapsed="false">
      <c r="A103" s="3" t="s">
        <v>675</v>
      </c>
      <c r="B103" s="0" t="s">
        <v>45</v>
      </c>
      <c r="C103" s="20" t="n">
        <f aca="false">C86/C80</f>
        <v>0.195190527350447</v>
      </c>
      <c r="D103" s="20" t="n">
        <f aca="false">D86/D80</f>
        <v>0.285230933480641</v>
      </c>
      <c r="E103" s="20" t="n">
        <f aca="false">E86/E80</f>
        <v>0.246557752851479</v>
      </c>
      <c r="F103" s="20" t="n">
        <f aca="false">F86/F80</f>
        <v>0.200919375110326</v>
      </c>
      <c r="G103" s="20" t="n">
        <f aca="false">G86/G80</f>
        <v>0.1642830049604</v>
      </c>
      <c r="H103" s="26" t="n">
        <f aca="false">$G103+($G88*(1+tp_g)^(life/2)-$G103)*1/3</f>
        <v>0.15413700706772</v>
      </c>
      <c r="I103" s="26" t="n">
        <f aca="false">$G103+($G88*(1+tp_g)^(life/2)-$G103)*2/3</f>
        <v>0.14399100917504</v>
      </c>
      <c r="J103" s="26" t="n">
        <f aca="false">$G103+($G88*(1+tp_g)^(life/2)-$G103)*3/3</f>
        <v>0.13384501128236</v>
      </c>
      <c r="K103" s="7" t="s">
        <v>676</v>
      </c>
    </row>
    <row r="104" customFormat="false" ht="15" hidden="false" customHeight="false" outlineLevel="0" collapsed="false">
      <c r="A104" s="3" t="s">
        <v>677</v>
      </c>
      <c r="B104" s="0" t="s">
        <v>303</v>
      </c>
      <c r="E104" s="21" t="n">
        <f aca="false">E98+E87-E86</f>
        <v>6.23209266611799</v>
      </c>
      <c r="F104" s="21" t="n">
        <f aca="false">F98+F87-F86</f>
        <v>17.6874760675336</v>
      </c>
      <c r="G104" s="21" t="n">
        <f aca="false">G98+G87-G86</f>
        <v>28.0187073413953</v>
      </c>
      <c r="H104" s="30" t="n">
        <f aca="false">H98+H87-H86</f>
        <v>35.5902559017015</v>
      </c>
      <c r="I104" s="30" t="n">
        <f aca="false">I98+I87-I86</f>
        <v>43.7160634820168</v>
      </c>
      <c r="J104" s="30" t="n">
        <f aca="false">J98+J87-J86</f>
        <v>52.1769446377252</v>
      </c>
      <c r="K104" s="3" t="s">
        <v>678</v>
      </c>
    </row>
    <row r="105" customFormat="false" ht="15" hidden="false" customHeight="false" outlineLevel="0" collapsed="false">
      <c r="A105" s="3" t="s">
        <v>679</v>
      </c>
      <c r="B105" s="0" t="s">
        <v>387</v>
      </c>
      <c r="E105" s="18" t="n">
        <f aca="false">E104/E99</f>
        <v>3.80005650373048</v>
      </c>
      <c r="F105" s="18" t="n">
        <f aca="false">F104/F99</f>
        <v>10.7850463826424</v>
      </c>
      <c r="G105" s="18" t="n">
        <f aca="false">G104/G99</f>
        <v>17.0845776471922</v>
      </c>
      <c r="H105" s="28" t="n">
        <f aca="false">H104/H99</f>
        <v>21.701375549818</v>
      </c>
      <c r="I105" s="28" t="n">
        <f aca="false">I104/I99</f>
        <v>26.6561362695224</v>
      </c>
      <c r="J105" s="28" t="n">
        <f aca="false">J104/J99</f>
        <v>31.8152101449544</v>
      </c>
    </row>
    <row r="108" customFormat="false" ht="17.15" hidden="false" customHeight="false" outlineLevel="0" collapsed="false">
      <c r="A108" s="1" t="s">
        <v>1020</v>
      </c>
    </row>
    <row r="109" customFormat="false" ht="17.15" hidden="false" customHeight="false" outlineLevel="0" collapsed="false">
      <c r="A109" s="4" t="s">
        <v>22</v>
      </c>
      <c r="B109" s="4" t="s">
        <v>23</v>
      </c>
      <c r="C109" s="14" t="s">
        <v>508</v>
      </c>
      <c r="D109" s="14" t="s">
        <v>592</v>
      </c>
      <c r="E109" s="14" t="s">
        <v>593</v>
      </c>
      <c r="F109" s="14" t="s">
        <v>594</v>
      </c>
      <c r="G109" s="14" t="s">
        <v>595</v>
      </c>
      <c r="H109" s="14" t="s">
        <v>596</v>
      </c>
      <c r="I109" s="14" t="s">
        <v>597</v>
      </c>
      <c r="J109" s="14" t="s">
        <v>598</v>
      </c>
      <c r="K109" s="4" t="s">
        <v>481</v>
      </c>
    </row>
    <row r="110" customFormat="false" ht="17.15" hidden="false" customHeight="false" outlineLevel="0" collapsed="false">
      <c r="A110" s="5" t="s">
        <v>616</v>
      </c>
    </row>
    <row r="111" customFormat="false" ht="17.15" hidden="false" customHeight="false" outlineLevel="0" collapsed="false">
      <c r="A111" s="0" t="s">
        <v>617</v>
      </c>
      <c r="B111" s="3" t="s">
        <v>33</v>
      </c>
      <c r="D111" s="21" t="n">
        <f aca="false">(u_bw_26+u_rb_26+u_ru_26+u_hp_26)*1</f>
        <v>7.6</v>
      </c>
      <c r="E111" s="21" t="n">
        <f aca="false">(u_bw_27+u_rb_27+u_ru_27+u_hp_27)*1*1.2</f>
        <v>11.64</v>
      </c>
      <c r="F111" s="21" t="n">
        <f aca="false">(u_bw_28+u_rb_28+u_ru_28+u_hp_28)*um28_A*1.2</f>
        <v>11.4</v>
      </c>
      <c r="G111" s="21" t="n">
        <f aca="false">(u_bw_28*(1+g29_bw)+u_rb_28*(1+g29_rb)+u_ru_28*(1+g29_ru)+u_hp_28*(1+g29_hp))*um29_A*1.2</f>
        <v>12.72</v>
      </c>
      <c r="K111" s="7" t="s">
        <v>618</v>
      </c>
    </row>
    <row r="112" customFormat="false" ht="17.15" hidden="false" customHeight="false" outlineLevel="0" collapsed="false">
      <c r="A112" s="3" t="s">
        <v>619</v>
      </c>
      <c r="B112" s="3" t="s">
        <v>33</v>
      </c>
      <c r="D112" s="21" t="n">
        <f aca="false">(u_amd_26+u_tpu_26+u_trn_26+u_oth_26)*1</f>
        <v>7.6</v>
      </c>
      <c r="E112" s="21" t="n">
        <f aca="false">(u_amd_27+u_tpu_27+u_trn_27+u_oth_27)*1*1.2</f>
        <v>16.8</v>
      </c>
      <c r="F112" s="21" t="n">
        <f aca="false">(u_amd_28+u_tpu_28+u_trn_28+u_oth_28)*um28_A*1.2</f>
        <v>20.4</v>
      </c>
      <c r="G112" s="21" t="n">
        <f aca="false">(u_amd_28*(1+g29_amd)+u_tpu_28*(1+g29_tpu)+u_trn_28*(1+g29_trn)+u_oth_28*(1+g29_oth))*um29_A*1.2</f>
        <v>23.46</v>
      </c>
      <c r="K112" s="7" t="s">
        <v>620</v>
      </c>
    </row>
    <row r="113" customFormat="false" ht="17.15" hidden="false" customHeight="false" outlineLevel="0" collapsed="false">
      <c r="A113" s="3" t="s">
        <v>621</v>
      </c>
      <c r="B113" s="0" t="s">
        <v>145</v>
      </c>
      <c r="D113" s="19" t="n">
        <f aca="false">1</f>
        <v>1</v>
      </c>
      <c r="E113" s="19" t="n">
        <f aca="false">D113*(1+g_asp)</f>
        <v>1.18</v>
      </c>
      <c r="F113" s="19" t="n">
        <f aca="false">E113*(1+g_asp)</f>
        <v>1.3924</v>
      </c>
      <c r="G113" s="19" t="n">
        <f aca="false">F113*(1+g_asp)</f>
        <v>1.643032</v>
      </c>
      <c r="K113" s="7" t="s">
        <v>622</v>
      </c>
    </row>
    <row r="114" customFormat="false" ht="17.15" hidden="false" customHeight="false" outlineLevel="0" collapsed="false">
      <c r="A114" s="0" t="s">
        <v>623</v>
      </c>
      <c r="B114" s="0" t="s">
        <v>145</v>
      </c>
      <c r="D114" s="18" t="n">
        <f aca="false">1</f>
        <v>1</v>
      </c>
      <c r="E114" s="18" t="n">
        <f aca="false">ibpp_27</f>
        <v>1</v>
      </c>
      <c r="F114" s="18" t="n">
        <f aca="false">ibpp_28</f>
        <v>0.95</v>
      </c>
      <c r="G114" s="18" t="n">
        <f aca="false">ibpp_29</f>
        <v>0.9</v>
      </c>
      <c r="K114" s="7" t="s">
        <v>624</v>
      </c>
    </row>
    <row r="115" customFormat="false" ht="17.15" hidden="false" customHeight="false" outlineLevel="0" collapsed="false">
      <c r="A115" s="3" t="s">
        <v>625</v>
      </c>
      <c r="B115" s="0" t="s">
        <v>145</v>
      </c>
      <c r="D115" s="18" t="n">
        <f aca="false">1</f>
        <v>1</v>
      </c>
      <c r="E115" s="18" t="n">
        <f aca="false">1+carry</f>
        <v>1.05</v>
      </c>
      <c r="F115" s="18" t="n">
        <f aca="false">1+carry</f>
        <v>1.05</v>
      </c>
      <c r="G115" s="18" t="n">
        <f aca="false">1+carry</f>
        <v>1.05</v>
      </c>
      <c r="K115" s="7" t="s">
        <v>626</v>
      </c>
    </row>
    <row r="116" customFormat="false" ht="17.15" hidden="false" customHeight="false" outlineLevel="0" collapsed="false">
      <c r="A116" s="3" t="s">
        <v>627</v>
      </c>
      <c r="B116" s="0" t="s">
        <v>628</v>
      </c>
      <c r="D116" s="23" t="n">
        <f aca="false">v26*D113*D114</f>
        <v>215.308596</v>
      </c>
      <c r="E116" s="23" t="n">
        <f aca="false">v26*E113*E114</f>
        <v>254.06414328</v>
      </c>
      <c r="F116" s="23" t="n">
        <f aca="false">v26*F113*F114</f>
        <v>284.80590461688</v>
      </c>
      <c r="G116" s="23" t="n">
        <f aca="false">v26*G113*G114</f>
        <v>318.383021792765</v>
      </c>
      <c r="K116" s="7" t="s">
        <v>629</v>
      </c>
    </row>
    <row r="117" customFormat="false" ht="17.15" hidden="false" customHeight="false" outlineLevel="0" collapsed="false">
      <c r="A117" s="3" t="s">
        <v>630</v>
      </c>
      <c r="B117" s="0" t="s">
        <v>45</v>
      </c>
      <c r="D117" s="20" t="n">
        <f aca="false">sh_nv_26</f>
        <v>0.25</v>
      </c>
      <c r="E117" s="20" t="n">
        <f aca="false">sh_nv_27</f>
        <v>0.27</v>
      </c>
      <c r="F117" s="20" t="n">
        <f aca="false">sh_nv_28</f>
        <v>0.29</v>
      </c>
      <c r="G117" s="20" t="n">
        <f aca="false">sh_nv_29</f>
        <v>0.3</v>
      </c>
    </row>
    <row r="118" customFormat="false" ht="17.15" hidden="false" customHeight="false" outlineLevel="0" collapsed="false">
      <c r="A118" s="3" t="s">
        <v>631</v>
      </c>
      <c r="B118" s="0" t="s">
        <v>45</v>
      </c>
      <c r="D118" s="20" t="n">
        <f aca="false">sh_ot_26</f>
        <v>0.3</v>
      </c>
      <c r="E118" s="20" t="n">
        <f aca="false">sh_ot_27</f>
        <v>0.31</v>
      </c>
      <c r="F118" s="20" t="n">
        <f aca="false">sh_ot_28</f>
        <v>0.32</v>
      </c>
      <c r="G118" s="20" t="n">
        <f aca="false">sh_ot_29</f>
        <v>0.33</v>
      </c>
    </row>
    <row r="119" customFormat="false" ht="17.15" hidden="false" customHeight="false" outlineLevel="0" collapsed="false">
      <c r="A119" s="3" t="s">
        <v>632</v>
      </c>
      <c r="B119" s="0" t="s">
        <v>582</v>
      </c>
      <c r="D119" s="22" t="n">
        <f aca="false">(D111*D116*D117+D112*D116*v_ot*D118)*D115</f>
        <v>801.809211504</v>
      </c>
      <c r="E119" s="22" t="n">
        <f aca="false">(E111*E116*E117+E112*E116*v_ot*E118)*E115</f>
        <v>1949.85591786529</v>
      </c>
      <c r="F119" s="22" t="n">
        <f aca="false">(F111*F116*F117+F112*F116*v_ot*F118)*F115</f>
        <v>2550.38561078133</v>
      </c>
      <c r="G119" s="22" t="n">
        <f aca="false">(G111*G116*G117+G112*G116*v_ot*G118)*G115</f>
        <v>3346.17754133604</v>
      </c>
    </row>
    <row r="120" customFormat="false" ht="15" hidden="false" customHeight="false" outlineLevel="0" collapsed="false">
      <c r="A120" s="3" t="s">
        <v>633</v>
      </c>
      <c r="B120" s="0" t="s">
        <v>303</v>
      </c>
      <c r="D120" s="21" t="n">
        <f aca="false">D119*fx/1000</f>
        <v>25.657894768128</v>
      </c>
      <c r="E120" s="21" t="n">
        <f aca="false">E119*fx/1000</f>
        <v>62.3953893716891</v>
      </c>
      <c r="F120" s="21" t="n">
        <f aca="false">F119*fx/1000</f>
        <v>81.6123395450025</v>
      </c>
      <c r="G120" s="21" t="n">
        <f aca="false">G119*fx/1000</f>
        <v>107.077681322753</v>
      </c>
    </row>
    <row r="121" customFormat="false" ht="17.15" hidden="false" customHeight="false" outlineLevel="0" collapsed="false">
      <c r="A121" s="5" t="s">
        <v>634</v>
      </c>
    </row>
    <row r="122" customFormat="false" ht="17.15" hidden="false" customHeight="false" outlineLevel="0" collapsed="false">
      <c r="A122" s="0" t="s">
        <v>635</v>
      </c>
      <c r="B122" s="0" t="s">
        <v>303</v>
      </c>
      <c r="D122" s="21" t="n">
        <f aca="false">a26_abf*ai_abf</f>
        <v>74.83672875</v>
      </c>
      <c r="K122" s="3" t="s">
        <v>636</v>
      </c>
    </row>
    <row r="123" customFormat="false" ht="17.15" hidden="false" customHeight="false" outlineLevel="0" collapsed="false">
      <c r="A123" s="3" t="s">
        <v>637</v>
      </c>
      <c r="B123" s="0" t="s">
        <v>303</v>
      </c>
      <c r="D123" s="21" t="n">
        <f aca="false">D122-D120</f>
        <v>49.178833981872</v>
      </c>
      <c r="E123" s="21" t="n">
        <f aca="false">$D123*(itc_27/itc_26)^el_o*1*1.2*E114*E115</f>
        <v>87.6771484128386</v>
      </c>
      <c r="F123" s="21" t="n">
        <f aca="false">$D123*(itc_28/itc_26)^el_o*um28_A*1.2*F114*F115</f>
        <v>93.7786566714225</v>
      </c>
      <c r="G123" s="21" t="n">
        <f aca="false">$D123*(itc_29/itc_26)^el_o*um29_A*1.2*G114*G115</f>
        <v>94.8232666169939</v>
      </c>
      <c r="K123" s="7" t="s">
        <v>638</v>
      </c>
    </row>
    <row r="124" customFormat="false" ht="17.15" hidden="false" customHeight="false" outlineLevel="0" collapsed="false">
      <c r="A124" s="3" t="s">
        <v>639</v>
      </c>
      <c r="B124" s="0" t="s">
        <v>303</v>
      </c>
      <c r="D124" s="21" t="n">
        <f aca="false">a26_abf-D122</f>
        <v>24.94557625</v>
      </c>
      <c r="E124" s="21" t="n">
        <f aca="false">D124*(1+g_nai)</f>
        <v>25.6939435375</v>
      </c>
      <c r="F124" s="21" t="n">
        <f aca="false">E124*(1+g_nai)</f>
        <v>26.464761843625</v>
      </c>
      <c r="G124" s="21" t="n">
        <f aca="false">F124*(1+g_nai)</f>
        <v>27.2587046989338</v>
      </c>
    </row>
    <row r="125" customFormat="false" ht="17.15" hidden="false" customHeight="false" outlineLevel="0" collapsed="false">
      <c r="A125" s="0" t="s">
        <v>640</v>
      </c>
      <c r="B125" s="0" t="s">
        <v>303</v>
      </c>
      <c r="D125" s="21" t="n">
        <f aca="false">D120+D123+D124</f>
        <v>99.782305</v>
      </c>
      <c r="E125" s="21" t="n">
        <f aca="false">E120+E123+E124</f>
        <v>175.766481322028</v>
      </c>
      <c r="F125" s="21" t="n">
        <f aca="false">F120+F123+F124</f>
        <v>201.85575806005</v>
      </c>
      <c r="G125" s="21" t="n">
        <f aca="false">G120+G123+G124</f>
        <v>229.159652638681</v>
      </c>
    </row>
    <row r="126" customFormat="false" ht="17.15" hidden="false" customHeight="false" outlineLevel="0" collapsed="false">
      <c r="A126" s="0" t="s">
        <v>641</v>
      </c>
      <c r="B126" s="0" t="s">
        <v>303</v>
      </c>
      <c r="D126" s="21" t="n">
        <f aca="false">a26_abf</f>
        <v>99.782305</v>
      </c>
      <c r="E126" s="21" t="n">
        <f aca="false">$D125*cap_27*(1+g_mix)^1*E114*E115</f>
        <v>148.513488204375</v>
      </c>
      <c r="F126" s="21" t="n">
        <f aca="false">$D125*cap_28*(1+g_mix)^2*F114*F115</f>
        <v>186.549442683384</v>
      </c>
      <c r="G126" s="21" t="n">
        <f aca="false">$D125*cap_29*(1+g_mix)^3*G114*G115</f>
        <v>218.314827660431</v>
      </c>
      <c r="K126" s="7" t="s">
        <v>642</v>
      </c>
    </row>
    <row r="127" customFormat="false" ht="17.15" hidden="false" customHeight="false" outlineLevel="0" collapsed="false">
      <c r="A127" s="0" t="s">
        <v>643</v>
      </c>
      <c r="B127" s="0" t="s">
        <v>303</v>
      </c>
      <c r="D127" s="21" t="n">
        <f aca="false">a26_abf</f>
        <v>99.782305</v>
      </c>
      <c r="E127" s="21" t="n">
        <f aca="false">MIN(E125,E126)</f>
        <v>148.513488204375</v>
      </c>
      <c r="F127" s="21" t="n">
        <f aca="false">MIN(F125,F126)</f>
        <v>186.549442683384</v>
      </c>
      <c r="G127" s="21" t="n">
        <f aca="false">MIN(G125,G126)</f>
        <v>218.314827660431</v>
      </c>
    </row>
    <row r="128" customFormat="false" ht="17.15" hidden="false" customHeight="false" outlineLevel="0" collapsed="false">
      <c r="A128" s="3" t="s">
        <v>644</v>
      </c>
      <c r="B128" s="0" t="s">
        <v>45</v>
      </c>
      <c r="D128" s="20" t="n">
        <f aca="false">D127/D125</f>
        <v>1</v>
      </c>
      <c r="E128" s="20" t="n">
        <f aca="false">E127/E125</f>
        <v>0.844947723179816</v>
      </c>
      <c r="F128" s="20" t="n">
        <f aca="false">F127/F125</f>
        <v>0.924172015087564</v>
      </c>
      <c r="G128" s="20" t="n">
        <f aca="false">G127/G125</f>
        <v>0.952675678927875</v>
      </c>
    </row>
    <row r="129" customFormat="false" ht="17.15" hidden="false" customHeight="false" outlineLevel="0" collapsed="false">
      <c r="A129" s="0" t="s">
        <v>645</v>
      </c>
      <c r="B129" s="0" t="s">
        <v>303</v>
      </c>
      <c r="D129" s="21" t="n">
        <f aca="false">(D120+D123)*D128</f>
        <v>74.83672875</v>
      </c>
      <c r="E129" s="21" t="n">
        <f aca="false">(E120+E123)*E128</f>
        <v>126.803449112854</v>
      </c>
      <c r="F129" s="21" t="n">
        <f aca="false">(F120+F123)*F128</f>
        <v>162.091450401549</v>
      </c>
      <c r="G129" s="21" t="n">
        <f aca="false">(G120+G123)*G128</f>
        <v>192.34612265468</v>
      </c>
    </row>
    <row r="130" customFormat="false" ht="17.15" hidden="false" customHeight="false" outlineLevel="0" collapsed="false">
      <c r="A130" s="3" t="s">
        <v>646</v>
      </c>
      <c r="B130" s="0" t="s">
        <v>45</v>
      </c>
      <c r="D130" s="20" t="n">
        <f aca="false">D120/(D120+D123)</f>
        <v>0.342851634440636</v>
      </c>
      <c r="E130" s="20" t="n">
        <f aca="false">E120/(E120+E123)</f>
        <v>0.41576820311572</v>
      </c>
      <c r="F130" s="20" t="n">
        <f aca="false">F120/(F120+F123)</f>
        <v>0.465316585831444</v>
      </c>
      <c r="G130" s="20" t="n">
        <f aca="false">G120/(G120+G123)</f>
        <v>0.530347590813235</v>
      </c>
    </row>
    <row r="131" customFormat="false" ht="17.15" hidden="false" customHeight="false" outlineLevel="0" collapsed="false">
      <c r="A131" s="5" t="s">
        <v>647</v>
      </c>
    </row>
    <row r="132" customFormat="false" ht="17.15" hidden="false" customHeight="false" outlineLevel="0" collapsed="false">
      <c r="A132" s="0" t="s">
        <v>550</v>
      </c>
      <c r="B132" s="0" t="s">
        <v>303</v>
      </c>
      <c r="D132" s="21" t="n">
        <f aca="false">a26_bt</f>
        <v>16.944165</v>
      </c>
      <c r="E132" s="21" t="n">
        <f aca="false">D132*(1+g_bt)</f>
        <v>17.79137325</v>
      </c>
      <c r="F132" s="21" t="n">
        <f aca="false">E132*(1+g_bt)</f>
        <v>18.6809419125</v>
      </c>
      <c r="G132" s="21" t="n">
        <f aca="false">F132*(1+g_bt)</f>
        <v>19.614989008125</v>
      </c>
    </row>
    <row r="133" customFormat="false" ht="17.15" hidden="false" customHeight="false" outlineLevel="0" collapsed="false">
      <c r="A133" s="0" t="s">
        <v>648</v>
      </c>
      <c r="B133" s="0" t="s">
        <v>303</v>
      </c>
      <c r="D133" s="21" t="n">
        <f aca="false">a26_pcb*ai_pcb</f>
        <v>37.93610275</v>
      </c>
      <c r="E133" s="21" t="n">
        <f aca="false">D133*(1+g_pai_27)</f>
        <v>45.5233233</v>
      </c>
      <c r="F133" s="21" t="n">
        <f aca="false">D133*(1+g_pai_27)*(1+g_pai_28)*um28_A</f>
        <v>52.351821795</v>
      </c>
      <c r="G133" s="21" t="n">
        <f aca="false">D133*(1+g_pai_27)*(1+g_pai_28)*(1+g_pai_29)*um29_A</f>
        <v>57.5870039745</v>
      </c>
      <c r="K133" s="3" t="s">
        <v>649</v>
      </c>
    </row>
    <row r="134" customFormat="false" ht="17.15" hidden="false" customHeight="false" outlineLevel="0" collapsed="false">
      <c r="A134" s="3" t="s">
        <v>650</v>
      </c>
      <c r="B134" s="0" t="s">
        <v>303</v>
      </c>
      <c r="D134" s="21" t="n">
        <f aca="false">a26_pcb*(1-ai_pcb)</f>
        <v>20.42713225</v>
      </c>
      <c r="E134" s="21" t="n">
        <f aca="false">D134*(1+g_pcbn)</f>
        <v>20.835674895</v>
      </c>
      <c r="F134" s="21" t="n">
        <f aca="false">E134*(1+g_pcbn)</f>
        <v>21.2523883929</v>
      </c>
      <c r="G134" s="21" t="n">
        <f aca="false">F134*(1+g_pcbn)</f>
        <v>21.677436160758</v>
      </c>
    </row>
    <row r="135" customFormat="false" ht="15" hidden="false" customHeight="false" outlineLevel="0" collapsed="false">
      <c r="A135" s="3" t="s">
        <v>552</v>
      </c>
      <c r="B135" s="0" t="s">
        <v>303</v>
      </c>
      <c r="D135" s="21" t="n">
        <f aca="false">a26_fpc</f>
        <v>13.178795</v>
      </c>
      <c r="E135" s="21" t="n">
        <f aca="false">D135*(1+g_fpc)</f>
        <v>13.178795</v>
      </c>
      <c r="F135" s="21" t="n">
        <f aca="false">E135*(1+g_fpc)</f>
        <v>13.178795</v>
      </c>
      <c r="G135" s="21" t="n">
        <f aca="false">F135*(1+g_fpc)</f>
        <v>13.178795</v>
      </c>
    </row>
    <row r="136" customFormat="false" ht="17.15" hidden="false" customHeight="false" outlineLevel="0" collapsed="false">
      <c r="A136" s="3" t="s">
        <v>651</v>
      </c>
      <c r="B136" s="0" t="s">
        <v>303</v>
      </c>
      <c r="D136" s="21" t="n">
        <f aca="false">D127+D132</f>
        <v>116.72647</v>
      </c>
      <c r="E136" s="21" t="n">
        <f aca="false">E127+E132</f>
        <v>166.304861454375</v>
      </c>
      <c r="F136" s="21" t="n">
        <f aca="false">F127+F132</f>
        <v>205.230384595884</v>
      </c>
      <c r="G136" s="21" t="n">
        <f aca="false">G127+G132</f>
        <v>237.929816668556</v>
      </c>
      <c r="K136" s="3" t="s">
        <v>652</v>
      </c>
    </row>
    <row r="137" customFormat="false" ht="17.15" hidden="false" customHeight="false" outlineLevel="0" collapsed="false">
      <c r="A137" s="0" t="s">
        <v>653</v>
      </c>
      <c r="B137" s="0" t="s">
        <v>303</v>
      </c>
      <c r="D137" s="21" t="n">
        <f aca="false">D133+D134</f>
        <v>58.363235</v>
      </c>
      <c r="E137" s="21" t="n">
        <f aca="false">E133+E134</f>
        <v>66.358998195</v>
      </c>
      <c r="F137" s="21" t="n">
        <f aca="false">F133+F134</f>
        <v>73.6042101879</v>
      </c>
      <c r="G137" s="21" t="n">
        <f aca="false">G133+G134</f>
        <v>79.264440135258</v>
      </c>
      <c r="K137" s="3" t="s">
        <v>654</v>
      </c>
    </row>
    <row r="138" customFormat="false" ht="17.15" hidden="false" customHeight="false" outlineLevel="0" collapsed="false">
      <c r="A138" s="3" t="s">
        <v>515</v>
      </c>
      <c r="B138" s="0" t="s">
        <v>303</v>
      </c>
      <c r="C138" s="23" t="n">
        <f aca="false">a25_rev</f>
        <v>131.241</v>
      </c>
      <c r="D138" s="23" t="n">
        <f aca="false">D136+D137+D135</f>
        <v>188.2685</v>
      </c>
      <c r="E138" s="23" t="n">
        <f aca="false">E136+E137+E135</f>
        <v>245.842654649375</v>
      </c>
      <c r="F138" s="23" t="n">
        <f aca="false">F136+F137+F135</f>
        <v>292.013389783784</v>
      </c>
      <c r="G138" s="23" t="n">
        <f aca="false">G136+G137+G135</f>
        <v>330.373051803814</v>
      </c>
      <c r="H138" s="25" t="n">
        <f aca="false">G138*(1+H140)</f>
        <v>365.912972905286</v>
      </c>
      <c r="I138" s="25" t="n">
        <f aca="false">H138*(1+I140)</f>
        <v>396.571928303815</v>
      </c>
      <c r="J138" s="25" t="n">
        <f aca="false">I138*(1+J140)</f>
        <v>420.366244002044</v>
      </c>
      <c r="K138" s="7" t="s">
        <v>655</v>
      </c>
    </row>
    <row r="139" customFormat="false" ht="17.15" hidden="false" customHeight="false" outlineLevel="0" collapsed="false">
      <c r="A139" s="3" t="s">
        <v>656</v>
      </c>
      <c r="B139" s="0" t="s">
        <v>303</v>
      </c>
      <c r="D139" s="19" t="n">
        <f aca="false">D136+D137+D135-D138</f>
        <v>0</v>
      </c>
      <c r="E139" s="19" t="n">
        <f aca="false">E136+E137+E135-E138</f>
        <v>0</v>
      </c>
      <c r="F139" s="19" t="n">
        <f aca="false">F136+F137+F135-F138</f>
        <v>0</v>
      </c>
      <c r="G139" s="19" t="n">
        <f aca="false">G136+G137+G135-G138</f>
        <v>0</v>
      </c>
    </row>
    <row r="140" customFormat="false" ht="15" hidden="false" customHeight="false" outlineLevel="0" collapsed="false">
      <c r="A140" s="3" t="s">
        <v>657</v>
      </c>
      <c r="B140" s="0" t="s">
        <v>45</v>
      </c>
      <c r="D140" s="20" t="n">
        <f aca="false">D138/C138-1</f>
        <v>0.434525034097576</v>
      </c>
      <c r="E140" s="20" t="n">
        <f aca="false">E138/D138-1</f>
        <v>0.30580875</v>
      </c>
      <c r="F140" s="20" t="n">
        <f aca="false">F138/E138-1</f>
        <v>0.187806038786307</v>
      </c>
      <c r="G140" s="20" t="n">
        <f aca="false">G138/F138-1</f>
        <v>0.131362681856584</v>
      </c>
      <c r="H140" s="26" t="n">
        <f aca="false">$G140+(fade_gA-$G140)*1/3</f>
        <v>0.107575121237723</v>
      </c>
      <c r="I140" s="26" t="n">
        <f aca="false">$G140+(fade_gA-$G140)*2/3</f>
        <v>0.0837875606188614</v>
      </c>
      <c r="J140" s="26" t="n">
        <f aca="false">$G140+(fade_gA-$G140)*3/3</f>
        <v>0.06</v>
      </c>
    </row>
    <row r="141" customFormat="false" ht="17.15" hidden="false" customHeight="false" outlineLevel="0" collapsed="false">
      <c r="A141" s="0" t="s">
        <v>658</v>
      </c>
      <c r="B141" s="0" t="s">
        <v>45</v>
      </c>
      <c r="D141" s="20" t="n">
        <f aca="false">D127/D138</f>
        <v>0.53</v>
      </c>
      <c r="E141" s="20" t="n">
        <f aca="false">E127/E138</f>
        <v>0.604099758100105</v>
      </c>
      <c r="F141" s="20" t="n">
        <f aca="false">F127/F138</f>
        <v>0.638838660177574</v>
      </c>
      <c r="G141" s="20" t="n">
        <f aca="false">G127/G138</f>
        <v>0.660813061078824</v>
      </c>
    </row>
    <row r="142" customFormat="false" ht="17.15" hidden="false" customHeight="false" outlineLevel="0" collapsed="false">
      <c r="A142" s="0" t="s">
        <v>659</v>
      </c>
      <c r="B142" s="0" t="s">
        <v>45</v>
      </c>
      <c r="D142" s="20" t="n">
        <f aca="false">(D129+D133)/D138</f>
        <v>0.599</v>
      </c>
      <c r="E142" s="20" t="n">
        <f aca="false">(E129+E133)/E138</f>
        <v>0.700963682069855</v>
      </c>
      <c r="F142" s="20" t="n">
        <f aca="false">(F129+F133)/F138</f>
        <v>0.734361093357155</v>
      </c>
      <c r="G142" s="20" t="n">
        <f aca="false">(G129+G133)/G138</f>
        <v>0.756517897766063</v>
      </c>
      <c r="K142" s="3" t="s">
        <v>660</v>
      </c>
    </row>
    <row r="143" customFormat="false" ht="17.15" hidden="false" customHeight="false" outlineLevel="0" collapsed="false">
      <c r="A143" s="5" t="s">
        <v>661</v>
      </c>
    </row>
    <row r="144" customFormat="false" ht="15" hidden="false" customHeight="false" outlineLevel="0" collapsed="false">
      <c r="A144" s="3" t="s">
        <v>662</v>
      </c>
      <c r="B144" s="0" t="s">
        <v>303</v>
      </c>
      <c r="C144" s="23" t="n">
        <f aca="false">a25_cx</f>
        <v>25.617</v>
      </c>
      <c r="D144" s="23" t="n">
        <f aca="false">capex26</f>
        <v>53.7</v>
      </c>
      <c r="E144" s="23" t="n">
        <f aca="false">cx27_A</f>
        <v>55</v>
      </c>
      <c r="F144" s="23" t="n">
        <f aca="false">cx28_A</f>
        <v>50</v>
      </c>
      <c r="G144" s="23" t="n">
        <f aca="false">cx29_A</f>
        <v>45</v>
      </c>
      <c r="H144" s="25" t="n">
        <f aca="false">H138*H161</f>
        <v>46.7627442346397</v>
      </c>
      <c r="I144" s="25" t="n">
        <f aca="false">I138*I161</f>
        <v>47.3448347556311</v>
      </c>
      <c r="J144" s="25" t="n">
        <f aca="false">J138*J161</f>
        <v>46.6493163499198</v>
      </c>
    </row>
    <row r="145" customFormat="false" ht="17.15" hidden="false" customHeight="false" outlineLevel="0" collapsed="false">
      <c r="A145" s="3" t="s">
        <v>663</v>
      </c>
      <c r="B145" s="0" t="s">
        <v>303</v>
      </c>
      <c r="C145" s="23" t="n">
        <f aca="false">a25_da</f>
        <v>18.8</v>
      </c>
      <c r="D145" s="23" t="n">
        <f aca="false">da26</f>
        <v>20.8</v>
      </c>
      <c r="E145" s="23" t="n">
        <f aca="false">D145*(1-1/life)+D144/life</f>
        <v>24.9125</v>
      </c>
      <c r="F145" s="23" t="n">
        <f aca="false">E145*(1-1/life)+E144/life</f>
        <v>28.6734375</v>
      </c>
      <c r="G145" s="23" t="n">
        <f aca="false">F145*(1-1/life)+F144/life</f>
        <v>31.3392578125</v>
      </c>
      <c r="H145" s="25" t="n">
        <f aca="false">H138*H146</f>
        <v>34.7105822711799</v>
      </c>
      <c r="I145" s="25" t="n">
        <f aca="false">I138*I146</f>
        <v>37.6188972873424</v>
      </c>
      <c r="J145" s="25" t="n">
        <f aca="false">J138*J146</f>
        <v>39.876031124583</v>
      </c>
      <c r="K145" s="3" t="s">
        <v>664</v>
      </c>
    </row>
    <row r="146" customFormat="false" ht="17.15" hidden="false" customHeight="false" outlineLevel="0" collapsed="false">
      <c r="A146" s="3" t="s">
        <v>665</v>
      </c>
      <c r="B146" s="0" t="s">
        <v>45</v>
      </c>
      <c r="C146" s="20" t="n">
        <f aca="false">C145/C138</f>
        <v>0.143247917952469</v>
      </c>
      <c r="D146" s="20" t="n">
        <f aca="false">D145/D138</f>
        <v>0.110480510547436</v>
      </c>
      <c r="E146" s="20" t="n">
        <f aca="false">E145/E138</f>
        <v>0.101335140704247</v>
      </c>
      <c r="F146" s="20" t="n">
        <f aca="false">F145/F138</f>
        <v>0.0981922011221153</v>
      </c>
      <c r="G146" s="20" t="n">
        <f aca="false">G145/G138</f>
        <v>0.0948602122400414</v>
      </c>
      <c r="H146" s="26" t="n">
        <f aca="false">$G146</f>
        <v>0.0948602122400414</v>
      </c>
      <c r="I146" s="26" t="n">
        <f aca="false">$G146</f>
        <v>0.0948602122400414</v>
      </c>
      <c r="J146" s="26" t="n">
        <f aca="false">$G146</f>
        <v>0.0948602122400414</v>
      </c>
    </row>
    <row r="147" customFormat="false" ht="17.15" hidden="false" customHeight="false" outlineLevel="0" collapsed="false">
      <c r="A147" s="3" t="s">
        <v>666</v>
      </c>
      <c r="B147" s="0" t="s">
        <v>303</v>
      </c>
      <c r="E147" s="21" t="n">
        <f aca="false">E129*(1-1/(E114*E115))</f>
        <v>6.03825948156447</v>
      </c>
      <c r="F147" s="21" t="n">
        <f aca="false">F129*(1-1/(F114*F115))</f>
        <v>-0.406244236595388</v>
      </c>
      <c r="G147" s="21" t="n">
        <f aca="false">G129*(1-1/(G114*G115))</f>
        <v>-11.1947478793729</v>
      </c>
      <c r="K147" s="7" t="s">
        <v>667</v>
      </c>
    </row>
    <row r="148" customFormat="false" ht="17.15" hidden="false" customHeight="false" outlineLevel="0" collapsed="false">
      <c r="A148" s="3" t="s">
        <v>668</v>
      </c>
      <c r="B148" s="0" t="s">
        <v>303</v>
      </c>
      <c r="C148" s="21" t="n">
        <f aca="false">a25_gp</f>
        <v>18.292</v>
      </c>
      <c r="D148" s="21" t="n">
        <f aca="false">a26_gp</f>
        <v>47.3329657</v>
      </c>
      <c r="E148" s="21" t="n">
        <f aca="false">$D148+ft_abf*(E127-E147-$D127)+ft_oth*((E138-E127)-($D138-$D127))+E147-(E145-$D145)</f>
        <v>72.8159299042197</v>
      </c>
      <c r="F148" s="21" t="n">
        <f aca="false">$D148+ft_abf*(F127-F147-$D127)+ft_oth*((F138-F127)-($D138-$D127))+F147-(F145-$D145)</f>
        <v>86.8844129484945</v>
      </c>
      <c r="G148" s="21" t="n">
        <f aca="false">$D148+ft_abf*(G127-G147-$D127)+ft_oth*((G138-G127)-($D138-$D127))+G147-(G145-$D145)</f>
        <v>96.3556025638749</v>
      </c>
      <c r="K148" s="3" t="s">
        <v>669</v>
      </c>
    </row>
    <row r="149" customFormat="false" ht="15" hidden="false" customHeight="false" outlineLevel="0" collapsed="false">
      <c r="A149" s="3" t="s">
        <v>522</v>
      </c>
      <c r="B149" s="0" t="s">
        <v>45</v>
      </c>
      <c r="C149" s="13" t="n">
        <f aca="false">C148/C138</f>
        <v>0.139377176339711</v>
      </c>
      <c r="D149" s="13" t="n">
        <f aca="false">D148/D138</f>
        <v>0.251412029627899</v>
      </c>
      <c r="E149" s="13" t="n">
        <f aca="false">E148/E138</f>
        <v>0.296189162161754</v>
      </c>
      <c r="F149" s="13" t="n">
        <f aca="false">F148/F138</f>
        <v>0.297535715786274</v>
      </c>
      <c r="G149" s="13" t="n">
        <f aca="false">G148/G138</f>
        <v>0.291656967896685</v>
      </c>
    </row>
    <row r="150" customFormat="false" ht="15" hidden="false" customHeight="false" outlineLevel="0" collapsed="false">
      <c r="A150" s="3" t="s">
        <v>524</v>
      </c>
      <c r="B150" s="0" t="s">
        <v>303</v>
      </c>
      <c r="C150" s="21" t="n">
        <f aca="false">a25_opx</f>
        <v>11.618</v>
      </c>
      <c r="D150" s="21" t="n">
        <f aca="false">a26_opx</f>
        <v>16.6539532</v>
      </c>
      <c r="E150" s="21" t="n">
        <f aca="false">D150*(1+phi*E140)</f>
        <v>19.7097079663903</v>
      </c>
      <c r="F150" s="21" t="n">
        <f aca="false">E150*(1+phi*F140)</f>
        <v>21.9306692736719</v>
      </c>
      <c r="G150" s="21" t="n">
        <f aca="false">F150*(1+phi*G140)</f>
        <v>23.6591921920915</v>
      </c>
    </row>
    <row r="151" customFormat="false" ht="15" hidden="false" customHeight="false" outlineLevel="0" collapsed="false">
      <c r="A151" s="3" t="s">
        <v>527</v>
      </c>
      <c r="B151" s="0" t="s">
        <v>303</v>
      </c>
      <c r="C151" s="21" t="n">
        <f aca="false">C148-C150</f>
        <v>6.674</v>
      </c>
      <c r="D151" s="21" t="n">
        <f aca="false">D148-D150</f>
        <v>30.6790125</v>
      </c>
      <c r="E151" s="21" t="n">
        <f aca="false">E148-E150</f>
        <v>53.1062219378294</v>
      </c>
      <c r="F151" s="21" t="n">
        <f aca="false">F148-F150</f>
        <v>64.9537436748226</v>
      </c>
      <c r="G151" s="21" t="n">
        <f aca="false">G148-G150</f>
        <v>72.6964103717834</v>
      </c>
    </row>
    <row r="152" customFormat="false" ht="15" hidden="false" customHeight="false" outlineLevel="0" collapsed="false">
      <c r="A152" s="3" t="s">
        <v>605</v>
      </c>
      <c r="B152" s="0" t="s">
        <v>45</v>
      </c>
      <c r="C152" s="13" t="n">
        <f aca="false">C151/C138</f>
        <v>0.0508530108731265</v>
      </c>
      <c r="D152" s="13" t="n">
        <f aca="false">D151/D138</f>
        <v>0.162953507888999</v>
      </c>
      <c r="E152" s="13" t="n">
        <f aca="false">E151/E138</f>
        <v>0.21601711880947</v>
      </c>
      <c r="F152" s="13" t="n">
        <f aca="false">F151/F138</f>
        <v>0.222434127842276</v>
      </c>
      <c r="G152" s="13" t="n">
        <f aca="false">G151/G138</f>
        <v>0.220043402374576</v>
      </c>
    </row>
    <row r="153" customFormat="false" ht="17.15" hidden="false" customHeight="false" outlineLevel="0" collapsed="false">
      <c r="A153" s="3" t="s">
        <v>670</v>
      </c>
      <c r="B153" s="0" t="s">
        <v>303</v>
      </c>
      <c r="C153" s="21" t="n">
        <f aca="false">a25_nonop</f>
        <v>-0.00100000000000033</v>
      </c>
      <c r="D153" s="21" t="n">
        <f aca="false">a26_nonop</f>
        <v>14.466</v>
      </c>
      <c r="E153" s="21" t="n">
        <f aca="false">nonop27</f>
        <v>2</v>
      </c>
      <c r="F153" s="21" t="n">
        <f aca="false">nonop28</f>
        <v>2</v>
      </c>
      <c r="G153" s="21" t="n">
        <f aca="false">nonop29</f>
        <v>2</v>
      </c>
      <c r="K153" s="7" t="s">
        <v>671</v>
      </c>
    </row>
    <row r="154" customFormat="false" ht="15" hidden="false" customHeight="false" outlineLevel="0" collapsed="false">
      <c r="A154" s="3" t="s">
        <v>533</v>
      </c>
      <c r="B154" s="0" t="s">
        <v>303</v>
      </c>
      <c r="C154" s="21" t="n">
        <f aca="false">C151+C153</f>
        <v>6.673</v>
      </c>
      <c r="D154" s="21" t="n">
        <f aca="false">D151+D153</f>
        <v>45.1450125</v>
      </c>
      <c r="E154" s="21" t="n">
        <f aca="false">E151+E153</f>
        <v>55.1062219378294</v>
      </c>
      <c r="F154" s="21" t="n">
        <f aca="false">F151+F153</f>
        <v>66.9537436748226</v>
      </c>
      <c r="G154" s="21" t="n">
        <f aca="false">G151+G153</f>
        <v>74.6964103717834</v>
      </c>
    </row>
    <row r="155" customFormat="false" ht="15" hidden="false" customHeight="false" outlineLevel="0" collapsed="false">
      <c r="A155" s="3" t="s">
        <v>537</v>
      </c>
      <c r="B155" s="0" t="s">
        <v>303</v>
      </c>
      <c r="E155" s="21" t="n">
        <f aca="false">E154*tax</f>
        <v>9.9191199488093</v>
      </c>
      <c r="F155" s="21" t="n">
        <f aca="false">F154*tax</f>
        <v>12.0516738614681</v>
      </c>
      <c r="G155" s="21" t="n">
        <f aca="false">G154*tax</f>
        <v>13.445353866921</v>
      </c>
    </row>
    <row r="156" customFormat="false" ht="15" hidden="false" customHeight="false" outlineLevel="0" collapsed="false">
      <c r="A156" s="3" t="s">
        <v>535</v>
      </c>
      <c r="B156" s="0" t="s">
        <v>303</v>
      </c>
      <c r="C156" s="21" t="n">
        <f aca="false">a25_ni</f>
        <v>6.673</v>
      </c>
      <c r="D156" s="21" t="n">
        <f aca="false">a26_ni</f>
        <v>37.23923025</v>
      </c>
      <c r="E156" s="21" t="n">
        <f aca="false">E154-E155</f>
        <v>45.1871019890201</v>
      </c>
      <c r="F156" s="21" t="n">
        <f aca="false">F154-F155</f>
        <v>54.9020698133545</v>
      </c>
      <c r="G156" s="21" t="n">
        <f aca="false">G154-G155</f>
        <v>61.2510565048624</v>
      </c>
      <c r="H156" s="30" t="n">
        <f aca="false">H138*H160</f>
        <v>66.3770844347669</v>
      </c>
      <c r="I156" s="30" t="n">
        <f aca="false">I138*I160</f>
        <v>70.3530101334063</v>
      </c>
      <c r="J156" s="30" t="n">
        <f aca="false">J138*J160</f>
        <v>72.8934035570402</v>
      </c>
    </row>
    <row r="157" customFormat="false" ht="15" hidden="false" customHeight="false" outlineLevel="0" collapsed="false">
      <c r="A157" s="3" t="s">
        <v>672</v>
      </c>
      <c r="B157" s="3" t="s">
        <v>381</v>
      </c>
      <c r="C157" s="29" t="n">
        <f aca="false">a25_sh</f>
        <v>1.52351598173516</v>
      </c>
      <c r="D157" s="29" t="n">
        <f aca="false">a26_sh</f>
        <v>1.59236316568047</v>
      </c>
      <c r="E157" s="29" t="n">
        <f aca="false">a26_shend*(1+sh_g)</f>
        <v>1.64</v>
      </c>
      <c r="F157" s="29" t="n">
        <f aca="false">E157*(1+sh_g)</f>
        <v>1.64</v>
      </c>
      <c r="G157" s="29" t="n">
        <f aca="false">F157*(1+sh_g)</f>
        <v>1.64</v>
      </c>
      <c r="H157" s="31" t="n">
        <f aca="false">G157*(1+sh_g)</f>
        <v>1.64</v>
      </c>
      <c r="I157" s="31" t="n">
        <f aca="false">H157*(1+sh_g)</f>
        <v>1.64</v>
      </c>
      <c r="J157" s="31" t="n">
        <f aca="false">I157*(1+sh_g)</f>
        <v>1.64</v>
      </c>
    </row>
    <row r="158" customFormat="false" ht="17.15" hidden="false" customHeight="false" outlineLevel="0" collapsed="false">
      <c r="A158" s="0" t="s">
        <v>540</v>
      </c>
      <c r="B158" s="0" t="s">
        <v>387</v>
      </c>
      <c r="C158" s="18" t="n">
        <f aca="false">C156/C157</f>
        <v>4.38</v>
      </c>
      <c r="D158" s="18" t="n">
        <f aca="false">D156/D157</f>
        <v>23.3861414610695</v>
      </c>
      <c r="E158" s="18" t="n">
        <f aca="false">E156/E157</f>
        <v>27.5531109689147</v>
      </c>
      <c r="F158" s="18" t="n">
        <f aca="false">F156/F157</f>
        <v>33.4768718374113</v>
      </c>
      <c r="G158" s="18" t="n">
        <f aca="false">G156/G157</f>
        <v>37.3482051858917</v>
      </c>
      <c r="H158" s="28" t="n">
        <f aca="false">H156/H157</f>
        <v>40.4738319724188</v>
      </c>
      <c r="I158" s="28" t="n">
        <f aca="false">I156/I157</f>
        <v>42.8981769106136</v>
      </c>
      <c r="J158" s="28" t="n">
        <f aca="false">J156/J157</f>
        <v>44.4471972908782</v>
      </c>
    </row>
    <row r="159" customFormat="false" ht="17.15" hidden="false" customHeight="false" outlineLevel="0" collapsed="false">
      <c r="A159" s="0" t="s">
        <v>673</v>
      </c>
      <c r="B159" s="0" t="s">
        <v>45</v>
      </c>
      <c r="D159" s="20" t="n">
        <f aca="false">D158/C158-1</f>
        <v>4.33930170344053</v>
      </c>
      <c r="E159" s="20" t="n">
        <f aca="false">E158/D158-1</f>
        <v>0.178181146931908</v>
      </c>
      <c r="F159" s="20" t="n">
        <f aca="false">F158/E158-1</f>
        <v>0.214994265989772</v>
      </c>
      <c r="G159" s="20" t="n">
        <f aca="false">G158/F158-1</f>
        <v>0.115642027943427</v>
      </c>
      <c r="H159" s="26" t="n">
        <f aca="false">H158/G158-1</f>
        <v>0.0836888083636167</v>
      </c>
      <c r="I159" s="26" t="n">
        <f aca="false">I158/H158-1</f>
        <v>0.0598990710799712</v>
      </c>
      <c r="J159" s="26" t="n">
        <f aca="false">J158/I158-1</f>
        <v>0.0361092356789956</v>
      </c>
    </row>
    <row r="160" customFormat="false" ht="17.15" hidden="false" customHeight="false" outlineLevel="0" collapsed="false">
      <c r="A160" s="3" t="s">
        <v>674</v>
      </c>
      <c r="B160" s="0" t="s">
        <v>45</v>
      </c>
      <c r="C160" s="13" t="n">
        <f aca="false">C156/C138</f>
        <v>0.0508453913030227</v>
      </c>
      <c r="D160" s="13" t="n">
        <f aca="false">D156/D138</f>
        <v>0.197798517808343</v>
      </c>
      <c r="E160" s="13" t="n">
        <f aca="false">E156/E138</f>
        <v>0.183804970921205</v>
      </c>
      <c r="F160" s="13" t="n">
        <f aca="false">F156/F138</f>
        <v>0.188012165654478</v>
      </c>
      <c r="G160" s="13" t="n">
        <f aca="false">G156/G138</f>
        <v>0.185399675216958</v>
      </c>
      <c r="H160" s="27" t="n">
        <f aca="false">$G160+(fade_mA-$G160)*1/3</f>
        <v>0.181401287600558</v>
      </c>
      <c r="I160" s="27" t="n">
        <f aca="false">$G160+(fade_mA-$G160)*2/3</f>
        <v>0.177402899984158</v>
      </c>
      <c r="J160" s="27" t="n">
        <f aca="false">$G160+(fade_mA-$G160)*3/3</f>
        <v>0.173404512367757</v>
      </c>
    </row>
    <row r="161" customFormat="false" ht="17.15" hidden="false" customHeight="false" outlineLevel="0" collapsed="false">
      <c r="A161" s="3" t="s">
        <v>675</v>
      </c>
      <c r="B161" s="0" t="s">
        <v>45</v>
      </c>
      <c r="C161" s="20" t="n">
        <f aca="false">C144/C138</f>
        <v>0.195190527350447</v>
      </c>
      <c r="D161" s="20" t="n">
        <f aca="false">D144/D138</f>
        <v>0.285230933480641</v>
      </c>
      <c r="E161" s="20" t="n">
        <f aca="false">E144/E138</f>
        <v>0.223720330706817</v>
      </c>
      <c r="F161" s="20" t="n">
        <f aca="false">F144/F138</f>
        <v>0.171225025116217</v>
      </c>
      <c r="G161" s="20" t="n">
        <f aca="false">G144/G138</f>
        <v>0.136209656793443</v>
      </c>
      <c r="H161" s="26" t="n">
        <f aca="false">$G161+($G146*(1+tp_g)^(life/2)-$G161)*1/3</f>
        <v>0.127797448293105</v>
      </c>
      <c r="I161" s="26" t="n">
        <f aca="false">$G161+($G146*(1+tp_g)^(life/2)-$G161)*2/3</f>
        <v>0.119385239792767</v>
      </c>
      <c r="J161" s="26" t="n">
        <f aca="false">$G161+($G146*(1+tp_g)^(life/2)-$G161)*3/3</f>
        <v>0.110973031292429</v>
      </c>
      <c r="K161" s="7" t="s">
        <v>676</v>
      </c>
    </row>
    <row r="162" customFormat="false" ht="15" hidden="false" customHeight="false" outlineLevel="0" collapsed="false">
      <c r="A162" s="3" t="s">
        <v>677</v>
      </c>
      <c r="B162" s="0" t="s">
        <v>303</v>
      </c>
      <c r="E162" s="21" t="n">
        <f aca="false">E156+E145-E144</f>
        <v>15.0996019890201</v>
      </c>
      <c r="F162" s="21" t="n">
        <f aca="false">F156+F145-F144</f>
        <v>33.5755073133545</v>
      </c>
      <c r="G162" s="21" t="n">
        <f aca="false">G156+G145-G144</f>
        <v>47.5903143173624</v>
      </c>
      <c r="H162" s="30" t="n">
        <f aca="false">H156+H145-H144</f>
        <v>54.3249224713071</v>
      </c>
      <c r="I162" s="30" t="n">
        <f aca="false">I156+I145-I144</f>
        <v>60.6270726651176</v>
      </c>
      <c r="J162" s="30" t="n">
        <f aca="false">J156+J145-J144</f>
        <v>66.1201183317033</v>
      </c>
      <c r="K162" s="3" t="s">
        <v>678</v>
      </c>
    </row>
    <row r="163" customFormat="false" ht="15" hidden="false" customHeight="false" outlineLevel="0" collapsed="false">
      <c r="A163" s="3" t="s">
        <v>679</v>
      </c>
      <c r="B163" s="0" t="s">
        <v>387</v>
      </c>
      <c r="E163" s="18" t="n">
        <f aca="false">E162/E157</f>
        <v>9.20707438354887</v>
      </c>
      <c r="F163" s="18" t="n">
        <f aca="false">F162/F157</f>
        <v>20.472870313021</v>
      </c>
      <c r="G163" s="18" t="n">
        <f aca="false">G162/G157</f>
        <v>29.0184843398551</v>
      </c>
      <c r="H163" s="28" t="n">
        <f aca="false">H162/H157</f>
        <v>33.1249527264068</v>
      </c>
      <c r="I163" s="28" t="n">
        <f aca="false">I162/I157</f>
        <v>36.9677272348278</v>
      </c>
      <c r="J163" s="28" t="n">
        <f aca="false">J162/J157</f>
        <v>40.3171453242094</v>
      </c>
    </row>
    <row r="166" customFormat="false" ht="17.15" hidden="false" customHeight="false" outlineLevel="0" collapsed="false">
      <c r="A166" s="1" t="s">
        <v>1021</v>
      </c>
    </row>
    <row r="167" customFormat="false" ht="17.15" hidden="false" customHeight="false" outlineLevel="0" collapsed="false">
      <c r="A167" s="4" t="s">
        <v>22</v>
      </c>
      <c r="B167" s="4" t="s">
        <v>23</v>
      </c>
      <c r="C167" s="14" t="s">
        <v>508</v>
      </c>
      <c r="D167" s="14" t="s">
        <v>592</v>
      </c>
      <c r="E167" s="14" t="s">
        <v>593</v>
      </c>
      <c r="F167" s="14" t="s">
        <v>594</v>
      </c>
      <c r="G167" s="14" t="s">
        <v>595</v>
      </c>
      <c r="H167" s="14" t="s">
        <v>596</v>
      </c>
      <c r="I167" s="14" t="s">
        <v>597</v>
      </c>
      <c r="J167" s="14" t="s">
        <v>598</v>
      </c>
      <c r="K167" s="4" t="s">
        <v>481</v>
      </c>
    </row>
    <row r="168" customFormat="false" ht="17.15" hidden="false" customHeight="false" outlineLevel="0" collapsed="false">
      <c r="A168" s="5" t="s">
        <v>616</v>
      </c>
    </row>
    <row r="169" customFormat="false" ht="17.15" hidden="false" customHeight="false" outlineLevel="0" collapsed="false">
      <c r="A169" s="0" t="s">
        <v>617</v>
      </c>
      <c r="B169" s="3" t="s">
        <v>33</v>
      </c>
      <c r="D169" s="21" t="n">
        <f aca="false">(u_bw_26+u_rb_26+u_ru_26+u_hp_26)*1</f>
        <v>7.6</v>
      </c>
      <c r="E169" s="21" t="n">
        <f aca="false">(u_bw_27+u_rb_27+u_ru_27+u_hp_27)*1*1</f>
        <v>9.7</v>
      </c>
      <c r="F169" s="21" t="n">
        <f aca="false">(u_bw_28+u_rb_28+u_ru_28+u_hp_28)*um28_A*1</f>
        <v>9.5</v>
      </c>
      <c r="G169" s="21" t="n">
        <f aca="false">(u_bw_28*(1+g29_bw)+u_rb_28*(1+g29_rb)+u_ru_28*(1+g29_ru)+u_hp_28*(1+g29_hp))*um29_A*1</f>
        <v>10.6</v>
      </c>
      <c r="K169" s="7" t="s">
        <v>618</v>
      </c>
    </row>
    <row r="170" customFormat="false" ht="17.15" hidden="false" customHeight="false" outlineLevel="0" collapsed="false">
      <c r="A170" s="3" t="s">
        <v>619</v>
      </c>
      <c r="B170" s="3" t="s">
        <v>33</v>
      </c>
      <c r="D170" s="21" t="n">
        <f aca="false">(u_amd_26+u_tpu_26+u_trn_26+u_oth_26)*1</f>
        <v>7.6</v>
      </c>
      <c r="E170" s="21" t="n">
        <f aca="false">(u_amd_27+u_tpu_27+u_trn_27+u_oth_27)*1*1</f>
        <v>14</v>
      </c>
      <c r="F170" s="21" t="n">
        <f aca="false">(u_amd_28+u_tpu_28+u_trn_28+u_oth_28)*um28_A*1</f>
        <v>17</v>
      </c>
      <c r="G170" s="21" t="n">
        <f aca="false">(u_amd_28*(1+g29_amd)+u_tpu_28*(1+g29_tpu)+u_trn_28*(1+g29_trn)+u_oth_28*(1+g29_oth))*um29_A*1</f>
        <v>19.55</v>
      </c>
      <c r="K170" s="7" t="s">
        <v>620</v>
      </c>
    </row>
    <row r="171" customFormat="false" ht="17.15" hidden="false" customHeight="false" outlineLevel="0" collapsed="false">
      <c r="A171" s="3" t="s">
        <v>621</v>
      </c>
      <c r="B171" s="0" t="s">
        <v>145</v>
      </c>
      <c r="D171" s="19" t="n">
        <f aca="false">1</f>
        <v>1</v>
      </c>
      <c r="E171" s="19" t="n">
        <f aca="false">D171*(1+g_asp)</f>
        <v>1.18</v>
      </c>
      <c r="F171" s="19" t="n">
        <f aca="false">E171*(1+g_asp)</f>
        <v>1.3924</v>
      </c>
      <c r="G171" s="19" t="n">
        <f aca="false">F171*(1+g_asp)</f>
        <v>1.643032</v>
      </c>
      <c r="K171" s="7" t="s">
        <v>622</v>
      </c>
    </row>
    <row r="172" customFormat="false" ht="17.15" hidden="false" customHeight="false" outlineLevel="0" collapsed="false">
      <c r="A172" s="0" t="s">
        <v>623</v>
      </c>
      <c r="B172" s="0" t="s">
        <v>145</v>
      </c>
      <c r="D172" s="18" t="n">
        <f aca="false">1</f>
        <v>1</v>
      </c>
      <c r="E172" s="18" t="n">
        <f aca="false">ibpp_27</f>
        <v>1</v>
      </c>
      <c r="F172" s="18" t="n">
        <f aca="false">ibpp_28</f>
        <v>0.95</v>
      </c>
      <c r="G172" s="18" t="n">
        <f aca="false">ibpp_29</f>
        <v>0.9</v>
      </c>
      <c r="K172" s="7" t="s">
        <v>624</v>
      </c>
    </row>
    <row r="173" customFormat="false" ht="17.15" hidden="false" customHeight="false" outlineLevel="0" collapsed="false">
      <c r="A173" s="3" t="s">
        <v>625</v>
      </c>
      <c r="B173" s="0" t="s">
        <v>145</v>
      </c>
      <c r="D173" s="18" t="n">
        <f aca="false">1</f>
        <v>1</v>
      </c>
      <c r="E173" s="18" t="n">
        <f aca="false">1+carry</f>
        <v>1.05</v>
      </c>
      <c r="F173" s="18" t="n">
        <f aca="false">1+carry</f>
        <v>1.05</v>
      </c>
      <c r="G173" s="18" t="n">
        <f aca="false">1+carry</f>
        <v>1.05</v>
      </c>
      <c r="K173" s="7" t="s">
        <v>626</v>
      </c>
    </row>
    <row r="174" customFormat="false" ht="17.15" hidden="false" customHeight="false" outlineLevel="0" collapsed="false">
      <c r="A174" s="3" t="s">
        <v>627</v>
      </c>
      <c r="B174" s="0" t="s">
        <v>628</v>
      </c>
      <c r="D174" s="23" t="n">
        <f aca="false">v26*D171*D172</f>
        <v>215.308596</v>
      </c>
      <c r="E174" s="23" t="n">
        <f aca="false">v26*E171*E172</f>
        <v>254.06414328</v>
      </c>
      <c r="F174" s="23" t="n">
        <f aca="false">v26*F171*F172</f>
        <v>284.80590461688</v>
      </c>
      <c r="G174" s="23" t="n">
        <f aca="false">v26*G171*G172</f>
        <v>318.383021792765</v>
      </c>
      <c r="K174" s="7" t="s">
        <v>629</v>
      </c>
    </row>
    <row r="175" customFormat="false" ht="17.15" hidden="false" customHeight="false" outlineLevel="0" collapsed="false">
      <c r="A175" s="3" t="s">
        <v>630</v>
      </c>
      <c r="B175" s="0" t="s">
        <v>45</v>
      </c>
      <c r="D175" s="20" t="n">
        <f aca="false">sh_nv_26</f>
        <v>0.25</v>
      </c>
      <c r="E175" s="20" t="n">
        <f aca="false">sh_nv_27</f>
        <v>0.27</v>
      </c>
      <c r="F175" s="20" t="n">
        <f aca="false">sh_nv_28</f>
        <v>0.29</v>
      </c>
      <c r="G175" s="20" t="n">
        <f aca="false">sh_nv_29</f>
        <v>0.3</v>
      </c>
    </row>
    <row r="176" customFormat="false" ht="17.15" hidden="false" customHeight="false" outlineLevel="0" collapsed="false">
      <c r="A176" s="3" t="s">
        <v>631</v>
      </c>
      <c r="B176" s="0" t="s">
        <v>45</v>
      </c>
      <c r="D176" s="20" t="n">
        <f aca="false">sh_ot_26</f>
        <v>0.3</v>
      </c>
      <c r="E176" s="20" t="n">
        <f aca="false">sh_ot_27</f>
        <v>0.31</v>
      </c>
      <c r="F176" s="20" t="n">
        <f aca="false">sh_ot_28</f>
        <v>0.32</v>
      </c>
      <c r="G176" s="20" t="n">
        <f aca="false">sh_ot_29</f>
        <v>0.33</v>
      </c>
    </row>
    <row r="177" customFormat="false" ht="17.15" hidden="false" customHeight="false" outlineLevel="0" collapsed="false">
      <c r="A177" s="3" t="s">
        <v>632</v>
      </c>
      <c r="B177" s="0" t="s">
        <v>582</v>
      </c>
      <c r="D177" s="22" t="n">
        <f aca="false">(D169*D174*D175+D170*D174*v_ot*D176)*D173</f>
        <v>801.809211504</v>
      </c>
      <c r="E177" s="22" t="n">
        <f aca="false">(E169*E174*E175+E170*E174*v_ot*E176)*E173</f>
        <v>1624.8799315544</v>
      </c>
      <c r="F177" s="22" t="n">
        <f aca="false">(F169*F174*F175+F170*F174*v_ot*F176)*F173</f>
        <v>2125.32134231777</v>
      </c>
      <c r="G177" s="22" t="n">
        <f aca="false">(G169*G174*G175+G170*G174*v_ot*G176)*G173</f>
        <v>2788.4812844467</v>
      </c>
    </row>
    <row r="178" customFormat="false" ht="15" hidden="false" customHeight="false" outlineLevel="0" collapsed="false">
      <c r="A178" s="3" t="s">
        <v>633</v>
      </c>
      <c r="B178" s="0" t="s">
        <v>303</v>
      </c>
      <c r="D178" s="21" t="n">
        <f aca="false">D177*fx/1000</f>
        <v>25.657894768128</v>
      </c>
      <c r="E178" s="21" t="n">
        <f aca="false">E177*fx/1000</f>
        <v>51.9961578097409</v>
      </c>
      <c r="F178" s="21" t="n">
        <f aca="false">F177*fx/1000</f>
        <v>68.0102829541688</v>
      </c>
      <c r="G178" s="21" t="n">
        <f aca="false">G177*fx/1000</f>
        <v>89.2314011022944</v>
      </c>
    </row>
    <row r="179" customFormat="false" ht="17.15" hidden="false" customHeight="false" outlineLevel="0" collapsed="false">
      <c r="A179" s="5" t="s">
        <v>634</v>
      </c>
    </row>
    <row r="180" customFormat="false" ht="17.15" hidden="false" customHeight="false" outlineLevel="0" collapsed="false">
      <c r="A180" s="0" t="s">
        <v>635</v>
      </c>
      <c r="B180" s="0" t="s">
        <v>303</v>
      </c>
      <c r="D180" s="21" t="n">
        <f aca="false">a26_abf*ai_abf</f>
        <v>74.83672875</v>
      </c>
      <c r="K180" s="3" t="s">
        <v>636</v>
      </c>
    </row>
    <row r="181" customFormat="false" ht="17.15" hidden="false" customHeight="false" outlineLevel="0" collapsed="false">
      <c r="A181" s="3" t="s">
        <v>637</v>
      </c>
      <c r="B181" s="0" t="s">
        <v>303</v>
      </c>
      <c r="D181" s="21" t="n">
        <f aca="false">D180-D178</f>
        <v>49.178833981872</v>
      </c>
      <c r="E181" s="21" t="n">
        <f aca="false">$D181*(itc_27/itc_26)^el_o*1*1*E172*E173</f>
        <v>73.0642903440322</v>
      </c>
      <c r="F181" s="21" t="n">
        <f aca="false">$D181*(itc_28/itc_26)^el_o*um28_A*1*F172*F173</f>
        <v>78.1488805595188</v>
      </c>
      <c r="G181" s="21" t="n">
        <f aca="false">$D181*(itc_29/itc_26)^el_o*um29_A*1*G172*G173</f>
        <v>79.0193888474949</v>
      </c>
      <c r="K181" s="7" t="s">
        <v>638</v>
      </c>
    </row>
    <row r="182" customFormat="false" ht="17.15" hidden="false" customHeight="false" outlineLevel="0" collapsed="false">
      <c r="A182" s="3" t="s">
        <v>639</v>
      </c>
      <c r="B182" s="0" t="s">
        <v>303</v>
      </c>
      <c r="D182" s="21" t="n">
        <f aca="false">a26_abf-D180</f>
        <v>24.94557625</v>
      </c>
      <c r="E182" s="21" t="n">
        <f aca="false">D182*(1+g_nai)</f>
        <v>25.6939435375</v>
      </c>
      <c r="F182" s="21" t="n">
        <f aca="false">E182*(1+g_nai)</f>
        <v>26.464761843625</v>
      </c>
      <c r="G182" s="21" t="n">
        <f aca="false">F182*(1+g_nai)</f>
        <v>27.2587046989338</v>
      </c>
    </row>
    <row r="183" customFormat="false" ht="17.15" hidden="false" customHeight="false" outlineLevel="0" collapsed="false">
      <c r="A183" s="0" t="s">
        <v>640</v>
      </c>
      <c r="B183" s="0" t="s">
        <v>303</v>
      </c>
      <c r="D183" s="21" t="n">
        <f aca="false">D178+D181+D182</f>
        <v>99.782305</v>
      </c>
      <c r="E183" s="21" t="n">
        <f aca="false">E178+E181+E182</f>
        <v>150.754391691273</v>
      </c>
      <c r="F183" s="21" t="n">
        <f aca="false">F178+F181+F182</f>
        <v>172.623925357313</v>
      </c>
      <c r="G183" s="21" t="n">
        <f aca="false">G178+G181+G182</f>
        <v>195.509494648723</v>
      </c>
    </row>
    <row r="184" customFormat="false" ht="17.15" hidden="false" customHeight="false" outlineLevel="0" collapsed="false">
      <c r="A184" s="0" t="s">
        <v>641</v>
      </c>
      <c r="B184" s="0" t="s">
        <v>303</v>
      </c>
      <c r="D184" s="21" t="n">
        <f aca="false">a26_abf</f>
        <v>99.782305</v>
      </c>
      <c r="E184" s="21" t="n">
        <f aca="false">$D183*cap_27_lo*(1+g_mix)^1*E172*E173</f>
        <v>137.512489078125</v>
      </c>
      <c r="F184" s="21" t="n">
        <f aca="false">$D183*cap_28_lo*(1+g_mix)^2*F172*F173</f>
        <v>164.602449426516</v>
      </c>
      <c r="G184" s="21" t="n">
        <f aca="false">$D183*cap_29_lo*(1+g_mix)^3*G172*G173</f>
        <v>185.567603511367</v>
      </c>
      <c r="K184" s="7" t="s">
        <v>642</v>
      </c>
    </row>
    <row r="185" customFormat="false" ht="17.15" hidden="false" customHeight="false" outlineLevel="0" collapsed="false">
      <c r="A185" s="0" t="s">
        <v>643</v>
      </c>
      <c r="B185" s="0" t="s">
        <v>303</v>
      </c>
      <c r="D185" s="21" t="n">
        <f aca="false">a26_abf</f>
        <v>99.782305</v>
      </c>
      <c r="E185" s="21" t="n">
        <f aca="false">MIN(E183,E184)</f>
        <v>137.512489078125</v>
      </c>
      <c r="F185" s="21" t="n">
        <f aca="false">MIN(F183,F184)</f>
        <v>164.602449426516</v>
      </c>
      <c r="G185" s="21" t="n">
        <f aca="false">MIN(G183,G184)</f>
        <v>185.567603511367</v>
      </c>
    </row>
    <row r="186" customFormat="false" ht="17.15" hidden="false" customHeight="false" outlineLevel="0" collapsed="false">
      <c r="A186" s="3" t="s">
        <v>644</v>
      </c>
      <c r="B186" s="0" t="s">
        <v>45</v>
      </c>
      <c r="D186" s="20" t="n">
        <f aca="false">D185/D183</f>
        <v>1</v>
      </c>
      <c r="E186" s="20" t="n">
        <f aca="false">E185/E183</f>
        <v>0.912162408905036</v>
      </c>
      <c r="F186" s="20" t="n">
        <f aca="false">F185/F183</f>
        <v>0.953532073180508</v>
      </c>
      <c r="G186" s="20" t="n">
        <f aca="false">G185/G183</f>
        <v>0.949148806531266</v>
      </c>
    </row>
    <row r="187" customFormat="false" ht="17.15" hidden="false" customHeight="false" outlineLevel="0" collapsed="false">
      <c r="A187" s="0" t="s">
        <v>645</v>
      </c>
      <c r="B187" s="0" t="s">
        <v>303</v>
      </c>
      <c r="D187" s="21" t="n">
        <f aca="false">(D178+D181)*D186</f>
        <v>74.83672875</v>
      </c>
      <c r="E187" s="21" t="n">
        <f aca="false">(E178+E181)*E186</f>
        <v>114.075439646689</v>
      </c>
      <c r="F187" s="21" t="n">
        <f aca="false">(F178+F181)*F186</f>
        <v>139.367450199535</v>
      </c>
      <c r="G187" s="21" t="n">
        <f aca="false">(G178+G181)*G186</f>
        <v>159.695036478785</v>
      </c>
    </row>
    <row r="188" customFormat="false" ht="17.15" hidden="false" customHeight="false" outlineLevel="0" collapsed="false">
      <c r="A188" s="3" t="s">
        <v>646</v>
      </c>
      <c r="B188" s="0" t="s">
        <v>45</v>
      </c>
      <c r="D188" s="20" t="n">
        <f aca="false">D178/(D178+D181)</f>
        <v>0.342851634440636</v>
      </c>
      <c r="E188" s="20" t="n">
        <f aca="false">E178/(E178+E181)</f>
        <v>0.41576820311572</v>
      </c>
      <c r="F188" s="20" t="n">
        <f aca="false">F178/(F178+F181)</f>
        <v>0.465316585831443</v>
      </c>
      <c r="G188" s="20" t="n">
        <f aca="false">G178/(G178+G181)</f>
        <v>0.530347590813235</v>
      </c>
    </row>
    <row r="189" customFormat="false" ht="17.15" hidden="false" customHeight="false" outlineLevel="0" collapsed="false">
      <c r="A189" s="5" t="s">
        <v>647</v>
      </c>
    </row>
    <row r="190" customFormat="false" ht="17.15" hidden="false" customHeight="false" outlineLevel="0" collapsed="false">
      <c r="A190" s="0" t="s">
        <v>550</v>
      </c>
      <c r="B190" s="0" t="s">
        <v>303</v>
      </c>
      <c r="D190" s="21" t="n">
        <f aca="false">a26_bt</f>
        <v>16.944165</v>
      </c>
      <c r="E190" s="21" t="n">
        <f aca="false">D190*(1+g_bt)</f>
        <v>17.79137325</v>
      </c>
      <c r="F190" s="21" t="n">
        <f aca="false">E190*(1+g_bt)</f>
        <v>18.6809419125</v>
      </c>
      <c r="G190" s="21" t="n">
        <f aca="false">F190*(1+g_bt)</f>
        <v>19.614989008125</v>
      </c>
    </row>
    <row r="191" customFormat="false" ht="17.15" hidden="false" customHeight="false" outlineLevel="0" collapsed="false">
      <c r="A191" s="0" t="s">
        <v>648</v>
      </c>
      <c r="B191" s="0" t="s">
        <v>303</v>
      </c>
      <c r="D191" s="21" t="n">
        <f aca="false">a26_pcb*ai_pcb</f>
        <v>37.93610275</v>
      </c>
      <c r="E191" s="21" t="n">
        <f aca="false">D191*(1+g_pai_27)</f>
        <v>45.5233233</v>
      </c>
      <c r="F191" s="21" t="n">
        <f aca="false">D191*(1+g_pai_27)*(1+g_pai_28)*um28_A</f>
        <v>52.351821795</v>
      </c>
      <c r="G191" s="21" t="n">
        <f aca="false">D191*(1+g_pai_27)*(1+g_pai_28)*(1+g_pai_29)*um29_A</f>
        <v>57.5870039745</v>
      </c>
      <c r="K191" s="3" t="s">
        <v>649</v>
      </c>
    </row>
    <row r="192" customFormat="false" ht="17.15" hidden="false" customHeight="false" outlineLevel="0" collapsed="false">
      <c r="A192" s="3" t="s">
        <v>650</v>
      </c>
      <c r="B192" s="0" t="s">
        <v>303</v>
      </c>
      <c r="D192" s="21" t="n">
        <f aca="false">a26_pcb*(1-ai_pcb)</f>
        <v>20.42713225</v>
      </c>
      <c r="E192" s="21" t="n">
        <f aca="false">D192*(1+g_pcbn)</f>
        <v>20.835674895</v>
      </c>
      <c r="F192" s="21" t="n">
        <f aca="false">E192*(1+g_pcbn)</f>
        <v>21.2523883929</v>
      </c>
      <c r="G192" s="21" t="n">
        <f aca="false">F192*(1+g_pcbn)</f>
        <v>21.677436160758</v>
      </c>
    </row>
    <row r="193" customFormat="false" ht="15" hidden="false" customHeight="false" outlineLevel="0" collapsed="false">
      <c r="A193" s="3" t="s">
        <v>552</v>
      </c>
      <c r="B193" s="0" t="s">
        <v>303</v>
      </c>
      <c r="D193" s="21" t="n">
        <f aca="false">a26_fpc</f>
        <v>13.178795</v>
      </c>
      <c r="E193" s="21" t="n">
        <f aca="false">D193*(1+g_fpc)</f>
        <v>13.178795</v>
      </c>
      <c r="F193" s="21" t="n">
        <f aca="false">E193*(1+g_fpc)</f>
        <v>13.178795</v>
      </c>
      <c r="G193" s="21" t="n">
        <f aca="false">F193*(1+g_fpc)</f>
        <v>13.178795</v>
      </c>
    </row>
    <row r="194" customFormat="false" ht="17.15" hidden="false" customHeight="false" outlineLevel="0" collapsed="false">
      <c r="A194" s="3" t="s">
        <v>651</v>
      </c>
      <c r="B194" s="0" t="s">
        <v>303</v>
      </c>
      <c r="D194" s="21" t="n">
        <f aca="false">D185+D190</f>
        <v>116.72647</v>
      </c>
      <c r="E194" s="21" t="n">
        <f aca="false">E185+E190</f>
        <v>155.303862328125</v>
      </c>
      <c r="F194" s="21" t="n">
        <f aca="false">F185+F190</f>
        <v>183.283391339016</v>
      </c>
      <c r="G194" s="21" t="n">
        <f aca="false">G185+G190</f>
        <v>205.182592519492</v>
      </c>
      <c r="K194" s="3" t="s">
        <v>652</v>
      </c>
    </row>
    <row r="195" customFormat="false" ht="17.15" hidden="false" customHeight="false" outlineLevel="0" collapsed="false">
      <c r="A195" s="0" t="s">
        <v>653</v>
      </c>
      <c r="B195" s="0" t="s">
        <v>303</v>
      </c>
      <c r="D195" s="21" t="n">
        <f aca="false">D191+D192</f>
        <v>58.363235</v>
      </c>
      <c r="E195" s="21" t="n">
        <f aca="false">E191+E192</f>
        <v>66.358998195</v>
      </c>
      <c r="F195" s="21" t="n">
        <f aca="false">F191+F192</f>
        <v>73.6042101879</v>
      </c>
      <c r="G195" s="21" t="n">
        <f aca="false">G191+G192</f>
        <v>79.264440135258</v>
      </c>
      <c r="K195" s="3" t="s">
        <v>654</v>
      </c>
    </row>
    <row r="196" customFormat="false" ht="17.15" hidden="false" customHeight="false" outlineLevel="0" collapsed="false">
      <c r="A196" s="3" t="s">
        <v>515</v>
      </c>
      <c r="B196" s="0" t="s">
        <v>303</v>
      </c>
      <c r="C196" s="23" t="n">
        <f aca="false">a25_rev</f>
        <v>131.241</v>
      </c>
      <c r="D196" s="23" t="n">
        <f aca="false">D194+D195+D193</f>
        <v>188.2685</v>
      </c>
      <c r="E196" s="23" t="n">
        <f aca="false">E194+E195+E193</f>
        <v>234.841655523125</v>
      </c>
      <c r="F196" s="23" t="n">
        <f aca="false">F194+F195+F193</f>
        <v>270.066396526916</v>
      </c>
      <c r="G196" s="23" t="n">
        <f aca="false">G194+G195+G193</f>
        <v>297.62582765475</v>
      </c>
      <c r="H196" s="25" t="n">
        <f aca="false">G196*(1+H198)</f>
        <v>323.826200795704</v>
      </c>
      <c r="I196" s="25" t="n">
        <f aca="false">H196*(1+I198)</f>
        <v>347.794399167087</v>
      </c>
      <c r="J196" s="25" t="n">
        <f aca="false">I196*(1+J198)</f>
        <v>368.662063117113</v>
      </c>
      <c r="K196" s="7" t="s">
        <v>655</v>
      </c>
    </row>
    <row r="197" customFormat="false" ht="17.15" hidden="false" customHeight="false" outlineLevel="0" collapsed="false">
      <c r="A197" s="3" t="s">
        <v>656</v>
      </c>
      <c r="B197" s="0" t="s">
        <v>303</v>
      </c>
      <c r="D197" s="19" t="n">
        <f aca="false">D194+D195+D193-D196</f>
        <v>0</v>
      </c>
      <c r="E197" s="19" t="n">
        <f aca="false">E194+E195+E193-E196</f>
        <v>0</v>
      </c>
      <c r="F197" s="19" t="n">
        <f aca="false">F194+F195+F193-F196</f>
        <v>0</v>
      </c>
      <c r="G197" s="19" t="n">
        <f aca="false">G194+G195+G193-G196</f>
        <v>0</v>
      </c>
    </row>
    <row r="198" customFormat="false" ht="15" hidden="false" customHeight="false" outlineLevel="0" collapsed="false">
      <c r="A198" s="3" t="s">
        <v>657</v>
      </c>
      <c r="B198" s="0" t="s">
        <v>45</v>
      </c>
      <c r="D198" s="20" t="n">
        <f aca="false">D196/C196-1</f>
        <v>0.434525034097576</v>
      </c>
      <c r="E198" s="20" t="n">
        <f aca="false">E196/D196-1</f>
        <v>0.24737625</v>
      </c>
      <c r="F198" s="20" t="n">
        <f aca="false">F196/E196-1</f>
        <v>0.149993581527626</v>
      </c>
      <c r="G198" s="20" t="n">
        <f aca="false">G196/F196-1</f>
        <v>0.10204687248118</v>
      </c>
      <c r="H198" s="26" t="n">
        <f aca="false">$G198+(fade_gA-$G198)*1/3</f>
        <v>0.0880312483207867</v>
      </c>
      <c r="I198" s="26" t="n">
        <f aca="false">$G198+(fade_gA-$G198)*2/3</f>
        <v>0.0740156241603934</v>
      </c>
      <c r="J198" s="26" t="n">
        <f aca="false">$G198+(fade_gA-$G198)*3/3</f>
        <v>0.06</v>
      </c>
    </row>
    <row r="199" customFormat="false" ht="17.15" hidden="false" customHeight="false" outlineLevel="0" collapsed="false">
      <c r="A199" s="0" t="s">
        <v>658</v>
      </c>
      <c r="B199" s="0" t="s">
        <v>45</v>
      </c>
      <c r="D199" s="20" t="n">
        <f aca="false">D185/D196</f>
        <v>0.53</v>
      </c>
      <c r="E199" s="20" t="n">
        <f aca="false">E185/E196</f>
        <v>0.585554078009743</v>
      </c>
      <c r="F199" s="20" t="n">
        <f aca="false">F185/F196</f>
        <v>0.609488820317232</v>
      </c>
      <c r="G199" s="20" t="n">
        <f aca="false">G185/G196</f>
        <v>0.623492944055339</v>
      </c>
    </row>
    <row r="200" customFormat="false" ht="17.15" hidden="false" customHeight="false" outlineLevel="0" collapsed="false">
      <c r="A200" s="0" t="s">
        <v>659</v>
      </c>
      <c r="B200" s="0" t="s">
        <v>45</v>
      </c>
      <c r="D200" s="20" t="n">
        <f aca="false">(D187+D191)/D196</f>
        <v>0.599</v>
      </c>
      <c r="E200" s="20" t="n">
        <f aca="false">(E187+E191)/E196</f>
        <v>0.679601591937224</v>
      </c>
      <c r="F200" s="20" t="n">
        <f aca="false">(F187+F191)/F196</f>
        <v>0.70989680486009</v>
      </c>
      <c r="G200" s="20" t="n">
        <f aca="false">(G187+G191)/G196</f>
        <v>0.73005102468908</v>
      </c>
      <c r="K200" s="3" t="s">
        <v>660</v>
      </c>
    </row>
    <row r="201" customFormat="false" ht="17.15" hidden="false" customHeight="false" outlineLevel="0" collapsed="false">
      <c r="A201" s="5" t="s">
        <v>661</v>
      </c>
    </row>
    <row r="202" customFormat="false" ht="15" hidden="false" customHeight="false" outlineLevel="0" collapsed="false">
      <c r="A202" s="3" t="s">
        <v>662</v>
      </c>
      <c r="B202" s="0" t="s">
        <v>303</v>
      </c>
      <c r="C202" s="23" t="n">
        <f aca="false">a25_cx</f>
        <v>25.617</v>
      </c>
      <c r="D202" s="23" t="n">
        <f aca="false">capex26</f>
        <v>53.7</v>
      </c>
      <c r="E202" s="23" t="n">
        <f aca="false">cx27_A</f>
        <v>55</v>
      </c>
      <c r="F202" s="23" t="n">
        <f aca="false">cx28_A</f>
        <v>50</v>
      </c>
      <c r="G202" s="23" t="n">
        <f aca="false">cx29_A</f>
        <v>45</v>
      </c>
      <c r="H202" s="25" t="n">
        <f aca="false">H196*H219</f>
        <v>45.9375856399363</v>
      </c>
      <c r="I202" s="25" t="n">
        <f aca="false">I196*I219</f>
        <v>46.0900542147886</v>
      </c>
      <c r="J202" s="25" t="n">
        <f aca="false">J196*J219</f>
        <v>45.4129691390444</v>
      </c>
    </row>
    <row r="203" customFormat="false" ht="17.15" hidden="false" customHeight="false" outlineLevel="0" collapsed="false">
      <c r="A203" s="3" t="s">
        <v>663</v>
      </c>
      <c r="B203" s="0" t="s">
        <v>303</v>
      </c>
      <c r="C203" s="23" t="n">
        <f aca="false">a25_da</f>
        <v>18.8</v>
      </c>
      <c r="D203" s="23" t="n">
        <f aca="false">da26</f>
        <v>20.8</v>
      </c>
      <c r="E203" s="23" t="n">
        <f aca="false">D203*(1-1/life)+D202/life</f>
        <v>24.9125</v>
      </c>
      <c r="F203" s="23" t="n">
        <f aca="false">E203*(1-1/life)+E202/life</f>
        <v>28.6734375</v>
      </c>
      <c r="G203" s="23" t="n">
        <f aca="false">F203*(1-1/life)+F202/life</f>
        <v>31.3392578125</v>
      </c>
      <c r="H203" s="25" t="n">
        <f aca="false">H196*H204</f>
        <v>34.0980917991814</v>
      </c>
      <c r="I203" s="25" t="n">
        <f aca="false">I196*I204</f>
        <v>36.6218833463761</v>
      </c>
      <c r="J203" s="25" t="n">
        <f aca="false">J196*J204</f>
        <v>38.8191963471587</v>
      </c>
      <c r="K203" s="3" t="s">
        <v>664</v>
      </c>
    </row>
    <row r="204" customFormat="false" ht="17.15" hidden="false" customHeight="false" outlineLevel="0" collapsed="false">
      <c r="A204" s="3" t="s">
        <v>665</v>
      </c>
      <c r="B204" s="0" t="s">
        <v>45</v>
      </c>
      <c r="C204" s="20" t="n">
        <f aca="false">C203/C196</f>
        <v>0.143247917952469</v>
      </c>
      <c r="D204" s="20" t="n">
        <f aca="false">D203/D196</f>
        <v>0.110480510547436</v>
      </c>
      <c r="E204" s="20" t="n">
        <f aca="false">E203/E196</f>
        <v>0.106082117095052</v>
      </c>
      <c r="F204" s="20" t="n">
        <f aca="false">F203/F196</f>
        <v>0.106171807632285</v>
      </c>
      <c r="G204" s="20" t="n">
        <f aca="false">G203/G196</f>
        <v>0.10529750747591</v>
      </c>
      <c r="H204" s="26" t="n">
        <f aca="false">$G204</f>
        <v>0.10529750747591</v>
      </c>
      <c r="I204" s="26" t="n">
        <f aca="false">$G204</f>
        <v>0.10529750747591</v>
      </c>
      <c r="J204" s="26" t="n">
        <f aca="false">$G204</f>
        <v>0.10529750747591</v>
      </c>
    </row>
    <row r="205" customFormat="false" ht="17.15" hidden="false" customHeight="false" outlineLevel="0" collapsed="false">
      <c r="A205" s="3" t="s">
        <v>666</v>
      </c>
      <c r="B205" s="0" t="s">
        <v>303</v>
      </c>
      <c r="E205" s="21" t="n">
        <f aca="false">E187*(1-1/(E172*E173))</f>
        <v>5.43216379269948</v>
      </c>
      <c r="F205" s="21" t="n">
        <f aca="false">F187*(1-1/(F172*F173))</f>
        <v>-0.349291855136703</v>
      </c>
      <c r="G205" s="21" t="n">
        <f aca="false">G187*(1-1/(G172*G173))</f>
        <v>-9.29442011252189</v>
      </c>
      <c r="K205" s="7" t="s">
        <v>667</v>
      </c>
    </row>
    <row r="206" customFormat="false" ht="17.15" hidden="false" customHeight="false" outlineLevel="0" collapsed="false">
      <c r="A206" s="3" t="s">
        <v>668</v>
      </c>
      <c r="B206" s="0" t="s">
        <v>303</v>
      </c>
      <c r="C206" s="21" t="n">
        <f aca="false">a25_gp</f>
        <v>18.292</v>
      </c>
      <c r="D206" s="21" t="n">
        <f aca="false">a26_gp</f>
        <v>47.3329657</v>
      </c>
      <c r="E206" s="21" t="n">
        <f aca="false">$D206+ft_abf*(E185-E205-$D185)+ft_oth*((E196-E185)-($D196-$D185))+E205-(E203-$D203)</f>
        <v>67.0123824966623</v>
      </c>
      <c r="F206" s="21" t="n">
        <f aca="false">$D206+ft_abf*(F185-F205-$D185)+ft_oth*((F196-F185)-($D196-$D185))+F205-(F203-$D203)</f>
        <v>75.9393925107895</v>
      </c>
      <c r="G206" s="21" t="n">
        <f aca="false">$D206+ft_abf*(G185-G205-$D185)+ft_oth*((G196-G185)-($D196-$D185))+G205-(G203-$D203)</f>
        <v>80.9321543727681</v>
      </c>
      <c r="K206" s="3" t="s">
        <v>669</v>
      </c>
    </row>
    <row r="207" customFormat="false" ht="15" hidden="false" customHeight="false" outlineLevel="0" collapsed="false">
      <c r="A207" s="3" t="s">
        <v>522</v>
      </c>
      <c r="B207" s="0" t="s">
        <v>45</v>
      </c>
      <c r="C207" s="13" t="n">
        <f aca="false">C206/C196</f>
        <v>0.139377176339711</v>
      </c>
      <c r="D207" s="13" t="n">
        <f aca="false">D206/D196</f>
        <v>0.251412029627899</v>
      </c>
      <c r="E207" s="13" t="n">
        <f aca="false">E206/E196</f>
        <v>0.285351345984118</v>
      </c>
      <c r="F207" s="13" t="n">
        <f aca="false">F206/F196</f>
        <v>0.281187861531011</v>
      </c>
      <c r="G207" s="13" t="n">
        <f aca="false">G206/G196</f>
        <v>0.271925843971615</v>
      </c>
    </row>
    <row r="208" customFormat="false" ht="15" hidden="false" customHeight="false" outlineLevel="0" collapsed="false">
      <c r="A208" s="3" t="s">
        <v>524</v>
      </c>
      <c r="B208" s="0" t="s">
        <v>303</v>
      </c>
      <c r="C208" s="21" t="n">
        <f aca="false">a25_opx</f>
        <v>11.618</v>
      </c>
      <c r="D208" s="21" t="n">
        <f aca="false">a26_opx</f>
        <v>16.6539532</v>
      </c>
      <c r="E208" s="21" t="n">
        <f aca="false">D208*(1+phi*E198)</f>
        <v>19.1258286941749</v>
      </c>
      <c r="F208" s="21" t="n">
        <f aca="false">E208*(1+phi*F198)</f>
        <v>20.8470796214888</v>
      </c>
      <c r="G208" s="21" t="n">
        <f aca="false">F208*(1+phi*G198)</f>
        <v>22.1235071869322</v>
      </c>
    </row>
    <row r="209" customFormat="false" ht="15" hidden="false" customHeight="false" outlineLevel="0" collapsed="false">
      <c r="A209" s="3" t="s">
        <v>527</v>
      </c>
      <c r="B209" s="0" t="s">
        <v>303</v>
      </c>
      <c r="C209" s="21" t="n">
        <f aca="false">C206-C208</f>
        <v>6.674</v>
      </c>
      <c r="D209" s="21" t="n">
        <f aca="false">D206-D208</f>
        <v>30.6790125</v>
      </c>
      <c r="E209" s="21" t="n">
        <f aca="false">E206-E208</f>
        <v>47.8865538024874</v>
      </c>
      <c r="F209" s="21" t="n">
        <f aca="false">F206-F208</f>
        <v>55.0923128893007</v>
      </c>
      <c r="G209" s="21" t="n">
        <f aca="false">G206-G208</f>
        <v>58.8086471858359</v>
      </c>
    </row>
    <row r="210" customFormat="false" ht="15" hidden="false" customHeight="false" outlineLevel="0" collapsed="false">
      <c r="A210" s="3" t="s">
        <v>605</v>
      </c>
      <c r="B210" s="0" t="s">
        <v>45</v>
      </c>
      <c r="C210" s="13" t="n">
        <f aca="false">C209/C196</f>
        <v>0.0508530108731265</v>
      </c>
      <c r="D210" s="13" t="n">
        <f aca="false">D209/D196</f>
        <v>0.162953507888999</v>
      </c>
      <c r="E210" s="13" t="n">
        <f aca="false">E209/E196</f>
        <v>0.203909965188318</v>
      </c>
      <c r="F210" s="13" t="n">
        <f aca="false">F209/F196</f>
        <v>0.203995438150744</v>
      </c>
      <c r="G210" s="13" t="n">
        <f aca="false">G209/G196</f>
        <v>0.19759255320427</v>
      </c>
    </row>
    <row r="211" customFormat="false" ht="17.15" hidden="false" customHeight="false" outlineLevel="0" collapsed="false">
      <c r="A211" s="3" t="s">
        <v>670</v>
      </c>
      <c r="B211" s="0" t="s">
        <v>303</v>
      </c>
      <c r="C211" s="21" t="n">
        <f aca="false">a25_nonop</f>
        <v>-0.00100000000000033</v>
      </c>
      <c r="D211" s="21" t="n">
        <f aca="false">a26_nonop</f>
        <v>14.466</v>
      </c>
      <c r="E211" s="21" t="n">
        <f aca="false">nonop27</f>
        <v>2</v>
      </c>
      <c r="F211" s="21" t="n">
        <f aca="false">nonop28</f>
        <v>2</v>
      </c>
      <c r="G211" s="21" t="n">
        <f aca="false">nonop29</f>
        <v>2</v>
      </c>
      <c r="K211" s="7" t="s">
        <v>671</v>
      </c>
    </row>
    <row r="212" customFormat="false" ht="15" hidden="false" customHeight="false" outlineLevel="0" collapsed="false">
      <c r="A212" s="3" t="s">
        <v>533</v>
      </c>
      <c r="B212" s="0" t="s">
        <v>303</v>
      </c>
      <c r="C212" s="21" t="n">
        <f aca="false">C209+C211</f>
        <v>6.673</v>
      </c>
      <c r="D212" s="21" t="n">
        <f aca="false">D209+D211</f>
        <v>45.1450125</v>
      </c>
      <c r="E212" s="21" t="n">
        <f aca="false">E209+E211</f>
        <v>49.8865538024874</v>
      </c>
      <c r="F212" s="21" t="n">
        <f aca="false">F209+F211</f>
        <v>57.0923128893007</v>
      </c>
      <c r="G212" s="21" t="n">
        <f aca="false">G209+G211</f>
        <v>60.8086471858359</v>
      </c>
    </row>
    <row r="213" customFormat="false" ht="15" hidden="false" customHeight="false" outlineLevel="0" collapsed="false">
      <c r="A213" s="3" t="s">
        <v>537</v>
      </c>
      <c r="B213" s="0" t="s">
        <v>303</v>
      </c>
      <c r="E213" s="21" t="n">
        <f aca="false">E212*tax</f>
        <v>8.97957968444772</v>
      </c>
      <c r="F213" s="21" t="n">
        <f aca="false">F212*tax</f>
        <v>10.2766163200741</v>
      </c>
      <c r="G213" s="21" t="n">
        <f aca="false">G212*tax</f>
        <v>10.9455564934505</v>
      </c>
    </row>
    <row r="214" customFormat="false" ht="15" hidden="false" customHeight="false" outlineLevel="0" collapsed="false">
      <c r="A214" s="3" t="s">
        <v>535</v>
      </c>
      <c r="B214" s="0" t="s">
        <v>303</v>
      </c>
      <c r="C214" s="21" t="n">
        <f aca="false">a25_ni</f>
        <v>6.673</v>
      </c>
      <c r="D214" s="21" t="n">
        <f aca="false">a26_ni</f>
        <v>37.23923025</v>
      </c>
      <c r="E214" s="21" t="n">
        <f aca="false">E212-E213</f>
        <v>40.9069741180396</v>
      </c>
      <c r="F214" s="21" t="n">
        <f aca="false">F212-F213</f>
        <v>46.8156965692265</v>
      </c>
      <c r="G214" s="21" t="n">
        <f aca="false">G212-G213</f>
        <v>49.8630906923854</v>
      </c>
      <c r="H214" s="30" t="n">
        <f aca="false">H196*H218</f>
        <v>54.8860420210733</v>
      </c>
      <c r="I214" s="30" t="n">
        <f aca="false">I196*I218</f>
        <v>59.6287924353813</v>
      </c>
      <c r="J214" s="30" t="n">
        <f aca="false">J196*J218</f>
        <v>63.9276652833143</v>
      </c>
    </row>
    <row r="215" customFormat="false" ht="15" hidden="false" customHeight="false" outlineLevel="0" collapsed="false">
      <c r="A215" s="3" t="s">
        <v>672</v>
      </c>
      <c r="B215" s="3" t="s">
        <v>381</v>
      </c>
      <c r="C215" s="29" t="n">
        <f aca="false">a25_sh</f>
        <v>1.52351598173516</v>
      </c>
      <c r="D215" s="29" t="n">
        <f aca="false">a26_sh</f>
        <v>1.59236316568047</v>
      </c>
      <c r="E215" s="29" t="n">
        <f aca="false">a26_shend*(1+sh_g)</f>
        <v>1.64</v>
      </c>
      <c r="F215" s="29" t="n">
        <f aca="false">E215*(1+sh_g)</f>
        <v>1.64</v>
      </c>
      <c r="G215" s="29" t="n">
        <f aca="false">F215*(1+sh_g)</f>
        <v>1.64</v>
      </c>
      <c r="H215" s="31" t="n">
        <f aca="false">G215*(1+sh_g)</f>
        <v>1.64</v>
      </c>
      <c r="I215" s="31" t="n">
        <f aca="false">H215*(1+sh_g)</f>
        <v>1.64</v>
      </c>
      <c r="J215" s="31" t="n">
        <f aca="false">I215*(1+sh_g)</f>
        <v>1.64</v>
      </c>
    </row>
    <row r="216" customFormat="false" ht="17.15" hidden="false" customHeight="false" outlineLevel="0" collapsed="false">
      <c r="A216" s="0" t="s">
        <v>540</v>
      </c>
      <c r="B216" s="0" t="s">
        <v>387</v>
      </c>
      <c r="C216" s="18" t="n">
        <f aca="false">C214/C215</f>
        <v>4.38</v>
      </c>
      <c r="D216" s="18" t="n">
        <f aca="false">D214/D215</f>
        <v>23.3861414610695</v>
      </c>
      <c r="E216" s="18" t="n">
        <f aca="false">E214/E215</f>
        <v>24.9432769012437</v>
      </c>
      <c r="F216" s="18" t="n">
        <f aca="false">F214/F215</f>
        <v>28.5461564446503</v>
      </c>
      <c r="G216" s="18" t="n">
        <f aca="false">G214/G215</f>
        <v>30.4043235929179</v>
      </c>
      <c r="H216" s="28" t="n">
        <f aca="false">H214/H215</f>
        <v>33.4670987933374</v>
      </c>
      <c r="I216" s="28" t="n">
        <f aca="false">I214/I215</f>
        <v>36.3590197776715</v>
      </c>
      <c r="J216" s="28" t="n">
        <f aca="false">J214/J215</f>
        <v>38.980283709338</v>
      </c>
    </row>
    <row r="217" customFormat="false" ht="17.15" hidden="false" customHeight="false" outlineLevel="0" collapsed="false">
      <c r="A217" s="0" t="s">
        <v>673</v>
      </c>
      <c r="B217" s="0" t="s">
        <v>45</v>
      </c>
      <c r="D217" s="20" t="n">
        <f aca="false">D216/C216-1</f>
        <v>4.33930170344053</v>
      </c>
      <c r="E217" s="20" t="n">
        <f aca="false">E216/D216-1</f>
        <v>0.0665836834505733</v>
      </c>
      <c r="F217" s="20" t="n">
        <f aca="false">F216/E216-1</f>
        <v>0.144442911718107</v>
      </c>
      <c r="G217" s="20" t="n">
        <f aca="false">G216/F216-1</f>
        <v>0.0650934269161769</v>
      </c>
      <c r="H217" s="26" t="n">
        <f aca="false">H216/G216-1</f>
        <v>0.100734857365249</v>
      </c>
      <c r="I217" s="26" t="n">
        <f aca="false">I216/H216-1</f>
        <v>0.0864108658534166</v>
      </c>
      <c r="J217" s="26" t="n">
        <f aca="false">J216/I216-1</f>
        <v>0.072093910883599</v>
      </c>
    </row>
    <row r="218" customFormat="false" ht="17.15" hidden="false" customHeight="false" outlineLevel="0" collapsed="false">
      <c r="A218" s="3" t="s">
        <v>674</v>
      </c>
      <c r="B218" s="0" t="s">
        <v>45</v>
      </c>
      <c r="C218" s="13" t="n">
        <f aca="false">C214/C196</f>
        <v>0.0508453913030227</v>
      </c>
      <c r="D218" s="13" t="n">
        <f aca="false">D214/D196</f>
        <v>0.197798517808343</v>
      </c>
      <c r="E218" s="13" t="n">
        <f aca="false">E214/E196</f>
        <v>0.174189600336945</v>
      </c>
      <c r="F218" s="13" t="n">
        <f aca="false">F214/F196</f>
        <v>0.173348840030754</v>
      </c>
      <c r="G218" s="13" t="n">
        <f aca="false">G214/G196</f>
        <v>0.167536168098379</v>
      </c>
      <c r="H218" s="27" t="n">
        <f aca="false">$G218+(fade_mA-$G218)*1/3</f>
        <v>0.169492282854839</v>
      </c>
      <c r="I218" s="27" t="n">
        <f aca="false">$G218+(fade_mA-$G218)*2/3</f>
        <v>0.171448397611298</v>
      </c>
      <c r="J218" s="27" t="n">
        <f aca="false">$G218+(fade_mA-$G218)*3/3</f>
        <v>0.173404512367757</v>
      </c>
    </row>
    <row r="219" customFormat="false" ht="17.15" hidden="false" customHeight="false" outlineLevel="0" collapsed="false">
      <c r="A219" s="3" t="s">
        <v>675</v>
      </c>
      <c r="B219" s="0" t="s">
        <v>45</v>
      </c>
      <c r="C219" s="20" t="n">
        <f aca="false">C202/C196</f>
        <v>0.195190527350447</v>
      </c>
      <c r="D219" s="20" t="n">
        <f aca="false">D202/D196</f>
        <v>0.285230933480641</v>
      </c>
      <c r="E219" s="20" t="n">
        <f aca="false">E202/E196</f>
        <v>0.234200358865142</v>
      </c>
      <c r="F219" s="20" t="n">
        <f aca="false">F202/F196</f>
        <v>0.185139656925133</v>
      </c>
      <c r="G219" s="20" t="n">
        <f aca="false">G202/G196</f>
        <v>0.151196555603369</v>
      </c>
      <c r="H219" s="26" t="n">
        <f aca="false">$G219+($G204*(1+tp_g)^(life/2)-$G219)*1/3</f>
        <v>0.141858767224698</v>
      </c>
      <c r="I219" s="26" t="n">
        <f aca="false">$G219+($G204*(1+tp_g)^(life/2)-$G219)*2/3</f>
        <v>0.132520978846028</v>
      </c>
      <c r="J219" s="26" t="n">
        <f aca="false">$G219+($G204*(1+tp_g)^(life/2)-$G219)*3/3</f>
        <v>0.123183190467358</v>
      </c>
      <c r="K219" s="7" t="s">
        <v>676</v>
      </c>
    </row>
    <row r="220" customFormat="false" ht="15" hidden="false" customHeight="false" outlineLevel="0" collapsed="false">
      <c r="A220" s="3" t="s">
        <v>677</v>
      </c>
      <c r="B220" s="0" t="s">
        <v>303</v>
      </c>
      <c r="E220" s="21" t="n">
        <f aca="false">E214+E203-E202</f>
        <v>10.8194741180396</v>
      </c>
      <c r="F220" s="21" t="n">
        <f aca="false">F214+F203-F202</f>
        <v>25.4891340692265</v>
      </c>
      <c r="G220" s="21" t="n">
        <f aca="false">G214+G203-G202</f>
        <v>36.2023485048854</v>
      </c>
      <c r="H220" s="30" t="n">
        <f aca="false">H214+H203-H202</f>
        <v>43.0465481803184</v>
      </c>
      <c r="I220" s="30" t="n">
        <f aca="false">I214+I203-I202</f>
        <v>50.1606215669688</v>
      </c>
      <c r="J220" s="30" t="n">
        <f aca="false">J214+J203-J202</f>
        <v>57.3338924914286</v>
      </c>
      <c r="K220" s="3" t="s">
        <v>678</v>
      </c>
    </row>
    <row r="221" customFormat="false" ht="15" hidden="false" customHeight="false" outlineLevel="0" collapsed="false">
      <c r="A221" s="3" t="s">
        <v>679</v>
      </c>
      <c r="B221" s="0" t="s">
        <v>387</v>
      </c>
      <c r="E221" s="18" t="n">
        <f aca="false">E220/E215</f>
        <v>6.59724031587783</v>
      </c>
      <c r="F221" s="18" t="n">
        <f aca="false">F220/F215</f>
        <v>15.5421549202601</v>
      </c>
      <c r="G221" s="18" t="n">
        <f aca="false">G220/G215</f>
        <v>22.0746027468813</v>
      </c>
      <c r="H221" s="28" t="n">
        <f aca="false">H220/H215</f>
        <v>26.2478952319014</v>
      </c>
      <c r="I221" s="28" t="n">
        <f aca="false">I220/I215</f>
        <v>30.5857448579078</v>
      </c>
      <c r="J221" s="28" t="n">
        <f aca="false">J220/J215</f>
        <v>34.959690543554</v>
      </c>
    </row>
    <row r="224" customFormat="false" ht="17.15" hidden="false" customHeight="false" outlineLevel="0" collapsed="false">
      <c r="A224" s="1" t="s">
        <v>1022</v>
      </c>
    </row>
    <row r="225" customFormat="false" ht="17.15" hidden="false" customHeight="false" outlineLevel="0" collapsed="false">
      <c r="A225" s="4" t="s">
        <v>22</v>
      </c>
      <c r="B225" s="4" t="s">
        <v>23</v>
      </c>
      <c r="C225" s="14" t="s">
        <v>508</v>
      </c>
      <c r="D225" s="14" t="s">
        <v>592</v>
      </c>
      <c r="E225" s="14" t="s">
        <v>593</v>
      </c>
      <c r="F225" s="14" t="s">
        <v>594</v>
      </c>
      <c r="G225" s="14" t="s">
        <v>595</v>
      </c>
      <c r="H225" s="14" t="s">
        <v>596</v>
      </c>
      <c r="I225" s="14" t="s">
        <v>597</v>
      </c>
      <c r="J225" s="14" t="s">
        <v>598</v>
      </c>
      <c r="K225" s="4" t="s">
        <v>481</v>
      </c>
    </row>
    <row r="226" customFormat="false" ht="17.15" hidden="false" customHeight="false" outlineLevel="0" collapsed="false">
      <c r="A226" s="5" t="s">
        <v>616</v>
      </c>
    </row>
    <row r="227" customFormat="false" ht="17.15" hidden="false" customHeight="false" outlineLevel="0" collapsed="false">
      <c r="A227" s="0" t="s">
        <v>617</v>
      </c>
      <c r="B227" s="3" t="s">
        <v>33</v>
      </c>
      <c r="D227" s="21" t="n">
        <f aca="false">(u_bw_26+u_rb_26+u_ru_26+u_hp_26)*1</f>
        <v>7.6</v>
      </c>
      <c r="E227" s="21" t="n">
        <f aca="false">(u_bw_27+u_rb_27+u_ru_27+u_hp_27)*1*1</f>
        <v>9.7</v>
      </c>
      <c r="F227" s="21" t="n">
        <f aca="false">(u_bw_28+u_rb_28+u_ru_28+u_hp_28)*um28_A*1</f>
        <v>9.5</v>
      </c>
      <c r="G227" s="21" t="n">
        <f aca="false">(u_bw_28*(1+g29_bw)+u_rb_28*(1+g29_rb)+u_ru_28*(1+g29_ru)+u_hp_28*(1+g29_hp))*um29_A*1</f>
        <v>10.6</v>
      </c>
      <c r="K227" s="7" t="s">
        <v>618</v>
      </c>
    </row>
    <row r="228" customFormat="false" ht="17.15" hidden="false" customHeight="false" outlineLevel="0" collapsed="false">
      <c r="A228" s="3" t="s">
        <v>619</v>
      </c>
      <c r="B228" s="3" t="s">
        <v>33</v>
      </c>
      <c r="D228" s="21" t="n">
        <f aca="false">(u_amd_26+u_tpu_26+u_trn_26+u_oth_26)*1</f>
        <v>7.6</v>
      </c>
      <c r="E228" s="21" t="n">
        <f aca="false">(u_amd_27+u_tpu_27+u_trn_27+u_oth_27)*1*1</f>
        <v>14</v>
      </c>
      <c r="F228" s="21" t="n">
        <f aca="false">(u_amd_28+u_tpu_28+u_trn_28+u_oth_28)*um28_A*1</f>
        <v>17</v>
      </c>
      <c r="G228" s="21" t="n">
        <f aca="false">(u_amd_28*(1+g29_amd)+u_tpu_28*(1+g29_tpu)+u_trn_28*(1+g29_trn)+u_oth_28*(1+g29_oth))*um29_A*1</f>
        <v>19.55</v>
      </c>
      <c r="K228" s="7" t="s">
        <v>620</v>
      </c>
    </row>
    <row r="229" customFormat="false" ht="17.15" hidden="false" customHeight="false" outlineLevel="0" collapsed="false">
      <c r="A229" s="3" t="s">
        <v>621</v>
      </c>
      <c r="B229" s="0" t="s">
        <v>145</v>
      </c>
      <c r="D229" s="19" t="n">
        <f aca="false">1</f>
        <v>1</v>
      </c>
      <c r="E229" s="19" t="n">
        <f aca="false">D229*(1+g_asp)</f>
        <v>1.18</v>
      </c>
      <c r="F229" s="19" t="n">
        <f aca="false">E229*(1+g_asp)</f>
        <v>1.3924</v>
      </c>
      <c r="G229" s="19" t="n">
        <f aca="false">F229*(1+g_asp)</f>
        <v>1.643032</v>
      </c>
      <c r="K229" s="7" t="s">
        <v>622</v>
      </c>
    </row>
    <row r="230" customFormat="false" ht="17.15" hidden="false" customHeight="false" outlineLevel="0" collapsed="false">
      <c r="A230" s="0" t="s">
        <v>623</v>
      </c>
      <c r="B230" s="0" t="s">
        <v>145</v>
      </c>
      <c r="D230" s="18" t="n">
        <f aca="false">1</f>
        <v>1</v>
      </c>
      <c r="E230" s="18" t="n">
        <f aca="false">ibpp_27</f>
        <v>1</v>
      </c>
      <c r="F230" s="18" t="n">
        <f aca="false">ibpp_28</f>
        <v>0.95</v>
      </c>
      <c r="G230" s="18" t="n">
        <f aca="false">ibpp_29</f>
        <v>0.9</v>
      </c>
      <c r="K230" s="7" t="s">
        <v>624</v>
      </c>
    </row>
    <row r="231" customFormat="false" ht="17.15" hidden="false" customHeight="false" outlineLevel="0" collapsed="false">
      <c r="A231" s="3" t="s">
        <v>625</v>
      </c>
      <c r="B231" s="0" t="s">
        <v>145</v>
      </c>
      <c r="D231" s="18" t="n">
        <f aca="false">1</f>
        <v>1</v>
      </c>
      <c r="E231" s="18" t="n">
        <f aca="false">1+carry</f>
        <v>1.05</v>
      </c>
      <c r="F231" s="18" t="n">
        <f aca="false">1+carry</f>
        <v>1.05</v>
      </c>
      <c r="G231" s="18" t="n">
        <f aca="false">1+carry</f>
        <v>1.05</v>
      </c>
      <c r="K231" s="7" t="s">
        <v>626</v>
      </c>
    </row>
    <row r="232" customFormat="false" ht="17.15" hidden="false" customHeight="false" outlineLevel="0" collapsed="false">
      <c r="A232" s="3" t="s">
        <v>627</v>
      </c>
      <c r="B232" s="0" t="s">
        <v>628</v>
      </c>
      <c r="D232" s="23" t="n">
        <f aca="false">v26*D229*D230</f>
        <v>215.308596</v>
      </c>
      <c r="E232" s="23" t="n">
        <f aca="false">v26*E229*E230</f>
        <v>254.06414328</v>
      </c>
      <c r="F232" s="23" t="n">
        <f aca="false">v26*F229*F230</f>
        <v>284.80590461688</v>
      </c>
      <c r="G232" s="23" t="n">
        <f aca="false">v26*G229*G230</f>
        <v>318.383021792765</v>
      </c>
      <c r="K232" s="7" t="s">
        <v>629</v>
      </c>
    </row>
    <row r="233" customFormat="false" ht="17.15" hidden="false" customHeight="false" outlineLevel="0" collapsed="false">
      <c r="A233" s="3" t="s">
        <v>630</v>
      </c>
      <c r="B233" s="0" t="s">
        <v>45</v>
      </c>
      <c r="D233" s="20" t="n">
        <f aca="false">sh_nv_26</f>
        <v>0.25</v>
      </c>
      <c r="E233" s="20" t="n">
        <f aca="false">sh_nv_27</f>
        <v>0.27</v>
      </c>
      <c r="F233" s="20" t="n">
        <f aca="false">sh_nv_28</f>
        <v>0.29</v>
      </c>
      <c r="G233" s="20" t="n">
        <f aca="false">sh_nv_29</f>
        <v>0.3</v>
      </c>
    </row>
    <row r="234" customFormat="false" ht="17.15" hidden="false" customHeight="false" outlineLevel="0" collapsed="false">
      <c r="A234" s="3" t="s">
        <v>631</v>
      </c>
      <c r="B234" s="0" t="s">
        <v>45</v>
      </c>
      <c r="D234" s="20" t="n">
        <f aca="false">sh_ot_26</f>
        <v>0.3</v>
      </c>
      <c r="E234" s="20" t="n">
        <f aca="false">sh_ot_27</f>
        <v>0.31</v>
      </c>
      <c r="F234" s="20" t="n">
        <f aca="false">sh_ot_28</f>
        <v>0.32</v>
      </c>
      <c r="G234" s="20" t="n">
        <f aca="false">sh_ot_29</f>
        <v>0.33</v>
      </c>
    </row>
    <row r="235" customFormat="false" ht="17.15" hidden="false" customHeight="false" outlineLevel="0" collapsed="false">
      <c r="A235" s="3" t="s">
        <v>632</v>
      </c>
      <c r="B235" s="0" t="s">
        <v>582</v>
      </c>
      <c r="D235" s="22" t="n">
        <f aca="false">(D227*D232*D233+D228*D232*v_ot*D234)*D231</f>
        <v>801.809211504</v>
      </c>
      <c r="E235" s="22" t="n">
        <f aca="false">(E227*E232*E233+E228*E232*v_ot*E234)*E231</f>
        <v>1624.8799315544</v>
      </c>
      <c r="F235" s="22" t="n">
        <f aca="false">(F227*F232*F233+F228*F232*v_ot*F234)*F231</f>
        <v>2125.32134231777</v>
      </c>
      <c r="G235" s="22" t="n">
        <f aca="false">(G227*G232*G233+G228*G232*v_ot*G234)*G231</f>
        <v>2788.4812844467</v>
      </c>
    </row>
    <row r="236" customFormat="false" ht="15" hidden="false" customHeight="false" outlineLevel="0" collapsed="false">
      <c r="A236" s="3" t="s">
        <v>633</v>
      </c>
      <c r="B236" s="0" t="s">
        <v>303</v>
      </c>
      <c r="D236" s="21" t="n">
        <f aca="false">D235*fx/1000</f>
        <v>25.657894768128</v>
      </c>
      <c r="E236" s="21" t="n">
        <f aca="false">E235*fx/1000</f>
        <v>51.9961578097409</v>
      </c>
      <c r="F236" s="21" t="n">
        <f aca="false">F235*fx/1000</f>
        <v>68.0102829541688</v>
      </c>
      <c r="G236" s="21" t="n">
        <f aca="false">G235*fx/1000</f>
        <v>89.2314011022944</v>
      </c>
    </row>
    <row r="237" customFormat="false" ht="17.15" hidden="false" customHeight="false" outlineLevel="0" collapsed="false">
      <c r="A237" s="5" t="s">
        <v>634</v>
      </c>
    </row>
    <row r="238" customFormat="false" ht="17.15" hidden="false" customHeight="false" outlineLevel="0" collapsed="false">
      <c r="A238" s="0" t="s">
        <v>635</v>
      </c>
      <c r="B238" s="0" t="s">
        <v>303</v>
      </c>
      <c r="D238" s="21" t="n">
        <f aca="false">a26_abf*ai_abf</f>
        <v>74.83672875</v>
      </c>
      <c r="K238" s="3" t="s">
        <v>636</v>
      </c>
    </row>
    <row r="239" customFormat="false" ht="17.15" hidden="false" customHeight="false" outlineLevel="0" collapsed="false">
      <c r="A239" s="3" t="s">
        <v>637</v>
      </c>
      <c r="B239" s="0" t="s">
        <v>303</v>
      </c>
      <c r="D239" s="21" t="n">
        <f aca="false">D238-D236</f>
        <v>49.178833981872</v>
      </c>
      <c r="E239" s="21" t="n">
        <f aca="false">$D239*(itc_27/itc_26)^el_o*1*1*E230*E231</f>
        <v>73.0642903440322</v>
      </c>
      <c r="F239" s="21" t="n">
        <f aca="false">$D239*(itc_28/itc_26)^el_o*um28_A*1*F230*F231</f>
        <v>78.1488805595188</v>
      </c>
      <c r="G239" s="21" t="n">
        <f aca="false">$D239*(itc_29/itc_26)^el_o*um29_A*1*G230*G231</f>
        <v>79.0193888474949</v>
      </c>
      <c r="K239" s="7" t="s">
        <v>638</v>
      </c>
    </row>
    <row r="240" customFormat="false" ht="17.15" hidden="false" customHeight="false" outlineLevel="0" collapsed="false">
      <c r="A240" s="3" t="s">
        <v>639</v>
      </c>
      <c r="B240" s="0" t="s">
        <v>303</v>
      </c>
      <c r="D240" s="21" t="n">
        <f aca="false">a26_abf-D238</f>
        <v>24.94557625</v>
      </c>
      <c r="E240" s="21" t="n">
        <f aca="false">D240*(1+g_nai)</f>
        <v>25.6939435375</v>
      </c>
      <c r="F240" s="21" t="n">
        <f aca="false">E240*(1+g_nai)</f>
        <v>26.464761843625</v>
      </c>
      <c r="G240" s="21" t="n">
        <f aca="false">F240*(1+g_nai)</f>
        <v>27.2587046989338</v>
      </c>
    </row>
    <row r="241" customFormat="false" ht="17.15" hidden="false" customHeight="false" outlineLevel="0" collapsed="false">
      <c r="A241" s="0" t="s">
        <v>640</v>
      </c>
      <c r="B241" s="0" t="s">
        <v>303</v>
      </c>
      <c r="D241" s="21" t="n">
        <f aca="false">D236+D239+D240</f>
        <v>99.782305</v>
      </c>
      <c r="E241" s="21" t="n">
        <f aca="false">E236+E239+E240</f>
        <v>150.754391691273</v>
      </c>
      <c r="F241" s="21" t="n">
        <f aca="false">F236+F239+F240</f>
        <v>172.623925357313</v>
      </c>
      <c r="G241" s="21" t="n">
        <f aca="false">G236+G239+G240</f>
        <v>195.509494648723</v>
      </c>
    </row>
    <row r="242" customFormat="false" ht="17.15" hidden="false" customHeight="false" outlineLevel="0" collapsed="false">
      <c r="A242" s="0" t="s">
        <v>641</v>
      </c>
      <c r="B242" s="0" t="s">
        <v>303</v>
      </c>
      <c r="D242" s="21" t="n">
        <f aca="false">a26_abf</f>
        <v>99.782305</v>
      </c>
      <c r="E242" s="21" t="n">
        <f aca="false">$D241*cap_27_hi*(1+g_mix)^1*E230*E231</f>
        <v>159.514487330625</v>
      </c>
      <c r="F242" s="21" t="n">
        <f aca="false">$D241*cap_28_hi*(1+g_mix)^2*F230*F231</f>
        <v>208.496435940253</v>
      </c>
      <c r="G242" s="21" t="n">
        <f aca="false">$D241*cap_29_hi*(1+g_mix)^3*G230*G231</f>
        <v>251.062051809496</v>
      </c>
      <c r="K242" s="7" t="s">
        <v>642</v>
      </c>
    </row>
    <row r="243" customFormat="false" ht="17.15" hidden="false" customHeight="false" outlineLevel="0" collapsed="false">
      <c r="A243" s="0" t="s">
        <v>643</v>
      </c>
      <c r="B243" s="0" t="s">
        <v>303</v>
      </c>
      <c r="D243" s="21" t="n">
        <f aca="false">a26_abf</f>
        <v>99.782305</v>
      </c>
      <c r="E243" s="21" t="n">
        <f aca="false">MIN(E241,E242)</f>
        <v>150.754391691273</v>
      </c>
      <c r="F243" s="21" t="n">
        <f aca="false">MIN(F241,F242)</f>
        <v>172.623925357313</v>
      </c>
      <c r="G243" s="21" t="n">
        <f aca="false">MIN(G241,G242)</f>
        <v>195.509494648723</v>
      </c>
    </row>
    <row r="244" customFormat="false" ht="17.15" hidden="false" customHeight="false" outlineLevel="0" collapsed="false">
      <c r="A244" s="3" t="s">
        <v>644</v>
      </c>
      <c r="B244" s="0" t="s">
        <v>45</v>
      </c>
      <c r="D244" s="20" t="n">
        <f aca="false">D243/D241</f>
        <v>1</v>
      </c>
      <c r="E244" s="20" t="n">
        <f aca="false">E243/E241</f>
        <v>1</v>
      </c>
      <c r="F244" s="20" t="n">
        <f aca="false">F243/F241</f>
        <v>1</v>
      </c>
      <c r="G244" s="20" t="n">
        <f aca="false">G243/G241</f>
        <v>1</v>
      </c>
    </row>
    <row r="245" customFormat="false" ht="17.15" hidden="false" customHeight="false" outlineLevel="0" collapsed="false">
      <c r="A245" s="0" t="s">
        <v>645</v>
      </c>
      <c r="B245" s="0" t="s">
        <v>303</v>
      </c>
      <c r="D245" s="21" t="n">
        <f aca="false">(D236+D239)*D244</f>
        <v>74.83672875</v>
      </c>
      <c r="E245" s="21" t="n">
        <f aca="false">(E236+E239)*E244</f>
        <v>125.060448153773</v>
      </c>
      <c r="F245" s="21" t="n">
        <f aca="false">(F236+F239)*F244</f>
        <v>146.159163513688</v>
      </c>
      <c r="G245" s="21" t="n">
        <f aca="false">(G236+G239)*G244</f>
        <v>168.250789949789</v>
      </c>
    </row>
    <row r="246" customFormat="false" ht="17.15" hidden="false" customHeight="false" outlineLevel="0" collapsed="false">
      <c r="A246" s="3" t="s">
        <v>646</v>
      </c>
      <c r="B246" s="0" t="s">
        <v>45</v>
      </c>
      <c r="D246" s="20" t="n">
        <f aca="false">D236/(D236+D239)</f>
        <v>0.342851634440636</v>
      </c>
      <c r="E246" s="20" t="n">
        <f aca="false">E236/(E236+E239)</f>
        <v>0.41576820311572</v>
      </c>
      <c r="F246" s="20" t="n">
        <f aca="false">F236/(F236+F239)</f>
        <v>0.465316585831443</v>
      </c>
      <c r="G246" s="20" t="n">
        <f aca="false">G236/(G236+G239)</f>
        <v>0.530347590813235</v>
      </c>
    </row>
    <row r="247" customFormat="false" ht="17.15" hidden="false" customHeight="false" outlineLevel="0" collapsed="false">
      <c r="A247" s="5" t="s">
        <v>647</v>
      </c>
    </row>
    <row r="248" customFormat="false" ht="17.15" hidden="false" customHeight="false" outlineLevel="0" collapsed="false">
      <c r="A248" s="0" t="s">
        <v>550</v>
      </c>
      <c r="B248" s="0" t="s">
        <v>303</v>
      </c>
      <c r="D248" s="21" t="n">
        <f aca="false">a26_bt</f>
        <v>16.944165</v>
      </c>
      <c r="E248" s="21" t="n">
        <f aca="false">D248*(1+g_bt)</f>
        <v>17.79137325</v>
      </c>
      <c r="F248" s="21" t="n">
        <f aca="false">E248*(1+g_bt)</f>
        <v>18.6809419125</v>
      </c>
      <c r="G248" s="21" t="n">
        <f aca="false">F248*(1+g_bt)</f>
        <v>19.614989008125</v>
      </c>
    </row>
    <row r="249" customFormat="false" ht="17.15" hidden="false" customHeight="false" outlineLevel="0" collapsed="false">
      <c r="A249" s="0" t="s">
        <v>648</v>
      </c>
      <c r="B249" s="0" t="s">
        <v>303</v>
      </c>
      <c r="D249" s="21" t="n">
        <f aca="false">a26_pcb*ai_pcb</f>
        <v>37.93610275</v>
      </c>
      <c r="E249" s="21" t="n">
        <f aca="false">D249*(1+g_pai_27)</f>
        <v>45.5233233</v>
      </c>
      <c r="F249" s="21" t="n">
        <f aca="false">D249*(1+g_pai_27)*(1+g_pai_28)*um28_A</f>
        <v>52.351821795</v>
      </c>
      <c r="G249" s="21" t="n">
        <f aca="false">D249*(1+g_pai_27)*(1+g_pai_28)*(1+g_pai_29)*um29_A</f>
        <v>57.5870039745</v>
      </c>
      <c r="K249" s="3" t="s">
        <v>649</v>
      </c>
    </row>
    <row r="250" customFormat="false" ht="17.15" hidden="false" customHeight="false" outlineLevel="0" collapsed="false">
      <c r="A250" s="3" t="s">
        <v>650</v>
      </c>
      <c r="B250" s="0" t="s">
        <v>303</v>
      </c>
      <c r="D250" s="21" t="n">
        <f aca="false">a26_pcb*(1-ai_pcb)</f>
        <v>20.42713225</v>
      </c>
      <c r="E250" s="21" t="n">
        <f aca="false">D250*(1+g_pcbn)</f>
        <v>20.835674895</v>
      </c>
      <c r="F250" s="21" t="n">
        <f aca="false">E250*(1+g_pcbn)</f>
        <v>21.2523883929</v>
      </c>
      <c r="G250" s="21" t="n">
        <f aca="false">F250*(1+g_pcbn)</f>
        <v>21.677436160758</v>
      </c>
    </row>
    <row r="251" customFormat="false" ht="15" hidden="false" customHeight="false" outlineLevel="0" collapsed="false">
      <c r="A251" s="3" t="s">
        <v>552</v>
      </c>
      <c r="B251" s="0" t="s">
        <v>303</v>
      </c>
      <c r="D251" s="21" t="n">
        <f aca="false">a26_fpc</f>
        <v>13.178795</v>
      </c>
      <c r="E251" s="21" t="n">
        <f aca="false">D251*(1+g_fpc)</f>
        <v>13.178795</v>
      </c>
      <c r="F251" s="21" t="n">
        <f aca="false">E251*(1+g_fpc)</f>
        <v>13.178795</v>
      </c>
      <c r="G251" s="21" t="n">
        <f aca="false">F251*(1+g_fpc)</f>
        <v>13.178795</v>
      </c>
    </row>
    <row r="252" customFormat="false" ht="17.15" hidden="false" customHeight="false" outlineLevel="0" collapsed="false">
      <c r="A252" s="3" t="s">
        <v>651</v>
      </c>
      <c r="B252" s="0" t="s">
        <v>303</v>
      </c>
      <c r="D252" s="21" t="n">
        <f aca="false">D243+D248</f>
        <v>116.72647</v>
      </c>
      <c r="E252" s="21" t="n">
        <f aca="false">E243+E248</f>
        <v>168.545764941273</v>
      </c>
      <c r="F252" s="21" t="n">
        <f aca="false">F243+F248</f>
        <v>191.304867269813</v>
      </c>
      <c r="G252" s="21" t="n">
        <f aca="false">G243+G248</f>
        <v>215.124483656848</v>
      </c>
      <c r="K252" s="3" t="s">
        <v>652</v>
      </c>
    </row>
    <row r="253" customFormat="false" ht="17.15" hidden="false" customHeight="false" outlineLevel="0" collapsed="false">
      <c r="A253" s="0" t="s">
        <v>653</v>
      </c>
      <c r="B253" s="0" t="s">
        <v>303</v>
      </c>
      <c r="D253" s="21" t="n">
        <f aca="false">D249+D250</f>
        <v>58.363235</v>
      </c>
      <c r="E253" s="21" t="n">
        <f aca="false">E249+E250</f>
        <v>66.358998195</v>
      </c>
      <c r="F253" s="21" t="n">
        <f aca="false">F249+F250</f>
        <v>73.6042101879</v>
      </c>
      <c r="G253" s="21" t="n">
        <f aca="false">G249+G250</f>
        <v>79.264440135258</v>
      </c>
      <c r="K253" s="3" t="s">
        <v>654</v>
      </c>
    </row>
    <row r="254" customFormat="false" ht="17.15" hidden="false" customHeight="false" outlineLevel="0" collapsed="false">
      <c r="A254" s="3" t="s">
        <v>515</v>
      </c>
      <c r="B254" s="0" t="s">
        <v>303</v>
      </c>
      <c r="C254" s="23" t="n">
        <f aca="false">a25_rev</f>
        <v>131.241</v>
      </c>
      <c r="D254" s="23" t="n">
        <f aca="false">D252+D253+D251</f>
        <v>188.2685</v>
      </c>
      <c r="E254" s="23" t="n">
        <f aca="false">E252+E253+E251</f>
        <v>248.083558136273</v>
      </c>
      <c r="F254" s="23" t="n">
        <f aca="false">F252+F253+F251</f>
        <v>278.087872457713</v>
      </c>
      <c r="G254" s="23" t="n">
        <f aca="false">G252+G253+G251</f>
        <v>307.567718792106</v>
      </c>
      <c r="H254" s="25" t="n">
        <f aca="false">G254*(1+H256)</f>
        <v>335.455725464882</v>
      </c>
      <c r="I254" s="25" t="n">
        <f aca="false">H254*(1+I256)</f>
        <v>360.727741503264</v>
      </c>
      <c r="J254" s="25" t="n">
        <f aca="false">I254*(1+J256)</f>
        <v>382.371405993459</v>
      </c>
      <c r="K254" s="7" t="s">
        <v>655</v>
      </c>
    </row>
    <row r="255" customFormat="false" ht="17.15" hidden="false" customHeight="false" outlineLevel="0" collapsed="false">
      <c r="A255" s="3" t="s">
        <v>656</v>
      </c>
      <c r="B255" s="0" t="s">
        <v>303</v>
      </c>
      <c r="D255" s="19" t="n">
        <f aca="false">D252+D253+D251-D254</f>
        <v>0</v>
      </c>
      <c r="E255" s="19" t="n">
        <f aca="false">E252+E253+E251-E254</f>
        <v>0</v>
      </c>
      <c r="F255" s="19" t="n">
        <f aca="false">F252+F253+F251-F254</f>
        <v>0</v>
      </c>
      <c r="G255" s="19" t="n">
        <f aca="false">G252+G253+G251-G254</f>
        <v>0</v>
      </c>
    </row>
    <row r="256" customFormat="false" ht="15" hidden="false" customHeight="false" outlineLevel="0" collapsed="false">
      <c r="A256" s="3" t="s">
        <v>657</v>
      </c>
      <c r="B256" s="0" t="s">
        <v>45</v>
      </c>
      <c r="D256" s="20" t="n">
        <f aca="false">D254/C254-1</f>
        <v>0.434525034097576</v>
      </c>
      <c r="E256" s="20" t="n">
        <f aca="false">E254/D254-1</f>
        <v>0.317711450063463</v>
      </c>
      <c r="F256" s="20" t="n">
        <f aca="false">F254/E254-1</f>
        <v>0.120944388845624</v>
      </c>
      <c r="G256" s="20" t="n">
        <f aca="false">G254/F254-1</f>
        <v>0.106009104510217</v>
      </c>
      <c r="H256" s="26" t="n">
        <f aca="false">$G256+(fade_gA-$G256)*1/3</f>
        <v>0.0906727363401445</v>
      </c>
      <c r="I256" s="26" t="n">
        <f aca="false">$G256+(fade_gA-$G256)*2/3</f>
        <v>0.0753363681700722</v>
      </c>
      <c r="J256" s="26" t="n">
        <f aca="false">$G256+(fade_gA-$G256)*3/3</f>
        <v>0.06</v>
      </c>
    </row>
    <row r="257" customFormat="false" ht="17.15" hidden="false" customHeight="false" outlineLevel="0" collapsed="false">
      <c r="A257" s="0" t="s">
        <v>658</v>
      </c>
      <c r="B257" s="0" t="s">
        <v>45</v>
      </c>
      <c r="D257" s="20" t="n">
        <f aca="false">D243/D254</f>
        <v>0.53</v>
      </c>
      <c r="E257" s="20" t="n">
        <f aca="false">E243/E254</f>
        <v>0.607675868662216</v>
      </c>
      <c r="F257" s="20" t="n">
        <f aca="false">F243/F254</f>
        <v>0.620753159178355</v>
      </c>
      <c r="G257" s="20" t="n">
        <f aca="false">G243/G254</f>
        <v>0.635663246508889</v>
      </c>
    </row>
    <row r="258" customFormat="false" ht="17.15" hidden="false" customHeight="false" outlineLevel="0" collapsed="false">
      <c r="A258" s="0" t="s">
        <v>659</v>
      </c>
      <c r="B258" s="0" t="s">
        <v>45</v>
      </c>
      <c r="D258" s="20" t="n">
        <f aca="false">(D245+D249)/D254</f>
        <v>0.599</v>
      </c>
      <c r="E258" s="20" t="n">
        <f aca="false">(E245+E249)/E254</f>
        <v>0.687606114388568</v>
      </c>
      <c r="F258" s="20" t="n">
        <f aca="false">(F245+F249)/F254</f>
        <v>0.713842655396179</v>
      </c>
      <c r="G258" s="20" t="n">
        <f aca="false">(G245+G249)/G254</f>
        <v>0.734270146461436</v>
      </c>
      <c r="K258" s="3" t="s">
        <v>660</v>
      </c>
    </row>
    <row r="259" customFormat="false" ht="17.15" hidden="false" customHeight="false" outlineLevel="0" collapsed="false">
      <c r="A259" s="5" t="s">
        <v>661</v>
      </c>
    </row>
    <row r="260" customFormat="false" ht="15" hidden="false" customHeight="false" outlineLevel="0" collapsed="false">
      <c r="A260" s="3" t="s">
        <v>662</v>
      </c>
      <c r="B260" s="0" t="s">
        <v>303</v>
      </c>
      <c r="C260" s="23" t="n">
        <f aca="false">a25_cx</f>
        <v>25.617</v>
      </c>
      <c r="D260" s="23" t="n">
        <f aca="false">capex26</f>
        <v>53.7</v>
      </c>
      <c r="E260" s="23" t="n">
        <f aca="false">cx27_A</f>
        <v>55</v>
      </c>
      <c r="F260" s="23" t="n">
        <f aca="false">cx28_A</f>
        <v>50</v>
      </c>
      <c r="G260" s="23" t="n">
        <f aca="false">cx29_A</f>
        <v>45</v>
      </c>
      <c r="H260" s="25" t="n">
        <f aca="false">H254*H277</f>
        <v>46.0491114644872</v>
      </c>
      <c r="I260" s="25" t="n">
        <f aca="false">I254*I277</f>
        <v>46.2587658972454</v>
      </c>
      <c r="J260" s="25" t="n">
        <f aca="false">J254*J277</f>
        <v>45.5792023656988</v>
      </c>
    </row>
    <row r="261" customFormat="false" ht="17.15" hidden="false" customHeight="false" outlineLevel="0" collapsed="false">
      <c r="A261" s="3" t="s">
        <v>663</v>
      </c>
      <c r="B261" s="0" t="s">
        <v>303</v>
      </c>
      <c r="C261" s="23" t="n">
        <f aca="false">a25_da</f>
        <v>18.8</v>
      </c>
      <c r="D261" s="23" t="n">
        <f aca="false">da26</f>
        <v>20.8</v>
      </c>
      <c r="E261" s="23" t="n">
        <f aca="false">D261*(1-1/life)+D260/life</f>
        <v>24.9125</v>
      </c>
      <c r="F261" s="23" t="n">
        <f aca="false">E261*(1-1/life)+E260/life</f>
        <v>28.6734375</v>
      </c>
      <c r="G261" s="23" t="n">
        <f aca="false">F261*(1-1/life)+F260/life</f>
        <v>31.3392578125</v>
      </c>
      <c r="H261" s="25" t="n">
        <f aca="false">H254*H262</f>
        <v>34.1808740732286</v>
      </c>
      <c r="I261" s="25" t="n">
        <f aca="false">I254*I262</f>
        <v>36.7559369867843</v>
      </c>
      <c r="J261" s="25" t="n">
        <f aca="false">J254*J262</f>
        <v>38.9612932059913</v>
      </c>
      <c r="K261" s="3" t="s">
        <v>664</v>
      </c>
    </row>
    <row r="262" customFormat="false" ht="17.15" hidden="false" customHeight="false" outlineLevel="0" collapsed="false">
      <c r="A262" s="3" t="s">
        <v>665</v>
      </c>
      <c r="B262" s="0" t="s">
        <v>45</v>
      </c>
      <c r="C262" s="20" t="n">
        <f aca="false">C261/C254</f>
        <v>0.143247917952469</v>
      </c>
      <c r="D262" s="20" t="n">
        <f aca="false">D261/D254</f>
        <v>0.110480510547436</v>
      </c>
      <c r="E262" s="20" t="n">
        <f aca="false">E261/E254</f>
        <v>0.100419794794766</v>
      </c>
      <c r="F262" s="20" t="n">
        <f aca="false">F261/F254</f>
        <v>0.103109269910216</v>
      </c>
      <c r="G262" s="20" t="n">
        <f aca="false">G261/G254</f>
        <v>0.101893846127861</v>
      </c>
      <c r="H262" s="26" t="n">
        <f aca="false">$G262</f>
        <v>0.101893846127861</v>
      </c>
      <c r="I262" s="26" t="n">
        <f aca="false">$G262</f>
        <v>0.101893846127861</v>
      </c>
      <c r="J262" s="26" t="n">
        <f aca="false">$G262</f>
        <v>0.101893846127861</v>
      </c>
    </row>
    <row r="263" customFormat="false" ht="17.15" hidden="false" customHeight="false" outlineLevel="0" collapsed="false">
      <c r="A263" s="3" t="s">
        <v>666</v>
      </c>
      <c r="B263" s="0" t="s">
        <v>303</v>
      </c>
      <c r="E263" s="21" t="n">
        <f aca="false">E245*(1-1/(E230*E231))</f>
        <v>5.95525943589397</v>
      </c>
      <c r="F263" s="21" t="n">
        <f aca="false">F245*(1-1/(F230*F231))</f>
        <v>-0.366313693016785</v>
      </c>
      <c r="G263" s="21" t="n">
        <f aca="false">G245*(1-1/(G230*G231))</f>
        <v>-9.7923740182417</v>
      </c>
      <c r="K263" s="7" t="s">
        <v>667</v>
      </c>
    </row>
    <row r="264" customFormat="false" ht="17.15" hidden="false" customHeight="false" outlineLevel="0" collapsed="false">
      <c r="A264" s="3" t="s">
        <v>668</v>
      </c>
      <c r="B264" s="0" t="s">
        <v>303</v>
      </c>
      <c r="C264" s="21" t="n">
        <f aca="false">a25_gp</f>
        <v>18.292</v>
      </c>
      <c r="D264" s="21" t="n">
        <f aca="false">a26_gp</f>
        <v>47.3329657</v>
      </c>
      <c r="E264" s="21" t="n">
        <f aca="false">$D264+ft_abf*(E243-E263-$D243)+ft_oth*((E254-E243)-($D254-$D243))+E263-(E261-$D261)</f>
        <v>73.8948816248336</v>
      </c>
      <c r="F264" s="21" t="n">
        <f aca="false">$D264+ft_abf*(F243-F263-$D243)+ft_oth*((F254-F243)-($D254-$D243))+F263-(F261-$D261)</f>
        <v>79.9416195572479</v>
      </c>
      <c r="G264" s="21" t="n">
        <f aca="false">$D264+ft_abf*(G243-G263-$D243)+ft_oth*((G254-G243)-($D254-$D243))+G263-(G261-$D261)</f>
        <v>85.6541229885864</v>
      </c>
      <c r="K264" s="3" t="s">
        <v>669</v>
      </c>
    </row>
    <row r="265" customFormat="false" ht="15" hidden="false" customHeight="false" outlineLevel="0" collapsed="false">
      <c r="A265" s="3" t="s">
        <v>522</v>
      </c>
      <c r="B265" s="0" t="s">
        <v>45</v>
      </c>
      <c r="C265" s="13" t="n">
        <f aca="false">C264/C254</f>
        <v>0.139377176339711</v>
      </c>
      <c r="D265" s="13" t="n">
        <f aca="false">D264/D254</f>
        <v>0.251412029627899</v>
      </c>
      <c r="E265" s="13" t="n">
        <f aca="false">E264/E254</f>
        <v>0.297862874025061</v>
      </c>
      <c r="F265" s="13" t="n">
        <f aca="false">F264/F254</f>
        <v>0.287468917111458</v>
      </c>
      <c r="G265" s="13" t="n">
        <f aca="false">G264/G254</f>
        <v>0.278488663650955</v>
      </c>
    </row>
    <row r="266" customFormat="false" ht="15" hidden="false" customHeight="false" outlineLevel="0" collapsed="false">
      <c r="A266" s="3" t="s">
        <v>524</v>
      </c>
      <c r="B266" s="0" t="s">
        <v>303</v>
      </c>
      <c r="C266" s="21" t="n">
        <f aca="false">a25_opx</f>
        <v>11.618</v>
      </c>
      <c r="D266" s="21" t="n">
        <f aca="false">a26_opx</f>
        <v>16.6539532</v>
      </c>
      <c r="E266" s="21" t="n">
        <f aca="false">D266*(1+phi*E256)</f>
        <v>19.8286441722766</v>
      </c>
      <c r="F266" s="21" t="n">
        <f aca="false">E266*(1+phi*F256)</f>
        <v>21.2675421229086</v>
      </c>
      <c r="G266" s="21" t="n">
        <f aca="false">F266*(1+phi*G256)</f>
        <v>22.6202739802584</v>
      </c>
    </row>
    <row r="267" customFormat="false" ht="15" hidden="false" customHeight="false" outlineLevel="0" collapsed="false">
      <c r="A267" s="3" t="s">
        <v>527</v>
      </c>
      <c r="B267" s="0" t="s">
        <v>303</v>
      </c>
      <c r="C267" s="21" t="n">
        <f aca="false">C264-C266</f>
        <v>6.674</v>
      </c>
      <c r="D267" s="21" t="n">
        <f aca="false">D264-D266</f>
        <v>30.6790125</v>
      </c>
      <c r="E267" s="21" t="n">
        <f aca="false">E264-E266</f>
        <v>54.0662374525569</v>
      </c>
      <c r="F267" s="21" t="n">
        <f aca="false">F264-F266</f>
        <v>58.6740774343393</v>
      </c>
      <c r="G267" s="21" t="n">
        <f aca="false">G264-G266</f>
        <v>63.0338490083281</v>
      </c>
    </row>
    <row r="268" customFormat="false" ht="15" hidden="false" customHeight="false" outlineLevel="0" collapsed="false">
      <c r="A268" s="3" t="s">
        <v>605</v>
      </c>
      <c r="B268" s="0" t="s">
        <v>45</v>
      </c>
      <c r="C268" s="13" t="n">
        <f aca="false">C267/C254</f>
        <v>0.0508530108731265</v>
      </c>
      <c r="D268" s="13" t="n">
        <f aca="false">D267/D254</f>
        <v>0.162953507888999</v>
      </c>
      <c r="E268" s="13" t="n">
        <f aca="false">E267/E254</f>
        <v>0.217935593389297</v>
      </c>
      <c r="F268" s="13" t="n">
        <f aca="false">F267/F254</f>
        <v>0.210991140734703</v>
      </c>
      <c r="G268" s="13" t="n">
        <f aca="false">G267/G254</f>
        <v>0.20494299354912</v>
      </c>
    </row>
    <row r="269" customFormat="false" ht="17.15" hidden="false" customHeight="false" outlineLevel="0" collapsed="false">
      <c r="A269" s="3" t="s">
        <v>670</v>
      </c>
      <c r="B269" s="0" t="s">
        <v>303</v>
      </c>
      <c r="C269" s="21" t="n">
        <f aca="false">a25_nonop</f>
        <v>-0.00100000000000033</v>
      </c>
      <c r="D269" s="21" t="n">
        <f aca="false">a26_nonop</f>
        <v>14.466</v>
      </c>
      <c r="E269" s="21" t="n">
        <f aca="false">nonop27</f>
        <v>2</v>
      </c>
      <c r="F269" s="21" t="n">
        <f aca="false">nonop28</f>
        <v>2</v>
      </c>
      <c r="G269" s="21" t="n">
        <f aca="false">nonop29</f>
        <v>2</v>
      </c>
      <c r="K269" s="7" t="s">
        <v>671</v>
      </c>
    </row>
    <row r="270" customFormat="false" ht="15" hidden="false" customHeight="false" outlineLevel="0" collapsed="false">
      <c r="A270" s="3" t="s">
        <v>533</v>
      </c>
      <c r="B270" s="0" t="s">
        <v>303</v>
      </c>
      <c r="C270" s="21" t="n">
        <f aca="false">C267+C269</f>
        <v>6.673</v>
      </c>
      <c r="D270" s="21" t="n">
        <f aca="false">D267+D269</f>
        <v>45.1450125</v>
      </c>
      <c r="E270" s="21" t="n">
        <f aca="false">E267+E269</f>
        <v>56.0662374525569</v>
      </c>
      <c r="F270" s="21" t="n">
        <f aca="false">F267+F269</f>
        <v>60.6740774343393</v>
      </c>
      <c r="G270" s="21" t="n">
        <f aca="false">G267+G269</f>
        <v>65.0338490083281</v>
      </c>
    </row>
    <row r="271" customFormat="false" ht="15" hidden="false" customHeight="false" outlineLevel="0" collapsed="false">
      <c r="A271" s="3" t="s">
        <v>537</v>
      </c>
      <c r="B271" s="0" t="s">
        <v>303</v>
      </c>
      <c r="E271" s="21" t="n">
        <f aca="false">E270*tax</f>
        <v>10.0919227414602</v>
      </c>
      <c r="F271" s="21" t="n">
        <f aca="false">F270*tax</f>
        <v>10.9213339381811</v>
      </c>
      <c r="G271" s="21" t="n">
        <f aca="false">G270*tax</f>
        <v>11.7060928214991</v>
      </c>
    </row>
    <row r="272" customFormat="false" ht="15" hidden="false" customHeight="false" outlineLevel="0" collapsed="false">
      <c r="A272" s="3" t="s">
        <v>535</v>
      </c>
      <c r="B272" s="0" t="s">
        <v>303</v>
      </c>
      <c r="C272" s="21" t="n">
        <f aca="false">a25_ni</f>
        <v>6.673</v>
      </c>
      <c r="D272" s="21" t="n">
        <f aca="false">a26_ni</f>
        <v>37.23923025</v>
      </c>
      <c r="E272" s="21" t="n">
        <f aca="false">E270-E271</f>
        <v>45.9743147110967</v>
      </c>
      <c r="F272" s="21" t="n">
        <f aca="false">F270-F271</f>
        <v>49.7527434961582</v>
      </c>
      <c r="G272" s="21" t="n">
        <f aca="false">G270-G271</f>
        <v>53.327756186829</v>
      </c>
      <c r="H272" s="30" t="n">
        <f aca="false">H254*H276</f>
        <v>58.165265340516</v>
      </c>
      <c r="I272" s="30" t="n">
        <f aca="false">I254*I276</f>
        <v>62.5495216489074</v>
      </c>
      <c r="J272" s="30" t="n">
        <f aca="false">J254*J276</f>
        <v>66.3049271996696</v>
      </c>
    </row>
    <row r="273" customFormat="false" ht="15" hidden="false" customHeight="false" outlineLevel="0" collapsed="false">
      <c r="A273" s="3" t="s">
        <v>672</v>
      </c>
      <c r="B273" s="3" t="s">
        <v>381</v>
      </c>
      <c r="C273" s="29" t="n">
        <f aca="false">a25_sh</f>
        <v>1.52351598173516</v>
      </c>
      <c r="D273" s="29" t="n">
        <f aca="false">a26_sh</f>
        <v>1.59236316568047</v>
      </c>
      <c r="E273" s="29" t="n">
        <f aca="false">a26_shend*(1+sh_g)</f>
        <v>1.64</v>
      </c>
      <c r="F273" s="29" t="n">
        <f aca="false">E273*(1+sh_g)</f>
        <v>1.64</v>
      </c>
      <c r="G273" s="29" t="n">
        <f aca="false">F273*(1+sh_g)</f>
        <v>1.64</v>
      </c>
      <c r="H273" s="31" t="n">
        <f aca="false">G273*(1+sh_g)</f>
        <v>1.64</v>
      </c>
      <c r="I273" s="31" t="n">
        <f aca="false">H273*(1+sh_g)</f>
        <v>1.64</v>
      </c>
      <c r="J273" s="31" t="n">
        <f aca="false">I273*(1+sh_g)</f>
        <v>1.64</v>
      </c>
    </row>
    <row r="274" customFormat="false" ht="17.15" hidden="false" customHeight="false" outlineLevel="0" collapsed="false">
      <c r="A274" s="0" t="s">
        <v>540</v>
      </c>
      <c r="B274" s="0" t="s">
        <v>387</v>
      </c>
      <c r="C274" s="18" t="n">
        <f aca="false">C272/C273</f>
        <v>4.38</v>
      </c>
      <c r="D274" s="18" t="n">
        <f aca="false">D272/D273</f>
        <v>23.3861414610695</v>
      </c>
      <c r="E274" s="18" t="n">
        <f aca="false">E272/E273</f>
        <v>28.0331187262785</v>
      </c>
      <c r="F274" s="18" t="n">
        <f aca="false">F272/F273</f>
        <v>30.3370387171696</v>
      </c>
      <c r="G274" s="18" t="n">
        <f aca="false">G272/G273</f>
        <v>32.516924504164</v>
      </c>
      <c r="H274" s="28" t="n">
        <f aca="false">H272/H273</f>
        <v>35.4666252076317</v>
      </c>
      <c r="I274" s="28" t="n">
        <f aca="false">I272/I273</f>
        <v>38.1399522249436</v>
      </c>
      <c r="J274" s="28" t="n">
        <f aca="false">J272/J273</f>
        <v>40.4298336583351</v>
      </c>
    </row>
    <row r="275" customFormat="false" ht="17.15" hidden="false" customHeight="false" outlineLevel="0" collapsed="false">
      <c r="A275" s="0" t="s">
        <v>673</v>
      </c>
      <c r="B275" s="0" t="s">
        <v>45</v>
      </c>
      <c r="D275" s="20" t="n">
        <f aca="false">D274/C274-1</f>
        <v>4.33930170344053</v>
      </c>
      <c r="E275" s="20" t="n">
        <f aca="false">E274/D274-1</f>
        <v>0.198706454972262</v>
      </c>
      <c r="F275" s="20" t="n">
        <f aca="false">F274/E274-1</f>
        <v>0.0821856466769593</v>
      </c>
      <c r="G275" s="20" t="n">
        <f aca="false">G274/F274-1</f>
        <v>0.0718555890480064</v>
      </c>
      <c r="H275" s="26" t="n">
        <f aca="false">H274/G274-1</f>
        <v>0.0907127826031005</v>
      </c>
      <c r="I275" s="26" t="n">
        <f aca="false">I274/H274-1</f>
        <v>0.0753758498774957</v>
      </c>
      <c r="J275" s="26" t="n">
        <f aca="false">J274/I274-1</f>
        <v>0.0600389171933458</v>
      </c>
    </row>
    <row r="276" customFormat="false" ht="17.15" hidden="false" customHeight="false" outlineLevel="0" collapsed="false">
      <c r="A276" s="3" t="s">
        <v>674</v>
      </c>
      <c r="B276" s="0" t="s">
        <v>45</v>
      </c>
      <c r="C276" s="13" t="n">
        <f aca="false">C272/C254</f>
        <v>0.0508453913030227</v>
      </c>
      <c r="D276" s="13" t="n">
        <f aca="false">D272/D254</f>
        <v>0.197798517808343</v>
      </c>
      <c r="E276" s="13" t="n">
        <f aca="false">E272/E254</f>
        <v>0.185317862483425</v>
      </c>
      <c r="F276" s="13" t="n">
        <f aca="false">F272/F254</f>
        <v>0.178910151875551</v>
      </c>
      <c r="G276" s="13" t="n">
        <f aca="false">G272/G254</f>
        <v>0.173385413775738</v>
      </c>
      <c r="H276" s="27" t="n">
        <f aca="false">$G276+(fade_mA-$G276)*1/3</f>
        <v>0.173391779973078</v>
      </c>
      <c r="I276" s="27" t="n">
        <f aca="false">$G276+(fade_mA-$G276)*2/3</f>
        <v>0.173398146170417</v>
      </c>
      <c r="J276" s="27" t="n">
        <f aca="false">$G276+(fade_mA-$G276)*3/3</f>
        <v>0.173404512367757</v>
      </c>
    </row>
    <row r="277" customFormat="false" ht="17.15" hidden="false" customHeight="false" outlineLevel="0" collapsed="false">
      <c r="A277" s="3" t="s">
        <v>675</v>
      </c>
      <c r="B277" s="0" t="s">
        <v>45</v>
      </c>
      <c r="C277" s="20" t="n">
        <f aca="false">C260/C254</f>
        <v>0.195190527350447</v>
      </c>
      <c r="D277" s="20" t="n">
        <f aca="false">D260/D254</f>
        <v>0.285230933480641</v>
      </c>
      <c r="E277" s="20" t="n">
        <f aca="false">E260/E254</f>
        <v>0.221699496787241</v>
      </c>
      <c r="F277" s="20" t="n">
        <f aca="false">F260/F254</f>
        <v>0.179799282716305</v>
      </c>
      <c r="G277" s="20" t="n">
        <f aca="false">G260/G254</f>
        <v>0.146309242649801</v>
      </c>
      <c r="H277" s="26" t="n">
        <f aca="false">$G277+($G262*(1+tp_g)^(life/2)-$G277)*1/3</f>
        <v>0.137273291134534</v>
      </c>
      <c r="I277" s="26" t="n">
        <f aca="false">$G277+($G262*(1+tp_g)^(life/2)-$G277)*2/3</f>
        <v>0.128237339619268</v>
      </c>
      <c r="J277" s="26" t="n">
        <f aca="false">$G277+($G262*(1+tp_g)^(life/2)-$G277)*3/3</f>
        <v>0.119201388104001</v>
      </c>
      <c r="K277" s="7" t="s">
        <v>676</v>
      </c>
    </row>
    <row r="278" customFormat="false" ht="15" hidden="false" customHeight="false" outlineLevel="0" collapsed="false">
      <c r="A278" s="3" t="s">
        <v>677</v>
      </c>
      <c r="B278" s="0" t="s">
        <v>303</v>
      </c>
      <c r="E278" s="21" t="n">
        <f aca="false">E272+E261-E260</f>
        <v>15.8868147110967</v>
      </c>
      <c r="F278" s="21" t="n">
        <f aca="false">F272+F261-F260</f>
        <v>28.4261809961582</v>
      </c>
      <c r="G278" s="21" t="n">
        <f aca="false">G272+G261-G260</f>
        <v>39.667013999329</v>
      </c>
      <c r="H278" s="30" t="n">
        <f aca="false">H272+H261-H260</f>
        <v>46.2970279492574</v>
      </c>
      <c r="I278" s="30" t="n">
        <f aca="false">I272+I261-I260</f>
        <v>53.0466927384463</v>
      </c>
      <c r="J278" s="30" t="n">
        <f aca="false">J272+J261-J260</f>
        <v>59.6870180399621</v>
      </c>
      <c r="K278" s="3" t="s">
        <v>678</v>
      </c>
    </row>
    <row r="279" customFormat="false" ht="15" hidden="false" customHeight="false" outlineLevel="0" collapsed="false">
      <c r="A279" s="3" t="s">
        <v>679</v>
      </c>
      <c r="B279" s="0" t="s">
        <v>387</v>
      </c>
      <c r="E279" s="18" t="n">
        <f aca="false">E278/E273</f>
        <v>9.68708214091261</v>
      </c>
      <c r="F279" s="18" t="n">
        <f aca="false">F278/F273</f>
        <v>17.3330371927794</v>
      </c>
      <c r="G279" s="18" t="n">
        <f aca="false">G278/G273</f>
        <v>24.1872036581274</v>
      </c>
      <c r="H279" s="28" t="n">
        <f aca="false">H278/H273</f>
        <v>28.2298950910106</v>
      </c>
      <c r="I279" s="28" t="n">
        <f aca="false">I278/I273</f>
        <v>32.3455443527112</v>
      </c>
      <c r="J279" s="28" t="n">
        <f aca="false">J278/J273</f>
        <v>36.3945231950988</v>
      </c>
    </row>
    <row r="282" customFormat="false" ht="17.15" hidden="false" customHeight="false" outlineLevel="0" collapsed="false">
      <c r="A282" s="1" t="s">
        <v>1023</v>
      </c>
    </row>
    <row r="283" customFormat="false" ht="17.15" hidden="false" customHeight="false" outlineLevel="0" collapsed="false">
      <c r="A283" s="4" t="s">
        <v>22</v>
      </c>
      <c r="B283" s="4" t="s">
        <v>23</v>
      </c>
      <c r="C283" s="14" t="s">
        <v>508</v>
      </c>
      <c r="D283" s="14" t="s">
        <v>592</v>
      </c>
      <c r="E283" s="14" t="s">
        <v>593</v>
      </c>
      <c r="F283" s="14" t="s">
        <v>594</v>
      </c>
      <c r="G283" s="14" t="s">
        <v>595</v>
      </c>
      <c r="H283" s="14" t="s">
        <v>596</v>
      </c>
      <c r="I283" s="14" t="s">
        <v>597</v>
      </c>
      <c r="J283" s="14" t="s">
        <v>598</v>
      </c>
      <c r="K283" s="4" t="s">
        <v>481</v>
      </c>
    </row>
    <row r="284" customFormat="false" ht="17.15" hidden="false" customHeight="false" outlineLevel="0" collapsed="false">
      <c r="A284" s="5" t="s">
        <v>616</v>
      </c>
    </row>
    <row r="285" customFormat="false" ht="17.15" hidden="false" customHeight="false" outlineLevel="0" collapsed="false">
      <c r="A285" s="0" t="s">
        <v>617</v>
      </c>
      <c r="B285" s="3" t="s">
        <v>33</v>
      </c>
      <c r="D285" s="21" t="n">
        <f aca="false">(u_bw_26+u_rb_26+u_ru_26+u_hp_26)*1</f>
        <v>7.6</v>
      </c>
      <c r="E285" s="21" t="n">
        <f aca="false">(u_bw_27+u_rb_27+u_ru_27+u_hp_27)*1*1</f>
        <v>9.7</v>
      </c>
      <c r="F285" s="21" t="n">
        <f aca="false">(u_bw_28+u_rb_28+u_ru_28+u_hp_28)*um28_A*1</f>
        <v>9.5</v>
      </c>
      <c r="G285" s="21" t="n">
        <f aca="false">(u_bw_28*(1+g29_bw)+u_rb_28*(1+g29_rb)+u_ru_28*(1+g29_ru)+u_hp_28*(1+g29_hp))*um29_A*1</f>
        <v>10.6</v>
      </c>
      <c r="K285" s="7" t="s">
        <v>618</v>
      </c>
    </row>
    <row r="286" customFormat="false" ht="17.15" hidden="false" customHeight="false" outlineLevel="0" collapsed="false">
      <c r="A286" s="3" t="s">
        <v>619</v>
      </c>
      <c r="B286" s="3" t="s">
        <v>33</v>
      </c>
      <c r="D286" s="21" t="n">
        <f aca="false">(u_amd_26+u_tpu_26+u_trn_26+u_oth_26)*1</f>
        <v>7.6</v>
      </c>
      <c r="E286" s="21" t="n">
        <f aca="false">(u_amd_27+u_tpu_27+u_trn_27+u_oth_27)*1*1</f>
        <v>14</v>
      </c>
      <c r="F286" s="21" t="n">
        <f aca="false">(u_amd_28+u_tpu_28+u_trn_28+u_oth_28)*um28_A*1</f>
        <v>17</v>
      </c>
      <c r="G286" s="21" t="n">
        <f aca="false">(u_amd_28*(1+g29_amd)+u_tpu_28*(1+g29_tpu)+u_trn_28*(1+g29_trn)+u_oth_28*(1+g29_oth))*um29_A*1</f>
        <v>19.55</v>
      </c>
      <c r="K286" s="7" t="s">
        <v>620</v>
      </c>
    </row>
    <row r="287" customFormat="false" ht="17.15" hidden="false" customHeight="false" outlineLevel="0" collapsed="false">
      <c r="A287" s="3" t="s">
        <v>621</v>
      </c>
      <c r="B287" s="0" t="s">
        <v>145</v>
      </c>
      <c r="D287" s="19" t="n">
        <f aca="false">1</f>
        <v>1</v>
      </c>
      <c r="E287" s="19" t="n">
        <f aca="false">D287*(1+g_asp)</f>
        <v>1.18</v>
      </c>
      <c r="F287" s="19" t="n">
        <f aca="false">E287*(1+g_asp)</f>
        <v>1.3924</v>
      </c>
      <c r="G287" s="19" t="n">
        <f aca="false">F287*(1+g_asp)</f>
        <v>1.643032</v>
      </c>
      <c r="K287" s="7" t="s">
        <v>622</v>
      </c>
    </row>
    <row r="288" customFormat="false" ht="17.15" hidden="false" customHeight="false" outlineLevel="0" collapsed="false">
      <c r="A288" s="0" t="s">
        <v>623</v>
      </c>
      <c r="B288" s="0" t="s">
        <v>145</v>
      </c>
      <c r="D288" s="18" t="n">
        <f aca="false">1</f>
        <v>1</v>
      </c>
      <c r="E288" s="18" t="n">
        <f aca="false">ibpp_27_lo</f>
        <v>0.95</v>
      </c>
      <c r="F288" s="18" t="n">
        <f aca="false">ibpp_28_lo</f>
        <v>0.85</v>
      </c>
      <c r="G288" s="18" t="n">
        <f aca="false">ibpp_29_lo</f>
        <v>0.75</v>
      </c>
      <c r="K288" s="7" t="s">
        <v>624</v>
      </c>
    </row>
    <row r="289" customFormat="false" ht="17.15" hidden="false" customHeight="false" outlineLevel="0" collapsed="false">
      <c r="A289" s="3" t="s">
        <v>625</v>
      </c>
      <c r="B289" s="0" t="s">
        <v>145</v>
      </c>
      <c r="D289" s="18" t="n">
        <f aca="false">1</f>
        <v>1</v>
      </c>
      <c r="E289" s="18" t="n">
        <f aca="false">1+carry</f>
        <v>1.05</v>
      </c>
      <c r="F289" s="18" t="n">
        <f aca="false">1+carry</f>
        <v>1.05</v>
      </c>
      <c r="G289" s="18" t="n">
        <f aca="false">1+carry</f>
        <v>1.05</v>
      </c>
      <c r="K289" s="7" t="s">
        <v>626</v>
      </c>
    </row>
    <row r="290" customFormat="false" ht="17.15" hidden="false" customHeight="false" outlineLevel="0" collapsed="false">
      <c r="A290" s="3" t="s">
        <v>627</v>
      </c>
      <c r="B290" s="0" t="s">
        <v>628</v>
      </c>
      <c r="D290" s="23" t="n">
        <f aca="false">v26*D287*D288</f>
        <v>215.308596</v>
      </c>
      <c r="E290" s="23" t="n">
        <f aca="false">v26*E287*E288</f>
        <v>241.360936116</v>
      </c>
      <c r="F290" s="23" t="n">
        <f aca="false">v26*F287*F288</f>
        <v>254.82633570984</v>
      </c>
      <c r="G290" s="23" t="n">
        <f aca="false">v26*G287*G288</f>
        <v>265.319184827304</v>
      </c>
      <c r="K290" s="7" t="s">
        <v>629</v>
      </c>
    </row>
    <row r="291" customFormat="false" ht="17.15" hidden="false" customHeight="false" outlineLevel="0" collapsed="false">
      <c r="A291" s="3" t="s">
        <v>630</v>
      </c>
      <c r="B291" s="0" t="s">
        <v>45</v>
      </c>
      <c r="D291" s="20" t="n">
        <f aca="false">sh_nv_26</f>
        <v>0.25</v>
      </c>
      <c r="E291" s="20" t="n">
        <f aca="false">sh_nv_27</f>
        <v>0.27</v>
      </c>
      <c r="F291" s="20" t="n">
        <f aca="false">sh_nv_28</f>
        <v>0.29</v>
      </c>
      <c r="G291" s="20" t="n">
        <f aca="false">sh_nv_29</f>
        <v>0.3</v>
      </c>
    </row>
    <row r="292" customFormat="false" ht="17.15" hidden="false" customHeight="false" outlineLevel="0" collapsed="false">
      <c r="A292" s="3" t="s">
        <v>631</v>
      </c>
      <c r="B292" s="0" t="s">
        <v>45</v>
      </c>
      <c r="D292" s="20" t="n">
        <f aca="false">sh_ot_26</f>
        <v>0.3</v>
      </c>
      <c r="E292" s="20" t="n">
        <f aca="false">sh_ot_27</f>
        <v>0.31</v>
      </c>
      <c r="F292" s="20" t="n">
        <f aca="false">sh_ot_28</f>
        <v>0.32</v>
      </c>
      <c r="G292" s="20" t="n">
        <f aca="false">sh_ot_29</f>
        <v>0.33</v>
      </c>
    </row>
    <row r="293" customFormat="false" ht="17.15" hidden="false" customHeight="false" outlineLevel="0" collapsed="false">
      <c r="A293" s="3" t="s">
        <v>632</v>
      </c>
      <c r="B293" s="0" t="s">
        <v>582</v>
      </c>
      <c r="D293" s="22" t="n">
        <f aca="false">(D285*D290*D291+D286*D290*v_ot*D292)*D289</f>
        <v>801.809211504</v>
      </c>
      <c r="E293" s="22" t="n">
        <f aca="false">(E285*E290*E291+E286*E290*v_ot*E292)*E289</f>
        <v>1543.63593497668</v>
      </c>
      <c r="F293" s="22" t="n">
        <f aca="false">(F285*F290*F291+F286*F290*v_ot*F292)*F289</f>
        <v>1901.60330628432</v>
      </c>
      <c r="G293" s="22" t="n">
        <f aca="false">(G285*G290*G291+G286*G290*v_ot*G292)*G289</f>
        <v>2323.73440370558</v>
      </c>
    </row>
    <row r="294" customFormat="false" ht="15" hidden="false" customHeight="false" outlineLevel="0" collapsed="false">
      <c r="A294" s="3" t="s">
        <v>633</v>
      </c>
      <c r="B294" s="0" t="s">
        <v>303</v>
      </c>
      <c r="D294" s="21" t="n">
        <f aca="false">D293*fx/1000</f>
        <v>25.657894768128</v>
      </c>
      <c r="E294" s="21" t="n">
        <f aca="false">E293*fx/1000</f>
        <v>49.3963499192539</v>
      </c>
      <c r="F294" s="21" t="n">
        <f aca="false">F293*fx/1000</f>
        <v>60.8513058010984</v>
      </c>
      <c r="G294" s="21" t="n">
        <f aca="false">G293*fx/1000</f>
        <v>74.3595009185787</v>
      </c>
    </row>
    <row r="295" customFormat="false" ht="17.15" hidden="false" customHeight="false" outlineLevel="0" collapsed="false">
      <c r="A295" s="5" t="s">
        <v>634</v>
      </c>
    </row>
    <row r="296" customFormat="false" ht="17.15" hidden="false" customHeight="false" outlineLevel="0" collapsed="false">
      <c r="A296" s="0" t="s">
        <v>635</v>
      </c>
      <c r="B296" s="0" t="s">
        <v>303</v>
      </c>
      <c r="D296" s="21" t="n">
        <f aca="false">a26_abf*ai_abf</f>
        <v>74.83672875</v>
      </c>
      <c r="K296" s="3" t="s">
        <v>636</v>
      </c>
    </row>
    <row r="297" customFormat="false" ht="17.15" hidden="false" customHeight="false" outlineLevel="0" collapsed="false">
      <c r="A297" s="3" t="s">
        <v>637</v>
      </c>
      <c r="B297" s="0" t="s">
        <v>303</v>
      </c>
      <c r="D297" s="21" t="n">
        <f aca="false">D296-D294</f>
        <v>49.178833981872</v>
      </c>
      <c r="E297" s="21" t="n">
        <f aca="false">$D297*(itc_27/itc_26)^el_o*1*1*E288*E289</f>
        <v>69.4110758268306</v>
      </c>
      <c r="F297" s="21" t="n">
        <f aca="false">$D297*(itc_28/itc_26)^el_o*um28_A*1*F288*F289</f>
        <v>69.9226826058852</v>
      </c>
      <c r="G297" s="21" t="n">
        <f aca="false">$D297*(itc_29/itc_26)^el_o*um29_A*1*G288*G289</f>
        <v>65.8494907062458</v>
      </c>
      <c r="K297" s="7" t="s">
        <v>638</v>
      </c>
    </row>
    <row r="298" customFormat="false" ht="17.15" hidden="false" customHeight="false" outlineLevel="0" collapsed="false">
      <c r="A298" s="3" t="s">
        <v>639</v>
      </c>
      <c r="B298" s="0" t="s">
        <v>303</v>
      </c>
      <c r="D298" s="21" t="n">
        <f aca="false">a26_abf-D296</f>
        <v>24.94557625</v>
      </c>
      <c r="E298" s="21" t="n">
        <f aca="false">D298*(1+g_nai)</f>
        <v>25.6939435375</v>
      </c>
      <c r="F298" s="21" t="n">
        <f aca="false">E298*(1+g_nai)</f>
        <v>26.464761843625</v>
      </c>
      <c r="G298" s="21" t="n">
        <f aca="false">F298*(1+g_nai)</f>
        <v>27.2587046989338</v>
      </c>
    </row>
    <row r="299" customFormat="false" ht="17.15" hidden="false" customHeight="false" outlineLevel="0" collapsed="false">
      <c r="A299" s="0" t="s">
        <v>640</v>
      </c>
      <c r="B299" s="0" t="s">
        <v>303</v>
      </c>
      <c r="D299" s="21" t="n">
        <f aca="false">D294+D297+D298</f>
        <v>99.782305</v>
      </c>
      <c r="E299" s="21" t="n">
        <f aca="false">E294+E297+E298</f>
        <v>144.501369283584</v>
      </c>
      <c r="F299" s="21" t="n">
        <f aca="false">F294+F297+F298</f>
        <v>157.238750250609</v>
      </c>
      <c r="G299" s="21" t="n">
        <f aca="false">G294+G297+G298</f>
        <v>167.467696323758</v>
      </c>
    </row>
    <row r="300" customFormat="false" ht="17.15" hidden="false" customHeight="false" outlineLevel="0" collapsed="false">
      <c r="A300" s="0" t="s">
        <v>641</v>
      </c>
      <c r="B300" s="0" t="s">
        <v>303</v>
      </c>
      <c r="D300" s="21" t="n">
        <f aca="false">a26_abf</f>
        <v>99.782305</v>
      </c>
      <c r="E300" s="21" t="n">
        <f aca="false">$D299*cap_27*(1+g_mix)^1*E288*E289</f>
        <v>141.087813794156</v>
      </c>
      <c r="F300" s="21" t="n">
        <f aca="false">$D299*cap_28*(1+g_mix)^2*F288*F289</f>
        <v>166.912659243028</v>
      </c>
      <c r="G300" s="21" t="n">
        <f aca="false">$D299*cap_29*(1+g_mix)^3*G288*G289</f>
        <v>181.929023050359</v>
      </c>
      <c r="K300" s="7" t="s">
        <v>642</v>
      </c>
    </row>
    <row r="301" customFormat="false" ht="17.15" hidden="false" customHeight="false" outlineLevel="0" collapsed="false">
      <c r="A301" s="0" t="s">
        <v>643</v>
      </c>
      <c r="B301" s="0" t="s">
        <v>303</v>
      </c>
      <c r="D301" s="21" t="n">
        <f aca="false">a26_abf</f>
        <v>99.782305</v>
      </c>
      <c r="E301" s="21" t="n">
        <f aca="false">MIN(E299,E300)</f>
        <v>141.087813794156</v>
      </c>
      <c r="F301" s="21" t="n">
        <f aca="false">MIN(F299,F300)</f>
        <v>157.238750250609</v>
      </c>
      <c r="G301" s="21" t="n">
        <f aca="false">MIN(G299,G300)</f>
        <v>167.467696323758</v>
      </c>
    </row>
    <row r="302" customFormat="false" ht="17.15" hidden="false" customHeight="false" outlineLevel="0" collapsed="false">
      <c r="A302" s="3" t="s">
        <v>644</v>
      </c>
      <c r="B302" s="0" t="s">
        <v>45</v>
      </c>
      <c r="D302" s="20" t="n">
        <f aca="false">D301/D299</f>
        <v>1</v>
      </c>
      <c r="E302" s="20" t="n">
        <f aca="false">E301/E299</f>
        <v>0.976377002471657</v>
      </c>
      <c r="F302" s="20" t="n">
        <f aca="false">F301/F299</f>
        <v>1</v>
      </c>
      <c r="G302" s="20" t="n">
        <f aca="false">G301/G299</f>
        <v>1</v>
      </c>
    </row>
    <row r="303" customFormat="false" ht="17.15" hidden="false" customHeight="false" outlineLevel="0" collapsed="false">
      <c r="A303" s="0" t="s">
        <v>645</v>
      </c>
      <c r="B303" s="0" t="s">
        <v>303</v>
      </c>
      <c r="D303" s="21" t="n">
        <f aca="false">(D294+D297)*D302</f>
        <v>74.83672875</v>
      </c>
      <c r="E303" s="21" t="n">
        <f aca="false">(E294+E297)*E302</f>
        <v>116.000838221336</v>
      </c>
      <c r="F303" s="21" t="n">
        <f aca="false">(F294+F297)*F302</f>
        <v>130.773988406984</v>
      </c>
      <c r="G303" s="21" t="n">
        <f aca="false">(G294+G297)*G302</f>
        <v>140.208991624824</v>
      </c>
    </row>
    <row r="304" customFormat="false" ht="17.15" hidden="false" customHeight="false" outlineLevel="0" collapsed="false">
      <c r="A304" s="3" t="s">
        <v>646</v>
      </c>
      <c r="B304" s="0" t="s">
        <v>45</v>
      </c>
      <c r="D304" s="20" t="n">
        <f aca="false">D294/(D294+D297)</f>
        <v>0.342851634440636</v>
      </c>
      <c r="E304" s="20" t="n">
        <f aca="false">E294/(E294+E297)</f>
        <v>0.41576820311572</v>
      </c>
      <c r="F304" s="20" t="n">
        <f aca="false">F294/(F294+F297)</f>
        <v>0.465316585831443</v>
      </c>
      <c r="G304" s="20" t="n">
        <f aca="false">G294/(G294+G297)</f>
        <v>0.530347590813235</v>
      </c>
    </row>
    <row r="305" customFormat="false" ht="17.15" hidden="false" customHeight="false" outlineLevel="0" collapsed="false">
      <c r="A305" s="5" t="s">
        <v>647</v>
      </c>
    </row>
    <row r="306" customFormat="false" ht="17.15" hidden="false" customHeight="false" outlineLevel="0" collapsed="false">
      <c r="A306" s="0" t="s">
        <v>550</v>
      </c>
      <c r="B306" s="0" t="s">
        <v>303</v>
      </c>
      <c r="D306" s="21" t="n">
        <f aca="false">a26_bt</f>
        <v>16.944165</v>
      </c>
      <c r="E306" s="21" t="n">
        <f aca="false">D306*(1+g_bt)</f>
        <v>17.79137325</v>
      </c>
      <c r="F306" s="21" t="n">
        <f aca="false">E306*(1+g_bt)</f>
        <v>18.6809419125</v>
      </c>
      <c r="G306" s="21" t="n">
        <f aca="false">F306*(1+g_bt)</f>
        <v>19.614989008125</v>
      </c>
    </row>
    <row r="307" customFormat="false" ht="17.15" hidden="false" customHeight="false" outlineLevel="0" collapsed="false">
      <c r="A307" s="0" t="s">
        <v>648</v>
      </c>
      <c r="B307" s="0" t="s">
        <v>303</v>
      </c>
      <c r="D307" s="21" t="n">
        <f aca="false">a26_pcb*ai_pcb</f>
        <v>37.93610275</v>
      </c>
      <c r="E307" s="21" t="n">
        <f aca="false">D307*(1+g_pai_27)</f>
        <v>45.5233233</v>
      </c>
      <c r="F307" s="21" t="n">
        <f aca="false">D307*(1+g_pai_27)*(1+g_pai_28)*um28_A</f>
        <v>52.351821795</v>
      </c>
      <c r="G307" s="21" t="n">
        <f aca="false">D307*(1+g_pai_27)*(1+g_pai_28)*(1+g_pai_29)*um29_A</f>
        <v>57.5870039745</v>
      </c>
      <c r="K307" s="3" t="s">
        <v>649</v>
      </c>
    </row>
    <row r="308" customFormat="false" ht="17.15" hidden="false" customHeight="false" outlineLevel="0" collapsed="false">
      <c r="A308" s="3" t="s">
        <v>650</v>
      </c>
      <c r="B308" s="0" t="s">
        <v>303</v>
      </c>
      <c r="D308" s="21" t="n">
        <f aca="false">a26_pcb*(1-ai_pcb)</f>
        <v>20.42713225</v>
      </c>
      <c r="E308" s="21" t="n">
        <f aca="false">D308*(1+g_pcbn)</f>
        <v>20.835674895</v>
      </c>
      <c r="F308" s="21" t="n">
        <f aca="false">E308*(1+g_pcbn)</f>
        <v>21.2523883929</v>
      </c>
      <c r="G308" s="21" t="n">
        <f aca="false">F308*(1+g_pcbn)</f>
        <v>21.677436160758</v>
      </c>
    </row>
    <row r="309" customFormat="false" ht="15" hidden="false" customHeight="false" outlineLevel="0" collapsed="false">
      <c r="A309" s="3" t="s">
        <v>552</v>
      </c>
      <c r="B309" s="0" t="s">
        <v>303</v>
      </c>
      <c r="D309" s="21" t="n">
        <f aca="false">a26_fpc</f>
        <v>13.178795</v>
      </c>
      <c r="E309" s="21" t="n">
        <f aca="false">D309*(1+g_fpc)</f>
        <v>13.178795</v>
      </c>
      <c r="F309" s="21" t="n">
        <f aca="false">E309*(1+g_fpc)</f>
        <v>13.178795</v>
      </c>
      <c r="G309" s="21" t="n">
        <f aca="false">F309*(1+g_fpc)</f>
        <v>13.178795</v>
      </c>
    </row>
    <row r="310" customFormat="false" ht="17.15" hidden="false" customHeight="false" outlineLevel="0" collapsed="false">
      <c r="A310" s="3" t="s">
        <v>651</v>
      </c>
      <c r="B310" s="0" t="s">
        <v>303</v>
      </c>
      <c r="D310" s="21" t="n">
        <f aca="false">D301+D306</f>
        <v>116.72647</v>
      </c>
      <c r="E310" s="21" t="n">
        <f aca="false">E301+E306</f>
        <v>158.879187044156</v>
      </c>
      <c r="F310" s="21" t="n">
        <f aca="false">F301+F306</f>
        <v>175.919692163109</v>
      </c>
      <c r="G310" s="21" t="n">
        <f aca="false">G301+G306</f>
        <v>187.082685331883</v>
      </c>
      <c r="K310" s="3" t="s">
        <v>652</v>
      </c>
    </row>
    <row r="311" customFormat="false" ht="17.15" hidden="false" customHeight="false" outlineLevel="0" collapsed="false">
      <c r="A311" s="0" t="s">
        <v>653</v>
      </c>
      <c r="B311" s="0" t="s">
        <v>303</v>
      </c>
      <c r="D311" s="21" t="n">
        <f aca="false">D307+D308</f>
        <v>58.363235</v>
      </c>
      <c r="E311" s="21" t="n">
        <f aca="false">E307+E308</f>
        <v>66.358998195</v>
      </c>
      <c r="F311" s="21" t="n">
        <f aca="false">F307+F308</f>
        <v>73.6042101879</v>
      </c>
      <c r="G311" s="21" t="n">
        <f aca="false">G307+G308</f>
        <v>79.264440135258</v>
      </c>
      <c r="K311" s="3" t="s">
        <v>654</v>
      </c>
    </row>
    <row r="312" customFormat="false" ht="17.15" hidden="false" customHeight="false" outlineLevel="0" collapsed="false">
      <c r="A312" s="3" t="s">
        <v>515</v>
      </c>
      <c r="B312" s="0" t="s">
        <v>303</v>
      </c>
      <c r="C312" s="23" t="n">
        <f aca="false">a25_rev</f>
        <v>131.241</v>
      </c>
      <c r="D312" s="23" t="n">
        <f aca="false">D310+D311+D309</f>
        <v>188.2685</v>
      </c>
      <c r="E312" s="23" t="n">
        <f aca="false">E310+E311+E309</f>
        <v>238.416980239156</v>
      </c>
      <c r="F312" s="23" t="n">
        <f aca="false">F310+F311+F309</f>
        <v>262.702697351009</v>
      </c>
      <c r="G312" s="23" t="n">
        <f aca="false">G310+G311+G309</f>
        <v>279.525920467141</v>
      </c>
      <c r="H312" s="25" t="n">
        <f aca="false">G312*(1+H314)</f>
        <v>297.050149427561</v>
      </c>
      <c r="I312" s="25" t="n">
        <f aca="false">H312*(1+I314)</f>
        <v>315.273088825969</v>
      </c>
      <c r="J312" s="25" t="n">
        <f aca="false">I312*(1+J314)</f>
        <v>334.189474155527</v>
      </c>
      <c r="K312" s="7" t="s">
        <v>655</v>
      </c>
    </row>
    <row r="313" customFormat="false" ht="17.15" hidden="false" customHeight="false" outlineLevel="0" collapsed="false">
      <c r="A313" s="3" t="s">
        <v>656</v>
      </c>
      <c r="B313" s="0" t="s">
        <v>303</v>
      </c>
      <c r="D313" s="19" t="n">
        <f aca="false">D310+D311+D309-D312</f>
        <v>0</v>
      </c>
      <c r="E313" s="19" t="n">
        <f aca="false">E310+E311+E309-E312</f>
        <v>0</v>
      </c>
      <c r="F313" s="19" t="n">
        <f aca="false">F310+F311+F309-F312</f>
        <v>0</v>
      </c>
      <c r="G313" s="19" t="n">
        <f aca="false">G310+G311+G309-G312</f>
        <v>0</v>
      </c>
    </row>
    <row r="314" customFormat="false" ht="15" hidden="false" customHeight="false" outlineLevel="0" collapsed="false">
      <c r="A314" s="3" t="s">
        <v>657</v>
      </c>
      <c r="B314" s="0" t="s">
        <v>45</v>
      </c>
      <c r="D314" s="20" t="n">
        <f aca="false">D312/C312-1</f>
        <v>0.434525034097576</v>
      </c>
      <c r="E314" s="20" t="n">
        <f aca="false">E312/D312-1</f>
        <v>0.2663668125</v>
      </c>
      <c r="F314" s="20" t="n">
        <f aca="false">F312/E312-1</f>
        <v>0.101862363525833</v>
      </c>
      <c r="G314" s="20" t="n">
        <f aca="false">G312/F312-1</f>
        <v>0.0640390193392431</v>
      </c>
      <c r="H314" s="26" t="n">
        <f aca="false">$G314+(fade_gA-$G314)*1/3</f>
        <v>0.0626926795594954</v>
      </c>
      <c r="I314" s="26" t="n">
        <f aca="false">$G314+(fade_gA-$G314)*2/3</f>
        <v>0.0613463397797477</v>
      </c>
      <c r="J314" s="26" t="n">
        <f aca="false">$G314+(fade_gA-$G314)*3/3</f>
        <v>0.06</v>
      </c>
    </row>
    <row r="315" customFormat="false" ht="17.15" hidden="false" customHeight="false" outlineLevel="0" collapsed="false">
      <c r="A315" s="0" t="s">
        <v>658</v>
      </c>
      <c r="B315" s="0" t="s">
        <v>45</v>
      </c>
      <c r="D315" s="20" t="n">
        <f aca="false">D301/D312</f>
        <v>0.53</v>
      </c>
      <c r="E315" s="20" t="n">
        <f aca="false">E301/E312</f>
        <v>0.591769150220051</v>
      </c>
      <c r="F315" s="20" t="n">
        <f aca="false">F301/F312</f>
        <v>0.598542580019706</v>
      </c>
      <c r="G315" s="20" t="n">
        <f aca="false">G301/G312</f>
        <v>0.599113298845015</v>
      </c>
    </row>
    <row r="316" customFormat="false" ht="17.15" hidden="false" customHeight="false" outlineLevel="0" collapsed="false">
      <c r="A316" s="0" t="s">
        <v>659</v>
      </c>
      <c r="B316" s="0" t="s">
        <v>45</v>
      </c>
      <c r="D316" s="20" t="n">
        <f aca="false">(D303+D307)/D312</f>
        <v>0.599</v>
      </c>
      <c r="E316" s="20" t="n">
        <f aca="false">(E303+E307)/E312</f>
        <v>0.677485980064469</v>
      </c>
      <c r="F316" s="20" t="n">
        <f aca="false">(F303+F307)/F312</f>
        <v>0.697083859619839</v>
      </c>
      <c r="G316" s="20" t="n">
        <f aca="false">(G303+G307)/G312</f>
        <v>0.707612357625975</v>
      </c>
      <c r="K316" s="3" t="s">
        <v>660</v>
      </c>
    </row>
    <row r="317" customFormat="false" ht="17.15" hidden="false" customHeight="false" outlineLevel="0" collapsed="false">
      <c r="A317" s="5" t="s">
        <v>661</v>
      </c>
    </row>
    <row r="318" customFormat="false" ht="15" hidden="false" customHeight="false" outlineLevel="0" collapsed="false">
      <c r="A318" s="3" t="s">
        <v>662</v>
      </c>
      <c r="B318" s="0" t="s">
        <v>303</v>
      </c>
      <c r="C318" s="23" t="n">
        <f aca="false">a25_cx</f>
        <v>25.617</v>
      </c>
      <c r="D318" s="23" t="n">
        <f aca="false">capex26</f>
        <v>53.7</v>
      </c>
      <c r="E318" s="23" t="n">
        <f aca="false">cx27_A</f>
        <v>55</v>
      </c>
      <c r="F318" s="23" t="n">
        <f aca="false">cx28_A</f>
        <v>50</v>
      </c>
      <c r="G318" s="23" t="n">
        <f aca="false">cx29_A</f>
        <v>45</v>
      </c>
      <c r="H318" s="25" t="n">
        <f aca="false">H312*H335</f>
        <v>44.8677701596717</v>
      </c>
      <c r="I318" s="25" t="n">
        <f aca="false">I312*I335</f>
        <v>44.4856629068389</v>
      </c>
      <c r="J318" s="25" t="n">
        <f aca="false">J312*J335</f>
        <v>43.8321471114692</v>
      </c>
    </row>
    <row r="319" customFormat="false" ht="17.15" hidden="false" customHeight="false" outlineLevel="0" collapsed="false">
      <c r="A319" s="3" t="s">
        <v>663</v>
      </c>
      <c r="B319" s="0" t="s">
        <v>303</v>
      </c>
      <c r="C319" s="23" t="n">
        <f aca="false">a25_da</f>
        <v>18.8</v>
      </c>
      <c r="D319" s="23" t="n">
        <f aca="false">da26</f>
        <v>20.8</v>
      </c>
      <c r="E319" s="23" t="n">
        <f aca="false">D319*(1-1/life)+D318/life</f>
        <v>24.9125</v>
      </c>
      <c r="F319" s="23" t="n">
        <f aca="false">E319*(1-1/life)+E318/life</f>
        <v>28.6734375</v>
      </c>
      <c r="G319" s="23" t="n">
        <f aca="false">F319*(1-1/life)+F318/life</f>
        <v>31.3392578125</v>
      </c>
      <c r="H319" s="25" t="n">
        <f aca="false">H312*H320</f>
        <v>33.3039998601715</v>
      </c>
      <c r="I319" s="25" t="n">
        <f aca="false">I312*I320</f>
        <v>35.3470783516182</v>
      </c>
      <c r="J319" s="25" t="n">
        <f aca="false">J312*J320</f>
        <v>37.4679030527153</v>
      </c>
      <c r="K319" s="3" t="s">
        <v>664</v>
      </c>
    </row>
    <row r="320" customFormat="false" ht="17.15" hidden="false" customHeight="false" outlineLevel="0" collapsed="false">
      <c r="A320" s="3" t="s">
        <v>665</v>
      </c>
      <c r="B320" s="0" t="s">
        <v>45</v>
      </c>
      <c r="C320" s="20" t="n">
        <f aca="false">C319/C312</f>
        <v>0.143247917952469</v>
      </c>
      <c r="D320" s="20" t="n">
        <f aca="false">D319/D312</f>
        <v>0.110480510547436</v>
      </c>
      <c r="E320" s="20" t="n">
        <f aca="false">E319/E312</f>
        <v>0.104491299130667</v>
      </c>
      <c r="F320" s="20" t="n">
        <f aca="false">F319/F312</f>
        <v>0.109147861019821</v>
      </c>
      <c r="G320" s="20" t="n">
        <f aca="false">G319/G312</f>
        <v>0.112115748550711</v>
      </c>
      <c r="H320" s="26" t="n">
        <f aca="false">$G320</f>
        <v>0.112115748550711</v>
      </c>
      <c r="I320" s="26" t="n">
        <f aca="false">$G320</f>
        <v>0.112115748550711</v>
      </c>
      <c r="J320" s="26" t="n">
        <f aca="false">$G320</f>
        <v>0.112115748550711</v>
      </c>
    </row>
    <row r="321" customFormat="false" ht="17.15" hidden="false" customHeight="false" outlineLevel="0" collapsed="false">
      <c r="A321" s="3" t="s">
        <v>666</v>
      </c>
      <c r="B321" s="0" t="s">
        <v>303</v>
      </c>
      <c r="E321" s="21" t="n">
        <f aca="false">E303*(1-1/(E288*E289))</f>
        <v>-0.290728917847979</v>
      </c>
      <c r="F321" s="21" t="n">
        <f aca="false">F303*(1-1/(F288*F289))</f>
        <v>-15.7514887997207</v>
      </c>
      <c r="G321" s="21" t="n">
        <f aca="false">G303*(1-1/(G288*G289))</f>
        <v>-37.8341723432066</v>
      </c>
      <c r="K321" s="7" t="s">
        <v>667</v>
      </c>
    </row>
    <row r="322" customFormat="false" ht="17.15" hidden="false" customHeight="false" outlineLevel="0" collapsed="false">
      <c r="A322" s="3" t="s">
        <v>668</v>
      </c>
      <c r="B322" s="0" t="s">
        <v>303</v>
      </c>
      <c r="C322" s="21" t="n">
        <f aca="false">a25_gp</f>
        <v>18.292</v>
      </c>
      <c r="D322" s="21" t="n">
        <f aca="false">a26_gp</f>
        <v>47.3329657</v>
      </c>
      <c r="E322" s="21" t="n">
        <f aca="false">$D322+ft_abf*(E301-E321-$D301)+ft_oth*((E312-E301)-($D312-$D301))+E321-(E319-$D319)</f>
        <v>65.9385984994041</v>
      </c>
      <c r="F322" s="21" t="n">
        <f aca="false">$D322+ft_abf*(F301-F321-$D301)+ft_oth*((F312-F301)-($D312-$D301))+F321-(F319-$D319)</f>
        <v>64.556444450544</v>
      </c>
      <c r="G322" s="21" t="n">
        <f aca="false">$D322+ft_abf*(G301-G321-$D301)+ft_oth*((G312-G301)-($D312-$D301))+G321-(G319-$D319)</f>
        <v>57.6123246636215</v>
      </c>
      <c r="K322" s="3" t="s">
        <v>669</v>
      </c>
    </row>
    <row r="323" customFormat="false" ht="15" hidden="false" customHeight="false" outlineLevel="0" collapsed="false">
      <c r="A323" s="3" t="s">
        <v>522</v>
      </c>
      <c r="B323" s="0" t="s">
        <v>45</v>
      </c>
      <c r="C323" s="13" t="n">
        <f aca="false">C322/C312</f>
        <v>0.139377176339711</v>
      </c>
      <c r="D323" s="13" t="n">
        <f aca="false">D322/D312</f>
        <v>0.251412029627899</v>
      </c>
      <c r="E323" s="13" t="n">
        <f aca="false">E322/E312</f>
        <v>0.276568382139817</v>
      </c>
      <c r="F323" s="13" t="n">
        <f aca="false">F322/F312</f>
        <v>0.245739556926921</v>
      </c>
      <c r="G323" s="13" t="n">
        <f aca="false">G322/G312</f>
        <v>0.20610727108005</v>
      </c>
    </row>
    <row r="324" customFormat="false" ht="15" hidden="false" customHeight="false" outlineLevel="0" collapsed="false">
      <c r="A324" s="3" t="s">
        <v>524</v>
      </c>
      <c r="B324" s="0" t="s">
        <v>303</v>
      </c>
      <c r="C324" s="21" t="n">
        <f aca="false">a25_opx</f>
        <v>11.618</v>
      </c>
      <c r="D324" s="21" t="n">
        <f aca="false">a26_opx</f>
        <v>16.6539532</v>
      </c>
      <c r="E324" s="21" t="n">
        <f aca="false">D324*(1+phi*E314)</f>
        <v>19.3155894576449</v>
      </c>
      <c r="F324" s="21" t="n">
        <f aca="false">E324*(1+phi*F314)</f>
        <v>20.4961084146751</v>
      </c>
      <c r="G324" s="21" t="n">
        <f aca="false">F324*(1+phi*G314)</f>
        <v>21.2836388245631</v>
      </c>
    </row>
    <row r="325" customFormat="false" ht="15" hidden="false" customHeight="false" outlineLevel="0" collapsed="false">
      <c r="A325" s="3" t="s">
        <v>527</v>
      </c>
      <c r="B325" s="0" t="s">
        <v>303</v>
      </c>
      <c r="C325" s="21" t="n">
        <f aca="false">C322-C324</f>
        <v>6.674</v>
      </c>
      <c r="D325" s="21" t="n">
        <f aca="false">D322-D324</f>
        <v>30.6790125</v>
      </c>
      <c r="E325" s="21" t="n">
        <f aca="false">E322-E324</f>
        <v>46.6230090417592</v>
      </c>
      <c r="F325" s="21" t="n">
        <f aca="false">F322-F324</f>
        <v>44.0603360358688</v>
      </c>
      <c r="G325" s="21" t="n">
        <f aca="false">G322-G324</f>
        <v>36.3286858390584</v>
      </c>
    </row>
    <row r="326" customFormat="false" ht="15" hidden="false" customHeight="false" outlineLevel="0" collapsed="false">
      <c r="A326" s="3" t="s">
        <v>605</v>
      </c>
      <c r="B326" s="0" t="s">
        <v>45</v>
      </c>
      <c r="C326" s="13" t="n">
        <f aca="false">C325/C312</f>
        <v>0.0508530108731265</v>
      </c>
      <c r="D326" s="13" t="n">
        <f aca="false">D325/D312</f>
        <v>0.162953507888999</v>
      </c>
      <c r="E326" s="13" t="n">
        <f aca="false">E325/E312</f>
        <v>0.195552384712665</v>
      </c>
      <c r="F326" s="13" t="n">
        <f aca="false">F325/F312</f>
        <v>0.167719389561493</v>
      </c>
      <c r="G326" s="13" t="n">
        <f aca="false">G325/G312</f>
        <v>0.129965356265874</v>
      </c>
    </row>
    <row r="327" customFormat="false" ht="17.15" hidden="false" customHeight="false" outlineLevel="0" collapsed="false">
      <c r="A327" s="3" t="s">
        <v>670</v>
      </c>
      <c r="B327" s="0" t="s">
        <v>303</v>
      </c>
      <c r="C327" s="21" t="n">
        <f aca="false">a25_nonop</f>
        <v>-0.00100000000000033</v>
      </c>
      <c r="D327" s="21" t="n">
        <f aca="false">a26_nonop</f>
        <v>14.466</v>
      </c>
      <c r="E327" s="21" t="n">
        <f aca="false">nonop27</f>
        <v>2</v>
      </c>
      <c r="F327" s="21" t="n">
        <f aca="false">nonop28</f>
        <v>2</v>
      </c>
      <c r="G327" s="21" t="n">
        <f aca="false">nonop29</f>
        <v>2</v>
      </c>
      <c r="K327" s="7" t="s">
        <v>671</v>
      </c>
    </row>
    <row r="328" customFormat="false" ht="15" hidden="false" customHeight="false" outlineLevel="0" collapsed="false">
      <c r="A328" s="3" t="s">
        <v>533</v>
      </c>
      <c r="B328" s="0" t="s">
        <v>303</v>
      </c>
      <c r="C328" s="21" t="n">
        <f aca="false">C325+C327</f>
        <v>6.673</v>
      </c>
      <c r="D328" s="21" t="n">
        <f aca="false">D325+D327</f>
        <v>45.1450125</v>
      </c>
      <c r="E328" s="21" t="n">
        <f aca="false">E325+E327</f>
        <v>48.6230090417592</v>
      </c>
      <c r="F328" s="21" t="n">
        <f aca="false">F325+F327</f>
        <v>46.0603360358688</v>
      </c>
      <c r="G328" s="21" t="n">
        <f aca="false">G325+G327</f>
        <v>38.3286858390584</v>
      </c>
    </row>
    <row r="329" customFormat="false" ht="15" hidden="false" customHeight="false" outlineLevel="0" collapsed="false">
      <c r="A329" s="3" t="s">
        <v>537</v>
      </c>
      <c r="B329" s="0" t="s">
        <v>303</v>
      </c>
      <c r="E329" s="21" t="n">
        <f aca="false">E328*tax</f>
        <v>8.75214162751666</v>
      </c>
      <c r="F329" s="21" t="n">
        <f aca="false">F328*tax</f>
        <v>8.29086048645639</v>
      </c>
      <c r="G329" s="21" t="n">
        <f aca="false">G328*tax</f>
        <v>6.89916345103052</v>
      </c>
    </row>
    <row r="330" customFormat="false" ht="15" hidden="false" customHeight="false" outlineLevel="0" collapsed="false">
      <c r="A330" s="3" t="s">
        <v>535</v>
      </c>
      <c r="B330" s="0" t="s">
        <v>303</v>
      </c>
      <c r="C330" s="21" t="n">
        <f aca="false">a25_ni</f>
        <v>6.673</v>
      </c>
      <c r="D330" s="21" t="n">
        <f aca="false">a26_ni</f>
        <v>37.23923025</v>
      </c>
      <c r="E330" s="21" t="n">
        <f aca="false">E328-E329</f>
        <v>39.8708674142426</v>
      </c>
      <c r="F330" s="21" t="n">
        <f aca="false">F328-F329</f>
        <v>37.7694755494124</v>
      </c>
      <c r="G330" s="21" t="n">
        <f aca="false">G328-G329</f>
        <v>31.4295223880279</v>
      </c>
      <c r="H330" s="30" t="n">
        <f aca="false">H312*H334</f>
        <v>39.4365610126242</v>
      </c>
      <c r="I330" s="30" t="n">
        <f aca="false">I312*I334</f>
        <v>48.2628129573966</v>
      </c>
      <c r="J330" s="30" t="n">
        <f aca="false">J312*J334</f>
        <v>57.9499628043763</v>
      </c>
    </row>
    <row r="331" customFormat="false" ht="15" hidden="false" customHeight="false" outlineLevel="0" collapsed="false">
      <c r="A331" s="3" t="s">
        <v>672</v>
      </c>
      <c r="B331" s="3" t="s">
        <v>381</v>
      </c>
      <c r="C331" s="29" t="n">
        <f aca="false">a25_sh</f>
        <v>1.52351598173516</v>
      </c>
      <c r="D331" s="29" t="n">
        <f aca="false">a26_sh</f>
        <v>1.59236316568047</v>
      </c>
      <c r="E331" s="29" t="n">
        <f aca="false">a26_shend*(1+sh_g)</f>
        <v>1.64</v>
      </c>
      <c r="F331" s="29" t="n">
        <f aca="false">E331*(1+sh_g)</f>
        <v>1.64</v>
      </c>
      <c r="G331" s="29" t="n">
        <f aca="false">F331*(1+sh_g)</f>
        <v>1.64</v>
      </c>
      <c r="H331" s="31" t="n">
        <f aca="false">G331*(1+sh_g)</f>
        <v>1.64</v>
      </c>
      <c r="I331" s="31" t="n">
        <f aca="false">H331*(1+sh_g)</f>
        <v>1.64</v>
      </c>
      <c r="J331" s="31" t="n">
        <f aca="false">I331*(1+sh_g)</f>
        <v>1.64</v>
      </c>
    </row>
    <row r="332" customFormat="false" ht="17.15" hidden="false" customHeight="false" outlineLevel="0" collapsed="false">
      <c r="A332" s="0" t="s">
        <v>540</v>
      </c>
      <c r="B332" s="0" t="s">
        <v>387</v>
      </c>
      <c r="C332" s="18" t="n">
        <f aca="false">C330/C331</f>
        <v>4.38</v>
      </c>
      <c r="D332" s="18" t="n">
        <f aca="false">D330/D331</f>
        <v>23.3861414610695</v>
      </c>
      <c r="E332" s="18" t="n">
        <f aca="false">E330/E331</f>
        <v>24.3115045208796</v>
      </c>
      <c r="F332" s="18" t="n">
        <f aca="false">F330/F331</f>
        <v>23.0301680179344</v>
      </c>
      <c r="G332" s="18" t="n">
        <f aca="false">G330/G331</f>
        <v>19.1643429195292</v>
      </c>
      <c r="H332" s="28" t="n">
        <f aca="false">H330/H331</f>
        <v>24.0466835442831</v>
      </c>
      <c r="I332" s="28" t="n">
        <f aca="false">I330/I331</f>
        <v>29.4285444862174</v>
      </c>
      <c r="J332" s="28" t="n">
        <f aca="false">J330/J331</f>
        <v>35.3353431734002</v>
      </c>
    </row>
    <row r="333" customFormat="false" ht="17.15" hidden="false" customHeight="false" outlineLevel="0" collapsed="false">
      <c r="A333" s="0" t="s">
        <v>673</v>
      </c>
      <c r="B333" s="0" t="s">
        <v>45</v>
      </c>
      <c r="D333" s="20" t="n">
        <f aca="false">D332/C332-1</f>
        <v>4.33930170344053</v>
      </c>
      <c r="E333" s="20" t="n">
        <f aca="false">E332/D332-1</f>
        <v>0.0395688643785272</v>
      </c>
      <c r="F333" s="20" t="n">
        <f aca="false">F332/E332-1</f>
        <v>-0.0527049447657486</v>
      </c>
      <c r="G333" s="20" t="n">
        <f aca="false">G332/F332-1</f>
        <v>-0.167859179116485</v>
      </c>
      <c r="H333" s="26" t="n">
        <f aca="false">H332/G332-1</f>
        <v>0.254761702253749</v>
      </c>
      <c r="I333" s="26" t="n">
        <f aca="false">I332/H332-1</f>
        <v>0.223808864620496</v>
      </c>
      <c r="J333" s="26" t="n">
        <f aca="false">J332/I332-1</f>
        <v>0.200716644003552</v>
      </c>
    </row>
    <row r="334" customFormat="false" ht="17.15" hidden="false" customHeight="false" outlineLevel="0" collapsed="false">
      <c r="A334" s="3" t="s">
        <v>674</v>
      </c>
      <c r="B334" s="0" t="s">
        <v>45</v>
      </c>
      <c r="C334" s="13" t="n">
        <f aca="false">C330/C312</f>
        <v>0.0508453913030227</v>
      </c>
      <c r="D334" s="13" t="n">
        <f aca="false">D330/D312</f>
        <v>0.197798517808343</v>
      </c>
      <c r="E334" s="13" t="n">
        <f aca="false">E330/E312</f>
        <v>0.16723166015377</v>
      </c>
      <c r="F334" s="13" t="n">
        <f aca="false">F330/F312</f>
        <v>0.14377269792151</v>
      </c>
      <c r="G334" s="13" t="n">
        <f aca="false">G330/G312</f>
        <v>0.112438668784287</v>
      </c>
      <c r="H334" s="27" t="n">
        <f aca="false">$G334+(fade_mA-$G334)*1/3</f>
        <v>0.132760616645444</v>
      </c>
      <c r="I334" s="27" t="n">
        <f aca="false">$G334+(fade_mA-$G334)*2/3</f>
        <v>0.153082564506601</v>
      </c>
      <c r="J334" s="27" t="n">
        <f aca="false">$G334+(fade_mA-$G334)*3/3</f>
        <v>0.173404512367757</v>
      </c>
    </row>
    <row r="335" customFormat="false" ht="17.15" hidden="false" customHeight="false" outlineLevel="0" collapsed="false">
      <c r="A335" s="3" t="s">
        <v>675</v>
      </c>
      <c r="B335" s="0" t="s">
        <v>45</v>
      </c>
      <c r="C335" s="20" t="n">
        <f aca="false">C318/C312</f>
        <v>0.195190527350447</v>
      </c>
      <c r="D335" s="20" t="n">
        <f aca="false">D318/D312</f>
        <v>0.285230933480641</v>
      </c>
      <c r="E335" s="20" t="n">
        <f aca="false">E318/E312</f>
        <v>0.230688267022045</v>
      </c>
      <c r="F335" s="20" t="n">
        <f aca="false">F318/F312</f>
        <v>0.190329221984321</v>
      </c>
      <c r="G335" s="20" t="n">
        <f aca="false">G318/G312</f>
        <v>0.160986859196444</v>
      </c>
      <c r="H335" s="26" t="n">
        <f aca="false">$G335+($G320*(1+tp_g)^(life/2)-$G335)*1/3</f>
        <v>0.151044428848581</v>
      </c>
      <c r="I335" s="26" t="n">
        <f aca="false">$G335+($G320*(1+tp_g)^(life/2)-$G335)*2/3</f>
        <v>0.141101998500719</v>
      </c>
      <c r="J335" s="26" t="n">
        <f aca="false">$G335+($G320*(1+tp_g)^(life/2)-$G335)*3/3</f>
        <v>0.131159568152857</v>
      </c>
      <c r="K335" s="7" t="s">
        <v>676</v>
      </c>
    </row>
    <row r="336" customFormat="false" ht="15" hidden="false" customHeight="false" outlineLevel="0" collapsed="false">
      <c r="A336" s="3" t="s">
        <v>677</v>
      </c>
      <c r="B336" s="0" t="s">
        <v>303</v>
      </c>
      <c r="E336" s="21" t="n">
        <f aca="false">E330+E319-E318</f>
        <v>9.78336741424258</v>
      </c>
      <c r="F336" s="21" t="n">
        <f aca="false">F330+F319-F318</f>
        <v>16.4429130494124</v>
      </c>
      <c r="G336" s="21" t="n">
        <f aca="false">G330+G319-G318</f>
        <v>17.7687802005279</v>
      </c>
      <c r="H336" s="30" t="n">
        <f aca="false">H330+H319-H318</f>
        <v>27.872790713124</v>
      </c>
      <c r="I336" s="30" t="n">
        <f aca="false">I330+I319-I318</f>
        <v>39.1242284021759</v>
      </c>
      <c r="J336" s="30" t="n">
        <f aca="false">J330+J319-J318</f>
        <v>51.5857187456225</v>
      </c>
      <c r="K336" s="3" t="s">
        <v>678</v>
      </c>
    </row>
    <row r="337" customFormat="false" ht="15" hidden="false" customHeight="false" outlineLevel="0" collapsed="false">
      <c r="A337" s="3" t="s">
        <v>679</v>
      </c>
      <c r="B337" s="0" t="s">
        <v>387</v>
      </c>
      <c r="E337" s="18" t="n">
        <f aca="false">E336/E331</f>
        <v>5.96546793551377</v>
      </c>
      <c r="F337" s="18" t="n">
        <f aca="false">F336/F331</f>
        <v>10.0261664935442</v>
      </c>
      <c r="G337" s="18" t="n">
        <f aca="false">G336/G331</f>
        <v>10.8346220734926</v>
      </c>
      <c r="H337" s="28" t="n">
        <f aca="false">H336/H331</f>
        <v>16.9956040933683</v>
      </c>
      <c r="I337" s="28" t="n">
        <f aca="false">I336/I331</f>
        <v>23.8562368305951</v>
      </c>
      <c r="J337" s="28" t="n">
        <f aca="false">J336/J331</f>
        <v>31.4547065522088</v>
      </c>
    </row>
    <row r="340" customFormat="false" ht="17.15" hidden="false" customHeight="false" outlineLevel="0" collapsed="false">
      <c r="A340" s="1" t="s">
        <v>1024</v>
      </c>
    </row>
    <row r="341" customFormat="false" ht="17.15" hidden="false" customHeight="false" outlineLevel="0" collapsed="false">
      <c r="A341" s="4" t="s">
        <v>22</v>
      </c>
      <c r="B341" s="4" t="s">
        <v>23</v>
      </c>
      <c r="C341" s="14" t="s">
        <v>508</v>
      </c>
      <c r="D341" s="14" t="s">
        <v>592</v>
      </c>
      <c r="E341" s="14" t="s">
        <v>593</v>
      </c>
      <c r="F341" s="14" t="s">
        <v>594</v>
      </c>
      <c r="G341" s="14" t="s">
        <v>595</v>
      </c>
      <c r="H341" s="14" t="s">
        <v>596</v>
      </c>
      <c r="I341" s="14" t="s">
        <v>597</v>
      </c>
      <c r="J341" s="14" t="s">
        <v>598</v>
      </c>
      <c r="K341" s="4" t="s">
        <v>481</v>
      </c>
    </row>
    <row r="342" customFormat="false" ht="17.15" hidden="false" customHeight="false" outlineLevel="0" collapsed="false">
      <c r="A342" s="5" t="s">
        <v>616</v>
      </c>
    </row>
    <row r="343" customFormat="false" ht="17.15" hidden="false" customHeight="false" outlineLevel="0" collapsed="false">
      <c r="A343" s="0" t="s">
        <v>617</v>
      </c>
      <c r="B343" s="3" t="s">
        <v>33</v>
      </c>
      <c r="D343" s="21" t="n">
        <f aca="false">(u_bw_26+u_rb_26+u_ru_26+u_hp_26)*1</f>
        <v>7.6</v>
      </c>
      <c r="E343" s="21" t="n">
        <f aca="false">(u_bw_27+u_rb_27+u_ru_27+u_hp_27)*1*1</f>
        <v>9.7</v>
      </c>
      <c r="F343" s="21" t="n">
        <f aca="false">(u_bw_28+u_rb_28+u_ru_28+u_hp_28)*um28_A*1</f>
        <v>9.5</v>
      </c>
      <c r="G343" s="21" t="n">
        <f aca="false">(u_bw_28*(1+g29_bw)+u_rb_28*(1+g29_rb)+u_ru_28*(1+g29_ru)+u_hp_28*(1+g29_hp))*um29_A*1</f>
        <v>10.6</v>
      </c>
      <c r="K343" s="7" t="s">
        <v>618</v>
      </c>
    </row>
    <row r="344" customFormat="false" ht="17.15" hidden="false" customHeight="false" outlineLevel="0" collapsed="false">
      <c r="A344" s="3" t="s">
        <v>619</v>
      </c>
      <c r="B344" s="3" t="s">
        <v>33</v>
      </c>
      <c r="D344" s="21" t="n">
        <f aca="false">(u_amd_26+u_tpu_26+u_trn_26+u_oth_26)*1</f>
        <v>7.6</v>
      </c>
      <c r="E344" s="21" t="n">
        <f aca="false">(u_amd_27+u_tpu_27+u_trn_27+u_oth_27)*1*1</f>
        <v>14</v>
      </c>
      <c r="F344" s="21" t="n">
        <f aca="false">(u_amd_28+u_tpu_28+u_trn_28+u_oth_28)*um28_A*1</f>
        <v>17</v>
      </c>
      <c r="G344" s="21" t="n">
        <f aca="false">(u_amd_28*(1+g29_amd)+u_tpu_28*(1+g29_tpu)+u_trn_28*(1+g29_trn)+u_oth_28*(1+g29_oth))*um29_A*1</f>
        <v>19.55</v>
      </c>
      <c r="K344" s="7" t="s">
        <v>620</v>
      </c>
    </row>
    <row r="345" customFormat="false" ht="17.15" hidden="false" customHeight="false" outlineLevel="0" collapsed="false">
      <c r="A345" s="3" t="s">
        <v>621</v>
      </c>
      <c r="B345" s="0" t="s">
        <v>145</v>
      </c>
      <c r="D345" s="19" t="n">
        <f aca="false">1</f>
        <v>1</v>
      </c>
      <c r="E345" s="19" t="n">
        <f aca="false">D345*(1+g_asp)</f>
        <v>1.18</v>
      </c>
      <c r="F345" s="19" t="n">
        <f aca="false">E345*(1+g_asp)</f>
        <v>1.3924</v>
      </c>
      <c r="G345" s="19" t="n">
        <f aca="false">F345*(1+g_asp)</f>
        <v>1.643032</v>
      </c>
      <c r="K345" s="7" t="s">
        <v>622</v>
      </c>
    </row>
    <row r="346" customFormat="false" ht="17.15" hidden="false" customHeight="false" outlineLevel="0" collapsed="false">
      <c r="A346" s="0" t="s">
        <v>623</v>
      </c>
      <c r="B346" s="0" t="s">
        <v>145</v>
      </c>
      <c r="D346" s="18" t="n">
        <f aca="false">1</f>
        <v>1</v>
      </c>
      <c r="E346" s="18" t="n">
        <f aca="false">ibpp_27_hi</f>
        <v>1.05</v>
      </c>
      <c r="F346" s="18" t="n">
        <f aca="false">ibpp_28_hi</f>
        <v>1.05</v>
      </c>
      <c r="G346" s="18" t="n">
        <f aca="false">ibpp_29_hi</f>
        <v>1</v>
      </c>
      <c r="K346" s="7" t="s">
        <v>624</v>
      </c>
    </row>
    <row r="347" customFormat="false" ht="17.15" hidden="false" customHeight="false" outlineLevel="0" collapsed="false">
      <c r="A347" s="3" t="s">
        <v>625</v>
      </c>
      <c r="B347" s="0" t="s">
        <v>145</v>
      </c>
      <c r="D347" s="18" t="n">
        <f aca="false">1</f>
        <v>1</v>
      </c>
      <c r="E347" s="18" t="n">
        <f aca="false">1+carry</f>
        <v>1.05</v>
      </c>
      <c r="F347" s="18" t="n">
        <f aca="false">1+carry</f>
        <v>1.05</v>
      </c>
      <c r="G347" s="18" t="n">
        <f aca="false">1+carry</f>
        <v>1.05</v>
      </c>
      <c r="K347" s="7" t="s">
        <v>626</v>
      </c>
    </row>
    <row r="348" customFormat="false" ht="17.15" hidden="false" customHeight="false" outlineLevel="0" collapsed="false">
      <c r="A348" s="3" t="s">
        <v>627</v>
      </c>
      <c r="B348" s="0" t="s">
        <v>628</v>
      </c>
      <c r="D348" s="23" t="n">
        <f aca="false">v26*D345*D346</f>
        <v>215.308596</v>
      </c>
      <c r="E348" s="23" t="n">
        <f aca="false">v26*E345*E346</f>
        <v>266.767350444</v>
      </c>
      <c r="F348" s="23" t="n">
        <f aca="false">v26*F345*F346</f>
        <v>314.78547352392</v>
      </c>
      <c r="G348" s="23" t="n">
        <f aca="false">v26*G345*G346</f>
        <v>353.758913103072</v>
      </c>
      <c r="K348" s="7" t="s">
        <v>629</v>
      </c>
    </row>
    <row r="349" customFormat="false" ht="17.15" hidden="false" customHeight="false" outlineLevel="0" collapsed="false">
      <c r="A349" s="3" t="s">
        <v>630</v>
      </c>
      <c r="B349" s="0" t="s">
        <v>45</v>
      </c>
      <c r="D349" s="20" t="n">
        <f aca="false">sh_nv_26</f>
        <v>0.25</v>
      </c>
      <c r="E349" s="20" t="n">
        <f aca="false">sh_nv_27</f>
        <v>0.27</v>
      </c>
      <c r="F349" s="20" t="n">
        <f aca="false">sh_nv_28</f>
        <v>0.29</v>
      </c>
      <c r="G349" s="20" t="n">
        <f aca="false">sh_nv_29</f>
        <v>0.3</v>
      </c>
    </row>
    <row r="350" customFormat="false" ht="17.15" hidden="false" customHeight="false" outlineLevel="0" collapsed="false">
      <c r="A350" s="3" t="s">
        <v>631</v>
      </c>
      <c r="B350" s="0" t="s">
        <v>45</v>
      </c>
      <c r="D350" s="20" t="n">
        <f aca="false">sh_ot_26</f>
        <v>0.3</v>
      </c>
      <c r="E350" s="20" t="n">
        <f aca="false">sh_ot_27</f>
        <v>0.31</v>
      </c>
      <c r="F350" s="20" t="n">
        <f aca="false">sh_ot_28</f>
        <v>0.32</v>
      </c>
      <c r="G350" s="20" t="n">
        <f aca="false">sh_ot_29</f>
        <v>0.33</v>
      </c>
    </row>
    <row r="351" customFormat="false" ht="17.15" hidden="false" customHeight="false" outlineLevel="0" collapsed="false">
      <c r="A351" s="3" t="s">
        <v>632</v>
      </c>
      <c r="B351" s="0" t="s">
        <v>582</v>
      </c>
      <c r="D351" s="22" t="n">
        <f aca="false">(D343*D348*D349+D344*D348*v_ot*D350)*D347</f>
        <v>801.809211504</v>
      </c>
      <c r="E351" s="22" t="n">
        <f aca="false">(E343*E348*E349+E344*E348*v_ot*E350)*E347</f>
        <v>1706.12392813212</v>
      </c>
      <c r="F351" s="22" t="n">
        <f aca="false">(F343*F348*F349+F344*F348*v_ot*F350)*F347</f>
        <v>2349.03937835123</v>
      </c>
      <c r="G351" s="22" t="n">
        <f aca="false">(G343*G348*G349+G344*G348*v_ot*G350)*G347</f>
        <v>3098.31253827411</v>
      </c>
    </row>
    <row r="352" customFormat="false" ht="15" hidden="false" customHeight="false" outlineLevel="0" collapsed="false">
      <c r="A352" s="3" t="s">
        <v>633</v>
      </c>
      <c r="B352" s="0" t="s">
        <v>303</v>
      </c>
      <c r="D352" s="21" t="n">
        <f aca="false">D351*fx/1000</f>
        <v>25.657894768128</v>
      </c>
      <c r="E352" s="21" t="n">
        <f aca="false">E351*fx/1000</f>
        <v>54.595965700228</v>
      </c>
      <c r="F352" s="21" t="n">
        <f aca="false">F351*fx/1000</f>
        <v>75.1692601072392</v>
      </c>
      <c r="G352" s="21" t="n">
        <f aca="false">G351*fx/1000</f>
        <v>99.1460012247716</v>
      </c>
    </row>
    <row r="353" customFormat="false" ht="17.15" hidden="false" customHeight="false" outlineLevel="0" collapsed="false">
      <c r="A353" s="5" t="s">
        <v>634</v>
      </c>
    </row>
    <row r="354" customFormat="false" ht="17.15" hidden="false" customHeight="false" outlineLevel="0" collapsed="false">
      <c r="A354" s="0" t="s">
        <v>635</v>
      </c>
      <c r="B354" s="0" t="s">
        <v>303</v>
      </c>
      <c r="D354" s="21" t="n">
        <f aca="false">a26_abf*ai_abf</f>
        <v>74.83672875</v>
      </c>
      <c r="K354" s="3" t="s">
        <v>636</v>
      </c>
    </row>
    <row r="355" customFormat="false" ht="17.15" hidden="false" customHeight="false" outlineLevel="0" collapsed="false">
      <c r="A355" s="3" t="s">
        <v>637</v>
      </c>
      <c r="B355" s="0" t="s">
        <v>303</v>
      </c>
      <c r="D355" s="21" t="n">
        <f aca="false">D354-D352</f>
        <v>49.178833981872</v>
      </c>
      <c r="E355" s="21" t="n">
        <f aca="false">$D355*(itc_27/itc_26)^el_o*1*1*E346*E347</f>
        <v>76.7175048612338</v>
      </c>
      <c r="F355" s="21" t="n">
        <f aca="false">$D355*(itc_28/itc_26)^el_o*um28_A*1*F346*F347</f>
        <v>86.3750785131524</v>
      </c>
      <c r="G355" s="21" t="n">
        <f aca="false">$D355*(itc_29/itc_26)^el_o*um29_A*1*G346*G347</f>
        <v>87.799320941661</v>
      </c>
      <c r="K355" s="7" t="s">
        <v>638</v>
      </c>
    </row>
    <row r="356" customFormat="false" ht="17.15" hidden="false" customHeight="false" outlineLevel="0" collapsed="false">
      <c r="A356" s="3" t="s">
        <v>639</v>
      </c>
      <c r="B356" s="0" t="s">
        <v>303</v>
      </c>
      <c r="D356" s="21" t="n">
        <f aca="false">a26_abf-D354</f>
        <v>24.94557625</v>
      </c>
      <c r="E356" s="21" t="n">
        <f aca="false">D356*(1+g_nai)</f>
        <v>25.6939435375</v>
      </c>
      <c r="F356" s="21" t="n">
        <f aca="false">E356*(1+g_nai)</f>
        <v>26.464761843625</v>
      </c>
      <c r="G356" s="21" t="n">
        <f aca="false">F356*(1+g_nai)</f>
        <v>27.2587046989338</v>
      </c>
    </row>
    <row r="357" customFormat="false" ht="17.15" hidden="false" customHeight="false" outlineLevel="0" collapsed="false">
      <c r="A357" s="0" t="s">
        <v>640</v>
      </c>
      <c r="B357" s="0" t="s">
        <v>303</v>
      </c>
      <c r="D357" s="21" t="n">
        <f aca="false">D352+D355+D356</f>
        <v>99.782305</v>
      </c>
      <c r="E357" s="21" t="n">
        <f aca="false">E352+E355+E356</f>
        <v>157.007414098962</v>
      </c>
      <c r="F357" s="21" t="n">
        <f aca="false">F352+F355+F356</f>
        <v>188.009100464017</v>
      </c>
      <c r="G357" s="21" t="n">
        <f aca="false">G352+G355+G356</f>
        <v>214.204026865366</v>
      </c>
    </row>
    <row r="358" customFormat="false" ht="17.15" hidden="false" customHeight="false" outlineLevel="0" collapsed="false">
      <c r="A358" s="0" t="s">
        <v>641</v>
      </c>
      <c r="B358" s="0" t="s">
        <v>303</v>
      </c>
      <c r="D358" s="21" t="n">
        <f aca="false">a26_abf</f>
        <v>99.782305</v>
      </c>
      <c r="E358" s="21" t="n">
        <f aca="false">$D357*cap_27*(1+g_mix)^1*E346*E347</f>
        <v>155.939162614594</v>
      </c>
      <c r="F358" s="21" t="n">
        <f aca="false">$D357*cap_28*(1+g_mix)^2*F346*F347</f>
        <v>206.186226123741</v>
      </c>
      <c r="G358" s="21" t="n">
        <f aca="false">$D357*cap_29*(1+g_mix)^3*G346*G347</f>
        <v>242.572030733813</v>
      </c>
      <c r="K358" s="7" t="s">
        <v>642</v>
      </c>
    </row>
    <row r="359" customFormat="false" ht="17.15" hidden="false" customHeight="false" outlineLevel="0" collapsed="false">
      <c r="A359" s="0" t="s">
        <v>643</v>
      </c>
      <c r="B359" s="0" t="s">
        <v>303</v>
      </c>
      <c r="D359" s="21" t="n">
        <f aca="false">a26_abf</f>
        <v>99.782305</v>
      </c>
      <c r="E359" s="21" t="n">
        <f aca="false">MIN(E357,E358)</f>
        <v>155.939162614594</v>
      </c>
      <c r="F359" s="21" t="n">
        <f aca="false">MIN(F357,F358)</f>
        <v>188.009100464017</v>
      </c>
      <c r="G359" s="21" t="n">
        <f aca="false">MIN(G357,G358)</f>
        <v>214.204026865366</v>
      </c>
    </row>
    <row r="360" customFormat="false" ht="17.15" hidden="false" customHeight="false" outlineLevel="0" collapsed="false">
      <c r="A360" s="3" t="s">
        <v>644</v>
      </c>
      <c r="B360" s="0" t="s">
        <v>45</v>
      </c>
      <c r="D360" s="20" t="n">
        <f aca="false">D359/D357</f>
        <v>1</v>
      </c>
      <c r="E360" s="20" t="n">
        <f aca="false">E359/E357</f>
        <v>0.993196171719033</v>
      </c>
      <c r="F360" s="20" t="n">
        <f aca="false">F359/F357</f>
        <v>1</v>
      </c>
      <c r="G360" s="20" t="n">
        <f aca="false">G359/G357</f>
        <v>1</v>
      </c>
    </row>
    <row r="361" customFormat="false" ht="17.15" hidden="false" customHeight="false" outlineLevel="0" collapsed="false">
      <c r="A361" s="0" t="s">
        <v>645</v>
      </c>
      <c r="B361" s="0" t="s">
        <v>303</v>
      </c>
      <c r="D361" s="21" t="n">
        <f aca="false">(D352+D355)*D360</f>
        <v>74.83672875</v>
      </c>
      <c r="E361" s="21" t="n">
        <f aca="false">(E352+E355)*E360</f>
        <v>130.420036256784</v>
      </c>
      <c r="F361" s="21" t="n">
        <f aca="false">(F352+F355)*F360</f>
        <v>161.544338620392</v>
      </c>
      <c r="G361" s="21" t="n">
        <f aca="false">(G352+G355)*G360</f>
        <v>186.945322166433</v>
      </c>
    </row>
    <row r="362" customFormat="false" ht="17.15" hidden="false" customHeight="false" outlineLevel="0" collapsed="false">
      <c r="A362" s="3" t="s">
        <v>646</v>
      </c>
      <c r="B362" s="0" t="s">
        <v>45</v>
      </c>
      <c r="D362" s="20" t="n">
        <f aca="false">D352/(D352+D355)</f>
        <v>0.342851634440636</v>
      </c>
      <c r="E362" s="20" t="n">
        <f aca="false">E352/(E352+E355)</f>
        <v>0.41576820311572</v>
      </c>
      <c r="F362" s="20" t="n">
        <f aca="false">F352/(F352+F355)</f>
        <v>0.465316585831444</v>
      </c>
      <c r="G362" s="20" t="n">
        <f aca="false">G352/(G352+G355)</f>
        <v>0.530347590813235</v>
      </c>
    </row>
    <row r="363" customFormat="false" ht="17.15" hidden="false" customHeight="false" outlineLevel="0" collapsed="false">
      <c r="A363" s="5" t="s">
        <v>647</v>
      </c>
    </row>
    <row r="364" customFormat="false" ht="17.15" hidden="false" customHeight="false" outlineLevel="0" collapsed="false">
      <c r="A364" s="0" t="s">
        <v>550</v>
      </c>
      <c r="B364" s="0" t="s">
        <v>303</v>
      </c>
      <c r="D364" s="21" t="n">
        <f aca="false">a26_bt</f>
        <v>16.944165</v>
      </c>
      <c r="E364" s="21" t="n">
        <f aca="false">D364*(1+g_bt)</f>
        <v>17.79137325</v>
      </c>
      <c r="F364" s="21" t="n">
        <f aca="false">E364*(1+g_bt)</f>
        <v>18.6809419125</v>
      </c>
      <c r="G364" s="21" t="n">
        <f aca="false">F364*(1+g_bt)</f>
        <v>19.614989008125</v>
      </c>
    </row>
    <row r="365" customFormat="false" ht="17.15" hidden="false" customHeight="false" outlineLevel="0" collapsed="false">
      <c r="A365" s="0" t="s">
        <v>648</v>
      </c>
      <c r="B365" s="0" t="s">
        <v>303</v>
      </c>
      <c r="D365" s="21" t="n">
        <f aca="false">a26_pcb*ai_pcb</f>
        <v>37.93610275</v>
      </c>
      <c r="E365" s="21" t="n">
        <f aca="false">D365*(1+g_pai_27)</f>
        <v>45.5233233</v>
      </c>
      <c r="F365" s="21" t="n">
        <f aca="false">D365*(1+g_pai_27)*(1+g_pai_28)*um28_A</f>
        <v>52.351821795</v>
      </c>
      <c r="G365" s="21" t="n">
        <f aca="false">D365*(1+g_pai_27)*(1+g_pai_28)*(1+g_pai_29)*um29_A</f>
        <v>57.5870039745</v>
      </c>
      <c r="K365" s="3" t="s">
        <v>649</v>
      </c>
    </row>
    <row r="366" customFormat="false" ht="17.15" hidden="false" customHeight="false" outlineLevel="0" collapsed="false">
      <c r="A366" s="3" t="s">
        <v>650</v>
      </c>
      <c r="B366" s="0" t="s">
        <v>303</v>
      </c>
      <c r="D366" s="21" t="n">
        <f aca="false">a26_pcb*(1-ai_pcb)</f>
        <v>20.42713225</v>
      </c>
      <c r="E366" s="21" t="n">
        <f aca="false">D366*(1+g_pcbn)</f>
        <v>20.835674895</v>
      </c>
      <c r="F366" s="21" t="n">
        <f aca="false">E366*(1+g_pcbn)</f>
        <v>21.2523883929</v>
      </c>
      <c r="G366" s="21" t="n">
        <f aca="false">F366*(1+g_pcbn)</f>
        <v>21.677436160758</v>
      </c>
    </row>
    <row r="367" customFormat="false" ht="15" hidden="false" customHeight="false" outlineLevel="0" collapsed="false">
      <c r="A367" s="3" t="s">
        <v>552</v>
      </c>
      <c r="B367" s="0" t="s">
        <v>303</v>
      </c>
      <c r="D367" s="21" t="n">
        <f aca="false">a26_fpc</f>
        <v>13.178795</v>
      </c>
      <c r="E367" s="21" t="n">
        <f aca="false">D367*(1+g_fpc)</f>
        <v>13.178795</v>
      </c>
      <c r="F367" s="21" t="n">
        <f aca="false">E367*(1+g_fpc)</f>
        <v>13.178795</v>
      </c>
      <c r="G367" s="21" t="n">
        <f aca="false">F367*(1+g_fpc)</f>
        <v>13.178795</v>
      </c>
    </row>
    <row r="368" customFormat="false" ht="17.15" hidden="false" customHeight="false" outlineLevel="0" collapsed="false">
      <c r="A368" s="3" t="s">
        <v>651</v>
      </c>
      <c r="B368" s="0" t="s">
        <v>303</v>
      </c>
      <c r="D368" s="21" t="n">
        <f aca="false">D359+D364</f>
        <v>116.72647</v>
      </c>
      <c r="E368" s="21" t="n">
        <f aca="false">E359+E364</f>
        <v>173.730535864594</v>
      </c>
      <c r="F368" s="21" t="n">
        <f aca="false">F359+F364</f>
        <v>206.690042376517</v>
      </c>
      <c r="G368" s="21" t="n">
        <f aca="false">G359+G364</f>
        <v>233.819015873491</v>
      </c>
      <c r="K368" s="3" t="s">
        <v>652</v>
      </c>
    </row>
    <row r="369" customFormat="false" ht="17.15" hidden="false" customHeight="false" outlineLevel="0" collapsed="false">
      <c r="A369" s="0" t="s">
        <v>653</v>
      </c>
      <c r="B369" s="0" t="s">
        <v>303</v>
      </c>
      <c r="D369" s="21" t="n">
        <f aca="false">D365+D366</f>
        <v>58.363235</v>
      </c>
      <c r="E369" s="21" t="n">
        <f aca="false">E365+E366</f>
        <v>66.358998195</v>
      </c>
      <c r="F369" s="21" t="n">
        <f aca="false">F365+F366</f>
        <v>73.6042101879</v>
      </c>
      <c r="G369" s="21" t="n">
        <f aca="false">G365+G366</f>
        <v>79.264440135258</v>
      </c>
      <c r="K369" s="3" t="s">
        <v>654</v>
      </c>
    </row>
    <row r="370" customFormat="false" ht="17.15" hidden="false" customHeight="false" outlineLevel="0" collapsed="false">
      <c r="A370" s="3" t="s">
        <v>515</v>
      </c>
      <c r="B370" s="0" t="s">
        <v>303</v>
      </c>
      <c r="C370" s="23" t="n">
        <f aca="false">a25_rev</f>
        <v>131.241</v>
      </c>
      <c r="D370" s="23" t="n">
        <f aca="false">D368+D369+D367</f>
        <v>188.2685</v>
      </c>
      <c r="E370" s="23" t="n">
        <f aca="false">E368+E369+E367</f>
        <v>253.268329059594</v>
      </c>
      <c r="F370" s="23" t="n">
        <f aca="false">F368+F369+F367</f>
        <v>293.473047564417</v>
      </c>
      <c r="G370" s="23" t="n">
        <f aca="false">G368+G369+G367</f>
        <v>326.262251008749</v>
      </c>
      <c r="H370" s="25" t="n">
        <f aca="false">G370*(1+H372)</f>
        <v>357.089283224978</v>
      </c>
      <c r="I370" s="25" t="n">
        <f aca="false">H370*(1+I372)</f>
        <v>384.671830675325</v>
      </c>
      <c r="J370" s="25" t="n">
        <f aca="false">I370*(1+J372)</f>
        <v>407.752140515845</v>
      </c>
      <c r="K370" s="7" t="s">
        <v>655</v>
      </c>
    </row>
    <row r="371" customFormat="false" ht="17.15" hidden="false" customHeight="false" outlineLevel="0" collapsed="false">
      <c r="A371" s="3" t="s">
        <v>656</v>
      </c>
      <c r="B371" s="0" t="s">
        <v>303</v>
      </c>
      <c r="D371" s="19" t="n">
        <f aca="false">D368+D369+D367-D370</f>
        <v>0</v>
      </c>
      <c r="E371" s="19" t="n">
        <f aca="false">E368+E369+E367-E370</f>
        <v>0</v>
      </c>
      <c r="F371" s="19" t="n">
        <f aca="false">F368+F369+F367-F370</f>
        <v>0</v>
      </c>
      <c r="G371" s="19" t="n">
        <f aca="false">G368+G369+G367-G370</f>
        <v>0</v>
      </c>
    </row>
    <row r="372" customFormat="false" ht="15" hidden="false" customHeight="false" outlineLevel="0" collapsed="false">
      <c r="A372" s="3" t="s">
        <v>657</v>
      </c>
      <c r="B372" s="0" t="s">
        <v>45</v>
      </c>
      <c r="D372" s="20" t="n">
        <f aca="false">D370/C370-1</f>
        <v>0.434525034097576</v>
      </c>
      <c r="E372" s="20" t="n">
        <f aca="false">E370/D370-1</f>
        <v>0.3452506875</v>
      </c>
      <c r="F372" s="20" t="n">
        <f aca="false">F370/E370-1</f>
        <v>0.158743569139127</v>
      </c>
      <c r="G372" s="20" t="n">
        <f aca="false">G370/F370-1</f>
        <v>0.111728159421985</v>
      </c>
      <c r="H372" s="26" t="n">
        <f aca="false">$G372+(fade_gA-$G372)*1/3</f>
        <v>0.0944854396146564</v>
      </c>
      <c r="I372" s="26" t="n">
        <f aca="false">$G372+(fade_gA-$G372)*2/3</f>
        <v>0.0772427198073282</v>
      </c>
      <c r="J372" s="26" t="n">
        <f aca="false">$G372+(fade_gA-$G372)*3/3</f>
        <v>0.06</v>
      </c>
    </row>
    <row r="373" customFormat="false" ht="17.15" hidden="false" customHeight="false" outlineLevel="0" collapsed="false">
      <c r="A373" s="0" t="s">
        <v>658</v>
      </c>
      <c r="B373" s="0" t="s">
        <v>45</v>
      </c>
      <c r="D373" s="20" t="n">
        <f aca="false">D359/D370</f>
        <v>0.53</v>
      </c>
      <c r="E373" s="20" t="n">
        <f aca="false">E359/E370</f>
        <v>0.615707314031757</v>
      </c>
      <c r="F373" s="20" t="n">
        <f aca="false">F359/F370</f>
        <v>0.640634981727748</v>
      </c>
      <c r="G373" s="20" t="n">
        <f aca="false">G359/G370</f>
        <v>0.656539413318834</v>
      </c>
    </row>
    <row r="374" customFormat="false" ht="17.15" hidden="false" customHeight="false" outlineLevel="0" collapsed="false">
      <c r="A374" s="0" t="s">
        <v>659</v>
      </c>
      <c r="B374" s="0" t="s">
        <v>45</v>
      </c>
      <c r="D374" s="20" t="n">
        <f aca="false">(D361+D365)/D370</f>
        <v>0.599</v>
      </c>
      <c r="E374" s="20" t="n">
        <f aca="false">(E361+E365)/E370</f>
        <v>0.69469151634583</v>
      </c>
      <c r="F374" s="20" t="n">
        <f aca="false">(F361+F365)/F370</f>
        <v>0.728844308499716</v>
      </c>
      <c r="G374" s="20" t="n">
        <f aca="false">(G361+G365)/G370</f>
        <v>0.749496226991872</v>
      </c>
      <c r="K374" s="3" t="s">
        <v>660</v>
      </c>
    </row>
    <row r="375" customFormat="false" ht="17.15" hidden="false" customHeight="false" outlineLevel="0" collapsed="false">
      <c r="A375" s="5" t="s">
        <v>661</v>
      </c>
    </row>
    <row r="376" customFormat="false" ht="15" hidden="false" customHeight="false" outlineLevel="0" collapsed="false">
      <c r="A376" s="3" t="s">
        <v>662</v>
      </c>
      <c r="B376" s="0" t="s">
        <v>303</v>
      </c>
      <c r="C376" s="23" t="n">
        <f aca="false">a25_cx</f>
        <v>25.617</v>
      </c>
      <c r="D376" s="23" t="n">
        <f aca="false">capex26</f>
        <v>53.7</v>
      </c>
      <c r="E376" s="23" t="n">
        <f aca="false">cx27_A</f>
        <v>55</v>
      </c>
      <c r="F376" s="23" t="n">
        <f aca="false">cx28_A</f>
        <v>50</v>
      </c>
      <c r="G376" s="23" t="n">
        <f aca="false">cx29_A</f>
        <v>45</v>
      </c>
      <c r="H376" s="25" t="n">
        <f aca="false">H370*H393</f>
        <v>46.2100869727392</v>
      </c>
      <c r="I376" s="25" t="n">
        <f aca="false">I370*I393</f>
        <v>46.5027683168931</v>
      </c>
      <c r="J376" s="25" t="n">
        <f aca="false">J370*J393</f>
        <v>45.8196202723838</v>
      </c>
    </row>
    <row r="377" customFormat="false" ht="17.15" hidden="false" customHeight="false" outlineLevel="0" collapsed="false">
      <c r="A377" s="3" t="s">
        <v>663</v>
      </c>
      <c r="B377" s="0" t="s">
        <v>303</v>
      </c>
      <c r="C377" s="23" t="n">
        <f aca="false">a25_da</f>
        <v>18.8</v>
      </c>
      <c r="D377" s="23" t="n">
        <f aca="false">da26</f>
        <v>20.8</v>
      </c>
      <c r="E377" s="23" t="n">
        <f aca="false">D377*(1-1/life)+D376/life</f>
        <v>24.9125</v>
      </c>
      <c r="F377" s="23" t="n">
        <f aca="false">E377*(1-1/life)+E376/life</f>
        <v>28.6734375</v>
      </c>
      <c r="G377" s="23" t="n">
        <f aca="false">F377*(1-1/life)+F376/life</f>
        <v>31.3392578125</v>
      </c>
      <c r="H377" s="25" t="n">
        <f aca="false">H370*H378</f>
        <v>34.3003613641111</v>
      </c>
      <c r="I377" s="25" t="n">
        <f aca="false">I370*I378</f>
        <v>36.9498145662493</v>
      </c>
      <c r="J377" s="25" t="n">
        <f aca="false">J370*J378</f>
        <v>39.1668034402242</v>
      </c>
      <c r="K377" s="3" t="s">
        <v>664</v>
      </c>
    </row>
    <row r="378" customFormat="false" ht="17.15" hidden="false" customHeight="false" outlineLevel="0" collapsed="false">
      <c r="A378" s="3" t="s">
        <v>665</v>
      </c>
      <c r="B378" s="0" t="s">
        <v>45</v>
      </c>
      <c r="C378" s="20" t="n">
        <f aca="false">C377/C370</f>
        <v>0.143247917952469</v>
      </c>
      <c r="D378" s="20" t="n">
        <f aca="false">D377/D370</f>
        <v>0.110480510547436</v>
      </c>
      <c r="E378" s="20" t="n">
        <f aca="false">E377/E370</f>
        <v>0.0983640555947211</v>
      </c>
      <c r="F378" s="20" t="n">
        <f aca="false">F377/F370</f>
        <v>0.0977038189297648</v>
      </c>
      <c r="G378" s="20" t="n">
        <f aca="false">G377/G370</f>
        <v>0.0960554208021436</v>
      </c>
      <c r="H378" s="26" t="n">
        <f aca="false">$G378</f>
        <v>0.0960554208021436</v>
      </c>
      <c r="I378" s="26" t="n">
        <f aca="false">$G378</f>
        <v>0.0960554208021436</v>
      </c>
      <c r="J378" s="26" t="n">
        <f aca="false">$G378</f>
        <v>0.0960554208021436</v>
      </c>
    </row>
    <row r="379" customFormat="false" ht="17.15" hidden="false" customHeight="false" outlineLevel="0" collapsed="false">
      <c r="A379" s="3" t="s">
        <v>666</v>
      </c>
      <c r="B379" s="0" t="s">
        <v>303</v>
      </c>
      <c r="E379" s="21" t="n">
        <f aca="false">E361*(1-1/(E346*E347))</f>
        <v>12.1252187903132</v>
      </c>
      <c r="F379" s="21" t="n">
        <f aca="false">F361*(1-1/(F346*F347))</f>
        <v>15.0188614136872</v>
      </c>
      <c r="G379" s="21" t="n">
        <f aca="false">G361*(1-1/(G346*G347))</f>
        <v>8.90215819840156</v>
      </c>
      <c r="K379" s="7" t="s">
        <v>667</v>
      </c>
    </row>
    <row r="380" customFormat="false" ht="17.15" hidden="false" customHeight="false" outlineLevel="0" collapsed="false">
      <c r="A380" s="3" t="s">
        <v>668</v>
      </c>
      <c r="B380" s="0" t="s">
        <v>303</v>
      </c>
      <c r="C380" s="21" t="n">
        <f aca="false">a25_gp</f>
        <v>18.292</v>
      </c>
      <c r="D380" s="21" t="n">
        <f aca="false">a26_gp</f>
        <v>47.3329657</v>
      </c>
      <c r="E380" s="21" t="n">
        <f aca="false">$D380+ft_abf*(E359-E379-$D359)+ft_oth*((E370-E359)-($D370-$D359))+E379-(E377-$D377)</f>
        <v>79.5722467637035</v>
      </c>
      <c r="F380" s="21" t="n">
        <f aca="false">$D380+ft_abf*(F359-F379-$D359)+ft_oth*((F370-F359)-($D370-$D359))+F379-(F377-$D377)</f>
        <v>95.3267946639519</v>
      </c>
      <c r="G380" s="21" t="n">
        <f aca="false">$D380+ft_abf*(G359-G379-$D359)+ft_oth*((G370-G359)-($D370-$D359))+G379-(G377-$D377)</f>
        <v>104.34865520523</v>
      </c>
      <c r="K380" s="3" t="s">
        <v>669</v>
      </c>
    </row>
    <row r="381" customFormat="false" ht="15" hidden="false" customHeight="false" outlineLevel="0" collapsed="false">
      <c r="A381" s="3" t="s">
        <v>522</v>
      </c>
      <c r="B381" s="0" t="s">
        <v>45</v>
      </c>
      <c r="C381" s="13" t="n">
        <f aca="false">C380/C370</f>
        <v>0.139377176339711</v>
      </c>
      <c r="D381" s="13" t="n">
        <f aca="false">D380/D370</f>
        <v>0.251412029627899</v>
      </c>
      <c r="E381" s="13" t="n">
        <f aca="false">E380/E370</f>
        <v>0.314181591749596</v>
      </c>
      <c r="F381" s="13" t="n">
        <f aca="false">F380/F370</f>
        <v>0.324822996370827</v>
      </c>
      <c r="G381" s="13" t="n">
        <f aca="false">G380/G370</f>
        <v>0.319830611364327</v>
      </c>
    </row>
    <row r="382" customFormat="false" ht="15" hidden="false" customHeight="false" outlineLevel="0" collapsed="false">
      <c r="A382" s="3" t="s">
        <v>524</v>
      </c>
      <c r="B382" s="0" t="s">
        <v>303</v>
      </c>
      <c r="C382" s="21" t="n">
        <f aca="false">a25_opx</f>
        <v>11.618</v>
      </c>
      <c r="D382" s="21" t="n">
        <f aca="false">a26_opx</f>
        <v>16.6539532</v>
      </c>
      <c r="E382" s="21" t="n">
        <f aca="false">D382*(1+phi*E372)</f>
        <v>20.1038264751357</v>
      </c>
      <c r="F382" s="21" t="n">
        <f aca="false">E382*(1+phi*F372)</f>
        <v>22.0186383759457</v>
      </c>
      <c r="G382" s="21" t="n">
        <f aca="false">F382*(1+phi*G372)</f>
        <v>23.4946995391793</v>
      </c>
    </row>
    <row r="383" customFormat="false" ht="15" hidden="false" customHeight="false" outlineLevel="0" collapsed="false">
      <c r="A383" s="3" t="s">
        <v>527</v>
      </c>
      <c r="B383" s="0" t="s">
        <v>303</v>
      </c>
      <c r="C383" s="21" t="n">
        <f aca="false">C380-C382</f>
        <v>6.674</v>
      </c>
      <c r="D383" s="21" t="n">
        <f aca="false">D380-D382</f>
        <v>30.6790125</v>
      </c>
      <c r="E383" s="21" t="n">
        <f aca="false">E380-E382</f>
        <v>59.4684202885678</v>
      </c>
      <c r="F383" s="21" t="n">
        <f aca="false">F380-F382</f>
        <v>73.3081562880062</v>
      </c>
      <c r="G383" s="21" t="n">
        <f aca="false">G380-G382</f>
        <v>80.8539556660504</v>
      </c>
    </row>
    <row r="384" customFormat="false" ht="15" hidden="false" customHeight="false" outlineLevel="0" collapsed="false">
      <c r="A384" s="3" t="s">
        <v>605</v>
      </c>
      <c r="B384" s="0" t="s">
        <v>45</v>
      </c>
      <c r="C384" s="13" t="n">
        <f aca="false">C383/C370</f>
        <v>0.0508530108731265</v>
      </c>
      <c r="D384" s="13" t="n">
        <f aca="false">D383/D370</f>
        <v>0.162953507888999</v>
      </c>
      <c r="E384" s="13" t="n">
        <f aca="false">E383/E370</f>
        <v>0.234804014024884</v>
      </c>
      <c r="F384" s="13" t="n">
        <f aca="false">F383/F370</f>
        <v>0.249795192084599</v>
      </c>
      <c r="G384" s="13" t="n">
        <f aca="false">G383/G370</f>
        <v>0.247818910756801</v>
      </c>
    </row>
    <row r="385" customFormat="false" ht="17.15" hidden="false" customHeight="false" outlineLevel="0" collapsed="false">
      <c r="A385" s="3" t="s">
        <v>670</v>
      </c>
      <c r="B385" s="0" t="s">
        <v>303</v>
      </c>
      <c r="C385" s="21" t="n">
        <f aca="false">a25_nonop</f>
        <v>-0.00100000000000033</v>
      </c>
      <c r="D385" s="21" t="n">
        <f aca="false">a26_nonop</f>
        <v>14.466</v>
      </c>
      <c r="E385" s="21" t="n">
        <f aca="false">nonop27</f>
        <v>2</v>
      </c>
      <c r="F385" s="21" t="n">
        <f aca="false">nonop28</f>
        <v>2</v>
      </c>
      <c r="G385" s="21" t="n">
        <f aca="false">nonop29</f>
        <v>2</v>
      </c>
      <c r="K385" s="7" t="s">
        <v>671</v>
      </c>
    </row>
    <row r="386" customFormat="false" ht="15" hidden="false" customHeight="false" outlineLevel="0" collapsed="false">
      <c r="A386" s="3" t="s">
        <v>533</v>
      </c>
      <c r="B386" s="0" t="s">
        <v>303</v>
      </c>
      <c r="C386" s="21" t="n">
        <f aca="false">C383+C385</f>
        <v>6.673</v>
      </c>
      <c r="D386" s="21" t="n">
        <f aca="false">D383+D385</f>
        <v>45.1450125</v>
      </c>
      <c r="E386" s="21" t="n">
        <f aca="false">E383+E385</f>
        <v>61.4684202885678</v>
      </c>
      <c r="F386" s="21" t="n">
        <f aca="false">F383+F385</f>
        <v>75.3081562880062</v>
      </c>
      <c r="G386" s="21" t="n">
        <f aca="false">G383+G385</f>
        <v>82.8539556660504</v>
      </c>
    </row>
    <row r="387" customFormat="false" ht="15" hidden="false" customHeight="false" outlineLevel="0" collapsed="false">
      <c r="A387" s="3" t="s">
        <v>537</v>
      </c>
      <c r="B387" s="0" t="s">
        <v>303</v>
      </c>
      <c r="E387" s="21" t="n">
        <f aca="false">E386*tax</f>
        <v>11.0643156519422</v>
      </c>
      <c r="F387" s="21" t="n">
        <f aca="false">F386*tax</f>
        <v>13.5554681318411</v>
      </c>
      <c r="G387" s="21" t="n">
        <f aca="false">G386*tax</f>
        <v>14.9137120198891</v>
      </c>
    </row>
    <row r="388" customFormat="false" ht="15" hidden="false" customHeight="false" outlineLevel="0" collapsed="false">
      <c r="A388" s="3" t="s">
        <v>535</v>
      </c>
      <c r="B388" s="0" t="s">
        <v>303</v>
      </c>
      <c r="C388" s="21" t="n">
        <f aca="false">a25_ni</f>
        <v>6.673</v>
      </c>
      <c r="D388" s="21" t="n">
        <f aca="false">a26_ni</f>
        <v>37.23923025</v>
      </c>
      <c r="E388" s="21" t="n">
        <f aca="false">E386-E387</f>
        <v>50.4041046366256</v>
      </c>
      <c r="F388" s="21" t="n">
        <f aca="false">F386-F387</f>
        <v>61.7526881561651</v>
      </c>
      <c r="G388" s="21" t="n">
        <f aca="false">G386-G387</f>
        <v>67.9402436461613</v>
      </c>
      <c r="H388" s="30" t="n">
        <f aca="false">H370*H392</f>
        <v>70.2133692995236</v>
      </c>
      <c r="I388" s="30" t="n">
        <f aca="false">I370*I392</f>
        <v>71.1703360654612</v>
      </c>
      <c r="J388" s="30" t="n">
        <f aca="false">J370*J392</f>
        <v>70.7060610930593</v>
      </c>
    </row>
    <row r="389" customFormat="false" ht="15" hidden="false" customHeight="false" outlineLevel="0" collapsed="false">
      <c r="A389" s="3" t="s">
        <v>672</v>
      </c>
      <c r="B389" s="3" t="s">
        <v>381</v>
      </c>
      <c r="C389" s="29" t="n">
        <f aca="false">a25_sh</f>
        <v>1.52351598173516</v>
      </c>
      <c r="D389" s="29" t="n">
        <f aca="false">a26_sh</f>
        <v>1.59236316568047</v>
      </c>
      <c r="E389" s="29" t="n">
        <f aca="false">a26_shend*(1+sh_g)</f>
        <v>1.64</v>
      </c>
      <c r="F389" s="29" t="n">
        <f aca="false">E389*(1+sh_g)</f>
        <v>1.64</v>
      </c>
      <c r="G389" s="29" t="n">
        <f aca="false">F389*(1+sh_g)</f>
        <v>1.64</v>
      </c>
      <c r="H389" s="31" t="n">
        <f aca="false">G389*(1+sh_g)</f>
        <v>1.64</v>
      </c>
      <c r="I389" s="31" t="n">
        <f aca="false">H389*(1+sh_g)</f>
        <v>1.64</v>
      </c>
      <c r="J389" s="31" t="n">
        <f aca="false">I389*(1+sh_g)</f>
        <v>1.64</v>
      </c>
    </row>
    <row r="390" customFormat="false" ht="17.15" hidden="false" customHeight="false" outlineLevel="0" collapsed="false">
      <c r="A390" s="0" t="s">
        <v>540</v>
      </c>
      <c r="B390" s="0" t="s">
        <v>387</v>
      </c>
      <c r="C390" s="18" t="n">
        <f aca="false">C388/C389</f>
        <v>4.38</v>
      </c>
      <c r="D390" s="18" t="n">
        <f aca="false">D388/D389</f>
        <v>23.3861414610695</v>
      </c>
      <c r="E390" s="18" t="n">
        <f aca="false">E388/E389</f>
        <v>30.7342101442839</v>
      </c>
      <c r="F390" s="18" t="n">
        <f aca="false">F388/F389</f>
        <v>37.6540781440031</v>
      </c>
      <c r="G390" s="18" t="n">
        <f aca="false">G388/G389</f>
        <v>41.4269778330252</v>
      </c>
      <c r="H390" s="28" t="n">
        <f aca="false">H388/H389</f>
        <v>42.8130300606851</v>
      </c>
      <c r="I390" s="28" t="n">
        <f aca="false">I388/I389</f>
        <v>43.3965463813788</v>
      </c>
      <c r="J390" s="28" t="n">
        <f aca="false">J388/J389</f>
        <v>43.1134518860118</v>
      </c>
    </row>
    <row r="391" customFormat="false" ht="17.15" hidden="false" customHeight="false" outlineLevel="0" collapsed="false">
      <c r="A391" s="0" t="s">
        <v>673</v>
      </c>
      <c r="B391" s="0" t="s">
        <v>45</v>
      </c>
      <c r="D391" s="20" t="n">
        <f aca="false">D390/C390-1</f>
        <v>4.33930170344053</v>
      </c>
      <c r="E391" s="20" t="n">
        <f aca="false">E390/D390-1</f>
        <v>0.314206116278164</v>
      </c>
      <c r="F391" s="20" t="n">
        <f aca="false">F390/E390-1</f>
        <v>0.225151971279996</v>
      </c>
      <c r="G391" s="20" t="n">
        <f aca="false">G390/F390-1</f>
        <v>0.100198965822325</v>
      </c>
      <c r="H391" s="26" t="n">
        <f aca="false">H390/G390-1</f>
        <v>0.0334577200694324</v>
      </c>
      <c r="I391" s="26" t="n">
        <f aca="false">I390/H390-1</f>
        <v>0.0136294095481342</v>
      </c>
      <c r="J391" s="26" t="n">
        <f aca="false">J390/I390-1</f>
        <v>-0.0065234337515967</v>
      </c>
    </row>
    <row r="392" customFormat="false" ht="17.15" hidden="false" customHeight="false" outlineLevel="0" collapsed="false">
      <c r="A392" s="3" t="s">
        <v>674</v>
      </c>
      <c r="B392" s="0" t="s">
        <v>45</v>
      </c>
      <c r="C392" s="13" t="n">
        <f aca="false">C388/C370</f>
        <v>0.0508453913030227</v>
      </c>
      <c r="D392" s="13" t="n">
        <f aca="false">D388/D370</f>
        <v>0.197798517808343</v>
      </c>
      <c r="E392" s="13" t="n">
        <f aca="false">E388/E370</f>
        <v>0.199014637257569</v>
      </c>
      <c r="F392" s="13" t="n">
        <f aca="false">F388/F370</f>
        <v>0.210420304926334</v>
      </c>
      <c r="G392" s="13" t="n">
        <f aca="false">G388/G370</f>
        <v>0.208238137988999</v>
      </c>
      <c r="H392" s="27" t="n">
        <f aca="false">$G392+(fade_mA-$G392)*1/3</f>
        <v>0.196626929448585</v>
      </c>
      <c r="I392" s="27" t="n">
        <f aca="false">$G392+(fade_mA-$G392)*2/3</f>
        <v>0.185015720908171</v>
      </c>
      <c r="J392" s="27" t="n">
        <f aca="false">$G392+(fade_mA-$G392)*3/3</f>
        <v>0.173404512367757</v>
      </c>
    </row>
    <row r="393" customFormat="false" ht="17.15" hidden="false" customHeight="false" outlineLevel="0" collapsed="false">
      <c r="A393" s="3" t="s">
        <v>675</v>
      </c>
      <c r="B393" s="0" t="s">
        <v>45</v>
      </c>
      <c r="C393" s="20" t="n">
        <f aca="false">C376/C370</f>
        <v>0.195190527350447</v>
      </c>
      <c r="D393" s="20" t="n">
        <f aca="false">D376/D370</f>
        <v>0.285230933480641</v>
      </c>
      <c r="E393" s="20" t="n">
        <f aca="false">E376/E370</f>
        <v>0.217160985758541</v>
      </c>
      <c r="F393" s="20" t="n">
        <f aca="false">F376/F370</f>
        <v>0.170373396858617</v>
      </c>
      <c r="G393" s="20" t="n">
        <f aca="false">G376/G370</f>
        <v>0.137925855231083</v>
      </c>
      <c r="H393" s="26" t="n">
        <f aca="false">$G393+($G378*(1+tp_g)^(life/2)-$G393)*1/3</f>
        <v>0.129407655573985</v>
      </c>
      <c r="I393" s="26" t="n">
        <f aca="false">$G393+($G378*(1+tp_g)^(life/2)-$G393)*2/3</f>
        <v>0.120889455916887</v>
      </c>
      <c r="J393" s="26" t="n">
        <f aca="false">$G393+($G378*(1+tp_g)^(life/2)-$G393)*3/3</f>
        <v>0.11237125625979</v>
      </c>
      <c r="K393" s="7" t="s">
        <v>676</v>
      </c>
    </row>
    <row r="394" customFormat="false" ht="15" hidden="false" customHeight="false" outlineLevel="0" collapsed="false">
      <c r="A394" s="3" t="s">
        <v>677</v>
      </c>
      <c r="B394" s="0" t="s">
        <v>303</v>
      </c>
      <c r="E394" s="21" t="n">
        <f aca="false">E388+E377-E376</f>
        <v>20.3166046366256</v>
      </c>
      <c r="F394" s="21" t="n">
        <f aca="false">F388+F377-F376</f>
        <v>40.4261256561651</v>
      </c>
      <c r="G394" s="21" t="n">
        <f aca="false">G388+G377-G376</f>
        <v>54.2795014586613</v>
      </c>
      <c r="H394" s="30" t="n">
        <f aca="false">H388+H377-H376</f>
        <v>58.3036436908955</v>
      </c>
      <c r="I394" s="30" t="n">
        <f aca="false">I388+I377-I376</f>
        <v>61.6173823148174</v>
      </c>
      <c r="J394" s="30" t="n">
        <f aca="false">J388+J377-J376</f>
        <v>64.0532442608998</v>
      </c>
      <c r="K394" s="3" t="s">
        <v>678</v>
      </c>
    </row>
    <row r="395" customFormat="false" ht="15" hidden="false" customHeight="false" outlineLevel="0" collapsed="false">
      <c r="A395" s="3" t="s">
        <v>679</v>
      </c>
      <c r="B395" s="0" t="s">
        <v>387</v>
      </c>
      <c r="E395" s="18" t="n">
        <f aca="false">E394/E389</f>
        <v>12.388173558918</v>
      </c>
      <c r="F395" s="18" t="n">
        <f aca="false">F394/F389</f>
        <v>24.6500766196128</v>
      </c>
      <c r="G395" s="18" t="n">
        <f aca="false">G394/G389</f>
        <v>33.0972569869886</v>
      </c>
      <c r="H395" s="28" t="n">
        <f aca="false">H394/H389</f>
        <v>35.551002250546</v>
      </c>
      <c r="I395" s="28" t="n">
        <f aca="false">I394/I389</f>
        <v>37.5715745822057</v>
      </c>
      <c r="J395" s="28" t="n">
        <f aca="false">J394/J389</f>
        <v>39.0568562566462</v>
      </c>
    </row>
    <row r="398" customFormat="false" ht="17.15" hidden="false" customHeight="false" outlineLevel="0" collapsed="false">
      <c r="A398" s="1" t="s">
        <v>1025</v>
      </c>
    </row>
    <row r="399" customFormat="false" ht="17.15" hidden="false" customHeight="false" outlineLevel="0" collapsed="false">
      <c r="A399" s="4" t="s">
        <v>22</v>
      </c>
      <c r="B399" s="4" t="s">
        <v>23</v>
      </c>
      <c r="C399" s="14" t="s">
        <v>508</v>
      </c>
      <c r="D399" s="14" t="s">
        <v>592</v>
      </c>
      <c r="E399" s="14" t="s">
        <v>593</v>
      </c>
      <c r="F399" s="14" t="s">
        <v>594</v>
      </c>
      <c r="G399" s="14" t="s">
        <v>595</v>
      </c>
      <c r="H399" s="14" t="s">
        <v>596</v>
      </c>
      <c r="I399" s="14" t="s">
        <v>597</v>
      </c>
      <c r="J399" s="14" t="s">
        <v>598</v>
      </c>
      <c r="K399" s="4" t="s">
        <v>481</v>
      </c>
    </row>
    <row r="400" customFormat="false" ht="17.15" hidden="false" customHeight="false" outlineLevel="0" collapsed="false">
      <c r="A400" s="5" t="s">
        <v>616</v>
      </c>
    </row>
    <row r="401" customFormat="false" ht="17.15" hidden="false" customHeight="false" outlineLevel="0" collapsed="false">
      <c r="A401" s="0" t="s">
        <v>617</v>
      </c>
      <c r="B401" s="3" t="s">
        <v>33</v>
      </c>
      <c r="D401" s="21" t="n">
        <f aca="false">(u_bw_26+u_rb_26+u_ru_26+u_hp_26)*1</f>
        <v>7.6</v>
      </c>
      <c r="E401" s="21" t="n">
        <f aca="false">(u_bw_27+u_rb_27+u_ru_27+u_hp_27)*1*1</f>
        <v>9.7</v>
      </c>
      <c r="F401" s="21" t="n">
        <f aca="false">(u_bw_28+u_rb_28+u_ru_28+u_hp_28)*um28_A*1</f>
        <v>9.5</v>
      </c>
      <c r="G401" s="21" t="n">
        <f aca="false">(u_bw_28*(1+g29_bw)+u_rb_28*(1+g29_rb)+u_ru_28*(1+g29_ru)+u_hp_28*(1+g29_hp))*um29_A*1</f>
        <v>10.6</v>
      </c>
      <c r="K401" s="7" t="s">
        <v>618</v>
      </c>
    </row>
    <row r="402" customFormat="false" ht="17.15" hidden="false" customHeight="false" outlineLevel="0" collapsed="false">
      <c r="A402" s="3" t="s">
        <v>619</v>
      </c>
      <c r="B402" s="3" t="s">
        <v>33</v>
      </c>
      <c r="D402" s="21" t="n">
        <f aca="false">(u_amd_26+u_tpu_26+u_trn_26+u_oth_26)*1</f>
        <v>7.6</v>
      </c>
      <c r="E402" s="21" t="n">
        <f aca="false">(u_amd_27+u_tpu_27+u_trn_27+u_oth_27)*1*1</f>
        <v>14</v>
      </c>
      <c r="F402" s="21" t="n">
        <f aca="false">(u_amd_28+u_tpu_28+u_trn_28+u_oth_28)*um28_A*1</f>
        <v>17</v>
      </c>
      <c r="G402" s="21" t="n">
        <f aca="false">(u_amd_28*(1+g29_amd)+u_tpu_28*(1+g29_tpu)+u_trn_28*(1+g29_trn)+u_oth_28*(1+g29_oth))*um29_A*1</f>
        <v>19.55</v>
      </c>
      <c r="K402" s="7" t="s">
        <v>620</v>
      </c>
    </row>
    <row r="403" customFormat="false" ht="17.15" hidden="false" customHeight="false" outlineLevel="0" collapsed="false">
      <c r="A403" s="3" t="s">
        <v>621</v>
      </c>
      <c r="B403" s="0" t="s">
        <v>145</v>
      </c>
      <c r="D403" s="19" t="n">
        <f aca="false">1</f>
        <v>1</v>
      </c>
      <c r="E403" s="19" t="n">
        <f aca="false">D403*(1+g_asp)</f>
        <v>1.18</v>
      </c>
      <c r="F403" s="19" t="n">
        <f aca="false">E403*(1+g_asp)</f>
        <v>1.3924</v>
      </c>
      <c r="G403" s="19" t="n">
        <f aca="false">F403*(1+g_asp)</f>
        <v>1.643032</v>
      </c>
      <c r="K403" s="7" t="s">
        <v>622</v>
      </c>
    </row>
    <row r="404" customFormat="false" ht="17.15" hidden="false" customHeight="false" outlineLevel="0" collapsed="false">
      <c r="A404" s="0" t="s">
        <v>623</v>
      </c>
      <c r="B404" s="0" t="s">
        <v>145</v>
      </c>
      <c r="D404" s="18" t="n">
        <f aca="false">1</f>
        <v>1</v>
      </c>
      <c r="E404" s="18" t="n">
        <f aca="false">ibpp_27</f>
        <v>1</v>
      </c>
      <c r="F404" s="18" t="n">
        <f aca="false">ibpp_28</f>
        <v>0.95</v>
      </c>
      <c r="G404" s="18" t="n">
        <f aca="false">ibpp_29</f>
        <v>0.9</v>
      </c>
      <c r="K404" s="7" t="s">
        <v>624</v>
      </c>
    </row>
    <row r="405" customFormat="false" ht="17.15" hidden="false" customHeight="false" outlineLevel="0" collapsed="false">
      <c r="A405" s="3" t="s">
        <v>625</v>
      </c>
      <c r="B405" s="0" t="s">
        <v>145</v>
      </c>
      <c r="D405" s="18" t="n">
        <f aca="false">1</f>
        <v>1</v>
      </c>
      <c r="E405" s="18" t="n">
        <f aca="false">1+carry_lo</f>
        <v>1</v>
      </c>
      <c r="F405" s="18" t="n">
        <f aca="false">1+carry_lo</f>
        <v>1</v>
      </c>
      <c r="G405" s="18" t="n">
        <f aca="false">1+carry_lo</f>
        <v>1</v>
      </c>
      <c r="K405" s="7" t="s">
        <v>626</v>
      </c>
    </row>
    <row r="406" customFormat="false" ht="17.15" hidden="false" customHeight="false" outlineLevel="0" collapsed="false">
      <c r="A406" s="3" t="s">
        <v>627</v>
      </c>
      <c r="B406" s="0" t="s">
        <v>628</v>
      </c>
      <c r="D406" s="23" t="n">
        <f aca="false">v26*D403*D404</f>
        <v>215.308596</v>
      </c>
      <c r="E406" s="23" t="n">
        <f aca="false">v26*E403*E404</f>
        <v>254.06414328</v>
      </c>
      <c r="F406" s="23" t="n">
        <f aca="false">v26*F403*F404</f>
        <v>284.80590461688</v>
      </c>
      <c r="G406" s="23" t="n">
        <f aca="false">v26*G403*G404</f>
        <v>318.383021792765</v>
      </c>
      <c r="K406" s="7" t="s">
        <v>629</v>
      </c>
    </row>
    <row r="407" customFormat="false" ht="17.15" hidden="false" customHeight="false" outlineLevel="0" collapsed="false">
      <c r="A407" s="3" t="s">
        <v>630</v>
      </c>
      <c r="B407" s="0" t="s">
        <v>45</v>
      </c>
      <c r="D407" s="20" t="n">
        <f aca="false">sh_nv_26</f>
        <v>0.25</v>
      </c>
      <c r="E407" s="20" t="n">
        <f aca="false">sh_nv_27</f>
        <v>0.27</v>
      </c>
      <c r="F407" s="20" t="n">
        <f aca="false">sh_nv_28</f>
        <v>0.29</v>
      </c>
      <c r="G407" s="20" t="n">
        <f aca="false">sh_nv_29</f>
        <v>0.3</v>
      </c>
    </row>
    <row r="408" customFormat="false" ht="17.15" hidden="false" customHeight="false" outlineLevel="0" collapsed="false">
      <c r="A408" s="3" t="s">
        <v>631</v>
      </c>
      <c r="B408" s="0" t="s">
        <v>45</v>
      </c>
      <c r="D408" s="20" t="n">
        <f aca="false">sh_ot_26</f>
        <v>0.3</v>
      </c>
      <c r="E408" s="20" t="n">
        <f aca="false">sh_ot_27</f>
        <v>0.31</v>
      </c>
      <c r="F408" s="20" t="n">
        <f aca="false">sh_ot_28</f>
        <v>0.32</v>
      </c>
      <c r="G408" s="20" t="n">
        <f aca="false">sh_ot_29</f>
        <v>0.33</v>
      </c>
    </row>
    <row r="409" customFormat="false" ht="17.15" hidden="false" customHeight="false" outlineLevel="0" collapsed="false">
      <c r="A409" s="3" t="s">
        <v>632</v>
      </c>
      <c r="B409" s="0" t="s">
        <v>582</v>
      </c>
      <c r="D409" s="22" t="n">
        <f aca="false">(D401*D406*D407+D402*D406*v_ot*D408)*D405</f>
        <v>801.809211504</v>
      </c>
      <c r="E409" s="22" t="n">
        <f aca="false">(E401*E406*E407+E402*E406*v_ot*E408)*E405</f>
        <v>1547.50469671848</v>
      </c>
      <c r="F409" s="22" t="n">
        <f aca="false">(F401*F406*F407+F402*F406*v_ot*F408)*F405</f>
        <v>2024.11556411217</v>
      </c>
      <c r="G409" s="22" t="n">
        <f aca="false">(G401*G406*G407+G402*G406*v_ot*G408)*G405</f>
        <v>2655.69646137781</v>
      </c>
    </row>
    <row r="410" customFormat="false" ht="15" hidden="false" customHeight="false" outlineLevel="0" collapsed="false">
      <c r="A410" s="3" t="s">
        <v>633</v>
      </c>
      <c r="B410" s="0" t="s">
        <v>303</v>
      </c>
      <c r="D410" s="21" t="n">
        <f aca="false">D409*fx/1000</f>
        <v>25.657894768128</v>
      </c>
      <c r="E410" s="21" t="n">
        <f aca="false">E409*fx/1000</f>
        <v>49.5201502949914</v>
      </c>
      <c r="F410" s="21" t="n">
        <f aca="false">F409*fx/1000</f>
        <v>64.7716980515893</v>
      </c>
      <c r="G410" s="21" t="n">
        <f aca="false">G409*fx/1000</f>
        <v>84.9822867640899</v>
      </c>
    </row>
    <row r="411" customFormat="false" ht="17.15" hidden="false" customHeight="false" outlineLevel="0" collapsed="false">
      <c r="A411" s="5" t="s">
        <v>634</v>
      </c>
    </row>
    <row r="412" customFormat="false" ht="17.15" hidden="false" customHeight="false" outlineLevel="0" collapsed="false">
      <c r="A412" s="0" t="s">
        <v>635</v>
      </c>
      <c r="B412" s="0" t="s">
        <v>303</v>
      </c>
      <c r="D412" s="21" t="n">
        <f aca="false">a26_abf*ai_abf</f>
        <v>74.83672875</v>
      </c>
      <c r="K412" s="3" t="s">
        <v>636</v>
      </c>
    </row>
    <row r="413" customFormat="false" ht="17.15" hidden="false" customHeight="false" outlineLevel="0" collapsed="false">
      <c r="A413" s="3" t="s">
        <v>637</v>
      </c>
      <c r="B413" s="0" t="s">
        <v>303</v>
      </c>
      <c r="D413" s="21" t="n">
        <f aca="false">D412-D410</f>
        <v>49.178833981872</v>
      </c>
      <c r="E413" s="21" t="n">
        <f aca="false">$D413*(itc_27/itc_26)^el_o*1*1*E404*E405</f>
        <v>69.5850384228878</v>
      </c>
      <c r="F413" s="21" t="n">
        <f aca="false">$D413*(itc_28/itc_26)^el_o*um28_A*1*F404*F405</f>
        <v>74.4275052947798</v>
      </c>
      <c r="G413" s="21" t="n">
        <f aca="false">$D413*(itc_29/itc_26)^el_o*um29_A*1*G404*G405</f>
        <v>75.256560807138</v>
      </c>
      <c r="K413" s="7" t="s">
        <v>638</v>
      </c>
    </row>
    <row r="414" customFormat="false" ht="17.15" hidden="false" customHeight="false" outlineLevel="0" collapsed="false">
      <c r="A414" s="3" t="s">
        <v>639</v>
      </c>
      <c r="B414" s="0" t="s">
        <v>303</v>
      </c>
      <c r="D414" s="21" t="n">
        <f aca="false">a26_abf-D412</f>
        <v>24.94557625</v>
      </c>
      <c r="E414" s="21" t="n">
        <f aca="false">D414*(1+g_nai)</f>
        <v>25.6939435375</v>
      </c>
      <c r="F414" s="21" t="n">
        <f aca="false">E414*(1+g_nai)</f>
        <v>26.464761843625</v>
      </c>
      <c r="G414" s="21" t="n">
        <f aca="false">F414*(1+g_nai)</f>
        <v>27.2587046989338</v>
      </c>
    </row>
    <row r="415" customFormat="false" ht="17.15" hidden="false" customHeight="false" outlineLevel="0" collapsed="false">
      <c r="A415" s="0" t="s">
        <v>640</v>
      </c>
      <c r="B415" s="0" t="s">
        <v>303</v>
      </c>
      <c r="D415" s="21" t="n">
        <f aca="false">D410+D413+D414</f>
        <v>99.782305</v>
      </c>
      <c r="E415" s="21" t="n">
        <f aca="false">E410+E413+E414</f>
        <v>144.799132255379</v>
      </c>
      <c r="F415" s="21" t="n">
        <f aca="false">F410+F413+F414</f>
        <v>165.663965189994</v>
      </c>
      <c r="G415" s="21" t="n">
        <f aca="false">G410+G413+G414</f>
        <v>187.497552270162</v>
      </c>
    </row>
    <row r="416" customFormat="false" ht="17.15" hidden="false" customHeight="false" outlineLevel="0" collapsed="false">
      <c r="A416" s="0" t="s">
        <v>641</v>
      </c>
      <c r="B416" s="0" t="s">
        <v>303</v>
      </c>
      <c r="D416" s="21" t="n">
        <f aca="false">a26_abf</f>
        <v>99.782305</v>
      </c>
      <c r="E416" s="21" t="n">
        <f aca="false">$D415*cap_27*(1+g_mix)^1*E404*E405</f>
        <v>141.4414173375</v>
      </c>
      <c r="F416" s="21" t="n">
        <f aca="false">$D415*cap_28*(1+g_mix)^2*F404*F405</f>
        <v>177.666135888937</v>
      </c>
      <c r="G416" s="21" t="n">
        <f aca="false">$D415*cap_29*(1+g_mix)^3*G404*G405</f>
        <v>207.918883486125</v>
      </c>
      <c r="K416" s="7" t="s">
        <v>642</v>
      </c>
    </row>
    <row r="417" customFormat="false" ht="17.15" hidden="false" customHeight="false" outlineLevel="0" collapsed="false">
      <c r="A417" s="0" t="s">
        <v>643</v>
      </c>
      <c r="B417" s="0" t="s">
        <v>303</v>
      </c>
      <c r="D417" s="21" t="n">
        <f aca="false">a26_abf</f>
        <v>99.782305</v>
      </c>
      <c r="E417" s="21" t="n">
        <f aca="false">MIN(E415,E416)</f>
        <v>141.4414173375</v>
      </c>
      <c r="F417" s="21" t="n">
        <f aca="false">MIN(F415,F416)</f>
        <v>165.663965189994</v>
      </c>
      <c r="G417" s="21" t="n">
        <f aca="false">MIN(G415,G416)</f>
        <v>187.497552270162</v>
      </c>
    </row>
    <row r="418" customFormat="false" ht="17.15" hidden="false" customHeight="false" outlineLevel="0" collapsed="false">
      <c r="A418" s="3" t="s">
        <v>644</v>
      </c>
      <c r="B418" s="0" t="s">
        <v>45</v>
      </c>
      <c r="D418" s="20" t="n">
        <f aca="false">D417/D415</f>
        <v>1</v>
      </c>
      <c r="E418" s="20" t="n">
        <f aca="false">E417/E415</f>
        <v>0.976811222100715</v>
      </c>
      <c r="F418" s="20" t="n">
        <f aca="false">F417/F415</f>
        <v>1</v>
      </c>
      <c r="G418" s="20" t="n">
        <f aca="false">G417/G415</f>
        <v>1</v>
      </c>
    </row>
    <row r="419" customFormat="false" ht="17.15" hidden="false" customHeight="false" outlineLevel="0" collapsed="false">
      <c r="A419" s="0" t="s">
        <v>645</v>
      </c>
      <c r="B419" s="0" t="s">
        <v>303</v>
      </c>
      <c r="D419" s="21" t="n">
        <f aca="false">(D410+D413)*D418</f>
        <v>74.83672875</v>
      </c>
      <c r="E419" s="21" t="n">
        <f aca="false">(E410+E413)*E418</f>
        <v>116.343284950048</v>
      </c>
      <c r="F419" s="21" t="n">
        <f aca="false">(F410+F413)*F418</f>
        <v>139.199203346369</v>
      </c>
      <c r="G419" s="21" t="n">
        <f aca="false">(G410+G413)*G418</f>
        <v>160.238847571228</v>
      </c>
    </row>
    <row r="420" customFormat="false" ht="17.15" hidden="false" customHeight="false" outlineLevel="0" collapsed="false">
      <c r="A420" s="3" t="s">
        <v>646</v>
      </c>
      <c r="B420" s="0" t="s">
        <v>45</v>
      </c>
      <c r="D420" s="20" t="n">
        <f aca="false">D410/(D410+D413)</f>
        <v>0.342851634440636</v>
      </c>
      <c r="E420" s="20" t="n">
        <f aca="false">E410/(E410+E413)</f>
        <v>0.41576820311572</v>
      </c>
      <c r="F420" s="20" t="n">
        <f aca="false">F410/(F410+F413)</f>
        <v>0.465316585831444</v>
      </c>
      <c r="G420" s="20" t="n">
        <f aca="false">G410/(G410+G413)</f>
        <v>0.530347590813235</v>
      </c>
    </row>
    <row r="421" customFormat="false" ht="17.15" hidden="false" customHeight="false" outlineLevel="0" collapsed="false">
      <c r="A421" s="5" t="s">
        <v>647</v>
      </c>
    </row>
    <row r="422" customFormat="false" ht="17.15" hidden="false" customHeight="false" outlineLevel="0" collapsed="false">
      <c r="A422" s="0" t="s">
        <v>550</v>
      </c>
      <c r="B422" s="0" t="s">
        <v>303</v>
      </c>
      <c r="D422" s="21" t="n">
        <f aca="false">a26_bt</f>
        <v>16.944165</v>
      </c>
      <c r="E422" s="21" t="n">
        <f aca="false">D422*(1+g_bt)</f>
        <v>17.79137325</v>
      </c>
      <c r="F422" s="21" t="n">
        <f aca="false">E422*(1+g_bt)</f>
        <v>18.6809419125</v>
      </c>
      <c r="G422" s="21" t="n">
        <f aca="false">F422*(1+g_bt)</f>
        <v>19.614989008125</v>
      </c>
    </row>
    <row r="423" customFormat="false" ht="17.15" hidden="false" customHeight="false" outlineLevel="0" collapsed="false">
      <c r="A423" s="0" t="s">
        <v>648</v>
      </c>
      <c r="B423" s="0" t="s">
        <v>303</v>
      </c>
      <c r="D423" s="21" t="n">
        <f aca="false">a26_pcb*ai_pcb</f>
        <v>37.93610275</v>
      </c>
      <c r="E423" s="21" t="n">
        <f aca="false">D423*(1+g_pai_27)</f>
        <v>45.5233233</v>
      </c>
      <c r="F423" s="21" t="n">
        <f aca="false">D423*(1+g_pai_27)*(1+g_pai_28)*um28_A</f>
        <v>52.351821795</v>
      </c>
      <c r="G423" s="21" t="n">
        <f aca="false">D423*(1+g_pai_27)*(1+g_pai_28)*(1+g_pai_29)*um29_A</f>
        <v>57.5870039745</v>
      </c>
      <c r="K423" s="3" t="s">
        <v>649</v>
      </c>
    </row>
    <row r="424" customFormat="false" ht="17.15" hidden="false" customHeight="false" outlineLevel="0" collapsed="false">
      <c r="A424" s="3" t="s">
        <v>650</v>
      </c>
      <c r="B424" s="0" t="s">
        <v>303</v>
      </c>
      <c r="D424" s="21" t="n">
        <f aca="false">a26_pcb*(1-ai_pcb)</f>
        <v>20.42713225</v>
      </c>
      <c r="E424" s="21" t="n">
        <f aca="false">D424*(1+g_pcbn)</f>
        <v>20.835674895</v>
      </c>
      <c r="F424" s="21" t="n">
        <f aca="false">E424*(1+g_pcbn)</f>
        <v>21.2523883929</v>
      </c>
      <c r="G424" s="21" t="n">
        <f aca="false">F424*(1+g_pcbn)</f>
        <v>21.677436160758</v>
      </c>
    </row>
    <row r="425" customFormat="false" ht="15" hidden="false" customHeight="false" outlineLevel="0" collapsed="false">
      <c r="A425" s="3" t="s">
        <v>552</v>
      </c>
      <c r="B425" s="0" t="s">
        <v>303</v>
      </c>
      <c r="D425" s="21" t="n">
        <f aca="false">a26_fpc</f>
        <v>13.178795</v>
      </c>
      <c r="E425" s="21" t="n">
        <f aca="false">D425*(1+g_fpc)</f>
        <v>13.178795</v>
      </c>
      <c r="F425" s="21" t="n">
        <f aca="false">E425*(1+g_fpc)</f>
        <v>13.178795</v>
      </c>
      <c r="G425" s="21" t="n">
        <f aca="false">F425*(1+g_fpc)</f>
        <v>13.178795</v>
      </c>
    </row>
    <row r="426" customFormat="false" ht="17.15" hidden="false" customHeight="false" outlineLevel="0" collapsed="false">
      <c r="A426" s="3" t="s">
        <v>651</v>
      </c>
      <c r="B426" s="0" t="s">
        <v>303</v>
      </c>
      <c r="D426" s="21" t="n">
        <f aca="false">D417+D422</f>
        <v>116.72647</v>
      </c>
      <c r="E426" s="21" t="n">
        <f aca="false">E417+E422</f>
        <v>159.2327905875</v>
      </c>
      <c r="F426" s="21" t="n">
        <f aca="false">F417+F422</f>
        <v>184.344907102494</v>
      </c>
      <c r="G426" s="21" t="n">
        <f aca="false">G417+G422</f>
        <v>207.112541278287</v>
      </c>
      <c r="K426" s="3" t="s">
        <v>652</v>
      </c>
    </row>
    <row r="427" customFormat="false" ht="17.15" hidden="false" customHeight="false" outlineLevel="0" collapsed="false">
      <c r="A427" s="0" t="s">
        <v>653</v>
      </c>
      <c r="B427" s="0" t="s">
        <v>303</v>
      </c>
      <c r="D427" s="21" t="n">
        <f aca="false">D423+D424</f>
        <v>58.363235</v>
      </c>
      <c r="E427" s="21" t="n">
        <f aca="false">E423+E424</f>
        <v>66.358998195</v>
      </c>
      <c r="F427" s="21" t="n">
        <f aca="false">F423+F424</f>
        <v>73.6042101879</v>
      </c>
      <c r="G427" s="21" t="n">
        <f aca="false">G423+G424</f>
        <v>79.264440135258</v>
      </c>
      <c r="K427" s="3" t="s">
        <v>654</v>
      </c>
    </row>
    <row r="428" customFormat="false" ht="17.15" hidden="false" customHeight="false" outlineLevel="0" collapsed="false">
      <c r="A428" s="3" t="s">
        <v>515</v>
      </c>
      <c r="B428" s="0" t="s">
        <v>303</v>
      </c>
      <c r="C428" s="23" t="n">
        <f aca="false">a25_rev</f>
        <v>131.241</v>
      </c>
      <c r="D428" s="23" t="n">
        <f aca="false">D426+D427+D425</f>
        <v>188.2685</v>
      </c>
      <c r="E428" s="23" t="n">
        <f aca="false">E426+E427+E425</f>
        <v>238.7705837825</v>
      </c>
      <c r="F428" s="23" t="n">
        <f aca="false">F426+F427+F425</f>
        <v>271.127912290394</v>
      </c>
      <c r="G428" s="23" t="n">
        <f aca="false">G426+G427+G425</f>
        <v>299.555776413545</v>
      </c>
      <c r="H428" s="25" t="n">
        <f aca="false">G428*(1+H430)</f>
        <v>326.485916225597</v>
      </c>
      <c r="I428" s="25" t="n">
        <f aca="false">H428*(1+I430)</f>
        <v>350.956076797237</v>
      </c>
      <c r="J428" s="25" t="n">
        <f aca="false">I428*(1+J430)</f>
        <v>372.013441405072</v>
      </c>
      <c r="K428" s="7" t="s">
        <v>655</v>
      </c>
    </row>
    <row r="429" customFormat="false" ht="17.15" hidden="false" customHeight="false" outlineLevel="0" collapsed="false">
      <c r="A429" s="3" t="s">
        <v>656</v>
      </c>
      <c r="B429" s="0" t="s">
        <v>303</v>
      </c>
      <c r="D429" s="19" t="n">
        <f aca="false">D426+D427+D425-D428</f>
        <v>0</v>
      </c>
      <c r="E429" s="19" t="n">
        <f aca="false">E426+E427+E425-E428</f>
        <v>0</v>
      </c>
      <c r="F429" s="19" t="n">
        <f aca="false">F426+F427+F425-F428</f>
        <v>0</v>
      </c>
      <c r="G429" s="19" t="n">
        <f aca="false">G426+G427+G425-G428</f>
        <v>0</v>
      </c>
    </row>
    <row r="430" customFormat="false" ht="15" hidden="false" customHeight="false" outlineLevel="0" collapsed="false">
      <c r="A430" s="3" t="s">
        <v>657</v>
      </c>
      <c r="B430" s="0" t="s">
        <v>45</v>
      </c>
      <c r="D430" s="20" t="n">
        <f aca="false">D428/C428-1</f>
        <v>0.434525034097576</v>
      </c>
      <c r="E430" s="20" t="n">
        <f aca="false">E428/D428-1</f>
        <v>0.268245</v>
      </c>
      <c r="F430" s="20" t="n">
        <f aca="false">F428/E428-1</f>
        <v>0.135516394001737</v>
      </c>
      <c r="G430" s="20" t="n">
        <f aca="false">G428/F428-1</f>
        <v>0.104850378122274</v>
      </c>
      <c r="H430" s="26" t="n">
        <f aca="false">$G430+(fade_gA-$G430)*1/3</f>
        <v>0.089900252081516</v>
      </c>
      <c r="I430" s="26" t="n">
        <f aca="false">$G430+(fade_gA-$G430)*2/3</f>
        <v>0.074950126040758</v>
      </c>
      <c r="J430" s="26" t="n">
        <f aca="false">$G430+(fade_gA-$G430)*3/3</f>
        <v>0.06</v>
      </c>
    </row>
    <row r="431" customFormat="false" ht="17.15" hidden="false" customHeight="false" outlineLevel="0" collapsed="false">
      <c r="A431" s="0" t="s">
        <v>658</v>
      </c>
      <c r="B431" s="0" t="s">
        <v>45</v>
      </c>
      <c r="D431" s="20" t="n">
        <f aca="false">D417/D428</f>
        <v>0.53</v>
      </c>
      <c r="E431" s="20" t="n">
        <f aca="false">E417/E428</f>
        <v>0.592373713280951</v>
      </c>
      <c r="F431" s="20" t="n">
        <f aca="false">F417/F428</f>
        <v>0.611017743582808</v>
      </c>
      <c r="G431" s="20" t="n">
        <f aca="false">G417/G428</f>
        <v>0.625918667017512</v>
      </c>
    </row>
    <row r="432" customFormat="false" ht="17.15" hidden="false" customHeight="false" outlineLevel="0" collapsed="false">
      <c r="A432" s="0" t="s">
        <v>659</v>
      </c>
      <c r="B432" s="0" t="s">
        <v>45</v>
      </c>
      <c r="D432" s="20" t="n">
        <f aca="false">(D419+D423)/D428</f>
        <v>0.599</v>
      </c>
      <c r="E432" s="20" t="n">
        <f aca="false">(E419+E423)/E428</f>
        <v>0.677916876048244</v>
      </c>
      <c r="F432" s="20" t="n">
        <f aca="false">(F419+F423)/F428</f>
        <v>0.706496883788957</v>
      </c>
      <c r="G432" s="20" t="n">
        <f aca="false">(G419+G423)/G428</f>
        <v>0.727162914879043</v>
      </c>
      <c r="K432" s="3" t="s">
        <v>660</v>
      </c>
    </row>
    <row r="433" customFormat="false" ht="17.15" hidden="false" customHeight="false" outlineLevel="0" collapsed="false">
      <c r="A433" s="5" t="s">
        <v>661</v>
      </c>
    </row>
    <row r="434" customFormat="false" ht="15" hidden="false" customHeight="false" outlineLevel="0" collapsed="false">
      <c r="A434" s="3" t="s">
        <v>662</v>
      </c>
      <c r="B434" s="0" t="s">
        <v>303</v>
      </c>
      <c r="C434" s="23" t="n">
        <f aca="false">a25_cx</f>
        <v>25.617</v>
      </c>
      <c r="D434" s="23" t="n">
        <f aca="false">capex26</f>
        <v>53.7</v>
      </c>
      <c r="E434" s="23" t="n">
        <f aca="false">cx27_A</f>
        <v>55</v>
      </c>
      <c r="F434" s="23" t="n">
        <f aca="false">cx28_A</f>
        <v>50</v>
      </c>
      <c r="G434" s="23" t="n">
        <f aca="false">cx29_A</f>
        <v>45</v>
      </c>
      <c r="H434" s="25" t="n">
        <f aca="false">H428*H451</f>
        <v>46.0164965356044</v>
      </c>
      <c r="I434" s="25" t="n">
        <f aca="false">I428*I451</f>
        <v>46.2093989011945</v>
      </c>
      <c r="J434" s="25" t="n">
        <f aca="false">J428*J451</f>
        <v>45.5305605945762</v>
      </c>
    </row>
    <row r="435" customFormat="false" ht="17.15" hidden="false" customHeight="false" outlineLevel="0" collapsed="false">
      <c r="A435" s="3" t="s">
        <v>663</v>
      </c>
      <c r="B435" s="0" t="s">
        <v>303</v>
      </c>
      <c r="C435" s="23" t="n">
        <f aca="false">a25_da</f>
        <v>18.8</v>
      </c>
      <c r="D435" s="23" t="n">
        <f aca="false">da26</f>
        <v>20.8</v>
      </c>
      <c r="E435" s="23" t="n">
        <f aca="false">D435*(1-1/life)+D434/life</f>
        <v>24.9125</v>
      </c>
      <c r="F435" s="23" t="n">
        <f aca="false">E435*(1-1/life)+E434/life</f>
        <v>28.6734375</v>
      </c>
      <c r="G435" s="23" t="n">
        <f aca="false">F435*(1-1/life)+F434/life</f>
        <v>31.3392578125</v>
      </c>
      <c r="H435" s="25" t="n">
        <f aca="false">H428*H436</f>
        <v>34.1566649898914</v>
      </c>
      <c r="I435" s="25" t="n">
        <f aca="false">I428*I436</f>
        <v>36.7167113360157</v>
      </c>
      <c r="J435" s="25" t="n">
        <f aca="false">J428*J436</f>
        <v>38.9197140161766</v>
      </c>
      <c r="K435" s="3" t="s">
        <v>664</v>
      </c>
    </row>
    <row r="436" customFormat="false" ht="17.15" hidden="false" customHeight="false" outlineLevel="0" collapsed="false">
      <c r="A436" s="3" t="s">
        <v>665</v>
      </c>
      <c r="B436" s="0" t="s">
        <v>45</v>
      </c>
      <c r="C436" s="20" t="n">
        <f aca="false">C435/C428</f>
        <v>0.143247917952469</v>
      </c>
      <c r="D436" s="20" t="n">
        <f aca="false">D435/D428</f>
        <v>0.110480510547436</v>
      </c>
      <c r="E436" s="20" t="n">
        <f aca="false">E435/E428</f>
        <v>0.104336554383488</v>
      </c>
      <c r="F436" s="20" t="n">
        <f aca="false">F435/F428</f>
        <v>0.105756125430896</v>
      </c>
      <c r="G436" s="20" t="n">
        <f aca="false">G435/G428</f>
        <v>0.104619106958015</v>
      </c>
      <c r="H436" s="26" t="n">
        <f aca="false">$G436</f>
        <v>0.104619106958015</v>
      </c>
      <c r="I436" s="26" t="n">
        <f aca="false">$G436</f>
        <v>0.104619106958015</v>
      </c>
      <c r="J436" s="26" t="n">
        <f aca="false">$G436</f>
        <v>0.104619106958015</v>
      </c>
    </row>
    <row r="437" customFormat="false" ht="17.15" hidden="false" customHeight="false" outlineLevel="0" collapsed="false">
      <c r="A437" s="3" t="s">
        <v>666</v>
      </c>
      <c r="B437" s="0" t="s">
        <v>303</v>
      </c>
      <c r="E437" s="21" t="n">
        <f aca="false">E419*(1-1/(E404*E405))</f>
        <v>0</v>
      </c>
      <c r="F437" s="21" t="n">
        <f aca="false">F419*(1-1/(F404*F405))</f>
        <v>-7.32627386033521</v>
      </c>
      <c r="G437" s="21" t="n">
        <f aca="false">G419*(1-1/(G404*G405))</f>
        <v>-17.8043163968031</v>
      </c>
      <c r="K437" s="7" t="s">
        <v>667</v>
      </c>
    </row>
    <row r="438" customFormat="false" ht="17.15" hidden="false" customHeight="false" outlineLevel="0" collapsed="false">
      <c r="A438" s="3" t="s">
        <v>668</v>
      </c>
      <c r="B438" s="0" t="s">
        <v>303</v>
      </c>
      <c r="C438" s="21" t="n">
        <f aca="false">a25_gp</f>
        <v>18.292</v>
      </c>
      <c r="D438" s="21" t="n">
        <f aca="false">a26_gp</f>
        <v>47.3329657</v>
      </c>
      <c r="E438" s="21" t="n">
        <f aca="false">$D438+ft_abf*(E417-E437-$D417)+ft_oth*((E428-E417)-($D428-$D417))+E437-(E435-$D435)</f>
        <v>66.26076473</v>
      </c>
      <c r="F438" s="21" t="n">
        <f aca="false">$D438+ft_abf*(F417-F437-$D417)+ft_oth*((F428-F417)-($D428-$D417))+F437-(F435-$D435)</f>
        <v>72.9816593899295</v>
      </c>
      <c r="G438" s="21" t="n">
        <f aca="false">$D438+ft_abf*(G417-G437-$D417)+ft_oth*((G428-G417)-($D428-$D417))+G437-(G435-$D435)</f>
        <v>77.642180610025</v>
      </c>
      <c r="K438" s="3" t="s">
        <v>669</v>
      </c>
    </row>
    <row r="439" customFormat="false" ht="15" hidden="false" customHeight="false" outlineLevel="0" collapsed="false">
      <c r="A439" s="3" t="s">
        <v>522</v>
      </c>
      <c r="B439" s="0" t="s">
        <v>45</v>
      </c>
      <c r="C439" s="13" t="n">
        <f aca="false">C438/C428</f>
        <v>0.139377176339711</v>
      </c>
      <c r="D439" s="13" t="n">
        <f aca="false">D438/D428</f>
        <v>0.251412029627899</v>
      </c>
      <c r="E439" s="13" t="n">
        <f aca="false">E438/E428</f>
        <v>0.277508073567211</v>
      </c>
      <c r="F439" s="13" t="n">
        <f aca="false">F438/F428</f>
        <v>0.269177963911594</v>
      </c>
      <c r="G439" s="13" t="n">
        <f aca="false">G438/G428</f>
        <v>0.2591910646478</v>
      </c>
    </row>
    <row r="440" customFormat="false" ht="15" hidden="false" customHeight="false" outlineLevel="0" collapsed="false">
      <c r="A440" s="3" t="s">
        <v>524</v>
      </c>
      <c r="B440" s="0" t="s">
        <v>303</v>
      </c>
      <c r="C440" s="21" t="n">
        <f aca="false">a25_opx</f>
        <v>11.618</v>
      </c>
      <c r="D440" s="21" t="n">
        <f aca="false">a26_opx</f>
        <v>16.6539532</v>
      </c>
      <c r="E440" s="21" t="n">
        <f aca="false">D440*(1+phi*E430)</f>
        <v>19.3343570056804</v>
      </c>
      <c r="F440" s="21" t="n">
        <f aca="false">E440*(1+phi*F430)</f>
        <v>20.9064304107316</v>
      </c>
      <c r="G440" s="21" t="n">
        <f aca="false">F440*(1+phi*G430)</f>
        <v>22.221658690983</v>
      </c>
    </row>
    <row r="441" customFormat="false" ht="15" hidden="false" customHeight="false" outlineLevel="0" collapsed="false">
      <c r="A441" s="3" t="s">
        <v>527</v>
      </c>
      <c r="B441" s="0" t="s">
        <v>303</v>
      </c>
      <c r="C441" s="21" t="n">
        <f aca="false">C438-C440</f>
        <v>6.674</v>
      </c>
      <c r="D441" s="21" t="n">
        <f aca="false">D438-D440</f>
        <v>30.6790125</v>
      </c>
      <c r="E441" s="21" t="n">
        <f aca="false">E438-E440</f>
        <v>46.9264077243196</v>
      </c>
      <c r="F441" s="21" t="n">
        <f aca="false">F438-F440</f>
        <v>52.0752289791978</v>
      </c>
      <c r="G441" s="21" t="n">
        <f aca="false">G438-G440</f>
        <v>55.4205219190421</v>
      </c>
    </row>
    <row r="442" customFormat="false" ht="15" hidden="false" customHeight="false" outlineLevel="0" collapsed="false">
      <c r="A442" s="3" t="s">
        <v>605</v>
      </c>
      <c r="B442" s="0" t="s">
        <v>45</v>
      </c>
      <c r="C442" s="13" t="n">
        <f aca="false">C441/C428</f>
        <v>0.0508530108731265</v>
      </c>
      <c r="D442" s="13" t="n">
        <f aca="false">D441/D428</f>
        <v>0.162953507888999</v>
      </c>
      <c r="E442" s="13" t="n">
        <f aca="false">E441/E428</f>
        <v>0.196533454753646</v>
      </c>
      <c r="F442" s="13" t="n">
        <f aca="false">F441/F428</f>
        <v>0.192068859820756</v>
      </c>
      <c r="G442" s="13" t="n">
        <f aca="false">G441/G428</f>
        <v>0.185009024304484</v>
      </c>
    </row>
    <row r="443" customFormat="false" ht="17.15" hidden="false" customHeight="false" outlineLevel="0" collapsed="false">
      <c r="A443" s="3" t="s">
        <v>670</v>
      </c>
      <c r="B443" s="0" t="s">
        <v>303</v>
      </c>
      <c r="C443" s="21" t="n">
        <f aca="false">a25_nonop</f>
        <v>-0.00100000000000033</v>
      </c>
      <c r="D443" s="21" t="n">
        <f aca="false">a26_nonop</f>
        <v>14.466</v>
      </c>
      <c r="E443" s="21" t="n">
        <f aca="false">nonop27</f>
        <v>2</v>
      </c>
      <c r="F443" s="21" t="n">
        <f aca="false">nonop28</f>
        <v>2</v>
      </c>
      <c r="G443" s="21" t="n">
        <f aca="false">nonop29</f>
        <v>2</v>
      </c>
      <c r="K443" s="7" t="s">
        <v>671</v>
      </c>
    </row>
    <row r="444" customFormat="false" ht="15" hidden="false" customHeight="false" outlineLevel="0" collapsed="false">
      <c r="A444" s="3" t="s">
        <v>533</v>
      </c>
      <c r="B444" s="0" t="s">
        <v>303</v>
      </c>
      <c r="C444" s="21" t="n">
        <f aca="false">C441+C443</f>
        <v>6.673</v>
      </c>
      <c r="D444" s="21" t="n">
        <f aca="false">D441+D443</f>
        <v>45.1450125</v>
      </c>
      <c r="E444" s="21" t="n">
        <f aca="false">E441+E443</f>
        <v>48.9264077243196</v>
      </c>
      <c r="F444" s="21" t="n">
        <f aca="false">F441+F443</f>
        <v>54.0752289791978</v>
      </c>
      <c r="G444" s="21" t="n">
        <f aca="false">G441+G443</f>
        <v>57.4205219190421</v>
      </c>
    </row>
    <row r="445" customFormat="false" ht="15" hidden="false" customHeight="false" outlineLevel="0" collapsed="false">
      <c r="A445" s="3" t="s">
        <v>537</v>
      </c>
      <c r="B445" s="0" t="s">
        <v>303</v>
      </c>
      <c r="E445" s="21" t="n">
        <f aca="false">E444*tax</f>
        <v>8.80675339037753</v>
      </c>
      <c r="F445" s="21" t="n">
        <f aca="false">F444*tax</f>
        <v>9.73354121625561</v>
      </c>
      <c r="G445" s="21" t="n">
        <f aca="false">G444*tax</f>
        <v>10.3356939454276</v>
      </c>
    </row>
    <row r="446" customFormat="false" ht="15" hidden="false" customHeight="false" outlineLevel="0" collapsed="false">
      <c r="A446" s="3" t="s">
        <v>535</v>
      </c>
      <c r="B446" s="0" t="s">
        <v>303</v>
      </c>
      <c r="C446" s="21" t="n">
        <f aca="false">a25_ni</f>
        <v>6.673</v>
      </c>
      <c r="D446" s="21" t="n">
        <f aca="false">a26_ni</f>
        <v>37.23923025</v>
      </c>
      <c r="E446" s="21" t="n">
        <f aca="false">E444-E445</f>
        <v>40.1196543339421</v>
      </c>
      <c r="F446" s="21" t="n">
        <f aca="false">F444-F445</f>
        <v>44.3416877629422</v>
      </c>
      <c r="G446" s="21" t="n">
        <f aca="false">G444-G445</f>
        <v>47.0848279736145</v>
      </c>
      <c r="H446" s="30" t="n">
        <f aca="false">H428*H450</f>
        <v>53.0832209511182</v>
      </c>
      <c r="I446" s="30" t="n">
        <f aca="false">I428*I450</f>
        <v>58.95959120579</v>
      </c>
      <c r="J446" s="30" t="n">
        <f aca="false">J428*J450</f>
        <v>64.5088094010977</v>
      </c>
    </row>
    <row r="447" customFormat="false" ht="15" hidden="false" customHeight="false" outlineLevel="0" collapsed="false">
      <c r="A447" s="3" t="s">
        <v>672</v>
      </c>
      <c r="B447" s="3" t="s">
        <v>381</v>
      </c>
      <c r="C447" s="29" t="n">
        <f aca="false">a25_sh</f>
        <v>1.52351598173516</v>
      </c>
      <c r="D447" s="29" t="n">
        <f aca="false">a26_sh</f>
        <v>1.59236316568047</v>
      </c>
      <c r="E447" s="29" t="n">
        <f aca="false">a26_shend*(1+sh_g)</f>
        <v>1.64</v>
      </c>
      <c r="F447" s="29" t="n">
        <f aca="false">E447*(1+sh_g)</f>
        <v>1.64</v>
      </c>
      <c r="G447" s="29" t="n">
        <f aca="false">F447*(1+sh_g)</f>
        <v>1.64</v>
      </c>
      <c r="H447" s="31" t="n">
        <f aca="false">G447*(1+sh_g)</f>
        <v>1.64</v>
      </c>
      <c r="I447" s="31" t="n">
        <f aca="false">H447*(1+sh_g)</f>
        <v>1.64</v>
      </c>
      <c r="J447" s="31" t="n">
        <f aca="false">I447*(1+sh_g)</f>
        <v>1.64</v>
      </c>
    </row>
    <row r="448" customFormat="false" ht="17.15" hidden="false" customHeight="false" outlineLevel="0" collapsed="false">
      <c r="A448" s="0" t="s">
        <v>540</v>
      </c>
      <c r="B448" s="0" t="s">
        <v>387</v>
      </c>
      <c r="C448" s="18" t="n">
        <f aca="false">C446/C447</f>
        <v>4.38</v>
      </c>
      <c r="D448" s="18" t="n">
        <f aca="false">D446/D447</f>
        <v>23.3861414610695</v>
      </c>
      <c r="E448" s="18" t="n">
        <f aca="false">E446/E447</f>
        <v>24.4632038621598</v>
      </c>
      <c r="F448" s="18" t="n">
        <f aca="false">F446/F447</f>
        <v>27.0376144895989</v>
      </c>
      <c r="G448" s="18" t="n">
        <f aca="false">G446/G447</f>
        <v>28.710260959521</v>
      </c>
      <c r="H448" s="28" t="n">
        <f aca="false">H446/H447</f>
        <v>32.3678176531208</v>
      </c>
      <c r="I448" s="28" t="n">
        <f aca="false">I446/I447</f>
        <v>35.9509702474329</v>
      </c>
      <c r="J448" s="28" t="n">
        <f aca="false">J446/J447</f>
        <v>39.3346398787181</v>
      </c>
    </row>
    <row r="449" customFormat="false" ht="17.15" hidden="false" customHeight="false" outlineLevel="0" collapsed="false">
      <c r="A449" s="0" t="s">
        <v>673</v>
      </c>
      <c r="B449" s="0" t="s">
        <v>45</v>
      </c>
      <c r="D449" s="20" t="n">
        <f aca="false">D448/C448-1</f>
        <v>4.33930170344053</v>
      </c>
      <c r="E449" s="20" t="n">
        <f aca="false">E448/D448-1</f>
        <v>0.0460555839398844</v>
      </c>
      <c r="F449" s="20" t="n">
        <f aca="false">F448/E448-1</f>
        <v>0.105236037027075</v>
      </c>
      <c r="G449" s="20" t="n">
        <f aca="false">G448/F448-1</f>
        <v>0.0618636851474292</v>
      </c>
      <c r="H449" s="26" t="n">
        <f aca="false">H448/G448-1</f>
        <v>0.127395452753169</v>
      </c>
      <c r="I449" s="26" t="n">
        <f aca="false">I448/H448-1</f>
        <v>0.110701086885498</v>
      </c>
      <c r="J449" s="26" t="n">
        <f aca="false">J448/I448-1</f>
        <v>0.0941190073034754</v>
      </c>
    </row>
    <row r="450" customFormat="false" ht="17.15" hidden="false" customHeight="false" outlineLevel="0" collapsed="false">
      <c r="A450" s="3" t="s">
        <v>674</v>
      </c>
      <c r="B450" s="0" t="s">
        <v>45</v>
      </c>
      <c r="C450" s="13" t="n">
        <f aca="false">C446/C428</f>
        <v>0.0508453913030227</v>
      </c>
      <c r="D450" s="13" t="n">
        <f aca="false">D446/D428</f>
        <v>0.197798517808343</v>
      </c>
      <c r="E450" s="13" t="n">
        <f aca="false">E446/E428</f>
        <v>0.168025950677776</v>
      </c>
      <c r="F450" s="13" t="n">
        <f aca="false">F446/F428</f>
        <v>0.163545270526959</v>
      </c>
      <c r="G450" s="13" t="n">
        <f aca="false">G446/G428</f>
        <v>0.157182173341277</v>
      </c>
      <c r="H450" s="27" t="n">
        <f aca="false">$G450+(fade_mA-$G450)*1/3</f>
        <v>0.162589619683437</v>
      </c>
      <c r="I450" s="27" t="n">
        <f aca="false">$G450+(fade_mA-$G450)*2/3</f>
        <v>0.167997066025597</v>
      </c>
      <c r="J450" s="27" t="n">
        <f aca="false">$G450+(fade_mA-$G450)*3/3</f>
        <v>0.173404512367757</v>
      </c>
    </row>
    <row r="451" customFormat="false" ht="17.15" hidden="false" customHeight="false" outlineLevel="0" collapsed="false">
      <c r="A451" s="3" t="s">
        <v>675</v>
      </c>
      <c r="B451" s="0" t="s">
        <v>45</v>
      </c>
      <c r="C451" s="20" t="n">
        <f aca="false">C434/C428</f>
        <v>0.195190527350447</v>
      </c>
      <c r="D451" s="20" t="n">
        <f aca="false">D434/D428</f>
        <v>0.285230933480641</v>
      </c>
      <c r="E451" s="20" t="n">
        <f aca="false">E434/E428</f>
        <v>0.230346632858679</v>
      </c>
      <c r="F451" s="20" t="n">
        <f aca="false">F434/F428</f>
        <v>0.184414801034749</v>
      </c>
      <c r="G451" s="20" t="n">
        <f aca="false">G434/G428</f>
        <v>0.150222441171945</v>
      </c>
      <c r="H451" s="26" t="n">
        <f aca="false">$G451+($G436*(1+tp_g)^(life/2)-$G451)*1/3</f>
        <v>0.140944813386093</v>
      </c>
      <c r="I451" s="26" t="n">
        <f aca="false">$G451+($G436*(1+tp_g)^(life/2)-$G451)*2/3</f>
        <v>0.131667185600242</v>
      </c>
      <c r="J451" s="26" t="n">
        <f aca="false">$G451+($G436*(1+tp_g)^(life/2)-$G451)*3/3</f>
        <v>0.12238955781439</v>
      </c>
      <c r="K451" s="7" t="s">
        <v>676</v>
      </c>
    </row>
    <row r="452" customFormat="false" ht="15" hidden="false" customHeight="false" outlineLevel="0" collapsed="false">
      <c r="A452" s="3" t="s">
        <v>677</v>
      </c>
      <c r="B452" s="0" t="s">
        <v>303</v>
      </c>
      <c r="E452" s="21" t="n">
        <f aca="false">E446+E435-E434</f>
        <v>10.0321543339421</v>
      </c>
      <c r="F452" s="21" t="n">
        <f aca="false">F446+F435-F434</f>
        <v>23.0151252629422</v>
      </c>
      <c r="G452" s="21" t="n">
        <f aca="false">G446+G435-G434</f>
        <v>33.4240857861145</v>
      </c>
      <c r="H452" s="30" t="n">
        <f aca="false">H446+H435-H434</f>
        <v>41.2233894054052</v>
      </c>
      <c r="I452" s="30" t="n">
        <f aca="false">I446+I435-I434</f>
        <v>49.4669036406112</v>
      </c>
      <c r="J452" s="30" t="n">
        <f aca="false">J446+J435-J434</f>
        <v>57.8979628226981</v>
      </c>
      <c r="K452" s="3" t="s">
        <v>678</v>
      </c>
    </row>
    <row r="453" customFormat="false" ht="15" hidden="false" customHeight="false" outlineLevel="0" collapsed="false">
      <c r="A453" s="3" t="s">
        <v>679</v>
      </c>
      <c r="B453" s="0" t="s">
        <v>387</v>
      </c>
      <c r="E453" s="18" t="n">
        <f aca="false">E452/E447</f>
        <v>6.11716727679394</v>
      </c>
      <c r="F453" s="18" t="n">
        <f aca="false">F452/F447</f>
        <v>14.0336129652087</v>
      </c>
      <c r="G453" s="18" t="n">
        <f aca="false">G452/G447</f>
        <v>20.3805401134845</v>
      </c>
      <c r="H453" s="28" t="n">
        <f aca="false">H452/H447</f>
        <v>25.1362130520763</v>
      </c>
      <c r="I453" s="28" t="n">
        <f aca="false">I452/I447</f>
        <v>30.1627461223239</v>
      </c>
      <c r="J453" s="28" t="n">
        <f aca="false">J452/J447</f>
        <v>35.3036358674989</v>
      </c>
    </row>
    <row r="456" customFormat="false" ht="17.15" hidden="false" customHeight="false" outlineLevel="0" collapsed="false">
      <c r="A456" s="1" t="s">
        <v>1026</v>
      </c>
    </row>
    <row r="457" customFormat="false" ht="17.15" hidden="false" customHeight="false" outlineLevel="0" collapsed="false">
      <c r="A457" s="4" t="s">
        <v>22</v>
      </c>
      <c r="B457" s="4" t="s">
        <v>23</v>
      </c>
      <c r="C457" s="14" t="s">
        <v>508</v>
      </c>
      <c r="D457" s="14" t="s">
        <v>592</v>
      </c>
      <c r="E457" s="14" t="s">
        <v>593</v>
      </c>
      <c r="F457" s="14" t="s">
        <v>594</v>
      </c>
      <c r="G457" s="14" t="s">
        <v>595</v>
      </c>
      <c r="H457" s="14" t="s">
        <v>596</v>
      </c>
      <c r="I457" s="14" t="s">
        <v>597</v>
      </c>
      <c r="J457" s="14" t="s">
        <v>598</v>
      </c>
      <c r="K457" s="4" t="s">
        <v>481</v>
      </c>
    </row>
    <row r="458" customFormat="false" ht="17.15" hidden="false" customHeight="false" outlineLevel="0" collapsed="false">
      <c r="A458" s="5" t="s">
        <v>616</v>
      </c>
    </row>
    <row r="459" customFormat="false" ht="17.15" hidden="false" customHeight="false" outlineLevel="0" collapsed="false">
      <c r="A459" s="0" t="s">
        <v>617</v>
      </c>
      <c r="B459" s="3" t="s">
        <v>33</v>
      </c>
      <c r="D459" s="21" t="n">
        <f aca="false">(u_bw_26+u_rb_26+u_ru_26+u_hp_26)*1</f>
        <v>7.6</v>
      </c>
      <c r="E459" s="21" t="n">
        <f aca="false">(u_bw_27+u_rb_27+u_ru_27+u_hp_27)*1*1</f>
        <v>9.7</v>
      </c>
      <c r="F459" s="21" t="n">
        <f aca="false">(u_bw_28+u_rb_28+u_ru_28+u_hp_28)*um28_A*1</f>
        <v>9.5</v>
      </c>
      <c r="G459" s="21" t="n">
        <f aca="false">(u_bw_28*(1+g29_bw)+u_rb_28*(1+g29_rb)+u_ru_28*(1+g29_ru)+u_hp_28*(1+g29_hp))*um29_A*1</f>
        <v>10.6</v>
      </c>
      <c r="K459" s="7" t="s">
        <v>618</v>
      </c>
    </row>
    <row r="460" customFormat="false" ht="17.15" hidden="false" customHeight="false" outlineLevel="0" collapsed="false">
      <c r="A460" s="3" t="s">
        <v>619</v>
      </c>
      <c r="B460" s="3" t="s">
        <v>33</v>
      </c>
      <c r="D460" s="21" t="n">
        <f aca="false">(u_amd_26+u_tpu_26+u_trn_26+u_oth_26)*1</f>
        <v>7.6</v>
      </c>
      <c r="E460" s="21" t="n">
        <f aca="false">(u_amd_27+u_tpu_27+u_trn_27+u_oth_27)*1*1</f>
        <v>14</v>
      </c>
      <c r="F460" s="21" t="n">
        <f aca="false">(u_amd_28+u_tpu_28+u_trn_28+u_oth_28)*um28_A*1</f>
        <v>17</v>
      </c>
      <c r="G460" s="21" t="n">
        <f aca="false">(u_amd_28*(1+g29_amd)+u_tpu_28*(1+g29_tpu)+u_trn_28*(1+g29_trn)+u_oth_28*(1+g29_oth))*um29_A*1</f>
        <v>19.55</v>
      </c>
      <c r="K460" s="7" t="s">
        <v>620</v>
      </c>
    </row>
    <row r="461" customFormat="false" ht="17.15" hidden="false" customHeight="false" outlineLevel="0" collapsed="false">
      <c r="A461" s="3" t="s">
        <v>621</v>
      </c>
      <c r="B461" s="0" t="s">
        <v>145</v>
      </c>
      <c r="D461" s="19" t="n">
        <f aca="false">1</f>
        <v>1</v>
      </c>
      <c r="E461" s="19" t="n">
        <f aca="false">D461*(1+g_asp)</f>
        <v>1.18</v>
      </c>
      <c r="F461" s="19" t="n">
        <f aca="false">E461*(1+g_asp)</f>
        <v>1.3924</v>
      </c>
      <c r="G461" s="19" t="n">
        <f aca="false">F461*(1+g_asp)</f>
        <v>1.643032</v>
      </c>
      <c r="K461" s="7" t="s">
        <v>622</v>
      </c>
    </row>
    <row r="462" customFormat="false" ht="17.15" hidden="false" customHeight="false" outlineLevel="0" collapsed="false">
      <c r="A462" s="0" t="s">
        <v>623</v>
      </c>
      <c r="B462" s="0" t="s">
        <v>145</v>
      </c>
      <c r="D462" s="18" t="n">
        <f aca="false">1</f>
        <v>1</v>
      </c>
      <c r="E462" s="18" t="n">
        <f aca="false">ibpp_27</f>
        <v>1</v>
      </c>
      <c r="F462" s="18" t="n">
        <f aca="false">ibpp_28</f>
        <v>0.95</v>
      </c>
      <c r="G462" s="18" t="n">
        <f aca="false">ibpp_29</f>
        <v>0.9</v>
      </c>
      <c r="K462" s="7" t="s">
        <v>624</v>
      </c>
    </row>
    <row r="463" customFormat="false" ht="17.15" hidden="false" customHeight="false" outlineLevel="0" collapsed="false">
      <c r="A463" s="3" t="s">
        <v>625</v>
      </c>
      <c r="B463" s="0" t="s">
        <v>145</v>
      </c>
      <c r="D463" s="18" t="n">
        <f aca="false">1</f>
        <v>1</v>
      </c>
      <c r="E463" s="18" t="n">
        <f aca="false">1+carry_hi</f>
        <v>1.1</v>
      </c>
      <c r="F463" s="18" t="n">
        <f aca="false">1+carry_hi</f>
        <v>1.1</v>
      </c>
      <c r="G463" s="18" t="n">
        <f aca="false">1+carry_hi</f>
        <v>1.1</v>
      </c>
      <c r="K463" s="7" t="s">
        <v>626</v>
      </c>
    </row>
    <row r="464" customFormat="false" ht="17.15" hidden="false" customHeight="false" outlineLevel="0" collapsed="false">
      <c r="A464" s="3" t="s">
        <v>627</v>
      </c>
      <c r="B464" s="0" t="s">
        <v>628</v>
      </c>
      <c r="D464" s="23" t="n">
        <f aca="false">v26*D461*D462</f>
        <v>215.308596</v>
      </c>
      <c r="E464" s="23" t="n">
        <f aca="false">v26*E461*E462</f>
        <v>254.06414328</v>
      </c>
      <c r="F464" s="23" t="n">
        <f aca="false">v26*F461*F462</f>
        <v>284.80590461688</v>
      </c>
      <c r="G464" s="23" t="n">
        <f aca="false">v26*G461*G462</f>
        <v>318.383021792765</v>
      </c>
      <c r="K464" s="7" t="s">
        <v>629</v>
      </c>
    </row>
    <row r="465" customFormat="false" ht="17.15" hidden="false" customHeight="false" outlineLevel="0" collapsed="false">
      <c r="A465" s="3" t="s">
        <v>630</v>
      </c>
      <c r="B465" s="0" t="s">
        <v>45</v>
      </c>
      <c r="D465" s="20" t="n">
        <f aca="false">sh_nv_26</f>
        <v>0.25</v>
      </c>
      <c r="E465" s="20" t="n">
        <f aca="false">sh_nv_27</f>
        <v>0.27</v>
      </c>
      <c r="F465" s="20" t="n">
        <f aca="false">sh_nv_28</f>
        <v>0.29</v>
      </c>
      <c r="G465" s="20" t="n">
        <f aca="false">sh_nv_29</f>
        <v>0.3</v>
      </c>
    </row>
    <row r="466" customFormat="false" ht="17.15" hidden="false" customHeight="false" outlineLevel="0" collapsed="false">
      <c r="A466" s="3" t="s">
        <v>631</v>
      </c>
      <c r="B466" s="0" t="s">
        <v>45</v>
      </c>
      <c r="D466" s="20" t="n">
        <f aca="false">sh_ot_26</f>
        <v>0.3</v>
      </c>
      <c r="E466" s="20" t="n">
        <f aca="false">sh_ot_27</f>
        <v>0.31</v>
      </c>
      <c r="F466" s="20" t="n">
        <f aca="false">sh_ot_28</f>
        <v>0.32</v>
      </c>
      <c r="G466" s="20" t="n">
        <f aca="false">sh_ot_29</f>
        <v>0.33</v>
      </c>
    </row>
    <row r="467" customFormat="false" ht="17.15" hidden="false" customHeight="false" outlineLevel="0" collapsed="false">
      <c r="A467" s="3" t="s">
        <v>632</v>
      </c>
      <c r="B467" s="0" t="s">
        <v>582</v>
      </c>
      <c r="D467" s="22" t="n">
        <f aca="false">(D459*D464*D465+D460*D464*v_ot*D466)*D463</f>
        <v>801.809211504</v>
      </c>
      <c r="E467" s="22" t="n">
        <f aca="false">(E459*E464*E465+E460*E464*v_ot*E466)*E463</f>
        <v>1702.25516639033</v>
      </c>
      <c r="F467" s="22" t="n">
        <f aca="false">(F459*F464*F465+F460*F464*v_ot*F466)*F463</f>
        <v>2226.52712052338</v>
      </c>
      <c r="G467" s="22" t="n">
        <f aca="false">(G459*G464*G465+G460*G464*v_ot*G466)*G463</f>
        <v>2921.26610751559</v>
      </c>
    </row>
    <row r="468" customFormat="false" ht="15" hidden="false" customHeight="false" outlineLevel="0" collapsed="false">
      <c r="A468" s="3" t="s">
        <v>633</v>
      </c>
      <c r="B468" s="0" t="s">
        <v>303</v>
      </c>
      <c r="D468" s="21" t="n">
        <f aca="false">D467*fx/1000</f>
        <v>25.657894768128</v>
      </c>
      <c r="E468" s="21" t="n">
        <f aca="false">E467*fx/1000</f>
        <v>54.4721653244905</v>
      </c>
      <c r="F468" s="21" t="n">
        <f aca="false">F467*fx/1000</f>
        <v>71.2488678567483</v>
      </c>
      <c r="G468" s="21" t="n">
        <f aca="false">G467*fx/1000</f>
        <v>93.4805154404989</v>
      </c>
    </row>
    <row r="469" customFormat="false" ht="17.15" hidden="false" customHeight="false" outlineLevel="0" collapsed="false">
      <c r="A469" s="5" t="s">
        <v>634</v>
      </c>
    </row>
    <row r="470" customFormat="false" ht="17.15" hidden="false" customHeight="false" outlineLevel="0" collapsed="false">
      <c r="A470" s="0" t="s">
        <v>635</v>
      </c>
      <c r="B470" s="0" t="s">
        <v>303</v>
      </c>
      <c r="D470" s="21" t="n">
        <f aca="false">a26_abf*ai_abf</f>
        <v>74.83672875</v>
      </c>
      <c r="K470" s="3" t="s">
        <v>636</v>
      </c>
    </row>
    <row r="471" customFormat="false" ht="17.15" hidden="false" customHeight="false" outlineLevel="0" collapsed="false">
      <c r="A471" s="3" t="s">
        <v>637</v>
      </c>
      <c r="B471" s="0" t="s">
        <v>303</v>
      </c>
      <c r="D471" s="21" t="n">
        <f aca="false">D470-D468</f>
        <v>49.178833981872</v>
      </c>
      <c r="E471" s="21" t="n">
        <f aca="false">$D471*(itc_27/itc_26)^el_o*1*1*E462*E463</f>
        <v>76.5435422651766</v>
      </c>
      <c r="F471" s="21" t="n">
        <f aca="false">$D471*(itc_28/itc_26)^el_o*um28_A*1*F462*F463</f>
        <v>81.8702558242578</v>
      </c>
      <c r="G471" s="21" t="n">
        <f aca="false">$D471*(itc_29/itc_26)^el_o*um29_A*1*G462*G463</f>
        <v>82.7822168878519</v>
      </c>
      <c r="K471" s="7" t="s">
        <v>638</v>
      </c>
    </row>
    <row r="472" customFormat="false" ht="17.15" hidden="false" customHeight="false" outlineLevel="0" collapsed="false">
      <c r="A472" s="3" t="s">
        <v>639</v>
      </c>
      <c r="B472" s="0" t="s">
        <v>303</v>
      </c>
      <c r="D472" s="21" t="n">
        <f aca="false">a26_abf-D470</f>
        <v>24.94557625</v>
      </c>
      <c r="E472" s="21" t="n">
        <f aca="false">D472*(1+g_nai)</f>
        <v>25.6939435375</v>
      </c>
      <c r="F472" s="21" t="n">
        <f aca="false">E472*(1+g_nai)</f>
        <v>26.464761843625</v>
      </c>
      <c r="G472" s="21" t="n">
        <f aca="false">F472*(1+g_nai)</f>
        <v>27.2587046989338</v>
      </c>
    </row>
    <row r="473" customFormat="false" ht="17.15" hidden="false" customHeight="false" outlineLevel="0" collapsed="false">
      <c r="A473" s="0" t="s">
        <v>640</v>
      </c>
      <c r="B473" s="0" t="s">
        <v>303</v>
      </c>
      <c r="D473" s="21" t="n">
        <f aca="false">D468+D471+D472</f>
        <v>99.782305</v>
      </c>
      <c r="E473" s="21" t="n">
        <f aca="false">E468+E471+E472</f>
        <v>156.709651127167</v>
      </c>
      <c r="F473" s="21" t="n">
        <f aca="false">F468+F471+F472</f>
        <v>179.583885524631</v>
      </c>
      <c r="G473" s="21" t="n">
        <f aca="false">G468+G471+G472</f>
        <v>203.521437027285</v>
      </c>
    </row>
    <row r="474" customFormat="false" ht="17.15" hidden="false" customHeight="false" outlineLevel="0" collapsed="false">
      <c r="A474" s="0" t="s">
        <v>641</v>
      </c>
      <c r="B474" s="0" t="s">
        <v>303</v>
      </c>
      <c r="D474" s="21" t="n">
        <f aca="false">a26_abf</f>
        <v>99.782305</v>
      </c>
      <c r="E474" s="21" t="n">
        <f aca="false">$D473*cap_27*(1+g_mix)^1*E462*E463</f>
        <v>155.58555907125</v>
      </c>
      <c r="F474" s="21" t="n">
        <f aca="false">$D473*cap_28*(1+g_mix)^2*F462*F463</f>
        <v>195.432749477831</v>
      </c>
      <c r="G474" s="21" t="n">
        <f aca="false">$D473*cap_29*(1+g_mix)^3*G462*G463</f>
        <v>228.710771834738</v>
      </c>
      <c r="K474" s="7" t="s">
        <v>642</v>
      </c>
    </row>
    <row r="475" customFormat="false" ht="17.15" hidden="false" customHeight="false" outlineLevel="0" collapsed="false">
      <c r="A475" s="0" t="s">
        <v>643</v>
      </c>
      <c r="B475" s="0" t="s">
        <v>303</v>
      </c>
      <c r="D475" s="21" t="n">
        <f aca="false">a26_abf</f>
        <v>99.782305</v>
      </c>
      <c r="E475" s="21" t="n">
        <f aca="false">MIN(E473,E474)</f>
        <v>155.58555907125</v>
      </c>
      <c r="F475" s="21" t="n">
        <f aca="false">MIN(F473,F474)</f>
        <v>179.583885524631</v>
      </c>
      <c r="G475" s="21" t="n">
        <f aca="false">MIN(G473,G474)</f>
        <v>203.521437027285</v>
      </c>
    </row>
    <row r="476" customFormat="false" ht="17.15" hidden="false" customHeight="false" outlineLevel="0" collapsed="false">
      <c r="A476" s="3" t="s">
        <v>644</v>
      </c>
      <c r="B476" s="0" t="s">
        <v>45</v>
      </c>
      <c r="D476" s="20" t="n">
        <f aca="false">D475/D473</f>
        <v>1</v>
      </c>
      <c r="E476" s="20" t="n">
        <f aca="false">E475/E473</f>
        <v>0.992826912396066</v>
      </c>
      <c r="F476" s="20" t="n">
        <f aca="false">F475/F473</f>
        <v>1</v>
      </c>
      <c r="G476" s="20" t="n">
        <f aca="false">G475/G473</f>
        <v>1</v>
      </c>
    </row>
    <row r="477" customFormat="false" ht="17.15" hidden="false" customHeight="false" outlineLevel="0" collapsed="false">
      <c r="A477" s="0" t="s">
        <v>645</v>
      </c>
      <c r="B477" s="0" t="s">
        <v>303</v>
      </c>
      <c r="D477" s="21" t="n">
        <f aca="false">(D468+D471)*D476</f>
        <v>74.83672875</v>
      </c>
      <c r="E477" s="21" t="n">
        <f aca="false">(E468+E471)*E476</f>
        <v>130.075920441635</v>
      </c>
      <c r="F477" s="21" t="n">
        <f aca="false">(F468+F471)*F476</f>
        <v>153.119123681006</v>
      </c>
      <c r="G477" s="21" t="n">
        <f aca="false">(G468+G471)*G476</f>
        <v>176.262732328351</v>
      </c>
    </row>
    <row r="478" customFormat="false" ht="17.15" hidden="false" customHeight="false" outlineLevel="0" collapsed="false">
      <c r="A478" s="3" t="s">
        <v>646</v>
      </c>
      <c r="B478" s="0" t="s">
        <v>45</v>
      </c>
      <c r="D478" s="20" t="n">
        <f aca="false">D468/(D468+D471)</f>
        <v>0.342851634440636</v>
      </c>
      <c r="E478" s="20" t="n">
        <f aca="false">E468/(E468+E471)</f>
        <v>0.41576820311572</v>
      </c>
      <c r="F478" s="20" t="n">
        <f aca="false">F468/(F468+F471)</f>
        <v>0.465316585831444</v>
      </c>
      <c r="G478" s="20" t="n">
        <f aca="false">G468/(G468+G471)</f>
        <v>0.530347590813235</v>
      </c>
    </row>
    <row r="479" customFormat="false" ht="17.15" hidden="false" customHeight="false" outlineLevel="0" collapsed="false">
      <c r="A479" s="5" t="s">
        <v>647</v>
      </c>
    </row>
    <row r="480" customFormat="false" ht="17.15" hidden="false" customHeight="false" outlineLevel="0" collapsed="false">
      <c r="A480" s="0" t="s">
        <v>550</v>
      </c>
      <c r="B480" s="0" t="s">
        <v>303</v>
      </c>
      <c r="D480" s="21" t="n">
        <f aca="false">a26_bt</f>
        <v>16.944165</v>
      </c>
      <c r="E480" s="21" t="n">
        <f aca="false">D480*(1+g_bt)</f>
        <v>17.79137325</v>
      </c>
      <c r="F480" s="21" t="n">
        <f aca="false">E480*(1+g_bt)</f>
        <v>18.6809419125</v>
      </c>
      <c r="G480" s="21" t="n">
        <f aca="false">F480*(1+g_bt)</f>
        <v>19.614989008125</v>
      </c>
    </row>
    <row r="481" customFormat="false" ht="17.15" hidden="false" customHeight="false" outlineLevel="0" collapsed="false">
      <c r="A481" s="0" t="s">
        <v>648</v>
      </c>
      <c r="B481" s="0" t="s">
        <v>303</v>
      </c>
      <c r="D481" s="21" t="n">
        <f aca="false">a26_pcb*ai_pcb</f>
        <v>37.93610275</v>
      </c>
      <c r="E481" s="21" t="n">
        <f aca="false">D481*(1+g_pai_27)</f>
        <v>45.5233233</v>
      </c>
      <c r="F481" s="21" t="n">
        <f aca="false">D481*(1+g_pai_27)*(1+g_pai_28)*um28_A</f>
        <v>52.351821795</v>
      </c>
      <c r="G481" s="21" t="n">
        <f aca="false">D481*(1+g_pai_27)*(1+g_pai_28)*(1+g_pai_29)*um29_A</f>
        <v>57.5870039745</v>
      </c>
      <c r="K481" s="3" t="s">
        <v>649</v>
      </c>
    </row>
    <row r="482" customFormat="false" ht="17.15" hidden="false" customHeight="false" outlineLevel="0" collapsed="false">
      <c r="A482" s="3" t="s">
        <v>650</v>
      </c>
      <c r="B482" s="0" t="s">
        <v>303</v>
      </c>
      <c r="D482" s="21" t="n">
        <f aca="false">a26_pcb*(1-ai_pcb)</f>
        <v>20.42713225</v>
      </c>
      <c r="E482" s="21" t="n">
        <f aca="false">D482*(1+g_pcbn)</f>
        <v>20.835674895</v>
      </c>
      <c r="F482" s="21" t="n">
        <f aca="false">E482*(1+g_pcbn)</f>
        <v>21.2523883929</v>
      </c>
      <c r="G482" s="21" t="n">
        <f aca="false">F482*(1+g_pcbn)</f>
        <v>21.677436160758</v>
      </c>
    </row>
    <row r="483" customFormat="false" ht="15" hidden="false" customHeight="false" outlineLevel="0" collapsed="false">
      <c r="A483" s="3" t="s">
        <v>552</v>
      </c>
      <c r="B483" s="0" t="s">
        <v>303</v>
      </c>
      <c r="D483" s="21" t="n">
        <f aca="false">a26_fpc</f>
        <v>13.178795</v>
      </c>
      <c r="E483" s="21" t="n">
        <f aca="false">D483*(1+g_fpc)</f>
        <v>13.178795</v>
      </c>
      <c r="F483" s="21" t="n">
        <f aca="false">E483*(1+g_fpc)</f>
        <v>13.178795</v>
      </c>
      <c r="G483" s="21" t="n">
        <f aca="false">F483*(1+g_fpc)</f>
        <v>13.178795</v>
      </c>
    </row>
    <row r="484" customFormat="false" ht="17.15" hidden="false" customHeight="false" outlineLevel="0" collapsed="false">
      <c r="A484" s="3" t="s">
        <v>651</v>
      </c>
      <c r="B484" s="0" t="s">
        <v>303</v>
      </c>
      <c r="D484" s="21" t="n">
        <f aca="false">D475+D480</f>
        <v>116.72647</v>
      </c>
      <c r="E484" s="21" t="n">
        <f aca="false">E475+E480</f>
        <v>173.37693232125</v>
      </c>
      <c r="F484" s="21" t="n">
        <f aca="false">F475+F480</f>
        <v>198.264827437131</v>
      </c>
      <c r="G484" s="21" t="n">
        <f aca="false">G475+G480</f>
        <v>223.13642603541</v>
      </c>
      <c r="K484" s="3" t="s">
        <v>652</v>
      </c>
    </row>
    <row r="485" customFormat="false" ht="17.15" hidden="false" customHeight="false" outlineLevel="0" collapsed="false">
      <c r="A485" s="0" t="s">
        <v>653</v>
      </c>
      <c r="B485" s="0" t="s">
        <v>303</v>
      </c>
      <c r="D485" s="21" t="n">
        <f aca="false">D481+D482</f>
        <v>58.363235</v>
      </c>
      <c r="E485" s="21" t="n">
        <f aca="false">E481+E482</f>
        <v>66.358998195</v>
      </c>
      <c r="F485" s="21" t="n">
        <f aca="false">F481+F482</f>
        <v>73.6042101879</v>
      </c>
      <c r="G485" s="21" t="n">
        <f aca="false">G481+G482</f>
        <v>79.264440135258</v>
      </c>
      <c r="K485" s="3" t="s">
        <v>654</v>
      </c>
    </row>
    <row r="486" customFormat="false" ht="17.15" hidden="false" customHeight="false" outlineLevel="0" collapsed="false">
      <c r="A486" s="3" t="s">
        <v>515</v>
      </c>
      <c r="B486" s="0" t="s">
        <v>303</v>
      </c>
      <c r="C486" s="23" t="n">
        <f aca="false">a25_rev</f>
        <v>131.241</v>
      </c>
      <c r="D486" s="23" t="n">
        <f aca="false">D484+D485+D483</f>
        <v>188.2685</v>
      </c>
      <c r="E486" s="23" t="n">
        <f aca="false">E484+E485+E483</f>
        <v>252.91472551625</v>
      </c>
      <c r="F486" s="23" t="n">
        <f aca="false">F484+F485+F483</f>
        <v>285.047832625031</v>
      </c>
      <c r="G486" s="23" t="n">
        <f aca="false">G484+G485+G483</f>
        <v>315.579661170667</v>
      </c>
      <c r="H486" s="25" t="n">
        <f aca="false">G486*(1+H488)</f>
        <v>344.426008224976</v>
      </c>
      <c r="I486" s="25" t="n">
        <f aca="false">H486*(1+I488)</f>
        <v>370.500348195396</v>
      </c>
      <c r="J486" s="25" t="n">
        <f aca="false">I486*(1+J488)</f>
        <v>392.73036908712</v>
      </c>
      <c r="K486" s="7" t="s">
        <v>655</v>
      </c>
    </row>
    <row r="487" customFormat="false" ht="17.15" hidden="false" customHeight="false" outlineLevel="0" collapsed="false">
      <c r="A487" s="3" t="s">
        <v>656</v>
      </c>
      <c r="B487" s="0" t="s">
        <v>303</v>
      </c>
      <c r="D487" s="19" t="n">
        <f aca="false">D484+D485+D483-D486</f>
        <v>0</v>
      </c>
      <c r="E487" s="19" t="n">
        <f aca="false">E484+E485+E483-E486</f>
        <v>0</v>
      </c>
      <c r="F487" s="19" t="n">
        <f aca="false">F484+F485+F483-F486</f>
        <v>0</v>
      </c>
      <c r="G487" s="19" t="n">
        <f aca="false">G484+G485+G483-G486</f>
        <v>0</v>
      </c>
    </row>
    <row r="488" customFormat="false" ht="15" hidden="false" customHeight="false" outlineLevel="0" collapsed="false">
      <c r="A488" s="3" t="s">
        <v>657</v>
      </c>
      <c r="B488" s="0" t="s">
        <v>45</v>
      </c>
      <c r="D488" s="20" t="n">
        <f aca="false">D486/C486-1</f>
        <v>0.434525034097576</v>
      </c>
      <c r="E488" s="20" t="n">
        <f aca="false">E486/D486-1</f>
        <v>0.3433725</v>
      </c>
      <c r="F488" s="20" t="n">
        <f aca="false">F486/E486-1</f>
        <v>0.127051151502511</v>
      </c>
      <c r="G488" s="20" t="n">
        <f aca="false">G486/F486-1</f>
        <v>0.107111246082688</v>
      </c>
      <c r="H488" s="26" t="n">
        <f aca="false">$G488+(fade_gA-$G488)*1/3</f>
        <v>0.0914074973884583</v>
      </c>
      <c r="I488" s="26" t="n">
        <f aca="false">$G488+(fade_gA-$G488)*2/3</f>
        <v>0.0757037486942292</v>
      </c>
      <c r="J488" s="26" t="n">
        <f aca="false">$G488+(fade_gA-$G488)*3/3</f>
        <v>0.06</v>
      </c>
    </row>
    <row r="489" customFormat="false" ht="17.15" hidden="false" customHeight="false" outlineLevel="0" collapsed="false">
      <c r="A489" s="0" t="s">
        <v>658</v>
      </c>
      <c r="B489" s="0" t="s">
        <v>45</v>
      </c>
      <c r="D489" s="20" t="n">
        <f aca="false">D475/D486</f>
        <v>0.53</v>
      </c>
      <c r="E489" s="20" t="n">
        <f aca="false">E475/E486</f>
        <v>0.615170029161681</v>
      </c>
      <c r="F489" s="20" t="n">
        <f aca="false">F475/F486</f>
        <v>0.630013159092728</v>
      </c>
      <c r="G489" s="20" t="n">
        <f aca="false">G475/G486</f>
        <v>0.64491303486513</v>
      </c>
    </row>
    <row r="490" customFormat="false" ht="17.15" hidden="false" customHeight="false" outlineLevel="0" collapsed="false">
      <c r="A490" s="0" t="s">
        <v>659</v>
      </c>
      <c r="B490" s="0" t="s">
        <v>45</v>
      </c>
      <c r="D490" s="20" t="n">
        <f aca="false">(D477+D481)/D486</f>
        <v>0.599</v>
      </c>
      <c r="E490" s="20" t="n">
        <f aca="false">(E477+E481)/E486</f>
        <v>0.694302173917322</v>
      </c>
      <c r="F490" s="20" t="n">
        <f aca="false">(F477+F481)/F486</f>
        <v>0.720829706312115</v>
      </c>
      <c r="G490" s="20" t="n">
        <f aca="false">(G477+G481)/G486</f>
        <v>0.741016500985415</v>
      </c>
      <c r="K490" s="3" t="s">
        <v>660</v>
      </c>
    </row>
    <row r="491" customFormat="false" ht="17.15" hidden="false" customHeight="false" outlineLevel="0" collapsed="false">
      <c r="A491" s="5" t="s">
        <v>661</v>
      </c>
    </row>
    <row r="492" customFormat="false" ht="15" hidden="false" customHeight="false" outlineLevel="0" collapsed="false">
      <c r="A492" s="3" t="s">
        <v>662</v>
      </c>
      <c r="B492" s="0" t="s">
        <v>303</v>
      </c>
      <c r="C492" s="23" t="n">
        <f aca="false">a25_cx</f>
        <v>25.617</v>
      </c>
      <c r="D492" s="23" t="n">
        <f aca="false">capex26</f>
        <v>53.7</v>
      </c>
      <c r="E492" s="23" t="n">
        <f aca="false">cx27_A</f>
        <v>55</v>
      </c>
      <c r="F492" s="23" t="n">
        <f aca="false">cx28_A</f>
        <v>50</v>
      </c>
      <c r="G492" s="23" t="n">
        <f aca="false">cx29_A</f>
        <v>45</v>
      </c>
      <c r="H492" s="25" t="n">
        <f aca="false">H486*H509</f>
        <v>46.0801336880069</v>
      </c>
      <c r="I492" s="25" t="n">
        <f aca="false">I486*I509</f>
        <v>46.3057439638216</v>
      </c>
      <c r="J492" s="25" t="n">
        <f aca="false">J486*J509</f>
        <v>45.6254903018704</v>
      </c>
    </row>
    <row r="493" customFormat="false" ht="17.15" hidden="false" customHeight="false" outlineLevel="0" collapsed="false">
      <c r="A493" s="3" t="s">
        <v>663</v>
      </c>
      <c r="B493" s="0" t="s">
        <v>303</v>
      </c>
      <c r="C493" s="23" t="n">
        <f aca="false">a25_da</f>
        <v>18.8</v>
      </c>
      <c r="D493" s="23" t="n">
        <f aca="false">da26</f>
        <v>20.8</v>
      </c>
      <c r="E493" s="23" t="n">
        <f aca="false">D493*(1-1/life)+D492/life</f>
        <v>24.9125</v>
      </c>
      <c r="F493" s="23" t="n">
        <f aca="false">E493*(1-1/life)+E492/life</f>
        <v>28.6734375</v>
      </c>
      <c r="G493" s="23" t="n">
        <f aca="false">F493*(1-1/life)+F492/life</f>
        <v>31.3392578125</v>
      </c>
      <c r="H493" s="25" t="n">
        <f aca="false">H486*H494</f>
        <v>34.2039009391523</v>
      </c>
      <c r="I493" s="25" t="n">
        <f aca="false">I486*I494</f>
        <v>36.7932644602122</v>
      </c>
      <c r="J493" s="25" t="n">
        <f aca="false">J486*J494</f>
        <v>39.000860327825</v>
      </c>
      <c r="K493" s="3" t="s">
        <v>664</v>
      </c>
    </row>
    <row r="494" customFormat="false" ht="17.15" hidden="false" customHeight="false" outlineLevel="0" collapsed="false">
      <c r="A494" s="3" t="s">
        <v>665</v>
      </c>
      <c r="B494" s="0" t="s">
        <v>45</v>
      </c>
      <c r="C494" s="20" t="n">
        <f aca="false">C493/C486</f>
        <v>0.143247917952469</v>
      </c>
      <c r="D494" s="20" t="n">
        <f aca="false">D493/D486</f>
        <v>0.110480510547436</v>
      </c>
      <c r="E494" s="20" t="n">
        <f aca="false">E493/E486</f>
        <v>0.0985015797286954</v>
      </c>
      <c r="F494" s="20" t="n">
        <f aca="false">F493/F486</f>
        <v>0.100591669952175</v>
      </c>
      <c r="G494" s="20" t="n">
        <f aca="false">G493/G486</f>
        <v>0.0993069632442236</v>
      </c>
      <c r="H494" s="26" t="n">
        <f aca="false">$G494</f>
        <v>0.0993069632442236</v>
      </c>
      <c r="I494" s="26" t="n">
        <f aca="false">$G494</f>
        <v>0.0993069632442236</v>
      </c>
      <c r="J494" s="26" t="n">
        <f aca="false">$G494</f>
        <v>0.0993069632442236</v>
      </c>
    </row>
    <row r="495" customFormat="false" ht="17.15" hidden="false" customHeight="false" outlineLevel="0" collapsed="false">
      <c r="A495" s="3" t="s">
        <v>666</v>
      </c>
      <c r="B495" s="0" t="s">
        <v>303</v>
      </c>
      <c r="E495" s="21" t="n">
        <f aca="false">E477*(1-1/(E462*E463))</f>
        <v>11.8250836765123</v>
      </c>
      <c r="F495" s="21" t="n">
        <f aca="false">F477*(1-1/(F462*F463))</f>
        <v>6.59364647430168</v>
      </c>
      <c r="G495" s="21" t="n">
        <f aca="false">G477*(1-1/(G462*G463))</f>
        <v>-1.78043163968028</v>
      </c>
      <c r="K495" s="7" t="s">
        <v>667</v>
      </c>
    </row>
    <row r="496" customFormat="false" ht="17.15" hidden="false" customHeight="false" outlineLevel="0" collapsed="false">
      <c r="A496" s="3" t="s">
        <v>668</v>
      </c>
      <c r="B496" s="0" t="s">
        <v>303</v>
      </c>
      <c r="C496" s="21" t="n">
        <f aca="false">a25_gp</f>
        <v>18.292</v>
      </c>
      <c r="D496" s="21" t="n">
        <f aca="false">a26_gp</f>
        <v>47.3329657</v>
      </c>
      <c r="E496" s="21" t="n">
        <f aca="false">$D496+ft_abf*(E475-E495-$D475)+ft_oth*((E486-E475)-($D486-$D475))+E495-(E493-$D493)</f>
        <v>79.2453774351311</v>
      </c>
      <c r="F496" s="21" t="n">
        <f aca="false">$D496+ft_abf*(F475-F495-$D475)+ft_oth*((F486-F475)-($D486-$D475))+F495-(F493-$D493)</f>
        <v>86.9015797245664</v>
      </c>
      <c r="G496" s="21" t="n">
        <f aca="false">$D496+ft_abf*(G475-G495-$D475)+ft_oth*((G486-G475)-($D486-$D475))+G495-(G493-$D493)</f>
        <v>93.6660653671479</v>
      </c>
      <c r="K496" s="3" t="s">
        <v>669</v>
      </c>
    </row>
    <row r="497" customFormat="false" ht="15" hidden="false" customHeight="false" outlineLevel="0" collapsed="false">
      <c r="A497" s="3" t="s">
        <v>522</v>
      </c>
      <c r="B497" s="0" t="s">
        <v>45</v>
      </c>
      <c r="C497" s="13" t="n">
        <f aca="false">C496/C486</f>
        <v>0.139377176339711</v>
      </c>
      <c r="D497" s="13" t="n">
        <f aca="false">D496/D486</f>
        <v>0.251412029627899</v>
      </c>
      <c r="E497" s="13" t="n">
        <f aca="false">E496/E486</f>
        <v>0.313328444096623</v>
      </c>
      <c r="F497" s="13" t="n">
        <f aca="false">F496/F486</f>
        <v>0.304866656674011</v>
      </c>
      <c r="G497" s="13" t="n">
        <f aca="false">G496/G486</f>
        <v>0.296806407040575</v>
      </c>
    </row>
    <row r="498" customFormat="false" ht="15" hidden="false" customHeight="false" outlineLevel="0" collapsed="false">
      <c r="A498" s="3" t="s">
        <v>524</v>
      </c>
      <c r="B498" s="0" t="s">
        <v>303</v>
      </c>
      <c r="C498" s="21" t="n">
        <f aca="false">a25_opx</f>
        <v>11.618</v>
      </c>
      <c r="D498" s="21" t="n">
        <f aca="false">a26_opx</f>
        <v>16.6539532</v>
      </c>
      <c r="E498" s="21" t="n">
        <f aca="false">D498*(1+phi*E488)</f>
        <v>20.0850589271002</v>
      </c>
      <c r="F498" s="21" t="n">
        <f aca="false">E498*(1+phi*F488)</f>
        <v>21.6161568459105</v>
      </c>
      <c r="G498" s="21" t="n">
        <f aca="false">F498*(1+phi*G488)</f>
        <v>23.0053569430811</v>
      </c>
    </row>
    <row r="499" customFormat="false" ht="15" hidden="false" customHeight="false" outlineLevel="0" collapsed="false">
      <c r="A499" s="3" t="s">
        <v>527</v>
      </c>
      <c r="B499" s="0" t="s">
        <v>303</v>
      </c>
      <c r="C499" s="21" t="n">
        <f aca="false">C496-C498</f>
        <v>6.674</v>
      </c>
      <c r="D499" s="21" t="n">
        <f aca="false">D496-D498</f>
        <v>30.6790125</v>
      </c>
      <c r="E499" s="21" t="n">
        <f aca="false">E496-E498</f>
        <v>59.1603185080309</v>
      </c>
      <c r="F499" s="21" t="n">
        <f aca="false">F496-F498</f>
        <v>65.2854228786559</v>
      </c>
      <c r="G499" s="21" t="n">
        <f aca="false">G496-G498</f>
        <v>70.6607084240667</v>
      </c>
    </row>
    <row r="500" customFormat="false" ht="15" hidden="false" customHeight="false" outlineLevel="0" collapsed="false">
      <c r="A500" s="3" t="s">
        <v>605</v>
      </c>
      <c r="B500" s="0" t="s">
        <v>45</v>
      </c>
      <c r="C500" s="13" t="n">
        <f aca="false">C499/C486</f>
        <v>0.0508530108731265</v>
      </c>
      <c r="D500" s="13" t="n">
        <f aca="false">D499/D486</f>
        <v>0.162953507888999</v>
      </c>
      <c r="E500" s="13" t="n">
        <f aca="false">E499/E486</f>
        <v>0.233914092535627</v>
      </c>
      <c r="F500" s="13" t="n">
        <f aca="false">F499/F486</f>
        <v>0.229033219714167</v>
      </c>
      <c r="G500" s="13" t="n">
        <f aca="false">G499/G486</f>
        <v>0.223907675678291</v>
      </c>
    </row>
    <row r="501" customFormat="false" ht="17.15" hidden="false" customHeight="false" outlineLevel="0" collapsed="false">
      <c r="A501" s="3" t="s">
        <v>670</v>
      </c>
      <c r="B501" s="0" t="s">
        <v>303</v>
      </c>
      <c r="C501" s="21" t="n">
        <f aca="false">a25_nonop</f>
        <v>-0.00100000000000033</v>
      </c>
      <c r="D501" s="21" t="n">
        <f aca="false">a26_nonop</f>
        <v>14.466</v>
      </c>
      <c r="E501" s="21" t="n">
        <f aca="false">nonop27</f>
        <v>2</v>
      </c>
      <c r="F501" s="21" t="n">
        <f aca="false">nonop28</f>
        <v>2</v>
      </c>
      <c r="G501" s="21" t="n">
        <f aca="false">nonop29</f>
        <v>2</v>
      </c>
      <c r="K501" s="7" t="s">
        <v>671</v>
      </c>
    </row>
    <row r="502" customFormat="false" ht="15" hidden="false" customHeight="false" outlineLevel="0" collapsed="false">
      <c r="A502" s="3" t="s">
        <v>533</v>
      </c>
      <c r="B502" s="0" t="s">
        <v>303</v>
      </c>
      <c r="C502" s="21" t="n">
        <f aca="false">C499+C501</f>
        <v>6.673</v>
      </c>
      <c r="D502" s="21" t="n">
        <f aca="false">D499+D501</f>
        <v>45.1450125</v>
      </c>
      <c r="E502" s="21" t="n">
        <f aca="false">E499+E501</f>
        <v>61.1603185080309</v>
      </c>
      <c r="F502" s="21" t="n">
        <f aca="false">F499+F501</f>
        <v>67.2854228786559</v>
      </c>
      <c r="G502" s="21" t="n">
        <f aca="false">G499+G501</f>
        <v>72.6607084240667</v>
      </c>
    </row>
    <row r="503" customFormat="false" ht="15" hidden="false" customHeight="false" outlineLevel="0" collapsed="false">
      <c r="A503" s="3" t="s">
        <v>537</v>
      </c>
      <c r="B503" s="0" t="s">
        <v>303</v>
      </c>
      <c r="E503" s="21" t="n">
        <f aca="false">E502*tax</f>
        <v>11.0088573314456</v>
      </c>
      <c r="F503" s="21" t="n">
        <f aca="false">F502*tax</f>
        <v>12.1113761181581</v>
      </c>
      <c r="G503" s="21" t="n">
        <f aca="false">G502*tax</f>
        <v>13.078927516332</v>
      </c>
    </row>
    <row r="504" customFormat="false" ht="15" hidden="false" customHeight="false" outlineLevel="0" collapsed="false">
      <c r="A504" s="3" t="s">
        <v>535</v>
      </c>
      <c r="B504" s="0" t="s">
        <v>303</v>
      </c>
      <c r="C504" s="21" t="n">
        <f aca="false">a25_ni</f>
        <v>6.673</v>
      </c>
      <c r="D504" s="21" t="n">
        <f aca="false">a26_ni</f>
        <v>37.23923025</v>
      </c>
      <c r="E504" s="21" t="n">
        <f aca="false">E502-E503</f>
        <v>50.1514611765854</v>
      </c>
      <c r="F504" s="21" t="n">
        <f aca="false">F502-F503</f>
        <v>55.1740467604978</v>
      </c>
      <c r="G504" s="21" t="n">
        <f aca="false">G502-G503</f>
        <v>59.5817809077347</v>
      </c>
      <c r="H504" s="30" t="n">
        <f aca="false">H486*H508</f>
        <v>63.2603429279805</v>
      </c>
      <c r="I504" s="30" t="n">
        <f aca="false">I486*I508</f>
        <v>66.147910121109</v>
      </c>
      <c r="J504" s="30" t="n">
        <f aca="false">J486*J508</f>
        <v>68.1012181435613</v>
      </c>
    </row>
    <row r="505" customFormat="false" ht="15" hidden="false" customHeight="false" outlineLevel="0" collapsed="false">
      <c r="A505" s="3" t="s">
        <v>672</v>
      </c>
      <c r="B505" s="3" t="s">
        <v>381</v>
      </c>
      <c r="C505" s="29" t="n">
        <f aca="false">a25_sh</f>
        <v>1.52351598173516</v>
      </c>
      <c r="D505" s="29" t="n">
        <f aca="false">a26_sh</f>
        <v>1.59236316568047</v>
      </c>
      <c r="E505" s="29" t="n">
        <f aca="false">a26_shend*(1+sh_g)</f>
        <v>1.64</v>
      </c>
      <c r="F505" s="29" t="n">
        <f aca="false">E505*(1+sh_g)</f>
        <v>1.64</v>
      </c>
      <c r="G505" s="29" t="n">
        <f aca="false">F505*(1+sh_g)</f>
        <v>1.64</v>
      </c>
      <c r="H505" s="31" t="n">
        <f aca="false">G505*(1+sh_g)</f>
        <v>1.64</v>
      </c>
      <c r="I505" s="31" t="n">
        <f aca="false">H505*(1+sh_g)</f>
        <v>1.64</v>
      </c>
      <c r="J505" s="31" t="n">
        <f aca="false">I505*(1+sh_g)</f>
        <v>1.64</v>
      </c>
    </row>
    <row r="506" customFormat="false" ht="17.15" hidden="false" customHeight="false" outlineLevel="0" collapsed="false">
      <c r="A506" s="0" t="s">
        <v>540</v>
      </c>
      <c r="B506" s="0" t="s">
        <v>387</v>
      </c>
      <c r="C506" s="18" t="n">
        <f aca="false">C504/C505</f>
        <v>4.38</v>
      </c>
      <c r="D506" s="18" t="n">
        <f aca="false">D504/D505</f>
        <v>23.3861414610695</v>
      </c>
      <c r="E506" s="18" t="n">
        <f aca="false">E504/E505</f>
        <v>30.5801592540155</v>
      </c>
      <c r="F506" s="18" t="n">
        <f aca="false">F504/F505</f>
        <v>33.6427114393279</v>
      </c>
      <c r="G506" s="18" t="n">
        <f aca="false">G504/G505</f>
        <v>36.3303542120334</v>
      </c>
      <c r="H506" s="28" t="n">
        <f aca="false">H504/H505</f>
        <v>38.5733798341345</v>
      </c>
      <c r="I506" s="28" t="n">
        <f aca="false">I504/I505</f>
        <v>40.3340915372616</v>
      </c>
      <c r="J506" s="28" t="n">
        <f aca="false">J504/J505</f>
        <v>41.5251330143667</v>
      </c>
    </row>
    <row r="507" customFormat="false" ht="17.15" hidden="false" customHeight="false" outlineLevel="0" collapsed="false">
      <c r="A507" s="0" t="s">
        <v>673</v>
      </c>
      <c r="B507" s="0" t="s">
        <v>45</v>
      </c>
      <c r="D507" s="20" t="n">
        <f aca="false">D506/C506-1</f>
        <v>4.33930170344053</v>
      </c>
      <c r="E507" s="20" t="n">
        <f aca="false">E506/D506-1</f>
        <v>0.307618843618205</v>
      </c>
      <c r="F507" s="20" t="n">
        <f aca="false">F506/E506-1</f>
        <v>0.10014833997015</v>
      </c>
      <c r="G507" s="20" t="n">
        <f aca="false">G506/F506-1</f>
        <v>0.0798878169362893</v>
      </c>
      <c r="H507" s="26" t="n">
        <f aca="false">H506/G506-1</f>
        <v>0.0617397124456922</v>
      </c>
      <c r="I507" s="26" t="n">
        <f aca="false">I506/H506-1</f>
        <v>0.045645772050523</v>
      </c>
      <c r="J507" s="26" t="n">
        <f aca="false">J506/I506-1</f>
        <v>0.0295293988710461</v>
      </c>
    </row>
    <row r="508" customFormat="false" ht="17.15" hidden="false" customHeight="false" outlineLevel="0" collapsed="false">
      <c r="A508" s="3" t="s">
        <v>674</v>
      </c>
      <c r="B508" s="0" t="s">
        <v>45</v>
      </c>
      <c r="C508" s="13" t="n">
        <f aca="false">C504/C486</f>
        <v>0.0508453913030227</v>
      </c>
      <c r="D508" s="13" t="n">
        <f aca="false">D504/D486</f>
        <v>0.197798517808343</v>
      </c>
      <c r="E508" s="13" t="n">
        <f aca="false">E504/E486</f>
        <v>0.198293954906011</v>
      </c>
      <c r="F508" s="13" t="n">
        <f aca="false">F504/F486</f>
        <v>0.19356066051229</v>
      </c>
      <c r="G508" s="13" t="n">
        <f aca="false">G504/G486</f>
        <v>0.188801080166927</v>
      </c>
      <c r="H508" s="27" t="n">
        <f aca="false">$G508+(fade_mA-$G508)*1/3</f>
        <v>0.183668890900537</v>
      </c>
      <c r="I508" s="27" t="n">
        <f aca="false">$G508+(fade_mA-$G508)*2/3</f>
        <v>0.178536701634147</v>
      </c>
      <c r="J508" s="27" t="n">
        <f aca="false">$G508+(fade_mA-$G508)*3/3</f>
        <v>0.173404512367757</v>
      </c>
    </row>
    <row r="509" customFormat="false" ht="17.15" hidden="false" customHeight="false" outlineLevel="0" collapsed="false">
      <c r="A509" s="3" t="s">
        <v>675</v>
      </c>
      <c r="B509" s="0" t="s">
        <v>45</v>
      </c>
      <c r="C509" s="20" t="n">
        <f aca="false">C492/C486</f>
        <v>0.195190527350447</v>
      </c>
      <c r="D509" s="20" t="n">
        <f aca="false">D492/D486</f>
        <v>0.285230933480641</v>
      </c>
      <c r="E509" s="20" t="n">
        <f aca="false">E492/E486</f>
        <v>0.217464601508409</v>
      </c>
      <c r="F509" s="20" t="n">
        <f aca="false">F492/F486</f>
        <v>0.175409156910774</v>
      </c>
      <c r="G509" s="20" t="n">
        <f aca="false">G492/G486</f>
        <v>0.142594740843149</v>
      </c>
      <c r="H509" s="26" t="n">
        <f aca="false">$G509+($G494*(1+tp_g)^(life/2)-$G509)*1/3</f>
        <v>0.133788194235053</v>
      </c>
      <c r="I509" s="26" t="n">
        <f aca="false">$G509+($G494*(1+tp_g)^(life/2)-$G509)*2/3</f>
        <v>0.124981647626956</v>
      </c>
      <c r="J509" s="26" t="n">
        <f aca="false">$G509+($G494*(1+tp_g)^(life/2)-$G509)*3/3</f>
        <v>0.11617510101886</v>
      </c>
      <c r="K509" s="7" t="s">
        <v>676</v>
      </c>
    </row>
    <row r="510" customFormat="false" ht="15" hidden="false" customHeight="false" outlineLevel="0" collapsed="false">
      <c r="A510" s="3" t="s">
        <v>677</v>
      </c>
      <c r="B510" s="0" t="s">
        <v>303</v>
      </c>
      <c r="E510" s="21" t="n">
        <f aca="false">E504+E493-E492</f>
        <v>20.0639611765854</v>
      </c>
      <c r="F510" s="21" t="n">
        <f aca="false">F504+F493-F492</f>
        <v>33.8474842604978</v>
      </c>
      <c r="G510" s="21" t="n">
        <f aca="false">G504+G493-G492</f>
        <v>45.9210387202347</v>
      </c>
      <c r="H510" s="30" t="n">
        <f aca="false">H504+H493-H492</f>
        <v>51.3841101791259</v>
      </c>
      <c r="I510" s="30" t="n">
        <f aca="false">I504+I493-I492</f>
        <v>56.6354306174996</v>
      </c>
      <c r="J510" s="30" t="n">
        <f aca="false">J504+J493-J492</f>
        <v>61.4765881695159</v>
      </c>
      <c r="K510" s="3" t="s">
        <v>678</v>
      </c>
    </row>
    <row r="511" customFormat="false" ht="15" hidden="false" customHeight="false" outlineLevel="0" collapsed="false">
      <c r="A511" s="3" t="s">
        <v>679</v>
      </c>
      <c r="B511" s="0" t="s">
        <v>387</v>
      </c>
      <c r="E511" s="18" t="n">
        <f aca="false">E510/E505</f>
        <v>12.2341226686496</v>
      </c>
      <c r="F511" s="18" t="n">
        <f aca="false">F510/F505</f>
        <v>20.6387099149377</v>
      </c>
      <c r="G511" s="18" t="n">
        <f aca="false">G510/G505</f>
        <v>28.0006333659968</v>
      </c>
      <c r="H511" s="28" t="n">
        <f aca="false">H510/H505</f>
        <v>31.331774499467</v>
      </c>
      <c r="I511" s="28" t="n">
        <f aca="false">I510/I505</f>
        <v>34.533799157012</v>
      </c>
      <c r="J511" s="28" t="n">
        <f aca="false">J510/J505</f>
        <v>37.4857244936072</v>
      </c>
    </row>
    <row r="514" customFormat="false" ht="17.15" hidden="false" customHeight="false" outlineLevel="0" collapsed="false">
      <c r="A514" s="1" t="s">
        <v>1027</v>
      </c>
    </row>
    <row r="515" customFormat="false" ht="17.15" hidden="false" customHeight="false" outlineLevel="0" collapsed="false">
      <c r="A515" s="4" t="s">
        <v>22</v>
      </c>
      <c r="B515" s="4" t="s">
        <v>23</v>
      </c>
      <c r="C515" s="14" t="s">
        <v>508</v>
      </c>
      <c r="D515" s="14" t="s">
        <v>592</v>
      </c>
      <c r="E515" s="14" t="s">
        <v>593</v>
      </c>
      <c r="F515" s="14" t="s">
        <v>594</v>
      </c>
      <c r="G515" s="14" t="s">
        <v>595</v>
      </c>
      <c r="H515" s="14" t="s">
        <v>596</v>
      </c>
      <c r="I515" s="14" t="s">
        <v>597</v>
      </c>
      <c r="J515" s="14" t="s">
        <v>598</v>
      </c>
      <c r="K515" s="4" t="s">
        <v>481</v>
      </c>
    </row>
    <row r="516" customFormat="false" ht="17.15" hidden="false" customHeight="false" outlineLevel="0" collapsed="false">
      <c r="A516" s="5" t="s">
        <v>616</v>
      </c>
    </row>
    <row r="517" customFormat="false" ht="17.15" hidden="false" customHeight="false" outlineLevel="0" collapsed="false">
      <c r="A517" s="0" t="s">
        <v>617</v>
      </c>
      <c r="B517" s="3" t="s">
        <v>33</v>
      </c>
      <c r="D517" s="21" t="n">
        <f aca="false">(u_bw_26+u_rb_26+u_ru_26+u_hp_26)*1</f>
        <v>7.6</v>
      </c>
      <c r="E517" s="21" t="n">
        <f aca="false">(u_bw_27+u_rb_27+u_ru_27+u_hp_27)*1*1</f>
        <v>9.7</v>
      </c>
      <c r="F517" s="21" t="n">
        <f aca="false">(u_bw_28+u_rb_28+u_ru_28+u_hp_28)*um28_A*1</f>
        <v>9.5</v>
      </c>
      <c r="G517" s="21" t="n">
        <f aca="false">(u_bw_28*(1+g29_bw)+u_rb_28*(1+g29_rb)+u_ru_28*(1+g29_ru)+u_hp_28*(1+g29_hp))*um29_A*1</f>
        <v>10.6</v>
      </c>
      <c r="K517" s="7" t="s">
        <v>618</v>
      </c>
    </row>
    <row r="518" customFormat="false" ht="17.15" hidden="false" customHeight="false" outlineLevel="0" collapsed="false">
      <c r="A518" s="3" t="s">
        <v>619</v>
      </c>
      <c r="B518" s="3" t="s">
        <v>33</v>
      </c>
      <c r="D518" s="21" t="n">
        <f aca="false">(u_amd_26+u_tpu_26+u_trn_26+u_oth_26)*1</f>
        <v>7.6</v>
      </c>
      <c r="E518" s="21" t="n">
        <f aca="false">(u_amd_27+u_tpu_27+u_trn_27+u_oth_27)*1*1</f>
        <v>14</v>
      </c>
      <c r="F518" s="21" t="n">
        <f aca="false">(u_amd_28+u_tpu_28+u_trn_28+u_oth_28)*um28_A*1</f>
        <v>17</v>
      </c>
      <c r="G518" s="21" t="n">
        <f aca="false">(u_amd_28*(1+g29_amd)+u_tpu_28*(1+g29_tpu)+u_trn_28*(1+g29_trn)+u_oth_28*(1+g29_oth))*um29_A*1</f>
        <v>19.55</v>
      </c>
      <c r="K518" s="7" t="s">
        <v>620</v>
      </c>
    </row>
    <row r="519" customFormat="false" ht="17.15" hidden="false" customHeight="false" outlineLevel="0" collapsed="false">
      <c r="A519" s="3" t="s">
        <v>621</v>
      </c>
      <c r="B519" s="0" t="s">
        <v>145</v>
      </c>
      <c r="D519" s="19" t="n">
        <f aca="false">1</f>
        <v>1</v>
      </c>
      <c r="E519" s="19" t="n">
        <f aca="false">D519*(1+g_asp)</f>
        <v>1.18</v>
      </c>
      <c r="F519" s="19" t="n">
        <f aca="false">E519*(1+g_asp)</f>
        <v>1.3924</v>
      </c>
      <c r="G519" s="19" t="n">
        <f aca="false">F519*(1+g_asp)</f>
        <v>1.643032</v>
      </c>
      <c r="K519" s="7" t="s">
        <v>622</v>
      </c>
    </row>
    <row r="520" customFormat="false" ht="17.15" hidden="false" customHeight="false" outlineLevel="0" collapsed="false">
      <c r="A520" s="0" t="s">
        <v>623</v>
      </c>
      <c r="B520" s="0" t="s">
        <v>145</v>
      </c>
      <c r="D520" s="18" t="n">
        <f aca="false">1</f>
        <v>1</v>
      </c>
      <c r="E520" s="18" t="n">
        <f aca="false">ibpp_27</f>
        <v>1</v>
      </c>
      <c r="F520" s="18" t="n">
        <f aca="false">ibpp_28</f>
        <v>0.95</v>
      </c>
      <c r="G520" s="18" t="n">
        <f aca="false">ibpp_29</f>
        <v>0.9</v>
      </c>
      <c r="K520" s="7" t="s">
        <v>624</v>
      </c>
    </row>
    <row r="521" customFormat="false" ht="17.15" hidden="false" customHeight="false" outlineLevel="0" collapsed="false">
      <c r="A521" s="3" t="s">
        <v>625</v>
      </c>
      <c r="B521" s="0" t="s">
        <v>145</v>
      </c>
      <c r="D521" s="18" t="n">
        <f aca="false">1</f>
        <v>1</v>
      </c>
      <c r="E521" s="18" t="n">
        <f aca="false">1+carry</f>
        <v>1.05</v>
      </c>
      <c r="F521" s="18" t="n">
        <f aca="false">1+carry</f>
        <v>1.05</v>
      </c>
      <c r="G521" s="18" t="n">
        <f aca="false">1+carry</f>
        <v>1.05</v>
      </c>
      <c r="K521" s="7" t="s">
        <v>626</v>
      </c>
    </row>
    <row r="522" customFormat="false" ht="17.15" hidden="false" customHeight="false" outlineLevel="0" collapsed="false">
      <c r="A522" s="3" t="s">
        <v>627</v>
      </c>
      <c r="B522" s="0" t="s">
        <v>628</v>
      </c>
      <c r="D522" s="23" t="n">
        <f aca="false">v26*D519*D520</f>
        <v>215.308596</v>
      </c>
      <c r="E522" s="23" t="n">
        <f aca="false">v26*E519*E520</f>
        <v>254.06414328</v>
      </c>
      <c r="F522" s="23" t="n">
        <f aca="false">v26*F519*F520</f>
        <v>284.80590461688</v>
      </c>
      <c r="G522" s="23" t="n">
        <f aca="false">v26*G519*G520</f>
        <v>318.383021792765</v>
      </c>
      <c r="K522" s="7" t="s">
        <v>629</v>
      </c>
    </row>
    <row r="523" customFormat="false" ht="17.15" hidden="false" customHeight="false" outlineLevel="0" collapsed="false">
      <c r="A523" s="3" t="s">
        <v>630</v>
      </c>
      <c r="B523" s="0" t="s">
        <v>45</v>
      </c>
      <c r="D523" s="20" t="n">
        <f aca="false">sh_nv_26</f>
        <v>0.25</v>
      </c>
      <c r="E523" s="20" t="n">
        <f aca="false">sh_nv_27</f>
        <v>0.27</v>
      </c>
      <c r="F523" s="20" t="n">
        <f aca="false">sh_nv_28</f>
        <v>0.29</v>
      </c>
      <c r="G523" s="20" t="n">
        <f aca="false">sh_nv_29</f>
        <v>0.3</v>
      </c>
    </row>
    <row r="524" customFormat="false" ht="17.15" hidden="false" customHeight="false" outlineLevel="0" collapsed="false">
      <c r="A524" s="3" t="s">
        <v>631</v>
      </c>
      <c r="B524" s="0" t="s">
        <v>45</v>
      </c>
      <c r="D524" s="20" t="n">
        <f aca="false">sh_ot_26</f>
        <v>0.3</v>
      </c>
      <c r="E524" s="20" t="n">
        <f aca="false">sh_ot_27</f>
        <v>0.31</v>
      </c>
      <c r="F524" s="20" t="n">
        <f aca="false">sh_ot_28</f>
        <v>0.32</v>
      </c>
      <c r="G524" s="20" t="n">
        <f aca="false">sh_ot_29</f>
        <v>0.33</v>
      </c>
    </row>
    <row r="525" customFormat="false" ht="17.15" hidden="false" customHeight="false" outlineLevel="0" collapsed="false">
      <c r="A525" s="3" t="s">
        <v>632</v>
      </c>
      <c r="B525" s="0" t="s">
        <v>582</v>
      </c>
      <c r="D525" s="22" t="n">
        <f aca="false">(D517*D522*D523+D518*D522*v_ot*D524)*D521</f>
        <v>801.809211504</v>
      </c>
      <c r="E525" s="22" t="n">
        <f aca="false">(E517*E522*E523+E518*E522*v_ot*E524)*E521</f>
        <v>1624.8799315544</v>
      </c>
      <c r="F525" s="22" t="n">
        <f aca="false">(F517*F522*F523+F518*F522*v_ot*F524)*F521</f>
        <v>2125.32134231777</v>
      </c>
      <c r="G525" s="22" t="n">
        <f aca="false">(G517*G522*G523+G518*G522*v_ot*G524)*G521</f>
        <v>2788.4812844467</v>
      </c>
    </row>
    <row r="526" customFormat="false" ht="15" hidden="false" customHeight="false" outlineLevel="0" collapsed="false">
      <c r="A526" s="3" t="s">
        <v>633</v>
      </c>
      <c r="B526" s="0" t="s">
        <v>303</v>
      </c>
      <c r="D526" s="21" t="n">
        <f aca="false">D525*fx/1000</f>
        <v>25.657894768128</v>
      </c>
      <c r="E526" s="21" t="n">
        <f aca="false">E525*fx/1000</f>
        <v>51.9961578097409</v>
      </c>
      <c r="F526" s="21" t="n">
        <f aca="false">F525*fx/1000</f>
        <v>68.0102829541688</v>
      </c>
      <c r="G526" s="21" t="n">
        <f aca="false">G525*fx/1000</f>
        <v>89.2314011022944</v>
      </c>
    </row>
    <row r="527" customFormat="false" ht="17.15" hidden="false" customHeight="false" outlineLevel="0" collapsed="false">
      <c r="A527" s="5" t="s">
        <v>634</v>
      </c>
    </row>
    <row r="528" customFormat="false" ht="17.15" hidden="false" customHeight="false" outlineLevel="0" collapsed="false">
      <c r="A528" s="0" t="s">
        <v>635</v>
      </c>
      <c r="B528" s="0" t="s">
        <v>303</v>
      </c>
      <c r="D528" s="21" t="n">
        <f aca="false">a26_abf*ai_abf</f>
        <v>74.83672875</v>
      </c>
      <c r="K528" s="3" t="s">
        <v>636</v>
      </c>
    </row>
    <row r="529" customFormat="false" ht="17.15" hidden="false" customHeight="false" outlineLevel="0" collapsed="false">
      <c r="A529" s="3" t="s">
        <v>637</v>
      </c>
      <c r="B529" s="0" t="s">
        <v>303</v>
      </c>
      <c r="D529" s="21" t="n">
        <f aca="false">D528-D526</f>
        <v>49.178833981872</v>
      </c>
      <c r="E529" s="21" t="n">
        <f aca="false">$D529*(itc_27/itc_26)^el_o*1*1*E520*E521</f>
        <v>73.0642903440322</v>
      </c>
      <c r="F529" s="21" t="n">
        <f aca="false">$D529*(itc_28/itc_26)^el_o*um28_A*1*F520*F521</f>
        <v>78.1488805595188</v>
      </c>
      <c r="G529" s="21" t="n">
        <f aca="false">$D529*(itc_29/itc_26)^el_o*um29_A*1*G520*G521</f>
        <v>79.0193888474949</v>
      </c>
      <c r="K529" s="7" t="s">
        <v>638</v>
      </c>
    </row>
    <row r="530" customFormat="false" ht="17.15" hidden="false" customHeight="false" outlineLevel="0" collapsed="false">
      <c r="A530" s="3" t="s">
        <v>639</v>
      </c>
      <c r="B530" s="0" t="s">
        <v>303</v>
      </c>
      <c r="D530" s="21" t="n">
        <f aca="false">a26_abf-D528</f>
        <v>24.94557625</v>
      </c>
      <c r="E530" s="21" t="n">
        <f aca="false">D530*(1+g_nai)</f>
        <v>25.6939435375</v>
      </c>
      <c r="F530" s="21" t="n">
        <f aca="false">E530*(1+g_nai)</f>
        <v>26.464761843625</v>
      </c>
      <c r="G530" s="21" t="n">
        <f aca="false">F530*(1+g_nai)</f>
        <v>27.2587046989338</v>
      </c>
    </row>
    <row r="531" customFormat="false" ht="17.15" hidden="false" customHeight="false" outlineLevel="0" collapsed="false">
      <c r="A531" s="0" t="s">
        <v>640</v>
      </c>
      <c r="B531" s="0" t="s">
        <v>303</v>
      </c>
      <c r="D531" s="21" t="n">
        <f aca="false">D526+D529+D530</f>
        <v>99.782305</v>
      </c>
      <c r="E531" s="21" t="n">
        <f aca="false">E526+E529+E530</f>
        <v>150.754391691273</v>
      </c>
      <c r="F531" s="21" t="n">
        <f aca="false">F526+F529+F530</f>
        <v>172.623925357313</v>
      </c>
      <c r="G531" s="21" t="n">
        <f aca="false">G526+G529+G530</f>
        <v>195.509494648723</v>
      </c>
    </row>
    <row r="532" customFormat="false" ht="17.15" hidden="false" customHeight="false" outlineLevel="0" collapsed="false">
      <c r="A532" s="0" t="s">
        <v>641</v>
      </c>
      <c r="B532" s="0" t="s">
        <v>303</v>
      </c>
      <c r="D532" s="21" t="n">
        <f aca="false">a26_abf</f>
        <v>99.782305</v>
      </c>
      <c r="E532" s="21" t="n">
        <f aca="false">$D531*cap_27*(1+g_mix)^1*E520*E521</f>
        <v>148.513488204375</v>
      </c>
      <c r="F532" s="21" t="n">
        <f aca="false">$D531*cap_28*(1+g_mix)^2*F520*F521</f>
        <v>186.549442683384</v>
      </c>
      <c r="G532" s="21" t="n">
        <f aca="false">$D531*cap_29*(1+g_mix)^3*G520*G521</f>
        <v>218.314827660431</v>
      </c>
      <c r="K532" s="7" t="s">
        <v>642</v>
      </c>
    </row>
    <row r="533" customFormat="false" ht="17.15" hidden="false" customHeight="false" outlineLevel="0" collapsed="false">
      <c r="A533" s="0" t="s">
        <v>643</v>
      </c>
      <c r="B533" s="0" t="s">
        <v>303</v>
      </c>
      <c r="D533" s="21" t="n">
        <f aca="false">a26_abf</f>
        <v>99.782305</v>
      </c>
      <c r="E533" s="21" t="n">
        <f aca="false">MIN(E531,E532)</f>
        <v>148.513488204375</v>
      </c>
      <c r="F533" s="21" t="n">
        <f aca="false">MIN(F531,F532)</f>
        <v>172.623925357313</v>
      </c>
      <c r="G533" s="21" t="n">
        <f aca="false">MIN(G531,G532)</f>
        <v>195.509494648723</v>
      </c>
    </row>
    <row r="534" customFormat="false" ht="17.15" hidden="false" customHeight="false" outlineLevel="0" collapsed="false">
      <c r="A534" s="3" t="s">
        <v>644</v>
      </c>
      <c r="B534" s="0" t="s">
        <v>45</v>
      </c>
      <c r="D534" s="20" t="n">
        <f aca="false">D533/D531</f>
        <v>1</v>
      </c>
      <c r="E534" s="20" t="n">
        <f aca="false">E533/E531</f>
        <v>0.985135401617438</v>
      </c>
      <c r="F534" s="20" t="n">
        <f aca="false">F533/F531</f>
        <v>1</v>
      </c>
      <c r="G534" s="20" t="n">
        <f aca="false">G533/G531</f>
        <v>1</v>
      </c>
    </row>
    <row r="535" customFormat="false" ht="17.15" hidden="false" customHeight="false" outlineLevel="0" collapsed="false">
      <c r="A535" s="0" t="s">
        <v>645</v>
      </c>
      <c r="B535" s="0" t="s">
        <v>303</v>
      </c>
      <c r="D535" s="21" t="n">
        <f aca="false">(D526+D529)*D534</f>
        <v>74.83672875</v>
      </c>
      <c r="E535" s="21" t="n">
        <f aca="false">(E526+E529)*E534</f>
        <v>123.201474818424</v>
      </c>
      <c r="F535" s="21" t="n">
        <f aca="false">(F526+F529)*F534</f>
        <v>146.159163513688</v>
      </c>
      <c r="G535" s="21" t="n">
        <f aca="false">(G526+G529)*G534</f>
        <v>168.250789949789</v>
      </c>
    </row>
    <row r="536" customFormat="false" ht="17.15" hidden="false" customHeight="false" outlineLevel="0" collapsed="false">
      <c r="A536" s="3" t="s">
        <v>646</v>
      </c>
      <c r="B536" s="0" t="s">
        <v>45</v>
      </c>
      <c r="D536" s="20" t="n">
        <f aca="false">D526/(D526+D529)</f>
        <v>0.342851634440636</v>
      </c>
      <c r="E536" s="20" t="n">
        <f aca="false">E526/(E526+E529)</f>
        <v>0.41576820311572</v>
      </c>
      <c r="F536" s="20" t="n">
        <f aca="false">F526/(F526+F529)</f>
        <v>0.465316585831443</v>
      </c>
      <c r="G536" s="20" t="n">
        <f aca="false">G526/(G526+G529)</f>
        <v>0.530347590813235</v>
      </c>
    </row>
    <row r="537" customFormat="false" ht="17.15" hidden="false" customHeight="false" outlineLevel="0" collapsed="false">
      <c r="A537" s="5" t="s">
        <v>647</v>
      </c>
    </row>
    <row r="538" customFormat="false" ht="17.15" hidden="false" customHeight="false" outlineLevel="0" collapsed="false">
      <c r="A538" s="0" t="s">
        <v>550</v>
      </c>
      <c r="B538" s="0" t="s">
        <v>303</v>
      </c>
      <c r="D538" s="21" t="n">
        <f aca="false">a26_bt</f>
        <v>16.944165</v>
      </c>
      <c r="E538" s="21" t="n">
        <f aca="false">D538*(1+g_bt)</f>
        <v>17.79137325</v>
      </c>
      <c r="F538" s="21" t="n">
        <f aca="false">E538*(1+g_bt)</f>
        <v>18.6809419125</v>
      </c>
      <c r="G538" s="21" t="n">
        <f aca="false">F538*(1+g_bt)</f>
        <v>19.614989008125</v>
      </c>
    </row>
    <row r="539" customFormat="false" ht="17.15" hidden="false" customHeight="false" outlineLevel="0" collapsed="false">
      <c r="A539" s="0" t="s">
        <v>648</v>
      </c>
      <c r="B539" s="0" t="s">
        <v>303</v>
      </c>
      <c r="D539" s="21" t="n">
        <f aca="false">a26_pcb*ai_pcb</f>
        <v>37.93610275</v>
      </c>
      <c r="E539" s="21" t="n">
        <f aca="false">D539*(1+g_pai_27)</f>
        <v>45.5233233</v>
      </c>
      <c r="F539" s="21" t="n">
        <f aca="false">D539*(1+g_pai_27)*(1+g_pai_28)*um28_A</f>
        <v>52.351821795</v>
      </c>
      <c r="G539" s="21" t="n">
        <f aca="false">D539*(1+g_pai_27)*(1+g_pai_28)*(1+g_pai_29)*um29_A</f>
        <v>57.5870039745</v>
      </c>
      <c r="K539" s="3" t="s">
        <v>649</v>
      </c>
    </row>
    <row r="540" customFormat="false" ht="17.15" hidden="false" customHeight="false" outlineLevel="0" collapsed="false">
      <c r="A540" s="3" t="s">
        <v>650</v>
      </c>
      <c r="B540" s="0" t="s">
        <v>303</v>
      </c>
      <c r="D540" s="21" t="n">
        <f aca="false">a26_pcb*(1-ai_pcb)</f>
        <v>20.42713225</v>
      </c>
      <c r="E540" s="21" t="n">
        <f aca="false">D540*(1+g_pcbn)</f>
        <v>20.835674895</v>
      </c>
      <c r="F540" s="21" t="n">
        <f aca="false">E540*(1+g_pcbn)</f>
        <v>21.2523883929</v>
      </c>
      <c r="G540" s="21" t="n">
        <f aca="false">F540*(1+g_pcbn)</f>
        <v>21.677436160758</v>
      </c>
    </row>
    <row r="541" customFormat="false" ht="15" hidden="false" customHeight="false" outlineLevel="0" collapsed="false">
      <c r="A541" s="3" t="s">
        <v>552</v>
      </c>
      <c r="B541" s="0" t="s">
        <v>303</v>
      </c>
      <c r="D541" s="21" t="n">
        <f aca="false">a26_fpc</f>
        <v>13.178795</v>
      </c>
      <c r="E541" s="21" t="n">
        <f aca="false">D541*(1+g_fpc)</f>
        <v>13.178795</v>
      </c>
      <c r="F541" s="21" t="n">
        <f aca="false">E541*(1+g_fpc)</f>
        <v>13.178795</v>
      </c>
      <c r="G541" s="21" t="n">
        <f aca="false">F541*(1+g_fpc)</f>
        <v>13.178795</v>
      </c>
    </row>
    <row r="542" customFormat="false" ht="17.15" hidden="false" customHeight="false" outlineLevel="0" collapsed="false">
      <c r="A542" s="3" t="s">
        <v>651</v>
      </c>
      <c r="B542" s="0" t="s">
        <v>303</v>
      </c>
      <c r="D542" s="21" t="n">
        <f aca="false">D533+D538</f>
        <v>116.72647</v>
      </c>
      <c r="E542" s="21" t="n">
        <f aca="false">E533+E538</f>
        <v>166.304861454375</v>
      </c>
      <c r="F542" s="21" t="n">
        <f aca="false">F533+F538</f>
        <v>191.304867269813</v>
      </c>
      <c r="G542" s="21" t="n">
        <f aca="false">G533+G538</f>
        <v>215.124483656848</v>
      </c>
      <c r="K542" s="3" t="s">
        <v>652</v>
      </c>
    </row>
    <row r="543" customFormat="false" ht="17.15" hidden="false" customHeight="false" outlineLevel="0" collapsed="false">
      <c r="A543" s="0" t="s">
        <v>653</v>
      </c>
      <c r="B543" s="0" t="s">
        <v>303</v>
      </c>
      <c r="D543" s="21" t="n">
        <f aca="false">D539+D540</f>
        <v>58.363235</v>
      </c>
      <c r="E543" s="21" t="n">
        <f aca="false">E539+E540</f>
        <v>66.358998195</v>
      </c>
      <c r="F543" s="21" t="n">
        <f aca="false">F539+F540</f>
        <v>73.6042101879</v>
      </c>
      <c r="G543" s="21" t="n">
        <f aca="false">G539+G540</f>
        <v>79.264440135258</v>
      </c>
      <c r="K543" s="3" t="s">
        <v>654</v>
      </c>
    </row>
    <row r="544" customFormat="false" ht="17.15" hidden="false" customHeight="false" outlineLevel="0" collapsed="false">
      <c r="A544" s="3" t="s">
        <v>515</v>
      </c>
      <c r="B544" s="0" t="s">
        <v>303</v>
      </c>
      <c r="C544" s="23" t="n">
        <f aca="false">a25_rev</f>
        <v>131.241</v>
      </c>
      <c r="D544" s="23" t="n">
        <f aca="false">D542+D543+D541</f>
        <v>188.2685</v>
      </c>
      <c r="E544" s="23" t="n">
        <f aca="false">E542+E543+E541</f>
        <v>245.842654649375</v>
      </c>
      <c r="F544" s="23" t="n">
        <f aca="false">F542+F543+F541</f>
        <v>278.087872457713</v>
      </c>
      <c r="G544" s="23" t="n">
        <f aca="false">G542+G543+G541</f>
        <v>307.567718792106</v>
      </c>
      <c r="H544" s="25" t="n">
        <f aca="false">G544*(1+H546)</f>
        <v>335.455725464882</v>
      </c>
      <c r="I544" s="25" t="n">
        <f aca="false">H544*(1+I546)</f>
        <v>360.727741503264</v>
      </c>
      <c r="J544" s="25" t="n">
        <f aca="false">I544*(1+J546)</f>
        <v>382.371405993459</v>
      </c>
      <c r="K544" s="7" t="s">
        <v>655</v>
      </c>
    </row>
    <row r="545" customFormat="false" ht="17.15" hidden="false" customHeight="false" outlineLevel="0" collapsed="false">
      <c r="A545" s="3" t="s">
        <v>656</v>
      </c>
      <c r="B545" s="0" t="s">
        <v>303</v>
      </c>
      <c r="D545" s="19" t="n">
        <f aca="false">D542+D543+D541-D544</f>
        <v>0</v>
      </c>
      <c r="E545" s="19" t="n">
        <f aca="false">E542+E543+E541-E544</f>
        <v>0</v>
      </c>
      <c r="F545" s="19" t="n">
        <f aca="false">F542+F543+F541-F544</f>
        <v>0</v>
      </c>
      <c r="G545" s="19" t="n">
        <f aca="false">G542+G543+G541-G544</f>
        <v>0</v>
      </c>
    </row>
    <row r="546" customFormat="false" ht="15" hidden="false" customHeight="false" outlineLevel="0" collapsed="false">
      <c r="A546" s="3" t="s">
        <v>657</v>
      </c>
      <c r="B546" s="0" t="s">
        <v>45</v>
      </c>
      <c r="D546" s="20" t="n">
        <f aca="false">D544/C544-1</f>
        <v>0.434525034097576</v>
      </c>
      <c r="E546" s="20" t="n">
        <f aca="false">E544/D544-1</f>
        <v>0.30580875</v>
      </c>
      <c r="F546" s="20" t="n">
        <f aca="false">F544/E544-1</f>
        <v>0.131162014396266</v>
      </c>
      <c r="G546" s="20" t="n">
        <f aca="false">G544/F544-1</f>
        <v>0.106009104510217</v>
      </c>
      <c r="H546" s="26" t="n">
        <f aca="false">$G546+(fade_gA-$G546)*1/3</f>
        <v>0.0906727363401445</v>
      </c>
      <c r="I546" s="26" t="n">
        <f aca="false">$G546+(fade_gA-$G546)*2/3</f>
        <v>0.0753363681700722</v>
      </c>
      <c r="J546" s="26" t="n">
        <f aca="false">$G546+(fade_gA-$G546)*3/3</f>
        <v>0.06</v>
      </c>
    </row>
    <row r="547" customFormat="false" ht="17.15" hidden="false" customHeight="false" outlineLevel="0" collapsed="false">
      <c r="A547" s="0" t="s">
        <v>658</v>
      </c>
      <c r="B547" s="0" t="s">
        <v>45</v>
      </c>
      <c r="D547" s="20" t="n">
        <f aca="false">D533/D544</f>
        <v>0.53</v>
      </c>
      <c r="E547" s="20" t="n">
        <f aca="false">E533/E544</f>
        <v>0.604099758100105</v>
      </c>
      <c r="F547" s="20" t="n">
        <f aca="false">F533/F544</f>
        <v>0.620753159178355</v>
      </c>
      <c r="G547" s="20" t="n">
        <f aca="false">G533/G544</f>
        <v>0.635663246508889</v>
      </c>
    </row>
    <row r="548" customFormat="false" ht="17.15" hidden="false" customHeight="false" outlineLevel="0" collapsed="false">
      <c r="A548" s="0" t="s">
        <v>659</v>
      </c>
      <c r="B548" s="0" t="s">
        <v>45</v>
      </c>
      <c r="D548" s="20" t="n">
        <f aca="false">(D535+D539)/D544</f>
        <v>0.599</v>
      </c>
      <c r="E548" s="20" t="n">
        <f aca="false">(E535+E539)/E544</f>
        <v>0.686312138790815</v>
      </c>
      <c r="F548" s="20" t="n">
        <f aca="false">(F535+F539)/F544</f>
        <v>0.713842655396179</v>
      </c>
      <c r="G548" s="20" t="n">
        <f aca="false">(G535+G539)/G544</f>
        <v>0.734270146461436</v>
      </c>
      <c r="K548" s="3" t="s">
        <v>660</v>
      </c>
    </row>
    <row r="549" customFormat="false" ht="17.15" hidden="false" customHeight="false" outlineLevel="0" collapsed="false">
      <c r="A549" s="5" t="s">
        <v>661</v>
      </c>
    </row>
    <row r="550" customFormat="false" ht="15" hidden="false" customHeight="false" outlineLevel="0" collapsed="false">
      <c r="A550" s="3" t="s">
        <v>662</v>
      </c>
      <c r="B550" s="0" t="s">
        <v>303</v>
      </c>
      <c r="C550" s="23" t="n">
        <f aca="false">a25_cx</f>
        <v>25.617</v>
      </c>
      <c r="D550" s="23" t="n">
        <f aca="false">capex26</f>
        <v>53.7</v>
      </c>
      <c r="E550" s="23" t="n">
        <f aca="false">cx27_A</f>
        <v>55</v>
      </c>
      <c r="F550" s="23" t="n">
        <f aca="false">cx28_A</f>
        <v>50</v>
      </c>
      <c r="G550" s="23" t="n">
        <f aca="false">cx29_A</f>
        <v>45</v>
      </c>
      <c r="H550" s="25" t="n">
        <f aca="false">H544*H567</f>
        <v>46.0491114644872</v>
      </c>
      <c r="I550" s="25" t="n">
        <f aca="false">I544*I567</f>
        <v>46.2587658972454</v>
      </c>
      <c r="J550" s="25" t="n">
        <f aca="false">J544*J567</f>
        <v>45.5792023656988</v>
      </c>
    </row>
    <row r="551" customFormat="false" ht="17.15" hidden="false" customHeight="false" outlineLevel="0" collapsed="false">
      <c r="A551" s="3" t="s">
        <v>663</v>
      </c>
      <c r="B551" s="0" t="s">
        <v>303</v>
      </c>
      <c r="C551" s="23" t="n">
        <f aca="false">a25_da</f>
        <v>18.8</v>
      </c>
      <c r="D551" s="23" t="n">
        <f aca="false">da26</f>
        <v>20.8</v>
      </c>
      <c r="E551" s="23" t="n">
        <f aca="false">D551*(1-1/life)+D550/life</f>
        <v>24.9125</v>
      </c>
      <c r="F551" s="23" t="n">
        <f aca="false">E551*(1-1/life)+E550/life</f>
        <v>28.6734375</v>
      </c>
      <c r="G551" s="23" t="n">
        <f aca="false">F551*(1-1/life)+F550/life</f>
        <v>31.3392578125</v>
      </c>
      <c r="H551" s="25" t="n">
        <f aca="false">H544*H552</f>
        <v>34.1808740732286</v>
      </c>
      <c r="I551" s="25" t="n">
        <f aca="false">I544*I552</f>
        <v>36.7559369867843</v>
      </c>
      <c r="J551" s="25" t="n">
        <f aca="false">J544*J552</f>
        <v>38.9612932059913</v>
      </c>
      <c r="K551" s="3" t="s">
        <v>664</v>
      </c>
    </row>
    <row r="552" customFormat="false" ht="17.15" hidden="false" customHeight="false" outlineLevel="0" collapsed="false">
      <c r="A552" s="3" t="s">
        <v>665</v>
      </c>
      <c r="B552" s="0" t="s">
        <v>45</v>
      </c>
      <c r="C552" s="20" t="n">
        <f aca="false">C551/C544</f>
        <v>0.143247917952469</v>
      </c>
      <c r="D552" s="20" t="n">
        <f aca="false">D551/D544</f>
        <v>0.110480510547436</v>
      </c>
      <c r="E552" s="20" t="n">
        <f aca="false">E551/E544</f>
        <v>0.101335140704247</v>
      </c>
      <c r="F552" s="20" t="n">
        <f aca="false">F551/F544</f>
        <v>0.103109269910216</v>
      </c>
      <c r="G552" s="20" t="n">
        <f aca="false">G551/G544</f>
        <v>0.101893846127861</v>
      </c>
      <c r="H552" s="26" t="n">
        <f aca="false">$G552</f>
        <v>0.101893846127861</v>
      </c>
      <c r="I552" s="26" t="n">
        <f aca="false">$G552</f>
        <v>0.101893846127861</v>
      </c>
      <c r="J552" s="26" t="n">
        <f aca="false">$G552</f>
        <v>0.101893846127861</v>
      </c>
    </row>
    <row r="553" customFormat="false" ht="17.15" hidden="false" customHeight="false" outlineLevel="0" collapsed="false">
      <c r="A553" s="3" t="s">
        <v>666</v>
      </c>
      <c r="B553" s="0" t="s">
        <v>303</v>
      </c>
      <c r="E553" s="21" t="n">
        <f aca="false">E535*(1-1/(E520*E521))</f>
        <v>5.86673689611544</v>
      </c>
      <c r="F553" s="21" t="n">
        <f aca="false">F535*(1-1/(F520*F521))</f>
        <v>-0.366313693016785</v>
      </c>
      <c r="G553" s="21" t="n">
        <f aca="false">G535*(1-1/(G520*G521))</f>
        <v>-9.7923740182417</v>
      </c>
      <c r="K553" s="7" t="s">
        <v>667</v>
      </c>
    </row>
    <row r="554" customFormat="false" ht="17.15" hidden="false" customHeight="false" outlineLevel="0" collapsed="false">
      <c r="A554" s="3" t="s">
        <v>668</v>
      </c>
      <c r="B554" s="0" t="s">
        <v>303</v>
      </c>
      <c r="C554" s="21" t="n">
        <f aca="false">a25_gp</f>
        <v>18.292</v>
      </c>
      <c r="D554" s="21" t="n">
        <f aca="false">a26_gp</f>
        <v>47.3329657</v>
      </c>
      <c r="E554" s="21" t="n">
        <f aca="false">$D554+ft_abf_lo*(E533-E553-$D533)+ft_oth*((E544-E533)-($D544-$D533))+E553-(E551-$D551)</f>
        <v>68.4437239806693</v>
      </c>
      <c r="F554" s="21" t="n">
        <f aca="false">$D554+ft_abf_lo*(F533-F553-$D533)+ft_oth*((F544-F533)-($D544-$D533))+F553-(F551-$D551)</f>
        <v>72.620826152215</v>
      </c>
      <c r="G554" s="21" t="n">
        <f aca="false">$D554+ft_abf_lo*(G533-G553-$D533)+ft_oth*((G544-G533)-($D544-$D533))+G553-(G551-$D551)</f>
        <v>75.10216662189</v>
      </c>
      <c r="K554" s="3" t="s">
        <v>669</v>
      </c>
    </row>
    <row r="555" customFormat="false" ht="15" hidden="false" customHeight="false" outlineLevel="0" collapsed="false">
      <c r="A555" s="3" t="s">
        <v>522</v>
      </c>
      <c r="B555" s="0" t="s">
        <v>45</v>
      </c>
      <c r="C555" s="13" t="n">
        <f aca="false">C554/C544</f>
        <v>0.139377176339711</v>
      </c>
      <c r="D555" s="13" t="n">
        <f aca="false">D554/D544</f>
        <v>0.251412029627899</v>
      </c>
      <c r="E555" s="13" t="n">
        <f aca="false">E554/E544</f>
        <v>0.27840459206839</v>
      </c>
      <c r="F555" s="13" t="n">
        <f aca="false">F554/F544</f>
        <v>0.261143449048675</v>
      </c>
      <c r="G555" s="13" t="n">
        <f aca="false">G554/G544</f>
        <v>0.244180913773509</v>
      </c>
    </row>
    <row r="556" customFormat="false" ht="15" hidden="false" customHeight="false" outlineLevel="0" collapsed="false">
      <c r="A556" s="3" t="s">
        <v>524</v>
      </c>
      <c r="B556" s="0" t="s">
        <v>303</v>
      </c>
      <c r="C556" s="21" t="n">
        <f aca="false">a25_opx</f>
        <v>11.618</v>
      </c>
      <c r="D556" s="21" t="n">
        <f aca="false">a26_opx</f>
        <v>16.6539532</v>
      </c>
      <c r="E556" s="21" t="n">
        <f aca="false">D556*(1+phi*E546)</f>
        <v>19.7097079663903</v>
      </c>
      <c r="F556" s="21" t="n">
        <f aca="false">E556*(1+phi*F546)</f>
        <v>21.2608069664106</v>
      </c>
      <c r="G556" s="21" t="n">
        <f aca="false">F556*(1+phi*G546)</f>
        <v>22.6131104310149</v>
      </c>
    </row>
    <row r="557" customFormat="false" ht="15" hidden="false" customHeight="false" outlineLevel="0" collapsed="false">
      <c r="A557" s="3" t="s">
        <v>527</v>
      </c>
      <c r="B557" s="0" t="s">
        <v>303</v>
      </c>
      <c r="C557" s="21" t="n">
        <f aca="false">C554-C556</f>
        <v>6.674</v>
      </c>
      <c r="D557" s="21" t="n">
        <f aca="false">D554-D556</f>
        <v>30.6790125</v>
      </c>
      <c r="E557" s="21" t="n">
        <f aca="false">E554-E556</f>
        <v>48.734016014279</v>
      </c>
      <c r="F557" s="21" t="n">
        <f aca="false">F554-F556</f>
        <v>51.3600191858044</v>
      </c>
      <c r="G557" s="21" t="n">
        <f aca="false">G554-G556</f>
        <v>52.4890561908751</v>
      </c>
    </row>
    <row r="558" customFormat="false" ht="15" hidden="false" customHeight="false" outlineLevel="0" collapsed="false">
      <c r="A558" s="3" t="s">
        <v>605</v>
      </c>
      <c r="B558" s="0" t="s">
        <v>45</v>
      </c>
      <c r="C558" s="13" t="n">
        <f aca="false">C557/C544</f>
        <v>0.0508530108731265</v>
      </c>
      <c r="D558" s="13" t="n">
        <f aca="false">D557/D544</f>
        <v>0.162953507888999</v>
      </c>
      <c r="E558" s="13" t="n">
        <f aca="false">E557/E544</f>
        <v>0.198232548716106</v>
      </c>
      <c r="F558" s="13" t="n">
        <f aca="false">F557/F544</f>
        <v>0.184689892198066</v>
      </c>
      <c r="G558" s="13" t="n">
        <f aca="false">G557/G544</f>
        <v>0.170658534637551</v>
      </c>
    </row>
    <row r="559" customFormat="false" ht="17.15" hidden="false" customHeight="false" outlineLevel="0" collapsed="false">
      <c r="A559" s="3" t="s">
        <v>670</v>
      </c>
      <c r="B559" s="0" t="s">
        <v>303</v>
      </c>
      <c r="C559" s="21" t="n">
        <f aca="false">a25_nonop</f>
        <v>-0.00100000000000033</v>
      </c>
      <c r="D559" s="21" t="n">
        <f aca="false">a26_nonop</f>
        <v>14.466</v>
      </c>
      <c r="E559" s="21" t="n">
        <f aca="false">nonop27</f>
        <v>2</v>
      </c>
      <c r="F559" s="21" t="n">
        <f aca="false">nonop28</f>
        <v>2</v>
      </c>
      <c r="G559" s="21" t="n">
        <f aca="false">nonop29</f>
        <v>2</v>
      </c>
      <c r="K559" s="7" t="s">
        <v>671</v>
      </c>
    </row>
    <row r="560" customFormat="false" ht="15" hidden="false" customHeight="false" outlineLevel="0" collapsed="false">
      <c r="A560" s="3" t="s">
        <v>533</v>
      </c>
      <c r="B560" s="0" t="s">
        <v>303</v>
      </c>
      <c r="C560" s="21" t="n">
        <f aca="false">C557+C559</f>
        <v>6.673</v>
      </c>
      <c r="D560" s="21" t="n">
        <f aca="false">D557+D559</f>
        <v>45.1450125</v>
      </c>
      <c r="E560" s="21" t="n">
        <f aca="false">E557+E559</f>
        <v>50.734016014279</v>
      </c>
      <c r="F560" s="21" t="n">
        <f aca="false">F557+F559</f>
        <v>53.3600191858044</v>
      </c>
      <c r="G560" s="21" t="n">
        <f aca="false">G557+G559</f>
        <v>54.4890561908751</v>
      </c>
    </row>
    <row r="561" customFormat="false" ht="15" hidden="false" customHeight="false" outlineLevel="0" collapsed="false">
      <c r="A561" s="3" t="s">
        <v>537</v>
      </c>
      <c r="B561" s="0" t="s">
        <v>303</v>
      </c>
      <c r="E561" s="21" t="n">
        <f aca="false">E560*tax</f>
        <v>9.13212288257022</v>
      </c>
      <c r="F561" s="21" t="n">
        <f aca="false">F560*tax</f>
        <v>9.60480345344478</v>
      </c>
      <c r="G561" s="21" t="n">
        <f aca="false">G560*tax</f>
        <v>9.80803011435751</v>
      </c>
    </row>
    <row r="562" customFormat="false" ht="15" hidden="false" customHeight="false" outlineLevel="0" collapsed="false">
      <c r="A562" s="3" t="s">
        <v>535</v>
      </c>
      <c r="B562" s="0" t="s">
        <v>303</v>
      </c>
      <c r="C562" s="21" t="n">
        <f aca="false">a25_ni</f>
        <v>6.673</v>
      </c>
      <c r="D562" s="21" t="n">
        <f aca="false">a26_ni</f>
        <v>37.23923025</v>
      </c>
      <c r="E562" s="21" t="n">
        <f aca="false">E560-E561</f>
        <v>41.6018931317088</v>
      </c>
      <c r="F562" s="21" t="n">
        <f aca="false">F560-F561</f>
        <v>43.7552157323596</v>
      </c>
      <c r="G562" s="21" t="n">
        <f aca="false">G560-G561</f>
        <v>44.6810260765176</v>
      </c>
      <c r="H562" s="30" t="n">
        <f aca="false">H544*H566</f>
        <v>51.8780968139772</v>
      </c>
      <c r="I562" s="30" t="n">
        <f aca="false">I544*I566</f>
        <v>59.1691111642067</v>
      </c>
      <c r="J562" s="30" t="n">
        <f aca="false">J544*J566</f>
        <v>66.3049271996696</v>
      </c>
    </row>
    <row r="563" customFormat="false" ht="15" hidden="false" customHeight="false" outlineLevel="0" collapsed="false">
      <c r="A563" s="3" t="s">
        <v>672</v>
      </c>
      <c r="B563" s="3" t="s">
        <v>381</v>
      </c>
      <c r="C563" s="29" t="n">
        <f aca="false">a25_sh</f>
        <v>1.52351598173516</v>
      </c>
      <c r="D563" s="29" t="n">
        <f aca="false">a26_sh</f>
        <v>1.59236316568047</v>
      </c>
      <c r="E563" s="29" t="n">
        <f aca="false">a26_shend*(1+sh_g)</f>
        <v>1.64</v>
      </c>
      <c r="F563" s="29" t="n">
        <f aca="false">E563*(1+sh_g)</f>
        <v>1.64</v>
      </c>
      <c r="G563" s="29" t="n">
        <f aca="false">F563*(1+sh_g)</f>
        <v>1.64</v>
      </c>
      <c r="H563" s="31" t="n">
        <f aca="false">G563*(1+sh_g)</f>
        <v>1.64</v>
      </c>
      <c r="I563" s="31" t="n">
        <f aca="false">H563*(1+sh_g)</f>
        <v>1.64</v>
      </c>
      <c r="J563" s="31" t="n">
        <f aca="false">I563*(1+sh_g)</f>
        <v>1.64</v>
      </c>
    </row>
    <row r="564" customFormat="false" ht="17.15" hidden="false" customHeight="false" outlineLevel="0" collapsed="false">
      <c r="A564" s="0" t="s">
        <v>540</v>
      </c>
      <c r="B564" s="0" t="s">
        <v>387</v>
      </c>
      <c r="C564" s="18" t="n">
        <f aca="false">C562/C563</f>
        <v>4.38</v>
      </c>
      <c r="D564" s="18" t="n">
        <f aca="false">D562/D563</f>
        <v>23.3861414610695</v>
      </c>
      <c r="E564" s="18" t="n">
        <f aca="false">E562/E563</f>
        <v>25.3670080071395</v>
      </c>
      <c r="F564" s="18" t="n">
        <f aca="false">F562/F563</f>
        <v>26.6800095929022</v>
      </c>
      <c r="G564" s="18" t="n">
        <f aca="false">G562/G563</f>
        <v>27.2445280954375</v>
      </c>
      <c r="H564" s="28" t="n">
        <f aca="false">H562/H563</f>
        <v>31.6329858621812</v>
      </c>
      <c r="I564" s="28" t="n">
        <f aca="false">I562/I563</f>
        <v>36.0787263196383</v>
      </c>
      <c r="J564" s="28" t="n">
        <f aca="false">J562/J563</f>
        <v>40.4298336583351</v>
      </c>
    </row>
    <row r="565" customFormat="false" ht="17.15" hidden="false" customHeight="false" outlineLevel="0" collapsed="false">
      <c r="A565" s="0" t="s">
        <v>673</v>
      </c>
      <c r="B565" s="0" t="s">
        <v>45</v>
      </c>
      <c r="D565" s="20" t="n">
        <f aca="false">D564/C564-1</f>
        <v>4.33930170344053</v>
      </c>
      <c r="E565" s="20" t="n">
        <f aca="false">E564/D564-1</f>
        <v>0.0847025812003872</v>
      </c>
      <c r="F565" s="20" t="n">
        <f aca="false">F564/E564-1</f>
        <v>0.0517602070135015</v>
      </c>
      <c r="G565" s="20" t="n">
        <f aca="false">G564/F564-1</f>
        <v>0.0211588568051166</v>
      </c>
      <c r="H565" s="26" t="n">
        <f aca="false">H564/G564-1</f>
        <v>0.16107666652808</v>
      </c>
      <c r="I565" s="26" t="n">
        <f aca="false">I564/H564-1</f>
        <v>0.140541284241274</v>
      </c>
      <c r="J565" s="26" t="n">
        <f aca="false">J564/I564-1</f>
        <v>0.120600358786182</v>
      </c>
    </row>
    <row r="566" customFormat="false" ht="17.15" hidden="false" customHeight="false" outlineLevel="0" collapsed="false">
      <c r="A566" s="3" t="s">
        <v>674</v>
      </c>
      <c r="B566" s="0" t="s">
        <v>45</v>
      </c>
      <c r="C566" s="13" t="n">
        <f aca="false">C562/C544</f>
        <v>0.0508453913030227</v>
      </c>
      <c r="D566" s="13" t="n">
        <f aca="false">D562/D544</f>
        <v>0.197798517808343</v>
      </c>
      <c r="E566" s="13" t="n">
        <f aca="false">E562/E544</f>
        <v>0.169221623444646</v>
      </c>
      <c r="F566" s="13" t="n">
        <f aca="false">F562/F544</f>
        <v>0.157343128075509</v>
      </c>
      <c r="G566" s="13" t="n">
        <f aca="false">G562/G544</f>
        <v>0.145272157468251</v>
      </c>
      <c r="H566" s="27" t="n">
        <f aca="false">$G566+(fade_mA-$G566)*1/3</f>
        <v>0.15464960910142</v>
      </c>
      <c r="I566" s="27" t="n">
        <f aca="false">$G566+(fade_mA-$G566)*2/3</f>
        <v>0.164027060734589</v>
      </c>
      <c r="J566" s="27" t="n">
        <f aca="false">$G566+(fade_mA-$G566)*3/3</f>
        <v>0.173404512367757</v>
      </c>
    </row>
    <row r="567" customFormat="false" ht="17.15" hidden="false" customHeight="false" outlineLevel="0" collapsed="false">
      <c r="A567" s="3" t="s">
        <v>675</v>
      </c>
      <c r="B567" s="0" t="s">
        <v>45</v>
      </c>
      <c r="C567" s="20" t="n">
        <f aca="false">C550/C544</f>
        <v>0.195190527350447</v>
      </c>
      <c r="D567" s="20" t="n">
        <f aca="false">D550/D544</f>
        <v>0.285230933480641</v>
      </c>
      <c r="E567" s="20" t="n">
        <f aca="false">E550/E544</f>
        <v>0.223720330706817</v>
      </c>
      <c r="F567" s="20" t="n">
        <f aca="false">F550/F544</f>
        <v>0.179799282716305</v>
      </c>
      <c r="G567" s="20" t="n">
        <f aca="false">G550/G544</f>
        <v>0.146309242649801</v>
      </c>
      <c r="H567" s="26" t="n">
        <f aca="false">$G567+($G552*(1+tp_g)^(life/2)-$G567)*1/3</f>
        <v>0.137273291134534</v>
      </c>
      <c r="I567" s="26" t="n">
        <f aca="false">$G567+($G552*(1+tp_g)^(life/2)-$G567)*2/3</f>
        <v>0.128237339619268</v>
      </c>
      <c r="J567" s="26" t="n">
        <f aca="false">$G567+($G552*(1+tp_g)^(life/2)-$G567)*3/3</f>
        <v>0.119201388104001</v>
      </c>
      <c r="K567" s="7" t="s">
        <v>676</v>
      </c>
    </row>
    <row r="568" customFormat="false" ht="15" hidden="false" customHeight="false" outlineLevel="0" collapsed="false">
      <c r="A568" s="3" t="s">
        <v>677</v>
      </c>
      <c r="B568" s="0" t="s">
        <v>303</v>
      </c>
      <c r="E568" s="21" t="n">
        <f aca="false">E562+E551-E550</f>
        <v>11.5143931317088</v>
      </c>
      <c r="F568" s="21" t="n">
        <f aca="false">F562+F551-F550</f>
        <v>22.4286532323596</v>
      </c>
      <c r="G568" s="21" t="n">
        <f aca="false">G562+G551-G550</f>
        <v>31.0202838890176</v>
      </c>
      <c r="H568" s="30" t="n">
        <f aca="false">H562+H551-H550</f>
        <v>40.0098594227187</v>
      </c>
      <c r="I568" s="30" t="n">
        <f aca="false">I562+I551-I550</f>
        <v>49.6662822537457</v>
      </c>
      <c r="J568" s="30" t="n">
        <f aca="false">J562+J551-J550</f>
        <v>59.6870180399621</v>
      </c>
      <c r="K568" s="3" t="s">
        <v>678</v>
      </c>
    </row>
    <row r="569" customFormat="false" ht="15" hidden="false" customHeight="false" outlineLevel="0" collapsed="false">
      <c r="A569" s="3" t="s">
        <v>679</v>
      </c>
      <c r="B569" s="0" t="s">
        <v>387</v>
      </c>
      <c r="E569" s="18" t="n">
        <f aca="false">E568/E563</f>
        <v>7.02097142177363</v>
      </c>
      <c r="F569" s="18" t="n">
        <f aca="false">F568/F563</f>
        <v>13.6760080685119</v>
      </c>
      <c r="G569" s="18" t="n">
        <f aca="false">G568/G563</f>
        <v>18.9148072494009</v>
      </c>
      <c r="H569" s="28" t="n">
        <f aca="false">H568/H563</f>
        <v>24.3962557455602</v>
      </c>
      <c r="I569" s="28" t="n">
        <f aca="false">I568/I563</f>
        <v>30.2843184474059</v>
      </c>
      <c r="J569" s="28" t="n">
        <f aca="false">J568/J563</f>
        <v>36.3945231950988</v>
      </c>
    </row>
    <row r="572" customFormat="false" ht="17.15" hidden="false" customHeight="false" outlineLevel="0" collapsed="false">
      <c r="A572" s="1" t="s">
        <v>1028</v>
      </c>
    </row>
    <row r="573" customFormat="false" ht="17.15" hidden="false" customHeight="false" outlineLevel="0" collapsed="false">
      <c r="A573" s="4" t="s">
        <v>22</v>
      </c>
      <c r="B573" s="4" t="s">
        <v>23</v>
      </c>
      <c r="C573" s="14" t="s">
        <v>508</v>
      </c>
      <c r="D573" s="14" t="s">
        <v>592</v>
      </c>
      <c r="E573" s="14" t="s">
        <v>593</v>
      </c>
      <c r="F573" s="14" t="s">
        <v>594</v>
      </c>
      <c r="G573" s="14" t="s">
        <v>595</v>
      </c>
      <c r="H573" s="14" t="s">
        <v>596</v>
      </c>
      <c r="I573" s="14" t="s">
        <v>597</v>
      </c>
      <c r="J573" s="14" t="s">
        <v>598</v>
      </c>
      <c r="K573" s="4" t="s">
        <v>481</v>
      </c>
    </row>
    <row r="574" customFormat="false" ht="17.15" hidden="false" customHeight="false" outlineLevel="0" collapsed="false">
      <c r="A574" s="5" t="s">
        <v>616</v>
      </c>
    </row>
    <row r="575" customFormat="false" ht="17.15" hidden="false" customHeight="false" outlineLevel="0" collapsed="false">
      <c r="A575" s="0" t="s">
        <v>617</v>
      </c>
      <c r="B575" s="3" t="s">
        <v>33</v>
      </c>
      <c r="D575" s="21" t="n">
        <f aca="false">(u_bw_26+u_rb_26+u_ru_26+u_hp_26)*1</f>
        <v>7.6</v>
      </c>
      <c r="E575" s="21" t="n">
        <f aca="false">(u_bw_27+u_rb_27+u_ru_27+u_hp_27)*1*1</f>
        <v>9.7</v>
      </c>
      <c r="F575" s="21" t="n">
        <f aca="false">(u_bw_28+u_rb_28+u_ru_28+u_hp_28)*um28_A*1</f>
        <v>9.5</v>
      </c>
      <c r="G575" s="21" t="n">
        <f aca="false">(u_bw_28*(1+g29_bw)+u_rb_28*(1+g29_rb)+u_ru_28*(1+g29_ru)+u_hp_28*(1+g29_hp))*um29_A*1</f>
        <v>10.6</v>
      </c>
      <c r="K575" s="7" t="s">
        <v>618</v>
      </c>
    </row>
    <row r="576" customFormat="false" ht="17.15" hidden="false" customHeight="false" outlineLevel="0" collapsed="false">
      <c r="A576" s="3" t="s">
        <v>619</v>
      </c>
      <c r="B576" s="3" t="s">
        <v>33</v>
      </c>
      <c r="D576" s="21" t="n">
        <f aca="false">(u_amd_26+u_tpu_26+u_trn_26+u_oth_26)*1</f>
        <v>7.6</v>
      </c>
      <c r="E576" s="21" t="n">
        <f aca="false">(u_amd_27+u_tpu_27+u_trn_27+u_oth_27)*1*1</f>
        <v>14</v>
      </c>
      <c r="F576" s="21" t="n">
        <f aca="false">(u_amd_28+u_tpu_28+u_trn_28+u_oth_28)*um28_A*1</f>
        <v>17</v>
      </c>
      <c r="G576" s="21" t="n">
        <f aca="false">(u_amd_28*(1+g29_amd)+u_tpu_28*(1+g29_tpu)+u_trn_28*(1+g29_trn)+u_oth_28*(1+g29_oth))*um29_A*1</f>
        <v>19.55</v>
      </c>
      <c r="K576" s="7" t="s">
        <v>620</v>
      </c>
    </row>
    <row r="577" customFormat="false" ht="17.15" hidden="false" customHeight="false" outlineLevel="0" collapsed="false">
      <c r="A577" s="3" t="s">
        <v>621</v>
      </c>
      <c r="B577" s="0" t="s">
        <v>145</v>
      </c>
      <c r="D577" s="19" t="n">
        <f aca="false">1</f>
        <v>1</v>
      </c>
      <c r="E577" s="19" t="n">
        <f aca="false">D577*(1+g_asp)</f>
        <v>1.18</v>
      </c>
      <c r="F577" s="19" t="n">
        <f aca="false">E577*(1+g_asp)</f>
        <v>1.3924</v>
      </c>
      <c r="G577" s="19" t="n">
        <f aca="false">F577*(1+g_asp)</f>
        <v>1.643032</v>
      </c>
      <c r="K577" s="7" t="s">
        <v>622</v>
      </c>
    </row>
    <row r="578" customFormat="false" ht="17.15" hidden="false" customHeight="false" outlineLevel="0" collapsed="false">
      <c r="A578" s="0" t="s">
        <v>623</v>
      </c>
      <c r="B578" s="0" t="s">
        <v>145</v>
      </c>
      <c r="D578" s="18" t="n">
        <f aca="false">1</f>
        <v>1</v>
      </c>
      <c r="E578" s="18" t="n">
        <f aca="false">ibpp_27</f>
        <v>1</v>
      </c>
      <c r="F578" s="18" t="n">
        <f aca="false">ibpp_28</f>
        <v>0.95</v>
      </c>
      <c r="G578" s="18" t="n">
        <f aca="false">ibpp_29</f>
        <v>0.9</v>
      </c>
      <c r="K578" s="7" t="s">
        <v>624</v>
      </c>
    </row>
    <row r="579" customFormat="false" ht="17.15" hidden="false" customHeight="false" outlineLevel="0" collapsed="false">
      <c r="A579" s="3" t="s">
        <v>625</v>
      </c>
      <c r="B579" s="0" t="s">
        <v>145</v>
      </c>
      <c r="D579" s="18" t="n">
        <f aca="false">1</f>
        <v>1</v>
      </c>
      <c r="E579" s="18" t="n">
        <f aca="false">1+carry</f>
        <v>1.05</v>
      </c>
      <c r="F579" s="18" t="n">
        <f aca="false">1+carry</f>
        <v>1.05</v>
      </c>
      <c r="G579" s="18" t="n">
        <f aca="false">1+carry</f>
        <v>1.05</v>
      </c>
      <c r="K579" s="7" t="s">
        <v>626</v>
      </c>
    </row>
    <row r="580" customFormat="false" ht="17.15" hidden="false" customHeight="false" outlineLevel="0" collapsed="false">
      <c r="A580" s="3" t="s">
        <v>627</v>
      </c>
      <c r="B580" s="0" t="s">
        <v>628</v>
      </c>
      <c r="D580" s="23" t="n">
        <f aca="false">v26*D577*D578</f>
        <v>215.308596</v>
      </c>
      <c r="E580" s="23" t="n">
        <f aca="false">v26*E577*E578</f>
        <v>254.06414328</v>
      </c>
      <c r="F580" s="23" t="n">
        <f aca="false">v26*F577*F578</f>
        <v>284.80590461688</v>
      </c>
      <c r="G580" s="23" t="n">
        <f aca="false">v26*G577*G578</f>
        <v>318.383021792765</v>
      </c>
      <c r="K580" s="7" t="s">
        <v>629</v>
      </c>
    </row>
    <row r="581" customFormat="false" ht="17.15" hidden="false" customHeight="false" outlineLevel="0" collapsed="false">
      <c r="A581" s="3" t="s">
        <v>630</v>
      </c>
      <c r="B581" s="0" t="s">
        <v>45</v>
      </c>
      <c r="D581" s="20" t="n">
        <f aca="false">sh_nv_26</f>
        <v>0.25</v>
      </c>
      <c r="E581" s="20" t="n">
        <f aca="false">sh_nv_27</f>
        <v>0.27</v>
      </c>
      <c r="F581" s="20" t="n">
        <f aca="false">sh_nv_28</f>
        <v>0.29</v>
      </c>
      <c r="G581" s="20" t="n">
        <f aca="false">sh_nv_29</f>
        <v>0.3</v>
      </c>
    </row>
    <row r="582" customFormat="false" ht="17.15" hidden="false" customHeight="false" outlineLevel="0" collapsed="false">
      <c r="A582" s="3" t="s">
        <v>631</v>
      </c>
      <c r="B582" s="0" t="s">
        <v>45</v>
      </c>
      <c r="D582" s="20" t="n">
        <f aca="false">sh_ot_26</f>
        <v>0.3</v>
      </c>
      <c r="E582" s="20" t="n">
        <f aca="false">sh_ot_27</f>
        <v>0.31</v>
      </c>
      <c r="F582" s="20" t="n">
        <f aca="false">sh_ot_28</f>
        <v>0.32</v>
      </c>
      <c r="G582" s="20" t="n">
        <f aca="false">sh_ot_29</f>
        <v>0.33</v>
      </c>
    </row>
    <row r="583" customFormat="false" ht="17.15" hidden="false" customHeight="false" outlineLevel="0" collapsed="false">
      <c r="A583" s="3" t="s">
        <v>632</v>
      </c>
      <c r="B583" s="0" t="s">
        <v>582</v>
      </c>
      <c r="D583" s="22" t="n">
        <f aca="false">(D575*D580*D581+D576*D580*v_ot*D582)*D579</f>
        <v>801.809211504</v>
      </c>
      <c r="E583" s="22" t="n">
        <f aca="false">(E575*E580*E581+E576*E580*v_ot*E582)*E579</f>
        <v>1624.8799315544</v>
      </c>
      <c r="F583" s="22" t="n">
        <f aca="false">(F575*F580*F581+F576*F580*v_ot*F582)*F579</f>
        <v>2125.32134231777</v>
      </c>
      <c r="G583" s="22" t="n">
        <f aca="false">(G575*G580*G581+G576*G580*v_ot*G582)*G579</f>
        <v>2788.4812844467</v>
      </c>
    </row>
    <row r="584" customFormat="false" ht="15" hidden="false" customHeight="false" outlineLevel="0" collapsed="false">
      <c r="A584" s="3" t="s">
        <v>633</v>
      </c>
      <c r="B584" s="0" t="s">
        <v>303</v>
      </c>
      <c r="D584" s="21" t="n">
        <f aca="false">D583*fx/1000</f>
        <v>25.657894768128</v>
      </c>
      <c r="E584" s="21" t="n">
        <f aca="false">E583*fx/1000</f>
        <v>51.9961578097409</v>
      </c>
      <c r="F584" s="21" t="n">
        <f aca="false">F583*fx/1000</f>
        <v>68.0102829541688</v>
      </c>
      <c r="G584" s="21" t="n">
        <f aca="false">G583*fx/1000</f>
        <v>89.2314011022944</v>
      </c>
    </row>
    <row r="585" customFormat="false" ht="17.15" hidden="false" customHeight="false" outlineLevel="0" collapsed="false">
      <c r="A585" s="5" t="s">
        <v>634</v>
      </c>
    </row>
    <row r="586" customFormat="false" ht="17.15" hidden="false" customHeight="false" outlineLevel="0" collapsed="false">
      <c r="A586" s="0" t="s">
        <v>635</v>
      </c>
      <c r="B586" s="0" t="s">
        <v>303</v>
      </c>
      <c r="D586" s="21" t="n">
        <f aca="false">a26_abf*ai_abf</f>
        <v>74.83672875</v>
      </c>
      <c r="K586" s="3" t="s">
        <v>636</v>
      </c>
    </row>
    <row r="587" customFormat="false" ht="17.15" hidden="false" customHeight="false" outlineLevel="0" collapsed="false">
      <c r="A587" s="3" t="s">
        <v>637</v>
      </c>
      <c r="B587" s="0" t="s">
        <v>303</v>
      </c>
      <c r="D587" s="21" t="n">
        <f aca="false">D586-D584</f>
        <v>49.178833981872</v>
      </c>
      <c r="E587" s="21" t="n">
        <f aca="false">$D587*(itc_27/itc_26)^el_o*1*1*E578*E579</f>
        <v>73.0642903440322</v>
      </c>
      <c r="F587" s="21" t="n">
        <f aca="false">$D587*(itc_28/itc_26)^el_o*um28_A*1*F578*F579</f>
        <v>78.1488805595188</v>
      </c>
      <c r="G587" s="21" t="n">
        <f aca="false">$D587*(itc_29/itc_26)^el_o*um29_A*1*G578*G579</f>
        <v>79.0193888474949</v>
      </c>
      <c r="K587" s="7" t="s">
        <v>638</v>
      </c>
    </row>
    <row r="588" customFormat="false" ht="17.15" hidden="false" customHeight="false" outlineLevel="0" collapsed="false">
      <c r="A588" s="3" t="s">
        <v>639</v>
      </c>
      <c r="B588" s="0" t="s">
        <v>303</v>
      </c>
      <c r="D588" s="21" t="n">
        <f aca="false">a26_abf-D586</f>
        <v>24.94557625</v>
      </c>
      <c r="E588" s="21" t="n">
        <f aca="false">D588*(1+g_nai)</f>
        <v>25.6939435375</v>
      </c>
      <c r="F588" s="21" t="n">
        <f aca="false">E588*(1+g_nai)</f>
        <v>26.464761843625</v>
      </c>
      <c r="G588" s="21" t="n">
        <f aca="false">F588*(1+g_nai)</f>
        <v>27.2587046989338</v>
      </c>
    </row>
    <row r="589" customFormat="false" ht="17.15" hidden="false" customHeight="false" outlineLevel="0" collapsed="false">
      <c r="A589" s="0" t="s">
        <v>640</v>
      </c>
      <c r="B589" s="0" t="s">
        <v>303</v>
      </c>
      <c r="D589" s="21" t="n">
        <f aca="false">D584+D587+D588</f>
        <v>99.782305</v>
      </c>
      <c r="E589" s="21" t="n">
        <f aca="false">E584+E587+E588</f>
        <v>150.754391691273</v>
      </c>
      <c r="F589" s="21" t="n">
        <f aca="false">F584+F587+F588</f>
        <v>172.623925357313</v>
      </c>
      <c r="G589" s="21" t="n">
        <f aca="false">G584+G587+G588</f>
        <v>195.509494648723</v>
      </c>
    </row>
    <row r="590" customFormat="false" ht="17.15" hidden="false" customHeight="false" outlineLevel="0" collapsed="false">
      <c r="A590" s="0" t="s">
        <v>641</v>
      </c>
      <c r="B590" s="0" t="s">
        <v>303</v>
      </c>
      <c r="D590" s="21" t="n">
        <f aca="false">a26_abf</f>
        <v>99.782305</v>
      </c>
      <c r="E590" s="21" t="n">
        <f aca="false">$D589*cap_27*(1+g_mix)^1*E578*E579</f>
        <v>148.513488204375</v>
      </c>
      <c r="F590" s="21" t="n">
        <f aca="false">$D589*cap_28*(1+g_mix)^2*F578*F579</f>
        <v>186.549442683384</v>
      </c>
      <c r="G590" s="21" t="n">
        <f aca="false">$D589*cap_29*(1+g_mix)^3*G578*G579</f>
        <v>218.314827660431</v>
      </c>
      <c r="K590" s="7" t="s">
        <v>642</v>
      </c>
    </row>
    <row r="591" customFormat="false" ht="17.15" hidden="false" customHeight="false" outlineLevel="0" collapsed="false">
      <c r="A591" s="0" t="s">
        <v>643</v>
      </c>
      <c r="B591" s="0" t="s">
        <v>303</v>
      </c>
      <c r="D591" s="21" t="n">
        <f aca="false">a26_abf</f>
        <v>99.782305</v>
      </c>
      <c r="E591" s="21" t="n">
        <f aca="false">MIN(E589,E590)</f>
        <v>148.513488204375</v>
      </c>
      <c r="F591" s="21" t="n">
        <f aca="false">MIN(F589,F590)</f>
        <v>172.623925357313</v>
      </c>
      <c r="G591" s="21" t="n">
        <f aca="false">MIN(G589,G590)</f>
        <v>195.509494648723</v>
      </c>
    </row>
    <row r="592" customFormat="false" ht="17.15" hidden="false" customHeight="false" outlineLevel="0" collapsed="false">
      <c r="A592" s="3" t="s">
        <v>644</v>
      </c>
      <c r="B592" s="0" t="s">
        <v>45</v>
      </c>
      <c r="D592" s="20" t="n">
        <f aca="false">D591/D589</f>
        <v>1</v>
      </c>
      <c r="E592" s="20" t="n">
        <f aca="false">E591/E589</f>
        <v>0.985135401617438</v>
      </c>
      <c r="F592" s="20" t="n">
        <f aca="false">F591/F589</f>
        <v>1</v>
      </c>
      <c r="G592" s="20" t="n">
        <f aca="false">G591/G589</f>
        <v>1</v>
      </c>
    </row>
    <row r="593" customFormat="false" ht="17.15" hidden="false" customHeight="false" outlineLevel="0" collapsed="false">
      <c r="A593" s="0" t="s">
        <v>645</v>
      </c>
      <c r="B593" s="0" t="s">
        <v>303</v>
      </c>
      <c r="D593" s="21" t="n">
        <f aca="false">(D584+D587)*D592</f>
        <v>74.83672875</v>
      </c>
      <c r="E593" s="21" t="n">
        <f aca="false">(E584+E587)*E592</f>
        <v>123.201474818424</v>
      </c>
      <c r="F593" s="21" t="n">
        <f aca="false">(F584+F587)*F592</f>
        <v>146.159163513688</v>
      </c>
      <c r="G593" s="21" t="n">
        <f aca="false">(G584+G587)*G592</f>
        <v>168.250789949789</v>
      </c>
    </row>
    <row r="594" customFormat="false" ht="17.15" hidden="false" customHeight="false" outlineLevel="0" collapsed="false">
      <c r="A594" s="3" t="s">
        <v>646</v>
      </c>
      <c r="B594" s="0" t="s">
        <v>45</v>
      </c>
      <c r="D594" s="20" t="n">
        <f aca="false">D584/(D584+D587)</f>
        <v>0.342851634440636</v>
      </c>
      <c r="E594" s="20" t="n">
        <f aca="false">E584/(E584+E587)</f>
        <v>0.41576820311572</v>
      </c>
      <c r="F594" s="20" t="n">
        <f aca="false">F584/(F584+F587)</f>
        <v>0.465316585831443</v>
      </c>
      <c r="G594" s="20" t="n">
        <f aca="false">G584/(G584+G587)</f>
        <v>0.530347590813235</v>
      </c>
    </row>
    <row r="595" customFormat="false" ht="17.15" hidden="false" customHeight="false" outlineLevel="0" collapsed="false">
      <c r="A595" s="5" t="s">
        <v>647</v>
      </c>
    </row>
    <row r="596" customFormat="false" ht="17.15" hidden="false" customHeight="false" outlineLevel="0" collapsed="false">
      <c r="A596" s="0" t="s">
        <v>550</v>
      </c>
      <c r="B596" s="0" t="s">
        <v>303</v>
      </c>
      <c r="D596" s="21" t="n">
        <f aca="false">a26_bt</f>
        <v>16.944165</v>
      </c>
      <c r="E596" s="21" t="n">
        <f aca="false">D596*(1+g_bt)</f>
        <v>17.79137325</v>
      </c>
      <c r="F596" s="21" t="n">
        <f aca="false">E596*(1+g_bt)</f>
        <v>18.6809419125</v>
      </c>
      <c r="G596" s="21" t="n">
        <f aca="false">F596*(1+g_bt)</f>
        <v>19.614989008125</v>
      </c>
    </row>
    <row r="597" customFormat="false" ht="17.15" hidden="false" customHeight="false" outlineLevel="0" collapsed="false">
      <c r="A597" s="0" t="s">
        <v>648</v>
      </c>
      <c r="B597" s="0" t="s">
        <v>303</v>
      </c>
      <c r="D597" s="21" t="n">
        <f aca="false">a26_pcb*ai_pcb</f>
        <v>37.93610275</v>
      </c>
      <c r="E597" s="21" t="n">
        <f aca="false">D597*(1+g_pai_27)</f>
        <v>45.5233233</v>
      </c>
      <c r="F597" s="21" t="n">
        <f aca="false">D597*(1+g_pai_27)*(1+g_pai_28)*um28_A</f>
        <v>52.351821795</v>
      </c>
      <c r="G597" s="21" t="n">
        <f aca="false">D597*(1+g_pai_27)*(1+g_pai_28)*(1+g_pai_29)*um29_A</f>
        <v>57.5870039745</v>
      </c>
      <c r="K597" s="3" t="s">
        <v>649</v>
      </c>
    </row>
    <row r="598" customFormat="false" ht="17.15" hidden="false" customHeight="false" outlineLevel="0" collapsed="false">
      <c r="A598" s="3" t="s">
        <v>650</v>
      </c>
      <c r="B598" s="0" t="s">
        <v>303</v>
      </c>
      <c r="D598" s="21" t="n">
        <f aca="false">a26_pcb*(1-ai_pcb)</f>
        <v>20.42713225</v>
      </c>
      <c r="E598" s="21" t="n">
        <f aca="false">D598*(1+g_pcbn)</f>
        <v>20.835674895</v>
      </c>
      <c r="F598" s="21" t="n">
        <f aca="false">E598*(1+g_pcbn)</f>
        <v>21.2523883929</v>
      </c>
      <c r="G598" s="21" t="n">
        <f aca="false">F598*(1+g_pcbn)</f>
        <v>21.677436160758</v>
      </c>
    </row>
    <row r="599" customFormat="false" ht="15" hidden="false" customHeight="false" outlineLevel="0" collapsed="false">
      <c r="A599" s="3" t="s">
        <v>552</v>
      </c>
      <c r="B599" s="0" t="s">
        <v>303</v>
      </c>
      <c r="D599" s="21" t="n">
        <f aca="false">a26_fpc</f>
        <v>13.178795</v>
      </c>
      <c r="E599" s="21" t="n">
        <f aca="false">D599*(1+g_fpc)</f>
        <v>13.178795</v>
      </c>
      <c r="F599" s="21" t="n">
        <f aca="false">E599*(1+g_fpc)</f>
        <v>13.178795</v>
      </c>
      <c r="G599" s="21" t="n">
        <f aca="false">F599*(1+g_fpc)</f>
        <v>13.178795</v>
      </c>
    </row>
    <row r="600" customFormat="false" ht="17.15" hidden="false" customHeight="false" outlineLevel="0" collapsed="false">
      <c r="A600" s="3" t="s">
        <v>651</v>
      </c>
      <c r="B600" s="0" t="s">
        <v>303</v>
      </c>
      <c r="D600" s="21" t="n">
        <f aca="false">D591+D596</f>
        <v>116.72647</v>
      </c>
      <c r="E600" s="21" t="n">
        <f aca="false">E591+E596</f>
        <v>166.304861454375</v>
      </c>
      <c r="F600" s="21" t="n">
        <f aca="false">F591+F596</f>
        <v>191.304867269813</v>
      </c>
      <c r="G600" s="21" t="n">
        <f aca="false">G591+G596</f>
        <v>215.124483656848</v>
      </c>
      <c r="K600" s="3" t="s">
        <v>652</v>
      </c>
    </row>
    <row r="601" customFormat="false" ht="17.15" hidden="false" customHeight="false" outlineLevel="0" collapsed="false">
      <c r="A601" s="0" t="s">
        <v>653</v>
      </c>
      <c r="B601" s="0" t="s">
        <v>303</v>
      </c>
      <c r="D601" s="21" t="n">
        <f aca="false">D597+D598</f>
        <v>58.363235</v>
      </c>
      <c r="E601" s="21" t="n">
        <f aca="false">E597+E598</f>
        <v>66.358998195</v>
      </c>
      <c r="F601" s="21" t="n">
        <f aca="false">F597+F598</f>
        <v>73.6042101879</v>
      </c>
      <c r="G601" s="21" t="n">
        <f aca="false">G597+G598</f>
        <v>79.264440135258</v>
      </c>
      <c r="K601" s="3" t="s">
        <v>654</v>
      </c>
    </row>
    <row r="602" customFormat="false" ht="17.15" hidden="false" customHeight="false" outlineLevel="0" collapsed="false">
      <c r="A602" s="3" t="s">
        <v>515</v>
      </c>
      <c r="B602" s="0" t="s">
        <v>303</v>
      </c>
      <c r="C602" s="23" t="n">
        <f aca="false">a25_rev</f>
        <v>131.241</v>
      </c>
      <c r="D602" s="23" t="n">
        <f aca="false">D600+D601+D599</f>
        <v>188.2685</v>
      </c>
      <c r="E602" s="23" t="n">
        <f aca="false">E600+E601+E599</f>
        <v>245.842654649375</v>
      </c>
      <c r="F602" s="23" t="n">
        <f aca="false">F600+F601+F599</f>
        <v>278.087872457713</v>
      </c>
      <c r="G602" s="23" t="n">
        <f aca="false">G600+G601+G599</f>
        <v>307.567718792106</v>
      </c>
      <c r="H602" s="25" t="n">
        <f aca="false">G602*(1+H604)</f>
        <v>335.455725464882</v>
      </c>
      <c r="I602" s="25" t="n">
        <f aca="false">H602*(1+I604)</f>
        <v>360.727741503264</v>
      </c>
      <c r="J602" s="25" t="n">
        <f aca="false">I602*(1+J604)</f>
        <v>382.371405993459</v>
      </c>
      <c r="K602" s="7" t="s">
        <v>655</v>
      </c>
    </row>
    <row r="603" customFormat="false" ht="17.15" hidden="false" customHeight="false" outlineLevel="0" collapsed="false">
      <c r="A603" s="3" t="s">
        <v>656</v>
      </c>
      <c r="B603" s="0" t="s">
        <v>303</v>
      </c>
      <c r="D603" s="19" t="n">
        <f aca="false">D600+D601+D599-D602</f>
        <v>0</v>
      </c>
      <c r="E603" s="19" t="n">
        <f aca="false">E600+E601+E599-E602</f>
        <v>0</v>
      </c>
      <c r="F603" s="19" t="n">
        <f aca="false">F600+F601+F599-F602</f>
        <v>0</v>
      </c>
      <c r="G603" s="19" t="n">
        <f aca="false">G600+G601+G599-G602</f>
        <v>0</v>
      </c>
    </row>
    <row r="604" customFormat="false" ht="15" hidden="false" customHeight="false" outlineLevel="0" collapsed="false">
      <c r="A604" s="3" t="s">
        <v>657</v>
      </c>
      <c r="B604" s="0" t="s">
        <v>45</v>
      </c>
      <c r="D604" s="20" t="n">
        <f aca="false">D602/C602-1</f>
        <v>0.434525034097576</v>
      </c>
      <c r="E604" s="20" t="n">
        <f aca="false">E602/D602-1</f>
        <v>0.30580875</v>
      </c>
      <c r="F604" s="20" t="n">
        <f aca="false">F602/E602-1</f>
        <v>0.131162014396266</v>
      </c>
      <c r="G604" s="20" t="n">
        <f aca="false">G602/F602-1</f>
        <v>0.106009104510217</v>
      </c>
      <c r="H604" s="26" t="n">
        <f aca="false">$G604+(fade_gA-$G604)*1/3</f>
        <v>0.0906727363401445</v>
      </c>
      <c r="I604" s="26" t="n">
        <f aca="false">$G604+(fade_gA-$G604)*2/3</f>
        <v>0.0753363681700722</v>
      </c>
      <c r="J604" s="26" t="n">
        <f aca="false">$G604+(fade_gA-$G604)*3/3</f>
        <v>0.06</v>
      </c>
    </row>
    <row r="605" customFormat="false" ht="17.15" hidden="false" customHeight="false" outlineLevel="0" collapsed="false">
      <c r="A605" s="0" t="s">
        <v>658</v>
      </c>
      <c r="B605" s="0" t="s">
        <v>45</v>
      </c>
      <c r="D605" s="20" t="n">
        <f aca="false">D591/D602</f>
        <v>0.53</v>
      </c>
      <c r="E605" s="20" t="n">
        <f aca="false">E591/E602</f>
        <v>0.604099758100105</v>
      </c>
      <c r="F605" s="20" t="n">
        <f aca="false">F591/F602</f>
        <v>0.620753159178355</v>
      </c>
      <c r="G605" s="20" t="n">
        <f aca="false">G591/G602</f>
        <v>0.635663246508889</v>
      </c>
    </row>
    <row r="606" customFormat="false" ht="17.15" hidden="false" customHeight="false" outlineLevel="0" collapsed="false">
      <c r="A606" s="0" t="s">
        <v>659</v>
      </c>
      <c r="B606" s="0" t="s">
        <v>45</v>
      </c>
      <c r="D606" s="20" t="n">
        <f aca="false">(D593+D597)/D602</f>
        <v>0.599</v>
      </c>
      <c r="E606" s="20" t="n">
        <f aca="false">(E593+E597)/E602</f>
        <v>0.686312138790815</v>
      </c>
      <c r="F606" s="20" t="n">
        <f aca="false">(F593+F597)/F602</f>
        <v>0.713842655396179</v>
      </c>
      <c r="G606" s="20" t="n">
        <f aca="false">(G593+G597)/G602</f>
        <v>0.734270146461436</v>
      </c>
      <c r="K606" s="3" t="s">
        <v>660</v>
      </c>
    </row>
    <row r="607" customFormat="false" ht="17.15" hidden="false" customHeight="false" outlineLevel="0" collapsed="false">
      <c r="A607" s="5" t="s">
        <v>661</v>
      </c>
    </row>
    <row r="608" customFormat="false" ht="15" hidden="false" customHeight="false" outlineLevel="0" collapsed="false">
      <c r="A608" s="3" t="s">
        <v>662</v>
      </c>
      <c r="B608" s="0" t="s">
        <v>303</v>
      </c>
      <c r="C608" s="23" t="n">
        <f aca="false">a25_cx</f>
        <v>25.617</v>
      </c>
      <c r="D608" s="23" t="n">
        <f aca="false">capex26</f>
        <v>53.7</v>
      </c>
      <c r="E608" s="23" t="n">
        <f aca="false">cx27_A</f>
        <v>55</v>
      </c>
      <c r="F608" s="23" t="n">
        <f aca="false">cx28_A</f>
        <v>50</v>
      </c>
      <c r="G608" s="23" t="n">
        <f aca="false">cx29_A</f>
        <v>45</v>
      </c>
      <c r="H608" s="25" t="n">
        <f aca="false">H602*H625</f>
        <v>46.0491114644872</v>
      </c>
      <c r="I608" s="25" t="n">
        <f aca="false">I602*I625</f>
        <v>46.2587658972454</v>
      </c>
      <c r="J608" s="25" t="n">
        <f aca="false">J602*J625</f>
        <v>45.5792023656988</v>
      </c>
    </row>
    <row r="609" customFormat="false" ht="17.15" hidden="false" customHeight="false" outlineLevel="0" collapsed="false">
      <c r="A609" s="3" t="s">
        <v>663</v>
      </c>
      <c r="B609" s="0" t="s">
        <v>303</v>
      </c>
      <c r="C609" s="23" t="n">
        <f aca="false">a25_da</f>
        <v>18.8</v>
      </c>
      <c r="D609" s="23" t="n">
        <f aca="false">da26</f>
        <v>20.8</v>
      </c>
      <c r="E609" s="23" t="n">
        <f aca="false">D609*(1-1/life)+D608/life</f>
        <v>24.9125</v>
      </c>
      <c r="F609" s="23" t="n">
        <f aca="false">E609*(1-1/life)+E608/life</f>
        <v>28.6734375</v>
      </c>
      <c r="G609" s="23" t="n">
        <f aca="false">F609*(1-1/life)+F608/life</f>
        <v>31.3392578125</v>
      </c>
      <c r="H609" s="25" t="n">
        <f aca="false">H602*H610</f>
        <v>34.1808740732286</v>
      </c>
      <c r="I609" s="25" t="n">
        <f aca="false">I602*I610</f>
        <v>36.7559369867843</v>
      </c>
      <c r="J609" s="25" t="n">
        <f aca="false">J602*J610</f>
        <v>38.9612932059913</v>
      </c>
      <c r="K609" s="3" t="s">
        <v>664</v>
      </c>
    </row>
    <row r="610" customFormat="false" ht="17.15" hidden="false" customHeight="false" outlineLevel="0" collapsed="false">
      <c r="A610" s="3" t="s">
        <v>665</v>
      </c>
      <c r="B610" s="0" t="s">
        <v>45</v>
      </c>
      <c r="C610" s="20" t="n">
        <f aca="false">C609/C602</f>
        <v>0.143247917952469</v>
      </c>
      <c r="D610" s="20" t="n">
        <f aca="false">D609/D602</f>
        <v>0.110480510547436</v>
      </c>
      <c r="E610" s="20" t="n">
        <f aca="false">E609/E602</f>
        <v>0.101335140704247</v>
      </c>
      <c r="F610" s="20" t="n">
        <f aca="false">F609/F602</f>
        <v>0.103109269910216</v>
      </c>
      <c r="G610" s="20" t="n">
        <f aca="false">G609/G602</f>
        <v>0.101893846127861</v>
      </c>
      <c r="H610" s="26" t="n">
        <f aca="false">$G610</f>
        <v>0.101893846127861</v>
      </c>
      <c r="I610" s="26" t="n">
        <f aca="false">$G610</f>
        <v>0.101893846127861</v>
      </c>
      <c r="J610" s="26" t="n">
        <f aca="false">$G610</f>
        <v>0.101893846127861</v>
      </c>
    </row>
    <row r="611" customFormat="false" ht="17.15" hidden="false" customHeight="false" outlineLevel="0" collapsed="false">
      <c r="A611" s="3" t="s">
        <v>666</v>
      </c>
      <c r="B611" s="0" t="s">
        <v>303</v>
      </c>
      <c r="E611" s="21" t="n">
        <f aca="false">E593*(1-1/(E578*E579))</f>
        <v>5.86673689611544</v>
      </c>
      <c r="F611" s="21" t="n">
        <f aca="false">F593*(1-1/(F578*F579))</f>
        <v>-0.366313693016785</v>
      </c>
      <c r="G611" s="21" t="n">
        <f aca="false">G593*(1-1/(G578*G579))</f>
        <v>-9.7923740182417</v>
      </c>
      <c r="K611" s="7" t="s">
        <v>667</v>
      </c>
    </row>
    <row r="612" customFormat="false" ht="17.15" hidden="false" customHeight="false" outlineLevel="0" collapsed="false">
      <c r="A612" s="3" t="s">
        <v>668</v>
      </c>
      <c r="B612" s="0" t="s">
        <v>303</v>
      </c>
      <c r="C612" s="21" t="n">
        <f aca="false">a25_gp</f>
        <v>18.292</v>
      </c>
      <c r="D612" s="21" t="n">
        <f aca="false">a26_gp</f>
        <v>47.3329657</v>
      </c>
      <c r="E612" s="21" t="n">
        <f aca="false">$D612+ft_abf_hi*(E591-E611-$D591)+ft_oth*((E602-E591)-($D602-$D591))+E611-(E609-$D609)</f>
        <v>77.0166132423212</v>
      </c>
      <c r="F612" s="21" t="n">
        <f aca="false">$D612+ft_abf_hi*(F591-F611-$D591)+ft_oth*((F602-F591)-($D602-$D591))+F611-(F609-$D609)</f>
        <v>87.2624129622809</v>
      </c>
      <c r="G612" s="21" t="n">
        <f aca="false">$D612+ft_abf_hi*(G591-G611-$D591)+ft_oth*((G602-G591)-($D602-$D591))+G611-(G609-$D609)</f>
        <v>96.2060793552829</v>
      </c>
      <c r="K612" s="3" t="s">
        <v>669</v>
      </c>
    </row>
    <row r="613" customFormat="false" ht="15" hidden="false" customHeight="false" outlineLevel="0" collapsed="false">
      <c r="A613" s="3" t="s">
        <v>522</v>
      </c>
      <c r="B613" s="0" t="s">
        <v>45</v>
      </c>
      <c r="C613" s="13" t="n">
        <f aca="false">C612/C602</f>
        <v>0.139377176339711</v>
      </c>
      <c r="D613" s="13" t="n">
        <f aca="false">D612/D602</f>
        <v>0.251412029627899</v>
      </c>
      <c r="E613" s="13" t="n">
        <f aca="false">E612/E602</f>
        <v>0.31327603971802</v>
      </c>
      <c r="F613" s="13" t="n">
        <f aca="false">F612/F602</f>
        <v>0.313794385174242</v>
      </c>
      <c r="G613" s="13" t="n">
        <f aca="false">G612/G602</f>
        <v>0.312796413528402</v>
      </c>
    </row>
    <row r="614" customFormat="false" ht="15" hidden="false" customHeight="false" outlineLevel="0" collapsed="false">
      <c r="A614" s="3" t="s">
        <v>524</v>
      </c>
      <c r="B614" s="0" t="s">
        <v>303</v>
      </c>
      <c r="C614" s="21" t="n">
        <f aca="false">a25_opx</f>
        <v>11.618</v>
      </c>
      <c r="D614" s="21" t="n">
        <f aca="false">a26_opx</f>
        <v>16.6539532</v>
      </c>
      <c r="E614" s="21" t="n">
        <f aca="false">D614*(1+phi*E604)</f>
        <v>19.7097079663903</v>
      </c>
      <c r="F614" s="21" t="n">
        <f aca="false">E614*(1+phi*F604)</f>
        <v>21.2608069664106</v>
      </c>
      <c r="G614" s="21" t="n">
        <f aca="false">F614*(1+phi*G604)</f>
        <v>22.6131104310149</v>
      </c>
    </row>
    <row r="615" customFormat="false" ht="15" hidden="false" customHeight="false" outlineLevel="0" collapsed="false">
      <c r="A615" s="3" t="s">
        <v>527</v>
      </c>
      <c r="B615" s="0" t="s">
        <v>303</v>
      </c>
      <c r="C615" s="21" t="n">
        <f aca="false">C612-C614</f>
        <v>6.674</v>
      </c>
      <c r="D615" s="21" t="n">
        <f aca="false">D612-D614</f>
        <v>30.6790125</v>
      </c>
      <c r="E615" s="21" t="n">
        <f aca="false">E612-E614</f>
        <v>57.3069052759309</v>
      </c>
      <c r="F615" s="21" t="n">
        <f aca="false">F612-F614</f>
        <v>66.0016059958702</v>
      </c>
      <c r="G615" s="21" t="n">
        <f aca="false">G612-G614</f>
        <v>73.592968924268</v>
      </c>
    </row>
    <row r="616" customFormat="false" ht="15" hidden="false" customHeight="false" outlineLevel="0" collapsed="false">
      <c r="A616" s="3" t="s">
        <v>605</v>
      </c>
      <c r="B616" s="0" t="s">
        <v>45</v>
      </c>
      <c r="C616" s="13" t="n">
        <f aca="false">C615/C602</f>
        <v>0.0508530108731265</v>
      </c>
      <c r="D616" s="13" t="n">
        <f aca="false">D615/D602</f>
        <v>0.162953507888999</v>
      </c>
      <c r="E616" s="13" t="n">
        <f aca="false">E615/E602</f>
        <v>0.233103996365736</v>
      </c>
      <c r="F616" s="13" t="n">
        <f aca="false">F615/F602</f>
        <v>0.237340828323633</v>
      </c>
      <c r="G616" s="13" t="n">
        <f aca="false">G615/G602</f>
        <v>0.239274034392444</v>
      </c>
    </row>
    <row r="617" customFormat="false" ht="17.15" hidden="false" customHeight="false" outlineLevel="0" collapsed="false">
      <c r="A617" s="3" t="s">
        <v>670</v>
      </c>
      <c r="B617" s="0" t="s">
        <v>303</v>
      </c>
      <c r="C617" s="21" t="n">
        <f aca="false">a25_nonop</f>
        <v>-0.00100000000000033</v>
      </c>
      <c r="D617" s="21" t="n">
        <f aca="false">a26_nonop</f>
        <v>14.466</v>
      </c>
      <c r="E617" s="21" t="n">
        <f aca="false">nonop27</f>
        <v>2</v>
      </c>
      <c r="F617" s="21" t="n">
        <f aca="false">nonop28</f>
        <v>2</v>
      </c>
      <c r="G617" s="21" t="n">
        <f aca="false">nonop29</f>
        <v>2</v>
      </c>
      <c r="K617" s="7" t="s">
        <v>671</v>
      </c>
    </row>
    <row r="618" customFormat="false" ht="15" hidden="false" customHeight="false" outlineLevel="0" collapsed="false">
      <c r="A618" s="3" t="s">
        <v>533</v>
      </c>
      <c r="B618" s="0" t="s">
        <v>303</v>
      </c>
      <c r="C618" s="21" t="n">
        <f aca="false">C615+C617</f>
        <v>6.673</v>
      </c>
      <c r="D618" s="21" t="n">
        <f aca="false">D615+D617</f>
        <v>45.1450125</v>
      </c>
      <c r="E618" s="21" t="n">
        <f aca="false">E615+E617</f>
        <v>59.3069052759309</v>
      </c>
      <c r="F618" s="21" t="n">
        <f aca="false">F615+F617</f>
        <v>68.0016059958702</v>
      </c>
      <c r="G618" s="21" t="n">
        <f aca="false">G615+G617</f>
        <v>75.592968924268</v>
      </c>
    </row>
    <row r="619" customFormat="false" ht="15" hidden="false" customHeight="false" outlineLevel="0" collapsed="false">
      <c r="A619" s="3" t="s">
        <v>537</v>
      </c>
      <c r="B619" s="0" t="s">
        <v>303</v>
      </c>
      <c r="E619" s="21" t="n">
        <f aca="false">E618*tax</f>
        <v>10.6752429496676</v>
      </c>
      <c r="F619" s="21" t="n">
        <f aca="false">F618*tax</f>
        <v>12.2402890792566</v>
      </c>
      <c r="G619" s="21" t="n">
        <f aca="false">G618*tax</f>
        <v>13.6067344063682</v>
      </c>
    </row>
    <row r="620" customFormat="false" ht="15" hidden="false" customHeight="false" outlineLevel="0" collapsed="false">
      <c r="A620" s="3" t="s">
        <v>535</v>
      </c>
      <c r="B620" s="0" t="s">
        <v>303</v>
      </c>
      <c r="C620" s="21" t="n">
        <f aca="false">a25_ni</f>
        <v>6.673</v>
      </c>
      <c r="D620" s="21" t="n">
        <f aca="false">a26_ni</f>
        <v>37.23923025</v>
      </c>
      <c r="E620" s="21" t="n">
        <f aca="false">E618-E619</f>
        <v>48.6316623262633</v>
      </c>
      <c r="F620" s="21" t="n">
        <f aca="false">F618-F619</f>
        <v>55.7613169166136</v>
      </c>
      <c r="G620" s="21" t="n">
        <f aca="false">G618-G619</f>
        <v>61.9862345178998</v>
      </c>
      <c r="H620" s="30" t="n">
        <f aca="false">H602*H624</f>
        <v>64.4609761764432</v>
      </c>
      <c r="I620" s="30" t="n">
        <f aca="false">I602*I624</f>
        <v>65.9345250615849</v>
      </c>
      <c r="J620" s="30" t="n">
        <f aca="false">J602*J624</f>
        <v>66.3049271996696</v>
      </c>
    </row>
    <row r="621" customFormat="false" ht="15" hidden="false" customHeight="false" outlineLevel="0" collapsed="false">
      <c r="A621" s="3" t="s">
        <v>672</v>
      </c>
      <c r="B621" s="3" t="s">
        <v>381</v>
      </c>
      <c r="C621" s="29" t="n">
        <f aca="false">a25_sh</f>
        <v>1.52351598173516</v>
      </c>
      <c r="D621" s="29" t="n">
        <f aca="false">a26_sh</f>
        <v>1.59236316568047</v>
      </c>
      <c r="E621" s="29" t="n">
        <f aca="false">a26_shend*(1+sh_g)</f>
        <v>1.64</v>
      </c>
      <c r="F621" s="29" t="n">
        <f aca="false">E621*(1+sh_g)</f>
        <v>1.64</v>
      </c>
      <c r="G621" s="29" t="n">
        <f aca="false">F621*(1+sh_g)</f>
        <v>1.64</v>
      </c>
      <c r="H621" s="31" t="n">
        <f aca="false">G621*(1+sh_g)</f>
        <v>1.64</v>
      </c>
      <c r="I621" s="31" t="n">
        <f aca="false">H621*(1+sh_g)</f>
        <v>1.64</v>
      </c>
      <c r="J621" s="31" t="n">
        <f aca="false">I621*(1+sh_g)</f>
        <v>1.64</v>
      </c>
    </row>
    <row r="622" customFormat="false" ht="17.15" hidden="false" customHeight="false" outlineLevel="0" collapsed="false">
      <c r="A622" s="0" t="s">
        <v>540</v>
      </c>
      <c r="B622" s="0" t="s">
        <v>387</v>
      </c>
      <c r="C622" s="18" t="n">
        <f aca="false">C620/C621</f>
        <v>4.38</v>
      </c>
      <c r="D622" s="18" t="n">
        <f aca="false">D620/D621</f>
        <v>23.3861414610695</v>
      </c>
      <c r="E622" s="18" t="n">
        <f aca="false">E620/E621</f>
        <v>29.6534526379654</v>
      </c>
      <c r="F622" s="18" t="n">
        <f aca="false">F620/F621</f>
        <v>34.0008029979351</v>
      </c>
      <c r="G622" s="18" t="n">
        <f aca="false">G620/G621</f>
        <v>37.796484462134</v>
      </c>
      <c r="H622" s="28" t="n">
        <f aca="false">H620/H621</f>
        <v>39.305473278319</v>
      </c>
      <c r="I622" s="28" t="n">
        <f aca="false">I620/I621</f>
        <v>40.2039786960883</v>
      </c>
      <c r="J622" s="28" t="n">
        <f aca="false">J620/J621</f>
        <v>40.4298336583351</v>
      </c>
    </row>
    <row r="623" customFormat="false" ht="17.15" hidden="false" customHeight="false" outlineLevel="0" collapsed="false">
      <c r="A623" s="0" t="s">
        <v>673</v>
      </c>
      <c r="B623" s="0" t="s">
        <v>45</v>
      </c>
      <c r="D623" s="20" t="n">
        <f aca="false">D622/C622-1</f>
        <v>4.33930170344053</v>
      </c>
      <c r="E623" s="20" t="n">
        <f aca="false">E622/D622-1</f>
        <v>0.267992528281291</v>
      </c>
      <c r="F623" s="20" t="n">
        <f aca="false">F622/E622-1</f>
        <v>0.146605200178401</v>
      </c>
      <c r="G623" s="20" t="n">
        <f aca="false">G622/F622-1</f>
        <v>0.111635053572982</v>
      </c>
      <c r="H623" s="26" t="n">
        <f aca="false">H622/G622-1</f>
        <v>0.0399240521349746</v>
      </c>
      <c r="I623" s="26" t="n">
        <f aca="false">I622/H622-1</f>
        <v>0.0228595496461037</v>
      </c>
      <c r="J623" s="26" t="n">
        <f aca="false">J622/I622-1</f>
        <v>0.00561772664228211</v>
      </c>
    </row>
    <row r="624" customFormat="false" ht="17.15" hidden="false" customHeight="false" outlineLevel="0" collapsed="false">
      <c r="A624" s="3" t="s">
        <v>674</v>
      </c>
      <c r="B624" s="0" t="s">
        <v>45</v>
      </c>
      <c r="C624" s="13" t="n">
        <f aca="false">C620/C602</f>
        <v>0.0508453913030227</v>
      </c>
      <c r="D624" s="13" t="n">
        <f aca="false">D620/D602</f>
        <v>0.197798517808343</v>
      </c>
      <c r="E624" s="13" t="n">
        <f aca="false">E620/E602</f>
        <v>0.197816210517343</v>
      </c>
      <c r="F624" s="13" t="n">
        <f aca="false">F620/F602</f>
        <v>0.200516895698474</v>
      </c>
      <c r="G624" s="13" t="n">
        <f aca="false">G620/G602</f>
        <v>0.201536867267264</v>
      </c>
      <c r="H624" s="27" t="n">
        <f aca="false">$G624+(fade_mA-$G624)*1/3</f>
        <v>0.192159415634095</v>
      </c>
      <c r="I624" s="27" t="n">
        <f aca="false">$G624+(fade_mA-$G624)*2/3</f>
        <v>0.182781964000926</v>
      </c>
      <c r="J624" s="27" t="n">
        <f aca="false">$G624+(fade_mA-$G624)*3/3</f>
        <v>0.173404512367757</v>
      </c>
    </row>
    <row r="625" customFormat="false" ht="17.15" hidden="false" customHeight="false" outlineLevel="0" collapsed="false">
      <c r="A625" s="3" t="s">
        <v>675</v>
      </c>
      <c r="B625" s="0" t="s">
        <v>45</v>
      </c>
      <c r="C625" s="20" t="n">
        <f aca="false">C608/C602</f>
        <v>0.195190527350447</v>
      </c>
      <c r="D625" s="20" t="n">
        <f aca="false">D608/D602</f>
        <v>0.285230933480641</v>
      </c>
      <c r="E625" s="20" t="n">
        <f aca="false">E608/E602</f>
        <v>0.223720330706817</v>
      </c>
      <c r="F625" s="20" t="n">
        <f aca="false">F608/F602</f>
        <v>0.179799282716305</v>
      </c>
      <c r="G625" s="20" t="n">
        <f aca="false">G608/G602</f>
        <v>0.146309242649801</v>
      </c>
      <c r="H625" s="26" t="n">
        <f aca="false">$G625+($G610*(1+tp_g)^(life/2)-$G625)*1/3</f>
        <v>0.137273291134534</v>
      </c>
      <c r="I625" s="26" t="n">
        <f aca="false">$G625+($G610*(1+tp_g)^(life/2)-$G625)*2/3</f>
        <v>0.128237339619268</v>
      </c>
      <c r="J625" s="26" t="n">
        <f aca="false">$G625+($G610*(1+tp_g)^(life/2)-$G625)*3/3</f>
        <v>0.119201388104001</v>
      </c>
      <c r="K625" s="7" t="s">
        <v>676</v>
      </c>
    </row>
    <row r="626" customFormat="false" ht="15" hidden="false" customHeight="false" outlineLevel="0" collapsed="false">
      <c r="A626" s="3" t="s">
        <v>677</v>
      </c>
      <c r="B626" s="0" t="s">
        <v>303</v>
      </c>
      <c r="E626" s="21" t="n">
        <f aca="false">E620+E609-E608</f>
        <v>18.5441623262633</v>
      </c>
      <c r="F626" s="21" t="n">
        <f aca="false">F620+F609-F608</f>
        <v>34.4347544166136</v>
      </c>
      <c r="G626" s="21" t="n">
        <f aca="false">G620+G609-G608</f>
        <v>48.3254923303998</v>
      </c>
      <c r="H626" s="30" t="n">
        <f aca="false">H620+H609-H608</f>
        <v>52.5927387851846</v>
      </c>
      <c r="I626" s="30" t="n">
        <f aca="false">I620+I609-I608</f>
        <v>56.4316961511238</v>
      </c>
      <c r="J626" s="30" t="n">
        <f aca="false">J620+J609-J608</f>
        <v>59.6870180399621</v>
      </c>
      <c r="K626" s="3" t="s">
        <v>678</v>
      </c>
    </row>
    <row r="627" customFormat="false" ht="15" hidden="false" customHeight="false" outlineLevel="0" collapsed="false">
      <c r="A627" s="3" t="s">
        <v>679</v>
      </c>
      <c r="B627" s="0" t="s">
        <v>387</v>
      </c>
      <c r="E627" s="18" t="n">
        <f aca="false">E626/E621</f>
        <v>11.3074160525996</v>
      </c>
      <c r="F627" s="18" t="n">
        <f aca="false">F626/F621</f>
        <v>20.9968014735449</v>
      </c>
      <c r="G627" s="18" t="n">
        <f aca="false">G626/G621</f>
        <v>29.4667636160974</v>
      </c>
      <c r="H627" s="28" t="n">
        <f aca="false">H626/H621</f>
        <v>32.0687431616979</v>
      </c>
      <c r="I627" s="28" t="n">
        <f aca="false">I626/I621</f>
        <v>34.409570823856</v>
      </c>
      <c r="J627" s="28" t="n">
        <f aca="false">J626/J621</f>
        <v>36.3945231950988</v>
      </c>
    </row>
    <row r="630" customFormat="false" ht="17.15" hidden="false" customHeight="false" outlineLevel="0" collapsed="false">
      <c r="A630" s="1" t="s">
        <v>1029</v>
      </c>
    </row>
    <row r="631" customFormat="false" ht="17.15" hidden="false" customHeight="false" outlineLevel="0" collapsed="false">
      <c r="A631" s="4" t="s">
        <v>22</v>
      </c>
      <c r="B631" s="4" t="s">
        <v>23</v>
      </c>
      <c r="C631" s="14" t="s">
        <v>508</v>
      </c>
      <c r="D631" s="14" t="s">
        <v>592</v>
      </c>
      <c r="E631" s="14" t="s">
        <v>593</v>
      </c>
      <c r="F631" s="14" t="s">
        <v>594</v>
      </c>
      <c r="G631" s="14" t="s">
        <v>595</v>
      </c>
      <c r="H631" s="14" t="s">
        <v>596</v>
      </c>
      <c r="I631" s="14" t="s">
        <v>597</v>
      </c>
      <c r="J631" s="14" t="s">
        <v>598</v>
      </c>
      <c r="K631" s="4" t="s">
        <v>481</v>
      </c>
    </row>
    <row r="632" customFormat="false" ht="17.15" hidden="false" customHeight="false" outlineLevel="0" collapsed="false">
      <c r="A632" s="5" t="s">
        <v>616</v>
      </c>
    </row>
    <row r="633" customFormat="false" ht="17.15" hidden="false" customHeight="false" outlineLevel="0" collapsed="false">
      <c r="A633" s="0" t="s">
        <v>617</v>
      </c>
      <c r="B633" s="3" t="s">
        <v>33</v>
      </c>
      <c r="D633" s="21" t="n">
        <f aca="false">(u_bw_26+u_rb_26+u_ru_26+u_hp_26)*1</f>
        <v>7.6</v>
      </c>
      <c r="E633" s="21" t="n">
        <f aca="false">(u_bw_27+u_rb_27+u_ru_27+u_hp_27)*1*1</f>
        <v>9.7</v>
      </c>
      <c r="F633" s="21" t="n">
        <f aca="false">(u_bw_28+u_rb_28+u_ru_28+u_hp_28)*um28_A*1</f>
        <v>9.5</v>
      </c>
      <c r="G633" s="21" t="n">
        <f aca="false">(u_bw_28*(1+g29_bw)+u_rb_28*(1+g29_rb)+u_ru_28*(1+g29_ru)+u_hp_28*(1+g29_hp))*um29_A*1</f>
        <v>10.6</v>
      </c>
      <c r="K633" s="7" t="s">
        <v>618</v>
      </c>
    </row>
    <row r="634" customFormat="false" ht="17.15" hidden="false" customHeight="false" outlineLevel="0" collapsed="false">
      <c r="A634" s="3" t="s">
        <v>619</v>
      </c>
      <c r="B634" s="3" t="s">
        <v>33</v>
      </c>
      <c r="D634" s="21" t="n">
        <f aca="false">(u_amd_26+u_tpu_26+u_trn_26+u_oth_26)*1</f>
        <v>7.6</v>
      </c>
      <c r="E634" s="21" t="n">
        <f aca="false">(u_amd_27+u_tpu_27+u_trn_27+u_oth_27)*1*1</f>
        <v>14</v>
      </c>
      <c r="F634" s="21" t="n">
        <f aca="false">(u_amd_28+u_tpu_28+u_trn_28+u_oth_28)*um28_A*1</f>
        <v>17</v>
      </c>
      <c r="G634" s="21" t="n">
        <f aca="false">(u_amd_28*(1+g29_amd)+u_tpu_28*(1+g29_tpu)+u_trn_28*(1+g29_trn)+u_oth_28*(1+g29_oth))*um29_A*1</f>
        <v>19.55</v>
      </c>
      <c r="K634" s="7" t="s">
        <v>620</v>
      </c>
    </row>
    <row r="635" customFormat="false" ht="17.15" hidden="false" customHeight="false" outlineLevel="0" collapsed="false">
      <c r="A635" s="3" t="s">
        <v>621</v>
      </c>
      <c r="B635" s="0" t="s">
        <v>145</v>
      </c>
      <c r="D635" s="19" t="n">
        <f aca="false">1</f>
        <v>1</v>
      </c>
      <c r="E635" s="19" t="n">
        <f aca="false">D635*(1+g_asp)</f>
        <v>1.18</v>
      </c>
      <c r="F635" s="19" t="n">
        <f aca="false">E635*(1+g_asp)</f>
        <v>1.3924</v>
      </c>
      <c r="G635" s="19" t="n">
        <f aca="false">F635*(1+g_asp)</f>
        <v>1.643032</v>
      </c>
      <c r="K635" s="7" t="s">
        <v>622</v>
      </c>
    </row>
    <row r="636" customFormat="false" ht="17.15" hidden="false" customHeight="false" outlineLevel="0" collapsed="false">
      <c r="A636" s="0" t="s">
        <v>623</v>
      </c>
      <c r="B636" s="0" t="s">
        <v>145</v>
      </c>
      <c r="D636" s="18" t="n">
        <f aca="false">1</f>
        <v>1</v>
      </c>
      <c r="E636" s="18" t="n">
        <f aca="false">ibpp_27</f>
        <v>1</v>
      </c>
      <c r="F636" s="18" t="n">
        <f aca="false">ibpp_28</f>
        <v>0.95</v>
      </c>
      <c r="G636" s="18" t="n">
        <f aca="false">ibpp_29</f>
        <v>0.9</v>
      </c>
      <c r="K636" s="7" t="s">
        <v>624</v>
      </c>
    </row>
    <row r="637" customFormat="false" ht="17.15" hidden="false" customHeight="false" outlineLevel="0" collapsed="false">
      <c r="A637" s="3" t="s">
        <v>625</v>
      </c>
      <c r="B637" s="0" t="s">
        <v>145</v>
      </c>
      <c r="D637" s="18" t="n">
        <f aca="false">1</f>
        <v>1</v>
      </c>
      <c r="E637" s="18" t="n">
        <f aca="false">1+carry</f>
        <v>1.05</v>
      </c>
      <c r="F637" s="18" t="n">
        <f aca="false">1+carry</f>
        <v>1.05</v>
      </c>
      <c r="G637" s="18" t="n">
        <f aca="false">1+carry</f>
        <v>1.05</v>
      </c>
      <c r="K637" s="7" t="s">
        <v>626</v>
      </c>
    </row>
    <row r="638" customFormat="false" ht="17.15" hidden="false" customHeight="false" outlineLevel="0" collapsed="false">
      <c r="A638" s="3" t="s">
        <v>627</v>
      </c>
      <c r="B638" s="0" t="s">
        <v>628</v>
      </c>
      <c r="D638" s="23" t="n">
        <f aca="false">v26*D635*D636</f>
        <v>215.308596</v>
      </c>
      <c r="E638" s="23" t="n">
        <f aca="false">v26*E635*E636</f>
        <v>254.06414328</v>
      </c>
      <c r="F638" s="23" t="n">
        <f aca="false">v26*F635*F636</f>
        <v>284.80590461688</v>
      </c>
      <c r="G638" s="23" t="n">
        <f aca="false">v26*G635*G636</f>
        <v>318.383021792765</v>
      </c>
      <c r="K638" s="7" t="s">
        <v>629</v>
      </c>
    </row>
    <row r="639" customFormat="false" ht="17.15" hidden="false" customHeight="false" outlineLevel="0" collapsed="false">
      <c r="A639" s="3" t="s">
        <v>630</v>
      </c>
      <c r="B639" s="0" t="s">
        <v>45</v>
      </c>
      <c r="D639" s="20" t="n">
        <f aca="false">sh_nv_26</f>
        <v>0.25</v>
      </c>
      <c r="E639" s="20" t="n">
        <f aca="false">sh_nv_27</f>
        <v>0.27</v>
      </c>
      <c r="F639" s="20" t="n">
        <f aca="false">sh_nv_28</f>
        <v>0.29</v>
      </c>
      <c r="G639" s="20" t="n">
        <f aca="false">sh_nv_29</f>
        <v>0.3</v>
      </c>
    </row>
    <row r="640" customFormat="false" ht="17.15" hidden="false" customHeight="false" outlineLevel="0" collapsed="false">
      <c r="A640" s="3" t="s">
        <v>631</v>
      </c>
      <c r="B640" s="0" t="s">
        <v>45</v>
      </c>
      <c r="D640" s="20" t="n">
        <f aca="false">sh_ot_26</f>
        <v>0.3</v>
      </c>
      <c r="E640" s="20" t="n">
        <f aca="false">sh_ot_27</f>
        <v>0.31</v>
      </c>
      <c r="F640" s="20" t="n">
        <f aca="false">sh_ot_28</f>
        <v>0.32</v>
      </c>
      <c r="G640" s="20" t="n">
        <f aca="false">sh_ot_29</f>
        <v>0.33</v>
      </c>
    </row>
    <row r="641" customFormat="false" ht="17.15" hidden="false" customHeight="false" outlineLevel="0" collapsed="false">
      <c r="A641" s="3" t="s">
        <v>632</v>
      </c>
      <c r="B641" s="0" t="s">
        <v>582</v>
      </c>
      <c r="D641" s="22" t="n">
        <f aca="false">(D633*D638*D639+D634*D638*v_ot*D640)*D637</f>
        <v>801.809211504</v>
      </c>
      <c r="E641" s="22" t="n">
        <f aca="false">(E633*E638*E639+E634*E638*v_ot*E640)*E637</f>
        <v>1624.8799315544</v>
      </c>
      <c r="F641" s="22" t="n">
        <f aca="false">(F633*F638*F639+F634*F638*v_ot*F640)*F637</f>
        <v>2125.32134231777</v>
      </c>
      <c r="G641" s="22" t="n">
        <f aca="false">(G633*G638*G639+G634*G638*v_ot*G640)*G637</f>
        <v>2788.4812844467</v>
      </c>
    </row>
    <row r="642" customFormat="false" ht="15" hidden="false" customHeight="false" outlineLevel="0" collapsed="false">
      <c r="A642" s="3" t="s">
        <v>633</v>
      </c>
      <c r="B642" s="0" t="s">
        <v>303</v>
      </c>
      <c r="D642" s="21" t="n">
        <f aca="false">D641*fx/1000</f>
        <v>25.657894768128</v>
      </c>
      <c r="E642" s="21" t="n">
        <f aca="false">E641*fx/1000</f>
        <v>51.9961578097409</v>
      </c>
      <c r="F642" s="21" t="n">
        <f aca="false">F641*fx/1000</f>
        <v>68.0102829541688</v>
      </c>
      <c r="G642" s="21" t="n">
        <f aca="false">G641*fx/1000</f>
        <v>89.2314011022944</v>
      </c>
    </row>
    <row r="643" customFormat="false" ht="17.15" hidden="false" customHeight="false" outlineLevel="0" collapsed="false">
      <c r="A643" s="5" t="s">
        <v>634</v>
      </c>
    </row>
    <row r="644" customFormat="false" ht="17.15" hidden="false" customHeight="false" outlineLevel="0" collapsed="false">
      <c r="A644" s="0" t="s">
        <v>635</v>
      </c>
      <c r="B644" s="0" t="s">
        <v>303</v>
      </c>
      <c r="D644" s="21" t="n">
        <f aca="false">a26_abf*ai_abf</f>
        <v>74.83672875</v>
      </c>
      <c r="K644" s="3" t="s">
        <v>636</v>
      </c>
    </row>
    <row r="645" customFormat="false" ht="17.15" hidden="false" customHeight="false" outlineLevel="0" collapsed="false">
      <c r="A645" s="3" t="s">
        <v>637</v>
      </c>
      <c r="B645" s="0" t="s">
        <v>303</v>
      </c>
      <c r="D645" s="21" t="n">
        <f aca="false">D644-D642</f>
        <v>49.178833981872</v>
      </c>
      <c r="E645" s="21" t="n">
        <f aca="false">$D645*(itc_27/itc_26)^el_o*1*1*E636*E637</f>
        <v>73.0642903440322</v>
      </c>
      <c r="F645" s="21" t="n">
        <f aca="false">$D645*(itc_28/itc_26)^el_o*um28_A*1*F636*F637</f>
        <v>78.1488805595188</v>
      </c>
      <c r="G645" s="21" t="n">
        <f aca="false">$D645*(itc_29/itc_26)^el_o*um29_A*1*G636*G637</f>
        <v>79.0193888474949</v>
      </c>
      <c r="K645" s="7" t="s">
        <v>638</v>
      </c>
    </row>
    <row r="646" customFormat="false" ht="17.15" hidden="false" customHeight="false" outlineLevel="0" collapsed="false">
      <c r="A646" s="3" t="s">
        <v>639</v>
      </c>
      <c r="B646" s="0" t="s">
        <v>303</v>
      </c>
      <c r="D646" s="21" t="n">
        <f aca="false">a26_abf-D644</f>
        <v>24.94557625</v>
      </c>
      <c r="E646" s="21" t="n">
        <f aca="false">D646*(1+g_nai)</f>
        <v>25.6939435375</v>
      </c>
      <c r="F646" s="21" t="n">
        <f aca="false">E646*(1+g_nai)</f>
        <v>26.464761843625</v>
      </c>
      <c r="G646" s="21" t="n">
        <f aca="false">F646*(1+g_nai)</f>
        <v>27.2587046989338</v>
      </c>
    </row>
    <row r="647" customFormat="false" ht="17.15" hidden="false" customHeight="false" outlineLevel="0" collapsed="false">
      <c r="A647" s="0" t="s">
        <v>640</v>
      </c>
      <c r="B647" s="0" t="s">
        <v>303</v>
      </c>
      <c r="D647" s="21" t="n">
        <f aca="false">D642+D645+D646</f>
        <v>99.782305</v>
      </c>
      <c r="E647" s="21" t="n">
        <f aca="false">E642+E645+E646</f>
        <v>150.754391691273</v>
      </c>
      <c r="F647" s="21" t="n">
        <f aca="false">F642+F645+F646</f>
        <v>172.623925357313</v>
      </c>
      <c r="G647" s="21" t="n">
        <f aca="false">G642+G645+G646</f>
        <v>195.509494648723</v>
      </c>
    </row>
    <row r="648" customFormat="false" ht="17.15" hidden="false" customHeight="false" outlineLevel="0" collapsed="false">
      <c r="A648" s="0" t="s">
        <v>641</v>
      </c>
      <c r="B648" s="0" t="s">
        <v>303</v>
      </c>
      <c r="D648" s="21" t="n">
        <f aca="false">a26_abf</f>
        <v>99.782305</v>
      </c>
      <c r="E648" s="21" t="n">
        <f aca="false">$D647*cap_27*(1+g_mix)^1*E636*E637</f>
        <v>148.513488204375</v>
      </c>
      <c r="F648" s="21" t="n">
        <f aca="false">$D647*cap_28*(1+g_mix)^2*F636*F637</f>
        <v>186.549442683384</v>
      </c>
      <c r="G648" s="21" t="n">
        <f aca="false">$D647*cap_29*(1+g_mix)^3*G636*G637</f>
        <v>218.314827660431</v>
      </c>
      <c r="K648" s="7" t="s">
        <v>642</v>
      </c>
    </row>
    <row r="649" customFormat="false" ht="17.15" hidden="false" customHeight="false" outlineLevel="0" collapsed="false">
      <c r="A649" s="0" t="s">
        <v>643</v>
      </c>
      <c r="B649" s="0" t="s">
        <v>303</v>
      </c>
      <c r="D649" s="21" t="n">
        <f aca="false">a26_abf</f>
        <v>99.782305</v>
      </c>
      <c r="E649" s="21" t="n">
        <f aca="false">MIN(E647,E648)</f>
        <v>148.513488204375</v>
      </c>
      <c r="F649" s="21" t="n">
        <f aca="false">MIN(F647,F648)</f>
        <v>172.623925357313</v>
      </c>
      <c r="G649" s="21" t="n">
        <f aca="false">MIN(G647,G648)</f>
        <v>195.509494648723</v>
      </c>
    </row>
    <row r="650" customFormat="false" ht="17.15" hidden="false" customHeight="false" outlineLevel="0" collapsed="false">
      <c r="A650" s="3" t="s">
        <v>644</v>
      </c>
      <c r="B650" s="0" t="s">
        <v>45</v>
      </c>
      <c r="D650" s="20" t="n">
        <f aca="false">D649/D647</f>
        <v>1</v>
      </c>
      <c r="E650" s="20" t="n">
        <f aca="false">E649/E647</f>
        <v>0.985135401617438</v>
      </c>
      <c r="F650" s="20" t="n">
        <f aca="false">F649/F647</f>
        <v>1</v>
      </c>
      <c r="G650" s="20" t="n">
        <f aca="false">G649/G647</f>
        <v>1</v>
      </c>
    </row>
    <row r="651" customFormat="false" ht="17.15" hidden="false" customHeight="false" outlineLevel="0" collapsed="false">
      <c r="A651" s="0" t="s">
        <v>645</v>
      </c>
      <c r="B651" s="0" t="s">
        <v>303</v>
      </c>
      <c r="D651" s="21" t="n">
        <f aca="false">(D642+D645)*D650</f>
        <v>74.83672875</v>
      </c>
      <c r="E651" s="21" t="n">
        <f aca="false">(E642+E645)*E650</f>
        <v>123.201474818424</v>
      </c>
      <c r="F651" s="21" t="n">
        <f aca="false">(F642+F645)*F650</f>
        <v>146.159163513688</v>
      </c>
      <c r="G651" s="21" t="n">
        <f aca="false">(G642+G645)*G650</f>
        <v>168.250789949789</v>
      </c>
    </row>
    <row r="652" customFormat="false" ht="17.15" hidden="false" customHeight="false" outlineLevel="0" collapsed="false">
      <c r="A652" s="3" t="s">
        <v>646</v>
      </c>
      <c r="B652" s="0" t="s">
        <v>45</v>
      </c>
      <c r="D652" s="20" t="n">
        <f aca="false">D642/(D642+D645)</f>
        <v>0.342851634440636</v>
      </c>
      <c r="E652" s="20" t="n">
        <f aca="false">E642/(E642+E645)</f>
        <v>0.41576820311572</v>
      </c>
      <c r="F652" s="20" t="n">
        <f aca="false">F642/(F642+F645)</f>
        <v>0.465316585831443</v>
      </c>
      <c r="G652" s="20" t="n">
        <f aca="false">G642/(G642+G645)</f>
        <v>0.530347590813235</v>
      </c>
    </row>
    <row r="653" customFormat="false" ht="17.15" hidden="false" customHeight="false" outlineLevel="0" collapsed="false">
      <c r="A653" s="5" t="s">
        <v>647</v>
      </c>
    </row>
    <row r="654" customFormat="false" ht="17.15" hidden="false" customHeight="false" outlineLevel="0" collapsed="false">
      <c r="A654" s="0" t="s">
        <v>550</v>
      </c>
      <c r="B654" s="0" t="s">
        <v>303</v>
      </c>
      <c r="D654" s="21" t="n">
        <f aca="false">a26_bt</f>
        <v>16.944165</v>
      </c>
      <c r="E654" s="21" t="n">
        <f aca="false">D654*(1+g_bt)</f>
        <v>17.79137325</v>
      </c>
      <c r="F654" s="21" t="n">
        <f aca="false">E654*(1+g_bt)</f>
        <v>18.6809419125</v>
      </c>
      <c r="G654" s="21" t="n">
        <f aca="false">F654*(1+g_bt)</f>
        <v>19.614989008125</v>
      </c>
    </row>
    <row r="655" customFormat="false" ht="17.15" hidden="false" customHeight="false" outlineLevel="0" collapsed="false">
      <c r="A655" s="0" t="s">
        <v>648</v>
      </c>
      <c r="B655" s="0" t="s">
        <v>303</v>
      </c>
      <c r="D655" s="21" t="n">
        <f aca="false">a26_pcb*ai_pcb</f>
        <v>37.93610275</v>
      </c>
      <c r="E655" s="21" t="n">
        <f aca="false">D655*(1+g_pai_27)</f>
        <v>45.5233233</v>
      </c>
      <c r="F655" s="21" t="n">
        <f aca="false">D655*(1+g_pai_27)*(1+g_pai_28)*um28_A</f>
        <v>52.351821795</v>
      </c>
      <c r="G655" s="21" t="n">
        <f aca="false">D655*(1+g_pai_27)*(1+g_pai_28)*(1+g_pai_29)*um29_A</f>
        <v>57.5870039745</v>
      </c>
      <c r="K655" s="3" t="s">
        <v>649</v>
      </c>
    </row>
    <row r="656" customFormat="false" ht="17.15" hidden="false" customHeight="false" outlineLevel="0" collapsed="false">
      <c r="A656" s="3" t="s">
        <v>650</v>
      </c>
      <c r="B656" s="0" t="s">
        <v>303</v>
      </c>
      <c r="D656" s="21" t="n">
        <f aca="false">a26_pcb*(1-ai_pcb)</f>
        <v>20.42713225</v>
      </c>
      <c r="E656" s="21" t="n">
        <f aca="false">D656*(1+g_pcbn)</f>
        <v>20.835674895</v>
      </c>
      <c r="F656" s="21" t="n">
        <f aca="false">E656*(1+g_pcbn)</f>
        <v>21.2523883929</v>
      </c>
      <c r="G656" s="21" t="n">
        <f aca="false">F656*(1+g_pcbn)</f>
        <v>21.677436160758</v>
      </c>
    </row>
    <row r="657" customFormat="false" ht="15" hidden="false" customHeight="false" outlineLevel="0" collapsed="false">
      <c r="A657" s="3" t="s">
        <v>552</v>
      </c>
      <c r="B657" s="0" t="s">
        <v>303</v>
      </c>
      <c r="D657" s="21" t="n">
        <f aca="false">a26_fpc</f>
        <v>13.178795</v>
      </c>
      <c r="E657" s="21" t="n">
        <f aca="false">D657*(1+g_fpc)</f>
        <v>13.178795</v>
      </c>
      <c r="F657" s="21" t="n">
        <f aca="false">E657*(1+g_fpc)</f>
        <v>13.178795</v>
      </c>
      <c r="G657" s="21" t="n">
        <f aca="false">F657*(1+g_fpc)</f>
        <v>13.178795</v>
      </c>
    </row>
    <row r="658" customFormat="false" ht="17.15" hidden="false" customHeight="false" outlineLevel="0" collapsed="false">
      <c r="A658" s="3" t="s">
        <v>651</v>
      </c>
      <c r="B658" s="0" t="s">
        <v>303</v>
      </c>
      <c r="D658" s="21" t="n">
        <f aca="false">D649+D654</f>
        <v>116.72647</v>
      </c>
      <c r="E658" s="21" t="n">
        <f aca="false">E649+E654</f>
        <v>166.304861454375</v>
      </c>
      <c r="F658" s="21" t="n">
        <f aca="false">F649+F654</f>
        <v>191.304867269813</v>
      </c>
      <c r="G658" s="21" t="n">
        <f aca="false">G649+G654</f>
        <v>215.124483656848</v>
      </c>
      <c r="K658" s="3" t="s">
        <v>652</v>
      </c>
    </row>
    <row r="659" customFormat="false" ht="17.15" hidden="false" customHeight="false" outlineLevel="0" collapsed="false">
      <c r="A659" s="0" t="s">
        <v>653</v>
      </c>
      <c r="B659" s="0" t="s">
        <v>303</v>
      </c>
      <c r="D659" s="21" t="n">
        <f aca="false">D655+D656</f>
        <v>58.363235</v>
      </c>
      <c r="E659" s="21" t="n">
        <f aca="false">E655+E656</f>
        <v>66.358998195</v>
      </c>
      <c r="F659" s="21" t="n">
        <f aca="false">F655+F656</f>
        <v>73.6042101879</v>
      </c>
      <c r="G659" s="21" t="n">
        <f aca="false">G655+G656</f>
        <v>79.264440135258</v>
      </c>
      <c r="K659" s="3" t="s">
        <v>654</v>
      </c>
    </row>
    <row r="660" customFormat="false" ht="17.15" hidden="false" customHeight="false" outlineLevel="0" collapsed="false">
      <c r="A660" s="3" t="s">
        <v>515</v>
      </c>
      <c r="B660" s="0" t="s">
        <v>303</v>
      </c>
      <c r="C660" s="23" t="n">
        <f aca="false">a25_rev</f>
        <v>131.241</v>
      </c>
      <c r="D660" s="23" t="n">
        <f aca="false">D658+D659+D657</f>
        <v>188.2685</v>
      </c>
      <c r="E660" s="23" t="n">
        <f aca="false">E658+E659+E657</f>
        <v>245.842654649375</v>
      </c>
      <c r="F660" s="23" t="n">
        <f aca="false">F658+F659+F657</f>
        <v>278.087872457713</v>
      </c>
      <c r="G660" s="23" t="n">
        <f aca="false">G658+G659+G657</f>
        <v>307.567718792106</v>
      </c>
      <c r="H660" s="25" t="n">
        <f aca="false">G660*(1+H662)</f>
        <v>335.455725464882</v>
      </c>
      <c r="I660" s="25" t="n">
        <f aca="false">H660*(1+I662)</f>
        <v>360.727741503264</v>
      </c>
      <c r="J660" s="25" t="n">
        <f aca="false">I660*(1+J662)</f>
        <v>382.371405993459</v>
      </c>
      <c r="K660" s="7" t="s">
        <v>655</v>
      </c>
    </row>
    <row r="661" customFormat="false" ht="17.15" hidden="false" customHeight="false" outlineLevel="0" collapsed="false">
      <c r="A661" s="3" t="s">
        <v>656</v>
      </c>
      <c r="B661" s="0" t="s">
        <v>303</v>
      </c>
      <c r="D661" s="19" t="n">
        <f aca="false">D658+D659+D657-D660</f>
        <v>0</v>
      </c>
      <c r="E661" s="19" t="n">
        <f aca="false">E658+E659+E657-E660</f>
        <v>0</v>
      </c>
      <c r="F661" s="19" t="n">
        <f aca="false">F658+F659+F657-F660</f>
        <v>0</v>
      </c>
      <c r="G661" s="19" t="n">
        <f aca="false">G658+G659+G657-G660</f>
        <v>0</v>
      </c>
    </row>
    <row r="662" customFormat="false" ht="15" hidden="false" customHeight="false" outlineLevel="0" collapsed="false">
      <c r="A662" s="3" t="s">
        <v>657</v>
      </c>
      <c r="B662" s="0" t="s">
        <v>45</v>
      </c>
      <c r="D662" s="20" t="n">
        <f aca="false">D660/C660-1</f>
        <v>0.434525034097576</v>
      </c>
      <c r="E662" s="20" t="n">
        <f aca="false">E660/D660-1</f>
        <v>0.30580875</v>
      </c>
      <c r="F662" s="20" t="n">
        <f aca="false">F660/E660-1</f>
        <v>0.131162014396266</v>
      </c>
      <c r="G662" s="20" t="n">
        <f aca="false">G660/F660-1</f>
        <v>0.106009104510217</v>
      </c>
      <c r="H662" s="26" t="n">
        <f aca="false">$G662+(fade_gA-$G662)*1/3</f>
        <v>0.0906727363401445</v>
      </c>
      <c r="I662" s="26" t="n">
        <f aca="false">$G662+(fade_gA-$G662)*2/3</f>
        <v>0.0753363681700722</v>
      </c>
      <c r="J662" s="26" t="n">
        <f aca="false">$G662+(fade_gA-$G662)*3/3</f>
        <v>0.06</v>
      </c>
    </row>
    <row r="663" customFormat="false" ht="17.15" hidden="false" customHeight="false" outlineLevel="0" collapsed="false">
      <c r="A663" s="0" t="s">
        <v>658</v>
      </c>
      <c r="B663" s="0" t="s">
        <v>45</v>
      </c>
      <c r="D663" s="20" t="n">
        <f aca="false">D649/D660</f>
        <v>0.53</v>
      </c>
      <c r="E663" s="20" t="n">
        <f aca="false">E649/E660</f>
        <v>0.604099758100105</v>
      </c>
      <c r="F663" s="20" t="n">
        <f aca="false">F649/F660</f>
        <v>0.620753159178355</v>
      </c>
      <c r="G663" s="20" t="n">
        <f aca="false">G649/G660</f>
        <v>0.635663246508889</v>
      </c>
    </row>
    <row r="664" customFormat="false" ht="17.15" hidden="false" customHeight="false" outlineLevel="0" collapsed="false">
      <c r="A664" s="0" t="s">
        <v>659</v>
      </c>
      <c r="B664" s="0" t="s">
        <v>45</v>
      </c>
      <c r="D664" s="20" t="n">
        <f aca="false">(D651+D655)/D660</f>
        <v>0.599</v>
      </c>
      <c r="E664" s="20" t="n">
        <f aca="false">(E651+E655)/E660</f>
        <v>0.686312138790815</v>
      </c>
      <c r="F664" s="20" t="n">
        <f aca="false">(F651+F655)/F660</f>
        <v>0.713842655396179</v>
      </c>
      <c r="G664" s="20" t="n">
        <f aca="false">(G651+G655)/G660</f>
        <v>0.734270146461436</v>
      </c>
      <c r="K664" s="3" t="s">
        <v>660</v>
      </c>
    </row>
    <row r="665" customFormat="false" ht="17.15" hidden="false" customHeight="false" outlineLevel="0" collapsed="false">
      <c r="A665" s="5" t="s">
        <v>661</v>
      </c>
    </row>
    <row r="666" customFormat="false" ht="15" hidden="false" customHeight="false" outlineLevel="0" collapsed="false">
      <c r="A666" s="3" t="s">
        <v>662</v>
      </c>
      <c r="B666" s="0" t="s">
        <v>303</v>
      </c>
      <c r="C666" s="23" t="n">
        <f aca="false">a25_cx</f>
        <v>25.617</v>
      </c>
      <c r="D666" s="23" t="n">
        <f aca="false">capex26</f>
        <v>53.7</v>
      </c>
      <c r="E666" s="23" t="n">
        <f aca="false">cx27_A</f>
        <v>55</v>
      </c>
      <c r="F666" s="23" t="n">
        <f aca="false">cx28_A</f>
        <v>50</v>
      </c>
      <c r="G666" s="23" t="n">
        <f aca="false">cx29_A</f>
        <v>45</v>
      </c>
      <c r="H666" s="25" t="n">
        <f aca="false">H660*H683</f>
        <v>46.0491114644872</v>
      </c>
      <c r="I666" s="25" t="n">
        <f aca="false">I660*I683</f>
        <v>46.2587658972454</v>
      </c>
      <c r="J666" s="25" t="n">
        <f aca="false">J660*J683</f>
        <v>45.5792023656988</v>
      </c>
    </row>
    <row r="667" customFormat="false" ht="17.15" hidden="false" customHeight="false" outlineLevel="0" collapsed="false">
      <c r="A667" s="3" t="s">
        <v>663</v>
      </c>
      <c r="B667" s="0" t="s">
        <v>303</v>
      </c>
      <c r="C667" s="23" t="n">
        <f aca="false">a25_da</f>
        <v>18.8</v>
      </c>
      <c r="D667" s="23" t="n">
        <f aca="false">da26</f>
        <v>20.8</v>
      </c>
      <c r="E667" s="23" t="n">
        <f aca="false">D667*(1-1/life)+D666/life</f>
        <v>24.9125</v>
      </c>
      <c r="F667" s="23" t="n">
        <f aca="false">E667*(1-1/life)+E666/life</f>
        <v>28.6734375</v>
      </c>
      <c r="G667" s="23" t="n">
        <f aca="false">F667*(1-1/life)+F666/life</f>
        <v>31.3392578125</v>
      </c>
      <c r="H667" s="25" t="n">
        <f aca="false">H660*H668</f>
        <v>34.1808740732286</v>
      </c>
      <c r="I667" s="25" t="n">
        <f aca="false">I660*I668</f>
        <v>36.7559369867843</v>
      </c>
      <c r="J667" s="25" t="n">
        <f aca="false">J660*J668</f>
        <v>38.9612932059913</v>
      </c>
      <c r="K667" s="3" t="s">
        <v>664</v>
      </c>
    </row>
    <row r="668" customFormat="false" ht="17.15" hidden="false" customHeight="false" outlineLevel="0" collapsed="false">
      <c r="A668" s="3" t="s">
        <v>665</v>
      </c>
      <c r="B668" s="0" t="s">
        <v>45</v>
      </c>
      <c r="C668" s="20" t="n">
        <f aca="false">C667/C660</f>
        <v>0.143247917952469</v>
      </c>
      <c r="D668" s="20" t="n">
        <f aca="false">D667/D660</f>
        <v>0.110480510547436</v>
      </c>
      <c r="E668" s="20" t="n">
        <f aca="false">E667/E660</f>
        <v>0.101335140704247</v>
      </c>
      <c r="F668" s="20" t="n">
        <f aca="false">F667/F660</f>
        <v>0.103109269910216</v>
      </c>
      <c r="G668" s="20" t="n">
        <f aca="false">G667/G660</f>
        <v>0.101893846127861</v>
      </c>
      <c r="H668" s="26" t="n">
        <f aca="false">$G668</f>
        <v>0.101893846127861</v>
      </c>
      <c r="I668" s="26" t="n">
        <f aca="false">$G668</f>
        <v>0.101893846127861</v>
      </c>
      <c r="J668" s="26" t="n">
        <f aca="false">$G668</f>
        <v>0.101893846127861</v>
      </c>
    </row>
    <row r="669" customFormat="false" ht="17.15" hidden="false" customHeight="false" outlineLevel="0" collapsed="false">
      <c r="A669" s="3" t="s">
        <v>666</v>
      </c>
      <c r="B669" s="0" t="s">
        <v>303</v>
      </c>
      <c r="E669" s="21" t="n">
        <f aca="false">E651*(1-1/(E636*E637))</f>
        <v>5.86673689611544</v>
      </c>
      <c r="F669" s="21" t="n">
        <f aca="false">F651*(1-1/(F636*F637))</f>
        <v>-0.366313693016785</v>
      </c>
      <c r="G669" s="21" t="n">
        <f aca="false">G651*(1-1/(G636*G637))</f>
        <v>-9.7923740182417</v>
      </c>
      <c r="K669" s="7" t="s">
        <v>667</v>
      </c>
    </row>
    <row r="670" customFormat="false" ht="17.15" hidden="false" customHeight="false" outlineLevel="0" collapsed="false">
      <c r="A670" s="3" t="s">
        <v>668</v>
      </c>
      <c r="B670" s="0" t="s">
        <v>303</v>
      </c>
      <c r="C670" s="21" t="n">
        <f aca="false">a25_gp</f>
        <v>18.292</v>
      </c>
      <c r="D670" s="21" t="n">
        <f aca="false">a26_gp</f>
        <v>47.3329657</v>
      </c>
      <c r="E670" s="21" t="n">
        <f aca="false">$D670+ft_abf*(E649-E669-$D649)+ft_oth_lo*((E660-E649)-($D660-$D649))+E669-(E667-$D667)</f>
        <v>71.8458714669952</v>
      </c>
      <c r="F670" s="21" t="n">
        <f aca="false">$D670+ft_abf*(F649-F669-$D649)+ft_oth_lo*((F660-F649)-($D660-$D649))+F669-(F667-$D667)</f>
        <v>78.2438443472079</v>
      </c>
      <c r="G670" s="21" t="n">
        <f aca="false">$D670+ft_abf*(G649-G669-$D649)+ft_oth_lo*((G660-G649)-($D660-$D649))+G669-(G667-$D667)</f>
        <v>83.2969200742482</v>
      </c>
      <c r="K670" s="3" t="s">
        <v>669</v>
      </c>
    </row>
    <row r="671" customFormat="false" ht="15" hidden="false" customHeight="false" outlineLevel="0" collapsed="false">
      <c r="A671" s="3" t="s">
        <v>522</v>
      </c>
      <c r="B671" s="0" t="s">
        <v>45</v>
      </c>
      <c r="C671" s="13" t="n">
        <f aca="false">C670/C660</f>
        <v>0.139377176339711</v>
      </c>
      <c r="D671" s="13" t="n">
        <f aca="false">D670/D660</f>
        <v>0.251412029627899</v>
      </c>
      <c r="E671" s="13" t="n">
        <f aca="false">E670/E660</f>
        <v>0.29224331135483</v>
      </c>
      <c r="F671" s="13" t="n">
        <f aca="false">F670/F660</f>
        <v>0.281363741811884</v>
      </c>
      <c r="G671" s="13" t="n">
        <f aca="false">G670/G660</f>
        <v>0.270824650913872</v>
      </c>
    </row>
    <row r="672" customFormat="false" ht="15" hidden="false" customHeight="false" outlineLevel="0" collapsed="false">
      <c r="A672" s="3" t="s">
        <v>524</v>
      </c>
      <c r="B672" s="0" t="s">
        <v>303</v>
      </c>
      <c r="C672" s="21" t="n">
        <f aca="false">a25_opx</f>
        <v>11.618</v>
      </c>
      <c r="D672" s="21" t="n">
        <f aca="false">a26_opx</f>
        <v>16.6539532</v>
      </c>
      <c r="E672" s="21" t="n">
        <f aca="false">D672*(1+phi*E662)</f>
        <v>19.7097079663903</v>
      </c>
      <c r="F672" s="21" t="n">
        <f aca="false">E672*(1+phi*F662)</f>
        <v>21.2608069664106</v>
      </c>
      <c r="G672" s="21" t="n">
        <f aca="false">F672*(1+phi*G662)</f>
        <v>22.6131104310149</v>
      </c>
    </row>
    <row r="673" customFormat="false" ht="15" hidden="false" customHeight="false" outlineLevel="0" collapsed="false">
      <c r="A673" s="3" t="s">
        <v>527</v>
      </c>
      <c r="B673" s="0" t="s">
        <v>303</v>
      </c>
      <c r="C673" s="21" t="n">
        <f aca="false">C670-C672</f>
        <v>6.674</v>
      </c>
      <c r="D673" s="21" t="n">
        <f aca="false">D670-D672</f>
        <v>30.6790125</v>
      </c>
      <c r="E673" s="21" t="n">
        <f aca="false">E670-E672</f>
        <v>52.1361635006049</v>
      </c>
      <c r="F673" s="21" t="n">
        <f aca="false">F670-F672</f>
        <v>56.9830373807973</v>
      </c>
      <c r="G673" s="21" t="n">
        <f aca="false">G670-G672</f>
        <v>60.6838096432332</v>
      </c>
    </row>
    <row r="674" customFormat="false" ht="15" hidden="false" customHeight="false" outlineLevel="0" collapsed="false">
      <c r="A674" s="3" t="s">
        <v>605</v>
      </c>
      <c r="B674" s="0" t="s">
        <v>45</v>
      </c>
      <c r="C674" s="13" t="n">
        <f aca="false">C673/C660</f>
        <v>0.0508530108731265</v>
      </c>
      <c r="D674" s="13" t="n">
        <f aca="false">D673/D660</f>
        <v>0.162953507888999</v>
      </c>
      <c r="E674" s="13" t="n">
        <f aca="false">E673/E660</f>
        <v>0.212071268002546</v>
      </c>
      <c r="F674" s="13" t="n">
        <f aca="false">F673/F660</f>
        <v>0.204910184961275</v>
      </c>
      <c r="G674" s="13" t="n">
        <f aca="false">G673/G660</f>
        <v>0.197302271777914</v>
      </c>
    </row>
    <row r="675" customFormat="false" ht="17.15" hidden="false" customHeight="false" outlineLevel="0" collapsed="false">
      <c r="A675" s="3" t="s">
        <v>670</v>
      </c>
      <c r="B675" s="0" t="s">
        <v>303</v>
      </c>
      <c r="C675" s="21" t="n">
        <f aca="false">a25_nonop</f>
        <v>-0.00100000000000033</v>
      </c>
      <c r="D675" s="21" t="n">
        <f aca="false">a26_nonop</f>
        <v>14.466</v>
      </c>
      <c r="E675" s="21" t="n">
        <f aca="false">nonop27</f>
        <v>2</v>
      </c>
      <c r="F675" s="21" t="n">
        <f aca="false">nonop28</f>
        <v>2</v>
      </c>
      <c r="G675" s="21" t="n">
        <f aca="false">nonop29</f>
        <v>2</v>
      </c>
      <c r="K675" s="7" t="s">
        <v>671</v>
      </c>
    </row>
    <row r="676" customFormat="false" ht="15" hidden="false" customHeight="false" outlineLevel="0" collapsed="false">
      <c r="A676" s="3" t="s">
        <v>533</v>
      </c>
      <c r="B676" s="0" t="s">
        <v>303</v>
      </c>
      <c r="C676" s="21" t="n">
        <f aca="false">C673+C675</f>
        <v>6.673</v>
      </c>
      <c r="D676" s="21" t="n">
        <f aca="false">D673+D675</f>
        <v>45.1450125</v>
      </c>
      <c r="E676" s="21" t="n">
        <f aca="false">E673+E675</f>
        <v>54.1361635006049</v>
      </c>
      <c r="F676" s="21" t="n">
        <f aca="false">F673+F675</f>
        <v>58.9830373807973</v>
      </c>
      <c r="G676" s="21" t="n">
        <f aca="false">G673+G675</f>
        <v>62.6838096432332</v>
      </c>
    </row>
    <row r="677" customFormat="false" ht="15" hidden="false" customHeight="false" outlineLevel="0" collapsed="false">
      <c r="A677" s="3" t="s">
        <v>537</v>
      </c>
      <c r="B677" s="0" t="s">
        <v>303</v>
      </c>
      <c r="E677" s="21" t="n">
        <f aca="false">E676*tax</f>
        <v>9.74450943010888</v>
      </c>
      <c r="F677" s="21" t="n">
        <f aca="false">F676*tax</f>
        <v>10.6169467285435</v>
      </c>
      <c r="G677" s="21" t="n">
        <f aca="false">G676*tax</f>
        <v>11.283085735782</v>
      </c>
    </row>
    <row r="678" customFormat="false" ht="15" hidden="false" customHeight="false" outlineLevel="0" collapsed="false">
      <c r="A678" s="3" t="s">
        <v>535</v>
      </c>
      <c r="B678" s="0" t="s">
        <v>303</v>
      </c>
      <c r="C678" s="21" t="n">
        <f aca="false">a25_ni</f>
        <v>6.673</v>
      </c>
      <c r="D678" s="21" t="n">
        <f aca="false">a26_ni</f>
        <v>37.23923025</v>
      </c>
      <c r="E678" s="21" t="n">
        <f aca="false">E676-E677</f>
        <v>44.391654070496</v>
      </c>
      <c r="F678" s="21" t="n">
        <f aca="false">F676-F677</f>
        <v>48.3660906522538</v>
      </c>
      <c r="G678" s="21" t="n">
        <f aca="false">G676-G677</f>
        <v>51.4007239074513</v>
      </c>
      <c r="H678" s="30" t="n">
        <f aca="false">H660*H682</f>
        <v>56.7640909610728</v>
      </c>
      <c r="I678" s="30" t="n">
        <f aca="false">I660*I682</f>
        <v>61.7961547647258</v>
      </c>
      <c r="J678" s="30" t="n">
        <f aca="false">J660*J682</f>
        <v>66.3049271996696</v>
      </c>
    </row>
    <row r="679" customFormat="false" ht="15" hidden="false" customHeight="false" outlineLevel="0" collapsed="false">
      <c r="A679" s="3" t="s">
        <v>672</v>
      </c>
      <c r="B679" s="3" t="s">
        <v>381</v>
      </c>
      <c r="C679" s="29" t="n">
        <f aca="false">a25_sh</f>
        <v>1.52351598173516</v>
      </c>
      <c r="D679" s="29" t="n">
        <f aca="false">a26_sh</f>
        <v>1.59236316568047</v>
      </c>
      <c r="E679" s="29" t="n">
        <f aca="false">a26_shend*(1+sh_g)</f>
        <v>1.64</v>
      </c>
      <c r="F679" s="29" t="n">
        <f aca="false">E679*(1+sh_g)</f>
        <v>1.64</v>
      </c>
      <c r="G679" s="29" t="n">
        <f aca="false">F679*(1+sh_g)</f>
        <v>1.64</v>
      </c>
      <c r="H679" s="31" t="n">
        <f aca="false">G679*(1+sh_g)</f>
        <v>1.64</v>
      </c>
      <c r="I679" s="31" t="n">
        <f aca="false">H679*(1+sh_g)</f>
        <v>1.64</v>
      </c>
      <c r="J679" s="31" t="n">
        <f aca="false">I679*(1+sh_g)</f>
        <v>1.64</v>
      </c>
    </row>
    <row r="680" customFormat="false" ht="17.15" hidden="false" customHeight="false" outlineLevel="0" collapsed="false">
      <c r="A680" s="0" t="s">
        <v>540</v>
      </c>
      <c r="B680" s="0" t="s">
        <v>387</v>
      </c>
      <c r="C680" s="18" t="n">
        <f aca="false">C678/C679</f>
        <v>4.38</v>
      </c>
      <c r="D680" s="18" t="n">
        <f aca="false">D678/D679</f>
        <v>23.3861414610695</v>
      </c>
      <c r="E680" s="18" t="n">
        <f aca="false">E678/E679</f>
        <v>27.0680817503025</v>
      </c>
      <c r="F680" s="18" t="n">
        <f aca="false">F678/F679</f>
        <v>29.4915186903986</v>
      </c>
      <c r="G680" s="18" t="n">
        <f aca="false">G678/G679</f>
        <v>31.3419048216166</v>
      </c>
      <c r="H680" s="28" t="n">
        <f aca="false">H678/H679</f>
        <v>34.61225058602</v>
      </c>
      <c r="I680" s="28" t="n">
        <f aca="false">I678/I679</f>
        <v>37.6805821736133</v>
      </c>
      <c r="J680" s="28" t="n">
        <f aca="false">J678/J679</f>
        <v>40.4298336583351</v>
      </c>
    </row>
    <row r="681" customFormat="false" ht="17.15" hidden="false" customHeight="false" outlineLevel="0" collapsed="false">
      <c r="A681" s="0" t="s">
        <v>673</v>
      </c>
      <c r="B681" s="0" t="s">
        <v>45</v>
      </c>
      <c r="D681" s="20" t="n">
        <f aca="false">D680/C680-1</f>
        <v>4.33930170344053</v>
      </c>
      <c r="E681" s="20" t="n">
        <f aca="false">E680/D680-1</f>
        <v>0.157441119363886</v>
      </c>
      <c r="F681" s="20" t="n">
        <f aca="false">F680/E680-1</f>
        <v>0.0895311667244061</v>
      </c>
      <c r="G681" s="20" t="n">
        <f aca="false">G680/F680-1</f>
        <v>0.0627429923376717</v>
      </c>
      <c r="H681" s="26" t="n">
        <f aca="false">H680/G680-1</f>
        <v>0.104344192958809</v>
      </c>
      <c r="I681" s="26" t="n">
        <f aca="false">I680/H680-1</f>
        <v>0.0886487164412404</v>
      </c>
      <c r="J681" s="26" t="n">
        <f aca="false">J680/I680-1</f>
        <v>0.0729620225094894</v>
      </c>
    </row>
    <row r="682" customFormat="false" ht="17.15" hidden="false" customHeight="false" outlineLevel="0" collapsed="false">
      <c r="A682" s="3" t="s">
        <v>674</v>
      </c>
      <c r="B682" s="0" t="s">
        <v>45</v>
      </c>
      <c r="C682" s="13" t="n">
        <f aca="false">C678/C660</f>
        <v>0.0508453913030227</v>
      </c>
      <c r="D682" s="13" t="n">
        <f aca="false">D678/D660</f>
        <v>0.197798517808343</v>
      </c>
      <c r="E682" s="13" t="n">
        <f aca="false">E678/E660</f>
        <v>0.180569373259527</v>
      </c>
      <c r="F682" s="13" t="n">
        <f aca="false">F678/F660</f>
        <v>0.17392376814134</v>
      </c>
      <c r="G682" s="13" t="n">
        <f aca="false">G678/G660</f>
        <v>0.167120021923349</v>
      </c>
      <c r="H682" s="27" t="n">
        <f aca="false">$G682+(fade_mA-$G682)*1/3</f>
        <v>0.169214852071485</v>
      </c>
      <c r="I682" s="27" t="n">
        <f aca="false">$G682+(fade_mA-$G682)*2/3</f>
        <v>0.171309682219621</v>
      </c>
      <c r="J682" s="27" t="n">
        <f aca="false">$G682+(fade_mA-$G682)*3/3</f>
        <v>0.173404512367757</v>
      </c>
    </row>
    <row r="683" customFormat="false" ht="17.15" hidden="false" customHeight="false" outlineLevel="0" collapsed="false">
      <c r="A683" s="3" t="s">
        <v>675</v>
      </c>
      <c r="B683" s="0" t="s">
        <v>45</v>
      </c>
      <c r="C683" s="20" t="n">
        <f aca="false">C666/C660</f>
        <v>0.195190527350447</v>
      </c>
      <c r="D683" s="20" t="n">
        <f aca="false">D666/D660</f>
        <v>0.285230933480641</v>
      </c>
      <c r="E683" s="20" t="n">
        <f aca="false">E666/E660</f>
        <v>0.223720330706817</v>
      </c>
      <c r="F683" s="20" t="n">
        <f aca="false">F666/F660</f>
        <v>0.179799282716305</v>
      </c>
      <c r="G683" s="20" t="n">
        <f aca="false">G666/G660</f>
        <v>0.146309242649801</v>
      </c>
      <c r="H683" s="26" t="n">
        <f aca="false">$G683+($G668*(1+tp_g)^(life/2)-$G683)*1/3</f>
        <v>0.137273291134534</v>
      </c>
      <c r="I683" s="26" t="n">
        <f aca="false">$G683+($G668*(1+tp_g)^(life/2)-$G683)*2/3</f>
        <v>0.128237339619268</v>
      </c>
      <c r="J683" s="26" t="n">
        <f aca="false">$G683+($G668*(1+tp_g)^(life/2)-$G683)*3/3</f>
        <v>0.119201388104001</v>
      </c>
      <c r="K683" s="7" t="s">
        <v>676</v>
      </c>
    </row>
    <row r="684" customFormat="false" ht="15" hidden="false" customHeight="false" outlineLevel="0" collapsed="false">
      <c r="A684" s="3" t="s">
        <v>677</v>
      </c>
      <c r="B684" s="0" t="s">
        <v>303</v>
      </c>
      <c r="E684" s="21" t="n">
        <f aca="false">E678+E667-E666</f>
        <v>14.304154070496</v>
      </c>
      <c r="F684" s="21" t="n">
        <f aca="false">F678+F667-F666</f>
        <v>27.0395281522538</v>
      </c>
      <c r="G684" s="21" t="n">
        <f aca="false">G678+G667-G666</f>
        <v>37.7399817199513</v>
      </c>
      <c r="H684" s="30" t="n">
        <f aca="false">H678+H667-H666</f>
        <v>44.8958535698143</v>
      </c>
      <c r="I684" s="30" t="n">
        <f aca="false">I678+I667-I666</f>
        <v>52.2933258542647</v>
      </c>
      <c r="J684" s="30" t="n">
        <f aca="false">J678+J667-J666</f>
        <v>59.6870180399621</v>
      </c>
      <c r="K684" s="3" t="s">
        <v>678</v>
      </c>
    </row>
    <row r="685" customFormat="false" ht="15" hidden="false" customHeight="false" outlineLevel="0" collapsed="false">
      <c r="A685" s="3" t="s">
        <v>679</v>
      </c>
      <c r="B685" s="0" t="s">
        <v>387</v>
      </c>
      <c r="E685" s="18" t="n">
        <f aca="false">E684/E679</f>
        <v>8.7220451649366</v>
      </c>
      <c r="F685" s="18" t="n">
        <f aca="false">F684/F679</f>
        <v>16.4875171660084</v>
      </c>
      <c r="G685" s="18" t="n">
        <f aca="false">G684/G679</f>
        <v>23.01218397558</v>
      </c>
      <c r="H685" s="28" t="n">
        <f aca="false">H684/H679</f>
        <v>27.375520469399</v>
      </c>
      <c r="I685" s="28" t="n">
        <f aca="false">I684/I679</f>
        <v>31.8861743013809</v>
      </c>
      <c r="J685" s="28" t="n">
        <f aca="false">J684/J679</f>
        <v>36.3945231950988</v>
      </c>
    </row>
    <row r="688" customFormat="false" ht="17.15" hidden="false" customHeight="false" outlineLevel="0" collapsed="false">
      <c r="A688" s="1" t="s">
        <v>1030</v>
      </c>
    </row>
    <row r="689" customFormat="false" ht="17.15" hidden="false" customHeight="false" outlineLevel="0" collapsed="false">
      <c r="A689" s="4" t="s">
        <v>22</v>
      </c>
      <c r="B689" s="4" t="s">
        <v>23</v>
      </c>
      <c r="C689" s="14" t="s">
        <v>508</v>
      </c>
      <c r="D689" s="14" t="s">
        <v>592</v>
      </c>
      <c r="E689" s="14" t="s">
        <v>593</v>
      </c>
      <c r="F689" s="14" t="s">
        <v>594</v>
      </c>
      <c r="G689" s="14" t="s">
        <v>595</v>
      </c>
      <c r="H689" s="14" t="s">
        <v>596</v>
      </c>
      <c r="I689" s="14" t="s">
        <v>597</v>
      </c>
      <c r="J689" s="14" t="s">
        <v>598</v>
      </c>
      <c r="K689" s="4" t="s">
        <v>481</v>
      </c>
    </row>
    <row r="690" customFormat="false" ht="17.15" hidden="false" customHeight="false" outlineLevel="0" collapsed="false">
      <c r="A690" s="5" t="s">
        <v>616</v>
      </c>
    </row>
    <row r="691" customFormat="false" ht="17.15" hidden="false" customHeight="false" outlineLevel="0" collapsed="false">
      <c r="A691" s="0" t="s">
        <v>617</v>
      </c>
      <c r="B691" s="3" t="s">
        <v>33</v>
      </c>
      <c r="D691" s="21" t="n">
        <f aca="false">(u_bw_26+u_rb_26+u_ru_26+u_hp_26)*1</f>
        <v>7.6</v>
      </c>
      <c r="E691" s="21" t="n">
        <f aca="false">(u_bw_27+u_rb_27+u_ru_27+u_hp_27)*1*1</f>
        <v>9.7</v>
      </c>
      <c r="F691" s="21" t="n">
        <f aca="false">(u_bw_28+u_rb_28+u_ru_28+u_hp_28)*um28_A*1</f>
        <v>9.5</v>
      </c>
      <c r="G691" s="21" t="n">
        <f aca="false">(u_bw_28*(1+g29_bw)+u_rb_28*(1+g29_rb)+u_ru_28*(1+g29_ru)+u_hp_28*(1+g29_hp))*um29_A*1</f>
        <v>10.6</v>
      </c>
      <c r="K691" s="7" t="s">
        <v>618</v>
      </c>
    </row>
    <row r="692" customFormat="false" ht="17.15" hidden="false" customHeight="false" outlineLevel="0" collapsed="false">
      <c r="A692" s="3" t="s">
        <v>619</v>
      </c>
      <c r="B692" s="3" t="s">
        <v>33</v>
      </c>
      <c r="D692" s="21" t="n">
        <f aca="false">(u_amd_26+u_tpu_26+u_trn_26+u_oth_26)*1</f>
        <v>7.6</v>
      </c>
      <c r="E692" s="21" t="n">
        <f aca="false">(u_amd_27+u_tpu_27+u_trn_27+u_oth_27)*1*1</f>
        <v>14</v>
      </c>
      <c r="F692" s="21" t="n">
        <f aca="false">(u_amd_28+u_tpu_28+u_trn_28+u_oth_28)*um28_A*1</f>
        <v>17</v>
      </c>
      <c r="G692" s="21" t="n">
        <f aca="false">(u_amd_28*(1+g29_amd)+u_tpu_28*(1+g29_tpu)+u_trn_28*(1+g29_trn)+u_oth_28*(1+g29_oth))*um29_A*1</f>
        <v>19.55</v>
      </c>
      <c r="K692" s="7" t="s">
        <v>620</v>
      </c>
    </row>
    <row r="693" customFormat="false" ht="17.15" hidden="false" customHeight="false" outlineLevel="0" collapsed="false">
      <c r="A693" s="3" t="s">
        <v>621</v>
      </c>
      <c r="B693" s="0" t="s">
        <v>145</v>
      </c>
      <c r="D693" s="19" t="n">
        <f aca="false">1</f>
        <v>1</v>
      </c>
      <c r="E693" s="19" t="n">
        <f aca="false">D693*(1+g_asp)</f>
        <v>1.18</v>
      </c>
      <c r="F693" s="19" t="n">
        <f aca="false">E693*(1+g_asp)</f>
        <v>1.3924</v>
      </c>
      <c r="G693" s="19" t="n">
        <f aca="false">F693*(1+g_asp)</f>
        <v>1.643032</v>
      </c>
      <c r="K693" s="7" t="s">
        <v>622</v>
      </c>
    </row>
    <row r="694" customFormat="false" ht="17.15" hidden="false" customHeight="false" outlineLevel="0" collapsed="false">
      <c r="A694" s="0" t="s">
        <v>623</v>
      </c>
      <c r="B694" s="0" t="s">
        <v>145</v>
      </c>
      <c r="D694" s="18" t="n">
        <f aca="false">1</f>
        <v>1</v>
      </c>
      <c r="E694" s="18" t="n">
        <f aca="false">ibpp_27</f>
        <v>1</v>
      </c>
      <c r="F694" s="18" t="n">
        <f aca="false">ibpp_28</f>
        <v>0.95</v>
      </c>
      <c r="G694" s="18" t="n">
        <f aca="false">ibpp_29</f>
        <v>0.9</v>
      </c>
      <c r="K694" s="7" t="s">
        <v>624</v>
      </c>
    </row>
    <row r="695" customFormat="false" ht="17.15" hidden="false" customHeight="false" outlineLevel="0" collapsed="false">
      <c r="A695" s="3" t="s">
        <v>625</v>
      </c>
      <c r="B695" s="0" t="s">
        <v>145</v>
      </c>
      <c r="D695" s="18" t="n">
        <f aca="false">1</f>
        <v>1</v>
      </c>
      <c r="E695" s="18" t="n">
        <f aca="false">1+carry</f>
        <v>1.05</v>
      </c>
      <c r="F695" s="18" t="n">
        <f aca="false">1+carry</f>
        <v>1.05</v>
      </c>
      <c r="G695" s="18" t="n">
        <f aca="false">1+carry</f>
        <v>1.05</v>
      </c>
      <c r="K695" s="7" t="s">
        <v>626</v>
      </c>
    </row>
    <row r="696" customFormat="false" ht="17.15" hidden="false" customHeight="false" outlineLevel="0" collapsed="false">
      <c r="A696" s="3" t="s">
        <v>627</v>
      </c>
      <c r="B696" s="0" t="s">
        <v>628</v>
      </c>
      <c r="D696" s="23" t="n">
        <f aca="false">v26*D693*D694</f>
        <v>215.308596</v>
      </c>
      <c r="E696" s="23" t="n">
        <f aca="false">v26*E693*E694</f>
        <v>254.06414328</v>
      </c>
      <c r="F696" s="23" t="n">
        <f aca="false">v26*F693*F694</f>
        <v>284.80590461688</v>
      </c>
      <c r="G696" s="23" t="n">
        <f aca="false">v26*G693*G694</f>
        <v>318.383021792765</v>
      </c>
      <c r="K696" s="7" t="s">
        <v>629</v>
      </c>
    </row>
    <row r="697" customFormat="false" ht="17.15" hidden="false" customHeight="false" outlineLevel="0" collapsed="false">
      <c r="A697" s="3" t="s">
        <v>630</v>
      </c>
      <c r="B697" s="0" t="s">
        <v>45</v>
      </c>
      <c r="D697" s="20" t="n">
        <f aca="false">sh_nv_26</f>
        <v>0.25</v>
      </c>
      <c r="E697" s="20" t="n">
        <f aca="false">sh_nv_27</f>
        <v>0.27</v>
      </c>
      <c r="F697" s="20" t="n">
        <f aca="false">sh_nv_28</f>
        <v>0.29</v>
      </c>
      <c r="G697" s="20" t="n">
        <f aca="false">sh_nv_29</f>
        <v>0.3</v>
      </c>
    </row>
    <row r="698" customFormat="false" ht="17.15" hidden="false" customHeight="false" outlineLevel="0" collapsed="false">
      <c r="A698" s="3" t="s">
        <v>631</v>
      </c>
      <c r="B698" s="0" t="s">
        <v>45</v>
      </c>
      <c r="D698" s="20" t="n">
        <f aca="false">sh_ot_26</f>
        <v>0.3</v>
      </c>
      <c r="E698" s="20" t="n">
        <f aca="false">sh_ot_27</f>
        <v>0.31</v>
      </c>
      <c r="F698" s="20" t="n">
        <f aca="false">sh_ot_28</f>
        <v>0.32</v>
      </c>
      <c r="G698" s="20" t="n">
        <f aca="false">sh_ot_29</f>
        <v>0.33</v>
      </c>
    </row>
    <row r="699" customFormat="false" ht="17.15" hidden="false" customHeight="false" outlineLevel="0" collapsed="false">
      <c r="A699" s="3" t="s">
        <v>632</v>
      </c>
      <c r="B699" s="0" t="s">
        <v>582</v>
      </c>
      <c r="D699" s="22" t="n">
        <f aca="false">(D691*D696*D697+D692*D696*v_ot*D698)*D695</f>
        <v>801.809211504</v>
      </c>
      <c r="E699" s="22" t="n">
        <f aca="false">(E691*E696*E697+E692*E696*v_ot*E698)*E695</f>
        <v>1624.8799315544</v>
      </c>
      <c r="F699" s="22" t="n">
        <f aca="false">(F691*F696*F697+F692*F696*v_ot*F698)*F695</f>
        <v>2125.32134231777</v>
      </c>
      <c r="G699" s="22" t="n">
        <f aca="false">(G691*G696*G697+G692*G696*v_ot*G698)*G695</f>
        <v>2788.4812844467</v>
      </c>
    </row>
    <row r="700" customFormat="false" ht="15" hidden="false" customHeight="false" outlineLevel="0" collapsed="false">
      <c r="A700" s="3" t="s">
        <v>633</v>
      </c>
      <c r="B700" s="0" t="s">
        <v>303</v>
      </c>
      <c r="D700" s="21" t="n">
        <f aca="false">D699*fx/1000</f>
        <v>25.657894768128</v>
      </c>
      <c r="E700" s="21" t="n">
        <f aca="false">E699*fx/1000</f>
        <v>51.9961578097409</v>
      </c>
      <c r="F700" s="21" t="n">
        <f aca="false">F699*fx/1000</f>
        <v>68.0102829541688</v>
      </c>
      <c r="G700" s="21" t="n">
        <f aca="false">G699*fx/1000</f>
        <v>89.2314011022944</v>
      </c>
    </row>
    <row r="701" customFormat="false" ht="17.15" hidden="false" customHeight="false" outlineLevel="0" collapsed="false">
      <c r="A701" s="5" t="s">
        <v>634</v>
      </c>
    </row>
    <row r="702" customFormat="false" ht="17.15" hidden="false" customHeight="false" outlineLevel="0" collapsed="false">
      <c r="A702" s="0" t="s">
        <v>635</v>
      </c>
      <c r="B702" s="0" t="s">
        <v>303</v>
      </c>
      <c r="D702" s="21" t="n">
        <f aca="false">a26_abf*ai_abf</f>
        <v>74.83672875</v>
      </c>
      <c r="K702" s="3" t="s">
        <v>636</v>
      </c>
    </row>
    <row r="703" customFormat="false" ht="17.15" hidden="false" customHeight="false" outlineLevel="0" collapsed="false">
      <c r="A703" s="3" t="s">
        <v>637</v>
      </c>
      <c r="B703" s="0" t="s">
        <v>303</v>
      </c>
      <c r="D703" s="21" t="n">
        <f aca="false">D702-D700</f>
        <v>49.178833981872</v>
      </c>
      <c r="E703" s="21" t="n">
        <f aca="false">$D703*(itc_27/itc_26)^el_o*1*1*E694*E695</f>
        <v>73.0642903440322</v>
      </c>
      <c r="F703" s="21" t="n">
        <f aca="false">$D703*(itc_28/itc_26)^el_o*um28_A*1*F694*F695</f>
        <v>78.1488805595188</v>
      </c>
      <c r="G703" s="21" t="n">
        <f aca="false">$D703*(itc_29/itc_26)^el_o*um29_A*1*G694*G695</f>
        <v>79.0193888474949</v>
      </c>
      <c r="K703" s="7" t="s">
        <v>638</v>
      </c>
    </row>
    <row r="704" customFormat="false" ht="17.15" hidden="false" customHeight="false" outlineLevel="0" collapsed="false">
      <c r="A704" s="3" t="s">
        <v>639</v>
      </c>
      <c r="B704" s="0" t="s">
        <v>303</v>
      </c>
      <c r="D704" s="21" t="n">
        <f aca="false">a26_abf-D702</f>
        <v>24.94557625</v>
      </c>
      <c r="E704" s="21" t="n">
        <f aca="false">D704*(1+g_nai)</f>
        <v>25.6939435375</v>
      </c>
      <c r="F704" s="21" t="n">
        <f aca="false">E704*(1+g_nai)</f>
        <v>26.464761843625</v>
      </c>
      <c r="G704" s="21" t="n">
        <f aca="false">F704*(1+g_nai)</f>
        <v>27.2587046989338</v>
      </c>
    </row>
    <row r="705" customFormat="false" ht="17.15" hidden="false" customHeight="false" outlineLevel="0" collapsed="false">
      <c r="A705" s="0" t="s">
        <v>640</v>
      </c>
      <c r="B705" s="0" t="s">
        <v>303</v>
      </c>
      <c r="D705" s="21" t="n">
        <f aca="false">D700+D703+D704</f>
        <v>99.782305</v>
      </c>
      <c r="E705" s="21" t="n">
        <f aca="false">E700+E703+E704</f>
        <v>150.754391691273</v>
      </c>
      <c r="F705" s="21" t="n">
        <f aca="false">F700+F703+F704</f>
        <v>172.623925357313</v>
      </c>
      <c r="G705" s="21" t="n">
        <f aca="false">G700+G703+G704</f>
        <v>195.509494648723</v>
      </c>
    </row>
    <row r="706" customFormat="false" ht="17.15" hidden="false" customHeight="false" outlineLevel="0" collapsed="false">
      <c r="A706" s="0" t="s">
        <v>641</v>
      </c>
      <c r="B706" s="0" t="s">
        <v>303</v>
      </c>
      <c r="D706" s="21" t="n">
        <f aca="false">a26_abf</f>
        <v>99.782305</v>
      </c>
      <c r="E706" s="21" t="n">
        <f aca="false">$D705*cap_27*(1+g_mix)^1*E694*E695</f>
        <v>148.513488204375</v>
      </c>
      <c r="F706" s="21" t="n">
        <f aca="false">$D705*cap_28*(1+g_mix)^2*F694*F695</f>
        <v>186.549442683384</v>
      </c>
      <c r="G706" s="21" t="n">
        <f aca="false">$D705*cap_29*(1+g_mix)^3*G694*G695</f>
        <v>218.314827660431</v>
      </c>
      <c r="K706" s="7" t="s">
        <v>642</v>
      </c>
    </row>
    <row r="707" customFormat="false" ht="17.15" hidden="false" customHeight="false" outlineLevel="0" collapsed="false">
      <c r="A707" s="0" t="s">
        <v>643</v>
      </c>
      <c r="B707" s="0" t="s">
        <v>303</v>
      </c>
      <c r="D707" s="21" t="n">
        <f aca="false">a26_abf</f>
        <v>99.782305</v>
      </c>
      <c r="E707" s="21" t="n">
        <f aca="false">MIN(E705,E706)</f>
        <v>148.513488204375</v>
      </c>
      <c r="F707" s="21" t="n">
        <f aca="false">MIN(F705,F706)</f>
        <v>172.623925357313</v>
      </c>
      <c r="G707" s="21" t="n">
        <f aca="false">MIN(G705,G706)</f>
        <v>195.509494648723</v>
      </c>
    </row>
    <row r="708" customFormat="false" ht="17.15" hidden="false" customHeight="false" outlineLevel="0" collapsed="false">
      <c r="A708" s="3" t="s">
        <v>644</v>
      </c>
      <c r="B708" s="0" t="s">
        <v>45</v>
      </c>
      <c r="D708" s="20" t="n">
        <f aca="false">D707/D705</f>
        <v>1</v>
      </c>
      <c r="E708" s="20" t="n">
        <f aca="false">E707/E705</f>
        <v>0.985135401617438</v>
      </c>
      <c r="F708" s="20" t="n">
        <f aca="false">F707/F705</f>
        <v>1</v>
      </c>
      <c r="G708" s="20" t="n">
        <f aca="false">G707/G705</f>
        <v>1</v>
      </c>
    </row>
    <row r="709" customFormat="false" ht="17.15" hidden="false" customHeight="false" outlineLevel="0" collapsed="false">
      <c r="A709" s="0" t="s">
        <v>645</v>
      </c>
      <c r="B709" s="0" t="s">
        <v>303</v>
      </c>
      <c r="D709" s="21" t="n">
        <f aca="false">(D700+D703)*D708</f>
        <v>74.83672875</v>
      </c>
      <c r="E709" s="21" t="n">
        <f aca="false">(E700+E703)*E708</f>
        <v>123.201474818424</v>
      </c>
      <c r="F709" s="21" t="n">
        <f aca="false">(F700+F703)*F708</f>
        <v>146.159163513688</v>
      </c>
      <c r="G709" s="21" t="n">
        <f aca="false">(G700+G703)*G708</f>
        <v>168.250789949789</v>
      </c>
    </row>
    <row r="710" customFormat="false" ht="17.15" hidden="false" customHeight="false" outlineLevel="0" collapsed="false">
      <c r="A710" s="3" t="s">
        <v>646</v>
      </c>
      <c r="B710" s="0" t="s">
        <v>45</v>
      </c>
      <c r="D710" s="20" t="n">
        <f aca="false">D700/(D700+D703)</f>
        <v>0.342851634440636</v>
      </c>
      <c r="E710" s="20" t="n">
        <f aca="false">E700/(E700+E703)</f>
        <v>0.41576820311572</v>
      </c>
      <c r="F710" s="20" t="n">
        <f aca="false">F700/(F700+F703)</f>
        <v>0.465316585831443</v>
      </c>
      <c r="G710" s="20" t="n">
        <f aca="false">G700/(G700+G703)</f>
        <v>0.530347590813235</v>
      </c>
    </row>
    <row r="711" customFormat="false" ht="17.15" hidden="false" customHeight="false" outlineLevel="0" collapsed="false">
      <c r="A711" s="5" t="s">
        <v>647</v>
      </c>
    </row>
    <row r="712" customFormat="false" ht="17.15" hidden="false" customHeight="false" outlineLevel="0" collapsed="false">
      <c r="A712" s="0" t="s">
        <v>550</v>
      </c>
      <c r="B712" s="0" t="s">
        <v>303</v>
      </c>
      <c r="D712" s="21" t="n">
        <f aca="false">a26_bt</f>
        <v>16.944165</v>
      </c>
      <c r="E712" s="21" t="n">
        <f aca="false">D712*(1+g_bt)</f>
        <v>17.79137325</v>
      </c>
      <c r="F712" s="21" t="n">
        <f aca="false">E712*(1+g_bt)</f>
        <v>18.6809419125</v>
      </c>
      <c r="G712" s="21" t="n">
        <f aca="false">F712*(1+g_bt)</f>
        <v>19.614989008125</v>
      </c>
    </row>
    <row r="713" customFormat="false" ht="17.15" hidden="false" customHeight="false" outlineLevel="0" collapsed="false">
      <c r="A713" s="0" t="s">
        <v>648</v>
      </c>
      <c r="B713" s="0" t="s">
        <v>303</v>
      </c>
      <c r="D713" s="21" t="n">
        <f aca="false">a26_pcb*ai_pcb</f>
        <v>37.93610275</v>
      </c>
      <c r="E713" s="21" t="n">
        <f aca="false">D713*(1+g_pai_27)</f>
        <v>45.5233233</v>
      </c>
      <c r="F713" s="21" t="n">
        <f aca="false">D713*(1+g_pai_27)*(1+g_pai_28)*um28_A</f>
        <v>52.351821795</v>
      </c>
      <c r="G713" s="21" t="n">
        <f aca="false">D713*(1+g_pai_27)*(1+g_pai_28)*(1+g_pai_29)*um29_A</f>
        <v>57.5870039745</v>
      </c>
      <c r="K713" s="3" t="s">
        <v>649</v>
      </c>
    </row>
    <row r="714" customFormat="false" ht="17.15" hidden="false" customHeight="false" outlineLevel="0" collapsed="false">
      <c r="A714" s="3" t="s">
        <v>650</v>
      </c>
      <c r="B714" s="0" t="s">
        <v>303</v>
      </c>
      <c r="D714" s="21" t="n">
        <f aca="false">a26_pcb*(1-ai_pcb)</f>
        <v>20.42713225</v>
      </c>
      <c r="E714" s="21" t="n">
        <f aca="false">D714*(1+g_pcbn)</f>
        <v>20.835674895</v>
      </c>
      <c r="F714" s="21" t="n">
        <f aca="false">E714*(1+g_pcbn)</f>
        <v>21.2523883929</v>
      </c>
      <c r="G714" s="21" t="n">
        <f aca="false">F714*(1+g_pcbn)</f>
        <v>21.677436160758</v>
      </c>
    </row>
    <row r="715" customFormat="false" ht="15" hidden="false" customHeight="false" outlineLevel="0" collapsed="false">
      <c r="A715" s="3" t="s">
        <v>552</v>
      </c>
      <c r="B715" s="0" t="s">
        <v>303</v>
      </c>
      <c r="D715" s="21" t="n">
        <f aca="false">a26_fpc</f>
        <v>13.178795</v>
      </c>
      <c r="E715" s="21" t="n">
        <f aca="false">D715*(1+g_fpc)</f>
        <v>13.178795</v>
      </c>
      <c r="F715" s="21" t="n">
        <f aca="false">E715*(1+g_fpc)</f>
        <v>13.178795</v>
      </c>
      <c r="G715" s="21" t="n">
        <f aca="false">F715*(1+g_fpc)</f>
        <v>13.178795</v>
      </c>
    </row>
    <row r="716" customFormat="false" ht="17.15" hidden="false" customHeight="false" outlineLevel="0" collapsed="false">
      <c r="A716" s="3" t="s">
        <v>651</v>
      </c>
      <c r="B716" s="0" t="s">
        <v>303</v>
      </c>
      <c r="D716" s="21" t="n">
        <f aca="false">D707+D712</f>
        <v>116.72647</v>
      </c>
      <c r="E716" s="21" t="n">
        <f aca="false">E707+E712</f>
        <v>166.304861454375</v>
      </c>
      <c r="F716" s="21" t="n">
        <f aca="false">F707+F712</f>
        <v>191.304867269813</v>
      </c>
      <c r="G716" s="21" t="n">
        <f aca="false">G707+G712</f>
        <v>215.124483656848</v>
      </c>
      <c r="K716" s="3" t="s">
        <v>652</v>
      </c>
    </row>
    <row r="717" customFormat="false" ht="17.15" hidden="false" customHeight="false" outlineLevel="0" collapsed="false">
      <c r="A717" s="0" t="s">
        <v>653</v>
      </c>
      <c r="B717" s="0" t="s">
        <v>303</v>
      </c>
      <c r="D717" s="21" t="n">
        <f aca="false">D713+D714</f>
        <v>58.363235</v>
      </c>
      <c r="E717" s="21" t="n">
        <f aca="false">E713+E714</f>
        <v>66.358998195</v>
      </c>
      <c r="F717" s="21" t="n">
        <f aca="false">F713+F714</f>
        <v>73.6042101879</v>
      </c>
      <c r="G717" s="21" t="n">
        <f aca="false">G713+G714</f>
        <v>79.264440135258</v>
      </c>
      <c r="K717" s="3" t="s">
        <v>654</v>
      </c>
    </row>
    <row r="718" customFormat="false" ht="17.15" hidden="false" customHeight="false" outlineLevel="0" collapsed="false">
      <c r="A718" s="3" t="s">
        <v>515</v>
      </c>
      <c r="B718" s="0" t="s">
        <v>303</v>
      </c>
      <c r="C718" s="23" t="n">
        <f aca="false">a25_rev</f>
        <v>131.241</v>
      </c>
      <c r="D718" s="23" t="n">
        <f aca="false">D716+D717+D715</f>
        <v>188.2685</v>
      </c>
      <c r="E718" s="23" t="n">
        <f aca="false">E716+E717+E715</f>
        <v>245.842654649375</v>
      </c>
      <c r="F718" s="23" t="n">
        <f aca="false">F716+F717+F715</f>
        <v>278.087872457713</v>
      </c>
      <c r="G718" s="23" t="n">
        <f aca="false">G716+G717+G715</f>
        <v>307.567718792106</v>
      </c>
      <c r="H718" s="25" t="n">
        <f aca="false">G718*(1+H720)</f>
        <v>335.455725464882</v>
      </c>
      <c r="I718" s="25" t="n">
        <f aca="false">H718*(1+I720)</f>
        <v>360.727741503264</v>
      </c>
      <c r="J718" s="25" t="n">
        <f aca="false">I718*(1+J720)</f>
        <v>382.371405993459</v>
      </c>
      <c r="K718" s="7" t="s">
        <v>655</v>
      </c>
    </row>
    <row r="719" customFormat="false" ht="17.15" hidden="false" customHeight="false" outlineLevel="0" collapsed="false">
      <c r="A719" s="3" t="s">
        <v>656</v>
      </c>
      <c r="B719" s="0" t="s">
        <v>303</v>
      </c>
      <c r="D719" s="19" t="n">
        <f aca="false">D716+D717+D715-D718</f>
        <v>0</v>
      </c>
      <c r="E719" s="19" t="n">
        <f aca="false">E716+E717+E715-E718</f>
        <v>0</v>
      </c>
      <c r="F719" s="19" t="n">
        <f aca="false">F716+F717+F715-F718</f>
        <v>0</v>
      </c>
      <c r="G719" s="19" t="n">
        <f aca="false">G716+G717+G715-G718</f>
        <v>0</v>
      </c>
    </row>
    <row r="720" customFormat="false" ht="15" hidden="false" customHeight="false" outlineLevel="0" collapsed="false">
      <c r="A720" s="3" t="s">
        <v>657</v>
      </c>
      <c r="B720" s="0" t="s">
        <v>45</v>
      </c>
      <c r="D720" s="20" t="n">
        <f aca="false">D718/C718-1</f>
        <v>0.434525034097576</v>
      </c>
      <c r="E720" s="20" t="n">
        <f aca="false">E718/D718-1</f>
        <v>0.30580875</v>
      </c>
      <c r="F720" s="20" t="n">
        <f aca="false">F718/E718-1</f>
        <v>0.131162014396266</v>
      </c>
      <c r="G720" s="20" t="n">
        <f aca="false">G718/F718-1</f>
        <v>0.106009104510217</v>
      </c>
      <c r="H720" s="26" t="n">
        <f aca="false">$G720+(fade_gA-$G720)*1/3</f>
        <v>0.0906727363401445</v>
      </c>
      <c r="I720" s="26" t="n">
        <f aca="false">$G720+(fade_gA-$G720)*2/3</f>
        <v>0.0753363681700722</v>
      </c>
      <c r="J720" s="26" t="n">
        <f aca="false">$G720+(fade_gA-$G720)*3/3</f>
        <v>0.06</v>
      </c>
    </row>
    <row r="721" customFormat="false" ht="17.15" hidden="false" customHeight="false" outlineLevel="0" collapsed="false">
      <c r="A721" s="0" t="s">
        <v>658</v>
      </c>
      <c r="B721" s="0" t="s">
        <v>45</v>
      </c>
      <c r="D721" s="20" t="n">
        <f aca="false">D707/D718</f>
        <v>0.53</v>
      </c>
      <c r="E721" s="20" t="n">
        <f aca="false">E707/E718</f>
        <v>0.604099758100105</v>
      </c>
      <c r="F721" s="20" t="n">
        <f aca="false">F707/F718</f>
        <v>0.620753159178355</v>
      </c>
      <c r="G721" s="20" t="n">
        <f aca="false">G707/G718</f>
        <v>0.635663246508889</v>
      </c>
    </row>
    <row r="722" customFormat="false" ht="17.15" hidden="false" customHeight="false" outlineLevel="0" collapsed="false">
      <c r="A722" s="0" t="s">
        <v>659</v>
      </c>
      <c r="B722" s="0" t="s">
        <v>45</v>
      </c>
      <c r="D722" s="20" t="n">
        <f aca="false">(D709+D713)/D718</f>
        <v>0.599</v>
      </c>
      <c r="E722" s="20" t="n">
        <f aca="false">(E709+E713)/E718</f>
        <v>0.686312138790815</v>
      </c>
      <c r="F722" s="20" t="n">
        <f aca="false">(F709+F713)/F718</f>
        <v>0.713842655396179</v>
      </c>
      <c r="G722" s="20" t="n">
        <f aca="false">(G709+G713)/G718</f>
        <v>0.734270146461436</v>
      </c>
      <c r="K722" s="3" t="s">
        <v>660</v>
      </c>
    </row>
    <row r="723" customFormat="false" ht="17.15" hidden="false" customHeight="false" outlineLevel="0" collapsed="false">
      <c r="A723" s="5" t="s">
        <v>661</v>
      </c>
    </row>
    <row r="724" customFormat="false" ht="15" hidden="false" customHeight="false" outlineLevel="0" collapsed="false">
      <c r="A724" s="3" t="s">
        <v>662</v>
      </c>
      <c r="B724" s="0" t="s">
        <v>303</v>
      </c>
      <c r="C724" s="23" t="n">
        <f aca="false">a25_cx</f>
        <v>25.617</v>
      </c>
      <c r="D724" s="23" t="n">
        <f aca="false">capex26</f>
        <v>53.7</v>
      </c>
      <c r="E724" s="23" t="n">
        <f aca="false">cx27_A</f>
        <v>55</v>
      </c>
      <c r="F724" s="23" t="n">
        <f aca="false">cx28_A</f>
        <v>50</v>
      </c>
      <c r="G724" s="23" t="n">
        <f aca="false">cx29_A</f>
        <v>45</v>
      </c>
      <c r="H724" s="25" t="n">
        <f aca="false">H718*H741</f>
        <v>46.0491114644872</v>
      </c>
      <c r="I724" s="25" t="n">
        <f aca="false">I718*I741</f>
        <v>46.2587658972454</v>
      </c>
      <c r="J724" s="25" t="n">
        <f aca="false">J718*J741</f>
        <v>45.5792023656988</v>
      </c>
    </row>
    <row r="725" customFormat="false" ht="17.15" hidden="false" customHeight="false" outlineLevel="0" collapsed="false">
      <c r="A725" s="3" t="s">
        <v>663</v>
      </c>
      <c r="B725" s="0" t="s">
        <v>303</v>
      </c>
      <c r="C725" s="23" t="n">
        <f aca="false">a25_da</f>
        <v>18.8</v>
      </c>
      <c r="D725" s="23" t="n">
        <f aca="false">da26</f>
        <v>20.8</v>
      </c>
      <c r="E725" s="23" t="n">
        <f aca="false">D725*(1-1/life)+D724/life</f>
        <v>24.9125</v>
      </c>
      <c r="F725" s="23" t="n">
        <f aca="false">E725*(1-1/life)+E724/life</f>
        <v>28.6734375</v>
      </c>
      <c r="G725" s="23" t="n">
        <f aca="false">F725*(1-1/life)+F724/life</f>
        <v>31.3392578125</v>
      </c>
      <c r="H725" s="25" t="n">
        <f aca="false">H718*H726</f>
        <v>34.1808740732286</v>
      </c>
      <c r="I725" s="25" t="n">
        <f aca="false">I718*I726</f>
        <v>36.7559369867843</v>
      </c>
      <c r="J725" s="25" t="n">
        <f aca="false">J718*J726</f>
        <v>38.9612932059913</v>
      </c>
      <c r="K725" s="3" t="s">
        <v>664</v>
      </c>
    </row>
    <row r="726" customFormat="false" ht="17.15" hidden="false" customHeight="false" outlineLevel="0" collapsed="false">
      <c r="A726" s="3" t="s">
        <v>665</v>
      </c>
      <c r="B726" s="0" t="s">
        <v>45</v>
      </c>
      <c r="C726" s="20" t="n">
        <f aca="false">C725/C718</f>
        <v>0.143247917952469</v>
      </c>
      <c r="D726" s="20" t="n">
        <f aca="false">D725/D718</f>
        <v>0.110480510547436</v>
      </c>
      <c r="E726" s="20" t="n">
        <f aca="false">E725/E718</f>
        <v>0.101335140704247</v>
      </c>
      <c r="F726" s="20" t="n">
        <f aca="false">F725/F718</f>
        <v>0.103109269910216</v>
      </c>
      <c r="G726" s="20" t="n">
        <f aca="false">G725/G718</f>
        <v>0.101893846127861</v>
      </c>
      <c r="H726" s="26" t="n">
        <f aca="false">$G726</f>
        <v>0.101893846127861</v>
      </c>
      <c r="I726" s="26" t="n">
        <f aca="false">$G726</f>
        <v>0.101893846127861</v>
      </c>
      <c r="J726" s="26" t="n">
        <f aca="false">$G726</f>
        <v>0.101893846127861</v>
      </c>
    </row>
    <row r="727" customFormat="false" ht="17.15" hidden="false" customHeight="false" outlineLevel="0" collapsed="false">
      <c r="A727" s="3" t="s">
        <v>666</v>
      </c>
      <c r="B727" s="0" t="s">
        <v>303</v>
      </c>
      <c r="E727" s="21" t="n">
        <f aca="false">E709*(1-1/(E694*E695))</f>
        <v>5.86673689611544</v>
      </c>
      <c r="F727" s="21" t="n">
        <f aca="false">F709*(1-1/(F694*F695))</f>
        <v>-0.366313693016785</v>
      </c>
      <c r="G727" s="21" t="n">
        <f aca="false">G709*(1-1/(G694*G695))</f>
        <v>-9.7923740182417</v>
      </c>
      <c r="K727" s="7" t="s">
        <v>667</v>
      </c>
    </row>
    <row r="728" customFormat="false" ht="17.15" hidden="false" customHeight="false" outlineLevel="0" collapsed="false">
      <c r="A728" s="3" t="s">
        <v>668</v>
      </c>
      <c r="B728" s="0" t="s">
        <v>303</v>
      </c>
      <c r="C728" s="21" t="n">
        <f aca="false">a25_gp</f>
        <v>18.292</v>
      </c>
      <c r="D728" s="21" t="n">
        <f aca="false">a26_gp</f>
        <v>47.3329657</v>
      </c>
      <c r="E728" s="21" t="n">
        <f aca="false">$D728+ft_abf*(E707-E727-$D707)+ft_oth_hi*((E718-E707)-($D718-$D707))+E727-(E725-$D725)</f>
        <v>73.6144657559952</v>
      </c>
      <c r="F728" s="21" t="n">
        <f aca="false">$D728+ft_abf*(F707-F727-$D707)+ft_oth_hi*((F718-F707)-($D718-$D707))+F727-(F725-$D725)</f>
        <v>81.6393947672879</v>
      </c>
      <c r="G728" s="21" t="n">
        <f aca="false">$D728+ft_abf*(G707-G727-$D707)+ft_oth_hi*((G718-G707)-($D718-$D707))+G727-(G725-$D725)</f>
        <v>88.0113259029247</v>
      </c>
      <c r="K728" s="3" t="s">
        <v>669</v>
      </c>
    </row>
    <row r="729" customFormat="false" ht="15" hidden="false" customHeight="false" outlineLevel="0" collapsed="false">
      <c r="A729" s="3" t="s">
        <v>522</v>
      </c>
      <c r="B729" s="0" t="s">
        <v>45</v>
      </c>
      <c r="C729" s="13" t="n">
        <f aca="false">C728/C718</f>
        <v>0.139377176339711</v>
      </c>
      <c r="D729" s="13" t="n">
        <f aca="false">D728/D718</f>
        <v>0.251412029627899</v>
      </c>
      <c r="E729" s="13" t="n">
        <f aca="false">E728/E718</f>
        <v>0.29943732043158</v>
      </c>
      <c r="F729" s="13" t="n">
        <f aca="false">F728/F718</f>
        <v>0.293574092411032</v>
      </c>
      <c r="G729" s="13" t="n">
        <f aca="false">G728/G718</f>
        <v>0.286152676388038</v>
      </c>
    </row>
    <row r="730" customFormat="false" ht="15" hidden="false" customHeight="false" outlineLevel="0" collapsed="false">
      <c r="A730" s="3" t="s">
        <v>524</v>
      </c>
      <c r="B730" s="0" t="s">
        <v>303</v>
      </c>
      <c r="C730" s="21" t="n">
        <f aca="false">a25_opx</f>
        <v>11.618</v>
      </c>
      <c r="D730" s="21" t="n">
        <f aca="false">a26_opx</f>
        <v>16.6539532</v>
      </c>
      <c r="E730" s="21" t="n">
        <f aca="false">D730*(1+phi*E720)</f>
        <v>19.7097079663903</v>
      </c>
      <c r="F730" s="21" t="n">
        <f aca="false">E730*(1+phi*F720)</f>
        <v>21.2608069664106</v>
      </c>
      <c r="G730" s="21" t="n">
        <f aca="false">F730*(1+phi*G720)</f>
        <v>22.6131104310149</v>
      </c>
    </row>
    <row r="731" customFormat="false" ht="15" hidden="false" customHeight="false" outlineLevel="0" collapsed="false">
      <c r="A731" s="3" t="s">
        <v>527</v>
      </c>
      <c r="B731" s="0" t="s">
        <v>303</v>
      </c>
      <c r="C731" s="21" t="n">
        <f aca="false">C728-C730</f>
        <v>6.674</v>
      </c>
      <c r="D731" s="21" t="n">
        <f aca="false">D728-D730</f>
        <v>30.6790125</v>
      </c>
      <c r="E731" s="21" t="n">
        <f aca="false">E728-E730</f>
        <v>53.9047577896049</v>
      </c>
      <c r="F731" s="21" t="n">
        <f aca="false">F728-F730</f>
        <v>60.3785878008773</v>
      </c>
      <c r="G731" s="21" t="n">
        <f aca="false">G728-G730</f>
        <v>65.3982154719098</v>
      </c>
    </row>
    <row r="732" customFormat="false" ht="15" hidden="false" customHeight="false" outlineLevel="0" collapsed="false">
      <c r="A732" s="3" t="s">
        <v>605</v>
      </c>
      <c r="B732" s="0" t="s">
        <v>45</v>
      </c>
      <c r="C732" s="13" t="n">
        <f aca="false">C731/C718</f>
        <v>0.0508530108731265</v>
      </c>
      <c r="D732" s="13" t="n">
        <f aca="false">D731/D718</f>
        <v>0.162953507888999</v>
      </c>
      <c r="E732" s="13" t="n">
        <f aca="false">E731/E718</f>
        <v>0.219265277079296</v>
      </c>
      <c r="F732" s="13" t="n">
        <f aca="false">F731/F718</f>
        <v>0.217120535560423</v>
      </c>
      <c r="G732" s="13" t="n">
        <f aca="false">G731/G718</f>
        <v>0.212630297252081</v>
      </c>
    </row>
    <row r="733" customFormat="false" ht="17.15" hidden="false" customHeight="false" outlineLevel="0" collapsed="false">
      <c r="A733" s="3" t="s">
        <v>670</v>
      </c>
      <c r="B733" s="0" t="s">
        <v>303</v>
      </c>
      <c r="C733" s="21" t="n">
        <f aca="false">a25_nonop</f>
        <v>-0.00100000000000033</v>
      </c>
      <c r="D733" s="21" t="n">
        <f aca="false">a26_nonop</f>
        <v>14.466</v>
      </c>
      <c r="E733" s="21" t="n">
        <f aca="false">nonop27</f>
        <v>2</v>
      </c>
      <c r="F733" s="21" t="n">
        <f aca="false">nonop28</f>
        <v>2</v>
      </c>
      <c r="G733" s="21" t="n">
        <f aca="false">nonop29</f>
        <v>2</v>
      </c>
      <c r="K733" s="7" t="s">
        <v>671</v>
      </c>
    </row>
    <row r="734" customFormat="false" ht="15" hidden="false" customHeight="false" outlineLevel="0" collapsed="false">
      <c r="A734" s="3" t="s">
        <v>533</v>
      </c>
      <c r="B734" s="0" t="s">
        <v>303</v>
      </c>
      <c r="C734" s="21" t="n">
        <f aca="false">C731+C733</f>
        <v>6.673</v>
      </c>
      <c r="D734" s="21" t="n">
        <f aca="false">D731+D733</f>
        <v>45.1450125</v>
      </c>
      <c r="E734" s="21" t="n">
        <f aca="false">E731+E733</f>
        <v>55.9047577896049</v>
      </c>
      <c r="F734" s="21" t="n">
        <f aca="false">F731+F733</f>
        <v>62.3785878008773</v>
      </c>
      <c r="G734" s="21" t="n">
        <f aca="false">G731+G733</f>
        <v>67.3982154719098</v>
      </c>
    </row>
    <row r="735" customFormat="false" ht="15" hidden="false" customHeight="false" outlineLevel="0" collapsed="false">
      <c r="A735" s="3" t="s">
        <v>537</v>
      </c>
      <c r="B735" s="0" t="s">
        <v>303</v>
      </c>
      <c r="E735" s="21" t="n">
        <f aca="false">E734*tax</f>
        <v>10.0628564021289</v>
      </c>
      <c r="F735" s="21" t="n">
        <f aca="false">F734*tax</f>
        <v>11.2281458041579</v>
      </c>
      <c r="G735" s="21" t="n">
        <f aca="false">G734*tax</f>
        <v>12.1316787849438</v>
      </c>
    </row>
    <row r="736" customFormat="false" ht="15" hidden="false" customHeight="false" outlineLevel="0" collapsed="false">
      <c r="A736" s="3" t="s">
        <v>535</v>
      </c>
      <c r="B736" s="0" t="s">
        <v>303</v>
      </c>
      <c r="C736" s="21" t="n">
        <f aca="false">a25_ni</f>
        <v>6.673</v>
      </c>
      <c r="D736" s="21" t="n">
        <f aca="false">a26_ni</f>
        <v>37.23923025</v>
      </c>
      <c r="E736" s="21" t="n">
        <f aca="false">E734-E735</f>
        <v>45.841901387476</v>
      </c>
      <c r="F736" s="21" t="n">
        <f aca="false">F734-F735</f>
        <v>51.1504419967194</v>
      </c>
      <c r="G736" s="21" t="n">
        <f aca="false">G734-G735</f>
        <v>55.2665366869661</v>
      </c>
      <c r="H736" s="30" t="n">
        <f aca="false">H718*H740</f>
        <v>59.5749820293476</v>
      </c>
      <c r="I736" s="30" t="n">
        <f aca="false">I718*I740</f>
        <v>63.3074814610659</v>
      </c>
      <c r="J736" s="30" t="n">
        <f aca="false">J718*J740</f>
        <v>66.3049271996696</v>
      </c>
    </row>
    <row r="737" customFormat="false" ht="15" hidden="false" customHeight="false" outlineLevel="0" collapsed="false">
      <c r="A737" s="3" t="s">
        <v>672</v>
      </c>
      <c r="B737" s="3" t="s">
        <v>381</v>
      </c>
      <c r="C737" s="29" t="n">
        <f aca="false">a25_sh</f>
        <v>1.52351598173516</v>
      </c>
      <c r="D737" s="29" t="n">
        <f aca="false">a26_sh</f>
        <v>1.59236316568047</v>
      </c>
      <c r="E737" s="29" t="n">
        <f aca="false">a26_shend*(1+sh_g)</f>
        <v>1.64</v>
      </c>
      <c r="F737" s="29" t="n">
        <f aca="false">E737*(1+sh_g)</f>
        <v>1.64</v>
      </c>
      <c r="G737" s="29" t="n">
        <f aca="false">F737*(1+sh_g)</f>
        <v>1.64</v>
      </c>
      <c r="H737" s="31" t="n">
        <f aca="false">G737*(1+sh_g)</f>
        <v>1.64</v>
      </c>
      <c r="I737" s="31" t="n">
        <f aca="false">H737*(1+sh_g)</f>
        <v>1.64</v>
      </c>
      <c r="J737" s="31" t="n">
        <f aca="false">I737*(1+sh_g)</f>
        <v>1.64</v>
      </c>
    </row>
    <row r="738" customFormat="false" ht="17.15" hidden="false" customHeight="false" outlineLevel="0" collapsed="false">
      <c r="A738" s="0" t="s">
        <v>540</v>
      </c>
      <c r="B738" s="0" t="s">
        <v>387</v>
      </c>
      <c r="C738" s="18" t="n">
        <f aca="false">C736/C737</f>
        <v>4.38</v>
      </c>
      <c r="D738" s="18" t="n">
        <f aca="false">D736/D737</f>
        <v>23.3861414610695</v>
      </c>
      <c r="E738" s="18" t="n">
        <f aca="false">E736/E737</f>
        <v>27.9523788948025</v>
      </c>
      <c r="F738" s="18" t="n">
        <f aca="false">F736/F737</f>
        <v>31.1892939004386</v>
      </c>
      <c r="G738" s="18" t="n">
        <f aca="false">G736/G737</f>
        <v>33.6991077359549</v>
      </c>
      <c r="H738" s="28" t="n">
        <f aca="false">H736/H737</f>
        <v>36.3262085544802</v>
      </c>
      <c r="I738" s="28" t="n">
        <f aca="false">I736/I737</f>
        <v>38.6021228421133</v>
      </c>
      <c r="J738" s="28" t="n">
        <f aca="false">J736/J737</f>
        <v>40.4298336583351</v>
      </c>
    </row>
    <row r="739" customFormat="false" ht="17.15" hidden="false" customHeight="false" outlineLevel="0" collapsed="false">
      <c r="A739" s="0" t="s">
        <v>673</v>
      </c>
      <c r="B739" s="0" t="s">
        <v>45</v>
      </c>
      <c r="D739" s="20" t="n">
        <f aca="false">D738/C738-1</f>
        <v>4.33930170344053</v>
      </c>
      <c r="E739" s="20" t="n">
        <f aca="false">E738/D738-1</f>
        <v>0.195253990117792</v>
      </c>
      <c r="F739" s="20" t="n">
        <f aca="false">F738/E738-1</f>
        <v>0.115801056425937</v>
      </c>
      <c r="G739" s="20" t="n">
        <f aca="false">G738/F738-1</f>
        <v>0.0804703640783924</v>
      </c>
      <c r="H739" s="26" t="n">
        <f aca="false">H738/G738-1</f>
        <v>0.0779575779605095</v>
      </c>
      <c r="I739" s="26" t="n">
        <f aca="false">I738/H738-1</f>
        <v>0.0626521285374388</v>
      </c>
      <c r="J739" s="26" t="n">
        <f aca="false">J738/I738-1</f>
        <v>0.0473474172313602</v>
      </c>
    </row>
    <row r="740" customFormat="false" ht="17.15" hidden="false" customHeight="false" outlineLevel="0" collapsed="false">
      <c r="A740" s="3" t="s">
        <v>674</v>
      </c>
      <c r="B740" s="0" t="s">
        <v>45</v>
      </c>
      <c r="C740" s="13" t="n">
        <f aca="false">C736/C718</f>
        <v>0.0508453913030227</v>
      </c>
      <c r="D740" s="13" t="n">
        <f aca="false">D736/D718</f>
        <v>0.197798517808343</v>
      </c>
      <c r="E740" s="13" t="n">
        <f aca="false">E736/E718</f>
        <v>0.186468460702462</v>
      </c>
      <c r="F740" s="13" t="n">
        <f aca="false">F736/F718</f>
        <v>0.183936255632642</v>
      </c>
      <c r="G740" s="13" t="n">
        <f aca="false">G736/G718</f>
        <v>0.179689002812165</v>
      </c>
      <c r="H740" s="27" t="n">
        <f aca="false">$G740+(fade_mA-$G740)*1/3</f>
        <v>0.177594172664029</v>
      </c>
      <c r="I740" s="27" t="n">
        <f aca="false">$G740+(fade_mA-$G740)*2/3</f>
        <v>0.175499342515893</v>
      </c>
      <c r="J740" s="27" t="n">
        <f aca="false">$G740+(fade_mA-$G740)*3/3</f>
        <v>0.173404512367757</v>
      </c>
    </row>
    <row r="741" customFormat="false" ht="17.15" hidden="false" customHeight="false" outlineLevel="0" collapsed="false">
      <c r="A741" s="3" t="s">
        <v>675</v>
      </c>
      <c r="B741" s="0" t="s">
        <v>45</v>
      </c>
      <c r="C741" s="20" t="n">
        <f aca="false">C724/C718</f>
        <v>0.195190527350447</v>
      </c>
      <c r="D741" s="20" t="n">
        <f aca="false">D724/D718</f>
        <v>0.285230933480641</v>
      </c>
      <c r="E741" s="20" t="n">
        <f aca="false">E724/E718</f>
        <v>0.223720330706817</v>
      </c>
      <c r="F741" s="20" t="n">
        <f aca="false">F724/F718</f>
        <v>0.179799282716305</v>
      </c>
      <c r="G741" s="20" t="n">
        <f aca="false">G724/G718</f>
        <v>0.146309242649801</v>
      </c>
      <c r="H741" s="26" t="n">
        <f aca="false">$G741+($G726*(1+tp_g)^(life/2)-$G741)*1/3</f>
        <v>0.137273291134534</v>
      </c>
      <c r="I741" s="26" t="n">
        <f aca="false">$G741+($G726*(1+tp_g)^(life/2)-$G741)*2/3</f>
        <v>0.128237339619268</v>
      </c>
      <c r="J741" s="26" t="n">
        <f aca="false">$G741+($G726*(1+tp_g)^(life/2)-$G741)*3/3</f>
        <v>0.119201388104001</v>
      </c>
      <c r="K741" s="7" t="s">
        <v>676</v>
      </c>
    </row>
    <row r="742" customFormat="false" ht="15" hidden="false" customHeight="false" outlineLevel="0" collapsed="false">
      <c r="A742" s="3" t="s">
        <v>677</v>
      </c>
      <c r="B742" s="0" t="s">
        <v>303</v>
      </c>
      <c r="E742" s="21" t="n">
        <f aca="false">E736+E725-E724</f>
        <v>15.754401387476</v>
      </c>
      <c r="F742" s="21" t="n">
        <f aca="false">F736+F725-F724</f>
        <v>29.8238794967194</v>
      </c>
      <c r="G742" s="21" t="n">
        <f aca="false">G736+G725-G724</f>
        <v>41.6057944994661</v>
      </c>
      <c r="H742" s="30" t="n">
        <f aca="false">H736+H725-H724</f>
        <v>47.706744638089</v>
      </c>
      <c r="I742" s="30" t="n">
        <f aca="false">I736+I725-I724</f>
        <v>53.8046525506048</v>
      </c>
      <c r="J742" s="30" t="n">
        <f aca="false">J736+J725-J724</f>
        <v>59.6870180399621</v>
      </c>
      <c r="K742" s="3" t="s">
        <v>678</v>
      </c>
    </row>
    <row r="743" customFormat="false" ht="15" hidden="false" customHeight="false" outlineLevel="0" collapsed="false">
      <c r="A743" s="3" t="s">
        <v>679</v>
      </c>
      <c r="B743" s="0" t="s">
        <v>387</v>
      </c>
      <c r="E743" s="18" t="n">
        <f aca="false">E742/E737</f>
        <v>9.60634230943661</v>
      </c>
      <c r="F743" s="18" t="n">
        <f aca="false">F742/F737</f>
        <v>18.1852923760484</v>
      </c>
      <c r="G743" s="18" t="n">
        <f aca="false">G742/G737</f>
        <v>25.3693868899183</v>
      </c>
      <c r="H743" s="28" t="n">
        <f aca="false">H742/H737</f>
        <v>29.0894784378592</v>
      </c>
      <c r="I743" s="28" t="n">
        <f aca="false">I742/I737</f>
        <v>32.807714969881</v>
      </c>
      <c r="J743" s="28" t="n">
        <f aca="false">J742/J737</f>
        <v>36.3945231950988</v>
      </c>
    </row>
    <row r="746" customFormat="false" ht="17.15" hidden="false" customHeight="false" outlineLevel="0" collapsed="false">
      <c r="A746" s="1" t="s">
        <v>1031</v>
      </c>
    </row>
    <row r="747" customFormat="false" ht="17.15" hidden="false" customHeight="false" outlineLevel="0" collapsed="false">
      <c r="A747" s="4" t="s">
        <v>22</v>
      </c>
      <c r="B747" s="4" t="s">
        <v>23</v>
      </c>
      <c r="C747" s="14" t="s">
        <v>508</v>
      </c>
      <c r="D747" s="14" t="s">
        <v>592</v>
      </c>
      <c r="E747" s="14" t="s">
        <v>593</v>
      </c>
      <c r="F747" s="14" t="s">
        <v>594</v>
      </c>
      <c r="G747" s="14" t="s">
        <v>595</v>
      </c>
      <c r="H747" s="14" t="s">
        <v>596</v>
      </c>
      <c r="I747" s="14" t="s">
        <v>597</v>
      </c>
      <c r="J747" s="14" t="s">
        <v>598</v>
      </c>
      <c r="K747" s="4" t="s">
        <v>481</v>
      </c>
    </row>
    <row r="748" customFormat="false" ht="17.15" hidden="false" customHeight="false" outlineLevel="0" collapsed="false">
      <c r="A748" s="5" t="s">
        <v>616</v>
      </c>
    </row>
    <row r="749" customFormat="false" ht="17.15" hidden="false" customHeight="false" outlineLevel="0" collapsed="false">
      <c r="A749" s="0" t="s">
        <v>617</v>
      </c>
      <c r="B749" s="3" t="s">
        <v>33</v>
      </c>
      <c r="D749" s="21" t="n">
        <f aca="false">(u_bw_26+u_rb_26+u_ru_26+u_hp_26)*1</f>
        <v>7.6</v>
      </c>
      <c r="E749" s="21" t="n">
        <f aca="false">(u_bw_27+u_rb_27+u_ru_27+u_hp_27)*1*1</f>
        <v>9.7</v>
      </c>
      <c r="F749" s="21" t="n">
        <f aca="false">(u_bw_28+u_rb_28+u_ru_28+u_hp_28)*um28_A*1</f>
        <v>9.5</v>
      </c>
      <c r="G749" s="21" t="n">
        <f aca="false">(u_bw_28*(1+g29_bw)+u_rb_28*(1+g29_rb)+u_ru_28*(1+g29_ru)+u_hp_28*(1+g29_hp))*um29_A*1</f>
        <v>10.6</v>
      </c>
      <c r="K749" s="7" t="s">
        <v>618</v>
      </c>
    </row>
    <row r="750" customFormat="false" ht="17.15" hidden="false" customHeight="false" outlineLevel="0" collapsed="false">
      <c r="A750" s="3" t="s">
        <v>619</v>
      </c>
      <c r="B750" s="3" t="s">
        <v>33</v>
      </c>
      <c r="D750" s="21" t="n">
        <f aca="false">(u_amd_26+u_tpu_26+u_trn_26+u_oth_26)*1</f>
        <v>7.6</v>
      </c>
      <c r="E750" s="21" t="n">
        <f aca="false">(u_amd_27+u_tpu_27+u_trn_27+u_oth_27)*1*1</f>
        <v>14</v>
      </c>
      <c r="F750" s="21" t="n">
        <f aca="false">(u_amd_28+u_tpu_28+u_trn_28+u_oth_28)*um28_A*1</f>
        <v>17</v>
      </c>
      <c r="G750" s="21" t="n">
        <f aca="false">(u_amd_28*(1+g29_amd)+u_tpu_28*(1+g29_tpu)+u_trn_28*(1+g29_trn)+u_oth_28*(1+g29_oth))*um29_A*1</f>
        <v>19.55</v>
      </c>
      <c r="K750" s="7" t="s">
        <v>620</v>
      </c>
    </row>
    <row r="751" customFormat="false" ht="17.15" hidden="false" customHeight="false" outlineLevel="0" collapsed="false">
      <c r="A751" s="3" t="s">
        <v>621</v>
      </c>
      <c r="B751" s="0" t="s">
        <v>145</v>
      </c>
      <c r="D751" s="19" t="n">
        <f aca="false">1</f>
        <v>1</v>
      </c>
      <c r="E751" s="19" t="n">
        <f aca="false">D751*(1+g_asp)</f>
        <v>1.18</v>
      </c>
      <c r="F751" s="19" t="n">
        <f aca="false">E751*(1+g_asp)</f>
        <v>1.3924</v>
      </c>
      <c r="G751" s="19" t="n">
        <f aca="false">F751*(1+g_asp)</f>
        <v>1.643032</v>
      </c>
      <c r="K751" s="7" t="s">
        <v>622</v>
      </c>
    </row>
    <row r="752" customFormat="false" ht="17.15" hidden="false" customHeight="false" outlineLevel="0" collapsed="false">
      <c r="A752" s="0" t="s">
        <v>623</v>
      </c>
      <c r="B752" s="0" t="s">
        <v>145</v>
      </c>
      <c r="D752" s="18" t="n">
        <f aca="false">1</f>
        <v>1</v>
      </c>
      <c r="E752" s="18" t="n">
        <f aca="false">ibpp_27</f>
        <v>1</v>
      </c>
      <c r="F752" s="18" t="n">
        <f aca="false">ibpp_28</f>
        <v>0.95</v>
      </c>
      <c r="G752" s="18" t="n">
        <f aca="false">ibpp_29</f>
        <v>0.9</v>
      </c>
      <c r="K752" s="7" t="s">
        <v>624</v>
      </c>
    </row>
    <row r="753" customFormat="false" ht="17.15" hidden="false" customHeight="false" outlineLevel="0" collapsed="false">
      <c r="A753" s="3" t="s">
        <v>625</v>
      </c>
      <c r="B753" s="0" t="s">
        <v>145</v>
      </c>
      <c r="D753" s="18" t="n">
        <f aca="false">1</f>
        <v>1</v>
      </c>
      <c r="E753" s="18" t="n">
        <f aca="false">1+carry</f>
        <v>1.05</v>
      </c>
      <c r="F753" s="18" t="n">
        <f aca="false">1+carry</f>
        <v>1.05</v>
      </c>
      <c r="G753" s="18" t="n">
        <f aca="false">1+carry</f>
        <v>1.05</v>
      </c>
      <c r="K753" s="7" t="s">
        <v>626</v>
      </c>
    </row>
    <row r="754" customFormat="false" ht="17.15" hidden="false" customHeight="false" outlineLevel="0" collapsed="false">
      <c r="A754" s="3" t="s">
        <v>627</v>
      </c>
      <c r="B754" s="0" t="s">
        <v>628</v>
      </c>
      <c r="D754" s="23" t="n">
        <f aca="false">v26*D751*D752</f>
        <v>215.308596</v>
      </c>
      <c r="E754" s="23" t="n">
        <f aca="false">v26*E751*E752</f>
        <v>254.06414328</v>
      </c>
      <c r="F754" s="23" t="n">
        <f aca="false">v26*F751*F752</f>
        <v>284.80590461688</v>
      </c>
      <c r="G754" s="23" t="n">
        <f aca="false">v26*G751*G752</f>
        <v>318.383021792765</v>
      </c>
      <c r="K754" s="7" t="s">
        <v>629</v>
      </c>
    </row>
    <row r="755" customFormat="false" ht="17.15" hidden="false" customHeight="false" outlineLevel="0" collapsed="false">
      <c r="A755" s="3" t="s">
        <v>630</v>
      </c>
      <c r="B755" s="0" t="s">
        <v>45</v>
      </c>
      <c r="D755" s="20" t="n">
        <f aca="false">sh_nv_26</f>
        <v>0.25</v>
      </c>
      <c r="E755" s="20" t="n">
        <f aca="false">sh_nv_27</f>
        <v>0.27</v>
      </c>
      <c r="F755" s="20" t="n">
        <f aca="false">sh_nv_28</f>
        <v>0.29</v>
      </c>
      <c r="G755" s="20" t="n">
        <f aca="false">sh_nv_29</f>
        <v>0.3</v>
      </c>
    </row>
    <row r="756" customFormat="false" ht="17.15" hidden="false" customHeight="false" outlineLevel="0" collapsed="false">
      <c r="A756" s="3" t="s">
        <v>631</v>
      </c>
      <c r="B756" s="0" t="s">
        <v>45</v>
      </c>
      <c r="D756" s="20" t="n">
        <f aca="false">sh_ot_26</f>
        <v>0.3</v>
      </c>
      <c r="E756" s="20" t="n">
        <f aca="false">sh_ot_27</f>
        <v>0.31</v>
      </c>
      <c r="F756" s="20" t="n">
        <f aca="false">sh_ot_28</f>
        <v>0.32</v>
      </c>
      <c r="G756" s="20" t="n">
        <f aca="false">sh_ot_29</f>
        <v>0.33</v>
      </c>
    </row>
    <row r="757" customFormat="false" ht="17.15" hidden="false" customHeight="false" outlineLevel="0" collapsed="false">
      <c r="A757" s="3" t="s">
        <v>632</v>
      </c>
      <c r="B757" s="0" t="s">
        <v>582</v>
      </c>
      <c r="D757" s="22" t="n">
        <f aca="false">(D749*D754*D755+D750*D754*v_ot*D756)*D753</f>
        <v>801.809211504</v>
      </c>
      <c r="E757" s="22" t="n">
        <f aca="false">(E749*E754*E755+E750*E754*v_ot*E756)*E753</f>
        <v>1624.8799315544</v>
      </c>
      <c r="F757" s="22" t="n">
        <f aca="false">(F749*F754*F755+F750*F754*v_ot*F756)*F753</f>
        <v>2125.32134231777</v>
      </c>
      <c r="G757" s="22" t="n">
        <f aca="false">(G749*G754*G755+G750*G754*v_ot*G756)*G753</f>
        <v>2788.4812844467</v>
      </c>
    </row>
    <row r="758" customFormat="false" ht="15" hidden="false" customHeight="false" outlineLevel="0" collapsed="false">
      <c r="A758" s="3" t="s">
        <v>633</v>
      </c>
      <c r="B758" s="0" t="s">
        <v>303</v>
      </c>
      <c r="D758" s="21" t="n">
        <f aca="false">D757*fx/1000</f>
        <v>25.657894768128</v>
      </c>
      <c r="E758" s="21" t="n">
        <f aca="false">E757*fx/1000</f>
        <v>51.9961578097409</v>
      </c>
      <c r="F758" s="21" t="n">
        <f aca="false">F757*fx/1000</f>
        <v>68.0102829541688</v>
      </c>
      <c r="G758" s="21" t="n">
        <f aca="false">G757*fx/1000</f>
        <v>89.2314011022944</v>
      </c>
    </row>
    <row r="759" customFormat="false" ht="17.15" hidden="false" customHeight="false" outlineLevel="0" collapsed="false">
      <c r="A759" s="5" t="s">
        <v>634</v>
      </c>
    </row>
    <row r="760" customFormat="false" ht="17.15" hidden="false" customHeight="false" outlineLevel="0" collapsed="false">
      <c r="A760" s="0" t="s">
        <v>635</v>
      </c>
      <c r="B760" s="0" t="s">
        <v>303</v>
      </c>
      <c r="D760" s="21" t="n">
        <f aca="false">a26_abf*ai_abf</f>
        <v>74.83672875</v>
      </c>
      <c r="K760" s="3" t="s">
        <v>636</v>
      </c>
    </row>
    <row r="761" customFormat="false" ht="17.15" hidden="false" customHeight="false" outlineLevel="0" collapsed="false">
      <c r="A761" s="3" t="s">
        <v>637</v>
      </c>
      <c r="B761" s="0" t="s">
        <v>303</v>
      </c>
      <c r="D761" s="21" t="n">
        <f aca="false">D760-D758</f>
        <v>49.178833981872</v>
      </c>
      <c r="E761" s="21" t="n">
        <f aca="false">$D761*(itc_27/itc_26)^el_o*1*1*E752*E753</f>
        <v>73.0642903440322</v>
      </c>
      <c r="F761" s="21" t="n">
        <f aca="false">$D761*(itc_28/itc_26)^el_o*um28_A*1*F752*F753</f>
        <v>78.1488805595188</v>
      </c>
      <c r="G761" s="21" t="n">
        <f aca="false">$D761*(itc_29/itc_26)^el_o*um29_A*1*G752*G753</f>
        <v>79.0193888474949</v>
      </c>
      <c r="K761" s="7" t="s">
        <v>638</v>
      </c>
    </row>
    <row r="762" customFormat="false" ht="17.15" hidden="false" customHeight="false" outlineLevel="0" collapsed="false">
      <c r="A762" s="3" t="s">
        <v>639</v>
      </c>
      <c r="B762" s="0" t="s">
        <v>303</v>
      </c>
      <c r="D762" s="21" t="n">
        <f aca="false">a26_abf-D760</f>
        <v>24.94557625</v>
      </c>
      <c r="E762" s="21" t="n">
        <f aca="false">D762*(1+g_nai)</f>
        <v>25.6939435375</v>
      </c>
      <c r="F762" s="21" t="n">
        <f aca="false">E762*(1+g_nai)</f>
        <v>26.464761843625</v>
      </c>
      <c r="G762" s="21" t="n">
        <f aca="false">F762*(1+g_nai)</f>
        <v>27.2587046989338</v>
      </c>
    </row>
    <row r="763" customFormat="false" ht="17.15" hidden="false" customHeight="false" outlineLevel="0" collapsed="false">
      <c r="A763" s="0" t="s">
        <v>640</v>
      </c>
      <c r="B763" s="0" t="s">
        <v>303</v>
      </c>
      <c r="D763" s="21" t="n">
        <f aca="false">D758+D761+D762</f>
        <v>99.782305</v>
      </c>
      <c r="E763" s="21" t="n">
        <f aca="false">E758+E761+E762</f>
        <v>150.754391691273</v>
      </c>
      <c r="F763" s="21" t="n">
        <f aca="false">F758+F761+F762</f>
        <v>172.623925357313</v>
      </c>
      <c r="G763" s="21" t="n">
        <f aca="false">G758+G761+G762</f>
        <v>195.509494648723</v>
      </c>
    </row>
    <row r="764" customFormat="false" ht="17.15" hidden="false" customHeight="false" outlineLevel="0" collapsed="false">
      <c r="A764" s="0" t="s">
        <v>641</v>
      </c>
      <c r="B764" s="0" t="s">
        <v>303</v>
      </c>
      <c r="D764" s="21" t="n">
        <f aca="false">a26_abf</f>
        <v>99.782305</v>
      </c>
      <c r="E764" s="21" t="n">
        <f aca="false">$D763*cap_27*(1+g_mix)^1*E752*E753</f>
        <v>148.513488204375</v>
      </c>
      <c r="F764" s="21" t="n">
        <f aca="false">$D763*cap_28*(1+g_mix)^2*F752*F753</f>
        <v>186.549442683384</v>
      </c>
      <c r="G764" s="21" t="n">
        <f aca="false">$D763*cap_29*(1+g_mix)^3*G752*G753</f>
        <v>218.314827660431</v>
      </c>
      <c r="K764" s="7" t="s">
        <v>642</v>
      </c>
    </row>
    <row r="765" customFormat="false" ht="17.15" hidden="false" customHeight="false" outlineLevel="0" collapsed="false">
      <c r="A765" s="0" t="s">
        <v>643</v>
      </c>
      <c r="B765" s="0" t="s">
        <v>303</v>
      </c>
      <c r="D765" s="21" t="n">
        <f aca="false">a26_abf</f>
        <v>99.782305</v>
      </c>
      <c r="E765" s="21" t="n">
        <f aca="false">MIN(E763,E764)</f>
        <v>148.513488204375</v>
      </c>
      <c r="F765" s="21" t="n">
        <f aca="false">MIN(F763,F764)</f>
        <v>172.623925357313</v>
      </c>
      <c r="G765" s="21" t="n">
        <f aca="false">MIN(G763,G764)</f>
        <v>195.509494648723</v>
      </c>
    </row>
    <row r="766" customFormat="false" ht="17.15" hidden="false" customHeight="false" outlineLevel="0" collapsed="false">
      <c r="A766" s="3" t="s">
        <v>644</v>
      </c>
      <c r="B766" s="0" t="s">
        <v>45</v>
      </c>
      <c r="D766" s="20" t="n">
        <f aca="false">D765/D763</f>
        <v>1</v>
      </c>
      <c r="E766" s="20" t="n">
        <f aca="false">E765/E763</f>
        <v>0.985135401617438</v>
      </c>
      <c r="F766" s="20" t="n">
        <f aca="false">F765/F763</f>
        <v>1</v>
      </c>
      <c r="G766" s="20" t="n">
        <f aca="false">G765/G763</f>
        <v>1</v>
      </c>
    </row>
    <row r="767" customFormat="false" ht="17.15" hidden="false" customHeight="false" outlineLevel="0" collapsed="false">
      <c r="A767" s="0" t="s">
        <v>645</v>
      </c>
      <c r="B767" s="0" t="s">
        <v>303</v>
      </c>
      <c r="D767" s="21" t="n">
        <f aca="false">(D758+D761)*D766</f>
        <v>74.83672875</v>
      </c>
      <c r="E767" s="21" t="n">
        <f aca="false">(E758+E761)*E766</f>
        <v>123.201474818424</v>
      </c>
      <c r="F767" s="21" t="n">
        <f aca="false">(F758+F761)*F766</f>
        <v>146.159163513688</v>
      </c>
      <c r="G767" s="21" t="n">
        <f aca="false">(G758+G761)*G766</f>
        <v>168.250789949789</v>
      </c>
    </row>
    <row r="768" customFormat="false" ht="17.15" hidden="false" customHeight="false" outlineLevel="0" collapsed="false">
      <c r="A768" s="3" t="s">
        <v>646</v>
      </c>
      <c r="B768" s="0" t="s">
        <v>45</v>
      </c>
      <c r="D768" s="20" t="n">
        <f aca="false">D758/(D758+D761)</f>
        <v>0.342851634440636</v>
      </c>
      <c r="E768" s="20" t="n">
        <f aca="false">E758/(E758+E761)</f>
        <v>0.41576820311572</v>
      </c>
      <c r="F768" s="20" t="n">
        <f aca="false">F758/(F758+F761)</f>
        <v>0.465316585831443</v>
      </c>
      <c r="G768" s="20" t="n">
        <f aca="false">G758/(G758+G761)</f>
        <v>0.530347590813235</v>
      </c>
    </row>
    <row r="769" customFormat="false" ht="17.15" hidden="false" customHeight="false" outlineLevel="0" collapsed="false">
      <c r="A769" s="5" t="s">
        <v>647</v>
      </c>
    </row>
    <row r="770" customFormat="false" ht="17.15" hidden="false" customHeight="false" outlineLevel="0" collapsed="false">
      <c r="A770" s="0" t="s">
        <v>550</v>
      </c>
      <c r="B770" s="0" t="s">
        <v>303</v>
      </c>
      <c r="D770" s="21" t="n">
        <f aca="false">a26_bt</f>
        <v>16.944165</v>
      </c>
      <c r="E770" s="21" t="n">
        <f aca="false">D770*(1+g_bt)</f>
        <v>17.79137325</v>
      </c>
      <c r="F770" s="21" t="n">
        <f aca="false">E770*(1+g_bt)</f>
        <v>18.6809419125</v>
      </c>
      <c r="G770" s="21" t="n">
        <f aca="false">F770*(1+g_bt)</f>
        <v>19.614989008125</v>
      </c>
    </row>
    <row r="771" customFormat="false" ht="17.15" hidden="false" customHeight="false" outlineLevel="0" collapsed="false">
      <c r="A771" s="0" t="s">
        <v>648</v>
      </c>
      <c r="B771" s="0" t="s">
        <v>303</v>
      </c>
      <c r="D771" s="21" t="n">
        <f aca="false">a26_pcb*ai_pcb</f>
        <v>37.93610275</v>
      </c>
      <c r="E771" s="21" t="n">
        <f aca="false">D771*(1+g_pai_27)</f>
        <v>45.5233233</v>
      </c>
      <c r="F771" s="21" t="n">
        <f aca="false">D771*(1+g_pai_27)*(1+g_pai_28)*um28_A</f>
        <v>52.351821795</v>
      </c>
      <c r="G771" s="21" t="n">
        <f aca="false">D771*(1+g_pai_27)*(1+g_pai_28)*(1+g_pai_29)*um29_A</f>
        <v>57.5870039745</v>
      </c>
      <c r="K771" s="3" t="s">
        <v>649</v>
      </c>
    </row>
    <row r="772" customFormat="false" ht="17.15" hidden="false" customHeight="false" outlineLevel="0" collapsed="false">
      <c r="A772" s="3" t="s">
        <v>650</v>
      </c>
      <c r="B772" s="0" t="s">
        <v>303</v>
      </c>
      <c r="D772" s="21" t="n">
        <f aca="false">a26_pcb*(1-ai_pcb)</f>
        <v>20.42713225</v>
      </c>
      <c r="E772" s="21" t="n">
        <f aca="false">D772*(1+g_pcbn)</f>
        <v>20.835674895</v>
      </c>
      <c r="F772" s="21" t="n">
        <f aca="false">E772*(1+g_pcbn)</f>
        <v>21.2523883929</v>
      </c>
      <c r="G772" s="21" t="n">
        <f aca="false">F772*(1+g_pcbn)</f>
        <v>21.677436160758</v>
      </c>
    </row>
    <row r="773" customFormat="false" ht="15" hidden="false" customHeight="false" outlineLevel="0" collapsed="false">
      <c r="A773" s="3" t="s">
        <v>552</v>
      </c>
      <c r="B773" s="0" t="s">
        <v>303</v>
      </c>
      <c r="D773" s="21" t="n">
        <f aca="false">a26_fpc</f>
        <v>13.178795</v>
      </c>
      <c r="E773" s="21" t="n">
        <f aca="false">D773*(1+g_fpc)</f>
        <v>13.178795</v>
      </c>
      <c r="F773" s="21" t="n">
        <f aca="false">E773*(1+g_fpc)</f>
        <v>13.178795</v>
      </c>
      <c r="G773" s="21" t="n">
        <f aca="false">F773*(1+g_fpc)</f>
        <v>13.178795</v>
      </c>
    </row>
    <row r="774" customFormat="false" ht="17.15" hidden="false" customHeight="false" outlineLevel="0" collapsed="false">
      <c r="A774" s="3" t="s">
        <v>651</v>
      </c>
      <c r="B774" s="0" t="s">
        <v>303</v>
      </c>
      <c r="D774" s="21" t="n">
        <f aca="false">D765+D770</f>
        <v>116.72647</v>
      </c>
      <c r="E774" s="21" t="n">
        <f aca="false">E765+E770</f>
        <v>166.304861454375</v>
      </c>
      <c r="F774" s="21" t="n">
        <f aca="false">F765+F770</f>
        <v>191.304867269813</v>
      </c>
      <c r="G774" s="21" t="n">
        <f aca="false">G765+G770</f>
        <v>215.124483656848</v>
      </c>
      <c r="K774" s="3" t="s">
        <v>652</v>
      </c>
    </row>
    <row r="775" customFormat="false" ht="17.15" hidden="false" customHeight="false" outlineLevel="0" collapsed="false">
      <c r="A775" s="0" t="s">
        <v>653</v>
      </c>
      <c r="B775" s="0" t="s">
        <v>303</v>
      </c>
      <c r="D775" s="21" t="n">
        <f aca="false">D771+D772</f>
        <v>58.363235</v>
      </c>
      <c r="E775" s="21" t="n">
        <f aca="false">E771+E772</f>
        <v>66.358998195</v>
      </c>
      <c r="F775" s="21" t="n">
        <f aca="false">F771+F772</f>
        <v>73.6042101879</v>
      </c>
      <c r="G775" s="21" t="n">
        <f aca="false">G771+G772</f>
        <v>79.264440135258</v>
      </c>
      <c r="K775" s="3" t="s">
        <v>654</v>
      </c>
    </row>
    <row r="776" customFormat="false" ht="17.15" hidden="false" customHeight="false" outlineLevel="0" collapsed="false">
      <c r="A776" s="3" t="s">
        <v>515</v>
      </c>
      <c r="B776" s="0" t="s">
        <v>303</v>
      </c>
      <c r="C776" s="23" t="n">
        <f aca="false">a25_rev</f>
        <v>131.241</v>
      </c>
      <c r="D776" s="23" t="n">
        <f aca="false">D774+D775+D773</f>
        <v>188.2685</v>
      </c>
      <c r="E776" s="23" t="n">
        <f aca="false">E774+E775+E773</f>
        <v>245.842654649375</v>
      </c>
      <c r="F776" s="23" t="n">
        <f aca="false">F774+F775+F773</f>
        <v>278.087872457713</v>
      </c>
      <c r="G776" s="23" t="n">
        <f aca="false">G774+G775+G773</f>
        <v>307.567718792106</v>
      </c>
      <c r="H776" s="25" t="n">
        <f aca="false">G776*(1+H778)</f>
        <v>335.455725464882</v>
      </c>
      <c r="I776" s="25" t="n">
        <f aca="false">H776*(1+I778)</f>
        <v>360.727741503264</v>
      </c>
      <c r="J776" s="25" t="n">
        <f aca="false">I776*(1+J778)</f>
        <v>382.371405993459</v>
      </c>
      <c r="K776" s="7" t="s">
        <v>655</v>
      </c>
    </row>
    <row r="777" customFormat="false" ht="17.15" hidden="false" customHeight="false" outlineLevel="0" collapsed="false">
      <c r="A777" s="3" t="s">
        <v>656</v>
      </c>
      <c r="B777" s="0" t="s">
        <v>303</v>
      </c>
      <c r="D777" s="19" t="n">
        <f aca="false">D774+D775+D773-D776</f>
        <v>0</v>
      </c>
      <c r="E777" s="19" t="n">
        <f aca="false">E774+E775+E773-E776</f>
        <v>0</v>
      </c>
      <c r="F777" s="19" t="n">
        <f aca="false">F774+F775+F773-F776</f>
        <v>0</v>
      </c>
      <c r="G777" s="19" t="n">
        <f aca="false">G774+G775+G773-G776</f>
        <v>0</v>
      </c>
    </row>
    <row r="778" customFormat="false" ht="15" hidden="false" customHeight="false" outlineLevel="0" collapsed="false">
      <c r="A778" s="3" t="s">
        <v>657</v>
      </c>
      <c r="B778" s="0" t="s">
        <v>45</v>
      </c>
      <c r="D778" s="20" t="n">
        <f aca="false">D776/C776-1</f>
        <v>0.434525034097576</v>
      </c>
      <c r="E778" s="20" t="n">
        <f aca="false">E776/D776-1</f>
        <v>0.30580875</v>
      </c>
      <c r="F778" s="20" t="n">
        <f aca="false">F776/E776-1</f>
        <v>0.131162014396266</v>
      </c>
      <c r="G778" s="20" t="n">
        <f aca="false">G776/F776-1</f>
        <v>0.106009104510217</v>
      </c>
      <c r="H778" s="26" t="n">
        <f aca="false">$G778+(fade_gA-$G778)*1/3</f>
        <v>0.0906727363401445</v>
      </c>
      <c r="I778" s="26" t="n">
        <f aca="false">$G778+(fade_gA-$G778)*2/3</f>
        <v>0.0753363681700722</v>
      </c>
      <c r="J778" s="26" t="n">
        <f aca="false">$G778+(fade_gA-$G778)*3/3</f>
        <v>0.06</v>
      </c>
    </row>
    <row r="779" customFormat="false" ht="17.15" hidden="false" customHeight="false" outlineLevel="0" collapsed="false">
      <c r="A779" s="0" t="s">
        <v>658</v>
      </c>
      <c r="B779" s="0" t="s">
        <v>45</v>
      </c>
      <c r="D779" s="20" t="n">
        <f aca="false">D765/D776</f>
        <v>0.53</v>
      </c>
      <c r="E779" s="20" t="n">
        <f aca="false">E765/E776</f>
        <v>0.604099758100105</v>
      </c>
      <c r="F779" s="20" t="n">
        <f aca="false">F765/F776</f>
        <v>0.620753159178355</v>
      </c>
      <c r="G779" s="20" t="n">
        <f aca="false">G765/G776</f>
        <v>0.635663246508889</v>
      </c>
    </row>
    <row r="780" customFormat="false" ht="17.15" hidden="false" customHeight="false" outlineLevel="0" collapsed="false">
      <c r="A780" s="0" t="s">
        <v>659</v>
      </c>
      <c r="B780" s="0" t="s">
        <v>45</v>
      </c>
      <c r="D780" s="20" t="n">
        <f aca="false">(D767+D771)/D776</f>
        <v>0.599</v>
      </c>
      <c r="E780" s="20" t="n">
        <f aca="false">(E767+E771)/E776</f>
        <v>0.686312138790815</v>
      </c>
      <c r="F780" s="20" t="n">
        <f aca="false">(F767+F771)/F776</f>
        <v>0.713842655396179</v>
      </c>
      <c r="G780" s="20" t="n">
        <f aca="false">(G767+G771)/G776</f>
        <v>0.734270146461436</v>
      </c>
      <c r="K780" s="3" t="s">
        <v>660</v>
      </c>
    </row>
    <row r="781" customFormat="false" ht="17.15" hidden="false" customHeight="false" outlineLevel="0" collapsed="false">
      <c r="A781" s="5" t="s">
        <v>661</v>
      </c>
    </row>
    <row r="782" customFormat="false" ht="15" hidden="false" customHeight="false" outlineLevel="0" collapsed="false">
      <c r="A782" s="3" t="s">
        <v>662</v>
      </c>
      <c r="B782" s="0" t="s">
        <v>303</v>
      </c>
      <c r="C782" s="23" t="n">
        <f aca="false">a25_cx</f>
        <v>25.617</v>
      </c>
      <c r="D782" s="23" t="n">
        <f aca="false">capex26</f>
        <v>53.7</v>
      </c>
      <c r="E782" s="23" t="n">
        <f aca="false">cx27_A</f>
        <v>55</v>
      </c>
      <c r="F782" s="23" t="n">
        <f aca="false">cx28_A</f>
        <v>50</v>
      </c>
      <c r="G782" s="23" t="n">
        <f aca="false">cx29_A</f>
        <v>45</v>
      </c>
      <c r="H782" s="25" t="n">
        <f aca="false">H776*H799</f>
        <v>46.7164034455487</v>
      </c>
      <c r="I782" s="25" t="n">
        <f aca="false">I776*I799</f>
        <v>47.6938925680928</v>
      </c>
      <c r="J782" s="25" t="n">
        <f aca="false">J776*J799</f>
        <v>47.8610537723463</v>
      </c>
    </row>
    <row r="783" customFormat="false" ht="17.15" hidden="false" customHeight="false" outlineLevel="0" collapsed="false">
      <c r="A783" s="3" t="s">
        <v>663</v>
      </c>
      <c r="B783" s="0" t="s">
        <v>303</v>
      </c>
      <c r="C783" s="23" t="n">
        <f aca="false">a25_da</f>
        <v>18.8</v>
      </c>
      <c r="D783" s="23" t="n">
        <f aca="false">da26</f>
        <v>20.8</v>
      </c>
      <c r="E783" s="23" t="n">
        <f aca="false">D783*(1-1/life_lo)+D782/life_lo</f>
        <v>26.2833333333333</v>
      </c>
      <c r="F783" s="23" t="n">
        <f aca="false">E783*(1-1/life_lo)+E782/life_lo</f>
        <v>31.0694444444445</v>
      </c>
      <c r="G783" s="23" t="n">
        <f aca="false">F783*(1-1/life_lo)+F782/life_lo</f>
        <v>34.224537037037</v>
      </c>
      <c r="H783" s="25" t="n">
        <f aca="false">H776*H784</f>
        <v>37.3277694601598</v>
      </c>
      <c r="I783" s="25" t="n">
        <f aca="false">I776*I784</f>
        <v>40.139908043178</v>
      </c>
      <c r="J783" s="25" t="n">
        <f aca="false">J776*J784</f>
        <v>42.5483025257687</v>
      </c>
      <c r="K783" s="3" t="s">
        <v>664</v>
      </c>
    </row>
    <row r="784" customFormat="false" ht="17.15" hidden="false" customHeight="false" outlineLevel="0" collapsed="false">
      <c r="A784" s="3" t="s">
        <v>665</v>
      </c>
      <c r="B784" s="0" t="s">
        <v>45</v>
      </c>
      <c r="C784" s="20" t="n">
        <f aca="false">C783/C776</f>
        <v>0.143247917952469</v>
      </c>
      <c r="D784" s="20" t="n">
        <f aca="false">D783/D776</f>
        <v>0.110480510547436</v>
      </c>
      <c r="E784" s="20" t="n">
        <f aca="false">E783/E776</f>
        <v>0.106911200462015</v>
      </c>
      <c r="F784" s="20" t="n">
        <f aca="false">F783/F776</f>
        <v>0.111725276510104</v>
      </c>
      <c r="G784" s="20" t="n">
        <f aca="false">G783/G776</f>
        <v>0.11127480208731</v>
      </c>
      <c r="H784" s="26" t="n">
        <f aca="false">$G784</f>
        <v>0.11127480208731</v>
      </c>
      <c r="I784" s="26" t="n">
        <f aca="false">$G784</f>
        <v>0.11127480208731</v>
      </c>
      <c r="J784" s="26" t="n">
        <f aca="false">$G784</f>
        <v>0.11127480208731</v>
      </c>
    </row>
    <row r="785" customFormat="false" ht="17.15" hidden="false" customHeight="false" outlineLevel="0" collapsed="false">
      <c r="A785" s="3" t="s">
        <v>666</v>
      </c>
      <c r="B785" s="0" t="s">
        <v>303</v>
      </c>
      <c r="E785" s="21" t="n">
        <f aca="false">E767*(1-1/(E752*E753))</f>
        <v>5.86673689611544</v>
      </c>
      <c r="F785" s="21" t="n">
        <f aca="false">F767*(1-1/(F752*F753))</f>
        <v>-0.366313693016785</v>
      </c>
      <c r="G785" s="21" t="n">
        <f aca="false">G767*(1-1/(G752*G753))</f>
        <v>-9.7923740182417</v>
      </c>
      <c r="K785" s="7" t="s">
        <v>667</v>
      </c>
    </row>
    <row r="786" customFormat="false" ht="17.15" hidden="false" customHeight="false" outlineLevel="0" collapsed="false">
      <c r="A786" s="3" t="s">
        <v>668</v>
      </c>
      <c r="B786" s="0" t="s">
        <v>303</v>
      </c>
      <c r="C786" s="21" t="n">
        <f aca="false">a25_gp</f>
        <v>18.292</v>
      </c>
      <c r="D786" s="21" t="n">
        <f aca="false">a26_gp</f>
        <v>47.3329657</v>
      </c>
      <c r="E786" s="21" t="n">
        <f aca="false">$D786+ft_abf*(E765-E785-$D765)+ft_oth*((E776-E765)-($D776-$D765))+E785-(E783-$D783)</f>
        <v>71.3593352781619</v>
      </c>
      <c r="F786" s="21" t="n">
        <f aca="false">$D786+ft_abf*(F765-F785-$D765)+ft_oth*((F776-F765)-($D776-$D765))+F785-(F783-$D783)</f>
        <v>77.5456126128035</v>
      </c>
      <c r="G786" s="21" t="n">
        <f aca="false">$D786+ft_abf*(G765-G785-$D765)+ft_oth*((G776-G765)-($D776-$D765))+G785-(G783-$D783)</f>
        <v>82.7688437640494</v>
      </c>
      <c r="K786" s="3" t="s">
        <v>669</v>
      </c>
    </row>
    <row r="787" customFormat="false" ht="15" hidden="false" customHeight="false" outlineLevel="0" collapsed="false">
      <c r="A787" s="3" t="s">
        <v>522</v>
      </c>
      <c r="B787" s="0" t="s">
        <v>45</v>
      </c>
      <c r="C787" s="13" t="n">
        <f aca="false">C786/C776</f>
        <v>0.139377176339711</v>
      </c>
      <c r="D787" s="13" t="n">
        <f aca="false">D786/D776</f>
        <v>0.251412029627899</v>
      </c>
      <c r="E787" s="13" t="n">
        <f aca="false">E786/E776</f>
        <v>0.290264256135437</v>
      </c>
      <c r="F787" s="13" t="n">
        <f aca="false">F786/F776</f>
        <v>0.27885291051157</v>
      </c>
      <c r="G787" s="13" t="n">
        <f aca="false">G786/G776</f>
        <v>0.269107707691506</v>
      </c>
    </row>
    <row r="788" customFormat="false" ht="15" hidden="false" customHeight="false" outlineLevel="0" collapsed="false">
      <c r="A788" s="3" t="s">
        <v>524</v>
      </c>
      <c r="B788" s="0" t="s">
        <v>303</v>
      </c>
      <c r="C788" s="21" t="n">
        <f aca="false">a25_opx</f>
        <v>11.618</v>
      </c>
      <c r="D788" s="21" t="n">
        <f aca="false">a26_opx</f>
        <v>16.6539532</v>
      </c>
      <c r="E788" s="21" t="n">
        <f aca="false">D788*(1+phi*E778)</f>
        <v>19.7097079663903</v>
      </c>
      <c r="F788" s="21" t="n">
        <f aca="false">E788*(1+phi*F778)</f>
        <v>21.2608069664106</v>
      </c>
      <c r="G788" s="21" t="n">
        <f aca="false">F788*(1+phi*G778)</f>
        <v>22.6131104310149</v>
      </c>
    </row>
    <row r="789" customFormat="false" ht="15" hidden="false" customHeight="false" outlineLevel="0" collapsed="false">
      <c r="A789" s="3" t="s">
        <v>527</v>
      </c>
      <c r="B789" s="0" t="s">
        <v>303</v>
      </c>
      <c r="C789" s="21" t="n">
        <f aca="false">C786-C788</f>
        <v>6.674</v>
      </c>
      <c r="D789" s="21" t="n">
        <f aca="false">D786-D788</f>
        <v>30.6790125</v>
      </c>
      <c r="E789" s="21" t="n">
        <f aca="false">E786-E788</f>
        <v>51.6496273117716</v>
      </c>
      <c r="F789" s="21" t="n">
        <f aca="false">F786-F788</f>
        <v>56.2848056463928</v>
      </c>
      <c r="G789" s="21" t="n">
        <f aca="false">G786-G788</f>
        <v>60.1557333330345</v>
      </c>
    </row>
    <row r="790" customFormat="false" ht="15" hidden="false" customHeight="false" outlineLevel="0" collapsed="false">
      <c r="A790" s="3" t="s">
        <v>605</v>
      </c>
      <c r="B790" s="0" t="s">
        <v>45</v>
      </c>
      <c r="C790" s="13" t="n">
        <f aca="false">C789/C776</f>
        <v>0.0508530108731265</v>
      </c>
      <c r="D790" s="13" t="n">
        <f aca="false">D789/D776</f>
        <v>0.162953507888999</v>
      </c>
      <c r="E790" s="13" t="n">
        <f aca="false">E789/E776</f>
        <v>0.210092212783153</v>
      </c>
      <c r="F790" s="13" t="n">
        <f aca="false">F789/F776</f>
        <v>0.202399353660961</v>
      </c>
      <c r="G790" s="13" t="n">
        <f aca="false">G789/G776</f>
        <v>0.195585328555548</v>
      </c>
    </row>
    <row r="791" customFormat="false" ht="17.15" hidden="false" customHeight="false" outlineLevel="0" collapsed="false">
      <c r="A791" s="3" t="s">
        <v>670</v>
      </c>
      <c r="B791" s="0" t="s">
        <v>303</v>
      </c>
      <c r="C791" s="21" t="n">
        <f aca="false">a25_nonop</f>
        <v>-0.00100000000000033</v>
      </c>
      <c r="D791" s="21" t="n">
        <f aca="false">a26_nonop</f>
        <v>14.466</v>
      </c>
      <c r="E791" s="21" t="n">
        <f aca="false">nonop27</f>
        <v>2</v>
      </c>
      <c r="F791" s="21" t="n">
        <f aca="false">nonop28</f>
        <v>2</v>
      </c>
      <c r="G791" s="21" t="n">
        <f aca="false">nonop29</f>
        <v>2</v>
      </c>
      <c r="K791" s="7" t="s">
        <v>671</v>
      </c>
    </row>
    <row r="792" customFormat="false" ht="15" hidden="false" customHeight="false" outlineLevel="0" collapsed="false">
      <c r="A792" s="3" t="s">
        <v>533</v>
      </c>
      <c r="B792" s="0" t="s">
        <v>303</v>
      </c>
      <c r="C792" s="21" t="n">
        <f aca="false">C789+C791</f>
        <v>6.673</v>
      </c>
      <c r="D792" s="21" t="n">
        <f aca="false">D789+D791</f>
        <v>45.1450125</v>
      </c>
      <c r="E792" s="21" t="n">
        <f aca="false">E789+E791</f>
        <v>53.6496273117716</v>
      </c>
      <c r="F792" s="21" t="n">
        <f aca="false">F789+F791</f>
        <v>58.2848056463928</v>
      </c>
      <c r="G792" s="21" t="n">
        <f aca="false">G789+G791</f>
        <v>62.1557333330345</v>
      </c>
    </row>
    <row r="793" customFormat="false" ht="15" hidden="false" customHeight="false" outlineLevel="0" collapsed="false">
      <c r="A793" s="3" t="s">
        <v>537</v>
      </c>
      <c r="B793" s="0" t="s">
        <v>303</v>
      </c>
      <c r="E793" s="21" t="n">
        <f aca="false">E792*tax</f>
        <v>9.65693291611888</v>
      </c>
      <c r="F793" s="21" t="n">
        <f aca="false">F792*tax</f>
        <v>10.4912650163507</v>
      </c>
      <c r="G793" s="21" t="n">
        <f aca="false">G792*tax</f>
        <v>11.1880319999462</v>
      </c>
    </row>
    <row r="794" customFormat="false" ht="15" hidden="false" customHeight="false" outlineLevel="0" collapsed="false">
      <c r="A794" s="3" t="s">
        <v>535</v>
      </c>
      <c r="B794" s="0" t="s">
        <v>303</v>
      </c>
      <c r="C794" s="21" t="n">
        <f aca="false">a25_ni</f>
        <v>6.673</v>
      </c>
      <c r="D794" s="21" t="n">
        <f aca="false">a26_ni</f>
        <v>37.23923025</v>
      </c>
      <c r="E794" s="21" t="n">
        <f aca="false">E792-E793</f>
        <v>43.9926943956527</v>
      </c>
      <c r="F794" s="21" t="n">
        <f aca="false">F792-F793</f>
        <v>47.7935406300421</v>
      </c>
      <c r="G794" s="21" t="n">
        <f aca="false">G792-G793</f>
        <v>50.9677013330883</v>
      </c>
      <c r="H794" s="30" t="n">
        <f aca="false">H776*H798</f>
        <v>56.4492336836878</v>
      </c>
      <c r="I794" s="30" t="n">
        <f aca="false">I776*I798</f>
        <v>61.6268660241482</v>
      </c>
      <c r="J794" s="30" t="n">
        <f aca="false">J776*J798</f>
        <v>66.3049271996696</v>
      </c>
    </row>
    <row r="795" customFormat="false" ht="15" hidden="false" customHeight="false" outlineLevel="0" collapsed="false">
      <c r="A795" s="3" t="s">
        <v>672</v>
      </c>
      <c r="B795" s="3" t="s">
        <v>381</v>
      </c>
      <c r="C795" s="29" t="n">
        <f aca="false">a25_sh</f>
        <v>1.52351598173516</v>
      </c>
      <c r="D795" s="29" t="n">
        <f aca="false">a26_sh</f>
        <v>1.59236316568047</v>
      </c>
      <c r="E795" s="29" t="n">
        <f aca="false">a26_shend*(1+sh_g)</f>
        <v>1.64</v>
      </c>
      <c r="F795" s="29" t="n">
        <f aca="false">E795*(1+sh_g)</f>
        <v>1.64</v>
      </c>
      <c r="G795" s="29" t="n">
        <f aca="false">F795*(1+sh_g)</f>
        <v>1.64</v>
      </c>
      <c r="H795" s="31" t="n">
        <f aca="false">G795*(1+sh_g)</f>
        <v>1.64</v>
      </c>
      <c r="I795" s="31" t="n">
        <f aca="false">H795*(1+sh_g)</f>
        <v>1.64</v>
      </c>
      <c r="J795" s="31" t="n">
        <f aca="false">I795*(1+sh_g)</f>
        <v>1.64</v>
      </c>
    </row>
    <row r="796" customFormat="false" ht="17.15" hidden="false" customHeight="false" outlineLevel="0" collapsed="false">
      <c r="A796" s="0" t="s">
        <v>540</v>
      </c>
      <c r="B796" s="0" t="s">
        <v>387</v>
      </c>
      <c r="C796" s="18" t="n">
        <f aca="false">C794/C795</f>
        <v>4.38</v>
      </c>
      <c r="D796" s="18" t="n">
        <f aca="false">D794/D795</f>
        <v>23.3861414610695</v>
      </c>
      <c r="E796" s="18" t="n">
        <f aca="false">E794/E795</f>
        <v>26.8248136558858</v>
      </c>
      <c r="F796" s="18" t="n">
        <f aca="false">F794/F795</f>
        <v>29.1424028231964</v>
      </c>
      <c r="G796" s="18" t="n">
        <f aca="false">G794/G795</f>
        <v>31.0778666665173</v>
      </c>
      <c r="H796" s="28" t="n">
        <f aca="false">H794/H795</f>
        <v>34.4202644412731</v>
      </c>
      <c r="I796" s="28" t="n">
        <f aca="false">I794/I795</f>
        <v>37.5773573317977</v>
      </c>
      <c r="J796" s="28" t="n">
        <f aca="false">J794/J795</f>
        <v>40.4298336583351</v>
      </c>
    </row>
    <row r="797" customFormat="false" ht="17.15" hidden="false" customHeight="false" outlineLevel="0" collapsed="false">
      <c r="A797" s="0" t="s">
        <v>673</v>
      </c>
      <c r="B797" s="0" t="s">
        <v>45</v>
      </c>
      <c r="D797" s="20" t="n">
        <f aca="false">D796/C796-1</f>
        <v>4.33930170344053</v>
      </c>
      <c r="E797" s="20" t="n">
        <f aca="false">E796/D796-1</f>
        <v>0.147038886279747</v>
      </c>
      <c r="F797" s="20" t="n">
        <f aca="false">F796/E796-1</f>
        <v>0.0863972140511817</v>
      </c>
      <c r="G797" s="20" t="n">
        <f aca="false">G796/F796-1</f>
        <v>0.0664140103704924</v>
      </c>
      <c r="H797" s="26" t="n">
        <f aca="false">H796/G796-1</f>
        <v>0.107549138125264</v>
      </c>
      <c r="I797" s="26" t="n">
        <f aca="false">I796/H796-1</f>
        <v>0.0917219243306851</v>
      </c>
      <c r="J797" s="26" t="n">
        <f aca="false">J796/I796-1</f>
        <v>0.0759094446517579</v>
      </c>
    </row>
    <row r="798" customFormat="false" ht="17.15" hidden="false" customHeight="false" outlineLevel="0" collapsed="false">
      <c r="A798" s="3" t="s">
        <v>674</v>
      </c>
      <c r="B798" s="0" t="s">
        <v>45</v>
      </c>
      <c r="C798" s="13" t="n">
        <f aca="false">C794/C776</f>
        <v>0.0508453913030227</v>
      </c>
      <c r="D798" s="13" t="n">
        <f aca="false">D794/D776</f>
        <v>0.197798517808343</v>
      </c>
      <c r="E798" s="13" t="n">
        <f aca="false">E794/E776</f>
        <v>0.178946547979625</v>
      </c>
      <c r="F798" s="13" t="n">
        <f aca="false">F794/F776</f>
        <v>0.171864886475083</v>
      </c>
      <c r="G798" s="13" t="n">
        <f aca="false">G794/G776</f>
        <v>0.165712128481009</v>
      </c>
      <c r="H798" s="27" t="n">
        <f aca="false">$G798+(fade_mA-$G798)*1/3</f>
        <v>0.168276256443258</v>
      </c>
      <c r="I798" s="27" t="n">
        <f aca="false">$G798+(fade_mA-$G798)*2/3</f>
        <v>0.170840384405508</v>
      </c>
      <c r="J798" s="27" t="n">
        <f aca="false">$G798+(fade_mA-$G798)*3/3</f>
        <v>0.173404512367757</v>
      </c>
    </row>
    <row r="799" customFormat="false" ht="17.15" hidden="false" customHeight="false" outlineLevel="0" collapsed="false">
      <c r="A799" s="3" t="s">
        <v>675</v>
      </c>
      <c r="B799" s="0" t="s">
        <v>45</v>
      </c>
      <c r="C799" s="20" t="n">
        <f aca="false">C782/C776</f>
        <v>0.195190527350447</v>
      </c>
      <c r="D799" s="20" t="n">
        <f aca="false">D782/D776</f>
        <v>0.285230933480641</v>
      </c>
      <c r="E799" s="20" t="n">
        <f aca="false">E782/E776</f>
        <v>0.223720330706817</v>
      </c>
      <c r="F799" s="20" t="n">
        <f aca="false">F782/F776</f>
        <v>0.179799282716305</v>
      </c>
      <c r="G799" s="20" t="n">
        <f aca="false">G782/G776</f>
        <v>0.146309242649801</v>
      </c>
      <c r="H799" s="26" t="n">
        <f aca="false">$G799+($G784*(1+tp_g)^(life_lo/2)-$G799)*1/3</f>
        <v>0.139262501424914</v>
      </c>
      <c r="I799" s="26" t="n">
        <f aca="false">$G799+($G784*(1+tp_g)^(life_lo/2)-$G799)*2/3</f>
        <v>0.132215760200027</v>
      </c>
      <c r="J799" s="26" t="n">
        <f aca="false">$G799+($G784*(1+tp_g)^(life_lo/2)-$G799)*3/3</f>
        <v>0.12516901897514</v>
      </c>
      <c r="K799" s="7" t="s">
        <v>676</v>
      </c>
    </row>
    <row r="800" customFormat="false" ht="15" hidden="false" customHeight="false" outlineLevel="0" collapsed="false">
      <c r="A800" s="3" t="s">
        <v>677</v>
      </c>
      <c r="B800" s="0" t="s">
        <v>303</v>
      </c>
      <c r="E800" s="21" t="n">
        <f aca="false">E794+E783-E782</f>
        <v>15.276027728986</v>
      </c>
      <c r="F800" s="21" t="n">
        <f aca="false">F794+F783-F782</f>
        <v>28.8629850744866</v>
      </c>
      <c r="G800" s="21" t="n">
        <f aca="false">G794+G783-G782</f>
        <v>40.1922383701253</v>
      </c>
      <c r="H800" s="30" t="n">
        <f aca="false">H794+H783-H782</f>
        <v>47.0605996982989</v>
      </c>
      <c r="I800" s="30" t="n">
        <f aca="false">I794+I783-I782</f>
        <v>54.0728814992334</v>
      </c>
      <c r="J800" s="30" t="n">
        <f aca="false">J794+J783-J782</f>
        <v>60.992175953092</v>
      </c>
      <c r="K800" s="3" t="s">
        <v>678</v>
      </c>
    </row>
    <row r="801" customFormat="false" ht="15" hidden="false" customHeight="false" outlineLevel="0" collapsed="false">
      <c r="A801" s="3" t="s">
        <v>679</v>
      </c>
      <c r="B801" s="0" t="s">
        <v>387</v>
      </c>
      <c r="E801" s="18" t="n">
        <f aca="false">E800/E795</f>
        <v>9.31465105425978</v>
      </c>
      <c r="F801" s="18" t="n">
        <f aca="false">F800/F795</f>
        <v>17.5993811429796</v>
      </c>
      <c r="G801" s="18" t="n">
        <f aca="false">G800/G795</f>
        <v>24.5074624208081</v>
      </c>
      <c r="H801" s="28" t="n">
        <f aca="false">H800/H795</f>
        <v>28.695487620914</v>
      </c>
      <c r="I801" s="28" t="n">
        <f aca="false">I800/I795</f>
        <v>32.9712692068496</v>
      </c>
      <c r="J801" s="28" t="n">
        <f aca="false">J800/J795</f>
        <v>37.1903511909097</v>
      </c>
    </row>
    <row r="804" customFormat="false" ht="17.15" hidden="false" customHeight="false" outlineLevel="0" collapsed="false">
      <c r="A804" s="1" t="s">
        <v>1032</v>
      </c>
    </row>
    <row r="805" customFormat="false" ht="17.15" hidden="false" customHeight="false" outlineLevel="0" collapsed="false">
      <c r="A805" s="4" t="s">
        <v>22</v>
      </c>
      <c r="B805" s="4" t="s">
        <v>23</v>
      </c>
      <c r="C805" s="14" t="s">
        <v>508</v>
      </c>
      <c r="D805" s="14" t="s">
        <v>592</v>
      </c>
      <c r="E805" s="14" t="s">
        <v>593</v>
      </c>
      <c r="F805" s="14" t="s">
        <v>594</v>
      </c>
      <c r="G805" s="14" t="s">
        <v>595</v>
      </c>
      <c r="H805" s="14" t="s">
        <v>596</v>
      </c>
      <c r="I805" s="14" t="s">
        <v>597</v>
      </c>
      <c r="J805" s="14" t="s">
        <v>598</v>
      </c>
      <c r="K805" s="4" t="s">
        <v>481</v>
      </c>
    </row>
    <row r="806" customFormat="false" ht="17.15" hidden="false" customHeight="false" outlineLevel="0" collapsed="false">
      <c r="A806" s="5" t="s">
        <v>616</v>
      </c>
    </row>
    <row r="807" customFormat="false" ht="17.15" hidden="false" customHeight="false" outlineLevel="0" collapsed="false">
      <c r="A807" s="0" t="s">
        <v>617</v>
      </c>
      <c r="B807" s="3" t="s">
        <v>33</v>
      </c>
      <c r="D807" s="21" t="n">
        <f aca="false">(u_bw_26+u_rb_26+u_ru_26+u_hp_26)*1</f>
        <v>7.6</v>
      </c>
      <c r="E807" s="21" t="n">
        <f aca="false">(u_bw_27+u_rb_27+u_ru_27+u_hp_27)*1*1</f>
        <v>9.7</v>
      </c>
      <c r="F807" s="21" t="n">
        <f aca="false">(u_bw_28+u_rb_28+u_ru_28+u_hp_28)*um28_A*1</f>
        <v>9.5</v>
      </c>
      <c r="G807" s="21" t="n">
        <f aca="false">(u_bw_28*(1+g29_bw)+u_rb_28*(1+g29_rb)+u_ru_28*(1+g29_ru)+u_hp_28*(1+g29_hp))*um29_A*1</f>
        <v>10.6</v>
      </c>
      <c r="K807" s="7" t="s">
        <v>618</v>
      </c>
    </row>
    <row r="808" customFormat="false" ht="17.15" hidden="false" customHeight="false" outlineLevel="0" collapsed="false">
      <c r="A808" s="3" t="s">
        <v>619</v>
      </c>
      <c r="B808" s="3" t="s">
        <v>33</v>
      </c>
      <c r="D808" s="21" t="n">
        <f aca="false">(u_amd_26+u_tpu_26+u_trn_26+u_oth_26)*1</f>
        <v>7.6</v>
      </c>
      <c r="E808" s="21" t="n">
        <f aca="false">(u_amd_27+u_tpu_27+u_trn_27+u_oth_27)*1*1</f>
        <v>14</v>
      </c>
      <c r="F808" s="21" t="n">
        <f aca="false">(u_amd_28+u_tpu_28+u_trn_28+u_oth_28)*um28_A*1</f>
        <v>17</v>
      </c>
      <c r="G808" s="21" t="n">
        <f aca="false">(u_amd_28*(1+g29_amd)+u_tpu_28*(1+g29_tpu)+u_trn_28*(1+g29_trn)+u_oth_28*(1+g29_oth))*um29_A*1</f>
        <v>19.55</v>
      </c>
      <c r="K808" s="7" t="s">
        <v>620</v>
      </c>
    </row>
    <row r="809" customFormat="false" ht="17.15" hidden="false" customHeight="false" outlineLevel="0" collapsed="false">
      <c r="A809" s="3" t="s">
        <v>621</v>
      </c>
      <c r="B809" s="0" t="s">
        <v>145</v>
      </c>
      <c r="D809" s="19" t="n">
        <f aca="false">1</f>
        <v>1</v>
      </c>
      <c r="E809" s="19" t="n">
        <f aca="false">D809*(1+g_asp)</f>
        <v>1.18</v>
      </c>
      <c r="F809" s="19" t="n">
        <f aca="false">E809*(1+g_asp)</f>
        <v>1.3924</v>
      </c>
      <c r="G809" s="19" t="n">
        <f aca="false">F809*(1+g_asp)</f>
        <v>1.643032</v>
      </c>
      <c r="K809" s="7" t="s">
        <v>622</v>
      </c>
    </row>
    <row r="810" customFormat="false" ht="17.15" hidden="false" customHeight="false" outlineLevel="0" collapsed="false">
      <c r="A810" s="0" t="s">
        <v>623</v>
      </c>
      <c r="B810" s="0" t="s">
        <v>145</v>
      </c>
      <c r="D810" s="18" t="n">
        <f aca="false">1</f>
        <v>1</v>
      </c>
      <c r="E810" s="18" t="n">
        <f aca="false">ibpp_27</f>
        <v>1</v>
      </c>
      <c r="F810" s="18" t="n">
        <f aca="false">ibpp_28</f>
        <v>0.95</v>
      </c>
      <c r="G810" s="18" t="n">
        <f aca="false">ibpp_29</f>
        <v>0.9</v>
      </c>
      <c r="K810" s="7" t="s">
        <v>624</v>
      </c>
    </row>
    <row r="811" customFormat="false" ht="17.15" hidden="false" customHeight="false" outlineLevel="0" collapsed="false">
      <c r="A811" s="3" t="s">
        <v>625</v>
      </c>
      <c r="B811" s="0" t="s">
        <v>145</v>
      </c>
      <c r="D811" s="18" t="n">
        <f aca="false">1</f>
        <v>1</v>
      </c>
      <c r="E811" s="18" t="n">
        <f aca="false">1+carry</f>
        <v>1.05</v>
      </c>
      <c r="F811" s="18" t="n">
        <f aca="false">1+carry</f>
        <v>1.05</v>
      </c>
      <c r="G811" s="18" t="n">
        <f aca="false">1+carry</f>
        <v>1.05</v>
      </c>
      <c r="K811" s="7" t="s">
        <v>626</v>
      </c>
    </row>
    <row r="812" customFormat="false" ht="17.15" hidden="false" customHeight="false" outlineLevel="0" collapsed="false">
      <c r="A812" s="3" t="s">
        <v>627</v>
      </c>
      <c r="B812" s="0" t="s">
        <v>628</v>
      </c>
      <c r="D812" s="23" t="n">
        <f aca="false">v26*D809*D810</f>
        <v>215.308596</v>
      </c>
      <c r="E812" s="23" t="n">
        <f aca="false">v26*E809*E810</f>
        <v>254.06414328</v>
      </c>
      <c r="F812" s="23" t="n">
        <f aca="false">v26*F809*F810</f>
        <v>284.80590461688</v>
      </c>
      <c r="G812" s="23" t="n">
        <f aca="false">v26*G809*G810</f>
        <v>318.383021792765</v>
      </c>
      <c r="K812" s="7" t="s">
        <v>629</v>
      </c>
    </row>
    <row r="813" customFormat="false" ht="17.15" hidden="false" customHeight="false" outlineLevel="0" collapsed="false">
      <c r="A813" s="3" t="s">
        <v>630</v>
      </c>
      <c r="B813" s="0" t="s">
        <v>45</v>
      </c>
      <c r="D813" s="20" t="n">
        <f aca="false">sh_nv_26</f>
        <v>0.25</v>
      </c>
      <c r="E813" s="20" t="n">
        <f aca="false">sh_nv_27</f>
        <v>0.27</v>
      </c>
      <c r="F813" s="20" t="n">
        <f aca="false">sh_nv_28</f>
        <v>0.29</v>
      </c>
      <c r="G813" s="20" t="n">
        <f aca="false">sh_nv_29</f>
        <v>0.3</v>
      </c>
    </row>
    <row r="814" customFormat="false" ht="17.15" hidden="false" customHeight="false" outlineLevel="0" collapsed="false">
      <c r="A814" s="3" t="s">
        <v>631</v>
      </c>
      <c r="B814" s="0" t="s">
        <v>45</v>
      </c>
      <c r="D814" s="20" t="n">
        <f aca="false">sh_ot_26</f>
        <v>0.3</v>
      </c>
      <c r="E814" s="20" t="n">
        <f aca="false">sh_ot_27</f>
        <v>0.31</v>
      </c>
      <c r="F814" s="20" t="n">
        <f aca="false">sh_ot_28</f>
        <v>0.32</v>
      </c>
      <c r="G814" s="20" t="n">
        <f aca="false">sh_ot_29</f>
        <v>0.33</v>
      </c>
    </row>
    <row r="815" customFormat="false" ht="17.15" hidden="false" customHeight="false" outlineLevel="0" collapsed="false">
      <c r="A815" s="3" t="s">
        <v>632</v>
      </c>
      <c r="B815" s="0" t="s">
        <v>582</v>
      </c>
      <c r="D815" s="22" t="n">
        <f aca="false">(D807*D812*D813+D808*D812*v_ot*D814)*D811</f>
        <v>801.809211504</v>
      </c>
      <c r="E815" s="22" t="n">
        <f aca="false">(E807*E812*E813+E808*E812*v_ot*E814)*E811</f>
        <v>1624.8799315544</v>
      </c>
      <c r="F815" s="22" t="n">
        <f aca="false">(F807*F812*F813+F808*F812*v_ot*F814)*F811</f>
        <v>2125.32134231777</v>
      </c>
      <c r="G815" s="22" t="n">
        <f aca="false">(G807*G812*G813+G808*G812*v_ot*G814)*G811</f>
        <v>2788.4812844467</v>
      </c>
    </row>
    <row r="816" customFormat="false" ht="15" hidden="false" customHeight="false" outlineLevel="0" collapsed="false">
      <c r="A816" s="3" t="s">
        <v>633</v>
      </c>
      <c r="B816" s="0" t="s">
        <v>303</v>
      </c>
      <c r="D816" s="21" t="n">
        <f aca="false">D815*fx/1000</f>
        <v>25.657894768128</v>
      </c>
      <c r="E816" s="21" t="n">
        <f aca="false">E815*fx/1000</f>
        <v>51.9961578097409</v>
      </c>
      <c r="F816" s="21" t="n">
        <f aca="false">F815*fx/1000</f>
        <v>68.0102829541688</v>
      </c>
      <c r="G816" s="21" t="n">
        <f aca="false">G815*fx/1000</f>
        <v>89.2314011022944</v>
      </c>
    </row>
    <row r="817" customFormat="false" ht="17.15" hidden="false" customHeight="false" outlineLevel="0" collapsed="false">
      <c r="A817" s="5" t="s">
        <v>634</v>
      </c>
    </row>
    <row r="818" customFormat="false" ht="17.15" hidden="false" customHeight="false" outlineLevel="0" collapsed="false">
      <c r="A818" s="0" t="s">
        <v>635</v>
      </c>
      <c r="B818" s="0" t="s">
        <v>303</v>
      </c>
      <c r="D818" s="21" t="n">
        <f aca="false">a26_abf*ai_abf</f>
        <v>74.83672875</v>
      </c>
      <c r="K818" s="3" t="s">
        <v>636</v>
      </c>
    </row>
    <row r="819" customFormat="false" ht="17.15" hidden="false" customHeight="false" outlineLevel="0" collapsed="false">
      <c r="A819" s="3" t="s">
        <v>637</v>
      </c>
      <c r="B819" s="0" t="s">
        <v>303</v>
      </c>
      <c r="D819" s="21" t="n">
        <f aca="false">D818-D816</f>
        <v>49.178833981872</v>
      </c>
      <c r="E819" s="21" t="n">
        <f aca="false">$D819*(itc_27/itc_26)^el_o*1*1*E810*E811</f>
        <v>73.0642903440322</v>
      </c>
      <c r="F819" s="21" t="n">
        <f aca="false">$D819*(itc_28/itc_26)^el_o*um28_A*1*F810*F811</f>
        <v>78.1488805595188</v>
      </c>
      <c r="G819" s="21" t="n">
        <f aca="false">$D819*(itc_29/itc_26)^el_o*um29_A*1*G810*G811</f>
        <v>79.0193888474949</v>
      </c>
      <c r="K819" s="7" t="s">
        <v>638</v>
      </c>
    </row>
    <row r="820" customFormat="false" ht="17.15" hidden="false" customHeight="false" outlineLevel="0" collapsed="false">
      <c r="A820" s="3" t="s">
        <v>639</v>
      </c>
      <c r="B820" s="0" t="s">
        <v>303</v>
      </c>
      <c r="D820" s="21" t="n">
        <f aca="false">a26_abf-D818</f>
        <v>24.94557625</v>
      </c>
      <c r="E820" s="21" t="n">
        <f aca="false">D820*(1+g_nai)</f>
        <v>25.6939435375</v>
      </c>
      <c r="F820" s="21" t="n">
        <f aca="false">E820*(1+g_nai)</f>
        <v>26.464761843625</v>
      </c>
      <c r="G820" s="21" t="n">
        <f aca="false">F820*(1+g_nai)</f>
        <v>27.2587046989338</v>
      </c>
    </row>
    <row r="821" customFormat="false" ht="17.15" hidden="false" customHeight="false" outlineLevel="0" collapsed="false">
      <c r="A821" s="0" t="s">
        <v>640</v>
      </c>
      <c r="B821" s="0" t="s">
        <v>303</v>
      </c>
      <c r="D821" s="21" t="n">
        <f aca="false">D816+D819+D820</f>
        <v>99.782305</v>
      </c>
      <c r="E821" s="21" t="n">
        <f aca="false">E816+E819+E820</f>
        <v>150.754391691273</v>
      </c>
      <c r="F821" s="21" t="n">
        <f aca="false">F816+F819+F820</f>
        <v>172.623925357313</v>
      </c>
      <c r="G821" s="21" t="n">
        <f aca="false">G816+G819+G820</f>
        <v>195.509494648723</v>
      </c>
    </row>
    <row r="822" customFormat="false" ht="17.15" hidden="false" customHeight="false" outlineLevel="0" collapsed="false">
      <c r="A822" s="0" t="s">
        <v>641</v>
      </c>
      <c r="B822" s="0" t="s">
        <v>303</v>
      </c>
      <c r="D822" s="21" t="n">
        <f aca="false">a26_abf</f>
        <v>99.782305</v>
      </c>
      <c r="E822" s="21" t="n">
        <f aca="false">$D821*cap_27*(1+g_mix)^1*E810*E811</f>
        <v>148.513488204375</v>
      </c>
      <c r="F822" s="21" t="n">
        <f aca="false">$D821*cap_28*(1+g_mix)^2*F810*F811</f>
        <v>186.549442683384</v>
      </c>
      <c r="G822" s="21" t="n">
        <f aca="false">$D821*cap_29*(1+g_mix)^3*G810*G811</f>
        <v>218.314827660431</v>
      </c>
      <c r="K822" s="7" t="s">
        <v>642</v>
      </c>
    </row>
    <row r="823" customFormat="false" ht="17.15" hidden="false" customHeight="false" outlineLevel="0" collapsed="false">
      <c r="A823" s="0" t="s">
        <v>643</v>
      </c>
      <c r="B823" s="0" t="s">
        <v>303</v>
      </c>
      <c r="D823" s="21" t="n">
        <f aca="false">a26_abf</f>
        <v>99.782305</v>
      </c>
      <c r="E823" s="21" t="n">
        <f aca="false">MIN(E821,E822)</f>
        <v>148.513488204375</v>
      </c>
      <c r="F823" s="21" t="n">
        <f aca="false">MIN(F821,F822)</f>
        <v>172.623925357313</v>
      </c>
      <c r="G823" s="21" t="n">
        <f aca="false">MIN(G821,G822)</f>
        <v>195.509494648723</v>
      </c>
    </row>
    <row r="824" customFormat="false" ht="17.15" hidden="false" customHeight="false" outlineLevel="0" collapsed="false">
      <c r="A824" s="3" t="s">
        <v>644</v>
      </c>
      <c r="B824" s="0" t="s">
        <v>45</v>
      </c>
      <c r="D824" s="20" t="n">
        <f aca="false">D823/D821</f>
        <v>1</v>
      </c>
      <c r="E824" s="20" t="n">
        <f aca="false">E823/E821</f>
        <v>0.985135401617438</v>
      </c>
      <c r="F824" s="20" t="n">
        <f aca="false">F823/F821</f>
        <v>1</v>
      </c>
      <c r="G824" s="20" t="n">
        <f aca="false">G823/G821</f>
        <v>1</v>
      </c>
    </row>
    <row r="825" customFormat="false" ht="17.15" hidden="false" customHeight="false" outlineLevel="0" collapsed="false">
      <c r="A825" s="0" t="s">
        <v>645</v>
      </c>
      <c r="B825" s="0" t="s">
        <v>303</v>
      </c>
      <c r="D825" s="21" t="n">
        <f aca="false">(D816+D819)*D824</f>
        <v>74.83672875</v>
      </c>
      <c r="E825" s="21" t="n">
        <f aca="false">(E816+E819)*E824</f>
        <v>123.201474818424</v>
      </c>
      <c r="F825" s="21" t="n">
        <f aca="false">(F816+F819)*F824</f>
        <v>146.159163513688</v>
      </c>
      <c r="G825" s="21" t="n">
        <f aca="false">(G816+G819)*G824</f>
        <v>168.250789949789</v>
      </c>
    </row>
    <row r="826" customFormat="false" ht="17.15" hidden="false" customHeight="false" outlineLevel="0" collapsed="false">
      <c r="A826" s="3" t="s">
        <v>646</v>
      </c>
      <c r="B826" s="0" t="s">
        <v>45</v>
      </c>
      <c r="D826" s="20" t="n">
        <f aca="false">D816/(D816+D819)</f>
        <v>0.342851634440636</v>
      </c>
      <c r="E826" s="20" t="n">
        <f aca="false">E816/(E816+E819)</f>
        <v>0.41576820311572</v>
      </c>
      <c r="F826" s="20" t="n">
        <f aca="false">F816/(F816+F819)</f>
        <v>0.465316585831443</v>
      </c>
      <c r="G826" s="20" t="n">
        <f aca="false">G816/(G816+G819)</f>
        <v>0.530347590813235</v>
      </c>
    </row>
    <row r="827" customFormat="false" ht="17.15" hidden="false" customHeight="false" outlineLevel="0" collapsed="false">
      <c r="A827" s="5" t="s">
        <v>647</v>
      </c>
    </row>
    <row r="828" customFormat="false" ht="17.15" hidden="false" customHeight="false" outlineLevel="0" collapsed="false">
      <c r="A828" s="0" t="s">
        <v>550</v>
      </c>
      <c r="B828" s="0" t="s">
        <v>303</v>
      </c>
      <c r="D828" s="21" t="n">
        <f aca="false">a26_bt</f>
        <v>16.944165</v>
      </c>
      <c r="E828" s="21" t="n">
        <f aca="false">D828*(1+g_bt)</f>
        <v>17.79137325</v>
      </c>
      <c r="F828" s="21" t="n">
        <f aca="false">E828*(1+g_bt)</f>
        <v>18.6809419125</v>
      </c>
      <c r="G828" s="21" t="n">
        <f aca="false">F828*(1+g_bt)</f>
        <v>19.614989008125</v>
      </c>
    </row>
    <row r="829" customFormat="false" ht="17.15" hidden="false" customHeight="false" outlineLevel="0" collapsed="false">
      <c r="A829" s="0" t="s">
        <v>648</v>
      </c>
      <c r="B829" s="0" t="s">
        <v>303</v>
      </c>
      <c r="D829" s="21" t="n">
        <f aca="false">a26_pcb*ai_pcb</f>
        <v>37.93610275</v>
      </c>
      <c r="E829" s="21" t="n">
        <f aca="false">D829*(1+g_pai_27)</f>
        <v>45.5233233</v>
      </c>
      <c r="F829" s="21" t="n">
        <f aca="false">D829*(1+g_pai_27)*(1+g_pai_28)*um28_A</f>
        <v>52.351821795</v>
      </c>
      <c r="G829" s="21" t="n">
        <f aca="false">D829*(1+g_pai_27)*(1+g_pai_28)*(1+g_pai_29)*um29_A</f>
        <v>57.5870039745</v>
      </c>
      <c r="K829" s="3" t="s">
        <v>649</v>
      </c>
    </row>
    <row r="830" customFormat="false" ht="17.15" hidden="false" customHeight="false" outlineLevel="0" collapsed="false">
      <c r="A830" s="3" t="s">
        <v>650</v>
      </c>
      <c r="B830" s="0" t="s">
        <v>303</v>
      </c>
      <c r="D830" s="21" t="n">
        <f aca="false">a26_pcb*(1-ai_pcb)</f>
        <v>20.42713225</v>
      </c>
      <c r="E830" s="21" t="n">
        <f aca="false">D830*(1+g_pcbn)</f>
        <v>20.835674895</v>
      </c>
      <c r="F830" s="21" t="n">
        <f aca="false">E830*(1+g_pcbn)</f>
        <v>21.2523883929</v>
      </c>
      <c r="G830" s="21" t="n">
        <f aca="false">F830*(1+g_pcbn)</f>
        <v>21.677436160758</v>
      </c>
    </row>
    <row r="831" customFormat="false" ht="15" hidden="false" customHeight="false" outlineLevel="0" collapsed="false">
      <c r="A831" s="3" t="s">
        <v>552</v>
      </c>
      <c r="B831" s="0" t="s">
        <v>303</v>
      </c>
      <c r="D831" s="21" t="n">
        <f aca="false">a26_fpc</f>
        <v>13.178795</v>
      </c>
      <c r="E831" s="21" t="n">
        <f aca="false">D831*(1+g_fpc)</f>
        <v>13.178795</v>
      </c>
      <c r="F831" s="21" t="n">
        <f aca="false">E831*(1+g_fpc)</f>
        <v>13.178795</v>
      </c>
      <c r="G831" s="21" t="n">
        <f aca="false">F831*(1+g_fpc)</f>
        <v>13.178795</v>
      </c>
    </row>
    <row r="832" customFormat="false" ht="17.15" hidden="false" customHeight="false" outlineLevel="0" collapsed="false">
      <c r="A832" s="3" t="s">
        <v>651</v>
      </c>
      <c r="B832" s="0" t="s">
        <v>303</v>
      </c>
      <c r="D832" s="21" t="n">
        <f aca="false">D823+D828</f>
        <v>116.72647</v>
      </c>
      <c r="E832" s="21" t="n">
        <f aca="false">E823+E828</f>
        <v>166.304861454375</v>
      </c>
      <c r="F832" s="21" t="n">
        <f aca="false">F823+F828</f>
        <v>191.304867269813</v>
      </c>
      <c r="G832" s="21" t="n">
        <f aca="false">G823+G828</f>
        <v>215.124483656848</v>
      </c>
      <c r="K832" s="3" t="s">
        <v>652</v>
      </c>
    </row>
    <row r="833" customFormat="false" ht="17.15" hidden="false" customHeight="false" outlineLevel="0" collapsed="false">
      <c r="A833" s="0" t="s">
        <v>653</v>
      </c>
      <c r="B833" s="0" t="s">
        <v>303</v>
      </c>
      <c r="D833" s="21" t="n">
        <f aca="false">D829+D830</f>
        <v>58.363235</v>
      </c>
      <c r="E833" s="21" t="n">
        <f aca="false">E829+E830</f>
        <v>66.358998195</v>
      </c>
      <c r="F833" s="21" t="n">
        <f aca="false">F829+F830</f>
        <v>73.6042101879</v>
      </c>
      <c r="G833" s="21" t="n">
        <f aca="false">G829+G830</f>
        <v>79.264440135258</v>
      </c>
      <c r="K833" s="3" t="s">
        <v>654</v>
      </c>
    </row>
    <row r="834" customFormat="false" ht="17.15" hidden="false" customHeight="false" outlineLevel="0" collapsed="false">
      <c r="A834" s="3" t="s">
        <v>515</v>
      </c>
      <c r="B834" s="0" t="s">
        <v>303</v>
      </c>
      <c r="C834" s="23" t="n">
        <f aca="false">a25_rev</f>
        <v>131.241</v>
      </c>
      <c r="D834" s="23" t="n">
        <f aca="false">D832+D833+D831</f>
        <v>188.2685</v>
      </c>
      <c r="E834" s="23" t="n">
        <f aca="false">E832+E833+E831</f>
        <v>245.842654649375</v>
      </c>
      <c r="F834" s="23" t="n">
        <f aca="false">F832+F833+F831</f>
        <v>278.087872457713</v>
      </c>
      <c r="G834" s="23" t="n">
        <f aca="false">G832+G833+G831</f>
        <v>307.567718792106</v>
      </c>
      <c r="H834" s="25" t="n">
        <f aca="false">G834*(1+H836)</f>
        <v>335.455725464882</v>
      </c>
      <c r="I834" s="25" t="n">
        <f aca="false">H834*(1+I836)</f>
        <v>360.727741503264</v>
      </c>
      <c r="J834" s="25" t="n">
        <f aca="false">I834*(1+J836)</f>
        <v>382.371405993459</v>
      </c>
      <c r="K834" s="7" t="s">
        <v>655</v>
      </c>
    </row>
    <row r="835" customFormat="false" ht="17.15" hidden="false" customHeight="false" outlineLevel="0" collapsed="false">
      <c r="A835" s="3" t="s">
        <v>656</v>
      </c>
      <c r="B835" s="0" t="s">
        <v>303</v>
      </c>
      <c r="D835" s="19" t="n">
        <f aca="false">D832+D833+D831-D834</f>
        <v>0</v>
      </c>
      <c r="E835" s="19" t="n">
        <f aca="false">E832+E833+E831-E834</f>
        <v>0</v>
      </c>
      <c r="F835" s="19" t="n">
        <f aca="false">F832+F833+F831-F834</f>
        <v>0</v>
      </c>
      <c r="G835" s="19" t="n">
        <f aca="false">G832+G833+G831-G834</f>
        <v>0</v>
      </c>
    </row>
    <row r="836" customFormat="false" ht="15" hidden="false" customHeight="false" outlineLevel="0" collapsed="false">
      <c r="A836" s="3" t="s">
        <v>657</v>
      </c>
      <c r="B836" s="0" t="s">
        <v>45</v>
      </c>
      <c r="D836" s="20" t="n">
        <f aca="false">D834/C834-1</f>
        <v>0.434525034097576</v>
      </c>
      <c r="E836" s="20" t="n">
        <f aca="false">E834/D834-1</f>
        <v>0.30580875</v>
      </c>
      <c r="F836" s="20" t="n">
        <f aca="false">F834/E834-1</f>
        <v>0.131162014396266</v>
      </c>
      <c r="G836" s="20" t="n">
        <f aca="false">G834/F834-1</f>
        <v>0.106009104510217</v>
      </c>
      <c r="H836" s="26" t="n">
        <f aca="false">$G836+(fade_gA-$G836)*1/3</f>
        <v>0.0906727363401445</v>
      </c>
      <c r="I836" s="26" t="n">
        <f aca="false">$G836+(fade_gA-$G836)*2/3</f>
        <v>0.0753363681700722</v>
      </c>
      <c r="J836" s="26" t="n">
        <f aca="false">$G836+(fade_gA-$G836)*3/3</f>
        <v>0.06</v>
      </c>
    </row>
    <row r="837" customFormat="false" ht="17.15" hidden="false" customHeight="false" outlineLevel="0" collapsed="false">
      <c r="A837" s="0" t="s">
        <v>658</v>
      </c>
      <c r="B837" s="0" t="s">
        <v>45</v>
      </c>
      <c r="D837" s="20" t="n">
        <f aca="false">D823/D834</f>
        <v>0.53</v>
      </c>
      <c r="E837" s="20" t="n">
        <f aca="false">E823/E834</f>
        <v>0.604099758100105</v>
      </c>
      <c r="F837" s="20" t="n">
        <f aca="false">F823/F834</f>
        <v>0.620753159178355</v>
      </c>
      <c r="G837" s="20" t="n">
        <f aca="false">G823/G834</f>
        <v>0.635663246508889</v>
      </c>
    </row>
    <row r="838" customFormat="false" ht="17.15" hidden="false" customHeight="false" outlineLevel="0" collapsed="false">
      <c r="A838" s="0" t="s">
        <v>659</v>
      </c>
      <c r="B838" s="0" t="s">
        <v>45</v>
      </c>
      <c r="D838" s="20" t="n">
        <f aca="false">(D825+D829)/D834</f>
        <v>0.599</v>
      </c>
      <c r="E838" s="20" t="n">
        <f aca="false">(E825+E829)/E834</f>
        <v>0.686312138790815</v>
      </c>
      <c r="F838" s="20" t="n">
        <f aca="false">(F825+F829)/F834</f>
        <v>0.713842655396179</v>
      </c>
      <c r="G838" s="20" t="n">
        <f aca="false">(G825+G829)/G834</f>
        <v>0.734270146461436</v>
      </c>
      <c r="K838" s="3" t="s">
        <v>660</v>
      </c>
    </row>
    <row r="839" customFormat="false" ht="17.15" hidden="false" customHeight="false" outlineLevel="0" collapsed="false">
      <c r="A839" s="5" t="s">
        <v>661</v>
      </c>
    </row>
    <row r="840" customFormat="false" ht="15" hidden="false" customHeight="false" outlineLevel="0" collapsed="false">
      <c r="A840" s="3" t="s">
        <v>662</v>
      </c>
      <c r="B840" s="0" t="s">
        <v>303</v>
      </c>
      <c r="C840" s="23" t="n">
        <f aca="false">a25_cx</f>
        <v>25.617</v>
      </c>
      <c r="D840" s="23" t="n">
        <f aca="false">capex26</f>
        <v>53.7</v>
      </c>
      <c r="E840" s="23" t="n">
        <f aca="false">cx27_A</f>
        <v>55</v>
      </c>
      <c r="F840" s="23" t="n">
        <f aca="false">cx28_A</f>
        <v>50</v>
      </c>
      <c r="G840" s="23" t="n">
        <f aca="false">cx29_A</f>
        <v>45</v>
      </c>
      <c r="H840" s="25" t="n">
        <f aca="false">H834*H857</f>
        <v>45.7523117033415</v>
      </c>
      <c r="I840" s="25" t="n">
        <f aca="false">I834*I857</f>
        <v>45.620446742797</v>
      </c>
      <c r="J840" s="25" t="n">
        <f aca="false">J834*J857</f>
        <v>44.5642749101259</v>
      </c>
    </row>
    <row r="841" customFormat="false" ht="17.15" hidden="false" customHeight="false" outlineLevel="0" collapsed="false">
      <c r="A841" s="3" t="s">
        <v>663</v>
      </c>
      <c r="B841" s="0" t="s">
        <v>303</v>
      </c>
      <c r="C841" s="23" t="n">
        <f aca="false">a25_da</f>
        <v>18.8</v>
      </c>
      <c r="D841" s="23" t="n">
        <f aca="false">da26</f>
        <v>20.8</v>
      </c>
      <c r="E841" s="23" t="n">
        <f aca="false">D841*(1-1/life_hi)+D840/life_hi</f>
        <v>24.09</v>
      </c>
      <c r="F841" s="23" t="n">
        <f aca="false">E841*(1-1/life_hi)+E840/life_hi</f>
        <v>27.181</v>
      </c>
      <c r="G841" s="23" t="n">
        <f aca="false">F841*(1-1/life_hi)+F840/life_hi</f>
        <v>29.4629</v>
      </c>
      <c r="H841" s="25" t="n">
        <f aca="false">H834*H842</f>
        <v>32.134381763516</v>
      </c>
      <c r="I841" s="25" t="n">
        <f aca="false">I834*I842</f>
        <v>34.55526937897</v>
      </c>
      <c r="J841" s="25" t="n">
        <f aca="false">J834*J842</f>
        <v>36.6285855417082</v>
      </c>
      <c r="K841" s="3" t="s">
        <v>664</v>
      </c>
    </row>
    <row r="842" customFormat="false" ht="17.15" hidden="false" customHeight="false" outlineLevel="0" collapsed="false">
      <c r="A842" s="3" t="s">
        <v>665</v>
      </c>
      <c r="B842" s="0" t="s">
        <v>45</v>
      </c>
      <c r="C842" s="20" t="n">
        <f aca="false">C841/C834</f>
        <v>0.143247917952469</v>
      </c>
      <c r="D842" s="20" t="n">
        <f aca="false">D841/D834</f>
        <v>0.110480510547436</v>
      </c>
      <c r="E842" s="20" t="n">
        <f aca="false">E841/E834</f>
        <v>0.0979895048495859</v>
      </c>
      <c r="F842" s="20" t="n">
        <f aca="false">F841/F834</f>
        <v>0.0977424860702377</v>
      </c>
      <c r="G842" s="20" t="n">
        <f aca="false">G841/G834</f>
        <v>0.0957932130059294</v>
      </c>
      <c r="H842" s="26" t="n">
        <f aca="false">$G842</f>
        <v>0.0957932130059294</v>
      </c>
      <c r="I842" s="26" t="n">
        <f aca="false">$G842</f>
        <v>0.0957932130059294</v>
      </c>
      <c r="J842" s="26" t="n">
        <f aca="false">$G842</f>
        <v>0.0957932130059294</v>
      </c>
    </row>
    <row r="843" customFormat="false" ht="17.15" hidden="false" customHeight="false" outlineLevel="0" collapsed="false">
      <c r="A843" s="3" t="s">
        <v>666</v>
      </c>
      <c r="B843" s="0" t="s">
        <v>303</v>
      </c>
      <c r="E843" s="21" t="n">
        <f aca="false">E825*(1-1/(E810*E811))</f>
        <v>5.86673689611544</v>
      </c>
      <c r="F843" s="21" t="n">
        <f aca="false">F825*(1-1/(F810*F811))</f>
        <v>-0.366313693016785</v>
      </c>
      <c r="G843" s="21" t="n">
        <f aca="false">G825*(1-1/(G810*G811))</f>
        <v>-9.7923740182417</v>
      </c>
      <c r="K843" s="7" t="s">
        <v>667</v>
      </c>
    </row>
    <row r="844" customFormat="false" ht="17.15" hidden="false" customHeight="false" outlineLevel="0" collapsed="false">
      <c r="A844" s="3" t="s">
        <v>668</v>
      </c>
      <c r="B844" s="0" t="s">
        <v>303</v>
      </c>
      <c r="C844" s="21" t="n">
        <f aca="false">a25_gp</f>
        <v>18.292</v>
      </c>
      <c r="D844" s="21" t="n">
        <f aca="false">a26_gp</f>
        <v>47.3329657</v>
      </c>
      <c r="E844" s="21" t="n">
        <f aca="false">$D844+ft_abf*(E823-E843-$D823)+ft_oth*((E834-E823)-($D834-$D823))+E843-(E841-$D841)</f>
        <v>73.5526686114952</v>
      </c>
      <c r="F844" s="21" t="n">
        <f aca="false">$D844+ft_abf*(F823-F843-$D823)+ft_oth*((F834-F823)-($D834-$D823))+F843-(F841-$D841)</f>
        <v>81.4340570572479</v>
      </c>
      <c r="G844" s="21" t="n">
        <f aca="false">$D844+ft_abf*(G823-G843-$D823)+ft_oth*((G834-G823)-($D834-$D823))+G843-(G841-$D841)</f>
        <v>87.5304808010864</v>
      </c>
      <c r="K844" s="3" t="s">
        <v>669</v>
      </c>
    </row>
    <row r="845" customFormat="false" ht="15" hidden="false" customHeight="false" outlineLevel="0" collapsed="false">
      <c r="A845" s="3" t="s">
        <v>522</v>
      </c>
      <c r="B845" s="0" t="s">
        <v>45</v>
      </c>
      <c r="C845" s="13" t="n">
        <f aca="false">C844/C834</f>
        <v>0.139377176339711</v>
      </c>
      <c r="D845" s="13" t="n">
        <f aca="false">D844/D834</f>
        <v>0.251412029627899</v>
      </c>
      <c r="E845" s="13" t="n">
        <f aca="false">E844/E834</f>
        <v>0.299185951747866</v>
      </c>
      <c r="F845" s="13" t="n">
        <f aca="false">F844/F834</f>
        <v>0.292835700951436</v>
      </c>
      <c r="G845" s="13" t="n">
        <f aca="false">G844/G834</f>
        <v>0.284589296772887</v>
      </c>
    </row>
    <row r="846" customFormat="false" ht="15" hidden="false" customHeight="false" outlineLevel="0" collapsed="false">
      <c r="A846" s="3" t="s">
        <v>524</v>
      </c>
      <c r="B846" s="0" t="s">
        <v>303</v>
      </c>
      <c r="C846" s="21" t="n">
        <f aca="false">a25_opx</f>
        <v>11.618</v>
      </c>
      <c r="D846" s="21" t="n">
        <f aca="false">a26_opx</f>
        <v>16.6539532</v>
      </c>
      <c r="E846" s="21" t="n">
        <f aca="false">D846*(1+phi*E836)</f>
        <v>19.7097079663903</v>
      </c>
      <c r="F846" s="21" t="n">
        <f aca="false">E846*(1+phi*F836)</f>
        <v>21.2608069664106</v>
      </c>
      <c r="G846" s="21" t="n">
        <f aca="false">F846*(1+phi*G836)</f>
        <v>22.6131104310149</v>
      </c>
    </row>
    <row r="847" customFormat="false" ht="15" hidden="false" customHeight="false" outlineLevel="0" collapsed="false">
      <c r="A847" s="3" t="s">
        <v>527</v>
      </c>
      <c r="B847" s="0" t="s">
        <v>303</v>
      </c>
      <c r="C847" s="21" t="n">
        <f aca="false">C844-C846</f>
        <v>6.674</v>
      </c>
      <c r="D847" s="21" t="n">
        <f aca="false">D844-D846</f>
        <v>30.6790125</v>
      </c>
      <c r="E847" s="21" t="n">
        <f aca="false">E844-E846</f>
        <v>53.8429606451049</v>
      </c>
      <c r="F847" s="21" t="n">
        <f aca="false">F844-F846</f>
        <v>60.1732500908373</v>
      </c>
      <c r="G847" s="21" t="n">
        <f aca="false">G844-G846</f>
        <v>64.9173703700715</v>
      </c>
    </row>
    <row r="848" customFormat="false" ht="15" hidden="false" customHeight="false" outlineLevel="0" collapsed="false">
      <c r="A848" s="3" t="s">
        <v>605</v>
      </c>
      <c r="B848" s="0" t="s">
        <v>45</v>
      </c>
      <c r="C848" s="13" t="n">
        <f aca="false">C847/C834</f>
        <v>0.0508530108731265</v>
      </c>
      <c r="D848" s="13" t="n">
        <f aca="false">D847/D834</f>
        <v>0.162953507888999</v>
      </c>
      <c r="E848" s="13" t="n">
        <f aca="false">E847/E834</f>
        <v>0.219013908395582</v>
      </c>
      <c r="F848" s="13" t="n">
        <f aca="false">F847/F834</f>
        <v>0.216382144100827</v>
      </c>
      <c r="G848" s="13" t="n">
        <f aca="false">G847/G834</f>
        <v>0.211066917636929</v>
      </c>
    </row>
    <row r="849" customFormat="false" ht="17.15" hidden="false" customHeight="false" outlineLevel="0" collapsed="false">
      <c r="A849" s="3" t="s">
        <v>670</v>
      </c>
      <c r="B849" s="0" t="s">
        <v>303</v>
      </c>
      <c r="C849" s="21" t="n">
        <f aca="false">a25_nonop</f>
        <v>-0.00100000000000033</v>
      </c>
      <c r="D849" s="21" t="n">
        <f aca="false">a26_nonop</f>
        <v>14.466</v>
      </c>
      <c r="E849" s="21" t="n">
        <f aca="false">nonop27</f>
        <v>2</v>
      </c>
      <c r="F849" s="21" t="n">
        <f aca="false">nonop28</f>
        <v>2</v>
      </c>
      <c r="G849" s="21" t="n">
        <f aca="false">nonop29</f>
        <v>2</v>
      </c>
      <c r="K849" s="7" t="s">
        <v>671</v>
      </c>
    </row>
    <row r="850" customFormat="false" ht="15" hidden="false" customHeight="false" outlineLevel="0" collapsed="false">
      <c r="A850" s="3" t="s">
        <v>533</v>
      </c>
      <c r="B850" s="0" t="s">
        <v>303</v>
      </c>
      <c r="C850" s="21" t="n">
        <f aca="false">C847+C849</f>
        <v>6.673</v>
      </c>
      <c r="D850" s="21" t="n">
        <f aca="false">D847+D849</f>
        <v>45.1450125</v>
      </c>
      <c r="E850" s="21" t="n">
        <f aca="false">E847+E849</f>
        <v>55.8429606451049</v>
      </c>
      <c r="F850" s="21" t="n">
        <f aca="false">F847+F849</f>
        <v>62.1732500908373</v>
      </c>
      <c r="G850" s="21" t="n">
        <f aca="false">G847+G849</f>
        <v>66.9173703700715</v>
      </c>
    </row>
    <row r="851" customFormat="false" ht="15" hidden="false" customHeight="false" outlineLevel="0" collapsed="false">
      <c r="A851" s="3" t="s">
        <v>537</v>
      </c>
      <c r="B851" s="0" t="s">
        <v>303</v>
      </c>
      <c r="E851" s="21" t="n">
        <f aca="false">E850*tax</f>
        <v>10.0517329161189</v>
      </c>
      <c r="F851" s="21" t="n">
        <f aca="false">F850*tax</f>
        <v>11.1911850163507</v>
      </c>
      <c r="G851" s="21" t="n">
        <f aca="false">G850*tax</f>
        <v>12.0451266666129</v>
      </c>
    </row>
    <row r="852" customFormat="false" ht="15" hidden="false" customHeight="false" outlineLevel="0" collapsed="false">
      <c r="A852" s="3" t="s">
        <v>535</v>
      </c>
      <c r="B852" s="0" t="s">
        <v>303</v>
      </c>
      <c r="C852" s="21" t="n">
        <f aca="false">a25_ni</f>
        <v>6.673</v>
      </c>
      <c r="D852" s="21" t="n">
        <f aca="false">a26_ni</f>
        <v>37.23923025</v>
      </c>
      <c r="E852" s="21" t="n">
        <f aca="false">E850-E851</f>
        <v>45.791227728986</v>
      </c>
      <c r="F852" s="21" t="n">
        <f aca="false">F850-F851</f>
        <v>50.9820650744866</v>
      </c>
      <c r="G852" s="21" t="n">
        <f aca="false">G850-G851</f>
        <v>54.8722437034587</v>
      </c>
      <c r="H852" s="30" t="n">
        <f aca="false">H834*H856</f>
        <v>59.2882856245197</v>
      </c>
      <c r="I852" s="30" t="n">
        <f aca="false">I834*I856</f>
        <v>63.1533339256984</v>
      </c>
      <c r="J852" s="30" t="n">
        <f aca="false">J834*J856</f>
        <v>66.3049271996696</v>
      </c>
    </row>
    <row r="853" customFormat="false" ht="15" hidden="false" customHeight="false" outlineLevel="0" collapsed="false">
      <c r="A853" s="3" t="s">
        <v>672</v>
      </c>
      <c r="B853" s="3" t="s">
        <v>381</v>
      </c>
      <c r="C853" s="29" t="n">
        <f aca="false">a25_sh</f>
        <v>1.52351598173516</v>
      </c>
      <c r="D853" s="29" t="n">
        <f aca="false">a26_sh</f>
        <v>1.59236316568047</v>
      </c>
      <c r="E853" s="29" t="n">
        <f aca="false">a26_shend*(1+sh_g)</f>
        <v>1.64</v>
      </c>
      <c r="F853" s="29" t="n">
        <f aca="false">E853*(1+sh_g)</f>
        <v>1.64</v>
      </c>
      <c r="G853" s="29" t="n">
        <f aca="false">F853*(1+sh_g)</f>
        <v>1.64</v>
      </c>
      <c r="H853" s="31" t="n">
        <f aca="false">G853*(1+sh_g)</f>
        <v>1.64</v>
      </c>
      <c r="I853" s="31" t="n">
        <f aca="false">H853*(1+sh_g)</f>
        <v>1.64</v>
      </c>
      <c r="J853" s="31" t="n">
        <f aca="false">I853*(1+sh_g)</f>
        <v>1.64</v>
      </c>
    </row>
    <row r="854" customFormat="false" ht="17.15" hidden="false" customHeight="false" outlineLevel="0" collapsed="false">
      <c r="A854" s="0" t="s">
        <v>540</v>
      </c>
      <c r="B854" s="0" t="s">
        <v>387</v>
      </c>
      <c r="C854" s="18" t="n">
        <f aca="false">C852/C853</f>
        <v>4.38</v>
      </c>
      <c r="D854" s="18" t="n">
        <f aca="false">D852/D853</f>
        <v>23.3861414610695</v>
      </c>
      <c r="E854" s="18" t="n">
        <f aca="false">E852/E853</f>
        <v>27.9214803225525</v>
      </c>
      <c r="F854" s="18" t="n">
        <f aca="false">F852/F853</f>
        <v>31.0866250454186</v>
      </c>
      <c r="G854" s="18" t="n">
        <f aca="false">G852/G853</f>
        <v>33.4586851850358</v>
      </c>
      <c r="H854" s="28" t="n">
        <f aca="false">H852/H853</f>
        <v>36.1513936734876</v>
      </c>
      <c r="I854" s="28" t="n">
        <f aca="false">I852/I853</f>
        <v>38.508130442499</v>
      </c>
      <c r="J854" s="28" t="n">
        <f aca="false">J852/J853</f>
        <v>40.4298336583351</v>
      </c>
    </row>
    <row r="855" customFormat="false" ht="17.15" hidden="false" customHeight="false" outlineLevel="0" collapsed="false">
      <c r="A855" s="0" t="s">
        <v>673</v>
      </c>
      <c r="B855" s="0" t="s">
        <v>45</v>
      </c>
      <c r="D855" s="20" t="n">
        <f aca="false">D854/C854-1</f>
        <v>4.33930170344053</v>
      </c>
      <c r="E855" s="20" t="n">
        <f aca="false">E854/D854-1</f>
        <v>0.193932755817493</v>
      </c>
      <c r="F855" s="20" t="n">
        <f aca="false">F854/E854-1</f>
        <v>0.113358772038661</v>
      </c>
      <c r="G855" s="20" t="n">
        <f aca="false">G854/F854-1</f>
        <v>0.0763048460922169</v>
      </c>
      <c r="H855" s="26" t="n">
        <f aca="false">H854/G854-1</f>
        <v>0.0804786103685922</v>
      </c>
      <c r="I855" s="26" t="n">
        <f aca="false">I854/H854-1</f>
        <v>0.0651907583507561</v>
      </c>
      <c r="J855" s="26" t="n">
        <f aca="false">J854/I854-1</f>
        <v>0.0499038305353616</v>
      </c>
    </row>
    <row r="856" customFormat="false" ht="17.15" hidden="false" customHeight="false" outlineLevel="0" collapsed="false">
      <c r="A856" s="3" t="s">
        <v>674</v>
      </c>
      <c r="B856" s="0" t="s">
        <v>45</v>
      </c>
      <c r="C856" s="13" t="n">
        <f aca="false">C852/C834</f>
        <v>0.0508453913030227</v>
      </c>
      <c r="D856" s="13" t="n">
        <f aca="false">D852/D834</f>
        <v>0.197798517808343</v>
      </c>
      <c r="E856" s="13" t="n">
        <f aca="false">E852/E834</f>
        <v>0.186262338381817</v>
      </c>
      <c r="F856" s="13" t="n">
        <f aca="false">F852/F834</f>
        <v>0.183330774635773</v>
      </c>
      <c r="G856" s="13" t="n">
        <f aca="false">G852/G834</f>
        <v>0.178407031527741</v>
      </c>
      <c r="H856" s="27" t="n">
        <f aca="false">$G856+(fade_mA-$G856)*1/3</f>
        <v>0.17673952514108</v>
      </c>
      <c r="I856" s="27" t="n">
        <f aca="false">$G856+(fade_mA-$G856)*2/3</f>
        <v>0.175072018754419</v>
      </c>
      <c r="J856" s="27" t="n">
        <f aca="false">$G856+(fade_mA-$G856)*3/3</f>
        <v>0.173404512367757</v>
      </c>
    </row>
    <row r="857" customFormat="false" ht="17.15" hidden="false" customHeight="false" outlineLevel="0" collapsed="false">
      <c r="A857" s="3" t="s">
        <v>675</v>
      </c>
      <c r="B857" s="0" t="s">
        <v>45</v>
      </c>
      <c r="C857" s="20" t="n">
        <f aca="false">C840/C834</f>
        <v>0.195190527350447</v>
      </c>
      <c r="D857" s="20" t="n">
        <f aca="false">D840/D834</f>
        <v>0.285230933480641</v>
      </c>
      <c r="E857" s="20" t="n">
        <f aca="false">E840/E834</f>
        <v>0.223720330706817</v>
      </c>
      <c r="F857" s="20" t="n">
        <f aca="false">F840/F834</f>
        <v>0.179799282716305</v>
      </c>
      <c r="G857" s="20" t="n">
        <f aca="false">G840/G834</f>
        <v>0.146309242649801</v>
      </c>
      <c r="H857" s="26" t="n">
        <f aca="false">$G857+($G842*(1+tp_g)^(life_hi/2)-$G857)*1/3</f>
        <v>0.136388525311162</v>
      </c>
      <c r="I857" s="26" t="n">
        <f aca="false">$G857+($G842*(1+tp_g)^(life_hi/2)-$G857)*2/3</f>
        <v>0.126467807972524</v>
      </c>
      <c r="J857" s="26" t="n">
        <f aca="false">$G857+($G842*(1+tp_g)^(life_hi/2)-$G857)*3/3</f>
        <v>0.116547090633885</v>
      </c>
      <c r="K857" s="7" t="s">
        <v>676</v>
      </c>
    </row>
    <row r="858" customFormat="false" ht="15" hidden="false" customHeight="false" outlineLevel="0" collapsed="false">
      <c r="A858" s="3" t="s">
        <v>677</v>
      </c>
      <c r="B858" s="0" t="s">
        <v>303</v>
      </c>
      <c r="E858" s="21" t="n">
        <f aca="false">E852+E841-E840</f>
        <v>14.881227728986</v>
      </c>
      <c r="F858" s="21" t="n">
        <f aca="false">F852+F841-F840</f>
        <v>28.1630650744866</v>
      </c>
      <c r="G858" s="21" t="n">
        <f aca="false">G852+G841-G840</f>
        <v>39.3351437034587</v>
      </c>
      <c r="H858" s="30" t="n">
        <f aca="false">H852+H841-H840</f>
        <v>45.6703556846943</v>
      </c>
      <c r="I858" s="30" t="n">
        <f aca="false">I852+I841-I840</f>
        <v>52.0881565618714</v>
      </c>
      <c r="J858" s="30" t="n">
        <f aca="false">J852+J841-J840</f>
        <v>58.3692378312518</v>
      </c>
      <c r="K858" s="3" t="s">
        <v>678</v>
      </c>
    </row>
    <row r="859" customFormat="false" ht="15" hidden="false" customHeight="false" outlineLevel="0" collapsed="false">
      <c r="A859" s="3" t="s">
        <v>679</v>
      </c>
      <c r="B859" s="0" t="s">
        <v>387</v>
      </c>
      <c r="E859" s="18" t="n">
        <f aca="false">E858/E853</f>
        <v>9.0739193469427</v>
      </c>
      <c r="F859" s="18" t="n">
        <f aca="false">F858/F853</f>
        <v>17.1726006551747</v>
      </c>
      <c r="G859" s="18" t="n">
        <f aca="false">G858/G853</f>
        <v>23.9848437216211</v>
      </c>
      <c r="H859" s="28" t="n">
        <f aca="false">H858/H853</f>
        <v>27.8477778565209</v>
      </c>
      <c r="I859" s="28" t="n">
        <f aca="false">I858/I853</f>
        <v>31.7610710743118</v>
      </c>
      <c r="J859" s="28" t="n">
        <f aca="false">J858/J853</f>
        <v>35.5909986775926</v>
      </c>
    </row>
    <row r="862" customFormat="false" ht="17.15" hidden="false" customHeight="false" outlineLevel="0" collapsed="false">
      <c r="A862" s="1" t="s">
        <v>1033</v>
      </c>
    </row>
    <row r="863" customFormat="false" ht="17.15" hidden="false" customHeight="false" outlineLevel="0" collapsed="false">
      <c r="A863" s="4" t="s">
        <v>22</v>
      </c>
      <c r="B863" s="4" t="s">
        <v>23</v>
      </c>
      <c r="C863" s="14" t="s">
        <v>508</v>
      </c>
      <c r="D863" s="14" t="s">
        <v>592</v>
      </c>
      <c r="E863" s="14" t="s">
        <v>593</v>
      </c>
      <c r="F863" s="14" t="s">
        <v>594</v>
      </c>
      <c r="G863" s="14" t="s">
        <v>595</v>
      </c>
      <c r="H863" s="14" t="s">
        <v>596</v>
      </c>
      <c r="I863" s="14" t="s">
        <v>597</v>
      </c>
      <c r="J863" s="14" t="s">
        <v>598</v>
      </c>
      <c r="K863" s="4" t="s">
        <v>481</v>
      </c>
    </row>
    <row r="864" customFormat="false" ht="17.15" hidden="false" customHeight="false" outlineLevel="0" collapsed="false">
      <c r="A864" s="5" t="s">
        <v>616</v>
      </c>
    </row>
    <row r="865" customFormat="false" ht="17.15" hidden="false" customHeight="false" outlineLevel="0" collapsed="false">
      <c r="A865" s="0" t="s">
        <v>617</v>
      </c>
      <c r="B865" s="3" t="s">
        <v>33</v>
      </c>
      <c r="D865" s="21" t="n">
        <f aca="false">(u_bw_26+u_rb_26+u_ru_26+u_hp_26)*1</f>
        <v>7.6</v>
      </c>
      <c r="E865" s="21" t="n">
        <f aca="false">(u_bw_27+u_rb_27+u_ru_27+u_hp_27)*1*1</f>
        <v>9.7</v>
      </c>
      <c r="F865" s="21" t="n">
        <f aca="false">(u_bw_28+u_rb_28+u_ru_28+u_hp_28)*um28_A*1</f>
        <v>9.5</v>
      </c>
      <c r="G865" s="21" t="n">
        <f aca="false">(u_bw_28*(1+g29_bw)+u_rb_28*(1+g29_rb)+u_ru_28*(1+g29_ru)+u_hp_28*(1+g29_hp))*um29_A*1</f>
        <v>10.6</v>
      </c>
      <c r="K865" s="7" t="s">
        <v>618</v>
      </c>
    </row>
    <row r="866" customFormat="false" ht="17.15" hidden="false" customHeight="false" outlineLevel="0" collapsed="false">
      <c r="A866" s="3" t="s">
        <v>619</v>
      </c>
      <c r="B866" s="3" t="s">
        <v>33</v>
      </c>
      <c r="D866" s="21" t="n">
        <f aca="false">(u_amd_26+u_tpu_26+u_trn_26+u_oth_26)*1</f>
        <v>7.6</v>
      </c>
      <c r="E866" s="21" t="n">
        <f aca="false">(u_amd_27+u_tpu_27+u_trn_27+u_oth_27)*1*1</f>
        <v>14</v>
      </c>
      <c r="F866" s="21" t="n">
        <f aca="false">(u_amd_28+u_tpu_28+u_trn_28+u_oth_28)*um28_A*1</f>
        <v>17</v>
      </c>
      <c r="G866" s="21" t="n">
        <f aca="false">(u_amd_28*(1+g29_amd)+u_tpu_28*(1+g29_tpu)+u_trn_28*(1+g29_trn)+u_oth_28*(1+g29_oth))*um29_A*1</f>
        <v>19.55</v>
      </c>
      <c r="K866" s="7" t="s">
        <v>620</v>
      </c>
    </row>
    <row r="867" customFormat="false" ht="17.15" hidden="false" customHeight="false" outlineLevel="0" collapsed="false">
      <c r="A867" s="3" t="s">
        <v>621</v>
      </c>
      <c r="B867" s="0" t="s">
        <v>145</v>
      </c>
      <c r="D867" s="19" t="n">
        <f aca="false">1</f>
        <v>1</v>
      </c>
      <c r="E867" s="19" t="n">
        <f aca="false">D867*(1+g_asp)</f>
        <v>1.18</v>
      </c>
      <c r="F867" s="19" t="n">
        <f aca="false">E867*(1+g_asp)</f>
        <v>1.3924</v>
      </c>
      <c r="G867" s="19" t="n">
        <f aca="false">F867*(1+g_asp)</f>
        <v>1.643032</v>
      </c>
      <c r="K867" s="7" t="s">
        <v>622</v>
      </c>
    </row>
    <row r="868" customFormat="false" ht="17.15" hidden="false" customHeight="false" outlineLevel="0" collapsed="false">
      <c r="A868" s="0" t="s">
        <v>623</v>
      </c>
      <c r="B868" s="0" t="s">
        <v>145</v>
      </c>
      <c r="D868" s="18" t="n">
        <f aca="false">1</f>
        <v>1</v>
      </c>
      <c r="E868" s="18" t="n">
        <f aca="false">ibpp_27</f>
        <v>1</v>
      </c>
      <c r="F868" s="18" t="n">
        <f aca="false">ibpp_28</f>
        <v>0.95</v>
      </c>
      <c r="G868" s="18" t="n">
        <f aca="false">ibpp_29</f>
        <v>0.9</v>
      </c>
      <c r="K868" s="7" t="s">
        <v>624</v>
      </c>
    </row>
    <row r="869" customFormat="false" ht="17.15" hidden="false" customHeight="false" outlineLevel="0" collapsed="false">
      <c r="A869" s="3" t="s">
        <v>625</v>
      </c>
      <c r="B869" s="0" t="s">
        <v>145</v>
      </c>
      <c r="D869" s="18" t="n">
        <f aca="false">1</f>
        <v>1</v>
      </c>
      <c r="E869" s="18" t="n">
        <f aca="false">1+carry</f>
        <v>1.05</v>
      </c>
      <c r="F869" s="18" t="n">
        <f aca="false">1+carry</f>
        <v>1.05</v>
      </c>
      <c r="G869" s="18" t="n">
        <f aca="false">1+carry</f>
        <v>1.05</v>
      </c>
      <c r="K869" s="7" t="s">
        <v>626</v>
      </c>
    </row>
    <row r="870" customFormat="false" ht="17.15" hidden="false" customHeight="false" outlineLevel="0" collapsed="false">
      <c r="A870" s="3" t="s">
        <v>627</v>
      </c>
      <c r="B870" s="0" t="s">
        <v>628</v>
      </c>
      <c r="D870" s="23" t="n">
        <f aca="false">v26*D867*D868</f>
        <v>215.308596</v>
      </c>
      <c r="E870" s="23" t="n">
        <f aca="false">v26*E867*E868</f>
        <v>254.06414328</v>
      </c>
      <c r="F870" s="23" t="n">
        <f aca="false">v26*F867*F868</f>
        <v>284.80590461688</v>
      </c>
      <c r="G870" s="23" t="n">
        <f aca="false">v26*G867*G868</f>
        <v>318.383021792765</v>
      </c>
      <c r="K870" s="7" t="s">
        <v>629</v>
      </c>
    </row>
    <row r="871" customFormat="false" ht="17.15" hidden="false" customHeight="false" outlineLevel="0" collapsed="false">
      <c r="A871" s="3" t="s">
        <v>630</v>
      </c>
      <c r="B871" s="0" t="s">
        <v>45</v>
      </c>
      <c r="D871" s="20" t="n">
        <f aca="false">sh_nv_26</f>
        <v>0.25</v>
      </c>
      <c r="E871" s="20" t="n">
        <f aca="false">sh_nv_27</f>
        <v>0.27</v>
      </c>
      <c r="F871" s="20" t="n">
        <f aca="false">sh_nv_28</f>
        <v>0.29</v>
      </c>
      <c r="G871" s="20" t="n">
        <f aca="false">sh_nv_29</f>
        <v>0.3</v>
      </c>
    </row>
    <row r="872" customFormat="false" ht="17.15" hidden="false" customHeight="false" outlineLevel="0" collapsed="false">
      <c r="A872" s="3" t="s">
        <v>631</v>
      </c>
      <c r="B872" s="0" t="s">
        <v>45</v>
      </c>
      <c r="D872" s="20" t="n">
        <f aca="false">sh_ot_26</f>
        <v>0.3</v>
      </c>
      <c r="E872" s="20" t="n">
        <f aca="false">sh_ot_27</f>
        <v>0.31</v>
      </c>
      <c r="F872" s="20" t="n">
        <f aca="false">sh_ot_28</f>
        <v>0.32</v>
      </c>
      <c r="G872" s="20" t="n">
        <f aca="false">sh_ot_29</f>
        <v>0.33</v>
      </c>
    </row>
    <row r="873" customFormat="false" ht="17.15" hidden="false" customHeight="false" outlineLevel="0" collapsed="false">
      <c r="A873" s="3" t="s">
        <v>632</v>
      </c>
      <c r="B873" s="0" t="s">
        <v>582</v>
      </c>
      <c r="D873" s="22" t="n">
        <f aca="false">(D865*D870*D871+D866*D870*v_ot*D872)*D869</f>
        <v>801.809211504</v>
      </c>
      <c r="E873" s="22" t="n">
        <f aca="false">(E865*E870*E871+E866*E870*v_ot*E872)*E869</f>
        <v>1624.8799315544</v>
      </c>
      <c r="F873" s="22" t="n">
        <f aca="false">(F865*F870*F871+F866*F870*v_ot*F872)*F869</f>
        <v>2125.32134231777</v>
      </c>
      <c r="G873" s="22" t="n">
        <f aca="false">(G865*G870*G871+G866*G870*v_ot*G872)*G869</f>
        <v>2788.4812844467</v>
      </c>
    </row>
    <row r="874" customFormat="false" ht="15" hidden="false" customHeight="false" outlineLevel="0" collapsed="false">
      <c r="A874" s="3" t="s">
        <v>633</v>
      </c>
      <c r="B874" s="0" t="s">
        <v>303</v>
      </c>
      <c r="D874" s="21" t="n">
        <f aca="false">D873*fx/1000</f>
        <v>25.657894768128</v>
      </c>
      <c r="E874" s="21" t="n">
        <f aca="false">E873*fx/1000</f>
        <v>51.9961578097409</v>
      </c>
      <c r="F874" s="21" t="n">
        <f aca="false">F873*fx/1000</f>
        <v>68.0102829541688</v>
      </c>
      <c r="G874" s="21" t="n">
        <f aca="false">G873*fx/1000</f>
        <v>89.2314011022944</v>
      </c>
    </row>
    <row r="875" customFormat="false" ht="17.15" hidden="false" customHeight="false" outlineLevel="0" collapsed="false">
      <c r="A875" s="5" t="s">
        <v>634</v>
      </c>
    </row>
    <row r="876" customFormat="false" ht="17.15" hidden="false" customHeight="false" outlineLevel="0" collapsed="false">
      <c r="A876" s="0" t="s">
        <v>635</v>
      </c>
      <c r="B876" s="0" t="s">
        <v>303</v>
      </c>
      <c r="D876" s="21" t="n">
        <f aca="false">a26_abf*ai_abf</f>
        <v>74.83672875</v>
      </c>
      <c r="K876" s="3" t="s">
        <v>636</v>
      </c>
    </row>
    <row r="877" customFormat="false" ht="17.15" hidden="false" customHeight="false" outlineLevel="0" collapsed="false">
      <c r="A877" s="3" t="s">
        <v>637</v>
      </c>
      <c r="B877" s="0" t="s">
        <v>303</v>
      </c>
      <c r="D877" s="21" t="n">
        <f aca="false">D876-D874</f>
        <v>49.178833981872</v>
      </c>
      <c r="E877" s="21" t="n">
        <f aca="false">$D877*(itc_27/itc_26)^el_o*1*1*E868*E869</f>
        <v>73.0642903440322</v>
      </c>
      <c r="F877" s="21" t="n">
        <f aca="false">$D877*(itc_28/itc_26)^el_o*um28_A*1*F868*F869</f>
        <v>78.1488805595188</v>
      </c>
      <c r="G877" s="21" t="n">
        <f aca="false">$D877*(itc_29/itc_26)^el_o*um29_A*1*G868*G869</f>
        <v>79.0193888474949</v>
      </c>
      <c r="K877" s="7" t="s">
        <v>638</v>
      </c>
    </row>
    <row r="878" customFormat="false" ht="17.15" hidden="false" customHeight="false" outlineLevel="0" collapsed="false">
      <c r="A878" s="3" t="s">
        <v>639</v>
      </c>
      <c r="B878" s="0" t="s">
        <v>303</v>
      </c>
      <c r="D878" s="21" t="n">
        <f aca="false">a26_abf-D876</f>
        <v>24.94557625</v>
      </c>
      <c r="E878" s="21" t="n">
        <f aca="false">D878*(1+g_nai)</f>
        <v>25.6939435375</v>
      </c>
      <c r="F878" s="21" t="n">
        <f aca="false">E878*(1+g_nai)</f>
        <v>26.464761843625</v>
      </c>
      <c r="G878" s="21" t="n">
        <f aca="false">F878*(1+g_nai)</f>
        <v>27.2587046989338</v>
      </c>
    </row>
    <row r="879" customFormat="false" ht="17.15" hidden="false" customHeight="false" outlineLevel="0" collapsed="false">
      <c r="A879" s="0" t="s">
        <v>640</v>
      </c>
      <c r="B879" s="0" t="s">
        <v>303</v>
      </c>
      <c r="D879" s="21" t="n">
        <f aca="false">D874+D877+D878</f>
        <v>99.782305</v>
      </c>
      <c r="E879" s="21" t="n">
        <f aca="false">E874+E877+E878</f>
        <v>150.754391691273</v>
      </c>
      <c r="F879" s="21" t="n">
        <f aca="false">F874+F877+F878</f>
        <v>172.623925357313</v>
      </c>
      <c r="G879" s="21" t="n">
        <f aca="false">G874+G877+G878</f>
        <v>195.509494648723</v>
      </c>
    </row>
    <row r="880" customFormat="false" ht="17.15" hidden="false" customHeight="false" outlineLevel="0" collapsed="false">
      <c r="A880" s="0" t="s">
        <v>641</v>
      </c>
      <c r="B880" s="0" t="s">
        <v>303</v>
      </c>
      <c r="D880" s="21" t="n">
        <f aca="false">a26_abf</f>
        <v>99.782305</v>
      </c>
      <c r="E880" s="21" t="n">
        <f aca="false">$D879*cap_27*(1+g_mix)^1*E868*E869</f>
        <v>148.513488204375</v>
      </c>
      <c r="F880" s="21" t="n">
        <f aca="false">$D879*cap_28*(1+g_mix)^2*F868*F869</f>
        <v>186.549442683384</v>
      </c>
      <c r="G880" s="21" t="n">
        <f aca="false">$D879*cap_29*(1+g_mix)^3*G868*G869</f>
        <v>218.314827660431</v>
      </c>
      <c r="K880" s="7" t="s">
        <v>642</v>
      </c>
    </row>
    <row r="881" customFormat="false" ht="17.15" hidden="false" customHeight="false" outlineLevel="0" collapsed="false">
      <c r="A881" s="0" t="s">
        <v>643</v>
      </c>
      <c r="B881" s="0" t="s">
        <v>303</v>
      </c>
      <c r="D881" s="21" t="n">
        <f aca="false">a26_abf</f>
        <v>99.782305</v>
      </c>
      <c r="E881" s="21" t="n">
        <f aca="false">MIN(E879,E880)</f>
        <v>148.513488204375</v>
      </c>
      <c r="F881" s="21" t="n">
        <f aca="false">MIN(F879,F880)</f>
        <v>172.623925357313</v>
      </c>
      <c r="G881" s="21" t="n">
        <f aca="false">MIN(G879,G880)</f>
        <v>195.509494648723</v>
      </c>
    </row>
    <row r="882" customFormat="false" ht="17.15" hidden="false" customHeight="false" outlineLevel="0" collapsed="false">
      <c r="A882" s="3" t="s">
        <v>644</v>
      </c>
      <c r="B882" s="0" t="s">
        <v>45</v>
      </c>
      <c r="D882" s="20" t="n">
        <f aca="false">D881/D879</f>
        <v>1</v>
      </c>
      <c r="E882" s="20" t="n">
        <f aca="false">E881/E879</f>
        <v>0.985135401617438</v>
      </c>
      <c r="F882" s="20" t="n">
        <f aca="false">F881/F879</f>
        <v>1</v>
      </c>
      <c r="G882" s="20" t="n">
        <f aca="false">G881/G879</f>
        <v>1</v>
      </c>
    </row>
    <row r="883" customFormat="false" ht="17.15" hidden="false" customHeight="false" outlineLevel="0" collapsed="false">
      <c r="A883" s="0" t="s">
        <v>645</v>
      </c>
      <c r="B883" s="0" t="s">
        <v>303</v>
      </c>
      <c r="D883" s="21" t="n">
        <f aca="false">(D874+D877)*D882</f>
        <v>74.83672875</v>
      </c>
      <c r="E883" s="21" t="n">
        <f aca="false">(E874+E877)*E882</f>
        <v>123.201474818424</v>
      </c>
      <c r="F883" s="21" t="n">
        <f aca="false">(F874+F877)*F882</f>
        <v>146.159163513688</v>
      </c>
      <c r="G883" s="21" t="n">
        <f aca="false">(G874+G877)*G882</f>
        <v>168.250789949789</v>
      </c>
    </row>
    <row r="884" customFormat="false" ht="17.15" hidden="false" customHeight="false" outlineLevel="0" collapsed="false">
      <c r="A884" s="3" t="s">
        <v>646</v>
      </c>
      <c r="B884" s="0" t="s">
        <v>45</v>
      </c>
      <c r="D884" s="20" t="n">
        <f aca="false">D874/(D874+D877)</f>
        <v>0.342851634440636</v>
      </c>
      <c r="E884" s="20" t="n">
        <f aca="false">E874/(E874+E877)</f>
        <v>0.41576820311572</v>
      </c>
      <c r="F884" s="20" t="n">
        <f aca="false">F874/(F874+F877)</f>
        <v>0.465316585831443</v>
      </c>
      <c r="G884" s="20" t="n">
        <f aca="false">G874/(G874+G877)</f>
        <v>0.530347590813235</v>
      </c>
    </row>
    <row r="885" customFormat="false" ht="17.15" hidden="false" customHeight="false" outlineLevel="0" collapsed="false">
      <c r="A885" s="5" t="s">
        <v>647</v>
      </c>
    </row>
    <row r="886" customFormat="false" ht="17.15" hidden="false" customHeight="false" outlineLevel="0" collapsed="false">
      <c r="A886" s="0" t="s">
        <v>550</v>
      </c>
      <c r="B886" s="0" t="s">
        <v>303</v>
      </c>
      <c r="D886" s="21" t="n">
        <f aca="false">a26_bt</f>
        <v>16.944165</v>
      </c>
      <c r="E886" s="21" t="n">
        <f aca="false">D886*(1+g_bt)</f>
        <v>17.79137325</v>
      </c>
      <c r="F886" s="21" t="n">
        <f aca="false">E886*(1+g_bt)</f>
        <v>18.6809419125</v>
      </c>
      <c r="G886" s="21" t="n">
        <f aca="false">F886*(1+g_bt)</f>
        <v>19.614989008125</v>
      </c>
    </row>
    <row r="887" customFormat="false" ht="17.15" hidden="false" customHeight="false" outlineLevel="0" collapsed="false">
      <c r="A887" s="0" t="s">
        <v>648</v>
      </c>
      <c r="B887" s="0" t="s">
        <v>303</v>
      </c>
      <c r="D887" s="21" t="n">
        <f aca="false">a26_pcb*ai_pcb</f>
        <v>37.93610275</v>
      </c>
      <c r="E887" s="21" t="n">
        <f aca="false">D887*(1+g_pai_27)</f>
        <v>45.5233233</v>
      </c>
      <c r="F887" s="21" t="n">
        <f aca="false">D887*(1+g_pai_27)*(1+g_pai_28)*um28_A</f>
        <v>52.351821795</v>
      </c>
      <c r="G887" s="21" t="n">
        <f aca="false">D887*(1+g_pai_27)*(1+g_pai_28)*(1+g_pai_29)*um29_A</f>
        <v>57.5870039745</v>
      </c>
      <c r="K887" s="3" t="s">
        <v>649</v>
      </c>
    </row>
    <row r="888" customFormat="false" ht="17.15" hidden="false" customHeight="false" outlineLevel="0" collapsed="false">
      <c r="A888" s="3" t="s">
        <v>650</v>
      </c>
      <c r="B888" s="0" t="s">
        <v>303</v>
      </c>
      <c r="D888" s="21" t="n">
        <f aca="false">a26_pcb*(1-ai_pcb)</f>
        <v>20.42713225</v>
      </c>
      <c r="E888" s="21" t="n">
        <f aca="false">D888*(1+g_pcbn)</f>
        <v>20.835674895</v>
      </c>
      <c r="F888" s="21" t="n">
        <f aca="false">E888*(1+g_pcbn)</f>
        <v>21.2523883929</v>
      </c>
      <c r="G888" s="21" t="n">
        <f aca="false">F888*(1+g_pcbn)</f>
        <v>21.677436160758</v>
      </c>
    </row>
    <row r="889" customFormat="false" ht="15" hidden="false" customHeight="false" outlineLevel="0" collapsed="false">
      <c r="A889" s="3" t="s">
        <v>552</v>
      </c>
      <c r="B889" s="0" t="s">
        <v>303</v>
      </c>
      <c r="D889" s="21" t="n">
        <f aca="false">a26_fpc</f>
        <v>13.178795</v>
      </c>
      <c r="E889" s="21" t="n">
        <f aca="false">D889*(1+g_fpc)</f>
        <v>13.178795</v>
      </c>
      <c r="F889" s="21" t="n">
        <f aca="false">E889*(1+g_fpc)</f>
        <v>13.178795</v>
      </c>
      <c r="G889" s="21" t="n">
        <f aca="false">F889*(1+g_fpc)</f>
        <v>13.178795</v>
      </c>
    </row>
    <row r="890" customFormat="false" ht="17.15" hidden="false" customHeight="false" outlineLevel="0" collapsed="false">
      <c r="A890" s="3" t="s">
        <v>651</v>
      </c>
      <c r="B890" s="0" t="s">
        <v>303</v>
      </c>
      <c r="D890" s="21" t="n">
        <f aca="false">D881+D886</f>
        <v>116.72647</v>
      </c>
      <c r="E890" s="21" t="n">
        <f aca="false">E881+E886</f>
        <v>166.304861454375</v>
      </c>
      <c r="F890" s="21" t="n">
        <f aca="false">F881+F886</f>
        <v>191.304867269813</v>
      </c>
      <c r="G890" s="21" t="n">
        <f aca="false">G881+G886</f>
        <v>215.124483656848</v>
      </c>
      <c r="K890" s="3" t="s">
        <v>652</v>
      </c>
    </row>
    <row r="891" customFormat="false" ht="17.15" hidden="false" customHeight="false" outlineLevel="0" collapsed="false">
      <c r="A891" s="0" t="s">
        <v>653</v>
      </c>
      <c r="B891" s="0" t="s">
        <v>303</v>
      </c>
      <c r="D891" s="21" t="n">
        <f aca="false">D887+D888</f>
        <v>58.363235</v>
      </c>
      <c r="E891" s="21" t="n">
        <f aca="false">E887+E888</f>
        <v>66.358998195</v>
      </c>
      <c r="F891" s="21" t="n">
        <f aca="false">F887+F888</f>
        <v>73.6042101879</v>
      </c>
      <c r="G891" s="21" t="n">
        <f aca="false">G887+G888</f>
        <v>79.264440135258</v>
      </c>
      <c r="K891" s="3" t="s">
        <v>654</v>
      </c>
    </row>
    <row r="892" customFormat="false" ht="17.15" hidden="false" customHeight="false" outlineLevel="0" collapsed="false">
      <c r="A892" s="3" t="s">
        <v>515</v>
      </c>
      <c r="B892" s="0" t="s">
        <v>303</v>
      </c>
      <c r="C892" s="23" t="n">
        <f aca="false">a25_rev</f>
        <v>131.241</v>
      </c>
      <c r="D892" s="23" t="n">
        <f aca="false">D890+D891+D889</f>
        <v>188.2685</v>
      </c>
      <c r="E892" s="23" t="n">
        <f aca="false">E890+E891+E889</f>
        <v>245.842654649375</v>
      </c>
      <c r="F892" s="23" t="n">
        <f aca="false">F890+F891+F889</f>
        <v>278.087872457713</v>
      </c>
      <c r="G892" s="23" t="n">
        <f aca="false">G890+G891+G889</f>
        <v>307.567718792106</v>
      </c>
      <c r="H892" s="25" t="n">
        <f aca="false">G892*(1+H894)</f>
        <v>335.455725464882</v>
      </c>
      <c r="I892" s="25" t="n">
        <f aca="false">H892*(1+I894)</f>
        <v>360.727741503264</v>
      </c>
      <c r="J892" s="25" t="n">
        <f aca="false">I892*(1+J894)</f>
        <v>382.371405993459</v>
      </c>
      <c r="K892" s="7" t="s">
        <v>655</v>
      </c>
    </row>
    <row r="893" customFormat="false" ht="17.15" hidden="false" customHeight="false" outlineLevel="0" collapsed="false">
      <c r="A893" s="3" t="s">
        <v>656</v>
      </c>
      <c r="B893" s="0" t="s">
        <v>303</v>
      </c>
      <c r="D893" s="19" t="n">
        <f aca="false">D890+D891+D889-D892</f>
        <v>0</v>
      </c>
      <c r="E893" s="19" t="n">
        <f aca="false">E890+E891+E889-E892</f>
        <v>0</v>
      </c>
      <c r="F893" s="19" t="n">
        <f aca="false">F890+F891+F889-F892</f>
        <v>0</v>
      </c>
      <c r="G893" s="19" t="n">
        <f aca="false">G890+G891+G889-G892</f>
        <v>0</v>
      </c>
    </row>
    <row r="894" customFormat="false" ht="15" hidden="false" customHeight="false" outlineLevel="0" collapsed="false">
      <c r="A894" s="3" t="s">
        <v>657</v>
      </c>
      <c r="B894" s="0" t="s">
        <v>45</v>
      </c>
      <c r="D894" s="20" t="n">
        <f aca="false">D892/C892-1</f>
        <v>0.434525034097576</v>
      </c>
      <c r="E894" s="20" t="n">
        <f aca="false">E892/D892-1</f>
        <v>0.30580875</v>
      </c>
      <c r="F894" s="20" t="n">
        <f aca="false">F892/E892-1</f>
        <v>0.131162014396266</v>
      </c>
      <c r="G894" s="20" t="n">
        <f aca="false">G892/F892-1</f>
        <v>0.106009104510217</v>
      </c>
      <c r="H894" s="26" t="n">
        <f aca="false">$G894+(fade_gA-$G894)*1/3</f>
        <v>0.0906727363401445</v>
      </c>
      <c r="I894" s="26" t="n">
        <f aca="false">$G894+(fade_gA-$G894)*2/3</f>
        <v>0.0753363681700722</v>
      </c>
      <c r="J894" s="26" t="n">
        <f aca="false">$G894+(fade_gA-$G894)*3/3</f>
        <v>0.06</v>
      </c>
    </row>
    <row r="895" customFormat="false" ht="17.15" hidden="false" customHeight="false" outlineLevel="0" collapsed="false">
      <c r="A895" s="0" t="s">
        <v>658</v>
      </c>
      <c r="B895" s="0" t="s">
        <v>45</v>
      </c>
      <c r="D895" s="20" t="n">
        <f aca="false">D881/D892</f>
        <v>0.53</v>
      </c>
      <c r="E895" s="20" t="n">
        <f aca="false">E881/E892</f>
        <v>0.604099758100105</v>
      </c>
      <c r="F895" s="20" t="n">
        <f aca="false">F881/F892</f>
        <v>0.620753159178355</v>
      </c>
      <c r="G895" s="20" t="n">
        <f aca="false">G881/G892</f>
        <v>0.635663246508889</v>
      </c>
    </row>
    <row r="896" customFormat="false" ht="17.15" hidden="false" customHeight="false" outlineLevel="0" collapsed="false">
      <c r="A896" s="0" t="s">
        <v>659</v>
      </c>
      <c r="B896" s="0" t="s">
        <v>45</v>
      </c>
      <c r="D896" s="20" t="n">
        <f aca="false">(D883+D887)/D892</f>
        <v>0.599</v>
      </c>
      <c r="E896" s="20" t="n">
        <f aca="false">(E883+E887)/E892</f>
        <v>0.686312138790815</v>
      </c>
      <c r="F896" s="20" t="n">
        <f aca="false">(F883+F887)/F892</f>
        <v>0.713842655396179</v>
      </c>
      <c r="G896" s="20" t="n">
        <f aca="false">(G883+G887)/G892</f>
        <v>0.734270146461436</v>
      </c>
      <c r="K896" s="3" t="s">
        <v>660</v>
      </c>
    </row>
    <row r="897" customFormat="false" ht="17.15" hidden="false" customHeight="false" outlineLevel="0" collapsed="false">
      <c r="A897" s="5" t="s">
        <v>661</v>
      </c>
    </row>
    <row r="898" customFormat="false" ht="15" hidden="false" customHeight="false" outlineLevel="0" collapsed="false">
      <c r="A898" s="3" t="s">
        <v>662</v>
      </c>
      <c r="B898" s="0" t="s">
        <v>303</v>
      </c>
      <c r="C898" s="23" t="n">
        <f aca="false">a25_cx</f>
        <v>25.617</v>
      </c>
      <c r="D898" s="23" t="n">
        <f aca="false">capex26</f>
        <v>53.7</v>
      </c>
      <c r="E898" s="23" t="n">
        <f aca="false">cx27_C</f>
        <v>40</v>
      </c>
      <c r="F898" s="23" t="n">
        <f aca="false">cx28_C</f>
        <v>30</v>
      </c>
      <c r="G898" s="23" t="n">
        <f aca="false">cx29_C</f>
        <v>28</v>
      </c>
      <c r="H898" s="25" t="n">
        <f aca="false">H892*H915</f>
        <v>31.9271006518873</v>
      </c>
      <c r="I898" s="25" t="n">
        <f aca="false">I892*I915</f>
        <v>35.8252232659741</v>
      </c>
      <c r="J898" s="25" t="n">
        <f aca="false">J892*J915</f>
        <v>39.5571585149923</v>
      </c>
    </row>
    <row r="899" customFormat="false" ht="17.15" hidden="false" customHeight="false" outlineLevel="0" collapsed="false">
      <c r="A899" s="3" t="s">
        <v>663</v>
      </c>
      <c r="B899" s="0" t="s">
        <v>303</v>
      </c>
      <c r="C899" s="23" t="n">
        <f aca="false">a25_da</f>
        <v>18.8</v>
      </c>
      <c r="D899" s="23" t="n">
        <f aca="false">da26</f>
        <v>20.8</v>
      </c>
      <c r="E899" s="23" t="n">
        <f aca="false">D899*(1-1/life)+D898/life</f>
        <v>24.9125</v>
      </c>
      <c r="F899" s="23" t="n">
        <f aca="false">E899*(1-1/life)+E898/life</f>
        <v>26.7984375</v>
      </c>
      <c r="G899" s="23" t="n">
        <f aca="false">F899*(1-1/life)+F898/life</f>
        <v>27.1986328125</v>
      </c>
      <c r="H899" s="25" t="n">
        <f aca="false">H892*H900</f>
        <v>29.6648072743202</v>
      </c>
      <c r="I899" s="25" t="n">
        <f aca="false">I892*I900</f>
        <v>31.8996461168326</v>
      </c>
      <c r="J899" s="25" t="n">
        <f aca="false">J892*J900</f>
        <v>33.8136248838426</v>
      </c>
      <c r="K899" s="3" t="s">
        <v>664</v>
      </c>
    </row>
    <row r="900" customFormat="false" ht="17.15" hidden="false" customHeight="false" outlineLevel="0" collapsed="false">
      <c r="A900" s="3" t="s">
        <v>665</v>
      </c>
      <c r="B900" s="0" t="s">
        <v>45</v>
      </c>
      <c r="C900" s="20" t="n">
        <f aca="false">C899/C892</f>
        <v>0.143247917952469</v>
      </c>
      <c r="D900" s="20" t="n">
        <f aca="false">D899/D892</f>
        <v>0.110480510547436</v>
      </c>
      <c r="E900" s="20" t="n">
        <f aca="false">E899/E892</f>
        <v>0.101335140704247</v>
      </c>
      <c r="F900" s="20" t="n">
        <f aca="false">F899/F892</f>
        <v>0.0963667968083545</v>
      </c>
      <c r="G900" s="20" t="n">
        <f aca="false">G899/G892</f>
        <v>0.0884313637312645</v>
      </c>
      <c r="H900" s="26" t="n">
        <f aca="false">$G900</f>
        <v>0.0884313637312645</v>
      </c>
      <c r="I900" s="26" t="n">
        <f aca="false">$G900</f>
        <v>0.0884313637312645</v>
      </c>
      <c r="J900" s="26" t="n">
        <f aca="false">$G900</f>
        <v>0.0884313637312645</v>
      </c>
    </row>
    <row r="901" customFormat="false" ht="17.15" hidden="false" customHeight="false" outlineLevel="0" collapsed="false">
      <c r="A901" s="3" t="s">
        <v>666</v>
      </c>
      <c r="B901" s="0" t="s">
        <v>303</v>
      </c>
      <c r="E901" s="21" t="n">
        <f aca="false">E883*(1-1/(E868*E869))</f>
        <v>5.86673689611544</v>
      </c>
      <c r="F901" s="21" t="n">
        <f aca="false">F883*(1-1/(F868*F869))</f>
        <v>-0.366313693016785</v>
      </c>
      <c r="G901" s="21" t="n">
        <f aca="false">G883*(1-1/(G868*G869))</f>
        <v>-9.7923740182417</v>
      </c>
      <c r="K901" s="7" t="s">
        <v>667</v>
      </c>
    </row>
    <row r="902" customFormat="false" ht="17.15" hidden="false" customHeight="false" outlineLevel="0" collapsed="false">
      <c r="A902" s="3" t="s">
        <v>668</v>
      </c>
      <c r="B902" s="0" t="s">
        <v>303</v>
      </c>
      <c r="C902" s="21" t="n">
        <f aca="false">a25_gp</f>
        <v>18.292</v>
      </c>
      <c r="D902" s="21" t="n">
        <f aca="false">a26_gp</f>
        <v>47.3329657</v>
      </c>
      <c r="E902" s="21" t="n">
        <f aca="false">$D902+ft_abf*(E881-E901-$D881)+ft_oth*((E892-E881)-($D892-$D881))+E901-(E899-$D899)</f>
        <v>72.7301686114952</v>
      </c>
      <c r="F902" s="21" t="n">
        <f aca="false">$D902+ft_abf*(F881-F901-$D881)+ft_oth*((F892-F881)-($D892-$D881))+F901-(F899-$D899)</f>
        <v>81.8166195572479</v>
      </c>
      <c r="G902" s="21" t="n">
        <f aca="false">$D902+ft_abf*(G881-G901-$D881)+ft_oth*((G892-G881)-($D892-$D881))+G901-(G899-$D899)</f>
        <v>89.7947479885864</v>
      </c>
      <c r="K902" s="3" t="s">
        <v>669</v>
      </c>
    </row>
    <row r="903" customFormat="false" ht="15" hidden="false" customHeight="false" outlineLevel="0" collapsed="false">
      <c r="A903" s="3" t="s">
        <v>522</v>
      </c>
      <c r="B903" s="0" t="s">
        <v>45</v>
      </c>
      <c r="C903" s="13" t="n">
        <f aca="false">C902/C892</f>
        <v>0.139377176339711</v>
      </c>
      <c r="D903" s="13" t="n">
        <f aca="false">D902/D892</f>
        <v>0.251412029627899</v>
      </c>
      <c r="E903" s="13" t="n">
        <f aca="false">E902/E892</f>
        <v>0.295840315893205</v>
      </c>
      <c r="F903" s="13" t="n">
        <f aca="false">F902/F892</f>
        <v>0.29421139021332</v>
      </c>
      <c r="G903" s="13" t="n">
        <f aca="false">G902/G892</f>
        <v>0.291951146047552</v>
      </c>
    </row>
    <row r="904" customFormat="false" ht="15" hidden="false" customHeight="false" outlineLevel="0" collapsed="false">
      <c r="A904" s="3" t="s">
        <v>524</v>
      </c>
      <c r="B904" s="0" t="s">
        <v>303</v>
      </c>
      <c r="C904" s="21" t="n">
        <f aca="false">a25_opx</f>
        <v>11.618</v>
      </c>
      <c r="D904" s="21" t="n">
        <f aca="false">a26_opx</f>
        <v>16.6539532</v>
      </c>
      <c r="E904" s="21" t="n">
        <f aca="false">D904*(1+phi*E894)</f>
        <v>19.7097079663903</v>
      </c>
      <c r="F904" s="21" t="n">
        <f aca="false">E904*(1+phi*F894)</f>
        <v>21.2608069664106</v>
      </c>
      <c r="G904" s="21" t="n">
        <f aca="false">F904*(1+phi*G894)</f>
        <v>22.6131104310149</v>
      </c>
    </row>
    <row r="905" customFormat="false" ht="15" hidden="false" customHeight="false" outlineLevel="0" collapsed="false">
      <c r="A905" s="3" t="s">
        <v>527</v>
      </c>
      <c r="B905" s="0" t="s">
        <v>303</v>
      </c>
      <c r="C905" s="21" t="n">
        <f aca="false">C902-C904</f>
        <v>6.674</v>
      </c>
      <c r="D905" s="21" t="n">
        <f aca="false">D902-D904</f>
        <v>30.6790125</v>
      </c>
      <c r="E905" s="21" t="n">
        <f aca="false">E902-E904</f>
        <v>53.0204606451049</v>
      </c>
      <c r="F905" s="21" t="n">
        <f aca="false">F902-F904</f>
        <v>60.5558125908373</v>
      </c>
      <c r="G905" s="21" t="n">
        <f aca="false">G902-G904</f>
        <v>67.1816375575715</v>
      </c>
    </row>
    <row r="906" customFormat="false" ht="15" hidden="false" customHeight="false" outlineLevel="0" collapsed="false">
      <c r="A906" s="3" t="s">
        <v>605</v>
      </c>
      <c r="B906" s="0" t="s">
        <v>45</v>
      </c>
      <c r="C906" s="13" t="n">
        <f aca="false">C905/C892</f>
        <v>0.0508530108731265</v>
      </c>
      <c r="D906" s="13" t="n">
        <f aca="false">D905/D892</f>
        <v>0.162953507888999</v>
      </c>
      <c r="E906" s="13" t="n">
        <f aca="false">E905/E892</f>
        <v>0.215668272540921</v>
      </c>
      <c r="F906" s="13" t="n">
        <f aca="false">F905/F892</f>
        <v>0.217757833362711</v>
      </c>
      <c r="G906" s="13" t="n">
        <f aca="false">G905/G892</f>
        <v>0.218428766911594</v>
      </c>
    </row>
    <row r="907" customFormat="false" ht="17.15" hidden="false" customHeight="false" outlineLevel="0" collapsed="false">
      <c r="A907" s="3" t="s">
        <v>670</v>
      </c>
      <c r="B907" s="0" t="s">
        <v>303</v>
      </c>
      <c r="C907" s="21" t="n">
        <f aca="false">a25_nonop</f>
        <v>-0.00100000000000033</v>
      </c>
      <c r="D907" s="21" t="n">
        <f aca="false">a26_nonop</f>
        <v>14.466</v>
      </c>
      <c r="E907" s="21" t="n">
        <f aca="false">nonop27</f>
        <v>2</v>
      </c>
      <c r="F907" s="21" t="n">
        <f aca="false">nonop28</f>
        <v>2</v>
      </c>
      <c r="G907" s="21" t="n">
        <f aca="false">nonop29</f>
        <v>2</v>
      </c>
      <c r="K907" s="7" t="s">
        <v>671</v>
      </c>
    </row>
    <row r="908" customFormat="false" ht="15" hidden="false" customHeight="false" outlineLevel="0" collapsed="false">
      <c r="A908" s="3" t="s">
        <v>533</v>
      </c>
      <c r="B908" s="0" t="s">
        <v>303</v>
      </c>
      <c r="C908" s="21" t="n">
        <f aca="false">C905+C907</f>
        <v>6.673</v>
      </c>
      <c r="D908" s="21" t="n">
        <f aca="false">D905+D907</f>
        <v>45.1450125</v>
      </c>
      <c r="E908" s="21" t="n">
        <f aca="false">E905+E907</f>
        <v>55.0204606451049</v>
      </c>
      <c r="F908" s="21" t="n">
        <f aca="false">F905+F907</f>
        <v>62.5558125908373</v>
      </c>
      <c r="G908" s="21" t="n">
        <f aca="false">G905+G907</f>
        <v>69.1816375575715</v>
      </c>
    </row>
    <row r="909" customFormat="false" ht="15" hidden="false" customHeight="false" outlineLevel="0" collapsed="false">
      <c r="A909" s="3" t="s">
        <v>537</v>
      </c>
      <c r="B909" s="0" t="s">
        <v>303</v>
      </c>
      <c r="E909" s="21" t="n">
        <f aca="false">E908*tax</f>
        <v>9.90368291611888</v>
      </c>
      <c r="F909" s="21" t="n">
        <f aca="false">F908*tax</f>
        <v>11.2600462663507</v>
      </c>
      <c r="G909" s="21" t="n">
        <f aca="false">G908*tax</f>
        <v>12.4526947603629</v>
      </c>
    </row>
    <row r="910" customFormat="false" ht="15" hidden="false" customHeight="false" outlineLevel="0" collapsed="false">
      <c r="A910" s="3" t="s">
        <v>535</v>
      </c>
      <c r="B910" s="0" t="s">
        <v>303</v>
      </c>
      <c r="C910" s="21" t="n">
        <f aca="false">a25_ni</f>
        <v>6.673</v>
      </c>
      <c r="D910" s="21" t="n">
        <f aca="false">a26_ni</f>
        <v>37.23923025</v>
      </c>
      <c r="E910" s="21" t="n">
        <f aca="false">E908-E909</f>
        <v>45.116777728986</v>
      </c>
      <c r="F910" s="21" t="n">
        <f aca="false">F908-F909</f>
        <v>51.2957663244866</v>
      </c>
      <c r="G910" s="21" t="n">
        <f aca="false">G908-G909</f>
        <v>56.7289427972087</v>
      </c>
      <c r="H910" s="30" t="n">
        <f aca="false">H892*H914</f>
        <v>60.6383196786135</v>
      </c>
      <c r="I910" s="30" t="n">
        <f aca="false">I892*I914</f>
        <v>63.8792042840159</v>
      </c>
      <c r="J910" s="30" t="n">
        <f aca="false">J892*J914</f>
        <v>66.3049271996696</v>
      </c>
    </row>
    <row r="911" customFormat="false" ht="15" hidden="false" customHeight="false" outlineLevel="0" collapsed="false">
      <c r="A911" s="3" t="s">
        <v>672</v>
      </c>
      <c r="B911" s="3" t="s">
        <v>381</v>
      </c>
      <c r="C911" s="29" t="n">
        <f aca="false">a25_sh</f>
        <v>1.52351598173516</v>
      </c>
      <c r="D911" s="29" t="n">
        <f aca="false">a26_sh</f>
        <v>1.59236316568047</v>
      </c>
      <c r="E911" s="29" t="n">
        <f aca="false">a26_shend*(1+sh_g)</f>
        <v>1.64</v>
      </c>
      <c r="F911" s="29" t="n">
        <f aca="false">E911*(1+sh_g)</f>
        <v>1.64</v>
      </c>
      <c r="G911" s="29" t="n">
        <f aca="false">F911*(1+sh_g)</f>
        <v>1.64</v>
      </c>
      <c r="H911" s="31" t="n">
        <f aca="false">G911*(1+sh_g)</f>
        <v>1.64</v>
      </c>
      <c r="I911" s="31" t="n">
        <f aca="false">H911*(1+sh_g)</f>
        <v>1.64</v>
      </c>
      <c r="J911" s="31" t="n">
        <f aca="false">I911*(1+sh_g)</f>
        <v>1.64</v>
      </c>
    </row>
    <row r="912" customFormat="false" ht="17.15" hidden="false" customHeight="false" outlineLevel="0" collapsed="false">
      <c r="A912" s="0" t="s">
        <v>540</v>
      </c>
      <c r="B912" s="0" t="s">
        <v>387</v>
      </c>
      <c r="C912" s="18" t="n">
        <f aca="false">C910/C911</f>
        <v>4.38</v>
      </c>
      <c r="D912" s="18" t="n">
        <f aca="false">D910/D911</f>
        <v>23.3861414610695</v>
      </c>
      <c r="E912" s="18" t="n">
        <f aca="false">E910/E911</f>
        <v>27.5102303225525</v>
      </c>
      <c r="F912" s="18" t="n">
        <f aca="false">F910/F911</f>
        <v>31.2779062954186</v>
      </c>
      <c r="G912" s="18" t="n">
        <f aca="false">G910/G911</f>
        <v>34.5908187787858</v>
      </c>
      <c r="H912" s="28" t="n">
        <f aca="false">H910/H911</f>
        <v>36.9745851698863</v>
      </c>
      <c r="I912" s="28" t="n">
        <f aca="false">I910/I911</f>
        <v>38.9507343195219</v>
      </c>
      <c r="J912" s="28" t="n">
        <f aca="false">J910/J911</f>
        <v>40.4298336583351</v>
      </c>
    </row>
    <row r="913" customFormat="false" ht="17.15" hidden="false" customHeight="false" outlineLevel="0" collapsed="false">
      <c r="A913" s="0" t="s">
        <v>673</v>
      </c>
      <c r="B913" s="0" t="s">
        <v>45</v>
      </c>
      <c r="D913" s="20" t="n">
        <f aca="false">D912/C912-1</f>
        <v>4.33930170344053</v>
      </c>
      <c r="E913" s="20" t="n">
        <f aca="false">E912/D912-1</f>
        <v>0.176347554740839</v>
      </c>
      <c r="F913" s="20" t="n">
        <f aca="false">F912/E912-1</f>
        <v>0.136955449979548</v>
      </c>
      <c r="G913" s="20" t="n">
        <f aca="false">G912/F912-1</f>
        <v>0.105918613991512</v>
      </c>
      <c r="H913" s="26" t="n">
        <f aca="false">H912/G912-1</f>
        <v>0.0689132687591205</v>
      </c>
      <c r="I913" s="26" t="n">
        <f aca="false">I912/H912-1</f>
        <v>0.0534461479569244</v>
      </c>
      <c r="J913" s="26" t="n">
        <f aca="false">J912/I912-1</f>
        <v>0.037973593172334</v>
      </c>
    </row>
    <row r="914" customFormat="false" ht="17.15" hidden="false" customHeight="false" outlineLevel="0" collapsed="false">
      <c r="A914" s="3" t="s">
        <v>674</v>
      </c>
      <c r="B914" s="0" t="s">
        <v>45</v>
      </c>
      <c r="C914" s="13" t="n">
        <f aca="false">C910/C892</f>
        <v>0.0508453913030227</v>
      </c>
      <c r="D914" s="13" t="n">
        <f aca="false">D910/D892</f>
        <v>0.197798517808343</v>
      </c>
      <c r="E914" s="13" t="n">
        <f aca="false">E910/E892</f>
        <v>0.183518916980995</v>
      </c>
      <c r="F914" s="13" t="n">
        <f aca="false">F910/F892</f>
        <v>0.184458839830517</v>
      </c>
      <c r="G914" s="13" t="n">
        <f aca="false">G910/G892</f>
        <v>0.184443747932966</v>
      </c>
      <c r="H914" s="27" t="n">
        <f aca="false">$G914+(fade_mA-$G914)*1/3</f>
        <v>0.180764002744563</v>
      </c>
      <c r="I914" s="27" t="n">
        <f aca="false">$G914+(fade_mA-$G914)*2/3</f>
        <v>0.17708425755616</v>
      </c>
      <c r="J914" s="27" t="n">
        <f aca="false">$G914+(fade_mA-$G914)*3/3</f>
        <v>0.173404512367757</v>
      </c>
    </row>
    <row r="915" customFormat="false" ht="17.15" hidden="false" customHeight="false" outlineLevel="0" collapsed="false">
      <c r="A915" s="3" t="s">
        <v>675</v>
      </c>
      <c r="B915" s="0" t="s">
        <v>45</v>
      </c>
      <c r="C915" s="20" t="n">
        <f aca="false">C898/C892</f>
        <v>0.195190527350447</v>
      </c>
      <c r="D915" s="20" t="n">
        <f aca="false">D898/D892</f>
        <v>0.285230933480641</v>
      </c>
      <c r="E915" s="20" t="n">
        <f aca="false">E898/E892</f>
        <v>0.162705695059503</v>
      </c>
      <c r="F915" s="20" t="n">
        <f aca="false">F898/F892</f>
        <v>0.107879569629783</v>
      </c>
      <c r="G915" s="20" t="n">
        <f aca="false">G898/G892</f>
        <v>0.0910368620932095</v>
      </c>
      <c r="H915" s="26" t="n">
        <f aca="false">$G915+($G900*(1+tp_g)^(life/2)-$G915)*1/3</f>
        <v>0.0951753040066374</v>
      </c>
      <c r="I915" s="26" t="n">
        <f aca="false">$G915+($G900*(1+tp_g)^(life/2)-$G915)*2/3</f>
        <v>0.0993137459200654</v>
      </c>
      <c r="J915" s="26" t="n">
        <f aca="false">$G915+($G900*(1+tp_g)^(life/2)-$G915)*3/3</f>
        <v>0.103452187833493</v>
      </c>
      <c r="K915" s="7" t="s">
        <v>676</v>
      </c>
    </row>
    <row r="916" customFormat="false" ht="15" hidden="false" customHeight="false" outlineLevel="0" collapsed="false">
      <c r="A916" s="3" t="s">
        <v>677</v>
      </c>
      <c r="B916" s="0" t="s">
        <v>303</v>
      </c>
      <c r="E916" s="21" t="n">
        <f aca="false">E910+E899-E898</f>
        <v>30.029277728986</v>
      </c>
      <c r="F916" s="21" t="n">
        <f aca="false">F910+F899-F898</f>
        <v>48.0942038244866</v>
      </c>
      <c r="G916" s="21" t="n">
        <f aca="false">G910+G899-G898</f>
        <v>55.9275756097087</v>
      </c>
      <c r="H916" s="30" t="n">
        <f aca="false">H910+H899-H898</f>
        <v>58.3760263010464</v>
      </c>
      <c r="I916" s="30" t="n">
        <f aca="false">I910+I899-I898</f>
        <v>59.9536271348744</v>
      </c>
      <c r="J916" s="30" t="n">
        <f aca="false">J910+J899-J898</f>
        <v>60.5613935685199</v>
      </c>
      <c r="K916" s="3" t="s">
        <v>678</v>
      </c>
    </row>
    <row r="917" customFormat="false" ht="15" hidden="false" customHeight="false" outlineLevel="0" collapsed="false">
      <c r="A917" s="3" t="s">
        <v>679</v>
      </c>
      <c r="B917" s="0" t="s">
        <v>387</v>
      </c>
      <c r="E917" s="18" t="n">
        <f aca="false">E916/E911</f>
        <v>18.3105352006012</v>
      </c>
      <c r="F917" s="18" t="n">
        <f aca="false">F916/F911</f>
        <v>29.3257340393211</v>
      </c>
      <c r="G917" s="18" t="n">
        <f aca="false">G916/G911</f>
        <v>34.1021802498224</v>
      </c>
      <c r="H917" s="28" t="n">
        <f aca="false">H916/H911</f>
        <v>35.5951379884429</v>
      </c>
      <c r="I917" s="28" t="n">
        <f aca="false">I916/I911</f>
        <v>36.5570897163869</v>
      </c>
      <c r="J917" s="28" t="n">
        <f aca="false">J916/J911</f>
        <v>36.927679005195</v>
      </c>
    </row>
    <row r="920" customFormat="false" ht="17.15" hidden="false" customHeight="false" outlineLevel="0" collapsed="false">
      <c r="A920" s="1" t="s">
        <v>1034</v>
      </c>
    </row>
    <row r="921" customFormat="false" ht="17.15" hidden="false" customHeight="false" outlineLevel="0" collapsed="false">
      <c r="A921" s="4" t="s">
        <v>22</v>
      </c>
      <c r="B921" s="4" t="s">
        <v>23</v>
      </c>
      <c r="C921" s="14" t="s">
        <v>508</v>
      </c>
      <c r="D921" s="14" t="s">
        <v>592</v>
      </c>
      <c r="E921" s="14" t="s">
        <v>593</v>
      </c>
      <c r="F921" s="14" t="s">
        <v>594</v>
      </c>
      <c r="G921" s="14" t="s">
        <v>595</v>
      </c>
      <c r="H921" s="14" t="s">
        <v>596</v>
      </c>
      <c r="I921" s="14" t="s">
        <v>597</v>
      </c>
      <c r="J921" s="14" t="s">
        <v>598</v>
      </c>
      <c r="K921" s="4" t="s">
        <v>481</v>
      </c>
    </row>
    <row r="922" customFormat="false" ht="17.15" hidden="false" customHeight="false" outlineLevel="0" collapsed="false">
      <c r="A922" s="5" t="s">
        <v>616</v>
      </c>
    </row>
    <row r="923" customFormat="false" ht="17.15" hidden="false" customHeight="false" outlineLevel="0" collapsed="false">
      <c r="A923" s="0" t="s">
        <v>617</v>
      </c>
      <c r="B923" s="3" t="s">
        <v>33</v>
      </c>
      <c r="D923" s="21" t="n">
        <f aca="false">(u_bw_26+u_rb_26+u_ru_26+u_hp_26)*1</f>
        <v>7.6</v>
      </c>
      <c r="E923" s="21" t="n">
        <f aca="false">(u_bw_27+u_rb_27+u_ru_27+u_hp_27)*1*1</f>
        <v>9.7</v>
      </c>
      <c r="F923" s="21" t="n">
        <f aca="false">(u_bw_28+u_rb_28+u_ru_28+u_hp_28)*um28_A*1</f>
        <v>9.5</v>
      </c>
      <c r="G923" s="21" t="n">
        <f aca="false">(u_bw_28*(1+g29_bw)+u_rb_28*(1+g29_rb)+u_ru_28*(1+g29_ru)+u_hp_28*(1+g29_hp))*um29_A*1</f>
        <v>10.6</v>
      </c>
      <c r="K923" s="7" t="s">
        <v>618</v>
      </c>
    </row>
    <row r="924" customFormat="false" ht="17.15" hidden="false" customHeight="false" outlineLevel="0" collapsed="false">
      <c r="A924" s="3" t="s">
        <v>619</v>
      </c>
      <c r="B924" s="3" t="s">
        <v>33</v>
      </c>
      <c r="D924" s="21" t="n">
        <f aca="false">(u_amd_26+u_tpu_26+u_trn_26+u_oth_26)*1</f>
        <v>7.6</v>
      </c>
      <c r="E924" s="21" t="n">
        <f aca="false">(u_amd_27+u_tpu_27+u_trn_27+u_oth_27)*1*1</f>
        <v>14</v>
      </c>
      <c r="F924" s="21" t="n">
        <f aca="false">(u_amd_28+u_tpu_28+u_trn_28+u_oth_28)*um28_A*1</f>
        <v>17</v>
      </c>
      <c r="G924" s="21" t="n">
        <f aca="false">(u_amd_28*(1+g29_amd)+u_tpu_28*(1+g29_tpu)+u_trn_28*(1+g29_trn)+u_oth_28*(1+g29_oth))*um29_A*1</f>
        <v>19.55</v>
      </c>
      <c r="K924" s="7" t="s">
        <v>620</v>
      </c>
    </row>
    <row r="925" customFormat="false" ht="17.15" hidden="false" customHeight="false" outlineLevel="0" collapsed="false">
      <c r="A925" s="3" t="s">
        <v>621</v>
      </c>
      <c r="B925" s="0" t="s">
        <v>145</v>
      </c>
      <c r="D925" s="19" t="n">
        <f aca="false">1</f>
        <v>1</v>
      </c>
      <c r="E925" s="19" t="n">
        <f aca="false">D925*(1+g_asp)</f>
        <v>1.18</v>
      </c>
      <c r="F925" s="19" t="n">
        <f aca="false">E925*(1+g_asp)</f>
        <v>1.3924</v>
      </c>
      <c r="G925" s="19" t="n">
        <f aca="false">F925*(1+g_asp)</f>
        <v>1.643032</v>
      </c>
      <c r="K925" s="7" t="s">
        <v>622</v>
      </c>
    </row>
    <row r="926" customFormat="false" ht="17.15" hidden="false" customHeight="false" outlineLevel="0" collapsed="false">
      <c r="A926" s="0" t="s">
        <v>623</v>
      </c>
      <c r="B926" s="0" t="s">
        <v>145</v>
      </c>
      <c r="D926" s="18" t="n">
        <f aca="false">1</f>
        <v>1</v>
      </c>
      <c r="E926" s="18" t="n">
        <f aca="false">ibpp_27</f>
        <v>1</v>
      </c>
      <c r="F926" s="18" t="n">
        <f aca="false">ibpp_28</f>
        <v>0.95</v>
      </c>
      <c r="G926" s="18" t="n">
        <f aca="false">ibpp_29</f>
        <v>0.9</v>
      </c>
      <c r="K926" s="7" t="s">
        <v>624</v>
      </c>
    </row>
    <row r="927" customFormat="false" ht="17.15" hidden="false" customHeight="false" outlineLevel="0" collapsed="false">
      <c r="A927" s="3" t="s">
        <v>625</v>
      </c>
      <c r="B927" s="0" t="s">
        <v>145</v>
      </c>
      <c r="D927" s="18" t="n">
        <f aca="false">1</f>
        <v>1</v>
      </c>
      <c r="E927" s="18" t="n">
        <f aca="false">1+carry</f>
        <v>1.05</v>
      </c>
      <c r="F927" s="18" t="n">
        <f aca="false">1+carry</f>
        <v>1.05</v>
      </c>
      <c r="G927" s="18" t="n">
        <f aca="false">1+carry</f>
        <v>1.05</v>
      </c>
      <c r="K927" s="7" t="s">
        <v>626</v>
      </c>
    </row>
    <row r="928" customFormat="false" ht="17.15" hidden="false" customHeight="false" outlineLevel="0" collapsed="false">
      <c r="A928" s="3" t="s">
        <v>627</v>
      </c>
      <c r="B928" s="0" t="s">
        <v>628</v>
      </c>
      <c r="D928" s="23" t="n">
        <f aca="false">v26*D925*D926</f>
        <v>215.308596</v>
      </c>
      <c r="E928" s="23" t="n">
        <f aca="false">v26*E925*E926</f>
        <v>254.06414328</v>
      </c>
      <c r="F928" s="23" t="n">
        <f aca="false">v26*F925*F926</f>
        <v>284.80590461688</v>
      </c>
      <c r="G928" s="23" t="n">
        <f aca="false">v26*G925*G926</f>
        <v>318.383021792765</v>
      </c>
      <c r="K928" s="7" t="s">
        <v>629</v>
      </c>
    </row>
    <row r="929" customFormat="false" ht="17.15" hidden="false" customHeight="false" outlineLevel="0" collapsed="false">
      <c r="A929" s="3" t="s">
        <v>630</v>
      </c>
      <c r="B929" s="0" t="s">
        <v>45</v>
      </c>
      <c r="D929" s="20" t="n">
        <f aca="false">sh_nv_26_lo</f>
        <v>0.2</v>
      </c>
      <c r="E929" s="20" t="n">
        <f aca="false">sh_nv_27_lo</f>
        <v>0.22</v>
      </c>
      <c r="F929" s="20" t="n">
        <f aca="false">sh_nv_28_lo</f>
        <v>0.22</v>
      </c>
      <c r="G929" s="20" t="n">
        <f aca="false">sh_nv_29_lo</f>
        <v>0.22</v>
      </c>
    </row>
    <row r="930" customFormat="false" ht="17.15" hidden="false" customHeight="false" outlineLevel="0" collapsed="false">
      <c r="A930" s="3" t="s">
        <v>631</v>
      </c>
      <c r="B930" s="0" t="s">
        <v>45</v>
      </c>
      <c r="D930" s="20" t="n">
        <f aca="false">sh_ot_26</f>
        <v>0.3</v>
      </c>
      <c r="E930" s="20" t="n">
        <f aca="false">sh_ot_27</f>
        <v>0.31</v>
      </c>
      <c r="F930" s="20" t="n">
        <f aca="false">sh_ot_28</f>
        <v>0.32</v>
      </c>
      <c r="G930" s="20" t="n">
        <f aca="false">sh_ot_29</f>
        <v>0.33</v>
      </c>
    </row>
    <row r="931" customFormat="false" ht="17.15" hidden="false" customHeight="false" outlineLevel="0" collapsed="false">
      <c r="A931" s="3" t="s">
        <v>632</v>
      </c>
      <c r="B931" s="0" t="s">
        <v>582</v>
      </c>
      <c r="D931" s="22" t="n">
        <f aca="false">(D923*D928*D929+D924*D928*v_ot*D930)*D927</f>
        <v>719.991945024</v>
      </c>
      <c r="E931" s="22" t="n">
        <f aca="false">(E923*E928*E929+E924*E928*v_ot*E930)*E927</f>
        <v>1495.49776658906</v>
      </c>
      <c r="F931" s="22" t="n">
        <f aca="false">(F923*F928*F929+F924*F928*v_ot*F930)*F927</f>
        <v>1926.45561941904</v>
      </c>
      <c r="G931" s="22" t="n">
        <f aca="false">(G923*G928*G929+G924*G928*v_ot*G930)*G927</f>
        <v>2504.99304184242</v>
      </c>
    </row>
    <row r="932" customFormat="false" ht="15" hidden="false" customHeight="false" outlineLevel="0" collapsed="false">
      <c r="A932" s="3" t="s">
        <v>633</v>
      </c>
      <c r="B932" s="0" t="s">
        <v>303</v>
      </c>
      <c r="D932" s="21" t="n">
        <f aca="false">D931*fx/1000</f>
        <v>23.039742240768</v>
      </c>
      <c r="E932" s="21" t="n">
        <f aca="false">E931*fx/1000</f>
        <v>47.8559285308501</v>
      </c>
      <c r="F932" s="21" t="n">
        <f aca="false">F931*fx/1000</f>
        <v>61.6465798214092</v>
      </c>
      <c r="G932" s="21" t="n">
        <f aca="false">G931*fx/1000</f>
        <v>80.1597773389575</v>
      </c>
    </row>
    <row r="933" customFormat="false" ht="17.15" hidden="false" customHeight="false" outlineLevel="0" collapsed="false">
      <c r="A933" s="5" t="s">
        <v>634</v>
      </c>
    </row>
    <row r="934" customFormat="false" ht="17.15" hidden="false" customHeight="false" outlineLevel="0" collapsed="false">
      <c r="A934" s="0" t="s">
        <v>635</v>
      </c>
      <c r="B934" s="0" t="s">
        <v>303</v>
      </c>
      <c r="D934" s="21" t="n">
        <f aca="false">a26_abf*ai_abf</f>
        <v>74.83672875</v>
      </c>
      <c r="K934" s="3" t="s">
        <v>636</v>
      </c>
    </row>
    <row r="935" customFormat="false" ht="17.15" hidden="false" customHeight="false" outlineLevel="0" collapsed="false">
      <c r="A935" s="3" t="s">
        <v>637</v>
      </c>
      <c r="B935" s="0" t="s">
        <v>303</v>
      </c>
      <c r="D935" s="21" t="n">
        <f aca="false">D934-D932</f>
        <v>51.796986509232</v>
      </c>
      <c r="E935" s="21" t="n">
        <f aca="false">$D935*(itc_27/itc_26)^el_o*1*1*E926*E927</f>
        <v>76.954042111927</v>
      </c>
      <c r="F935" s="21" t="n">
        <f aca="false">$D935*(itc_28/itc_26)^el_o*um28_A*1*F926*F927</f>
        <v>82.3093226151942</v>
      </c>
      <c r="G935" s="21" t="n">
        <f aca="false">$D935*(itc_29/itc_26)^el_o*um29_A*1*G926*G927</f>
        <v>83.2261744881991</v>
      </c>
      <c r="K935" s="7" t="s">
        <v>638</v>
      </c>
    </row>
    <row r="936" customFormat="false" ht="17.15" hidden="false" customHeight="false" outlineLevel="0" collapsed="false">
      <c r="A936" s="3" t="s">
        <v>639</v>
      </c>
      <c r="B936" s="0" t="s">
        <v>303</v>
      </c>
      <c r="D936" s="21" t="n">
        <f aca="false">a26_abf-D934</f>
        <v>24.94557625</v>
      </c>
      <c r="E936" s="21" t="n">
        <f aca="false">D936*(1+g_nai)</f>
        <v>25.6939435375</v>
      </c>
      <c r="F936" s="21" t="n">
        <f aca="false">E936*(1+g_nai)</f>
        <v>26.464761843625</v>
      </c>
      <c r="G936" s="21" t="n">
        <f aca="false">F936*(1+g_nai)</f>
        <v>27.2587046989338</v>
      </c>
    </row>
    <row r="937" customFormat="false" ht="17.15" hidden="false" customHeight="false" outlineLevel="0" collapsed="false">
      <c r="A937" s="0" t="s">
        <v>640</v>
      </c>
      <c r="B937" s="0" t="s">
        <v>303</v>
      </c>
      <c r="D937" s="21" t="n">
        <f aca="false">D932+D935+D936</f>
        <v>99.782305</v>
      </c>
      <c r="E937" s="21" t="n">
        <f aca="false">E932+E935+E936</f>
        <v>150.503914180277</v>
      </c>
      <c r="F937" s="21" t="n">
        <f aca="false">F932+F935+F936</f>
        <v>170.420664280228</v>
      </c>
      <c r="G937" s="21" t="n">
        <f aca="false">G932+G935+G936</f>
        <v>190.64465652609</v>
      </c>
    </row>
    <row r="938" customFormat="false" ht="17.15" hidden="false" customHeight="false" outlineLevel="0" collapsed="false">
      <c r="A938" s="0" t="s">
        <v>641</v>
      </c>
      <c r="B938" s="0" t="s">
        <v>303</v>
      </c>
      <c r="D938" s="21" t="n">
        <f aca="false">a26_abf</f>
        <v>99.782305</v>
      </c>
      <c r="E938" s="21" t="n">
        <f aca="false">$D937*cap_27*(1+g_mix)^1*E926*E927</f>
        <v>148.513488204375</v>
      </c>
      <c r="F938" s="21" t="n">
        <f aca="false">$D937*cap_28*(1+g_mix)^2*F926*F927</f>
        <v>186.549442683384</v>
      </c>
      <c r="G938" s="21" t="n">
        <f aca="false">$D937*cap_29*(1+g_mix)^3*G926*G927</f>
        <v>218.314827660431</v>
      </c>
      <c r="K938" s="7" t="s">
        <v>642</v>
      </c>
    </row>
    <row r="939" customFormat="false" ht="17.15" hidden="false" customHeight="false" outlineLevel="0" collapsed="false">
      <c r="A939" s="0" t="s">
        <v>643</v>
      </c>
      <c r="B939" s="0" t="s">
        <v>303</v>
      </c>
      <c r="D939" s="21" t="n">
        <f aca="false">a26_abf</f>
        <v>99.782305</v>
      </c>
      <c r="E939" s="21" t="n">
        <f aca="false">MIN(E937,E938)</f>
        <v>148.513488204375</v>
      </c>
      <c r="F939" s="21" t="n">
        <f aca="false">MIN(F937,F938)</f>
        <v>170.420664280228</v>
      </c>
      <c r="G939" s="21" t="n">
        <f aca="false">MIN(G937,G938)</f>
        <v>190.64465652609</v>
      </c>
    </row>
    <row r="940" customFormat="false" ht="17.15" hidden="false" customHeight="false" outlineLevel="0" collapsed="false">
      <c r="A940" s="3" t="s">
        <v>644</v>
      </c>
      <c r="B940" s="0" t="s">
        <v>45</v>
      </c>
      <c r="D940" s="20" t="n">
        <f aca="false">D939/D937</f>
        <v>1</v>
      </c>
      <c r="E940" s="20" t="n">
        <f aca="false">E939/E937</f>
        <v>0.986774922188948</v>
      </c>
      <c r="F940" s="20" t="n">
        <f aca="false">F939/F937</f>
        <v>1</v>
      </c>
      <c r="G940" s="20" t="n">
        <f aca="false">G939/G937</f>
        <v>1</v>
      </c>
    </row>
    <row r="941" customFormat="false" ht="17.15" hidden="false" customHeight="false" outlineLevel="0" collapsed="false">
      <c r="A941" s="0" t="s">
        <v>645</v>
      </c>
      <c r="B941" s="0" t="s">
        <v>303</v>
      </c>
      <c r="D941" s="21" t="n">
        <f aca="false">(D932+D935)*D940</f>
        <v>74.83672875</v>
      </c>
      <c r="E941" s="21" t="n">
        <f aca="false">(E932+E935)*E940</f>
        <v>123.159349069431</v>
      </c>
      <c r="F941" s="21" t="n">
        <f aca="false">(F932+F935)*F940</f>
        <v>143.955902436603</v>
      </c>
      <c r="G941" s="21" t="n">
        <f aca="false">(G932+G935)*G940</f>
        <v>163.385951827157</v>
      </c>
    </row>
    <row r="942" customFormat="false" ht="17.15" hidden="false" customHeight="false" outlineLevel="0" collapsed="false">
      <c r="A942" s="3" t="s">
        <v>646</v>
      </c>
      <c r="B942" s="0" t="s">
        <v>45</v>
      </c>
      <c r="D942" s="20" t="n">
        <f aca="false">D932/(D932+D935)</f>
        <v>0.307866773783428</v>
      </c>
      <c r="E942" s="20" t="n">
        <f aca="false">E932/(E932+E935)</f>
        <v>0.383430332403652</v>
      </c>
      <c r="F942" s="20" t="n">
        <f aca="false">F932/(F932+F935)</f>
        <v>0.428232387682455</v>
      </c>
      <c r="G942" s="20" t="n">
        <f aca="false">G932/(G932+G935)</f>
        <v>0.490616093014883</v>
      </c>
    </row>
    <row r="943" customFormat="false" ht="17.15" hidden="false" customHeight="false" outlineLevel="0" collapsed="false">
      <c r="A943" s="5" t="s">
        <v>647</v>
      </c>
    </row>
    <row r="944" customFormat="false" ht="17.15" hidden="false" customHeight="false" outlineLevel="0" collapsed="false">
      <c r="A944" s="0" t="s">
        <v>550</v>
      </c>
      <c r="B944" s="0" t="s">
        <v>303</v>
      </c>
      <c r="D944" s="21" t="n">
        <f aca="false">a26_bt</f>
        <v>16.944165</v>
      </c>
      <c r="E944" s="21" t="n">
        <f aca="false">D944*(1+g_bt)</f>
        <v>17.79137325</v>
      </c>
      <c r="F944" s="21" t="n">
        <f aca="false">E944*(1+g_bt)</f>
        <v>18.6809419125</v>
      </c>
      <c r="G944" s="21" t="n">
        <f aca="false">F944*(1+g_bt)</f>
        <v>19.614989008125</v>
      </c>
    </row>
    <row r="945" customFormat="false" ht="17.15" hidden="false" customHeight="false" outlineLevel="0" collapsed="false">
      <c r="A945" s="0" t="s">
        <v>648</v>
      </c>
      <c r="B945" s="0" t="s">
        <v>303</v>
      </c>
      <c r="D945" s="21" t="n">
        <f aca="false">a26_pcb*ai_pcb</f>
        <v>37.93610275</v>
      </c>
      <c r="E945" s="21" t="n">
        <f aca="false">D945*(1+g_pai_27)</f>
        <v>45.5233233</v>
      </c>
      <c r="F945" s="21" t="n">
        <f aca="false">D945*(1+g_pai_27)*(1+g_pai_28)*um28_A</f>
        <v>52.351821795</v>
      </c>
      <c r="G945" s="21" t="n">
        <f aca="false">D945*(1+g_pai_27)*(1+g_pai_28)*(1+g_pai_29)*um29_A</f>
        <v>57.5870039745</v>
      </c>
      <c r="K945" s="3" t="s">
        <v>649</v>
      </c>
    </row>
    <row r="946" customFormat="false" ht="17.15" hidden="false" customHeight="false" outlineLevel="0" collapsed="false">
      <c r="A946" s="3" t="s">
        <v>650</v>
      </c>
      <c r="B946" s="0" t="s">
        <v>303</v>
      </c>
      <c r="D946" s="21" t="n">
        <f aca="false">a26_pcb*(1-ai_pcb)</f>
        <v>20.42713225</v>
      </c>
      <c r="E946" s="21" t="n">
        <f aca="false">D946*(1+g_pcbn)</f>
        <v>20.835674895</v>
      </c>
      <c r="F946" s="21" t="n">
        <f aca="false">E946*(1+g_pcbn)</f>
        <v>21.2523883929</v>
      </c>
      <c r="G946" s="21" t="n">
        <f aca="false">F946*(1+g_pcbn)</f>
        <v>21.677436160758</v>
      </c>
    </row>
    <row r="947" customFormat="false" ht="15" hidden="false" customHeight="false" outlineLevel="0" collapsed="false">
      <c r="A947" s="3" t="s">
        <v>552</v>
      </c>
      <c r="B947" s="0" t="s">
        <v>303</v>
      </c>
      <c r="D947" s="21" t="n">
        <f aca="false">a26_fpc</f>
        <v>13.178795</v>
      </c>
      <c r="E947" s="21" t="n">
        <f aca="false">D947*(1+g_fpc)</f>
        <v>13.178795</v>
      </c>
      <c r="F947" s="21" t="n">
        <f aca="false">E947*(1+g_fpc)</f>
        <v>13.178795</v>
      </c>
      <c r="G947" s="21" t="n">
        <f aca="false">F947*(1+g_fpc)</f>
        <v>13.178795</v>
      </c>
    </row>
    <row r="948" customFormat="false" ht="17.15" hidden="false" customHeight="false" outlineLevel="0" collapsed="false">
      <c r="A948" s="3" t="s">
        <v>651</v>
      </c>
      <c r="B948" s="0" t="s">
        <v>303</v>
      </c>
      <c r="D948" s="21" t="n">
        <f aca="false">D939+D944</f>
        <v>116.72647</v>
      </c>
      <c r="E948" s="21" t="n">
        <f aca="false">E939+E944</f>
        <v>166.304861454375</v>
      </c>
      <c r="F948" s="21" t="n">
        <f aca="false">F939+F944</f>
        <v>189.101606192728</v>
      </c>
      <c r="G948" s="21" t="n">
        <f aca="false">G939+G944</f>
        <v>210.259645534215</v>
      </c>
      <c r="K948" s="3" t="s">
        <v>652</v>
      </c>
    </row>
    <row r="949" customFormat="false" ht="17.15" hidden="false" customHeight="false" outlineLevel="0" collapsed="false">
      <c r="A949" s="0" t="s">
        <v>653</v>
      </c>
      <c r="B949" s="0" t="s">
        <v>303</v>
      </c>
      <c r="D949" s="21" t="n">
        <f aca="false">D945+D946</f>
        <v>58.363235</v>
      </c>
      <c r="E949" s="21" t="n">
        <f aca="false">E945+E946</f>
        <v>66.358998195</v>
      </c>
      <c r="F949" s="21" t="n">
        <f aca="false">F945+F946</f>
        <v>73.6042101879</v>
      </c>
      <c r="G949" s="21" t="n">
        <f aca="false">G945+G946</f>
        <v>79.264440135258</v>
      </c>
      <c r="K949" s="3" t="s">
        <v>654</v>
      </c>
    </row>
    <row r="950" customFormat="false" ht="17.15" hidden="false" customHeight="false" outlineLevel="0" collapsed="false">
      <c r="A950" s="3" t="s">
        <v>515</v>
      </c>
      <c r="B950" s="0" t="s">
        <v>303</v>
      </c>
      <c r="C950" s="23" t="n">
        <f aca="false">a25_rev</f>
        <v>131.241</v>
      </c>
      <c r="D950" s="23" t="n">
        <f aca="false">D948+D949+D947</f>
        <v>188.2685</v>
      </c>
      <c r="E950" s="23" t="n">
        <f aca="false">E948+E949+E947</f>
        <v>245.842654649375</v>
      </c>
      <c r="F950" s="23" t="n">
        <f aca="false">F948+F949+F947</f>
        <v>275.884611380628</v>
      </c>
      <c r="G950" s="23" t="n">
        <f aca="false">G948+G949+G947</f>
        <v>302.702880669473</v>
      </c>
      <c r="H950" s="25" t="n">
        <f aca="false">G950*(1+H952)</f>
        <v>328.37375641002</v>
      </c>
      <c r="I950" s="25" t="n">
        <f aca="false">H950*(1+I952)</f>
        <v>352.148922978503</v>
      </c>
      <c r="J950" s="25" t="n">
        <f aca="false">I950*(1+J952)</f>
        <v>373.277858357213</v>
      </c>
      <c r="K950" s="7" t="s">
        <v>655</v>
      </c>
    </row>
    <row r="951" customFormat="false" ht="17.15" hidden="false" customHeight="false" outlineLevel="0" collapsed="false">
      <c r="A951" s="3" t="s">
        <v>656</v>
      </c>
      <c r="B951" s="0" t="s">
        <v>303</v>
      </c>
      <c r="D951" s="19" t="n">
        <f aca="false">D948+D949+D947-D950</f>
        <v>0</v>
      </c>
      <c r="E951" s="19" t="n">
        <f aca="false">E948+E949+E947-E950</f>
        <v>0</v>
      </c>
      <c r="F951" s="19" t="n">
        <f aca="false">F948+F949+F947-F950</f>
        <v>0</v>
      </c>
      <c r="G951" s="19" t="n">
        <f aca="false">G948+G949+G947-G950</f>
        <v>0</v>
      </c>
    </row>
    <row r="952" customFormat="false" ht="15" hidden="false" customHeight="false" outlineLevel="0" collapsed="false">
      <c r="A952" s="3" t="s">
        <v>657</v>
      </c>
      <c r="B952" s="0" t="s">
        <v>45</v>
      </c>
      <c r="D952" s="20" t="n">
        <f aca="false">D950/C950-1</f>
        <v>0.434525034097576</v>
      </c>
      <c r="E952" s="20" t="n">
        <f aca="false">E950/D950-1</f>
        <v>0.30580875</v>
      </c>
      <c r="F952" s="20" t="n">
        <f aca="false">F950/E950-1</f>
        <v>0.122199936272653</v>
      </c>
      <c r="G952" s="20" t="n">
        <f aca="false">G950/F950-1</f>
        <v>0.0972082826752689</v>
      </c>
      <c r="H952" s="26" t="n">
        <f aca="false">$G952+(fade_gA-$G952)*1/3</f>
        <v>0.0848055217835126</v>
      </c>
      <c r="I952" s="26" t="n">
        <f aca="false">$G952+(fade_gA-$G952)*2/3</f>
        <v>0.0724027608917563</v>
      </c>
      <c r="J952" s="26" t="n">
        <f aca="false">$G952+(fade_gA-$G952)*3/3</f>
        <v>0.06</v>
      </c>
    </row>
    <row r="953" customFormat="false" ht="17.15" hidden="false" customHeight="false" outlineLevel="0" collapsed="false">
      <c r="A953" s="0" t="s">
        <v>658</v>
      </c>
      <c r="B953" s="0" t="s">
        <v>45</v>
      </c>
      <c r="D953" s="20" t="n">
        <f aca="false">D939/D950</f>
        <v>0.53</v>
      </c>
      <c r="E953" s="20" t="n">
        <f aca="false">E939/E950</f>
        <v>0.604099758100105</v>
      </c>
      <c r="F953" s="20" t="n">
        <f aca="false">F939/F950</f>
        <v>0.617724429888933</v>
      </c>
      <c r="G953" s="20" t="n">
        <f aca="false">G939/G950</f>
        <v>0.629807870029022</v>
      </c>
    </row>
    <row r="954" customFormat="false" ht="17.15" hidden="false" customHeight="false" outlineLevel="0" collapsed="false">
      <c r="A954" s="0" t="s">
        <v>659</v>
      </c>
      <c r="B954" s="0" t="s">
        <v>45</v>
      </c>
      <c r="D954" s="20" t="n">
        <f aca="false">(D941+D945)/D950</f>
        <v>0.599</v>
      </c>
      <c r="E954" s="20" t="n">
        <f aca="false">(E941+E945)/E950</f>
        <v>0.68614078630907</v>
      </c>
      <c r="F954" s="20" t="n">
        <f aca="false">(F941+F945)/F950</f>
        <v>0.71155735453749</v>
      </c>
      <c r="G954" s="20" t="n">
        <f aca="false">(G941+G945)/G950</f>
        <v>0.72999951408768</v>
      </c>
      <c r="K954" s="3" t="s">
        <v>660</v>
      </c>
    </row>
    <row r="955" customFormat="false" ht="17.15" hidden="false" customHeight="false" outlineLevel="0" collapsed="false">
      <c r="A955" s="5" t="s">
        <v>661</v>
      </c>
    </row>
    <row r="956" customFormat="false" ht="15" hidden="false" customHeight="false" outlineLevel="0" collapsed="false">
      <c r="A956" s="3" t="s">
        <v>662</v>
      </c>
      <c r="B956" s="0" t="s">
        <v>303</v>
      </c>
      <c r="C956" s="23" t="n">
        <f aca="false">a25_cx</f>
        <v>25.617</v>
      </c>
      <c r="D956" s="23" t="n">
        <f aca="false">capex26</f>
        <v>53.7</v>
      </c>
      <c r="E956" s="23" t="n">
        <f aca="false">cx27_A</f>
        <v>55</v>
      </c>
      <c r="F956" s="23" t="n">
        <f aca="false">cx28_A</f>
        <v>50</v>
      </c>
      <c r="G956" s="23" t="n">
        <f aca="false">cx29_A</f>
        <v>45</v>
      </c>
      <c r="H956" s="25" t="n">
        <f aca="false">H950*H973</f>
        <v>45.8013927784852</v>
      </c>
      <c r="I956" s="25" t="n">
        <f aca="false">I950*I973</f>
        <v>45.8844004900638</v>
      </c>
      <c r="J956" s="25" t="n">
        <f aca="false">J950*J973</f>
        <v>45.2103365664998</v>
      </c>
    </row>
    <row r="957" customFormat="false" ht="17.15" hidden="false" customHeight="false" outlineLevel="0" collapsed="false">
      <c r="A957" s="3" t="s">
        <v>663</v>
      </c>
      <c r="B957" s="0" t="s">
        <v>303</v>
      </c>
      <c r="C957" s="23" t="n">
        <f aca="false">a25_da</f>
        <v>18.8</v>
      </c>
      <c r="D957" s="23" t="n">
        <f aca="false">da26</f>
        <v>20.8</v>
      </c>
      <c r="E957" s="23" t="n">
        <f aca="false">D957*(1-1/life)+D956/life</f>
        <v>24.9125</v>
      </c>
      <c r="F957" s="23" t="n">
        <f aca="false">E957*(1-1/life)+E956/life</f>
        <v>28.6734375</v>
      </c>
      <c r="G957" s="23" t="n">
        <f aca="false">F957*(1-1/life)+F956/life</f>
        <v>31.3392578125</v>
      </c>
      <c r="H957" s="25" t="n">
        <f aca="false">H950*H958</f>
        <v>33.9969999235971</v>
      </c>
      <c r="I957" s="25" t="n">
        <f aca="false">I950*I958</f>
        <v>36.4584765801023</v>
      </c>
      <c r="J957" s="25" t="n">
        <f aca="false">J950*J958</f>
        <v>38.6459851749085</v>
      </c>
      <c r="K957" s="3" t="s">
        <v>664</v>
      </c>
    </row>
    <row r="958" customFormat="false" ht="17.15" hidden="false" customHeight="false" outlineLevel="0" collapsed="false">
      <c r="A958" s="3" t="s">
        <v>665</v>
      </c>
      <c r="B958" s="0" t="s">
        <v>45</v>
      </c>
      <c r="C958" s="20" t="n">
        <f aca="false">C957/C950</f>
        <v>0.143247917952469</v>
      </c>
      <c r="D958" s="20" t="n">
        <f aca="false">D957/D950</f>
        <v>0.110480510547436</v>
      </c>
      <c r="E958" s="20" t="n">
        <f aca="false">E957/E950</f>
        <v>0.101335140704247</v>
      </c>
      <c r="F958" s="20" t="n">
        <f aca="false">F957/F950</f>
        <v>0.103932717945041</v>
      </c>
      <c r="G958" s="20" t="n">
        <f aca="false">G957/G950</f>
        <v>0.103531415833204</v>
      </c>
      <c r="H958" s="26" t="n">
        <f aca="false">$G958</f>
        <v>0.103531415833204</v>
      </c>
      <c r="I958" s="26" t="n">
        <f aca="false">$G958</f>
        <v>0.103531415833204</v>
      </c>
      <c r="J958" s="26" t="n">
        <f aca="false">$G958</f>
        <v>0.103531415833204</v>
      </c>
    </row>
    <row r="959" customFormat="false" ht="17.15" hidden="false" customHeight="false" outlineLevel="0" collapsed="false">
      <c r="A959" s="3" t="s">
        <v>666</v>
      </c>
      <c r="B959" s="0" t="s">
        <v>303</v>
      </c>
      <c r="E959" s="21" t="n">
        <f aca="false">E941*(1-1/(E926*E927))</f>
        <v>5.86473090806816</v>
      </c>
      <c r="F959" s="21" t="n">
        <f aca="false">F941*(1-1/(F926*F927))</f>
        <v>-0.360791735430108</v>
      </c>
      <c r="G959" s="21" t="n">
        <f aca="false">G941*(1-1/(G926*G927))</f>
        <v>-9.50923529152762</v>
      </c>
      <c r="K959" s="7" t="s">
        <v>667</v>
      </c>
    </row>
    <row r="960" customFormat="false" ht="17.15" hidden="false" customHeight="false" outlineLevel="0" collapsed="false">
      <c r="A960" s="3" t="s">
        <v>668</v>
      </c>
      <c r="B960" s="0" t="s">
        <v>303</v>
      </c>
      <c r="C960" s="21" t="n">
        <f aca="false">a25_gp</f>
        <v>18.292</v>
      </c>
      <c r="D960" s="21" t="n">
        <f aca="false">a26_gp</f>
        <v>47.3329657</v>
      </c>
      <c r="E960" s="21" t="n">
        <f aca="false">$D960+ft_abf*(E939-E959-$D939)+ft_oth*((E950-E939)-($D950-$D939))+E959-(E957-$D957)</f>
        <v>72.7291656174716</v>
      </c>
      <c r="F960" s="21" t="n">
        <f aca="false">$D960+ft_abf*(F939-F959-$D939)+ft_oth*((F950-F939)-($D950-$D939))+F959-(F957-$D957)</f>
        <v>78.8427499974992</v>
      </c>
      <c r="G960" s="21" t="n">
        <f aca="false">$D960+ft_abf*(G939-G959-$D939)+ft_oth*((G950-G939)-($D950-$D939))+G959-(G957-$D957)</f>
        <v>83.3632732906271</v>
      </c>
      <c r="K960" s="3" t="s">
        <v>669</v>
      </c>
    </row>
    <row r="961" customFormat="false" ht="15" hidden="false" customHeight="false" outlineLevel="0" collapsed="false">
      <c r="A961" s="3" t="s">
        <v>522</v>
      </c>
      <c r="B961" s="0" t="s">
        <v>45</v>
      </c>
      <c r="C961" s="13" t="n">
        <f aca="false">C960/C950</f>
        <v>0.139377176339711</v>
      </c>
      <c r="D961" s="13" t="n">
        <f aca="false">D960/D950</f>
        <v>0.251412029627899</v>
      </c>
      <c r="E961" s="13" t="n">
        <f aca="false">E960/E950</f>
        <v>0.295836236072211</v>
      </c>
      <c r="F961" s="13" t="n">
        <f aca="false">F960/F950</f>
        <v>0.285781615737612</v>
      </c>
      <c r="G961" s="13" t="n">
        <f aca="false">G960/G950</f>
        <v>0.275396365922441</v>
      </c>
    </row>
    <row r="962" customFormat="false" ht="15" hidden="false" customHeight="false" outlineLevel="0" collapsed="false">
      <c r="A962" s="3" t="s">
        <v>524</v>
      </c>
      <c r="B962" s="0" t="s">
        <v>303</v>
      </c>
      <c r="C962" s="21" t="n">
        <f aca="false">a25_opx</f>
        <v>11.618</v>
      </c>
      <c r="D962" s="21" t="n">
        <f aca="false">a26_opx</f>
        <v>16.6539532</v>
      </c>
      <c r="E962" s="21" t="n">
        <f aca="false">D962*(1+phi*E952)</f>
        <v>19.7097079663903</v>
      </c>
      <c r="F962" s="21" t="n">
        <f aca="false">E962*(1+phi*F952)</f>
        <v>21.1548230008576</v>
      </c>
      <c r="G962" s="21" t="n">
        <f aca="false">F962*(1+phi*G952)</f>
        <v>22.3886774093852</v>
      </c>
    </row>
    <row r="963" customFormat="false" ht="15" hidden="false" customHeight="false" outlineLevel="0" collapsed="false">
      <c r="A963" s="3" t="s">
        <v>527</v>
      </c>
      <c r="B963" s="0" t="s">
        <v>303</v>
      </c>
      <c r="C963" s="21" t="n">
        <f aca="false">C960-C962</f>
        <v>6.674</v>
      </c>
      <c r="D963" s="21" t="n">
        <f aca="false">D960-D962</f>
        <v>30.6790125</v>
      </c>
      <c r="E963" s="21" t="n">
        <f aca="false">E960-E962</f>
        <v>53.0194576510813</v>
      </c>
      <c r="F963" s="21" t="n">
        <f aca="false">F960-F962</f>
        <v>57.6879269966416</v>
      </c>
      <c r="G963" s="21" t="n">
        <f aca="false">G960-G962</f>
        <v>60.9745958812419</v>
      </c>
    </row>
    <row r="964" customFormat="false" ht="15" hidden="false" customHeight="false" outlineLevel="0" collapsed="false">
      <c r="A964" s="3" t="s">
        <v>605</v>
      </c>
      <c r="B964" s="0" t="s">
        <v>45</v>
      </c>
      <c r="C964" s="13" t="n">
        <f aca="false">C963/C950</f>
        <v>0.0508530108731265</v>
      </c>
      <c r="D964" s="13" t="n">
        <f aca="false">D963/D950</f>
        <v>0.162953507888999</v>
      </c>
      <c r="E964" s="13" t="n">
        <f aca="false">E963/E950</f>
        <v>0.215664192719927</v>
      </c>
      <c r="F964" s="13" t="n">
        <f aca="false">F963/F950</f>
        <v>0.209101648359254</v>
      </c>
      <c r="G964" s="13" t="n">
        <f aca="false">G963/G950</f>
        <v>0.201433814393796</v>
      </c>
    </row>
    <row r="965" customFormat="false" ht="17.15" hidden="false" customHeight="false" outlineLevel="0" collapsed="false">
      <c r="A965" s="3" t="s">
        <v>670</v>
      </c>
      <c r="B965" s="0" t="s">
        <v>303</v>
      </c>
      <c r="C965" s="21" t="n">
        <f aca="false">a25_nonop</f>
        <v>-0.00100000000000033</v>
      </c>
      <c r="D965" s="21" t="n">
        <f aca="false">a26_nonop</f>
        <v>14.466</v>
      </c>
      <c r="E965" s="21" t="n">
        <f aca="false">nonop27</f>
        <v>2</v>
      </c>
      <c r="F965" s="21" t="n">
        <f aca="false">nonop28</f>
        <v>2</v>
      </c>
      <c r="G965" s="21" t="n">
        <f aca="false">nonop29</f>
        <v>2</v>
      </c>
      <c r="K965" s="7" t="s">
        <v>671</v>
      </c>
    </row>
    <row r="966" customFormat="false" ht="15" hidden="false" customHeight="false" outlineLevel="0" collapsed="false">
      <c r="A966" s="3" t="s">
        <v>533</v>
      </c>
      <c r="B966" s="0" t="s">
        <v>303</v>
      </c>
      <c r="C966" s="21" t="n">
        <f aca="false">C963+C965</f>
        <v>6.673</v>
      </c>
      <c r="D966" s="21" t="n">
        <f aca="false">D963+D965</f>
        <v>45.1450125</v>
      </c>
      <c r="E966" s="21" t="n">
        <f aca="false">E963+E965</f>
        <v>55.0194576510813</v>
      </c>
      <c r="F966" s="21" t="n">
        <f aca="false">F963+F965</f>
        <v>59.6879269966416</v>
      </c>
      <c r="G966" s="21" t="n">
        <f aca="false">G963+G965</f>
        <v>62.9745958812419</v>
      </c>
    </row>
    <row r="967" customFormat="false" ht="15" hidden="false" customHeight="false" outlineLevel="0" collapsed="false">
      <c r="A967" s="3" t="s">
        <v>537</v>
      </c>
      <c r="B967" s="0" t="s">
        <v>303</v>
      </c>
      <c r="E967" s="21" t="n">
        <f aca="false">E966*tax</f>
        <v>9.90350237719463</v>
      </c>
      <c r="F967" s="21" t="n">
        <f aca="false">F966*tax</f>
        <v>10.7438268593955</v>
      </c>
      <c r="G967" s="21" t="n">
        <f aca="false">G966*tax</f>
        <v>11.3354272586235</v>
      </c>
    </row>
    <row r="968" customFormat="false" ht="15" hidden="false" customHeight="false" outlineLevel="0" collapsed="false">
      <c r="A968" s="3" t="s">
        <v>535</v>
      </c>
      <c r="B968" s="0" t="s">
        <v>303</v>
      </c>
      <c r="C968" s="21" t="n">
        <f aca="false">a25_ni</f>
        <v>6.673</v>
      </c>
      <c r="D968" s="21" t="n">
        <f aca="false">a26_ni</f>
        <v>37.23923025</v>
      </c>
      <c r="E968" s="21" t="n">
        <f aca="false">E966-E967</f>
        <v>45.1159552738867</v>
      </c>
      <c r="F968" s="21" t="n">
        <f aca="false">F966-F967</f>
        <v>48.9441001372461</v>
      </c>
      <c r="G968" s="21" t="n">
        <f aca="false">G966-G967</f>
        <v>51.6391686226184</v>
      </c>
      <c r="H968" s="30" t="n">
        <f aca="false">H950*H972</f>
        <v>56.3261338763003</v>
      </c>
      <c r="I968" s="30" t="n">
        <f aca="false">I950*I972</f>
        <v>60.7342568746107</v>
      </c>
      <c r="J968" s="30" t="n">
        <f aca="false">J950*J972</f>
        <v>64.7280650061133</v>
      </c>
    </row>
    <row r="969" customFormat="false" ht="15" hidden="false" customHeight="false" outlineLevel="0" collapsed="false">
      <c r="A969" s="3" t="s">
        <v>672</v>
      </c>
      <c r="B969" s="3" t="s">
        <v>381</v>
      </c>
      <c r="C969" s="29" t="n">
        <f aca="false">a25_sh</f>
        <v>1.52351598173516</v>
      </c>
      <c r="D969" s="29" t="n">
        <f aca="false">a26_sh</f>
        <v>1.59236316568047</v>
      </c>
      <c r="E969" s="29" t="n">
        <f aca="false">a26_shend*(1+sh_g)</f>
        <v>1.64</v>
      </c>
      <c r="F969" s="29" t="n">
        <f aca="false">E969*(1+sh_g)</f>
        <v>1.64</v>
      </c>
      <c r="G969" s="29" t="n">
        <f aca="false">F969*(1+sh_g)</f>
        <v>1.64</v>
      </c>
      <c r="H969" s="31" t="n">
        <f aca="false">G969*(1+sh_g)</f>
        <v>1.64</v>
      </c>
      <c r="I969" s="31" t="n">
        <f aca="false">H969*(1+sh_g)</f>
        <v>1.64</v>
      </c>
      <c r="J969" s="31" t="n">
        <f aca="false">I969*(1+sh_g)</f>
        <v>1.64</v>
      </c>
    </row>
    <row r="970" customFormat="false" ht="17.15" hidden="false" customHeight="false" outlineLevel="0" collapsed="false">
      <c r="A970" s="0" t="s">
        <v>540</v>
      </c>
      <c r="B970" s="0" t="s">
        <v>387</v>
      </c>
      <c r="C970" s="18" t="n">
        <f aca="false">C968/C969</f>
        <v>4.38</v>
      </c>
      <c r="D970" s="18" t="n">
        <f aca="false">D968/D969</f>
        <v>23.3861414610695</v>
      </c>
      <c r="E970" s="18" t="n">
        <f aca="false">E968/E969</f>
        <v>27.5097288255406</v>
      </c>
      <c r="F970" s="18" t="n">
        <f aca="false">F968/F969</f>
        <v>29.8439634983208</v>
      </c>
      <c r="G970" s="18" t="n">
        <f aca="false">G968/G969</f>
        <v>31.487297940621</v>
      </c>
      <c r="H970" s="28" t="n">
        <f aca="false">H968/H969</f>
        <v>34.34520358311</v>
      </c>
      <c r="I970" s="28" t="n">
        <f aca="false">I968/I969</f>
        <v>37.0330834601285</v>
      </c>
      <c r="J970" s="28" t="n">
        <f aca="false">J968/J969</f>
        <v>39.4683323208008</v>
      </c>
    </row>
    <row r="971" customFormat="false" ht="17.15" hidden="false" customHeight="false" outlineLevel="0" collapsed="false">
      <c r="A971" s="0" t="s">
        <v>673</v>
      </c>
      <c r="B971" s="0" t="s">
        <v>45</v>
      </c>
      <c r="D971" s="20" t="n">
        <f aca="false">D970/C970-1</f>
        <v>4.33930170344053</v>
      </c>
      <c r="E971" s="20" t="n">
        <f aca="false">E970/D970-1</f>
        <v>0.176326110544384</v>
      </c>
      <c r="F971" s="20" t="n">
        <f aca="false">F970/E970-1</f>
        <v>0.0848512425398023</v>
      </c>
      <c r="G971" s="20" t="n">
        <f aca="false">G970/F970-1</f>
        <v>0.0550642156626628</v>
      </c>
      <c r="H971" s="26" t="n">
        <f aca="false">H970/G970-1</f>
        <v>0.0907637628315536</v>
      </c>
      <c r="I971" s="26" t="n">
        <f aca="false">I970/H970-1</f>
        <v>0.0782607059094662</v>
      </c>
      <c r="J971" s="26" t="n">
        <f aca="false">J970/I970-1</f>
        <v>0.0657587387583929</v>
      </c>
    </row>
    <row r="972" customFormat="false" ht="17.15" hidden="false" customHeight="false" outlineLevel="0" collapsed="false">
      <c r="A972" s="3" t="s">
        <v>674</v>
      </c>
      <c r="B972" s="0" t="s">
        <v>45</v>
      </c>
      <c r="C972" s="13" t="n">
        <f aca="false">C968/C950</f>
        <v>0.0508453913030227</v>
      </c>
      <c r="D972" s="13" t="n">
        <f aca="false">D968/D950</f>
        <v>0.197798517808343</v>
      </c>
      <c r="E972" s="13" t="n">
        <f aca="false">E968/E950</f>
        <v>0.18351557152778</v>
      </c>
      <c r="F972" s="13" t="n">
        <f aca="false">F968/F950</f>
        <v>0.177407865891148</v>
      </c>
      <c r="G972" s="13" t="n">
        <f aca="false">G968/G950</f>
        <v>0.170593581760473</v>
      </c>
      <c r="H972" s="27" t="n">
        <f aca="false">$G972+(fade_mA-$G972)*1/3</f>
        <v>0.171530558629568</v>
      </c>
      <c r="I972" s="27" t="n">
        <f aca="false">$G972+(fade_mA-$G972)*2/3</f>
        <v>0.172467535498662</v>
      </c>
      <c r="J972" s="27" t="n">
        <f aca="false">$G972+(fade_mA-$G972)*3/3</f>
        <v>0.173404512367757</v>
      </c>
    </row>
    <row r="973" customFormat="false" ht="17.15" hidden="false" customHeight="false" outlineLevel="0" collapsed="false">
      <c r="A973" s="3" t="s">
        <v>675</v>
      </c>
      <c r="B973" s="0" t="s">
        <v>45</v>
      </c>
      <c r="C973" s="20" t="n">
        <f aca="false">C956/C950</f>
        <v>0.195190527350447</v>
      </c>
      <c r="D973" s="20" t="n">
        <f aca="false">D956/D950</f>
        <v>0.285230933480641</v>
      </c>
      <c r="E973" s="20" t="n">
        <f aca="false">E956/E950</f>
        <v>0.223720330706817</v>
      </c>
      <c r="F973" s="20" t="n">
        <f aca="false">F956/F950</f>
        <v>0.181235190139028</v>
      </c>
      <c r="G973" s="20" t="n">
        <f aca="false">G956/G950</f>
        <v>0.148660626884276</v>
      </c>
      <c r="H973" s="26" t="n">
        <f aca="false">$G973+($G958*(1+tp_g)^(life/2)-$G973)*1/3</f>
        <v>0.139479455603315</v>
      </c>
      <c r="I973" s="26" t="n">
        <f aca="false">$G973+($G958*(1+tp_g)^(life/2)-$G973)*2/3</f>
        <v>0.130298284322354</v>
      </c>
      <c r="J973" s="26" t="n">
        <f aca="false">$G973+($G958*(1+tp_g)^(life/2)-$G973)*3/3</f>
        <v>0.121117113041393</v>
      </c>
      <c r="K973" s="7" t="s">
        <v>676</v>
      </c>
    </row>
    <row r="974" customFormat="false" ht="15" hidden="false" customHeight="false" outlineLevel="0" collapsed="false">
      <c r="A974" s="3" t="s">
        <v>677</v>
      </c>
      <c r="B974" s="0" t="s">
        <v>303</v>
      </c>
      <c r="E974" s="21" t="n">
        <f aca="false">E968+E957-E956</f>
        <v>15.0284552738867</v>
      </c>
      <c r="F974" s="21" t="n">
        <f aca="false">F968+F957-F956</f>
        <v>27.6175376372461</v>
      </c>
      <c r="G974" s="21" t="n">
        <f aca="false">G968+G957-G956</f>
        <v>37.9784264351184</v>
      </c>
      <c r="H974" s="30" t="n">
        <f aca="false">H968+H957-H956</f>
        <v>44.5217410214122</v>
      </c>
      <c r="I974" s="30" t="n">
        <f aca="false">I968+I957-I956</f>
        <v>51.3083329646493</v>
      </c>
      <c r="J974" s="30" t="n">
        <f aca="false">J968+J957-J956</f>
        <v>58.163713614522</v>
      </c>
      <c r="K974" s="3" t="s">
        <v>678</v>
      </c>
    </row>
    <row r="975" customFormat="false" ht="15" hidden="false" customHeight="false" outlineLevel="0" collapsed="false">
      <c r="A975" s="3" t="s">
        <v>679</v>
      </c>
      <c r="B975" s="0" t="s">
        <v>387</v>
      </c>
      <c r="E975" s="18" t="n">
        <f aca="false">E974/E969</f>
        <v>9.16369224017479</v>
      </c>
      <c r="F975" s="18" t="n">
        <f aca="false">F974/F969</f>
        <v>16.8399619739305</v>
      </c>
      <c r="G975" s="18" t="n">
        <f aca="false">G974/G969</f>
        <v>23.1575770945844</v>
      </c>
      <c r="H975" s="28" t="n">
        <f aca="false">H974/H969</f>
        <v>27.1474030618367</v>
      </c>
      <c r="I975" s="28" t="n">
        <f aca="false">I974/I969</f>
        <v>31.2855688808837</v>
      </c>
      <c r="J975" s="28" t="n">
        <f aca="false">J974/J969</f>
        <v>35.4656790332451</v>
      </c>
    </row>
    <row r="978" customFormat="false" ht="17.15" hidden="false" customHeight="false" outlineLevel="0" collapsed="false">
      <c r="A978" s="1" t="s">
        <v>1035</v>
      </c>
    </row>
    <row r="979" customFormat="false" ht="17.15" hidden="false" customHeight="false" outlineLevel="0" collapsed="false">
      <c r="A979" s="4" t="s">
        <v>22</v>
      </c>
      <c r="B979" s="4" t="s">
        <v>23</v>
      </c>
      <c r="C979" s="14" t="s">
        <v>508</v>
      </c>
      <c r="D979" s="14" t="s">
        <v>592</v>
      </c>
      <c r="E979" s="14" t="s">
        <v>593</v>
      </c>
      <c r="F979" s="14" t="s">
        <v>594</v>
      </c>
      <c r="G979" s="14" t="s">
        <v>595</v>
      </c>
      <c r="H979" s="14" t="s">
        <v>596</v>
      </c>
      <c r="I979" s="14" t="s">
        <v>597</v>
      </c>
      <c r="J979" s="14" t="s">
        <v>598</v>
      </c>
      <c r="K979" s="4" t="s">
        <v>481</v>
      </c>
    </row>
    <row r="980" customFormat="false" ht="17.15" hidden="false" customHeight="false" outlineLevel="0" collapsed="false">
      <c r="A980" s="5" t="s">
        <v>616</v>
      </c>
    </row>
    <row r="981" customFormat="false" ht="17.15" hidden="false" customHeight="false" outlineLevel="0" collapsed="false">
      <c r="A981" s="0" t="s">
        <v>617</v>
      </c>
      <c r="B981" s="3" t="s">
        <v>33</v>
      </c>
      <c r="D981" s="21" t="n">
        <f aca="false">(u_bw_26+u_rb_26+u_ru_26+u_hp_26)*1</f>
        <v>7.6</v>
      </c>
      <c r="E981" s="21" t="n">
        <f aca="false">(u_bw_27+u_rb_27+u_ru_27+u_hp_27)*1*1</f>
        <v>9.7</v>
      </c>
      <c r="F981" s="21" t="n">
        <f aca="false">(u_bw_28+u_rb_28+u_ru_28+u_hp_28)*um28_A*1</f>
        <v>9.5</v>
      </c>
      <c r="G981" s="21" t="n">
        <f aca="false">(u_bw_28*(1+g29_bw)+u_rb_28*(1+g29_rb)+u_ru_28*(1+g29_ru)+u_hp_28*(1+g29_hp))*um29_A*1</f>
        <v>10.6</v>
      </c>
      <c r="K981" s="7" t="s">
        <v>618</v>
      </c>
    </row>
    <row r="982" customFormat="false" ht="17.15" hidden="false" customHeight="false" outlineLevel="0" collapsed="false">
      <c r="A982" s="3" t="s">
        <v>619</v>
      </c>
      <c r="B982" s="3" t="s">
        <v>33</v>
      </c>
      <c r="D982" s="21" t="n">
        <f aca="false">(u_amd_26+u_tpu_26+u_trn_26+u_oth_26)*1</f>
        <v>7.6</v>
      </c>
      <c r="E982" s="21" t="n">
        <f aca="false">(u_amd_27+u_tpu_27+u_trn_27+u_oth_27)*1*1</f>
        <v>14</v>
      </c>
      <c r="F982" s="21" t="n">
        <f aca="false">(u_amd_28+u_tpu_28+u_trn_28+u_oth_28)*um28_A*1</f>
        <v>17</v>
      </c>
      <c r="G982" s="21" t="n">
        <f aca="false">(u_amd_28*(1+g29_amd)+u_tpu_28*(1+g29_tpu)+u_trn_28*(1+g29_trn)+u_oth_28*(1+g29_oth))*um29_A*1</f>
        <v>19.55</v>
      </c>
      <c r="K982" s="7" t="s">
        <v>620</v>
      </c>
    </row>
    <row r="983" customFormat="false" ht="17.15" hidden="false" customHeight="false" outlineLevel="0" collapsed="false">
      <c r="A983" s="3" t="s">
        <v>621</v>
      </c>
      <c r="B983" s="0" t="s">
        <v>145</v>
      </c>
      <c r="D983" s="19" t="n">
        <f aca="false">1</f>
        <v>1</v>
      </c>
      <c r="E983" s="19" t="n">
        <f aca="false">D983*(1+g_asp)</f>
        <v>1.18</v>
      </c>
      <c r="F983" s="19" t="n">
        <f aca="false">E983*(1+g_asp)</f>
        <v>1.3924</v>
      </c>
      <c r="G983" s="19" t="n">
        <f aca="false">F983*(1+g_asp)</f>
        <v>1.643032</v>
      </c>
      <c r="K983" s="7" t="s">
        <v>622</v>
      </c>
    </row>
    <row r="984" customFormat="false" ht="17.15" hidden="false" customHeight="false" outlineLevel="0" collapsed="false">
      <c r="A984" s="0" t="s">
        <v>623</v>
      </c>
      <c r="B984" s="0" t="s">
        <v>145</v>
      </c>
      <c r="D984" s="18" t="n">
        <f aca="false">1</f>
        <v>1</v>
      </c>
      <c r="E984" s="18" t="n">
        <f aca="false">ibpp_27</f>
        <v>1</v>
      </c>
      <c r="F984" s="18" t="n">
        <f aca="false">ibpp_28</f>
        <v>0.95</v>
      </c>
      <c r="G984" s="18" t="n">
        <f aca="false">ibpp_29</f>
        <v>0.9</v>
      </c>
      <c r="K984" s="7" t="s">
        <v>624</v>
      </c>
    </row>
    <row r="985" customFormat="false" ht="17.15" hidden="false" customHeight="false" outlineLevel="0" collapsed="false">
      <c r="A985" s="3" t="s">
        <v>625</v>
      </c>
      <c r="B985" s="0" t="s">
        <v>145</v>
      </c>
      <c r="D985" s="18" t="n">
        <f aca="false">1</f>
        <v>1</v>
      </c>
      <c r="E985" s="18" t="n">
        <f aca="false">1+carry</f>
        <v>1.05</v>
      </c>
      <c r="F985" s="18" t="n">
        <f aca="false">1+carry</f>
        <v>1.05</v>
      </c>
      <c r="G985" s="18" t="n">
        <f aca="false">1+carry</f>
        <v>1.05</v>
      </c>
      <c r="K985" s="7" t="s">
        <v>626</v>
      </c>
    </row>
    <row r="986" customFormat="false" ht="17.15" hidden="false" customHeight="false" outlineLevel="0" collapsed="false">
      <c r="A986" s="3" t="s">
        <v>627</v>
      </c>
      <c r="B986" s="0" t="s">
        <v>628</v>
      </c>
      <c r="D986" s="23" t="n">
        <f aca="false">v26*D983*D984</f>
        <v>215.308596</v>
      </c>
      <c r="E986" s="23" t="n">
        <f aca="false">v26*E983*E984</f>
        <v>254.06414328</v>
      </c>
      <c r="F986" s="23" t="n">
        <f aca="false">v26*F983*F984</f>
        <v>284.80590461688</v>
      </c>
      <c r="G986" s="23" t="n">
        <f aca="false">v26*G983*G984</f>
        <v>318.383021792765</v>
      </c>
      <c r="K986" s="7" t="s">
        <v>629</v>
      </c>
    </row>
    <row r="987" customFormat="false" ht="17.15" hidden="false" customHeight="false" outlineLevel="0" collapsed="false">
      <c r="A987" s="3" t="s">
        <v>630</v>
      </c>
      <c r="B987" s="0" t="s">
        <v>45</v>
      </c>
      <c r="D987" s="20" t="n">
        <f aca="false">sh_nv_26_hi</f>
        <v>0.3</v>
      </c>
      <c r="E987" s="20" t="n">
        <f aca="false">sh_nv_27_hi</f>
        <v>0.32</v>
      </c>
      <c r="F987" s="20" t="n">
        <f aca="false">sh_nv_28_hi</f>
        <v>0.35</v>
      </c>
      <c r="G987" s="20" t="n">
        <f aca="false">sh_nv_29_hi</f>
        <v>0.36</v>
      </c>
    </row>
    <row r="988" customFormat="false" ht="17.15" hidden="false" customHeight="false" outlineLevel="0" collapsed="false">
      <c r="A988" s="3" t="s">
        <v>631</v>
      </c>
      <c r="B988" s="0" t="s">
        <v>45</v>
      </c>
      <c r="D988" s="20" t="n">
        <f aca="false">sh_ot_26</f>
        <v>0.3</v>
      </c>
      <c r="E988" s="20" t="n">
        <f aca="false">sh_ot_27</f>
        <v>0.31</v>
      </c>
      <c r="F988" s="20" t="n">
        <f aca="false">sh_ot_28</f>
        <v>0.32</v>
      </c>
      <c r="G988" s="20" t="n">
        <f aca="false">sh_ot_29</f>
        <v>0.33</v>
      </c>
    </row>
    <row r="989" customFormat="false" ht="17.15" hidden="false" customHeight="false" outlineLevel="0" collapsed="false">
      <c r="A989" s="3" t="s">
        <v>632</v>
      </c>
      <c r="B989" s="0" t="s">
        <v>582</v>
      </c>
      <c r="D989" s="22" t="n">
        <f aca="false">(D981*D986*D987+D982*D986*v_ot*D988)*D985</f>
        <v>883.626477984</v>
      </c>
      <c r="E989" s="22" t="n">
        <f aca="false">(E981*E986*E987+E982*E986*v_ot*E988)*E985</f>
        <v>1754.26209651974</v>
      </c>
      <c r="F989" s="22" t="n">
        <f aca="false">(F981*F986*F987+F982*F986*v_ot*F988)*F985</f>
        <v>2295.77767623098</v>
      </c>
      <c r="G989" s="22" t="n">
        <f aca="false">(G981*G986*G987+G982*G986*v_ot*G988)*G985</f>
        <v>3001.09746639991</v>
      </c>
    </row>
    <row r="990" customFormat="false" ht="15" hidden="false" customHeight="false" outlineLevel="0" collapsed="false">
      <c r="A990" s="3" t="s">
        <v>633</v>
      </c>
      <c r="B990" s="0" t="s">
        <v>303</v>
      </c>
      <c r="D990" s="21" t="n">
        <f aca="false">D989*fx/1000</f>
        <v>28.276047295488</v>
      </c>
      <c r="E990" s="21" t="n">
        <f aca="false">E989*fx/1000</f>
        <v>56.1363870886318</v>
      </c>
      <c r="F990" s="21" t="n">
        <f aca="false">F989*fx/1000</f>
        <v>73.4648856393913</v>
      </c>
      <c r="G990" s="21" t="n">
        <f aca="false">G989*fx/1000</f>
        <v>96.0351189247971</v>
      </c>
    </row>
    <row r="991" customFormat="false" ht="17.15" hidden="false" customHeight="false" outlineLevel="0" collapsed="false">
      <c r="A991" s="5" t="s">
        <v>634</v>
      </c>
    </row>
    <row r="992" customFormat="false" ht="17.15" hidden="false" customHeight="false" outlineLevel="0" collapsed="false">
      <c r="A992" s="0" t="s">
        <v>635</v>
      </c>
      <c r="B992" s="0" t="s">
        <v>303</v>
      </c>
      <c r="D992" s="21" t="n">
        <f aca="false">a26_abf*ai_abf</f>
        <v>74.83672875</v>
      </c>
      <c r="K992" s="3" t="s">
        <v>636</v>
      </c>
    </row>
    <row r="993" customFormat="false" ht="17.15" hidden="false" customHeight="false" outlineLevel="0" collapsed="false">
      <c r="A993" s="3" t="s">
        <v>637</v>
      </c>
      <c r="B993" s="0" t="s">
        <v>303</v>
      </c>
      <c r="D993" s="21" t="n">
        <f aca="false">D992-D990</f>
        <v>46.560681454512</v>
      </c>
      <c r="E993" s="21" t="n">
        <f aca="false">$D993*(itc_27/itc_26)^el_o*1*1*E984*E985</f>
        <v>69.1745385761374</v>
      </c>
      <c r="F993" s="21" t="n">
        <f aca="false">$D993*(itc_28/itc_26)^el_o*um28_A*1*F984*F985</f>
        <v>73.9884385038434</v>
      </c>
      <c r="G993" s="21" t="n">
        <f aca="false">$D993*(itc_29/itc_26)^el_o*um29_A*1*G984*G985</f>
        <v>74.8126032067908</v>
      </c>
      <c r="K993" s="7" t="s">
        <v>638</v>
      </c>
    </row>
    <row r="994" customFormat="false" ht="17.15" hidden="false" customHeight="false" outlineLevel="0" collapsed="false">
      <c r="A994" s="3" t="s">
        <v>639</v>
      </c>
      <c r="B994" s="0" t="s">
        <v>303</v>
      </c>
      <c r="D994" s="21" t="n">
        <f aca="false">a26_abf-D992</f>
        <v>24.94557625</v>
      </c>
      <c r="E994" s="21" t="n">
        <f aca="false">D994*(1+g_nai)</f>
        <v>25.6939435375</v>
      </c>
      <c r="F994" s="21" t="n">
        <f aca="false">E994*(1+g_nai)</f>
        <v>26.464761843625</v>
      </c>
      <c r="G994" s="21" t="n">
        <f aca="false">F994*(1+g_nai)</f>
        <v>27.2587046989338</v>
      </c>
    </row>
    <row r="995" customFormat="false" ht="17.15" hidden="false" customHeight="false" outlineLevel="0" collapsed="false">
      <c r="A995" s="0" t="s">
        <v>640</v>
      </c>
      <c r="B995" s="0" t="s">
        <v>303</v>
      </c>
      <c r="D995" s="21" t="n">
        <f aca="false">D990+D993+D994</f>
        <v>99.782305</v>
      </c>
      <c r="E995" s="21" t="n">
        <f aca="false">E990+E993+E994</f>
        <v>151.004869202269</v>
      </c>
      <c r="F995" s="21" t="n">
        <f aca="false">F990+F993+F994</f>
        <v>173.91808598686</v>
      </c>
      <c r="G995" s="21" t="n">
        <f aca="false">G990+G993+G994</f>
        <v>198.106426830522</v>
      </c>
    </row>
    <row r="996" customFormat="false" ht="17.15" hidden="false" customHeight="false" outlineLevel="0" collapsed="false">
      <c r="A996" s="0" t="s">
        <v>641</v>
      </c>
      <c r="B996" s="0" t="s">
        <v>303</v>
      </c>
      <c r="D996" s="21" t="n">
        <f aca="false">a26_abf</f>
        <v>99.782305</v>
      </c>
      <c r="E996" s="21" t="n">
        <f aca="false">$D995*cap_27*(1+g_mix)^1*E984*E985</f>
        <v>148.513488204375</v>
      </c>
      <c r="F996" s="21" t="n">
        <f aca="false">$D995*cap_28*(1+g_mix)^2*F984*F985</f>
        <v>186.549442683384</v>
      </c>
      <c r="G996" s="21" t="n">
        <f aca="false">$D995*cap_29*(1+g_mix)^3*G984*G985</f>
        <v>218.314827660431</v>
      </c>
      <c r="K996" s="7" t="s">
        <v>642</v>
      </c>
    </row>
    <row r="997" customFormat="false" ht="17.15" hidden="false" customHeight="false" outlineLevel="0" collapsed="false">
      <c r="A997" s="0" t="s">
        <v>643</v>
      </c>
      <c r="B997" s="0" t="s">
        <v>303</v>
      </c>
      <c r="D997" s="21" t="n">
        <f aca="false">a26_abf</f>
        <v>99.782305</v>
      </c>
      <c r="E997" s="21" t="n">
        <f aca="false">MIN(E995,E996)</f>
        <v>148.513488204375</v>
      </c>
      <c r="F997" s="21" t="n">
        <f aca="false">MIN(F995,F996)</f>
        <v>173.91808598686</v>
      </c>
      <c r="G997" s="21" t="n">
        <f aca="false">MIN(G995,G996)</f>
        <v>198.106426830522</v>
      </c>
    </row>
    <row r="998" customFormat="false" ht="17.15" hidden="false" customHeight="false" outlineLevel="0" collapsed="false">
      <c r="A998" s="3" t="s">
        <v>644</v>
      </c>
      <c r="B998" s="0" t="s">
        <v>45</v>
      </c>
      <c r="D998" s="20" t="n">
        <f aca="false">D997/D995</f>
        <v>1</v>
      </c>
      <c r="E998" s="20" t="n">
        <f aca="false">E997/E995</f>
        <v>0.983501320115996</v>
      </c>
      <c r="F998" s="20" t="n">
        <f aca="false">F997/F995</f>
        <v>1</v>
      </c>
      <c r="G998" s="20" t="n">
        <f aca="false">G997/G995</f>
        <v>1</v>
      </c>
    </row>
    <row r="999" customFormat="false" ht="17.15" hidden="false" customHeight="false" outlineLevel="0" collapsed="false">
      <c r="A999" s="0" t="s">
        <v>645</v>
      </c>
      <c r="B999" s="0" t="s">
        <v>303</v>
      </c>
      <c r="D999" s="21" t="n">
        <f aca="false">(D990+D993)*D998</f>
        <v>74.83672875</v>
      </c>
      <c r="E999" s="21" t="n">
        <f aca="false">(E990+E993)*E998</f>
        <v>123.243460816258</v>
      </c>
      <c r="F999" s="21" t="n">
        <f aca="false">(F990+F993)*F998</f>
        <v>147.453324143235</v>
      </c>
      <c r="G999" s="21" t="n">
        <f aca="false">(G990+G993)*G998</f>
        <v>170.847722131588</v>
      </c>
    </row>
    <row r="1000" customFormat="false" ht="17.15" hidden="false" customHeight="false" outlineLevel="0" collapsed="false">
      <c r="A1000" s="3" t="s">
        <v>646</v>
      </c>
      <c r="B1000" s="0" t="s">
        <v>45</v>
      </c>
      <c r="D1000" s="20" t="n">
        <f aca="false">D990/(D990+D993)</f>
        <v>0.377836495097843</v>
      </c>
      <c r="E1000" s="20" t="n">
        <f aca="false">E990/(E990+E993)</f>
        <v>0.44797679684218</v>
      </c>
      <c r="F1000" s="20" t="n">
        <f aca="false">F990/(F990+F993)</f>
        <v>0.49822468273437</v>
      </c>
      <c r="G1000" s="20" t="n">
        <f aca="false">G990/(G990+G993)</f>
        <v>0.562109448850774</v>
      </c>
    </row>
    <row r="1001" customFormat="false" ht="17.15" hidden="false" customHeight="false" outlineLevel="0" collapsed="false">
      <c r="A1001" s="5" t="s">
        <v>647</v>
      </c>
    </row>
    <row r="1002" customFormat="false" ht="17.15" hidden="false" customHeight="false" outlineLevel="0" collapsed="false">
      <c r="A1002" s="0" t="s">
        <v>550</v>
      </c>
      <c r="B1002" s="0" t="s">
        <v>303</v>
      </c>
      <c r="D1002" s="21" t="n">
        <f aca="false">a26_bt</f>
        <v>16.944165</v>
      </c>
      <c r="E1002" s="21" t="n">
        <f aca="false">D1002*(1+g_bt)</f>
        <v>17.79137325</v>
      </c>
      <c r="F1002" s="21" t="n">
        <f aca="false">E1002*(1+g_bt)</f>
        <v>18.6809419125</v>
      </c>
      <c r="G1002" s="21" t="n">
        <f aca="false">F1002*(1+g_bt)</f>
        <v>19.614989008125</v>
      </c>
    </row>
    <row r="1003" customFormat="false" ht="17.15" hidden="false" customHeight="false" outlineLevel="0" collapsed="false">
      <c r="A1003" s="0" t="s">
        <v>648</v>
      </c>
      <c r="B1003" s="0" t="s">
        <v>303</v>
      </c>
      <c r="D1003" s="21" t="n">
        <f aca="false">a26_pcb*ai_pcb</f>
        <v>37.93610275</v>
      </c>
      <c r="E1003" s="21" t="n">
        <f aca="false">D1003*(1+g_pai_27)</f>
        <v>45.5233233</v>
      </c>
      <c r="F1003" s="21" t="n">
        <f aca="false">D1003*(1+g_pai_27)*(1+g_pai_28)*um28_A</f>
        <v>52.351821795</v>
      </c>
      <c r="G1003" s="21" t="n">
        <f aca="false">D1003*(1+g_pai_27)*(1+g_pai_28)*(1+g_pai_29)*um29_A</f>
        <v>57.5870039745</v>
      </c>
      <c r="K1003" s="3" t="s">
        <v>649</v>
      </c>
    </row>
    <row r="1004" customFormat="false" ht="17.15" hidden="false" customHeight="false" outlineLevel="0" collapsed="false">
      <c r="A1004" s="3" t="s">
        <v>650</v>
      </c>
      <c r="B1004" s="0" t="s">
        <v>303</v>
      </c>
      <c r="D1004" s="21" t="n">
        <f aca="false">a26_pcb*(1-ai_pcb)</f>
        <v>20.42713225</v>
      </c>
      <c r="E1004" s="21" t="n">
        <f aca="false">D1004*(1+g_pcbn)</f>
        <v>20.835674895</v>
      </c>
      <c r="F1004" s="21" t="n">
        <f aca="false">E1004*(1+g_pcbn)</f>
        <v>21.2523883929</v>
      </c>
      <c r="G1004" s="21" t="n">
        <f aca="false">F1004*(1+g_pcbn)</f>
        <v>21.677436160758</v>
      </c>
    </row>
    <row r="1005" customFormat="false" ht="15" hidden="false" customHeight="false" outlineLevel="0" collapsed="false">
      <c r="A1005" s="3" t="s">
        <v>552</v>
      </c>
      <c r="B1005" s="0" t="s">
        <v>303</v>
      </c>
      <c r="D1005" s="21" t="n">
        <f aca="false">a26_fpc</f>
        <v>13.178795</v>
      </c>
      <c r="E1005" s="21" t="n">
        <f aca="false">D1005*(1+g_fpc)</f>
        <v>13.178795</v>
      </c>
      <c r="F1005" s="21" t="n">
        <f aca="false">E1005*(1+g_fpc)</f>
        <v>13.178795</v>
      </c>
      <c r="G1005" s="21" t="n">
        <f aca="false">F1005*(1+g_fpc)</f>
        <v>13.178795</v>
      </c>
    </row>
    <row r="1006" customFormat="false" ht="17.15" hidden="false" customHeight="false" outlineLevel="0" collapsed="false">
      <c r="A1006" s="3" t="s">
        <v>651</v>
      </c>
      <c r="B1006" s="0" t="s">
        <v>303</v>
      </c>
      <c r="D1006" s="21" t="n">
        <f aca="false">D997+D1002</f>
        <v>116.72647</v>
      </c>
      <c r="E1006" s="21" t="n">
        <f aca="false">E997+E1002</f>
        <v>166.304861454375</v>
      </c>
      <c r="F1006" s="21" t="n">
        <f aca="false">F997+F1002</f>
        <v>192.59902789936</v>
      </c>
      <c r="G1006" s="21" t="n">
        <f aca="false">G997+G1002</f>
        <v>217.721415838647</v>
      </c>
      <c r="K1006" s="3" t="s">
        <v>652</v>
      </c>
    </row>
    <row r="1007" customFormat="false" ht="17.15" hidden="false" customHeight="false" outlineLevel="0" collapsed="false">
      <c r="A1007" s="0" t="s">
        <v>653</v>
      </c>
      <c r="B1007" s="0" t="s">
        <v>303</v>
      </c>
      <c r="D1007" s="21" t="n">
        <f aca="false">D1003+D1004</f>
        <v>58.363235</v>
      </c>
      <c r="E1007" s="21" t="n">
        <f aca="false">E1003+E1004</f>
        <v>66.358998195</v>
      </c>
      <c r="F1007" s="21" t="n">
        <f aca="false">F1003+F1004</f>
        <v>73.6042101879</v>
      </c>
      <c r="G1007" s="21" t="n">
        <f aca="false">G1003+G1004</f>
        <v>79.264440135258</v>
      </c>
      <c r="K1007" s="3" t="s">
        <v>654</v>
      </c>
    </row>
    <row r="1008" customFormat="false" ht="17.15" hidden="false" customHeight="false" outlineLevel="0" collapsed="false">
      <c r="A1008" s="3" t="s">
        <v>515</v>
      </c>
      <c r="B1008" s="0" t="s">
        <v>303</v>
      </c>
      <c r="C1008" s="23" t="n">
        <f aca="false">a25_rev</f>
        <v>131.241</v>
      </c>
      <c r="D1008" s="23" t="n">
        <f aca="false">D1006+D1007+D1005</f>
        <v>188.2685</v>
      </c>
      <c r="E1008" s="23" t="n">
        <f aca="false">E1006+E1007+E1005</f>
        <v>245.842654649375</v>
      </c>
      <c r="F1008" s="23" t="n">
        <f aca="false">F1006+F1007+F1005</f>
        <v>279.38203308726</v>
      </c>
      <c r="G1008" s="23" t="n">
        <f aca="false">G1006+G1007+G1005</f>
        <v>310.164650973905</v>
      </c>
      <c r="H1008" s="25" t="n">
        <f aca="false">G1008*(1+H1010)</f>
        <v>339.150797582473</v>
      </c>
      <c r="I1008" s="25" t="n">
        <f aca="false">H1008*(1+I1010)</f>
        <v>365.172831389411</v>
      </c>
      <c r="J1008" s="25" t="n">
        <f aca="false">I1008*(1+J1010)</f>
        <v>387.083201272776</v>
      </c>
      <c r="K1008" s="7" t="s">
        <v>655</v>
      </c>
    </row>
    <row r="1009" customFormat="false" ht="17.15" hidden="false" customHeight="false" outlineLevel="0" collapsed="false">
      <c r="A1009" s="3" t="s">
        <v>656</v>
      </c>
      <c r="B1009" s="0" t="s">
        <v>303</v>
      </c>
      <c r="D1009" s="19" t="n">
        <f aca="false">D1006+D1007+D1005-D1008</f>
        <v>0</v>
      </c>
      <c r="E1009" s="19" t="n">
        <f aca="false">E1006+E1007+E1005-E1008</f>
        <v>0</v>
      </c>
      <c r="F1009" s="19" t="n">
        <f aca="false">F1006+F1007+F1005-F1008</f>
        <v>0</v>
      </c>
      <c r="G1009" s="19" t="n">
        <f aca="false">G1006+G1007+G1005-G1008</f>
        <v>0</v>
      </c>
    </row>
    <row r="1010" customFormat="false" ht="15" hidden="false" customHeight="false" outlineLevel="0" collapsed="false">
      <c r="A1010" s="3" t="s">
        <v>657</v>
      </c>
      <c r="B1010" s="0" t="s">
        <v>45</v>
      </c>
      <c r="D1010" s="20" t="n">
        <f aca="false">D1008/C1008-1</f>
        <v>0.434525034097576</v>
      </c>
      <c r="E1010" s="20" t="n">
        <f aca="false">E1008/D1008-1</f>
        <v>0.30580875</v>
      </c>
      <c r="F1010" s="20" t="n">
        <f aca="false">F1008/E1008-1</f>
        <v>0.136426197014994</v>
      </c>
      <c r="G1010" s="20" t="n">
        <f aca="false">G1008/F1008-1</f>
        <v>0.110181093417094</v>
      </c>
      <c r="H1010" s="26" t="n">
        <f aca="false">$G1010+(fade_gA-$G1010)*1/3</f>
        <v>0.0934540622780626</v>
      </c>
      <c r="I1010" s="26" t="n">
        <f aca="false">$G1010+(fade_gA-$G1010)*2/3</f>
        <v>0.0767270311390313</v>
      </c>
      <c r="J1010" s="26" t="n">
        <f aca="false">$G1010+(fade_gA-$G1010)*3/3</f>
        <v>0.06</v>
      </c>
    </row>
    <row r="1011" customFormat="false" ht="17.15" hidden="false" customHeight="false" outlineLevel="0" collapsed="false">
      <c r="A1011" s="0" t="s">
        <v>658</v>
      </c>
      <c r="B1011" s="0" t="s">
        <v>45</v>
      </c>
      <c r="D1011" s="20" t="n">
        <f aca="false">D997/D1008</f>
        <v>0.53</v>
      </c>
      <c r="E1011" s="20" t="n">
        <f aca="false">E997/E1008</f>
        <v>0.604099758100105</v>
      </c>
      <c r="F1011" s="20" t="n">
        <f aca="false">F997/F1008</f>
        <v>0.6225099161353</v>
      </c>
      <c r="G1011" s="20" t="n">
        <f aca="false">G997/G1008</f>
        <v>0.638713748354222</v>
      </c>
    </row>
    <row r="1012" customFormat="false" ht="17.15" hidden="false" customHeight="false" outlineLevel="0" collapsed="false">
      <c r="A1012" s="0" t="s">
        <v>659</v>
      </c>
      <c r="B1012" s="0" t="s">
        <v>45</v>
      </c>
      <c r="D1012" s="20" t="n">
        <f aca="false">(D999+D1003)/D1008</f>
        <v>0.599</v>
      </c>
      <c r="E1012" s="20" t="n">
        <f aca="false">(E999+E1003)/E1008</f>
        <v>0.686482922814822</v>
      </c>
      <c r="F1012" s="20" t="n">
        <f aca="false">(F999+F1003)/F1008</f>
        <v>0.715168200797756</v>
      </c>
      <c r="G1012" s="20" t="n">
        <f aca="false">(G999+G1003)/G1008</f>
        <v>0.736495037035368</v>
      </c>
      <c r="K1012" s="3" t="s">
        <v>660</v>
      </c>
    </row>
    <row r="1013" customFormat="false" ht="17.15" hidden="false" customHeight="false" outlineLevel="0" collapsed="false">
      <c r="A1013" s="5" t="s">
        <v>661</v>
      </c>
    </row>
    <row r="1014" customFormat="false" ht="15" hidden="false" customHeight="false" outlineLevel="0" collapsed="false">
      <c r="A1014" s="3" t="s">
        <v>662</v>
      </c>
      <c r="B1014" s="0" t="s">
        <v>303</v>
      </c>
      <c r="C1014" s="23" t="n">
        <f aca="false">a25_cx</f>
        <v>25.617</v>
      </c>
      <c r="D1014" s="23" t="n">
        <f aca="false">capex26</f>
        <v>53.7</v>
      </c>
      <c r="E1014" s="23" t="n">
        <f aca="false">cx27_A</f>
        <v>55</v>
      </c>
      <c r="F1014" s="23" t="n">
        <f aca="false">cx28_A</f>
        <v>50</v>
      </c>
      <c r="G1014" s="23" t="n">
        <f aca="false">cx29_A</f>
        <v>45</v>
      </c>
      <c r="H1014" s="25" t="n">
        <f aca="false">H1008*H1031</f>
        <v>46.1665413624454</v>
      </c>
      <c r="I1014" s="25" t="n">
        <f aca="false">I1008*I1031</f>
        <v>46.4367064609256</v>
      </c>
      <c r="J1014" s="25" t="n">
        <f aca="false">J1008*J1031</f>
        <v>45.7545288968705</v>
      </c>
    </row>
    <row r="1015" customFormat="false" ht="17.15" hidden="false" customHeight="false" outlineLevel="0" collapsed="false">
      <c r="A1015" s="3" t="s">
        <v>663</v>
      </c>
      <c r="B1015" s="0" t="s">
        <v>303</v>
      </c>
      <c r="C1015" s="23" t="n">
        <f aca="false">a25_da</f>
        <v>18.8</v>
      </c>
      <c r="D1015" s="23" t="n">
        <f aca="false">da26</f>
        <v>20.8</v>
      </c>
      <c r="E1015" s="23" t="n">
        <f aca="false">D1015*(1-1/life)+D1014/life</f>
        <v>24.9125</v>
      </c>
      <c r="F1015" s="23" t="n">
        <f aca="false">E1015*(1-1/life)+E1014/life</f>
        <v>28.6734375</v>
      </c>
      <c r="G1015" s="23" t="n">
        <f aca="false">F1015*(1-1/life)+F1014/life</f>
        <v>31.3392578125</v>
      </c>
      <c r="H1015" s="25" t="n">
        <f aca="false">H1008*H1016</f>
        <v>34.2680387638576</v>
      </c>
      <c r="I1015" s="25" t="n">
        <f aca="false">I1008*I1016</f>
        <v>36.8973236411657</v>
      </c>
      <c r="J1015" s="25" t="n">
        <f aca="false">J1008*J1016</f>
        <v>39.1111630596356</v>
      </c>
      <c r="K1015" s="3" t="s">
        <v>664</v>
      </c>
    </row>
    <row r="1016" customFormat="false" ht="17.15" hidden="false" customHeight="false" outlineLevel="0" collapsed="false">
      <c r="A1016" s="3" t="s">
        <v>665</v>
      </c>
      <c r="B1016" s="0" t="s">
        <v>45</v>
      </c>
      <c r="C1016" s="20" t="n">
        <f aca="false">C1015/C1008</f>
        <v>0.143247917952469</v>
      </c>
      <c r="D1016" s="20" t="n">
        <f aca="false">D1015/D1008</f>
        <v>0.110480510547436</v>
      </c>
      <c r="E1016" s="20" t="n">
        <f aca="false">E1015/E1008</f>
        <v>0.101335140704247</v>
      </c>
      <c r="F1016" s="20" t="n">
        <f aca="false">F1015/F1008</f>
        <v>0.102631644501794</v>
      </c>
      <c r="G1016" s="20" t="n">
        <f aca="false">G1015/G1008</f>
        <v>0.10104071406621</v>
      </c>
      <c r="H1016" s="26" t="n">
        <f aca="false">$G1016</f>
        <v>0.10104071406621</v>
      </c>
      <c r="I1016" s="26" t="n">
        <f aca="false">$G1016</f>
        <v>0.10104071406621</v>
      </c>
      <c r="J1016" s="26" t="n">
        <f aca="false">$G1016</f>
        <v>0.10104071406621</v>
      </c>
    </row>
    <row r="1017" customFormat="false" ht="17.15" hidden="false" customHeight="false" outlineLevel="0" collapsed="false">
      <c r="A1017" s="3" t="s">
        <v>666</v>
      </c>
      <c r="B1017" s="0" t="s">
        <v>303</v>
      </c>
      <c r="E1017" s="21" t="n">
        <f aca="false">E999*(1-1/(E984*E985))</f>
        <v>5.86873622934562</v>
      </c>
      <c r="F1017" s="21" t="n">
        <f aca="false">F999*(1-1/(F984*F985))</f>
        <v>-0.369557203366527</v>
      </c>
      <c r="G1017" s="21" t="n">
        <f aca="false">G999*(1-1/(G984*G985))</f>
        <v>-9.94351821929876</v>
      </c>
      <c r="K1017" s="7" t="s">
        <v>667</v>
      </c>
    </row>
    <row r="1018" customFormat="false" ht="17.15" hidden="false" customHeight="false" outlineLevel="0" collapsed="false">
      <c r="A1018" s="3" t="s">
        <v>668</v>
      </c>
      <c r="B1018" s="0" t="s">
        <v>303</v>
      </c>
      <c r="C1018" s="21" t="n">
        <f aca="false">a25_gp</f>
        <v>18.292</v>
      </c>
      <c r="D1018" s="21" t="n">
        <f aca="false">a26_gp</f>
        <v>47.3329657</v>
      </c>
      <c r="E1018" s="21" t="n">
        <f aca="false">$D1018+ft_abf*(E997-E1017-$D997)+ft_oth*((E1008-E997)-($D1008-$D997))+E1017-(E1015-$D1015)</f>
        <v>72.7311682781103</v>
      </c>
      <c r="F1018" s="21" t="n">
        <f aca="false">$D1018+ft_abf*(F997-F1017-$D997)+ft_oth*((F1008-F997)-($D1008-$D997))+F1017-(F1015-$D1015)</f>
        <v>80.5870781168466</v>
      </c>
      <c r="G1018" s="21" t="n">
        <f aca="false">$D1018+ft_abf*(G997-G1017-$D997)+ft_oth*((G1008-G997)-($D1008-$D997))+G1017-(G1015-$D1015)</f>
        <v>86.8770169789572</v>
      </c>
      <c r="K1018" s="3" t="s">
        <v>669</v>
      </c>
    </row>
    <row r="1019" customFormat="false" ht="15" hidden="false" customHeight="false" outlineLevel="0" collapsed="false">
      <c r="A1019" s="3" t="s">
        <v>522</v>
      </c>
      <c r="B1019" s="0" t="s">
        <v>45</v>
      </c>
      <c r="C1019" s="13" t="n">
        <f aca="false">C1018/C1008</f>
        <v>0.139377176339711</v>
      </c>
      <c r="D1019" s="13" t="n">
        <f aca="false">D1018/D1008</f>
        <v>0.251412029627899</v>
      </c>
      <c r="E1019" s="13" t="n">
        <f aca="false">E1018/E1008</f>
        <v>0.295844382179491</v>
      </c>
      <c r="F1019" s="13" t="n">
        <f aca="false">F1018/F1008</f>
        <v>0.288447604258348</v>
      </c>
      <c r="G1019" s="13" t="n">
        <f aca="false">G1018/G1008</f>
        <v>0.280099671919952</v>
      </c>
    </row>
    <row r="1020" customFormat="false" ht="15" hidden="false" customHeight="false" outlineLevel="0" collapsed="false">
      <c r="A1020" s="3" t="s">
        <v>524</v>
      </c>
      <c r="B1020" s="0" t="s">
        <v>303</v>
      </c>
      <c r="C1020" s="21" t="n">
        <f aca="false">a25_opx</f>
        <v>11.618</v>
      </c>
      <c r="D1020" s="21" t="n">
        <f aca="false">a26_opx</f>
        <v>16.6539532</v>
      </c>
      <c r="E1020" s="21" t="n">
        <f aca="false">D1020*(1+phi*E1010)</f>
        <v>19.7097079663903</v>
      </c>
      <c r="F1020" s="21" t="n">
        <f aca="false">E1020*(1+phi*F1010)</f>
        <v>21.3230602676688</v>
      </c>
      <c r="G1020" s="21" t="n">
        <f aca="false">F1020*(1+phi*G1010)</f>
        <v>22.732699124843</v>
      </c>
    </row>
    <row r="1021" customFormat="false" ht="15" hidden="false" customHeight="false" outlineLevel="0" collapsed="false">
      <c r="A1021" s="3" t="s">
        <v>527</v>
      </c>
      <c r="B1021" s="0" t="s">
        <v>303</v>
      </c>
      <c r="C1021" s="21" t="n">
        <f aca="false">C1018-C1020</f>
        <v>6.674</v>
      </c>
      <c r="D1021" s="21" t="n">
        <f aca="false">D1018-D1020</f>
        <v>30.6790125</v>
      </c>
      <c r="E1021" s="21" t="n">
        <f aca="false">E1018-E1020</f>
        <v>53.02146031172</v>
      </c>
      <c r="F1021" s="21" t="n">
        <f aca="false">F1018-F1020</f>
        <v>59.2640178491778</v>
      </c>
      <c r="G1021" s="21" t="n">
        <f aca="false">G1018-G1020</f>
        <v>64.1443178541143</v>
      </c>
    </row>
    <row r="1022" customFormat="false" ht="15" hidden="false" customHeight="false" outlineLevel="0" collapsed="false">
      <c r="A1022" s="3" t="s">
        <v>605</v>
      </c>
      <c r="B1022" s="0" t="s">
        <v>45</v>
      </c>
      <c r="C1022" s="13" t="n">
        <f aca="false">C1021/C1008</f>
        <v>0.0508530108731265</v>
      </c>
      <c r="D1022" s="13" t="n">
        <f aca="false">D1021/D1008</f>
        <v>0.162953507888999</v>
      </c>
      <c r="E1022" s="13" t="n">
        <f aca="false">E1021/E1008</f>
        <v>0.215672338827207</v>
      </c>
      <c r="F1022" s="13" t="n">
        <f aca="false">F1021/F1008</f>
        <v>0.212125372538426</v>
      </c>
      <c r="G1022" s="13" t="n">
        <f aca="false">G1021/G1008</f>
        <v>0.206807312350726</v>
      </c>
    </row>
    <row r="1023" customFormat="false" ht="17.15" hidden="false" customHeight="false" outlineLevel="0" collapsed="false">
      <c r="A1023" s="3" t="s">
        <v>670</v>
      </c>
      <c r="B1023" s="0" t="s">
        <v>303</v>
      </c>
      <c r="C1023" s="21" t="n">
        <f aca="false">a25_nonop</f>
        <v>-0.00100000000000033</v>
      </c>
      <c r="D1023" s="21" t="n">
        <f aca="false">a26_nonop</f>
        <v>14.466</v>
      </c>
      <c r="E1023" s="21" t="n">
        <f aca="false">nonop27</f>
        <v>2</v>
      </c>
      <c r="F1023" s="21" t="n">
        <f aca="false">nonop28</f>
        <v>2</v>
      </c>
      <c r="G1023" s="21" t="n">
        <f aca="false">nonop29</f>
        <v>2</v>
      </c>
      <c r="K1023" s="7" t="s">
        <v>671</v>
      </c>
    </row>
    <row r="1024" customFormat="false" ht="15" hidden="false" customHeight="false" outlineLevel="0" collapsed="false">
      <c r="A1024" s="3" t="s">
        <v>533</v>
      </c>
      <c r="B1024" s="0" t="s">
        <v>303</v>
      </c>
      <c r="C1024" s="21" t="n">
        <f aca="false">C1021+C1023</f>
        <v>6.673</v>
      </c>
      <c r="D1024" s="21" t="n">
        <f aca="false">D1021+D1023</f>
        <v>45.1450125</v>
      </c>
      <c r="E1024" s="21" t="n">
        <f aca="false">E1021+E1023</f>
        <v>55.02146031172</v>
      </c>
      <c r="F1024" s="21" t="n">
        <f aca="false">F1021+F1023</f>
        <v>61.2640178491778</v>
      </c>
      <c r="G1024" s="21" t="n">
        <f aca="false">G1021+G1023</f>
        <v>66.1443178541143</v>
      </c>
    </row>
    <row r="1025" customFormat="false" ht="15" hidden="false" customHeight="false" outlineLevel="0" collapsed="false">
      <c r="A1025" s="3" t="s">
        <v>537</v>
      </c>
      <c r="B1025" s="0" t="s">
        <v>303</v>
      </c>
      <c r="E1025" s="21" t="n">
        <f aca="false">E1024*tax</f>
        <v>9.9038628561096</v>
      </c>
      <c r="F1025" s="21" t="n">
        <f aca="false">F1024*tax</f>
        <v>11.027523212852</v>
      </c>
      <c r="G1025" s="21" t="n">
        <f aca="false">G1024*tax</f>
        <v>11.9059772137406</v>
      </c>
    </row>
    <row r="1026" customFormat="false" ht="15" hidden="false" customHeight="false" outlineLevel="0" collapsed="false">
      <c r="A1026" s="3" t="s">
        <v>535</v>
      </c>
      <c r="B1026" s="0" t="s">
        <v>303</v>
      </c>
      <c r="C1026" s="21" t="n">
        <f aca="false">a25_ni</f>
        <v>6.673</v>
      </c>
      <c r="D1026" s="21" t="n">
        <f aca="false">a26_ni</f>
        <v>37.23923025</v>
      </c>
      <c r="E1026" s="21" t="n">
        <f aca="false">E1024-E1025</f>
        <v>45.1175974556104</v>
      </c>
      <c r="F1026" s="21" t="n">
        <f aca="false">F1024-F1025</f>
        <v>50.2364946363258</v>
      </c>
      <c r="G1026" s="21" t="n">
        <f aca="false">G1024-G1025</f>
        <v>54.2383406403737</v>
      </c>
      <c r="H1026" s="30" t="n">
        <f aca="false">H1008*H1030</f>
        <v>59.1415154942669</v>
      </c>
      <c r="I1026" s="30" t="n">
        <f aca="false">I1008*I1030</f>
        <v>63.5009425761196</v>
      </c>
      <c r="J1026" s="30" t="n">
        <f aca="false">J1008*J1030</f>
        <v>67.1219737624562</v>
      </c>
    </row>
    <row r="1027" customFormat="false" ht="15" hidden="false" customHeight="false" outlineLevel="0" collapsed="false">
      <c r="A1027" s="3" t="s">
        <v>672</v>
      </c>
      <c r="B1027" s="3" t="s">
        <v>381</v>
      </c>
      <c r="C1027" s="29" t="n">
        <f aca="false">a25_sh</f>
        <v>1.52351598173516</v>
      </c>
      <c r="D1027" s="29" t="n">
        <f aca="false">a26_sh</f>
        <v>1.59236316568047</v>
      </c>
      <c r="E1027" s="29" t="n">
        <f aca="false">a26_shend*(1+sh_g)</f>
        <v>1.64</v>
      </c>
      <c r="F1027" s="29" t="n">
        <f aca="false">E1027*(1+sh_g)</f>
        <v>1.64</v>
      </c>
      <c r="G1027" s="29" t="n">
        <f aca="false">F1027*(1+sh_g)</f>
        <v>1.64</v>
      </c>
      <c r="H1027" s="31" t="n">
        <f aca="false">G1027*(1+sh_g)</f>
        <v>1.64</v>
      </c>
      <c r="I1027" s="31" t="n">
        <f aca="false">H1027*(1+sh_g)</f>
        <v>1.64</v>
      </c>
      <c r="J1027" s="31" t="n">
        <f aca="false">I1027*(1+sh_g)</f>
        <v>1.64</v>
      </c>
    </row>
    <row r="1028" customFormat="false" ht="17.15" hidden="false" customHeight="false" outlineLevel="0" collapsed="false">
      <c r="A1028" s="0" t="s">
        <v>540</v>
      </c>
      <c r="B1028" s="0" t="s">
        <v>387</v>
      </c>
      <c r="C1028" s="18" t="n">
        <f aca="false">C1026/C1027</f>
        <v>4.38</v>
      </c>
      <c r="D1028" s="18" t="n">
        <f aca="false">D1026/D1027</f>
        <v>23.3861414610695</v>
      </c>
      <c r="E1028" s="18" t="n">
        <f aca="false">E1026/E1027</f>
        <v>27.51073015586</v>
      </c>
      <c r="F1028" s="18" t="n">
        <f aca="false">F1026/F1027</f>
        <v>30.6320089245889</v>
      </c>
      <c r="G1028" s="18" t="n">
        <f aca="false">G1026/G1027</f>
        <v>33.0721589270571</v>
      </c>
      <c r="H1028" s="28" t="n">
        <f aca="false">H1026/H1027</f>
        <v>36.0618996916262</v>
      </c>
      <c r="I1028" s="28" t="n">
        <f aca="false">I1026/I1027</f>
        <v>38.7200869366583</v>
      </c>
      <c r="J1028" s="28" t="n">
        <f aca="false">J1026/J1027</f>
        <v>40.9280327819855</v>
      </c>
    </row>
    <row r="1029" customFormat="false" ht="17.15" hidden="false" customHeight="false" outlineLevel="0" collapsed="false">
      <c r="A1029" s="0" t="s">
        <v>673</v>
      </c>
      <c r="B1029" s="0" t="s">
        <v>45</v>
      </c>
      <c r="D1029" s="20" t="n">
        <f aca="false">D1028/C1028-1</f>
        <v>4.33930170344053</v>
      </c>
      <c r="E1029" s="20" t="n">
        <f aca="false">E1028/D1028-1</f>
        <v>0.176368927796688</v>
      </c>
      <c r="F1029" s="20" t="n">
        <f aca="false">F1028/E1028-1</f>
        <v>0.113456776721139</v>
      </c>
      <c r="G1029" s="20" t="n">
        <f aca="false">G1028/F1028-1</f>
        <v>0.079660136182236</v>
      </c>
      <c r="H1029" s="26" t="n">
        <f aca="false">H1028/G1028-1</f>
        <v>0.0904005320959875</v>
      </c>
      <c r="I1029" s="26" t="n">
        <f aca="false">I1028/H1028-1</f>
        <v>0.0737117918845902</v>
      </c>
      <c r="J1029" s="26" t="n">
        <f aca="false">J1028/I1028-1</f>
        <v>0.0570232667333406</v>
      </c>
    </row>
    <row r="1030" customFormat="false" ht="17.15" hidden="false" customHeight="false" outlineLevel="0" collapsed="false">
      <c r="A1030" s="3" t="s">
        <v>674</v>
      </c>
      <c r="B1030" s="0" t="s">
        <v>45</v>
      </c>
      <c r="C1030" s="13" t="n">
        <f aca="false">C1026/C1008</f>
        <v>0.0508453913030227</v>
      </c>
      <c r="D1030" s="13" t="n">
        <f aca="false">D1026/D1008</f>
        <v>0.197798517808343</v>
      </c>
      <c r="E1030" s="13" t="n">
        <f aca="false">E1026/E1008</f>
        <v>0.183522251335749</v>
      </c>
      <c r="F1030" s="13" t="n">
        <f aca="false">F1026/F1008</f>
        <v>0.179812903790543</v>
      </c>
      <c r="G1030" s="13" t="n">
        <f aca="false">G1026/G1008</f>
        <v>0.174869510339323</v>
      </c>
      <c r="H1030" s="27" t="n">
        <f aca="false">$G1030+(fade_mA-$G1030)*1/3</f>
        <v>0.174381177682134</v>
      </c>
      <c r="I1030" s="27" t="n">
        <f aca="false">$G1030+(fade_mA-$G1030)*2/3</f>
        <v>0.173892845024946</v>
      </c>
      <c r="J1030" s="27" t="n">
        <f aca="false">$G1030+(fade_mA-$G1030)*3/3</f>
        <v>0.173404512367757</v>
      </c>
    </row>
    <row r="1031" customFormat="false" ht="17.15" hidden="false" customHeight="false" outlineLevel="0" collapsed="false">
      <c r="A1031" s="3" t="s">
        <v>675</v>
      </c>
      <c r="B1031" s="0" t="s">
        <v>45</v>
      </c>
      <c r="C1031" s="20" t="n">
        <f aca="false">C1014/C1008</f>
        <v>0.195190527350447</v>
      </c>
      <c r="D1031" s="20" t="n">
        <f aca="false">D1014/D1008</f>
        <v>0.285230933480641</v>
      </c>
      <c r="E1031" s="20" t="n">
        <f aca="false">E1014/E1008</f>
        <v>0.223720330706817</v>
      </c>
      <c r="F1031" s="20" t="n">
        <f aca="false">F1014/F1008</f>
        <v>0.178966411860792</v>
      </c>
      <c r="G1031" s="20" t="n">
        <f aca="false">G1014/G1008</f>
        <v>0.14508423141935</v>
      </c>
      <c r="H1031" s="26" t="n">
        <f aca="false">$G1031+($G1016*(1+tp_g)^(life/2)-$G1031)*1/3</f>
        <v>0.136123935699189</v>
      </c>
      <c r="I1031" s="26" t="n">
        <f aca="false">$G1031+($G1016*(1+tp_g)^(life/2)-$G1031)*2/3</f>
        <v>0.127163639979029</v>
      </c>
      <c r="J1031" s="26" t="n">
        <f aca="false">$G1031+($G1016*(1+tp_g)^(life/2)-$G1031)*3/3</f>
        <v>0.118203344258868</v>
      </c>
      <c r="K1031" s="7" t="s">
        <v>676</v>
      </c>
    </row>
    <row r="1032" customFormat="false" ht="15" hidden="false" customHeight="false" outlineLevel="0" collapsed="false">
      <c r="A1032" s="3" t="s">
        <v>677</v>
      </c>
      <c r="B1032" s="0" t="s">
        <v>303</v>
      </c>
      <c r="E1032" s="21" t="n">
        <f aca="false">E1026+E1015-E1014</f>
        <v>15.0300974556104</v>
      </c>
      <c r="F1032" s="21" t="n">
        <f aca="false">F1026+F1015-F1014</f>
        <v>28.9099321363258</v>
      </c>
      <c r="G1032" s="21" t="n">
        <f aca="false">G1026+G1015-G1014</f>
        <v>40.5775984528737</v>
      </c>
      <c r="H1032" s="30" t="n">
        <f aca="false">H1026+H1015-H1014</f>
        <v>47.2430128956791</v>
      </c>
      <c r="I1032" s="30" t="n">
        <f aca="false">I1026+I1015-I1014</f>
        <v>53.9615597563596</v>
      </c>
      <c r="J1032" s="30" t="n">
        <f aca="false">J1026+J1015-J1014</f>
        <v>60.4786079252213</v>
      </c>
      <c r="K1032" s="3" t="s">
        <v>678</v>
      </c>
    </row>
    <row r="1033" customFormat="false" ht="15" hidden="false" customHeight="false" outlineLevel="0" collapsed="false">
      <c r="A1033" s="3" t="s">
        <v>679</v>
      </c>
      <c r="B1033" s="0" t="s">
        <v>387</v>
      </c>
      <c r="E1033" s="18" t="n">
        <f aca="false">E1032/E1027</f>
        <v>9.16469357049415</v>
      </c>
      <c r="F1033" s="18" t="n">
        <f aca="false">F1032/F1027</f>
        <v>17.6280074001987</v>
      </c>
      <c r="G1033" s="18" t="n">
        <f aca="false">G1032/G1027</f>
        <v>24.7424380810205</v>
      </c>
      <c r="H1033" s="28" t="n">
        <f aca="false">H1032/H1027</f>
        <v>28.8067151802921</v>
      </c>
      <c r="I1033" s="28" t="n">
        <f aca="false">I1032/I1027</f>
        <v>32.9033900953412</v>
      </c>
      <c r="J1033" s="28" t="n">
        <f aca="false">J1032/J1027</f>
        <v>36.8771999544032</v>
      </c>
    </row>
    <row r="1036" customFormat="false" ht="17.15" hidden="false" customHeight="false" outlineLevel="0" collapsed="false">
      <c r="A1036" s="1" t="s">
        <v>1036</v>
      </c>
    </row>
    <row r="1037" customFormat="false" ht="17.15" hidden="false" customHeight="false" outlineLevel="0" collapsed="false">
      <c r="A1037" s="4" t="s">
        <v>22</v>
      </c>
      <c r="B1037" s="4" t="s">
        <v>23</v>
      </c>
      <c r="C1037" s="14" t="s">
        <v>508</v>
      </c>
      <c r="D1037" s="14" t="s">
        <v>592</v>
      </c>
      <c r="E1037" s="14" t="s">
        <v>593</v>
      </c>
      <c r="F1037" s="14" t="s">
        <v>594</v>
      </c>
      <c r="G1037" s="14" t="s">
        <v>595</v>
      </c>
      <c r="H1037" s="14" t="s">
        <v>596</v>
      </c>
      <c r="I1037" s="14" t="s">
        <v>597</v>
      </c>
      <c r="J1037" s="14" t="s">
        <v>598</v>
      </c>
      <c r="K1037" s="4" t="s">
        <v>481</v>
      </c>
    </row>
    <row r="1038" customFormat="false" ht="17.15" hidden="false" customHeight="false" outlineLevel="0" collapsed="false">
      <c r="A1038" s="5" t="s">
        <v>616</v>
      </c>
    </row>
    <row r="1039" customFormat="false" ht="17.15" hidden="false" customHeight="false" outlineLevel="0" collapsed="false">
      <c r="A1039" s="0" t="s">
        <v>617</v>
      </c>
      <c r="B1039" s="3" t="s">
        <v>33</v>
      </c>
      <c r="D1039" s="21" t="n">
        <f aca="false">(u_bw_26+u_rb_26+u_ru_26+u_hp_26)*1</f>
        <v>7.6</v>
      </c>
      <c r="E1039" s="21" t="n">
        <f aca="false">(u_bw_27+u_rb_27+u_ru_27+u_hp_27)*1*1</f>
        <v>9.7</v>
      </c>
      <c r="F1039" s="21" t="n">
        <f aca="false">(u_bw_28+u_rb_28+u_ru_28+u_hp_28)*um28_A*1</f>
        <v>9.5</v>
      </c>
      <c r="G1039" s="21" t="n">
        <f aca="false">(u_bw_28*(1+g29_bw)+u_rb_28*(1+g29_rb)+u_ru_28*(1+g29_ru)+u_hp_28*(1+g29_hp))*um29_A*1</f>
        <v>10.6</v>
      </c>
      <c r="K1039" s="7" t="s">
        <v>618</v>
      </c>
    </row>
    <row r="1040" customFormat="false" ht="17.15" hidden="false" customHeight="false" outlineLevel="0" collapsed="false">
      <c r="A1040" s="3" t="s">
        <v>619</v>
      </c>
      <c r="B1040" s="3" t="s">
        <v>33</v>
      </c>
      <c r="D1040" s="21" t="n">
        <f aca="false">(u_amd_26+u_tpu_26+u_trn_26+u_oth_26)*1</f>
        <v>7.6</v>
      </c>
      <c r="E1040" s="21" t="n">
        <f aca="false">(u_amd_27+u_tpu_27+u_trn_27+u_oth_27)*1*1</f>
        <v>14</v>
      </c>
      <c r="F1040" s="21" t="n">
        <f aca="false">(u_amd_28+u_tpu_28+u_trn_28+u_oth_28)*um28_A*1</f>
        <v>17</v>
      </c>
      <c r="G1040" s="21" t="n">
        <f aca="false">(u_amd_28*(1+g29_amd)+u_tpu_28*(1+g29_tpu)+u_trn_28*(1+g29_trn)+u_oth_28*(1+g29_oth))*um29_A*1</f>
        <v>19.55</v>
      </c>
      <c r="K1040" s="7" t="s">
        <v>620</v>
      </c>
    </row>
    <row r="1041" customFormat="false" ht="17.15" hidden="false" customHeight="false" outlineLevel="0" collapsed="false">
      <c r="A1041" s="3" t="s">
        <v>621</v>
      </c>
      <c r="B1041" s="0" t="s">
        <v>145</v>
      </c>
      <c r="D1041" s="19" t="n">
        <f aca="false">1</f>
        <v>1</v>
      </c>
      <c r="E1041" s="19" t="n">
        <f aca="false">D1041*(1+g_asp)</f>
        <v>1.18</v>
      </c>
      <c r="F1041" s="19" t="n">
        <f aca="false">E1041*(1+g_asp)</f>
        <v>1.3924</v>
      </c>
      <c r="G1041" s="19" t="n">
        <f aca="false">F1041*(1+g_asp)</f>
        <v>1.643032</v>
      </c>
      <c r="K1041" s="7" t="s">
        <v>622</v>
      </c>
    </row>
    <row r="1042" customFormat="false" ht="17.15" hidden="false" customHeight="false" outlineLevel="0" collapsed="false">
      <c r="A1042" s="0" t="s">
        <v>623</v>
      </c>
      <c r="B1042" s="0" t="s">
        <v>145</v>
      </c>
      <c r="D1042" s="18" t="n">
        <f aca="false">1</f>
        <v>1</v>
      </c>
      <c r="E1042" s="18" t="n">
        <f aca="false">ibpp_27</f>
        <v>1</v>
      </c>
      <c r="F1042" s="18" t="n">
        <f aca="false">ibpp_28</f>
        <v>0.95</v>
      </c>
      <c r="G1042" s="18" t="n">
        <f aca="false">ibpp_29</f>
        <v>0.9</v>
      </c>
      <c r="K1042" s="7" t="s">
        <v>624</v>
      </c>
    </row>
    <row r="1043" customFormat="false" ht="17.15" hidden="false" customHeight="false" outlineLevel="0" collapsed="false">
      <c r="A1043" s="3" t="s">
        <v>625</v>
      </c>
      <c r="B1043" s="0" t="s">
        <v>145</v>
      </c>
      <c r="D1043" s="18" t="n">
        <f aca="false">1</f>
        <v>1</v>
      </c>
      <c r="E1043" s="18" t="n">
        <f aca="false">1+carry</f>
        <v>1.05</v>
      </c>
      <c r="F1043" s="18" t="n">
        <f aca="false">1+carry</f>
        <v>1.05</v>
      </c>
      <c r="G1043" s="18" t="n">
        <f aca="false">1+carry</f>
        <v>1.05</v>
      </c>
      <c r="K1043" s="7" t="s">
        <v>626</v>
      </c>
    </row>
    <row r="1044" customFormat="false" ht="17.15" hidden="false" customHeight="false" outlineLevel="0" collapsed="false">
      <c r="A1044" s="3" t="s">
        <v>627</v>
      </c>
      <c r="B1044" s="0" t="s">
        <v>628</v>
      </c>
      <c r="D1044" s="23" t="n">
        <f aca="false">v26*D1041*D1042</f>
        <v>215.308596</v>
      </c>
      <c r="E1044" s="23" t="n">
        <f aca="false">v26*E1041*E1042</f>
        <v>254.06414328</v>
      </c>
      <c r="F1044" s="23" t="n">
        <f aca="false">v26*F1041*F1042</f>
        <v>284.80590461688</v>
      </c>
      <c r="G1044" s="23" t="n">
        <f aca="false">v26*G1041*G1042</f>
        <v>318.383021792765</v>
      </c>
      <c r="K1044" s="7" t="s">
        <v>629</v>
      </c>
    </row>
    <row r="1045" customFormat="false" ht="17.15" hidden="false" customHeight="false" outlineLevel="0" collapsed="false">
      <c r="A1045" s="3" t="s">
        <v>630</v>
      </c>
      <c r="B1045" s="0" t="s">
        <v>45</v>
      </c>
      <c r="D1045" s="20" t="n">
        <f aca="false">sh_nv_26</f>
        <v>0.25</v>
      </c>
      <c r="E1045" s="20" t="n">
        <f aca="false">sh_nv_27</f>
        <v>0.27</v>
      </c>
      <c r="F1045" s="20" t="n">
        <f aca="false">sh_nv_28</f>
        <v>0.29</v>
      </c>
      <c r="G1045" s="20" t="n">
        <f aca="false">sh_nv_29</f>
        <v>0.3</v>
      </c>
    </row>
    <row r="1046" customFormat="false" ht="17.15" hidden="false" customHeight="false" outlineLevel="0" collapsed="false">
      <c r="A1046" s="3" t="s">
        <v>631</v>
      </c>
      <c r="B1046" s="0" t="s">
        <v>45</v>
      </c>
      <c r="D1046" s="20" t="n">
        <f aca="false">sh_ot_26_lo</f>
        <v>0.22</v>
      </c>
      <c r="E1046" s="20" t="n">
        <f aca="false">sh_ot_27_lo</f>
        <v>0.22</v>
      </c>
      <c r="F1046" s="20" t="n">
        <f aca="false">sh_ot_28_lo</f>
        <v>0.22</v>
      </c>
      <c r="G1046" s="20" t="n">
        <f aca="false">sh_ot_29_lo</f>
        <v>0.22</v>
      </c>
    </row>
    <row r="1047" customFormat="false" ht="17.15" hidden="false" customHeight="false" outlineLevel="0" collapsed="false">
      <c r="A1047" s="3" t="s">
        <v>632</v>
      </c>
      <c r="B1047" s="0" t="s">
        <v>582</v>
      </c>
      <c r="D1047" s="22" t="n">
        <f aca="false">(D1039*D1044*D1045+D1040*D1044*v_ot*D1046)*D1043</f>
        <v>697.0831104096</v>
      </c>
      <c r="E1047" s="22" t="n">
        <f aca="false">(E1039*E1044*E1045+E1040*E1044*v_ot*E1046)*E1043</f>
        <v>1355.97844230685</v>
      </c>
      <c r="F1047" s="22" t="n">
        <f aca="false">(F1039*F1044*F1045+F1040*F1044*v_ot*F1046)*F1043</f>
        <v>1718.61851052487</v>
      </c>
      <c r="G1047" s="22" t="n">
        <f aca="false">(G1039*G1044*G1045+G1040*G1044*v_ot*G1046)*G1043</f>
        <v>2213.34782621981</v>
      </c>
    </row>
    <row r="1048" customFormat="false" ht="15" hidden="false" customHeight="false" outlineLevel="0" collapsed="false">
      <c r="A1048" s="3" t="s">
        <v>633</v>
      </c>
      <c r="B1048" s="0" t="s">
        <v>303</v>
      </c>
      <c r="D1048" s="21" t="n">
        <f aca="false">D1047*fx/1000</f>
        <v>22.3066595331072</v>
      </c>
      <c r="E1048" s="21" t="n">
        <f aca="false">E1047*fx/1000</f>
        <v>43.3913101538193</v>
      </c>
      <c r="F1048" s="21" t="n">
        <f aca="false">F1047*fx/1000</f>
        <v>54.9957923367958</v>
      </c>
      <c r="G1048" s="21" t="n">
        <f aca="false">G1047*fx/1000</f>
        <v>70.827130439034</v>
      </c>
    </row>
    <row r="1049" customFormat="false" ht="17.15" hidden="false" customHeight="false" outlineLevel="0" collapsed="false">
      <c r="A1049" s="5" t="s">
        <v>634</v>
      </c>
    </row>
    <row r="1050" customFormat="false" ht="17.15" hidden="false" customHeight="false" outlineLevel="0" collapsed="false">
      <c r="A1050" s="0" t="s">
        <v>635</v>
      </c>
      <c r="B1050" s="0" t="s">
        <v>303</v>
      </c>
      <c r="D1050" s="21" t="n">
        <f aca="false">a26_abf*ai_abf</f>
        <v>74.83672875</v>
      </c>
      <c r="K1050" s="3" t="s">
        <v>636</v>
      </c>
    </row>
    <row r="1051" customFormat="false" ht="17.15" hidden="false" customHeight="false" outlineLevel="0" collapsed="false">
      <c r="A1051" s="3" t="s">
        <v>637</v>
      </c>
      <c r="B1051" s="0" t="s">
        <v>303</v>
      </c>
      <c r="D1051" s="21" t="n">
        <f aca="false">D1050-D1048</f>
        <v>52.5300692168928</v>
      </c>
      <c r="E1051" s="21" t="n">
        <f aca="false">$D1051*(itc_27/itc_26)^el_o*1*1*E1042*E1043</f>
        <v>78.0431726069376</v>
      </c>
      <c r="F1051" s="21" t="n">
        <f aca="false">$D1051*(itc_28/itc_26)^el_o*um28_A*1*F1042*F1043</f>
        <v>83.4742463907833</v>
      </c>
      <c r="G1051" s="21" t="n">
        <f aca="false">$D1051*(itc_29/itc_26)^el_o*um29_A*1*G1042*G1043</f>
        <v>84.4040744675962</v>
      </c>
      <c r="K1051" s="7" t="s">
        <v>638</v>
      </c>
    </row>
    <row r="1052" customFormat="false" ht="17.15" hidden="false" customHeight="false" outlineLevel="0" collapsed="false">
      <c r="A1052" s="3" t="s">
        <v>639</v>
      </c>
      <c r="B1052" s="0" t="s">
        <v>303</v>
      </c>
      <c r="D1052" s="21" t="n">
        <f aca="false">a26_abf-D1050</f>
        <v>24.94557625</v>
      </c>
      <c r="E1052" s="21" t="n">
        <f aca="false">D1052*(1+g_nai)</f>
        <v>25.6939435375</v>
      </c>
      <c r="F1052" s="21" t="n">
        <f aca="false">E1052*(1+g_nai)</f>
        <v>26.464761843625</v>
      </c>
      <c r="G1052" s="21" t="n">
        <f aca="false">F1052*(1+g_nai)</f>
        <v>27.2587046989338</v>
      </c>
    </row>
    <row r="1053" customFormat="false" ht="17.15" hidden="false" customHeight="false" outlineLevel="0" collapsed="false">
      <c r="A1053" s="0" t="s">
        <v>640</v>
      </c>
      <c r="B1053" s="0" t="s">
        <v>303</v>
      </c>
      <c r="D1053" s="21" t="n">
        <f aca="false">D1048+D1051+D1052</f>
        <v>99.782305</v>
      </c>
      <c r="E1053" s="21" t="n">
        <f aca="false">E1048+E1051+E1052</f>
        <v>147.128426298257</v>
      </c>
      <c r="F1053" s="21" t="n">
        <f aca="false">F1048+F1051+F1052</f>
        <v>164.934800571204</v>
      </c>
      <c r="G1053" s="21" t="n">
        <f aca="false">G1048+G1051+G1052</f>
        <v>182.489909605564</v>
      </c>
    </row>
    <row r="1054" customFormat="false" ht="17.15" hidden="false" customHeight="false" outlineLevel="0" collapsed="false">
      <c r="A1054" s="0" t="s">
        <v>641</v>
      </c>
      <c r="B1054" s="0" t="s">
        <v>303</v>
      </c>
      <c r="D1054" s="21" t="n">
        <f aca="false">a26_abf</f>
        <v>99.782305</v>
      </c>
      <c r="E1054" s="21" t="n">
        <f aca="false">$D1053*cap_27*(1+g_mix)^1*E1042*E1043</f>
        <v>148.513488204375</v>
      </c>
      <c r="F1054" s="21" t="n">
        <f aca="false">$D1053*cap_28*(1+g_mix)^2*F1042*F1043</f>
        <v>186.549442683384</v>
      </c>
      <c r="G1054" s="21" t="n">
        <f aca="false">$D1053*cap_29*(1+g_mix)^3*G1042*G1043</f>
        <v>218.314827660431</v>
      </c>
      <c r="K1054" s="7" t="s">
        <v>642</v>
      </c>
    </row>
    <row r="1055" customFormat="false" ht="17.15" hidden="false" customHeight="false" outlineLevel="0" collapsed="false">
      <c r="A1055" s="0" t="s">
        <v>643</v>
      </c>
      <c r="B1055" s="0" t="s">
        <v>303</v>
      </c>
      <c r="D1055" s="21" t="n">
        <f aca="false">a26_abf</f>
        <v>99.782305</v>
      </c>
      <c r="E1055" s="21" t="n">
        <f aca="false">MIN(E1053,E1054)</f>
        <v>147.128426298257</v>
      </c>
      <c r="F1055" s="21" t="n">
        <f aca="false">MIN(F1053,F1054)</f>
        <v>164.934800571204</v>
      </c>
      <c r="G1055" s="21" t="n">
        <f aca="false">MIN(G1053,G1054)</f>
        <v>182.489909605564</v>
      </c>
    </row>
    <row r="1056" customFormat="false" ht="17.15" hidden="false" customHeight="false" outlineLevel="0" collapsed="false">
      <c r="A1056" s="3" t="s">
        <v>644</v>
      </c>
      <c r="B1056" s="0" t="s">
        <v>45</v>
      </c>
      <c r="D1056" s="20" t="n">
        <f aca="false">D1055/D1053</f>
        <v>1</v>
      </c>
      <c r="E1056" s="20" t="n">
        <f aca="false">E1055/E1053</f>
        <v>1</v>
      </c>
      <c r="F1056" s="20" t="n">
        <f aca="false">F1055/F1053</f>
        <v>1</v>
      </c>
      <c r="G1056" s="20" t="n">
        <f aca="false">G1055/G1053</f>
        <v>1</v>
      </c>
    </row>
    <row r="1057" customFormat="false" ht="17.15" hidden="false" customHeight="false" outlineLevel="0" collapsed="false">
      <c r="A1057" s="0" t="s">
        <v>645</v>
      </c>
      <c r="B1057" s="0" t="s">
        <v>303</v>
      </c>
      <c r="D1057" s="21" t="n">
        <f aca="false">(D1048+D1051)*D1056</f>
        <v>74.83672875</v>
      </c>
      <c r="E1057" s="21" t="n">
        <f aca="false">(E1048+E1051)*E1056</f>
        <v>121.434482760757</v>
      </c>
      <c r="F1057" s="21" t="n">
        <f aca="false">(F1048+F1051)*F1056</f>
        <v>138.470038727579</v>
      </c>
      <c r="G1057" s="21" t="n">
        <f aca="false">(G1048+G1051)*G1056</f>
        <v>155.23120490663</v>
      </c>
    </row>
    <row r="1058" customFormat="false" ht="17.15" hidden="false" customHeight="false" outlineLevel="0" collapsed="false">
      <c r="A1058" s="3" t="s">
        <v>646</v>
      </c>
      <c r="B1058" s="0" t="s">
        <v>45</v>
      </c>
      <c r="D1058" s="20" t="n">
        <f aca="false">D1048/(D1048+D1051)</f>
        <v>0.29807101279941</v>
      </c>
      <c r="E1058" s="20" t="n">
        <f aca="false">E1048/(E1048+E1051)</f>
        <v>0.357322806235411</v>
      </c>
      <c r="F1058" s="20" t="n">
        <f aca="false">F1048/(F1048+F1051)</f>
        <v>0.397167451111879</v>
      </c>
      <c r="G1058" s="20" t="n">
        <f aca="false">G1048/(G1048+G1051)</f>
        <v>0.456268638007646</v>
      </c>
    </row>
    <row r="1059" customFormat="false" ht="17.15" hidden="false" customHeight="false" outlineLevel="0" collapsed="false">
      <c r="A1059" s="5" t="s">
        <v>647</v>
      </c>
    </row>
    <row r="1060" customFormat="false" ht="17.15" hidden="false" customHeight="false" outlineLevel="0" collapsed="false">
      <c r="A1060" s="0" t="s">
        <v>550</v>
      </c>
      <c r="B1060" s="0" t="s">
        <v>303</v>
      </c>
      <c r="D1060" s="21" t="n">
        <f aca="false">a26_bt</f>
        <v>16.944165</v>
      </c>
      <c r="E1060" s="21" t="n">
        <f aca="false">D1060*(1+g_bt)</f>
        <v>17.79137325</v>
      </c>
      <c r="F1060" s="21" t="n">
        <f aca="false">E1060*(1+g_bt)</f>
        <v>18.6809419125</v>
      </c>
      <c r="G1060" s="21" t="n">
        <f aca="false">F1060*(1+g_bt)</f>
        <v>19.614989008125</v>
      </c>
    </row>
    <row r="1061" customFormat="false" ht="17.15" hidden="false" customHeight="false" outlineLevel="0" collapsed="false">
      <c r="A1061" s="0" t="s">
        <v>648</v>
      </c>
      <c r="B1061" s="0" t="s">
        <v>303</v>
      </c>
      <c r="D1061" s="21" t="n">
        <f aca="false">a26_pcb*ai_pcb</f>
        <v>37.93610275</v>
      </c>
      <c r="E1061" s="21" t="n">
        <f aca="false">D1061*(1+g_pai_27)</f>
        <v>45.5233233</v>
      </c>
      <c r="F1061" s="21" t="n">
        <f aca="false">D1061*(1+g_pai_27)*(1+g_pai_28)*um28_A</f>
        <v>52.351821795</v>
      </c>
      <c r="G1061" s="21" t="n">
        <f aca="false">D1061*(1+g_pai_27)*(1+g_pai_28)*(1+g_pai_29)*um29_A</f>
        <v>57.5870039745</v>
      </c>
      <c r="K1061" s="3" t="s">
        <v>649</v>
      </c>
    </row>
    <row r="1062" customFormat="false" ht="17.15" hidden="false" customHeight="false" outlineLevel="0" collapsed="false">
      <c r="A1062" s="3" t="s">
        <v>650</v>
      </c>
      <c r="B1062" s="0" t="s">
        <v>303</v>
      </c>
      <c r="D1062" s="21" t="n">
        <f aca="false">a26_pcb*(1-ai_pcb)</f>
        <v>20.42713225</v>
      </c>
      <c r="E1062" s="21" t="n">
        <f aca="false">D1062*(1+g_pcbn)</f>
        <v>20.835674895</v>
      </c>
      <c r="F1062" s="21" t="n">
        <f aca="false">E1062*(1+g_pcbn)</f>
        <v>21.2523883929</v>
      </c>
      <c r="G1062" s="21" t="n">
        <f aca="false">F1062*(1+g_pcbn)</f>
        <v>21.677436160758</v>
      </c>
    </row>
    <row r="1063" customFormat="false" ht="15" hidden="false" customHeight="false" outlineLevel="0" collapsed="false">
      <c r="A1063" s="3" t="s">
        <v>552</v>
      </c>
      <c r="B1063" s="0" t="s">
        <v>303</v>
      </c>
      <c r="D1063" s="21" t="n">
        <f aca="false">a26_fpc</f>
        <v>13.178795</v>
      </c>
      <c r="E1063" s="21" t="n">
        <f aca="false">D1063*(1+g_fpc)</f>
        <v>13.178795</v>
      </c>
      <c r="F1063" s="21" t="n">
        <f aca="false">E1063*(1+g_fpc)</f>
        <v>13.178795</v>
      </c>
      <c r="G1063" s="21" t="n">
        <f aca="false">F1063*(1+g_fpc)</f>
        <v>13.178795</v>
      </c>
    </row>
    <row r="1064" customFormat="false" ht="17.15" hidden="false" customHeight="false" outlineLevel="0" collapsed="false">
      <c r="A1064" s="3" t="s">
        <v>651</v>
      </c>
      <c r="B1064" s="0" t="s">
        <v>303</v>
      </c>
      <c r="D1064" s="21" t="n">
        <f aca="false">D1055+D1060</f>
        <v>116.72647</v>
      </c>
      <c r="E1064" s="21" t="n">
        <f aca="false">E1055+E1060</f>
        <v>164.919799548257</v>
      </c>
      <c r="F1064" s="21" t="n">
        <f aca="false">F1055+F1060</f>
        <v>183.615742483704</v>
      </c>
      <c r="G1064" s="21" t="n">
        <f aca="false">G1055+G1060</f>
        <v>202.104898613689</v>
      </c>
      <c r="K1064" s="3" t="s">
        <v>652</v>
      </c>
    </row>
    <row r="1065" customFormat="false" ht="17.15" hidden="false" customHeight="false" outlineLevel="0" collapsed="false">
      <c r="A1065" s="0" t="s">
        <v>653</v>
      </c>
      <c r="B1065" s="0" t="s">
        <v>303</v>
      </c>
      <c r="D1065" s="21" t="n">
        <f aca="false">D1061+D1062</f>
        <v>58.363235</v>
      </c>
      <c r="E1065" s="21" t="n">
        <f aca="false">E1061+E1062</f>
        <v>66.358998195</v>
      </c>
      <c r="F1065" s="21" t="n">
        <f aca="false">F1061+F1062</f>
        <v>73.6042101879</v>
      </c>
      <c r="G1065" s="21" t="n">
        <f aca="false">G1061+G1062</f>
        <v>79.264440135258</v>
      </c>
      <c r="K1065" s="3" t="s">
        <v>654</v>
      </c>
    </row>
    <row r="1066" customFormat="false" ht="17.15" hidden="false" customHeight="false" outlineLevel="0" collapsed="false">
      <c r="A1066" s="3" t="s">
        <v>515</v>
      </c>
      <c r="B1066" s="0" t="s">
        <v>303</v>
      </c>
      <c r="C1066" s="23" t="n">
        <f aca="false">a25_rev</f>
        <v>131.241</v>
      </c>
      <c r="D1066" s="23" t="n">
        <f aca="false">D1064+D1065+D1063</f>
        <v>188.2685</v>
      </c>
      <c r="E1066" s="23" t="n">
        <f aca="false">E1064+E1065+E1063</f>
        <v>244.457592743257</v>
      </c>
      <c r="F1066" s="23" t="n">
        <f aca="false">F1064+F1065+F1063</f>
        <v>270.398747671604</v>
      </c>
      <c r="G1066" s="23" t="n">
        <f aca="false">G1064+G1065+G1063</f>
        <v>294.548133748947</v>
      </c>
      <c r="H1066" s="25" t="n">
        <f aca="false">G1066*(1+H1068)</f>
        <v>317.976545990576</v>
      </c>
      <c r="I1066" s="25" t="n">
        <f aca="false">H1066*(1+I1068)</f>
        <v>340.161798580945</v>
      </c>
      <c r="J1066" s="25" t="n">
        <f aca="false">I1066*(1+J1068)</f>
        <v>360.571506495801</v>
      </c>
      <c r="K1066" s="7" t="s">
        <v>655</v>
      </c>
    </row>
    <row r="1067" customFormat="false" ht="17.15" hidden="false" customHeight="false" outlineLevel="0" collapsed="false">
      <c r="A1067" s="3" t="s">
        <v>656</v>
      </c>
      <c r="B1067" s="0" t="s">
        <v>303</v>
      </c>
      <c r="D1067" s="19" t="n">
        <f aca="false">D1064+D1065+D1063-D1066</f>
        <v>0</v>
      </c>
      <c r="E1067" s="19" t="n">
        <f aca="false">E1064+E1065+E1063-E1066</f>
        <v>0</v>
      </c>
      <c r="F1067" s="19" t="n">
        <f aca="false">F1064+F1065+F1063-F1066</f>
        <v>0</v>
      </c>
      <c r="G1067" s="19" t="n">
        <f aca="false">G1064+G1065+G1063-G1066</f>
        <v>0</v>
      </c>
    </row>
    <row r="1068" customFormat="false" ht="15" hidden="false" customHeight="false" outlineLevel="0" collapsed="false">
      <c r="A1068" s="3" t="s">
        <v>657</v>
      </c>
      <c r="B1068" s="0" t="s">
        <v>45</v>
      </c>
      <c r="D1068" s="20" t="n">
        <f aca="false">D1066/C1066-1</f>
        <v>0.434525034097576</v>
      </c>
      <c r="E1068" s="20" t="n">
        <f aca="false">E1066/D1066-1</f>
        <v>0.298451906416936</v>
      </c>
      <c r="F1068" s="20" t="n">
        <f aca="false">F1066/E1066-1</f>
        <v>0.106117198640634</v>
      </c>
      <c r="G1068" s="20" t="n">
        <f aca="false">G1066/F1066-1</f>
        <v>0.0893102733843725</v>
      </c>
      <c r="H1068" s="26" t="n">
        <f aca="false">$G1068+(fade_gA-$G1068)*1/3</f>
        <v>0.0795401822562483</v>
      </c>
      <c r="I1068" s="26" t="n">
        <f aca="false">$G1068+(fade_gA-$G1068)*2/3</f>
        <v>0.0697700911281242</v>
      </c>
      <c r="J1068" s="26" t="n">
        <f aca="false">$G1068+(fade_gA-$G1068)*3/3</f>
        <v>0.06</v>
      </c>
    </row>
    <row r="1069" customFormat="false" ht="17.15" hidden="false" customHeight="false" outlineLevel="0" collapsed="false">
      <c r="A1069" s="0" t="s">
        <v>658</v>
      </c>
      <c r="B1069" s="0" t="s">
        <v>45</v>
      </c>
      <c r="D1069" s="20" t="n">
        <f aca="false">D1055/D1066</f>
        <v>0.53</v>
      </c>
      <c r="E1069" s="20" t="n">
        <f aca="false">E1055/E1066</f>
        <v>0.601856643711531</v>
      </c>
      <c r="F1069" s="20" t="n">
        <f aca="false">F1055/F1066</f>
        <v>0.609968803448437</v>
      </c>
      <c r="G1069" s="20" t="n">
        <f aca="false">G1055/G1066</f>
        <v>0.61955887237468</v>
      </c>
    </row>
    <row r="1070" customFormat="false" ht="17.15" hidden="false" customHeight="false" outlineLevel="0" collapsed="false">
      <c r="A1070" s="0" t="s">
        <v>659</v>
      </c>
      <c r="B1070" s="0" t="s">
        <v>45</v>
      </c>
      <c r="D1070" s="20" t="n">
        <f aca="false">(D1057+D1061)/D1066</f>
        <v>0.599</v>
      </c>
      <c r="E1070" s="20" t="n">
        <f aca="false">(E1057+E1061)/E1066</f>
        <v>0.682972470550773</v>
      </c>
      <c r="F1070" s="20" t="n">
        <f aca="false">(F1057+F1061)/F1066</f>
        <v>0.705705415301442</v>
      </c>
      <c r="G1070" s="20" t="n">
        <f aca="false">(G1057+G1061)/G1066</f>
        <v>0.722524383951868</v>
      </c>
      <c r="K1070" s="3" t="s">
        <v>660</v>
      </c>
    </row>
    <row r="1071" customFormat="false" ht="17.15" hidden="false" customHeight="false" outlineLevel="0" collapsed="false">
      <c r="A1071" s="5" t="s">
        <v>661</v>
      </c>
    </row>
    <row r="1072" customFormat="false" ht="15" hidden="false" customHeight="false" outlineLevel="0" collapsed="false">
      <c r="A1072" s="3" t="s">
        <v>662</v>
      </c>
      <c r="B1072" s="0" t="s">
        <v>303</v>
      </c>
      <c r="C1072" s="23" t="n">
        <f aca="false">a25_cx</f>
        <v>25.617</v>
      </c>
      <c r="D1072" s="23" t="n">
        <f aca="false">capex26</f>
        <v>53.7</v>
      </c>
      <c r="E1072" s="23" t="n">
        <f aca="false">cx27_A</f>
        <v>55</v>
      </c>
      <c r="F1072" s="23" t="n">
        <f aca="false">cx28_A</f>
        <v>50</v>
      </c>
      <c r="G1072" s="23" t="n">
        <f aca="false">cx29_A</f>
        <v>45</v>
      </c>
      <c r="H1072" s="25" t="n">
        <f aca="false">H1066*H1089</f>
        <v>45.5790857575882</v>
      </c>
      <c r="I1072" s="25" t="n">
        <f aca="false">I1066*I1089</f>
        <v>45.5495944871702</v>
      </c>
      <c r="J1072" s="25" t="n">
        <f aca="false">J1066*J1089</f>
        <v>44.8804490249031</v>
      </c>
    </row>
    <row r="1073" customFormat="false" ht="17.15" hidden="false" customHeight="false" outlineLevel="0" collapsed="false">
      <c r="A1073" s="3" t="s">
        <v>663</v>
      </c>
      <c r="B1073" s="0" t="s">
        <v>303</v>
      </c>
      <c r="C1073" s="23" t="n">
        <f aca="false">a25_da</f>
        <v>18.8</v>
      </c>
      <c r="D1073" s="23" t="n">
        <f aca="false">da26</f>
        <v>20.8</v>
      </c>
      <c r="E1073" s="23" t="n">
        <f aca="false">D1073*(1-1/life)+D1072/life</f>
        <v>24.9125</v>
      </c>
      <c r="F1073" s="23" t="n">
        <f aca="false">E1073*(1-1/life)+E1072/life</f>
        <v>28.6734375</v>
      </c>
      <c r="G1073" s="23" t="n">
        <f aca="false">F1073*(1-1/life)+F1072/life</f>
        <v>31.3392578125</v>
      </c>
      <c r="H1073" s="25" t="n">
        <f aca="false">H1066*H1074</f>
        <v>33.8319880906818</v>
      </c>
      <c r="I1073" s="25" t="n">
        <f aca="false">I1066*I1074</f>
        <v>36.1924489828143</v>
      </c>
      <c r="J1073" s="25" t="n">
        <f aca="false">J1066*J1074</f>
        <v>38.3639959217832</v>
      </c>
      <c r="K1073" s="3" t="s">
        <v>664</v>
      </c>
    </row>
    <row r="1074" customFormat="false" ht="17.15" hidden="false" customHeight="false" outlineLevel="0" collapsed="false">
      <c r="A1074" s="3" t="s">
        <v>665</v>
      </c>
      <c r="B1074" s="0" t="s">
        <v>45</v>
      </c>
      <c r="C1074" s="20" t="n">
        <f aca="false">C1073/C1066</f>
        <v>0.143247917952469</v>
      </c>
      <c r="D1074" s="20" t="n">
        <f aca="false">D1073/D1066</f>
        <v>0.110480510547436</v>
      </c>
      <c r="E1074" s="20" t="n">
        <f aca="false">E1073/E1066</f>
        <v>0.101909291179859</v>
      </c>
      <c r="F1074" s="20" t="n">
        <f aca="false">F1073/F1066</f>
        <v>0.10604131027568</v>
      </c>
      <c r="G1074" s="20" t="n">
        <f aca="false">G1073/G1066</f>
        <v>0.106397746995102</v>
      </c>
      <c r="H1074" s="26" t="n">
        <f aca="false">$G1074</f>
        <v>0.106397746995102</v>
      </c>
      <c r="I1074" s="26" t="n">
        <f aca="false">$G1074</f>
        <v>0.106397746995102</v>
      </c>
      <c r="J1074" s="26" t="n">
        <f aca="false">$G1074</f>
        <v>0.106397746995102</v>
      </c>
    </row>
    <row r="1075" customFormat="false" ht="17.15" hidden="false" customHeight="false" outlineLevel="0" collapsed="false">
      <c r="A1075" s="3" t="s">
        <v>666</v>
      </c>
      <c r="B1075" s="0" t="s">
        <v>303</v>
      </c>
      <c r="E1075" s="21" t="n">
        <f aca="false">E1057*(1-1/(E1042*E1043))</f>
        <v>5.7825944171789</v>
      </c>
      <c r="F1075" s="21" t="n">
        <f aca="false">F1057*(1-1/(F1042*F1043))</f>
        <v>-0.347042703577916</v>
      </c>
      <c r="G1075" s="21" t="n">
        <f aca="false">G1057*(1-1/(G1042*G1043))</f>
        <v>-9.03462039139117</v>
      </c>
      <c r="K1075" s="7" t="s">
        <v>667</v>
      </c>
    </row>
    <row r="1076" customFormat="false" ht="17.15" hidden="false" customHeight="false" outlineLevel="0" collapsed="false">
      <c r="A1076" s="3" t="s">
        <v>668</v>
      </c>
      <c r="B1076" s="0" t="s">
        <v>303</v>
      </c>
      <c r="C1076" s="21" t="n">
        <f aca="false">a25_gp</f>
        <v>18.292</v>
      </c>
      <c r="D1076" s="21" t="n">
        <f aca="false">a26_gp</f>
        <v>47.3329657</v>
      </c>
      <c r="E1076" s="21" t="n">
        <f aca="false">$D1076+ft_abf*(E1055-E1075-$D1055)+ft_oth*((E1066-E1055)-($D1066-$D1055))+E1075-(E1073-$D1073)</f>
        <v>71.9955664189679</v>
      </c>
      <c r="F1076" s="21" t="n">
        <f aca="false">$D1076+ft_abf*(F1055-F1075-$D1055)+ft_oth*((F1066-F1055)-($D1066-$D1055))+F1075-(F1073-$D1073)</f>
        <v>76.1066926589131</v>
      </c>
      <c r="G1076" s="21" t="n">
        <f aca="false">$D1076+ft_abf*(G1055-G1075-$D1055)+ft_oth*((G1066-G1055)-($D1066-$D1055))+G1075-(G1073-$D1073)</f>
        <v>79.5232072804322</v>
      </c>
      <c r="K1076" s="3" t="s">
        <v>669</v>
      </c>
    </row>
    <row r="1077" customFormat="false" ht="15" hidden="false" customHeight="false" outlineLevel="0" collapsed="false">
      <c r="A1077" s="3" t="s">
        <v>522</v>
      </c>
      <c r="B1077" s="0" t="s">
        <v>45</v>
      </c>
      <c r="C1077" s="13" t="n">
        <f aca="false">C1076/C1066</f>
        <v>0.139377176339711</v>
      </c>
      <c r="D1077" s="13" t="n">
        <f aca="false">D1076/D1066</f>
        <v>0.251412029627899</v>
      </c>
      <c r="E1077" s="13" t="n">
        <f aca="false">E1076/E1066</f>
        <v>0.294511475839418</v>
      </c>
      <c r="F1077" s="13" t="n">
        <f aca="false">F1076/F1066</f>
        <v>0.281460965756187</v>
      </c>
      <c r="G1077" s="13" t="n">
        <f aca="false">G1076/G1066</f>
        <v>0.269983741768374</v>
      </c>
    </row>
    <row r="1078" customFormat="false" ht="15" hidden="false" customHeight="false" outlineLevel="0" collapsed="false">
      <c r="A1078" s="3" t="s">
        <v>524</v>
      </c>
      <c r="B1078" s="0" t="s">
        <v>303</v>
      </c>
      <c r="C1078" s="21" t="n">
        <f aca="false">a25_opx</f>
        <v>11.618</v>
      </c>
      <c r="D1078" s="21" t="n">
        <f aca="false">a26_opx</f>
        <v>16.6539532</v>
      </c>
      <c r="E1078" s="21" t="n">
        <f aca="false">D1078*(1+phi*E1068)</f>
        <v>19.6361956491511</v>
      </c>
      <c r="F1078" s="21" t="n">
        <f aca="false">E1078*(1+phi*F1068)</f>
        <v>20.8864384936994</v>
      </c>
      <c r="G1078" s="21" t="n">
        <f aca="false">F1078*(1+phi*G1068)</f>
        <v>22.0056626128384</v>
      </c>
    </row>
    <row r="1079" customFormat="false" ht="15" hidden="false" customHeight="false" outlineLevel="0" collapsed="false">
      <c r="A1079" s="3" t="s">
        <v>527</v>
      </c>
      <c r="B1079" s="0" t="s">
        <v>303</v>
      </c>
      <c r="C1079" s="21" t="n">
        <f aca="false">C1076-C1078</f>
        <v>6.674</v>
      </c>
      <c r="D1079" s="21" t="n">
        <f aca="false">D1076-D1078</f>
        <v>30.6790125</v>
      </c>
      <c r="E1079" s="21" t="n">
        <f aca="false">E1076-E1078</f>
        <v>52.3593707698168</v>
      </c>
      <c r="F1079" s="21" t="n">
        <f aca="false">F1076-F1078</f>
        <v>55.2202541652137</v>
      </c>
      <c r="G1079" s="21" t="n">
        <f aca="false">G1076-G1078</f>
        <v>57.5175446675938</v>
      </c>
    </row>
    <row r="1080" customFormat="false" ht="15" hidden="false" customHeight="false" outlineLevel="0" collapsed="false">
      <c r="A1080" s="3" t="s">
        <v>605</v>
      </c>
      <c r="B1080" s="0" t="s">
        <v>45</v>
      </c>
      <c r="C1080" s="13" t="n">
        <f aca="false">C1079/C1066</f>
        <v>0.0508530108731265</v>
      </c>
      <c r="D1080" s="13" t="n">
        <f aca="false">D1079/D1066</f>
        <v>0.162953507888999</v>
      </c>
      <c r="E1080" s="13" t="n">
        <f aca="false">E1079/E1066</f>
        <v>0.214185905139005</v>
      </c>
      <c r="F1080" s="13" t="n">
        <f aca="false">F1079/F1066</f>
        <v>0.204217862104443</v>
      </c>
      <c r="G1080" s="13" t="n">
        <f aca="false">G1079/G1066</f>
        <v>0.195273838389409</v>
      </c>
    </row>
    <row r="1081" customFormat="false" ht="17.15" hidden="false" customHeight="false" outlineLevel="0" collapsed="false">
      <c r="A1081" s="3" t="s">
        <v>670</v>
      </c>
      <c r="B1081" s="0" t="s">
        <v>303</v>
      </c>
      <c r="C1081" s="21" t="n">
        <f aca="false">a25_nonop</f>
        <v>-0.00100000000000033</v>
      </c>
      <c r="D1081" s="21" t="n">
        <f aca="false">a26_nonop</f>
        <v>14.466</v>
      </c>
      <c r="E1081" s="21" t="n">
        <f aca="false">nonop27</f>
        <v>2</v>
      </c>
      <c r="F1081" s="21" t="n">
        <f aca="false">nonop28</f>
        <v>2</v>
      </c>
      <c r="G1081" s="21" t="n">
        <f aca="false">nonop29</f>
        <v>2</v>
      </c>
      <c r="K1081" s="7" t="s">
        <v>671</v>
      </c>
    </row>
    <row r="1082" customFormat="false" ht="15" hidden="false" customHeight="false" outlineLevel="0" collapsed="false">
      <c r="A1082" s="3" t="s">
        <v>533</v>
      </c>
      <c r="B1082" s="0" t="s">
        <v>303</v>
      </c>
      <c r="C1082" s="21" t="n">
        <f aca="false">C1079+C1081</f>
        <v>6.673</v>
      </c>
      <c r="D1082" s="21" t="n">
        <f aca="false">D1079+D1081</f>
        <v>45.1450125</v>
      </c>
      <c r="E1082" s="21" t="n">
        <f aca="false">E1079+E1081</f>
        <v>54.3593707698168</v>
      </c>
      <c r="F1082" s="21" t="n">
        <f aca="false">F1079+F1081</f>
        <v>57.2202541652137</v>
      </c>
      <c r="G1082" s="21" t="n">
        <f aca="false">G1079+G1081</f>
        <v>59.5175446675938</v>
      </c>
    </row>
    <row r="1083" customFormat="false" ht="15" hidden="false" customHeight="false" outlineLevel="0" collapsed="false">
      <c r="A1083" s="3" t="s">
        <v>537</v>
      </c>
      <c r="B1083" s="0" t="s">
        <v>303</v>
      </c>
      <c r="E1083" s="21" t="n">
        <f aca="false">E1082*tax</f>
        <v>9.78468673856703</v>
      </c>
      <c r="F1083" s="21" t="n">
        <f aca="false">F1082*tax</f>
        <v>10.2996457497385</v>
      </c>
      <c r="G1083" s="21" t="n">
        <f aca="false">G1082*tax</f>
        <v>10.7131580401669</v>
      </c>
    </row>
    <row r="1084" customFormat="false" ht="15" hidden="false" customHeight="false" outlineLevel="0" collapsed="false">
      <c r="A1084" s="3" t="s">
        <v>535</v>
      </c>
      <c r="B1084" s="0" t="s">
        <v>303</v>
      </c>
      <c r="C1084" s="21" t="n">
        <f aca="false">a25_ni</f>
        <v>6.673</v>
      </c>
      <c r="D1084" s="21" t="n">
        <f aca="false">a26_ni</f>
        <v>37.23923025</v>
      </c>
      <c r="E1084" s="21" t="n">
        <f aca="false">E1082-E1083</f>
        <v>44.5746840312498</v>
      </c>
      <c r="F1084" s="21" t="n">
        <f aca="false">F1082-F1083</f>
        <v>46.9206084154752</v>
      </c>
      <c r="G1084" s="21" t="n">
        <f aca="false">G1082-G1083</f>
        <v>48.804386627427</v>
      </c>
      <c r="H1084" s="30" t="n">
        <f aca="false">H1066*H1088</f>
        <v>53.5037202570778</v>
      </c>
      <c r="I1084" s="30" t="n">
        <f aca="false">I1066*I1088</f>
        <v>58.1111352520879</v>
      </c>
      <c r="J1084" s="30" t="n">
        <f aca="false">J1066*J1088</f>
        <v>62.5247262576121</v>
      </c>
    </row>
    <row r="1085" customFormat="false" ht="15" hidden="false" customHeight="false" outlineLevel="0" collapsed="false">
      <c r="A1085" s="3" t="s">
        <v>672</v>
      </c>
      <c r="B1085" s="3" t="s">
        <v>381</v>
      </c>
      <c r="C1085" s="29" t="n">
        <f aca="false">a25_sh</f>
        <v>1.52351598173516</v>
      </c>
      <c r="D1085" s="29" t="n">
        <f aca="false">a26_sh</f>
        <v>1.59236316568047</v>
      </c>
      <c r="E1085" s="29" t="n">
        <f aca="false">a26_shend*(1+sh_g)</f>
        <v>1.64</v>
      </c>
      <c r="F1085" s="29" t="n">
        <f aca="false">E1085*(1+sh_g)</f>
        <v>1.64</v>
      </c>
      <c r="G1085" s="29" t="n">
        <f aca="false">F1085*(1+sh_g)</f>
        <v>1.64</v>
      </c>
      <c r="H1085" s="31" t="n">
        <f aca="false">G1085*(1+sh_g)</f>
        <v>1.64</v>
      </c>
      <c r="I1085" s="31" t="n">
        <f aca="false">H1085*(1+sh_g)</f>
        <v>1.64</v>
      </c>
      <c r="J1085" s="31" t="n">
        <f aca="false">I1085*(1+sh_g)</f>
        <v>1.64</v>
      </c>
    </row>
    <row r="1086" customFormat="false" ht="17.15" hidden="false" customHeight="false" outlineLevel="0" collapsed="false">
      <c r="A1086" s="0" t="s">
        <v>540</v>
      </c>
      <c r="B1086" s="0" t="s">
        <v>387</v>
      </c>
      <c r="C1086" s="18" t="n">
        <f aca="false">C1084/C1085</f>
        <v>4.38</v>
      </c>
      <c r="D1086" s="18" t="n">
        <f aca="false">D1084/D1085</f>
        <v>23.3861414610695</v>
      </c>
      <c r="E1086" s="18" t="n">
        <f aca="false">E1084/E1085</f>
        <v>27.1796853849084</v>
      </c>
      <c r="F1086" s="18" t="n">
        <f aca="false">F1084/F1085</f>
        <v>28.6101270826068</v>
      </c>
      <c r="G1086" s="18" t="n">
        <f aca="false">G1084/G1085</f>
        <v>29.7587723337969</v>
      </c>
      <c r="H1086" s="28" t="n">
        <f aca="false">H1084/H1085</f>
        <v>32.6242196689499</v>
      </c>
      <c r="I1086" s="28" t="n">
        <f aca="false">I1084/I1085</f>
        <v>35.4336190561512</v>
      </c>
      <c r="J1086" s="28" t="n">
        <f aca="false">J1084/J1085</f>
        <v>38.1248330839098</v>
      </c>
    </row>
    <row r="1087" customFormat="false" ht="17.15" hidden="false" customHeight="false" outlineLevel="0" collapsed="false">
      <c r="A1087" s="0" t="s">
        <v>673</v>
      </c>
      <c r="B1087" s="0" t="s">
        <v>45</v>
      </c>
      <c r="D1087" s="20" t="n">
        <f aca="false">D1086/C1086-1</f>
        <v>4.33930170344053</v>
      </c>
      <c r="E1087" s="20" t="n">
        <f aca="false">E1086/D1086-1</f>
        <v>0.162213331778307</v>
      </c>
      <c r="F1087" s="20" t="n">
        <f aca="false">F1086/E1086-1</f>
        <v>0.0526290748932912</v>
      </c>
      <c r="G1087" s="20" t="n">
        <f aca="false">G1086/F1086-1</f>
        <v>0.0401482051398641</v>
      </c>
      <c r="H1087" s="26" t="n">
        <f aca="false">H1086/G1086-1</f>
        <v>0.0962891648557247</v>
      </c>
      <c r="I1087" s="26" t="n">
        <f aca="false">I1086/H1086-1</f>
        <v>0.0861139183008606</v>
      </c>
      <c r="J1087" s="26" t="n">
        <f aca="false">J1086/I1086-1</f>
        <v>0.0759508652924761</v>
      </c>
    </row>
    <row r="1088" customFormat="false" ht="17.15" hidden="false" customHeight="false" outlineLevel="0" collapsed="false">
      <c r="A1088" s="3" t="s">
        <v>674</v>
      </c>
      <c r="B1088" s="0" t="s">
        <v>45</v>
      </c>
      <c r="C1088" s="13" t="n">
        <f aca="false">C1084/C1066</f>
        <v>0.0508453913030227</v>
      </c>
      <c r="D1088" s="13" t="n">
        <f aca="false">D1084/D1066</f>
        <v>0.197798517808343</v>
      </c>
      <c r="E1088" s="13" t="n">
        <f aca="false">E1084/E1066</f>
        <v>0.182341172270581</v>
      </c>
      <c r="F1088" s="13" t="n">
        <f aca="false">F1084/F1066</f>
        <v>0.173523763772973</v>
      </c>
      <c r="G1088" s="13" t="n">
        <f aca="false">G1084/G1066</f>
        <v>0.165692398068373</v>
      </c>
      <c r="H1088" s="27" t="n">
        <f aca="false">$G1088+(fade_mA-$G1088)*1/3</f>
        <v>0.168263102834835</v>
      </c>
      <c r="I1088" s="27" t="n">
        <f aca="false">$G1088+(fade_mA-$G1088)*2/3</f>
        <v>0.170833807601296</v>
      </c>
      <c r="J1088" s="27" t="n">
        <f aca="false">$G1088+(fade_mA-$G1088)*3/3</f>
        <v>0.173404512367757</v>
      </c>
    </row>
    <row r="1089" customFormat="false" ht="17.15" hidden="false" customHeight="false" outlineLevel="0" collapsed="false">
      <c r="A1089" s="3" t="s">
        <v>675</v>
      </c>
      <c r="B1089" s="0" t="s">
        <v>45</v>
      </c>
      <c r="C1089" s="20" t="n">
        <f aca="false">C1072/C1066</f>
        <v>0.195190527350447</v>
      </c>
      <c r="D1089" s="20" t="n">
        <f aca="false">D1072/D1066</f>
        <v>0.285230933480641</v>
      </c>
      <c r="E1089" s="20" t="n">
        <f aca="false">E1072/E1066</f>
        <v>0.224987898239529</v>
      </c>
      <c r="F1089" s="20" t="n">
        <f aca="false">F1072/F1066</f>
        <v>0.184912099003966</v>
      </c>
      <c r="G1089" s="20" t="n">
        <f aca="false">G1072/G1066</f>
        <v>0.152776388114395</v>
      </c>
      <c r="H1089" s="26" t="n">
        <f aca="false">$G1089+($G1074*(1+tp_g)^(life/2)-$G1089)*1/3</f>
        <v>0.143341030438575</v>
      </c>
      <c r="I1089" s="26" t="n">
        <f aca="false">$G1089+($G1074*(1+tp_g)^(life/2)-$G1089)*2/3</f>
        <v>0.133905672762755</v>
      </c>
      <c r="J1089" s="26" t="n">
        <f aca="false">$G1089+($G1074*(1+tp_g)^(life/2)-$G1089)*3/3</f>
        <v>0.124470315086935</v>
      </c>
      <c r="K1089" s="7" t="s">
        <v>676</v>
      </c>
    </row>
    <row r="1090" customFormat="false" ht="15" hidden="false" customHeight="false" outlineLevel="0" collapsed="false">
      <c r="A1090" s="3" t="s">
        <v>677</v>
      </c>
      <c r="B1090" s="0" t="s">
        <v>303</v>
      </c>
      <c r="E1090" s="21" t="n">
        <f aca="false">E1084+E1073-E1072</f>
        <v>14.4871840312498</v>
      </c>
      <c r="F1090" s="21" t="n">
        <f aca="false">F1084+F1073-F1072</f>
        <v>25.5940459154752</v>
      </c>
      <c r="G1090" s="21" t="n">
        <f aca="false">G1084+G1073-G1072</f>
        <v>35.143644439927</v>
      </c>
      <c r="H1090" s="30" t="n">
        <f aca="false">H1084+H1073-H1072</f>
        <v>41.7566225901714</v>
      </c>
      <c r="I1090" s="30" t="n">
        <f aca="false">I1084+I1073-I1072</f>
        <v>48.753989747732</v>
      </c>
      <c r="J1090" s="30" t="n">
        <f aca="false">J1084+J1073-J1072</f>
        <v>56.0082731544921</v>
      </c>
      <c r="K1090" s="3" t="s">
        <v>678</v>
      </c>
    </row>
    <row r="1091" customFormat="false" ht="15" hidden="false" customHeight="false" outlineLevel="0" collapsed="false">
      <c r="A1091" s="3" t="s">
        <v>679</v>
      </c>
      <c r="B1091" s="0" t="s">
        <v>387</v>
      </c>
      <c r="E1091" s="18" t="n">
        <f aca="false">E1090/E1085</f>
        <v>8.83364879954255</v>
      </c>
      <c r="F1091" s="18" t="n">
        <f aca="false">F1090/F1085</f>
        <v>15.6061255582166</v>
      </c>
      <c r="G1091" s="18" t="n">
        <f aca="false">G1090/G1085</f>
        <v>21.4290514877603</v>
      </c>
      <c r="H1091" s="28" t="n">
        <f aca="false">H1090/H1085</f>
        <v>25.4613552379094</v>
      </c>
      <c r="I1091" s="28" t="n">
        <f aca="false">I1090/I1085</f>
        <v>29.7280425291049</v>
      </c>
      <c r="J1091" s="28" t="n">
        <f aca="false">J1090/J1085</f>
        <v>34.1513860698123</v>
      </c>
    </row>
    <row r="1094" customFormat="false" ht="17.15" hidden="false" customHeight="false" outlineLevel="0" collapsed="false">
      <c r="A1094" s="1" t="s">
        <v>1037</v>
      </c>
    </row>
    <row r="1095" customFormat="false" ht="17.15" hidden="false" customHeight="false" outlineLevel="0" collapsed="false">
      <c r="A1095" s="4" t="s">
        <v>22</v>
      </c>
      <c r="B1095" s="4" t="s">
        <v>23</v>
      </c>
      <c r="C1095" s="14" t="s">
        <v>508</v>
      </c>
      <c r="D1095" s="14" t="s">
        <v>592</v>
      </c>
      <c r="E1095" s="14" t="s">
        <v>593</v>
      </c>
      <c r="F1095" s="14" t="s">
        <v>594</v>
      </c>
      <c r="G1095" s="14" t="s">
        <v>595</v>
      </c>
      <c r="H1095" s="14" t="s">
        <v>596</v>
      </c>
      <c r="I1095" s="14" t="s">
        <v>597</v>
      </c>
      <c r="J1095" s="14" t="s">
        <v>598</v>
      </c>
      <c r="K1095" s="4" t="s">
        <v>481</v>
      </c>
    </row>
    <row r="1096" customFormat="false" ht="17.15" hidden="false" customHeight="false" outlineLevel="0" collapsed="false">
      <c r="A1096" s="5" t="s">
        <v>616</v>
      </c>
    </row>
    <row r="1097" customFormat="false" ht="17.15" hidden="false" customHeight="false" outlineLevel="0" collapsed="false">
      <c r="A1097" s="0" t="s">
        <v>617</v>
      </c>
      <c r="B1097" s="3" t="s">
        <v>33</v>
      </c>
      <c r="D1097" s="21" t="n">
        <f aca="false">(u_bw_26+u_rb_26+u_ru_26+u_hp_26)*1</f>
        <v>7.6</v>
      </c>
      <c r="E1097" s="21" t="n">
        <f aca="false">(u_bw_27+u_rb_27+u_ru_27+u_hp_27)*1*1</f>
        <v>9.7</v>
      </c>
      <c r="F1097" s="21" t="n">
        <f aca="false">(u_bw_28+u_rb_28+u_ru_28+u_hp_28)*um28_A*1</f>
        <v>9.5</v>
      </c>
      <c r="G1097" s="21" t="n">
        <f aca="false">(u_bw_28*(1+g29_bw)+u_rb_28*(1+g29_rb)+u_ru_28*(1+g29_ru)+u_hp_28*(1+g29_hp))*um29_A*1</f>
        <v>10.6</v>
      </c>
      <c r="K1097" s="7" t="s">
        <v>618</v>
      </c>
    </row>
    <row r="1098" customFormat="false" ht="17.15" hidden="false" customHeight="false" outlineLevel="0" collapsed="false">
      <c r="A1098" s="3" t="s">
        <v>619</v>
      </c>
      <c r="B1098" s="3" t="s">
        <v>33</v>
      </c>
      <c r="D1098" s="21" t="n">
        <f aca="false">(u_amd_26+u_tpu_26+u_trn_26+u_oth_26)*1</f>
        <v>7.6</v>
      </c>
      <c r="E1098" s="21" t="n">
        <f aca="false">(u_amd_27+u_tpu_27+u_trn_27+u_oth_27)*1*1</f>
        <v>14</v>
      </c>
      <c r="F1098" s="21" t="n">
        <f aca="false">(u_amd_28+u_tpu_28+u_trn_28+u_oth_28)*um28_A*1</f>
        <v>17</v>
      </c>
      <c r="G1098" s="21" t="n">
        <f aca="false">(u_amd_28*(1+g29_amd)+u_tpu_28*(1+g29_tpu)+u_trn_28*(1+g29_trn)+u_oth_28*(1+g29_oth))*um29_A*1</f>
        <v>19.55</v>
      </c>
      <c r="K1098" s="7" t="s">
        <v>620</v>
      </c>
    </row>
    <row r="1099" customFormat="false" ht="17.15" hidden="false" customHeight="false" outlineLevel="0" collapsed="false">
      <c r="A1099" s="3" t="s">
        <v>621</v>
      </c>
      <c r="B1099" s="0" t="s">
        <v>145</v>
      </c>
      <c r="D1099" s="19" t="n">
        <f aca="false">1</f>
        <v>1</v>
      </c>
      <c r="E1099" s="19" t="n">
        <f aca="false">D1099*(1+g_asp)</f>
        <v>1.18</v>
      </c>
      <c r="F1099" s="19" t="n">
        <f aca="false">E1099*(1+g_asp)</f>
        <v>1.3924</v>
      </c>
      <c r="G1099" s="19" t="n">
        <f aca="false">F1099*(1+g_asp)</f>
        <v>1.643032</v>
      </c>
      <c r="K1099" s="7" t="s">
        <v>622</v>
      </c>
    </row>
    <row r="1100" customFormat="false" ht="17.15" hidden="false" customHeight="false" outlineLevel="0" collapsed="false">
      <c r="A1100" s="0" t="s">
        <v>623</v>
      </c>
      <c r="B1100" s="0" t="s">
        <v>145</v>
      </c>
      <c r="D1100" s="18" t="n">
        <f aca="false">1</f>
        <v>1</v>
      </c>
      <c r="E1100" s="18" t="n">
        <f aca="false">ibpp_27</f>
        <v>1</v>
      </c>
      <c r="F1100" s="18" t="n">
        <f aca="false">ibpp_28</f>
        <v>0.95</v>
      </c>
      <c r="G1100" s="18" t="n">
        <f aca="false">ibpp_29</f>
        <v>0.9</v>
      </c>
      <c r="K1100" s="7" t="s">
        <v>624</v>
      </c>
    </row>
    <row r="1101" customFormat="false" ht="17.15" hidden="false" customHeight="false" outlineLevel="0" collapsed="false">
      <c r="A1101" s="3" t="s">
        <v>625</v>
      </c>
      <c r="B1101" s="0" t="s">
        <v>145</v>
      </c>
      <c r="D1101" s="18" t="n">
        <f aca="false">1</f>
        <v>1</v>
      </c>
      <c r="E1101" s="18" t="n">
        <f aca="false">1+carry</f>
        <v>1.05</v>
      </c>
      <c r="F1101" s="18" t="n">
        <f aca="false">1+carry</f>
        <v>1.05</v>
      </c>
      <c r="G1101" s="18" t="n">
        <f aca="false">1+carry</f>
        <v>1.05</v>
      </c>
      <c r="K1101" s="7" t="s">
        <v>626</v>
      </c>
    </row>
    <row r="1102" customFormat="false" ht="17.15" hidden="false" customHeight="false" outlineLevel="0" collapsed="false">
      <c r="A1102" s="3" t="s">
        <v>627</v>
      </c>
      <c r="B1102" s="0" t="s">
        <v>628</v>
      </c>
      <c r="D1102" s="23" t="n">
        <f aca="false">v26*D1099*D1100</f>
        <v>215.308596</v>
      </c>
      <c r="E1102" s="23" t="n">
        <f aca="false">v26*E1099*E1100</f>
        <v>254.06414328</v>
      </c>
      <c r="F1102" s="23" t="n">
        <f aca="false">v26*F1099*F1100</f>
        <v>284.80590461688</v>
      </c>
      <c r="G1102" s="23" t="n">
        <f aca="false">v26*G1099*G1100</f>
        <v>318.383021792765</v>
      </c>
      <c r="K1102" s="7" t="s">
        <v>629</v>
      </c>
    </row>
    <row r="1103" customFormat="false" ht="17.15" hidden="false" customHeight="false" outlineLevel="0" collapsed="false">
      <c r="A1103" s="3" t="s">
        <v>630</v>
      </c>
      <c r="B1103" s="0" t="s">
        <v>45</v>
      </c>
      <c r="D1103" s="20" t="n">
        <f aca="false">sh_nv_26</f>
        <v>0.25</v>
      </c>
      <c r="E1103" s="20" t="n">
        <f aca="false">sh_nv_27</f>
        <v>0.27</v>
      </c>
      <c r="F1103" s="20" t="n">
        <f aca="false">sh_nv_28</f>
        <v>0.29</v>
      </c>
      <c r="G1103" s="20" t="n">
        <f aca="false">sh_nv_29</f>
        <v>0.3</v>
      </c>
    </row>
    <row r="1104" customFormat="false" ht="17.15" hidden="false" customHeight="false" outlineLevel="0" collapsed="false">
      <c r="A1104" s="3" t="s">
        <v>631</v>
      </c>
      <c r="B1104" s="0" t="s">
        <v>45</v>
      </c>
      <c r="D1104" s="20" t="n">
        <f aca="false">sh_ot_26_hi</f>
        <v>0.4</v>
      </c>
      <c r="E1104" s="20" t="n">
        <f aca="false">sh_ot_27_hi</f>
        <v>0.4</v>
      </c>
      <c r="F1104" s="20" t="n">
        <f aca="false">sh_ot_28_hi</f>
        <v>0.4</v>
      </c>
      <c r="G1104" s="20" t="n">
        <f aca="false">sh_ot_29_hi</f>
        <v>0.4</v>
      </c>
    </row>
    <row r="1105" customFormat="false" ht="17.15" hidden="false" customHeight="false" outlineLevel="0" collapsed="false">
      <c r="A1105" s="3" t="s">
        <v>632</v>
      </c>
      <c r="B1105" s="0" t="s">
        <v>582</v>
      </c>
      <c r="D1105" s="22" t="n">
        <f aca="false">(D1097*D1102*D1103+D1098*D1102*v_ot*D1104)*D1101</f>
        <v>932.716837872</v>
      </c>
      <c r="E1105" s="22" t="n">
        <f aca="false">(E1097*E1102*E1103+E1098*E1102*v_ot*E1104)*E1101</f>
        <v>1893.78142080196</v>
      </c>
      <c r="F1105" s="22" t="n">
        <f aca="false">(F1097*F1102*F1103+F1098*F1102*v_ot*F1104)*F1101</f>
        <v>2450.6836077521</v>
      </c>
      <c r="G1105" s="22" t="n">
        <f aca="false">(G1097*G1102*G1103+G1098*G1102*v_ot*G1104)*G1101</f>
        <v>3154.47530331836</v>
      </c>
    </row>
    <row r="1106" customFormat="false" ht="15" hidden="false" customHeight="false" outlineLevel="0" collapsed="false">
      <c r="A1106" s="3" t="s">
        <v>633</v>
      </c>
      <c r="B1106" s="0" t="s">
        <v>303</v>
      </c>
      <c r="D1106" s="21" t="n">
        <f aca="false">D1105*fx/1000</f>
        <v>29.846938811904</v>
      </c>
      <c r="E1106" s="21" t="n">
        <f aca="false">E1105*fx/1000</f>
        <v>60.6010054656626</v>
      </c>
      <c r="F1106" s="21" t="n">
        <f aca="false">F1105*fx/1000</f>
        <v>78.4218754480671</v>
      </c>
      <c r="G1106" s="21" t="n">
        <f aca="false">G1105*fx/1000</f>
        <v>100.943209706187</v>
      </c>
    </row>
    <row r="1107" customFormat="false" ht="17.15" hidden="false" customHeight="false" outlineLevel="0" collapsed="false">
      <c r="A1107" s="5" t="s">
        <v>634</v>
      </c>
    </row>
    <row r="1108" customFormat="false" ht="17.15" hidden="false" customHeight="false" outlineLevel="0" collapsed="false">
      <c r="A1108" s="0" t="s">
        <v>635</v>
      </c>
      <c r="B1108" s="0" t="s">
        <v>303</v>
      </c>
      <c r="D1108" s="21" t="n">
        <f aca="false">a26_abf*ai_abf</f>
        <v>74.83672875</v>
      </c>
      <c r="K1108" s="3" t="s">
        <v>636</v>
      </c>
    </row>
    <row r="1109" customFormat="false" ht="17.15" hidden="false" customHeight="false" outlineLevel="0" collapsed="false">
      <c r="A1109" s="3" t="s">
        <v>637</v>
      </c>
      <c r="B1109" s="0" t="s">
        <v>303</v>
      </c>
      <c r="D1109" s="21" t="n">
        <f aca="false">D1108-D1106</f>
        <v>44.989789938096</v>
      </c>
      <c r="E1109" s="21" t="n">
        <f aca="false">$D1109*(itc_27/itc_26)^el_o*1*1*E1100*E1101</f>
        <v>66.8406875154005</v>
      </c>
      <c r="F1109" s="21" t="n">
        <f aca="false">$D1109*(itc_28/itc_26)^el_o*um28_A*1*F1100*F1101</f>
        <v>71.4921732704381</v>
      </c>
      <c r="G1109" s="21" t="n">
        <f aca="false">$D1109*(itc_29/itc_26)^el_o*um29_A*1*G1100*G1101</f>
        <v>72.2885318223684</v>
      </c>
      <c r="K1109" s="7" t="s">
        <v>638</v>
      </c>
    </row>
    <row r="1110" customFormat="false" ht="17.15" hidden="false" customHeight="false" outlineLevel="0" collapsed="false">
      <c r="A1110" s="3" t="s">
        <v>639</v>
      </c>
      <c r="B1110" s="0" t="s">
        <v>303</v>
      </c>
      <c r="D1110" s="21" t="n">
        <f aca="false">a26_abf-D1108</f>
        <v>24.94557625</v>
      </c>
      <c r="E1110" s="21" t="n">
        <f aca="false">D1110*(1+g_nai)</f>
        <v>25.6939435375</v>
      </c>
      <c r="F1110" s="21" t="n">
        <f aca="false">E1110*(1+g_nai)</f>
        <v>26.464761843625</v>
      </c>
      <c r="G1110" s="21" t="n">
        <f aca="false">F1110*(1+g_nai)</f>
        <v>27.2587046989338</v>
      </c>
    </row>
    <row r="1111" customFormat="false" ht="17.15" hidden="false" customHeight="false" outlineLevel="0" collapsed="false">
      <c r="A1111" s="0" t="s">
        <v>640</v>
      </c>
      <c r="B1111" s="0" t="s">
        <v>303</v>
      </c>
      <c r="D1111" s="21" t="n">
        <f aca="false">D1106+D1109+D1110</f>
        <v>99.782305</v>
      </c>
      <c r="E1111" s="21" t="n">
        <f aca="false">E1106+E1109+E1110</f>
        <v>153.135636518563</v>
      </c>
      <c r="F1111" s="21" t="n">
        <f aca="false">F1106+F1109+F1110</f>
        <v>176.37881056213</v>
      </c>
      <c r="G1111" s="21" t="n">
        <f aca="false">G1106+G1109+G1110</f>
        <v>200.490446227489</v>
      </c>
    </row>
    <row r="1112" customFormat="false" ht="17.15" hidden="false" customHeight="false" outlineLevel="0" collapsed="false">
      <c r="A1112" s="0" t="s">
        <v>641</v>
      </c>
      <c r="B1112" s="0" t="s">
        <v>303</v>
      </c>
      <c r="D1112" s="21" t="n">
        <f aca="false">a26_abf</f>
        <v>99.782305</v>
      </c>
      <c r="E1112" s="21" t="n">
        <f aca="false">$D1111*cap_27*(1+g_mix)^1*E1100*E1101</f>
        <v>148.513488204375</v>
      </c>
      <c r="F1112" s="21" t="n">
        <f aca="false">$D1111*cap_28*(1+g_mix)^2*F1100*F1101</f>
        <v>186.549442683384</v>
      </c>
      <c r="G1112" s="21" t="n">
        <f aca="false">$D1111*cap_29*(1+g_mix)^3*G1100*G1101</f>
        <v>218.314827660431</v>
      </c>
      <c r="K1112" s="7" t="s">
        <v>642</v>
      </c>
    </row>
    <row r="1113" customFormat="false" ht="17.15" hidden="false" customHeight="false" outlineLevel="0" collapsed="false">
      <c r="A1113" s="0" t="s">
        <v>643</v>
      </c>
      <c r="B1113" s="0" t="s">
        <v>303</v>
      </c>
      <c r="D1113" s="21" t="n">
        <f aca="false">a26_abf</f>
        <v>99.782305</v>
      </c>
      <c r="E1113" s="21" t="n">
        <f aca="false">MIN(E1111,E1112)</f>
        <v>148.513488204375</v>
      </c>
      <c r="F1113" s="21" t="n">
        <f aca="false">MIN(F1111,F1112)</f>
        <v>176.37881056213</v>
      </c>
      <c r="G1113" s="21" t="n">
        <f aca="false">MIN(G1111,G1112)</f>
        <v>200.490446227489</v>
      </c>
    </row>
    <row r="1114" customFormat="false" ht="17.15" hidden="false" customHeight="false" outlineLevel="0" collapsed="false">
      <c r="A1114" s="3" t="s">
        <v>644</v>
      </c>
      <c r="B1114" s="0" t="s">
        <v>45</v>
      </c>
      <c r="D1114" s="20" t="n">
        <f aca="false">D1113/D1111</f>
        <v>1</v>
      </c>
      <c r="E1114" s="20" t="n">
        <f aca="false">E1113/E1111</f>
        <v>0.969816638247833</v>
      </c>
      <c r="F1114" s="20" t="n">
        <f aca="false">F1113/F1111</f>
        <v>1</v>
      </c>
      <c r="G1114" s="20" t="n">
        <f aca="false">G1113/G1111</f>
        <v>1</v>
      </c>
    </row>
    <row r="1115" customFormat="false" ht="17.15" hidden="false" customHeight="false" outlineLevel="0" collapsed="false">
      <c r="A1115" s="0" t="s">
        <v>645</v>
      </c>
      <c r="B1115" s="0" t="s">
        <v>303</v>
      </c>
      <c r="D1115" s="21" t="n">
        <f aca="false">(D1106+D1109)*D1114</f>
        <v>74.83672875</v>
      </c>
      <c r="E1115" s="21" t="n">
        <f aca="false">(E1106+E1109)*E1114</f>
        <v>123.595074259507</v>
      </c>
      <c r="F1115" s="21" t="n">
        <f aca="false">(F1106+F1109)*F1114</f>
        <v>149.914048718505</v>
      </c>
      <c r="G1115" s="21" t="n">
        <f aca="false">(G1106+G1109)*G1114</f>
        <v>173.231741528556</v>
      </c>
    </row>
    <row r="1116" customFormat="false" ht="17.15" hidden="false" customHeight="false" outlineLevel="0" collapsed="false">
      <c r="A1116" s="3" t="s">
        <v>646</v>
      </c>
      <c r="B1116" s="0" t="s">
        <v>45</v>
      </c>
      <c r="D1116" s="20" t="n">
        <f aca="false">D1106/(D1106+D1109)</f>
        <v>0.398827411492168</v>
      </c>
      <c r="E1116" s="20" t="n">
        <f aca="false">E1106/(E1106+E1109)</f>
        <v>0.475519463435467</v>
      </c>
      <c r="F1116" s="20" t="n">
        <f aca="false">F1106/(F1106+F1109)</f>
        <v>0.523112250775913</v>
      </c>
      <c r="G1116" s="20" t="n">
        <f aca="false">G1106/(G1106+G1109)</f>
        <v>0.58270619931133</v>
      </c>
    </row>
    <row r="1117" customFormat="false" ht="17.15" hidden="false" customHeight="false" outlineLevel="0" collapsed="false">
      <c r="A1117" s="5" t="s">
        <v>647</v>
      </c>
    </row>
    <row r="1118" customFormat="false" ht="17.15" hidden="false" customHeight="false" outlineLevel="0" collapsed="false">
      <c r="A1118" s="0" t="s">
        <v>550</v>
      </c>
      <c r="B1118" s="0" t="s">
        <v>303</v>
      </c>
      <c r="D1118" s="21" t="n">
        <f aca="false">a26_bt</f>
        <v>16.944165</v>
      </c>
      <c r="E1118" s="21" t="n">
        <f aca="false">D1118*(1+g_bt)</f>
        <v>17.79137325</v>
      </c>
      <c r="F1118" s="21" t="n">
        <f aca="false">E1118*(1+g_bt)</f>
        <v>18.6809419125</v>
      </c>
      <c r="G1118" s="21" t="n">
        <f aca="false">F1118*(1+g_bt)</f>
        <v>19.614989008125</v>
      </c>
    </row>
    <row r="1119" customFormat="false" ht="17.15" hidden="false" customHeight="false" outlineLevel="0" collapsed="false">
      <c r="A1119" s="0" t="s">
        <v>648</v>
      </c>
      <c r="B1119" s="0" t="s">
        <v>303</v>
      </c>
      <c r="D1119" s="21" t="n">
        <f aca="false">a26_pcb*ai_pcb</f>
        <v>37.93610275</v>
      </c>
      <c r="E1119" s="21" t="n">
        <f aca="false">D1119*(1+g_pai_27)</f>
        <v>45.5233233</v>
      </c>
      <c r="F1119" s="21" t="n">
        <f aca="false">D1119*(1+g_pai_27)*(1+g_pai_28)*um28_A</f>
        <v>52.351821795</v>
      </c>
      <c r="G1119" s="21" t="n">
        <f aca="false">D1119*(1+g_pai_27)*(1+g_pai_28)*(1+g_pai_29)*um29_A</f>
        <v>57.5870039745</v>
      </c>
      <c r="K1119" s="3" t="s">
        <v>649</v>
      </c>
    </row>
    <row r="1120" customFormat="false" ht="17.15" hidden="false" customHeight="false" outlineLevel="0" collapsed="false">
      <c r="A1120" s="3" t="s">
        <v>650</v>
      </c>
      <c r="B1120" s="0" t="s">
        <v>303</v>
      </c>
      <c r="D1120" s="21" t="n">
        <f aca="false">a26_pcb*(1-ai_pcb)</f>
        <v>20.42713225</v>
      </c>
      <c r="E1120" s="21" t="n">
        <f aca="false">D1120*(1+g_pcbn)</f>
        <v>20.835674895</v>
      </c>
      <c r="F1120" s="21" t="n">
        <f aca="false">E1120*(1+g_pcbn)</f>
        <v>21.2523883929</v>
      </c>
      <c r="G1120" s="21" t="n">
        <f aca="false">F1120*(1+g_pcbn)</f>
        <v>21.677436160758</v>
      </c>
    </row>
    <row r="1121" customFormat="false" ht="15" hidden="false" customHeight="false" outlineLevel="0" collapsed="false">
      <c r="A1121" s="3" t="s">
        <v>552</v>
      </c>
      <c r="B1121" s="0" t="s">
        <v>303</v>
      </c>
      <c r="D1121" s="21" t="n">
        <f aca="false">a26_fpc</f>
        <v>13.178795</v>
      </c>
      <c r="E1121" s="21" t="n">
        <f aca="false">D1121*(1+g_fpc)</f>
        <v>13.178795</v>
      </c>
      <c r="F1121" s="21" t="n">
        <f aca="false">E1121*(1+g_fpc)</f>
        <v>13.178795</v>
      </c>
      <c r="G1121" s="21" t="n">
        <f aca="false">F1121*(1+g_fpc)</f>
        <v>13.178795</v>
      </c>
    </row>
    <row r="1122" customFormat="false" ht="17.15" hidden="false" customHeight="false" outlineLevel="0" collapsed="false">
      <c r="A1122" s="3" t="s">
        <v>651</v>
      </c>
      <c r="B1122" s="0" t="s">
        <v>303</v>
      </c>
      <c r="D1122" s="21" t="n">
        <f aca="false">D1113+D1118</f>
        <v>116.72647</v>
      </c>
      <c r="E1122" s="21" t="n">
        <f aca="false">E1113+E1118</f>
        <v>166.304861454375</v>
      </c>
      <c r="F1122" s="21" t="n">
        <f aca="false">F1113+F1118</f>
        <v>195.05975247463</v>
      </c>
      <c r="G1122" s="21" t="n">
        <f aca="false">G1113+G1118</f>
        <v>220.105435235615</v>
      </c>
      <c r="K1122" s="3" t="s">
        <v>652</v>
      </c>
    </row>
    <row r="1123" customFormat="false" ht="17.15" hidden="false" customHeight="false" outlineLevel="0" collapsed="false">
      <c r="A1123" s="0" t="s">
        <v>653</v>
      </c>
      <c r="B1123" s="0" t="s">
        <v>303</v>
      </c>
      <c r="D1123" s="21" t="n">
        <f aca="false">D1119+D1120</f>
        <v>58.363235</v>
      </c>
      <c r="E1123" s="21" t="n">
        <f aca="false">E1119+E1120</f>
        <v>66.358998195</v>
      </c>
      <c r="F1123" s="21" t="n">
        <f aca="false">F1119+F1120</f>
        <v>73.6042101879</v>
      </c>
      <c r="G1123" s="21" t="n">
        <f aca="false">G1119+G1120</f>
        <v>79.264440135258</v>
      </c>
      <c r="K1123" s="3" t="s">
        <v>654</v>
      </c>
    </row>
    <row r="1124" customFormat="false" ht="17.15" hidden="false" customHeight="false" outlineLevel="0" collapsed="false">
      <c r="A1124" s="3" t="s">
        <v>515</v>
      </c>
      <c r="B1124" s="0" t="s">
        <v>303</v>
      </c>
      <c r="C1124" s="23" t="n">
        <f aca="false">a25_rev</f>
        <v>131.241</v>
      </c>
      <c r="D1124" s="23" t="n">
        <f aca="false">D1122+D1123+D1121</f>
        <v>188.2685</v>
      </c>
      <c r="E1124" s="23" t="n">
        <f aca="false">E1122+E1123+E1121</f>
        <v>245.842654649375</v>
      </c>
      <c r="F1124" s="23" t="n">
        <f aca="false">F1122+F1123+F1121</f>
        <v>281.84275766253</v>
      </c>
      <c r="G1124" s="23" t="n">
        <f aca="false">G1122+G1123+G1121</f>
        <v>312.548670370872</v>
      </c>
      <c r="H1124" s="25" t="n">
        <f aca="false">G1124*(1+H1126)</f>
        <v>341.500462890124</v>
      </c>
      <c r="I1124" s="25" t="n">
        <f aca="false">H1124*(1+I1126)</f>
        <v>367.562294258552</v>
      </c>
      <c r="J1124" s="25" t="n">
        <f aca="false">I1124*(1+J1126)</f>
        <v>389.616031914065</v>
      </c>
      <c r="K1124" s="7" t="s">
        <v>655</v>
      </c>
    </row>
    <row r="1125" customFormat="false" ht="17.15" hidden="false" customHeight="false" outlineLevel="0" collapsed="false">
      <c r="A1125" s="3" t="s">
        <v>656</v>
      </c>
      <c r="B1125" s="0" t="s">
        <v>303</v>
      </c>
      <c r="D1125" s="19" t="n">
        <f aca="false">D1122+D1123+D1121-D1124</f>
        <v>0</v>
      </c>
      <c r="E1125" s="19" t="n">
        <f aca="false">E1122+E1123+E1121-E1124</f>
        <v>0</v>
      </c>
      <c r="F1125" s="19" t="n">
        <f aca="false">F1122+F1123+F1121-F1124</f>
        <v>0</v>
      </c>
      <c r="G1125" s="19" t="n">
        <f aca="false">G1122+G1123+G1121-G1124</f>
        <v>0</v>
      </c>
    </row>
    <row r="1126" customFormat="false" ht="15" hidden="false" customHeight="false" outlineLevel="0" collapsed="false">
      <c r="A1126" s="3" t="s">
        <v>657</v>
      </c>
      <c r="B1126" s="0" t="s">
        <v>45</v>
      </c>
      <c r="D1126" s="20" t="n">
        <f aca="false">D1124/C1124-1</f>
        <v>0.434525034097576</v>
      </c>
      <c r="E1126" s="20" t="n">
        <f aca="false">E1124/D1124-1</f>
        <v>0.30580875</v>
      </c>
      <c r="F1126" s="20" t="n">
        <f aca="false">F1124/E1124-1</f>
        <v>0.146435544574229</v>
      </c>
      <c r="G1126" s="20" t="n">
        <f aca="false">G1124/F1124-1</f>
        <v>0.108946963771581</v>
      </c>
      <c r="H1126" s="26" t="n">
        <f aca="false">$G1126+(fade_gA-$G1126)*1/3</f>
        <v>0.092631309181054</v>
      </c>
      <c r="I1126" s="26" t="n">
        <f aca="false">$G1126+(fade_gA-$G1126)*2/3</f>
        <v>0.076315654590527</v>
      </c>
      <c r="J1126" s="26" t="n">
        <f aca="false">$G1126+(fade_gA-$G1126)*3/3</f>
        <v>0.06</v>
      </c>
    </row>
    <row r="1127" customFormat="false" ht="17.15" hidden="false" customHeight="false" outlineLevel="0" collapsed="false">
      <c r="A1127" s="0" t="s">
        <v>658</v>
      </c>
      <c r="B1127" s="0" t="s">
        <v>45</v>
      </c>
      <c r="D1127" s="20" t="n">
        <f aca="false">D1113/D1124</f>
        <v>0.53</v>
      </c>
      <c r="E1127" s="20" t="n">
        <f aca="false">E1113/E1124</f>
        <v>0.604099758100105</v>
      </c>
      <c r="F1127" s="20" t="n">
        <f aca="false">F1113/F1124</f>
        <v>0.625805722399725</v>
      </c>
      <c r="G1127" s="20" t="n">
        <f aca="false">G1113/G1124</f>
        <v>0.64146952213742</v>
      </c>
    </row>
    <row r="1128" customFormat="false" ht="17.15" hidden="false" customHeight="false" outlineLevel="0" collapsed="false">
      <c r="A1128" s="0" t="s">
        <v>659</v>
      </c>
      <c r="B1128" s="0" t="s">
        <v>45</v>
      </c>
      <c r="D1128" s="20" t="n">
        <f aca="false">(D1115+D1119)/D1124</f>
        <v>0.599</v>
      </c>
      <c r="E1128" s="20" t="n">
        <f aca="false">(E1115+E1119)/E1124</f>
        <v>0.687913160556725</v>
      </c>
      <c r="F1128" s="20" t="n">
        <f aca="false">(F1115+F1119)/F1124</f>
        <v>0.717655022222328</v>
      </c>
      <c r="G1128" s="20" t="n">
        <f aca="false">(G1115+G1119)/G1124</f>
        <v>0.738504967015744</v>
      </c>
      <c r="K1128" s="3" t="s">
        <v>660</v>
      </c>
    </row>
    <row r="1129" customFormat="false" ht="17.15" hidden="false" customHeight="false" outlineLevel="0" collapsed="false">
      <c r="A1129" s="5" t="s">
        <v>661</v>
      </c>
    </row>
    <row r="1130" customFormat="false" ht="15" hidden="false" customHeight="false" outlineLevel="0" collapsed="false">
      <c r="A1130" s="3" t="s">
        <v>662</v>
      </c>
      <c r="B1130" s="0" t="s">
        <v>303</v>
      </c>
      <c r="C1130" s="23" t="n">
        <f aca="false">a25_cx</f>
        <v>25.617</v>
      </c>
      <c r="D1130" s="23" t="n">
        <f aca="false">capex26</f>
        <v>53.7</v>
      </c>
      <c r="E1130" s="23" t="n">
        <f aca="false">cx27_A</f>
        <v>55</v>
      </c>
      <c r="F1130" s="23" t="n">
        <f aca="false">cx28_A</f>
        <v>50</v>
      </c>
      <c r="G1130" s="23" t="n">
        <f aca="false">cx29_A</f>
        <v>45</v>
      </c>
      <c r="H1130" s="25" t="n">
        <f aca="false">H1124*H1147</f>
        <v>46.131804041332</v>
      </c>
      <c r="I1130" s="25" t="n">
        <f aca="false">I1124*I1147</f>
        <v>46.3840375038474</v>
      </c>
      <c r="J1130" s="25" t="n">
        <f aca="false">J1124*J1147</f>
        <v>45.702633672117</v>
      </c>
    </row>
    <row r="1131" customFormat="false" ht="17.15" hidden="false" customHeight="false" outlineLevel="0" collapsed="false">
      <c r="A1131" s="3" t="s">
        <v>663</v>
      </c>
      <c r="B1131" s="0" t="s">
        <v>303</v>
      </c>
      <c r="C1131" s="23" t="n">
        <f aca="false">a25_da</f>
        <v>18.8</v>
      </c>
      <c r="D1131" s="23" t="n">
        <f aca="false">da26</f>
        <v>20.8</v>
      </c>
      <c r="E1131" s="23" t="n">
        <f aca="false">D1131*(1-1/life)+D1130/life</f>
        <v>24.9125</v>
      </c>
      <c r="F1131" s="23" t="n">
        <f aca="false">E1131*(1-1/life)+E1130/life</f>
        <v>28.6734375</v>
      </c>
      <c r="G1131" s="23" t="n">
        <f aca="false">F1131*(1-1/life)+F1130/life</f>
        <v>31.3392578125</v>
      </c>
      <c r="H1131" s="25" t="n">
        <f aca="false">H1124*H1132</f>
        <v>34.2422542924345</v>
      </c>
      <c r="I1131" s="25" t="n">
        <f aca="false">I1124*I1132</f>
        <v>36.8554743434169</v>
      </c>
      <c r="J1131" s="25" t="n">
        <f aca="false">J1124*J1132</f>
        <v>39.0668028040219</v>
      </c>
      <c r="K1131" s="3" t="s">
        <v>664</v>
      </c>
    </row>
    <row r="1132" customFormat="false" ht="17.15" hidden="false" customHeight="false" outlineLevel="0" collapsed="false">
      <c r="A1132" s="3" t="s">
        <v>665</v>
      </c>
      <c r="B1132" s="0" t="s">
        <v>45</v>
      </c>
      <c r="C1132" s="20" t="n">
        <f aca="false">C1131/C1124</f>
        <v>0.143247917952469</v>
      </c>
      <c r="D1132" s="20" t="n">
        <f aca="false">D1131/D1124</f>
        <v>0.110480510547436</v>
      </c>
      <c r="E1132" s="20" t="n">
        <f aca="false">E1131/E1124</f>
        <v>0.101335140704247</v>
      </c>
      <c r="F1132" s="20" t="n">
        <f aca="false">F1131/F1124</f>
        <v>0.101735583833354</v>
      </c>
      <c r="G1132" s="20" t="n">
        <f aca="false">G1131/G1124</f>
        <v>0.100270008428808</v>
      </c>
      <c r="H1132" s="26" t="n">
        <f aca="false">$G1132</f>
        <v>0.100270008428808</v>
      </c>
      <c r="I1132" s="26" t="n">
        <f aca="false">$G1132</f>
        <v>0.100270008428808</v>
      </c>
      <c r="J1132" s="26" t="n">
        <f aca="false">$G1132</f>
        <v>0.100270008428808</v>
      </c>
    </row>
    <row r="1133" customFormat="false" ht="17.15" hidden="false" customHeight="false" outlineLevel="0" collapsed="false">
      <c r="A1133" s="3" t="s">
        <v>666</v>
      </c>
      <c r="B1133" s="0" t="s">
        <v>303</v>
      </c>
      <c r="E1133" s="21" t="n">
        <f aca="false">E1115*(1-1/(E1100*E1101))</f>
        <v>5.8854797266432</v>
      </c>
      <c r="F1133" s="21" t="n">
        <f aca="false">F1115*(1-1/(F1100*F1101))</f>
        <v>-0.375724432878484</v>
      </c>
      <c r="G1133" s="21" t="n">
        <f aca="false">G1115*(1-1/(G1100*G1101))</f>
        <v>-10.0822706709741</v>
      </c>
      <c r="K1133" s="7" t="s">
        <v>667</v>
      </c>
    </row>
    <row r="1134" customFormat="false" ht="17.15" hidden="false" customHeight="false" outlineLevel="0" collapsed="false">
      <c r="A1134" s="3" t="s">
        <v>668</v>
      </c>
      <c r="B1134" s="0" t="s">
        <v>303</v>
      </c>
      <c r="C1134" s="21" t="n">
        <f aca="false">a25_gp</f>
        <v>18.292</v>
      </c>
      <c r="D1134" s="21" t="n">
        <f aca="false">a26_gp</f>
        <v>47.3329657</v>
      </c>
      <c r="E1134" s="21" t="n">
        <f aca="false">$D1134+ft_abf*(E1113-E1133-$D1113)+ft_oth*((E1124-E1113)-($D1124-$D1113))+E1133-(E1131-$D1131)</f>
        <v>72.7395400267591</v>
      </c>
      <c r="F1134" s="21" t="n">
        <f aca="false">$D1134+ft_abf*(F1113-F1133-$D1113)+ft_oth*((F1124-F1113)-($D1124-$D1113))+F1133-(F1131-$D1131)</f>
        <v>81.8143567897259</v>
      </c>
      <c r="G1134" s="21" t="n">
        <f aca="false">$D1134+ft_abf*(G1113-G1133-$D1113)+ft_oth*((G1124-G1113)-($D1124-$D1113))+G1133-(G1131-$D1131)</f>
        <v>87.9996504516034</v>
      </c>
      <c r="K1134" s="3" t="s">
        <v>669</v>
      </c>
    </row>
    <row r="1135" customFormat="false" ht="15" hidden="false" customHeight="false" outlineLevel="0" collapsed="false">
      <c r="A1135" s="3" t="s">
        <v>522</v>
      </c>
      <c r="B1135" s="0" t="s">
        <v>45</v>
      </c>
      <c r="C1135" s="13" t="n">
        <f aca="false">C1134/C1124</f>
        <v>0.139377176339711</v>
      </c>
      <c r="D1135" s="13" t="n">
        <f aca="false">D1134/D1124</f>
        <v>0.251412029627899</v>
      </c>
      <c r="E1135" s="13" t="n">
        <f aca="false">E1134/E1124</f>
        <v>0.29587843545906</v>
      </c>
      <c r="F1135" s="13" t="n">
        <f aca="false">F1134/F1124</f>
        <v>0.290283693887525</v>
      </c>
      <c r="G1135" s="13" t="n">
        <f aca="false">G1134/G1124</f>
        <v>0.281555030604297</v>
      </c>
    </row>
    <row r="1136" customFormat="false" ht="15" hidden="false" customHeight="false" outlineLevel="0" collapsed="false">
      <c r="A1136" s="3" t="s">
        <v>524</v>
      </c>
      <c r="B1136" s="0" t="s">
        <v>303</v>
      </c>
      <c r="C1136" s="21" t="n">
        <f aca="false">a25_opx</f>
        <v>11.618</v>
      </c>
      <c r="D1136" s="21" t="n">
        <f aca="false">a26_opx</f>
        <v>16.6539532</v>
      </c>
      <c r="E1136" s="21" t="n">
        <f aca="false">D1136*(1+phi*E1126)</f>
        <v>19.7097079663903</v>
      </c>
      <c r="F1136" s="21" t="n">
        <f aca="false">E1136*(1+phi*F1126)</f>
        <v>21.4414290580647</v>
      </c>
      <c r="G1136" s="21" t="n">
        <f aca="false">F1136*(1+phi*G1126)</f>
        <v>22.8430162149447</v>
      </c>
    </row>
    <row r="1137" customFormat="false" ht="15" hidden="false" customHeight="false" outlineLevel="0" collapsed="false">
      <c r="A1137" s="3" t="s">
        <v>527</v>
      </c>
      <c r="B1137" s="0" t="s">
        <v>303</v>
      </c>
      <c r="C1137" s="21" t="n">
        <f aca="false">C1134-C1136</f>
        <v>6.674</v>
      </c>
      <c r="D1137" s="21" t="n">
        <f aca="false">D1134-D1136</f>
        <v>30.6790125</v>
      </c>
      <c r="E1137" s="21" t="n">
        <f aca="false">E1134-E1136</f>
        <v>53.0298320603688</v>
      </c>
      <c r="F1137" s="21" t="n">
        <f aca="false">F1134-F1136</f>
        <v>60.3729277316612</v>
      </c>
      <c r="G1137" s="21" t="n">
        <f aca="false">G1134-G1136</f>
        <v>65.1566342366588</v>
      </c>
    </row>
    <row r="1138" customFormat="false" ht="15" hidden="false" customHeight="false" outlineLevel="0" collapsed="false">
      <c r="A1138" s="3" t="s">
        <v>605</v>
      </c>
      <c r="B1138" s="0" t="s">
        <v>45</v>
      </c>
      <c r="C1138" s="13" t="n">
        <f aca="false">C1137/C1124</f>
        <v>0.0508530108731265</v>
      </c>
      <c r="D1138" s="13" t="n">
        <f aca="false">D1137/D1124</f>
        <v>0.162953507888999</v>
      </c>
      <c r="E1138" s="13" t="n">
        <f aca="false">E1137/E1124</f>
        <v>0.215706392106776</v>
      </c>
      <c r="F1138" s="13" t="n">
        <f aca="false">F1137/F1124</f>
        <v>0.214207837846768</v>
      </c>
      <c r="G1138" s="13" t="n">
        <f aca="false">G1137/G1124</f>
        <v>0.2084687615511</v>
      </c>
    </row>
    <row r="1139" customFormat="false" ht="17.15" hidden="false" customHeight="false" outlineLevel="0" collapsed="false">
      <c r="A1139" s="3" t="s">
        <v>670</v>
      </c>
      <c r="B1139" s="0" t="s">
        <v>303</v>
      </c>
      <c r="C1139" s="21" t="n">
        <f aca="false">a25_nonop</f>
        <v>-0.00100000000000033</v>
      </c>
      <c r="D1139" s="21" t="n">
        <f aca="false">a26_nonop</f>
        <v>14.466</v>
      </c>
      <c r="E1139" s="21" t="n">
        <f aca="false">nonop27</f>
        <v>2</v>
      </c>
      <c r="F1139" s="21" t="n">
        <f aca="false">nonop28</f>
        <v>2</v>
      </c>
      <c r="G1139" s="21" t="n">
        <f aca="false">nonop29</f>
        <v>2</v>
      </c>
      <c r="K1139" s="7" t="s">
        <v>671</v>
      </c>
    </row>
    <row r="1140" customFormat="false" ht="15" hidden="false" customHeight="false" outlineLevel="0" collapsed="false">
      <c r="A1140" s="3" t="s">
        <v>533</v>
      </c>
      <c r="B1140" s="0" t="s">
        <v>303</v>
      </c>
      <c r="C1140" s="21" t="n">
        <f aca="false">C1137+C1139</f>
        <v>6.673</v>
      </c>
      <c r="D1140" s="21" t="n">
        <f aca="false">D1137+D1139</f>
        <v>45.1450125</v>
      </c>
      <c r="E1140" s="21" t="n">
        <f aca="false">E1137+E1139</f>
        <v>55.0298320603688</v>
      </c>
      <c r="F1140" s="21" t="n">
        <f aca="false">F1137+F1139</f>
        <v>62.3729277316612</v>
      </c>
      <c r="G1140" s="21" t="n">
        <f aca="false">G1137+G1139</f>
        <v>67.1566342366588</v>
      </c>
    </row>
    <row r="1141" customFormat="false" ht="15" hidden="false" customHeight="false" outlineLevel="0" collapsed="false">
      <c r="A1141" s="3" t="s">
        <v>537</v>
      </c>
      <c r="B1141" s="0" t="s">
        <v>303</v>
      </c>
      <c r="E1141" s="21" t="n">
        <f aca="false">E1140*tax</f>
        <v>9.90536977086638</v>
      </c>
      <c r="F1141" s="21" t="n">
        <f aca="false">F1140*tax</f>
        <v>11.227126991699</v>
      </c>
      <c r="G1141" s="21" t="n">
        <f aca="false">G1140*tax</f>
        <v>12.0881941625986</v>
      </c>
    </row>
    <row r="1142" customFormat="false" ht="15" hidden="false" customHeight="false" outlineLevel="0" collapsed="false">
      <c r="A1142" s="3" t="s">
        <v>535</v>
      </c>
      <c r="B1142" s="0" t="s">
        <v>303</v>
      </c>
      <c r="C1142" s="21" t="n">
        <f aca="false">a25_ni</f>
        <v>6.673</v>
      </c>
      <c r="D1142" s="21" t="n">
        <f aca="false">a26_ni</f>
        <v>37.23923025</v>
      </c>
      <c r="E1142" s="21" t="n">
        <f aca="false">E1140-E1141</f>
        <v>45.1244622895024</v>
      </c>
      <c r="F1142" s="21" t="n">
        <f aca="false">F1140-F1141</f>
        <v>51.1458007399622</v>
      </c>
      <c r="G1142" s="21" t="n">
        <f aca="false">G1140-G1141</f>
        <v>55.0684400740602</v>
      </c>
      <c r="H1142" s="30" t="n">
        <f aca="false">H1124*H1146</f>
        <v>59.8522415953943</v>
      </c>
      <c r="I1142" s="30" t="n">
        <f aca="false">I1124*I1146</f>
        <v>64.0784324960678</v>
      </c>
      <c r="J1142" s="30" t="n">
        <f aca="false">J1124*J1146</f>
        <v>67.561178024719</v>
      </c>
    </row>
    <row r="1143" customFormat="false" ht="15" hidden="false" customHeight="false" outlineLevel="0" collapsed="false">
      <c r="A1143" s="3" t="s">
        <v>672</v>
      </c>
      <c r="B1143" s="3" t="s">
        <v>381</v>
      </c>
      <c r="C1143" s="29" t="n">
        <f aca="false">a25_sh</f>
        <v>1.52351598173516</v>
      </c>
      <c r="D1143" s="29" t="n">
        <f aca="false">a26_sh</f>
        <v>1.59236316568047</v>
      </c>
      <c r="E1143" s="29" t="n">
        <f aca="false">a26_shend*(1+sh_g)</f>
        <v>1.64</v>
      </c>
      <c r="F1143" s="29" t="n">
        <f aca="false">E1143*(1+sh_g)</f>
        <v>1.64</v>
      </c>
      <c r="G1143" s="29" t="n">
        <f aca="false">F1143*(1+sh_g)</f>
        <v>1.64</v>
      </c>
      <c r="H1143" s="31" t="n">
        <f aca="false">G1143*(1+sh_g)</f>
        <v>1.64</v>
      </c>
      <c r="I1143" s="31" t="n">
        <f aca="false">H1143*(1+sh_g)</f>
        <v>1.64</v>
      </c>
      <c r="J1143" s="31" t="n">
        <f aca="false">I1143*(1+sh_g)</f>
        <v>1.64</v>
      </c>
    </row>
    <row r="1144" customFormat="false" ht="17.15" hidden="false" customHeight="false" outlineLevel="0" collapsed="false">
      <c r="A1144" s="0" t="s">
        <v>540</v>
      </c>
      <c r="B1144" s="0" t="s">
        <v>387</v>
      </c>
      <c r="C1144" s="18" t="n">
        <f aca="false">C1142/C1143</f>
        <v>4.38</v>
      </c>
      <c r="D1144" s="18" t="n">
        <f aca="false">D1142/D1143</f>
        <v>23.3861414610695</v>
      </c>
      <c r="E1144" s="18" t="n">
        <f aca="false">E1142/E1143</f>
        <v>27.5149160301844</v>
      </c>
      <c r="F1144" s="18" t="n">
        <f aca="false">F1142/F1143</f>
        <v>31.1864638658306</v>
      </c>
      <c r="G1144" s="18" t="n">
        <f aca="false">G1142/G1143</f>
        <v>33.5783171183294</v>
      </c>
      <c r="H1144" s="28" t="n">
        <f aca="false">H1142/H1143</f>
        <v>36.4952692654843</v>
      </c>
      <c r="I1144" s="28" t="n">
        <f aca="false">I1142/I1143</f>
        <v>39.0722149366267</v>
      </c>
      <c r="J1144" s="28" t="n">
        <f aca="false">J1142/J1143</f>
        <v>41.195840258975</v>
      </c>
    </row>
    <row r="1145" customFormat="false" ht="17.15" hidden="false" customHeight="false" outlineLevel="0" collapsed="false">
      <c r="A1145" s="0" t="s">
        <v>673</v>
      </c>
      <c r="B1145" s="0" t="s">
        <v>45</v>
      </c>
      <c r="D1145" s="20" t="n">
        <f aca="false">D1144/C1144-1</f>
        <v>4.33930170344053</v>
      </c>
      <c r="E1145" s="20" t="n">
        <f aca="false">E1144/D1144-1</f>
        <v>0.176547917320521</v>
      </c>
      <c r="F1145" s="20" t="n">
        <f aca="false">F1144/E1144-1</f>
        <v>0.133438453223642</v>
      </c>
      <c r="G1145" s="20" t="n">
        <f aca="false">G1144/F1144-1</f>
        <v>0.0766952374847287</v>
      </c>
      <c r="H1145" s="26" t="n">
        <f aca="false">H1144/G1144-1</f>
        <v>0.0868701113541719</v>
      </c>
      <c r="I1145" s="26" t="n">
        <f aca="false">I1144/H1144-1</f>
        <v>0.070610403019536</v>
      </c>
      <c r="J1145" s="26" t="n">
        <f aca="false">J1144/I1144-1</f>
        <v>0.0543512909568282</v>
      </c>
    </row>
    <row r="1146" customFormat="false" ht="17.15" hidden="false" customHeight="false" outlineLevel="0" collapsed="false">
      <c r="A1146" s="3" t="s">
        <v>674</v>
      </c>
      <c r="B1146" s="0" t="s">
        <v>45</v>
      </c>
      <c r="C1146" s="13" t="n">
        <f aca="false">C1142/C1124</f>
        <v>0.0508453913030227</v>
      </c>
      <c r="D1146" s="13" t="n">
        <f aca="false">D1142/D1124</f>
        <v>0.197798517808343</v>
      </c>
      <c r="E1146" s="13" t="n">
        <f aca="false">E1142/E1124</f>
        <v>0.183550175024996</v>
      </c>
      <c r="F1146" s="13" t="n">
        <f aca="false">F1142/F1124</f>
        <v>0.181469274442746</v>
      </c>
      <c r="G1146" s="13" t="n">
        <f aca="false">G1142/G1124</f>
        <v>0.17619156724844</v>
      </c>
      <c r="H1146" s="27" t="n">
        <f aca="false">$G1146+(fade_mA-$G1146)*1/3</f>
        <v>0.175262548954879</v>
      </c>
      <c r="I1146" s="27" t="n">
        <f aca="false">$G1146+(fade_mA-$G1146)*2/3</f>
        <v>0.174333530661318</v>
      </c>
      <c r="J1146" s="27" t="n">
        <f aca="false">$G1146+(fade_mA-$G1146)*3/3</f>
        <v>0.173404512367757</v>
      </c>
    </row>
    <row r="1147" customFormat="false" ht="17.15" hidden="false" customHeight="false" outlineLevel="0" collapsed="false">
      <c r="A1147" s="3" t="s">
        <v>675</v>
      </c>
      <c r="B1147" s="0" t="s">
        <v>45</v>
      </c>
      <c r="C1147" s="20" t="n">
        <f aca="false">C1130/C1124</f>
        <v>0.195190527350447</v>
      </c>
      <c r="D1147" s="20" t="n">
        <f aca="false">D1130/D1124</f>
        <v>0.285230933480641</v>
      </c>
      <c r="E1147" s="20" t="n">
        <f aca="false">E1130/E1124</f>
        <v>0.223720330706817</v>
      </c>
      <c r="F1147" s="20" t="n">
        <f aca="false">F1130/F1124</f>
        <v>0.177403884402339</v>
      </c>
      <c r="G1147" s="20" t="n">
        <f aca="false">G1130/G1124</f>
        <v>0.143977576185503</v>
      </c>
      <c r="H1147" s="26" t="n">
        <f aca="false">$G1147+($G1132*(1+tp_g)^(life/2)-$G1147)*1/3</f>
        <v>0.135085626680906</v>
      </c>
      <c r="I1147" s="26" t="n">
        <f aca="false">$G1147+($G1132*(1+tp_g)^(life/2)-$G1147)*2/3</f>
        <v>0.12619367717631</v>
      </c>
      <c r="J1147" s="26" t="n">
        <f aca="false">$G1147+($G1132*(1+tp_g)^(life/2)-$G1147)*3/3</f>
        <v>0.117301727671713</v>
      </c>
      <c r="K1147" s="7" t="s">
        <v>676</v>
      </c>
    </row>
    <row r="1148" customFormat="false" ht="15" hidden="false" customHeight="false" outlineLevel="0" collapsed="false">
      <c r="A1148" s="3" t="s">
        <v>677</v>
      </c>
      <c r="B1148" s="0" t="s">
        <v>303</v>
      </c>
      <c r="E1148" s="21" t="n">
        <f aca="false">E1142+E1131-E1130</f>
        <v>15.0369622895024</v>
      </c>
      <c r="F1148" s="21" t="n">
        <f aca="false">F1142+F1131-F1130</f>
        <v>29.8192382399622</v>
      </c>
      <c r="G1148" s="21" t="n">
        <f aca="false">G1142+G1131-G1130</f>
        <v>41.4076978865602</v>
      </c>
      <c r="H1148" s="30" t="n">
        <f aca="false">H1142+H1131-H1130</f>
        <v>47.9626918464968</v>
      </c>
      <c r="I1148" s="30" t="n">
        <f aca="false">I1142+I1131-I1130</f>
        <v>54.5498693356372</v>
      </c>
      <c r="J1148" s="30" t="n">
        <f aca="false">J1142+J1131-J1130</f>
        <v>60.9253471566239</v>
      </c>
      <c r="K1148" s="3" t="s">
        <v>678</v>
      </c>
    </row>
    <row r="1149" customFormat="false" ht="15" hidden="false" customHeight="false" outlineLevel="0" collapsed="false">
      <c r="A1149" s="3" t="s">
        <v>679</v>
      </c>
      <c r="B1149" s="0" t="s">
        <v>387</v>
      </c>
      <c r="E1149" s="18" t="n">
        <f aca="false">E1148/E1143</f>
        <v>9.16887944481855</v>
      </c>
      <c r="F1149" s="18" t="n">
        <f aca="false">F1148/F1143</f>
        <v>18.1824623414403</v>
      </c>
      <c r="G1149" s="18" t="n">
        <f aca="false">G1148/G1143</f>
        <v>25.2485962722928</v>
      </c>
      <c r="H1149" s="28" t="n">
        <f aca="false">H1148/H1143</f>
        <v>29.2455438088395</v>
      </c>
      <c r="I1149" s="28" t="n">
        <f aca="false">I1148/I1143</f>
        <v>33.2621154485593</v>
      </c>
      <c r="J1149" s="28" t="n">
        <f aca="false">J1148/J1143</f>
        <v>37.1496019247707</v>
      </c>
    </row>
    <row r="1152" customFormat="false" ht="17.15" hidden="false" customHeight="false" outlineLevel="0" collapsed="false">
      <c r="A1152" s="1" t="s">
        <v>1038</v>
      </c>
    </row>
    <row r="1153" customFormat="false" ht="17.15" hidden="false" customHeight="false" outlineLevel="0" collapsed="false">
      <c r="A1153" s="4" t="s">
        <v>22</v>
      </c>
      <c r="B1153" s="4" t="s">
        <v>23</v>
      </c>
      <c r="C1153" s="14" t="s">
        <v>508</v>
      </c>
      <c r="D1153" s="14" t="s">
        <v>592</v>
      </c>
      <c r="E1153" s="14" t="s">
        <v>593</v>
      </c>
      <c r="F1153" s="14" t="s">
        <v>594</v>
      </c>
      <c r="G1153" s="14" t="s">
        <v>595</v>
      </c>
      <c r="H1153" s="14" t="s">
        <v>596</v>
      </c>
      <c r="I1153" s="14" t="s">
        <v>597</v>
      </c>
      <c r="J1153" s="14" t="s">
        <v>598</v>
      </c>
      <c r="K1153" s="4" t="s">
        <v>481</v>
      </c>
    </row>
    <row r="1154" customFormat="false" ht="17.15" hidden="false" customHeight="false" outlineLevel="0" collapsed="false">
      <c r="A1154" s="5" t="s">
        <v>616</v>
      </c>
    </row>
    <row r="1155" customFormat="false" ht="17.15" hidden="false" customHeight="false" outlineLevel="0" collapsed="false">
      <c r="A1155" s="0" t="s">
        <v>617</v>
      </c>
      <c r="B1155" s="3" t="s">
        <v>33</v>
      </c>
      <c r="D1155" s="21" t="n">
        <f aca="false">(u_bw_26+u_rb_26+u_ru_26+u_hp_26)*1</f>
        <v>7.6</v>
      </c>
      <c r="E1155" s="21" t="n">
        <f aca="false">(u_bw_27+u_rb_27+u_ru_27+u_hp_27)*1*1</f>
        <v>9.7</v>
      </c>
      <c r="F1155" s="21" t="n">
        <f aca="false">(u_bw_28+u_rb_28+u_ru_28+u_hp_28)*um28_A*1</f>
        <v>9.5</v>
      </c>
      <c r="G1155" s="21" t="n">
        <f aca="false">(u_bw_28*(1+g29_bw)+u_rb_28*(1+g29_rb)+u_ru_28*(1+g29_ru)+u_hp_28*(1+g29_hp))*um29_A*1</f>
        <v>10.6</v>
      </c>
      <c r="K1155" s="7" t="s">
        <v>618</v>
      </c>
    </row>
    <row r="1156" customFormat="false" ht="17.15" hidden="false" customHeight="false" outlineLevel="0" collapsed="false">
      <c r="A1156" s="3" t="s">
        <v>619</v>
      </c>
      <c r="B1156" s="3" t="s">
        <v>33</v>
      </c>
      <c r="D1156" s="21" t="n">
        <f aca="false">(u_amd_26+u_tpu_26+u_trn_26+u_oth_26)*1</f>
        <v>7.6</v>
      </c>
      <c r="E1156" s="21" t="n">
        <f aca="false">(u_amd_27+u_tpu_27+u_trn_27+u_oth_27)*1*1</f>
        <v>14</v>
      </c>
      <c r="F1156" s="21" t="n">
        <f aca="false">(u_amd_28+u_tpu_28+u_trn_28+u_oth_28)*um28_A*1</f>
        <v>17</v>
      </c>
      <c r="G1156" s="21" t="n">
        <f aca="false">(u_amd_28*(1+g29_amd)+u_tpu_28*(1+g29_tpu)+u_trn_28*(1+g29_trn)+u_oth_28*(1+g29_oth))*um29_A*1</f>
        <v>19.55</v>
      </c>
      <c r="K1156" s="7" t="s">
        <v>620</v>
      </c>
    </row>
    <row r="1157" customFormat="false" ht="17.15" hidden="false" customHeight="false" outlineLevel="0" collapsed="false">
      <c r="A1157" s="3" t="s">
        <v>621</v>
      </c>
      <c r="B1157" s="0" t="s">
        <v>145</v>
      </c>
      <c r="D1157" s="19" t="n">
        <f aca="false">1</f>
        <v>1</v>
      </c>
      <c r="E1157" s="19" t="n">
        <f aca="false">D1157*(1+g_asp)</f>
        <v>1.18</v>
      </c>
      <c r="F1157" s="19" t="n">
        <f aca="false">E1157*(1+g_asp)</f>
        <v>1.3924</v>
      </c>
      <c r="G1157" s="19" t="n">
        <f aca="false">F1157*(1+g_asp)</f>
        <v>1.643032</v>
      </c>
      <c r="K1157" s="7" t="s">
        <v>622</v>
      </c>
    </row>
    <row r="1158" customFormat="false" ht="17.15" hidden="false" customHeight="false" outlineLevel="0" collapsed="false">
      <c r="A1158" s="0" t="s">
        <v>623</v>
      </c>
      <c r="B1158" s="0" t="s">
        <v>145</v>
      </c>
      <c r="D1158" s="18" t="n">
        <f aca="false">1</f>
        <v>1</v>
      </c>
      <c r="E1158" s="18" t="n">
        <f aca="false">ibpp_27</f>
        <v>1</v>
      </c>
      <c r="F1158" s="18" t="n">
        <f aca="false">ibpp_28</f>
        <v>0.95</v>
      </c>
      <c r="G1158" s="18" t="n">
        <f aca="false">ibpp_29</f>
        <v>0.9</v>
      </c>
      <c r="K1158" s="7" t="s">
        <v>624</v>
      </c>
    </row>
    <row r="1159" customFormat="false" ht="17.15" hidden="false" customHeight="false" outlineLevel="0" collapsed="false">
      <c r="A1159" s="3" t="s">
        <v>625</v>
      </c>
      <c r="B1159" s="0" t="s">
        <v>145</v>
      </c>
      <c r="D1159" s="18" t="n">
        <f aca="false">1</f>
        <v>1</v>
      </c>
      <c r="E1159" s="18" t="n">
        <f aca="false">1+carry</f>
        <v>1.05</v>
      </c>
      <c r="F1159" s="18" t="n">
        <f aca="false">1+carry</f>
        <v>1.05</v>
      </c>
      <c r="G1159" s="18" t="n">
        <f aca="false">1+carry</f>
        <v>1.05</v>
      </c>
      <c r="K1159" s="7" t="s">
        <v>626</v>
      </c>
    </row>
    <row r="1160" customFormat="false" ht="17.15" hidden="false" customHeight="false" outlineLevel="0" collapsed="false">
      <c r="A1160" s="3" t="s">
        <v>627</v>
      </c>
      <c r="B1160" s="0" t="s">
        <v>628</v>
      </c>
      <c r="D1160" s="23" t="n">
        <f aca="false">v26*D1157*D1158</f>
        <v>215.308596</v>
      </c>
      <c r="E1160" s="23" t="n">
        <f aca="false">v26*E1157*E1158</f>
        <v>254.06414328</v>
      </c>
      <c r="F1160" s="23" t="n">
        <f aca="false">v26*F1157*F1158</f>
        <v>284.80590461688</v>
      </c>
      <c r="G1160" s="23" t="n">
        <f aca="false">v26*G1157*G1158</f>
        <v>318.383021792765</v>
      </c>
      <c r="K1160" s="7" t="s">
        <v>629</v>
      </c>
    </row>
    <row r="1161" customFormat="false" ht="17.15" hidden="false" customHeight="false" outlineLevel="0" collapsed="false">
      <c r="A1161" s="3" t="s">
        <v>630</v>
      </c>
      <c r="B1161" s="0" t="s">
        <v>45</v>
      </c>
      <c r="D1161" s="20" t="n">
        <f aca="false">sh_nv_26</f>
        <v>0.25</v>
      </c>
      <c r="E1161" s="20" t="n">
        <f aca="false">sh_nv_27</f>
        <v>0.27</v>
      </c>
      <c r="F1161" s="20" t="n">
        <f aca="false">sh_nv_28</f>
        <v>0.29</v>
      </c>
      <c r="G1161" s="20" t="n">
        <f aca="false">sh_nv_29</f>
        <v>0.3</v>
      </c>
    </row>
    <row r="1162" customFormat="false" ht="17.15" hidden="false" customHeight="false" outlineLevel="0" collapsed="false">
      <c r="A1162" s="3" t="s">
        <v>631</v>
      </c>
      <c r="B1162" s="0" t="s">
        <v>45</v>
      </c>
      <c r="D1162" s="20" t="n">
        <f aca="false">sh_ot_26</f>
        <v>0.3</v>
      </c>
      <c r="E1162" s="20" t="n">
        <f aca="false">sh_ot_27</f>
        <v>0.31</v>
      </c>
      <c r="F1162" s="20" t="n">
        <f aca="false">sh_ot_28</f>
        <v>0.32</v>
      </c>
      <c r="G1162" s="20" t="n">
        <f aca="false">sh_ot_29</f>
        <v>0.33</v>
      </c>
    </row>
    <row r="1163" customFormat="false" ht="17.15" hidden="false" customHeight="false" outlineLevel="0" collapsed="false">
      <c r="A1163" s="3" t="s">
        <v>632</v>
      </c>
      <c r="B1163" s="0" t="s">
        <v>582</v>
      </c>
      <c r="D1163" s="22" t="n">
        <f aca="false">(D1155*D1160*D1161+D1156*D1160*v_ot*D1162)*D1159</f>
        <v>801.809211504</v>
      </c>
      <c r="E1163" s="22" t="n">
        <f aca="false">(E1155*E1160*E1161+E1156*E1160*v_ot*E1162)*E1159</f>
        <v>1624.8799315544</v>
      </c>
      <c r="F1163" s="22" t="n">
        <f aca="false">(F1155*F1160*F1161+F1156*F1160*v_ot*F1162)*F1159</f>
        <v>2125.32134231777</v>
      </c>
      <c r="G1163" s="22" t="n">
        <f aca="false">(G1155*G1160*G1161+G1156*G1160*v_ot*G1162)*G1159</f>
        <v>2788.4812844467</v>
      </c>
    </row>
    <row r="1164" customFormat="false" ht="15" hidden="false" customHeight="false" outlineLevel="0" collapsed="false">
      <c r="A1164" s="3" t="s">
        <v>633</v>
      </c>
      <c r="B1164" s="0" t="s">
        <v>303</v>
      </c>
      <c r="D1164" s="21" t="n">
        <f aca="false">D1163*fx/1000</f>
        <v>25.657894768128</v>
      </c>
      <c r="E1164" s="21" t="n">
        <f aca="false">E1163*fx/1000</f>
        <v>51.9961578097409</v>
      </c>
      <c r="F1164" s="21" t="n">
        <f aca="false">F1163*fx/1000</f>
        <v>68.0102829541688</v>
      </c>
      <c r="G1164" s="21" t="n">
        <f aca="false">G1163*fx/1000</f>
        <v>89.2314011022944</v>
      </c>
    </row>
    <row r="1165" customFormat="false" ht="17.15" hidden="false" customHeight="false" outlineLevel="0" collapsed="false">
      <c r="A1165" s="5" t="s">
        <v>634</v>
      </c>
    </row>
    <row r="1166" customFormat="false" ht="17.15" hidden="false" customHeight="false" outlineLevel="0" collapsed="false">
      <c r="A1166" s="0" t="s">
        <v>635</v>
      </c>
      <c r="B1166" s="0" t="s">
        <v>303</v>
      </c>
      <c r="D1166" s="21" t="n">
        <f aca="false">a26_abf*ai_abf</f>
        <v>74.83672875</v>
      </c>
      <c r="K1166" s="3" t="s">
        <v>636</v>
      </c>
    </row>
    <row r="1167" customFormat="false" ht="17.15" hidden="false" customHeight="false" outlineLevel="0" collapsed="false">
      <c r="A1167" s="3" t="s">
        <v>637</v>
      </c>
      <c r="B1167" s="0" t="s">
        <v>303</v>
      </c>
      <c r="D1167" s="21" t="n">
        <f aca="false">D1166-D1164</f>
        <v>49.178833981872</v>
      </c>
      <c r="E1167" s="21" t="n">
        <f aca="false">$D1167*(itc_27/itc_26)^el_o_lo*1*1*E1158*E1159</f>
        <v>63.5931170827987</v>
      </c>
      <c r="F1167" s="21" t="n">
        <f aca="false">$D1167*(itc_28/itc_26)^el_o_lo*um28_A*1*F1158*F1159</f>
        <v>64.8679404828187</v>
      </c>
      <c r="G1167" s="21" t="n">
        <f aca="false">$D1167*(itc_29/itc_26)^el_o_lo*um29_A*1*G1158*G1159</f>
        <v>63.9034365979103</v>
      </c>
      <c r="K1167" s="7" t="s">
        <v>638</v>
      </c>
    </row>
    <row r="1168" customFormat="false" ht="17.15" hidden="false" customHeight="false" outlineLevel="0" collapsed="false">
      <c r="A1168" s="3" t="s">
        <v>639</v>
      </c>
      <c r="B1168" s="0" t="s">
        <v>303</v>
      </c>
      <c r="D1168" s="21" t="n">
        <f aca="false">a26_abf-D1166</f>
        <v>24.94557625</v>
      </c>
      <c r="E1168" s="21" t="n">
        <f aca="false">D1168*(1+g_nai)</f>
        <v>25.6939435375</v>
      </c>
      <c r="F1168" s="21" t="n">
        <f aca="false">E1168*(1+g_nai)</f>
        <v>26.464761843625</v>
      </c>
      <c r="G1168" s="21" t="n">
        <f aca="false">F1168*(1+g_nai)</f>
        <v>27.2587046989338</v>
      </c>
    </row>
    <row r="1169" customFormat="false" ht="17.15" hidden="false" customHeight="false" outlineLevel="0" collapsed="false">
      <c r="A1169" s="0" t="s">
        <v>640</v>
      </c>
      <c r="B1169" s="0" t="s">
        <v>303</v>
      </c>
      <c r="D1169" s="21" t="n">
        <f aca="false">D1164+D1167+D1168</f>
        <v>99.782305</v>
      </c>
      <c r="E1169" s="21" t="n">
        <f aca="false">E1164+E1167+E1168</f>
        <v>141.28321843004</v>
      </c>
      <c r="F1169" s="21" t="n">
        <f aca="false">F1164+F1167+F1168</f>
        <v>159.342985280613</v>
      </c>
      <c r="G1169" s="21" t="n">
        <f aca="false">G1164+G1167+G1168</f>
        <v>180.393542399138</v>
      </c>
    </row>
    <row r="1170" customFormat="false" ht="17.15" hidden="false" customHeight="false" outlineLevel="0" collapsed="false">
      <c r="A1170" s="0" t="s">
        <v>641</v>
      </c>
      <c r="B1170" s="0" t="s">
        <v>303</v>
      </c>
      <c r="D1170" s="21" t="n">
        <f aca="false">a26_abf</f>
        <v>99.782305</v>
      </c>
      <c r="E1170" s="21" t="n">
        <f aca="false">$D1169*cap_27*(1+g_mix)^1*E1158*E1159</f>
        <v>148.513488204375</v>
      </c>
      <c r="F1170" s="21" t="n">
        <f aca="false">$D1169*cap_28*(1+g_mix)^2*F1158*F1159</f>
        <v>186.549442683384</v>
      </c>
      <c r="G1170" s="21" t="n">
        <f aca="false">$D1169*cap_29*(1+g_mix)^3*G1158*G1159</f>
        <v>218.314827660431</v>
      </c>
      <c r="K1170" s="7" t="s">
        <v>642</v>
      </c>
    </row>
    <row r="1171" customFormat="false" ht="17.15" hidden="false" customHeight="false" outlineLevel="0" collapsed="false">
      <c r="A1171" s="0" t="s">
        <v>643</v>
      </c>
      <c r="B1171" s="0" t="s">
        <v>303</v>
      </c>
      <c r="D1171" s="21" t="n">
        <f aca="false">a26_abf</f>
        <v>99.782305</v>
      </c>
      <c r="E1171" s="21" t="n">
        <f aca="false">MIN(E1169,E1170)</f>
        <v>141.28321843004</v>
      </c>
      <c r="F1171" s="21" t="n">
        <f aca="false">MIN(F1169,F1170)</f>
        <v>159.342985280613</v>
      </c>
      <c r="G1171" s="21" t="n">
        <f aca="false">MIN(G1169,G1170)</f>
        <v>180.393542399138</v>
      </c>
    </row>
    <row r="1172" customFormat="false" ht="17.15" hidden="false" customHeight="false" outlineLevel="0" collapsed="false">
      <c r="A1172" s="3" t="s">
        <v>644</v>
      </c>
      <c r="B1172" s="0" t="s">
        <v>45</v>
      </c>
      <c r="D1172" s="20" t="n">
        <f aca="false">D1171/D1169</f>
        <v>1</v>
      </c>
      <c r="E1172" s="20" t="n">
        <f aca="false">E1171/E1169</f>
        <v>1</v>
      </c>
      <c r="F1172" s="20" t="n">
        <f aca="false">F1171/F1169</f>
        <v>1</v>
      </c>
      <c r="G1172" s="20" t="n">
        <f aca="false">G1171/G1169</f>
        <v>1</v>
      </c>
    </row>
    <row r="1173" customFormat="false" ht="17.15" hidden="false" customHeight="false" outlineLevel="0" collapsed="false">
      <c r="A1173" s="0" t="s">
        <v>645</v>
      </c>
      <c r="B1173" s="0" t="s">
        <v>303</v>
      </c>
      <c r="D1173" s="21" t="n">
        <f aca="false">(D1164+D1167)*D1172</f>
        <v>74.83672875</v>
      </c>
      <c r="E1173" s="21" t="n">
        <f aca="false">(E1164+E1167)*E1172</f>
        <v>115.58927489254</v>
      </c>
      <c r="F1173" s="21" t="n">
        <f aca="false">(F1164+F1167)*F1172</f>
        <v>132.878223436988</v>
      </c>
      <c r="G1173" s="21" t="n">
        <f aca="false">(G1164+G1167)*G1172</f>
        <v>153.134837700205</v>
      </c>
    </row>
    <row r="1174" customFormat="false" ht="17.15" hidden="false" customHeight="false" outlineLevel="0" collapsed="false">
      <c r="A1174" s="3" t="s">
        <v>646</v>
      </c>
      <c r="B1174" s="0" t="s">
        <v>45</v>
      </c>
      <c r="D1174" s="20" t="n">
        <f aca="false">D1164/(D1164+D1167)</f>
        <v>0.342851634440636</v>
      </c>
      <c r="E1174" s="20" t="n">
        <f aca="false">E1164/(E1164+E1167)</f>
        <v>0.4498354874021</v>
      </c>
      <c r="F1174" s="20" t="n">
        <f aca="false">F1164/(F1164+F1167)</f>
        <v>0.511824143904363</v>
      </c>
      <c r="G1174" s="20" t="n">
        <f aca="false">G1164/(G1164+G1167)</f>
        <v>0.582698244516931</v>
      </c>
    </row>
    <row r="1175" customFormat="false" ht="17.15" hidden="false" customHeight="false" outlineLevel="0" collapsed="false">
      <c r="A1175" s="5" t="s">
        <v>647</v>
      </c>
    </row>
    <row r="1176" customFormat="false" ht="17.15" hidden="false" customHeight="false" outlineLevel="0" collapsed="false">
      <c r="A1176" s="0" t="s">
        <v>550</v>
      </c>
      <c r="B1176" s="0" t="s">
        <v>303</v>
      </c>
      <c r="D1176" s="21" t="n">
        <f aca="false">a26_bt</f>
        <v>16.944165</v>
      </c>
      <c r="E1176" s="21" t="n">
        <f aca="false">D1176*(1+g_bt)</f>
        <v>17.79137325</v>
      </c>
      <c r="F1176" s="21" t="n">
        <f aca="false">E1176*(1+g_bt)</f>
        <v>18.6809419125</v>
      </c>
      <c r="G1176" s="21" t="n">
        <f aca="false">F1176*(1+g_bt)</f>
        <v>19.614989008125</v>
      </c>
    </row>
    <row r="1177" customFormat="false" ht="17.15" hidden="false" customHeight="false" outlineLevel="0" collapsed="false">
      <c r="A1177" s="0" t="s">
        <v>648</v>
      </c>
      <c r="B1177" s="0" t="s">
        <v>303</v>
      </c>
      <c r="D1177" s="21" t="n">
        <f aca="false">a26_pcb*ai_pcb</f>
        <v>37.93610275</v>
      </c>
      <c r="E1177" s="21" t="n">
        <f aca="false">D1177*(1+g_pai_27)</f>
        <v>45.5233233</v>
      </c>
      <c r="F1177" s="21" t="n">
        <f aca="false">D1177*(1+g_pai_27)*(1+g_pai_28)*um28_A</f>
        <v>52.351821795</v>
      </c>
      <c r="G1177" s="21" t="n">
        <f aca="false">D1177*(1+g_pai_27)*(1+g_pai_28)*(1+g_pai_29)*um29_A</f>
        <v>57.5870039745</v>
      </c>
      <c r="K1177" s="3" t="s">
        <v>649</v>
      </c>
    </row>
    <row r="1178" customFormat="false" ht="17.15" hidden="false" customHeight="false" outlineLevel="0" collapsed="false">
      <c r="A1178" s="3" t="s">
        <v>650</v>
      </c>
      <c r="B1178" s="0" t="s">
        <v>303</v>
      </c>
      <c r="D1178" s="21" t="n">
        <f aca="false">a26_pcb*(1-ai_pcb)</f>
        <v>20.42713225</v>
      </c>
      <c r="E1178" s="21" t="n">
        <f aca="false">D1178*(1+g_pcbn)</f>
        <v>20.835674895</v>
      </c>
      <c r="F1178" s="21" t="n">
        <f aca="false">E1178*(1+g_pcbn)</f>
        <v>21.2523883929</v>
      </c>
      <c r="G1178" s="21" t="n">
        <f aca="false">F1178*(1+g_pcbn)</f>
        <v>21.677436160758</v>
      </c>
    </row>
    <row r="1179" customFormat="false" ht="15" hidden="false" customHeight="false" outlineLevel="0" collapsed="false">
      <c r="A1179" s="3" t="s">
        <v>552</v>
      </c>
      <c r="B1179" s="0" t="s">
        <v>303</v>
      </c>
      <c r="D1179" s="21" t="n">
        <f aca="false">a26_fpc</f>
        <v>13.178795</v>
      </c>
      <c r="E1179" s="21" t="n">
        <f aca="false">D1179*(1+g_fpc)</f>
        <v>13.178795</v>
      </c>
      <c r="F1179" s="21" t="n">
        <f aca="false">E1179*(1+g_fpc)</f>
        <v>13.178795</v>
      </c>
      <c r="G1179" s="21" t="n">
        <f aca="false">F1179*(1+g_fpc)</f>
        <v>13.178795</v>
      </c>
    </row>
    <row r="1180" customFormat="false" ht="17.15" hidden="false" customHeight="false" outlineLevel="0" collapsed="false">
      <c r="A1180" s="3" t="s">
        <v>651</v>
      </c>
      <c r="B1180" s="0" t="s">
        <v>303</v>
      </c>
      <c r="D1180" s="21" t="n">
        <f aca="false">D1171+D1176</f>
        <v>116.72647</v>
      </c>
      <c r="E1180" s="21" t="n">
        <f aca="false">E1171+E1176</f>
        <v>159.07459168004</v>
      </c>
      <c r="F1180" s="21" t="n">
        <f aca="false">F1171+F1176</f>
        <v>178.023927193113</v>
      </c>
      <c r="G1180" s="21" t="n">
        <f aca="false">G1171+G1176</f>
        <v>200.008531407263</v>
      </c>
      <c r="K1180" s="3" t="s">
        <v>652</v>
      </c>
    </row>
    <row r="1181" customFormat="false" ht="17.15" hidden="false" customHeight="false" outlineLevel="0" collapsed="false">
      <c r="A1181" s="0" t="s">
        <v>653</v>
      </c>
      <c r="B1181" s="0" t="s">
        <v>303</v>
      </c>
      <c r="D1181" s="21" t="n">
        <f aca="false">D1177+D1178</f>
        <v>58.363235</v>
      </c>
      <c r="E1181" s="21" t="n">
        <f aca="false">E1177+E1178</f>
        <v>66.358998195</v>
      </c>
      <c r="F1181" s="21" t="n">
        <f aca="false">F1177+F1178</f>
        <v>73.6042101879</v>
      </c>
      <c r="G1181" s="21" t="n">
        <f aca="false">G1177+G1178</f>
        <v>79.264440135258</v>
      </c>
      <c r="K1181" s="3" t="s">
        <v>654</v>
      </c>
    </row>
    <row r="1182" customFormat="false" ht="17.15" hidden="false" customHeight="false" outlineLevel="0" collapsed="false">
      <c r="A1182" s="3" t="s">
        <v>515</v>
      </c>
      <c r="B1182" s="0" t="s">
        <v>303</v>
      </c>
      <c r="C1182" s="23" t="n">
        <f aca="false">a25_rev</f>
        <v>131.241</v>
      </c>
      <c r="D1182" s="23" t="n">
        <f aca="false">D1180+D1181+D1179</f>
        <v>188.2685</v>
      </c>
      <c r="E1182" s="23" t="n">
        <f aca="false">E1180+E1181+E1179</f>
        <v>238.61238487504</v>
      </c>
      <c r="F1182" s="23" t="n">
        <f aca="false">F1180+F1181+F1179</f>
        <v>264.806932381013</v>
      </c>
      <c r="G1182" s="23" t="n">
        <f aca="false">G1180+G1181+G1179</f>
        <v>292.451766542521</v>
      </c>
      <c r="H1182" s="25" t="n">
        <f aca="false">G1182*(1+H1184)</f>
        <v>318.654701507882</v>
      </c>
      <c r="I1182" s="25" t="n">
        <f aca="false">H1182*(1+I1184)</f>
        <v>342.489668222596</v>
      </c>
      <c r="J1182" s="25" t="n">
        <f aca="false">I1182*(1+J1184)</f>
        <v>363.039048315952</v>
      </c>
      <c r="K1182" s="7" t="s">
        <v>655</v>
      </c>
    </row>
    <row r="1183" customFormat="false" ht="17.15" hidden="false" customHeight="false" outlineLevel="0" collapsed="false">
      <c r="A1183" s="3" t="s">
        <v>656</v>
      </c>
      <c r="B1183" s="0" t="s">
        <v>303</v>
      </c>
      <c r="D1183" s="19" t="n">
        <f aca="false">D1180+D1181+D1179-D1182</f>
        <v>0</v>
      </c>
      <c r="E1183" s="19" t="n">
        <f aca="false">E1180+E1181+E1179-E1182</f>
        <v>0</v>
      </c>
      <c r="F1183" s="19" t="n">
        <f aca="false">F1180+F1181+F1179-F1182</f>
        <v>0</v>
      </c>
      <c r="G1183" s="19" t="n">
        <f aca="false">G1180+G1181+G1179-G1182</f>
        <v>0</v>
      </c>
    </row>
    <row r="1184" customFormat="false" ht="15" hidden="false" customHeight="false" outlineLevel="0" collapsed="false">
      <c r="A1184" s="3" t="s">
        <v>657</v>
      </c>
      <c r="B1184" s="0" t="s">
        <v>45</v>
      </c>
      <c r="D1184" s="20" t="n">
        <f aca="false">D1182/C1182-1</f>
        <v>0.434525034097576</v>
      </c>
      <c r="E1184" s="20" t="n">
        <f aca="false">E1182/D1182-1</f>
        <v>0.267404716535372</v>
      </c>
      <c r="F1184" s="20" t="n">
        <f aca="false">F1182/E1182-1</f>
        <v>0.109778658470267</v>
      </c>
      <c r="G1184" s="20" t="n">
        <f aca="false">G1182/F1182-1</f>
        <v>0.104396187490034</v>
      </c>
      <c r="H1184" s="26" t="n">
        <f aca="false">$G1184+(fade_gA-$G1184)*1/3</f>
        <v>0.0895974583266893</v>
      </c>
      <c r="I1184" s="26" t="n">
        <f aca="false">$G1184+(fade_gA-$G1184)*2/3</f>
        <v>0.0747987291633446</v>
      </c>
      <c r="J1184" s="26" t="n">
        <f aca="false">$G1184+(fade_gA-$G1184)*3/3</f>
        <v>0.06</v>
      </c>
    </row>
    <row r="1185" customFormat="false" ht="17.15" hidden="false" customHeight="false" outlineLevel="0" collapsed="false">
      <c r="A1185" s="0" t="s">
        <v>658</v>
      </c>
      <c r="B1185" s="0" t="s">
        <v>45</v>
      </c>
      <c r="D1185" s="20" t="n">
        <f aca="false">D1171/D1182</f>
        <v>0.53</v>
      </c>
      <c r="E1185" s="20" t="n">
        <f aca="false">E1171/E1182</f>
        <v>0.592103458938349</v>
      </c>
      <c r="F1185" s="20" t="n">
        <f aca="false">F1171/F1182</f>
        <v>0.601732680666173</v>
      </c>
      <c r="G1185" s="20" t="n">
        <f aca="false">G1171/G1182</f>
        <v>0.616831775481547</v>
      </c>
    </row>
    <row r="1186" customFormat="false" ht="17.15" hidden="false" customHeight="false" outlineLevel="0" collapsed="false">
      <c r="A1186" s="0" t="s">
        <v>659</v>
      </c>
      <c r="B1186" s="0" t="s">
        <v>45</v>
      </c>
      <c r="D1186" s="20" t="n">
        <f aca="false">(D1173+D1177)/D1182</f>
        <v>0.599</v>
      </c>
      <c r="E1186" s="20" t="n">
        <f aca="false">(E1173+E1177)/E1182</f>
        <v>0.675206353085627</v>
      </c>
      <c r="F1186" s="20" t="n">
        <f aca="false">(F1173+F1177)/F1182</f>
        <v>0.699490921806657</v>
      </c>
      <c r="G1186" s="20" t="n">
        <f aca="false">(G1173+G1177)/G1182</f>
        <v>0.720535369527565</v>
      </c>
      <c r="K1186" s="3" t="s">
        <v>660</v>
      </c>
    </row>
    <row r="1187" customFormat="false" ht="17.15" hidden="false" customHeight="false" outlineLevel="0" collapsed="false">
      <c r="A1187" s="5" t="s">
        <v>661</v>
      </c>
    </row>
    <row r="1188" customFormat="false" ht="15" hidden="false" customHeight="false" outlineLevel="0" collapsed="false">
      <c r="A1188" s="3" t="s">
        <v>662</v>
      </c>
      <c r="B1188" s="0" t="s">
        <v>303</v>
      </c>
      <c r="C1188" s="23" t="n">
        <f aca="false">a25_cx</f>
        <v>25.617</v>
      </c>
      <c r="D1188" s="23" t="n">
        <f aca="false">capex26</f>
        <v>53.7</v>
      </c>
      <c r="E1188" s="23" t="n">
        <f aca="false">cx27_A</f>
        <v>55</v>
      </c>
      <c r="F1188" s="23" t="n">
        <f aca="false">cx28_A</f>
        <v>50</v>
      </c>
      <c r="G1188" s="23" t="n">
        <f aca="false">cx29_A</f>
        <v>45</v>
      </c>
      <c r="H1188" s="25" t="n">
        <f aca="false">H1182*H1205</f>
        <v>46.0037123310468</v>
      </c>
      <c r="I1188" s="25" t="n">
        <f aca="false">I1182*I1205</f>
        <v>46.1900547424993</v>
      </c>
      <c r="J1188" s="25" t="n">
        <f aca="false">J1182*J1205</f>
        <v>45.5115006108809</v>
      </c>
    </row>
    <row r="1189" customFormat="false" ht="17.15" hidden="false" customHeight="false" outlineLevel="0" collapsed="false">
      <c r="A1189" s="3" t="s">
        <v>663</v>
      </c>
      <c r="B1189" s="0" t="s">
        <v>303</v>
      </c>
      <c r="C1189" s="23" t="n">
        <f aca="false">a25_da</f>
        <v>18.8</v>
      </c>
      <c r="D1189" s="23" t="n">
        <f aca="false">da26</f>
        <v>20.8</v>
      </c>
      <c r="E1189" s="23" t="n">
        <f aca="false">D1189*(1-1/life)+D1188/life</f>
        <v>24.9125</v>
      </c>
      <c r="F1189" s="23" t="n">
        <f aca="false">E1189*(1-1/life)+E1188/life</f>
        <v>28.6734375</v>
      </c>
      <c r="G1189" s="23" t="n">
        <f aca="false">F1189*(1-1/life)+F1188/life</f>
        <v>31.3392578125</v>
      </c>
      <c r="H1189" s="25" t="n">
        <f aca="false">H1182*H1190</f>
        <v>34.1471756583448</v>
      </c>
      <c r="I1189" s="25" t="n">
        <f aca="false">I1182*I1190</f>
        <v>36.7013410021065</v>
      </c>
      <c r="J1189" s="25" t="n">
        <f aca="false">J1182*J1190</f>
        <v>38.9034214622329</v>
      </c>
      <c r="K1189" s="3" t="s">
        <v>664</v>
      </c>
    </row>
    <row r="1190" customFormat="false" ht="17.15" hidden="false" customHeight="false" outlineLevel="0" collapsed="false">
      <c r="A1190" s="3" t="s">
        <v>665</v>
      </c>
      <c r="B1190" s="0" t="s">
        <v>45</v>
      </c>
      <c r="C1190" s="20" t="n">
        <f aca="false">C1189/C1182</f>
        <v>0.143247917952469</v>
      </c>
      <c r="D1190" s="20" t="n">
        <f aca="false">D1189/D1182</f>
        <v>0.110480510547436</v>
      </c>
      <c r="E1190" s="20" t="n">
        <f aca="false">E1189/E1182</f>
        <v>0.104405729036431</v>
      </c>
      <c r="F1190" s="20" t="n">
        <f aca="false">F1189/F1182</f>
        <v>0.108280539494124</v>
      </c>
      <c r="G1190" s="20" t="n">
        <f aca="false">G1189/G1182</f>
        <v>0.107160432583482</v>
      </c>
      <c r="H1190" s="26" t="n">
        <f aca="false">$G1190</f>
        <v>0.107160432583482</v>
      </c>
      <c r="I1190" s="26" t="n">
        <f aca="false">$G1190</f>
        <v>0.107160432583482</v>
      </c>
      <c r="J1190" s="26" t="n">
        <f aca="false">$G1190</f>
        <v>0.107160432583482</v>
      </c>
    </row>
    <row r="1191" customFormat="false" ht="17.15" hidden="false" customHeight="false" outlineLevel="0" collapsed="false">
      <c r="A1191" s="3" t="s">
        <v>666</v>
      </c>
      <c r="B1191" s="0" t="s">
        <v>303</v>
      </c>
      <c r="E1191" s="21" t="n">
        <f aca="false">E1173*(1-1/(E1158*E1159))</f>
        <v>5.50425118535904</v>
      </c>
      <c r="F1191" s="21" t="n">
        <f aca="false">F1173*(1-1/(F1158*F1159))</f>
        <v>-0.333028128914778</v>
      </c>
      <c r="G1191" s="21" t="n">
        <f aca="false">G1173*(1-1/(G1158*G1159))</f>
        <v>-8.91260960159921</v>
      </c>
      <c r="K1191" s="7" t="s">
        <v>667</v>
      </c>
    </row>
    <row r="1192" customFormat="false" ht="17.15" hidden="false" customHeight="false" outlineLevel="0" collapsed="false">
      <c r="A1192" s="3" t="s">
        <v>668</v>
      </c>
      <c r="B1192" s="0" t="s">
        <v>303</v>
      </c>
      <c r="C1192" s="21" t="n">
        <f aca="false">a25_gp</f>
        <v>18.292</v>
      </c>
      <c r="D1192" s="21" t="n">
        <f aca="false">a26_gp</f>
        <v>47.3329657</v>
      </c>
      <c r="E1192" s="21" t="n">
        <f aca="false">$D1192+ft_abf*(E1171-E1191-$D1171)+ft_oth*((E1182-E1171)-($D1182-$D1171))+E1191-(E1189-$D1189)</f>
        <v>68.9337908689493</v>
      </c>
      <c r="F1192" s="21" t="n">
        <f aca="false">$D1192+ft_abf*(F1171-F1191-$D1171)+ft_oth*((F1182-F1171)-($D1182-$D1171))+F1191-(F1189-$D1189)</f>
        <v>73.3177923009489</v>
      </c>
      <c r="G1192" s="21" t="n">
        <f aca="false">$D1192+ft_abf*(G1171-G1191-$D1171)+ft_oth*((G1182-G1171)-($D1182-$D1171))+G1191-(G1189-$D1189)</f>
        <v>78.5360290721154</v>
      </c>
      <c r="K1192" s="3" t="s">
        <v>669</v>
      </c>
    </row>
    <row r="1193" customFormat="false" ht="15" hidden="false" customHeight="false" outlineLevel="0" collapsed="false">
      <c r="A1193" s="3" t="s">
        <v>522</v>
      </c>
      <c r="B1193" s="0" t="s">
        <v>45</v>
      </c>
      <c r="C1193" s="13" t="n">
        <f aca="false">C1192/C1182</f>
        <v>0.139377176339711</v>
      </c>
      <c r="D1193" s="13" t="n">
        <f aca="false">D1192/D1182</f>
        <v>0.251412029627899</v>
      </c>
      <c r="E1193" s="13" t="n">
        <f aca="false">E1192/E1182</f>
        <v>0.288894438170297</v>
      </c>
      <c r="F1193" s="13" t="n">
        <f aca="false">F1192/F1182</f>
        <v>0.276872631851862</v>
      </c>
      <c r="G1193" s="13" t="n">
        <f aca="false">G1192/G1182</f>
        <v>0.268543527709198</v>
      </c>
    </row>
    <row r="1194" customFormat="false" ht="15" hidden="false" customHeight="false" outlineLevel="0" collapsed="false">
      <c r="A1194" s="3" t="s">
        <v>524</v>
      </c>
      <c r="B1194" s="0" t="s">
        <v>303</v>
      </c>
      <c r="C1194" s="21" t="n">
        <f aca="false">a25_opx</f>
        <v>11.618</v>
      </c>
      <c r="D1194" s="21" t="n">
        <f aca="false">a26_opx</f>
        <v>16.6539532</v>
      </c>
      <c r="E1194" s="21" t="n">
        <f aca="false">D1194*(1+phi*E1184)</f>
        <v>19.3259605807836</v>
      </c>
      <c r="F1194" s="21" t="n">
        <f aca="false">E1194*(1+phi*F1184)</f>
        <v>20.5989073965082</v>
      </c>
      <c r="G1194" s="21" t="n">
        <f aca="false">F1194*(1+phi*G1184)</f>
        <v>21.8891758357017</v>
      </c>
    </row>
    <row r="1195" customFormat="false" ht="15" hidden="false" customHeight="false" outlineLevel="0" collapsed="false">
      <c r="A1195" s="3" t="s">
        <v>527</v>
      </c>
      <c r="B1195" s="0" t="s">
        <v>303</v>
      </c>
      <c r="C1195" s="21" t="n">
        <f aca="false">C1192-C1194</f>
        <v>6.674</v>
      </c>
      <c r="D1195" s="21" t="n">
        <f aca="false">D1192-D1194</f>
        <v>30.6790125</v>
      </c>
      <c r="E1195" s="21" t="n">
        <f aca="false">E1192-E1194</f>
        <v>49.6078302881657</v>
      </c>
      <c r="F1195" s="21" t="n">
        <f aca="false">F1192-F1194</f>
        <v>52.7188849044406</v>
      </c>
      <c r="G1195" s="21" t="n">
        <f aca="false">G1192-G1194</f>
        <v>56.6468532364137</v>
      </c>
    </row>
    <row r="1196" customFormat="false" ht="15" hidden="false" customHeight="false" outlineLevel="0" collapsed="false">
      <c r="A1196" s="3" t="s">
        <v>605</v>
      </c>
      <c r="B1196" s="0" t="s">
        <v>45</v>
      </c>
      <c r="C1196" s="13" t="n">
        <f aca="false">C1195/C1182</f>
        <v>0.0508530108731265</v>
      </c>
      <c r="D1196" s="13" t="n">
        <f aca="false">D1195/D1182</f>
        <v>0.162953507888999</v>
      </c>
      <c r="E1196" s="13" t="n">
        <f aca="false">E1195/E1182</f>
        <v>0.207901322113457</v>
      </c>
      <c r="F1196" s="13" t="n">
        <f aca="false">F1195/F1182</f>
        <v>0.199084232540359</v>
      </c>
      <c r="G1196" s="13" t="n">
        <f aca="false">G1195/G1182</f>
        <v>0.193696396182232</v>
      </c>
    </row>
    <row r="1197" customFormat="false" ht="17.15" hidden="false" customHeight="false" outlineLevel="0" collapsed="false">
      <c r="A1197" s="3" t="s">
        <v>670</v>
      </c>
      <c r="B1197" s="0" t="s">
        <v>303</v>
      </c>
      <c r="C1197" s="21" t="n">
        <f aca="false">a25_nonop</f>
        <v>-0.00100000000000033</v>
      </c>
      <c r="D1197" s="21" t="n">
        <f aca="false">a26_nonop</f>
        <v>14.466</v>
      </c>
      <c r="E1197" s="21" t="n">
        <f aca="false">nonop27</f>
        <v>2</v>
      </c>
      <c r="F1197" s="21" t="n">
        <f aca="false">nonop28</f>
        <v>2</v>
      </c>
      <c r="G1197" s="21" t="n">
        <f aca="false">nonop29</f>
        <v>2</v>
      </c>
      <c r="K1197" s="7" t="s">
        <v>671</v>
      </c>
    </row>
    <row r="1198" customFormat="false" ht="15" hidden="false" customHeight="false" outlineLevel="0" collapsed="false">
      <c r="A1198" s="3" t="s">
        <v>533</v>
      </c>
      <c r="B1198" s="0" t="s">
        <v>303</v>
      </c>
      <c r="C1198" s="21" t="n">
        <f aca="false">C1195+C1197</f>
        <v>6.673</v>
      </c>
      <c r="D1198" s="21" t="n">
        <f aca="false">D1195+D1197</f>
        <v>45.1450125</v>
      </c>
      <c r="E1198" s="21" t="n">
        <f aca="false">E1195+E1197</f>
        <v>51.6078302881657</v>
      </c>
      <c r="F1198" s="21" t="n">
        <f aca="false">F1195+F1197</f>
        <v>54.7188849044406</v>
      </c>
      <c r="G1198" s="21" t="n">
        <f aca="false">G1195+G1197</f>
        <v>58.6468532364137</v>
      </c>
    </row>
    <row r="1199" customFormat="false" ht="15" hidden="false" customHeight="false" outlineLevel="0" collapsed="false">
      <c r="A1199" s="3" t="s">
        <v>537</v>
      </c>
      <c r="B1199" s="0" t="s">
        <v>303</v>
      </c>
      <c r="E1199" s="21" t="n">
        <f aca="false">E1198*tax</f>
        <v>9.28940945186983</v>
      </c>
      <c r="F1199" s="21" t="n">
        <f aca="false">F1198*tax</f>
        <v>9.84939928279932</v>
      </c>
      <c r="G1199" s="21" t="n">
        <f aca="false">G1198*tax</f>
        <v>10.5564335825545</v>
      </c>
    </row>
    <row r="1200" customFormat="false" ht="15" hidden="false" customHeight="false" outlineLevel="0" collapsed="false">
      <c r="A1200" s="3" t="s">
        <v>535</v>
      </c>
      <c r="B1200" s="0" t="s">
        <v>303</v>
      </c>
      <c r="C1200" s="21" t="n">
        <f aca="false">a25_ni</f>
        <v>6.673</v>
      </c>
      <c r="D1200" s="21" t="n">
        <f aca="false">a26_ni</f>
        <v>37.23923025</v>
      </c>
      <c r="E1200" s="21" t="n">
        <f aca="false">E1198-E1199</f>
        <v>42.3184208362959</v>
      </c>
      <c r="F1200" s="21" t="n">
        <f aca="false">F1198-F1199</f>
        <v>44.8694856216413</v>
      </c>
      <c r="G1200" s="21" t="n">
        <f aca="false">G1198-G1199</f>
        <v>48.0904196538592</v>
      </c>
      <c r="H1200" s="30" t="n">
        <f aca="false">H1182*H1204</f>
        <v>53.3515203926951</v>
      </c>
      <c r="I1200" s="30" t="n">
        <f aca="false">I1182*I1204</f>
        <v>58.3657001130676</v>
      </c>
      <c r="J1200" s="30" t="n">
        <f aca="false">J1182*J1204</f>
        <v>62.9526091436823</v>
      </c>
    </row>
    <row r="1201" customFormat="false" ht="15" hidden="false" customHeight="false" outlineLevel="0" collapsed="false">
      <c r="A1201" s="3" t="s">
        <v>672</v>
      </c>
      <c r="B1201" s="3" t="s">
        <v>381</v>
      </c>
      <c r="C1201" s="29" t="n">
        <f aca="false">a25_sh</f>
        <v>1.52351598173516</v>
      </c>
      <c r="D1201" s="29" t="n">
        <f aca="false">a26_sh</f>
        <v>1.59236316568047</v>
      </c>
      <c r="E1201" s="29" t="n">
        <f aca="false">a26_shend*(1+sh_g)</f>
        <v>1.64</v>
      </c>
      <c r="F1201" s="29" t="n">
        <f aca="false">E1201*(1+sh_g)</f>
        <v>1.64</v>
      </c>
      <c r="G1201" s="29" t="n">
        <f aca="false">F1201*(1+sh_g)</f>
        <v>1.64</v>
      </c>
      <c r="H1201" s="31" t="n">
        <f aca="false">G1201*(1+sh_g)</f>
        <v>1.64</v>
      </c>
      <c r="I1201" s="31" t="n">
        <f aca="false">H1201*(1+sh_g)</f>
        <v>1.64</v>
      </c>
      <c r="J1201" s="31" t="n">
        <f aca="false">I1201*(1+sh_g)</f>
        <v>1.64</v>
      </c>
    </row>
    <row r="1202" customFormat="false" ht="17.15" hidden="false" customHeight="false" outlineLevel="0" collapsed="false">
      <c r="A1202" s="0" t="s">
        <v>540</v>
      </c>
      <c r="B1202" s="0" t="s">
        <v>387</v>
      </c>
      <c r="C1202" s="18" t="n">
        <f aca="false">C1200/C1201</f>
        <v>4.38</v>
      </c>
      <c r="D1202" s="18" t="n">
        <f aca="false">D1200/D1201</f>
        <v>23.3861414610695</v>
      </c>
      <c r="E1202" s="18" t="n">
        <f aca="false">E1200/E1201</f>
        <v>25.8039151440829</v>
      </c>
      <c r="F1202" s="18" t="n">
        <f aca="false">F1200/F1201</f>
        <v>27.3594424522203</v>
      </c>
      <c r="G1202" s="18" t="n">
        <f aca="false">G1200/G1201</f>
        <v>29.3234266182069</v>
      </c>
      <c r="H1202" s="28" t="n">
        <f aca="false">H1200/H1201</f>
        <v>32.5314148735946</v>
      </c>
      <c r="I1202" s="28" t="n">
        <f aca="false">I1200/I1201</f>
        <v>35.5888415323583</v>
      </c>
      <c r="J1202" s="28" t="n">
        <f aca="false">J1200/J1201</f>
        <v>38.3857372827331</v>
      </c>
    </row>
    <row r="1203" customFormat="false" ht="17.15" hidden="false" customHeight="false" outlineLevel="0" collapsed="false">
      <c r="A1203" s="0" t="s">
        <v>673</v>
      </c>
      <c r="B1203" s="0" t="s">
        <v>45</v>
      </c>
      <c r="D1203" s="20" t="n">
        <f aca="false">D1202/C1202-1</f>
        <v>4.33930170344053</v>
      </c>
      <c r="E1203" s="20" t="n">
        <f aca="false">E1202/D1202-1</f>
        <v>0.103384890878138</v>
      </c>
      <c r="F1203" s="20" t="n">
        <f aca="false">F1202/E1202-1</f>
        <v>0.0602826082573813</v>
      </c>
      <c r="G1203" s="20" t="n">
        <f aca="false">G1202/F1202-1</f>
        <v>0.0717845098421275</v>
      </c>
      <c r="H1203" s="26" t="n">
        <f aca="false">H1202/G1202-1</f>
        <v>0.109400183585498</v>
      </c>
      <c r="I1203" s="26" t="n">
        <f aca="false">I1202/H1202-1</f>
        <v>0.0939838205821602</v>
      </c>
      <c r="J1203" s="26" t="n">
        <f aca="false">J1202/I1202-1</f>
        <v>0.0785891203520019</v>
      </c>
    </row>
    <row r="1204" customFormat="false" ht="17.15" hidden="false" customHeight="false" outlineLevel="0" collapsed="false">
      <c r="A1204" s="3" t="s">
        <v>674</v>
      </c>
      <c r="B1204" s="0" t="s">
        <v>45</v>
      </c>
      <c r="C1204" s="13" t="n">
        <f aca="false">C1200/C1182</f>
        <v>0.0508453913030227</v>
      </c>
      <c r="D1204" s="13" t="n">
        <f aca="false">D1200/D1182</f>
        <v>0.197798517808343</v>
      </c>
      <c r="E1204" s="13" t="n">
        <f aca="false">E1200/E1182</f>
        <v>0.177352155708338</v>
      </c>
      <c r="F1204" s="13" t="n">
        <f aca="false">F1200/F1182</f>
        <v>0.169442262021606</v>
      </c>
      <c r="G1204" s="13" t="n">
        <f aca="false">G1200/G1182</f>
        <v>0.164438807200254</v>
      </c>
      <c r="H1204" s="27" t="n">
        <f aca="false">$G1204+(fade_mA-$G1204)*1/3</f>
        <v>0.167427375589421</v>
      </c>
      <c r="I1204" s="27" t="n">
        <f aca="false">$G1204+(fade_mA-$G1204)*2/3</f>
        <v>0.170415943978589</v>
      </c>
      <c r="J1204" s="27" t="n">
        <f aca="false">$G1204+(fade_mA-$G1204)*3/3</f>
        <v>0.173404512367757</v>
      </c>
    </row>
    <row r="1205" customFormat="false" ht="17.15" hidden="false" customHeight="false" outlineLevel="0" collapsed="false">
      <c r="A1205" s="3" t="s">
        <v>675</v>
      </c>
      <c r="B1205" s="0" t="s">
        <v>45</v>
      </c>
      <c r="C1205" s="20" t="n">
        <f aca="false">C1188/C1182</f>
        <v>0.195190527350447</v>
      </c>
      <c r="D1205" s="20" t="n">
        <f aca="false">D1188/D1182</f>
        <v>0.285230933480641</v>
      </c>
      <c r="E1205" s="20" t="n">
        <f aca="false">E1188/E1182</f>
        <v>0.230499351610786</v>
      </c>
      <c r="F1205" s="20" t="n">
        <f aca="false">F1188/F1182</f>
        <v>0.188816809100973</v>
      </c>
      <c r="G1205" s="20" t="n">
        <f aca="false">G1188/G1182</f>
        <v>0.153871527370163</v>
      </c>
      <c r="H1205" s="26" t="n">
        <f aca="false">$G1205+($G1190*(1+tp_g)^(life/2)-$G1205)*1/3</f>
        <v>0.144368534697138</v>
      </c>
      <c r="I1205" s="26" t="n">
        <f aca="false">$G1205+($G1190*(1+tp_g)^(life/2)-$G1205)*2/3</f>
        <v>0.134865542024114</v>
      </c>
      <c r="J1205" s="26" t="n">
        <f aca="false">$G1205+($G1190*(1+tp_g)^(life/2)-$G1205)*3/3</f>
        <v>0.125362549351089</v>
      </c>
      <c r="K1205" s="7" t="s">
        <v>676</v>
      </c>
    </row>
    <row r="1206" customFormat="false" ht="15" hidden="false" customHeight="false" outlineLevel="0" collapsed="false">
      <c r="A1206" s="3" t="s">
        <v>677</v>
      </c>
      <c r="B1206" s="0" t="s">
        <v>303</v>
      </c>
      <c r="E1206" s="21" t="n">
        <f aca="false">E1200+E1189-E1188</f>
        <v>12.2309208362959</v>
      </c>
      <c r="F1206" s="21" t="n">
        <f aca="false">F1200+F1189-F1188</f>
        <v>23.5429231216413</v>
      </c>
      <c r="G1206" s="21" t="n">
        <f aca="false">G1200+G1189-G1188</f>
        <v>34.4296774663592</v>
      </c>
      <c r="H1206" s="30" t="n">
        <f aca="false">H1200+H1189-H1188</f>
        <v>41.4949837199931</v>
      </c>
      <c r="I1206" s="30" t="n">
        <f aca="false">I1200+I1189-I1188</f>
        <v>48.8769863726749</v>
      </c>
      <c r="J1206" s="30" t="n">
        <f aca="false">J1200+J1189-J1188</f>
        <v>56.3445299950343</v>
      </c>
      <c r="K1206" s="3" t="s">
        <v>678</v>
      </c>
    </row>
    <row r="1207" customFormat="false" ht="15" hidden="false" customHeight="false" outlineLevel="0" collapsed="false">
      <c r="A1207" s="3" t="s">
        <v>679</v>
      </c>
      <c r="B1207" s="0" t="s">
        <v>387</v>
      </c>
      <c r="E1207" s="18" t="n">
        <f aca="false">E1206/E1201</f>
        <v>7.45787855871701</v>
      </c>
      <c r="F1207" s="18" t="n">
        <f aca="false">F1206/F1201</f>
        <v>14.3554409278301</v>
      </c>
      <c r="G1207" s="18" t="n">
        <f aca="false">G1206/G1201</f>
        <v>20.9937057721703</v>
      </c>
      <c r="H1207" s="28" t="n">
        <f aca="false">H1206/H1201</f>
        <v>25.3018193414592</v>
      </c>
      <c r="I1207" s="28" t="n">
        <f aca="false">I1206/I1201</f>
        <v>29.8030404711432</v>
      </c>
      <c r="J1207" s="28" t="n">
        <f aca="false">J1206/J1201</f>
        <v>34.3564207286795</v>
      </c>
    </row>
    <row r="1210" customFormat="false" ht="17.15" hidden="false" customHeight="false" outlineLevel="0" collapsed="false">
      <c r="A1210" s="1" t="s">
        <v>1039</v>
      </c>
    </row>
    <row r="1211" customFormat="false" ht="17.15" hidden="false" customHeight="false" outlineLevel="0" collapsed="false">
      <c r="A1211" s="4" t="s">
        <v>22</v>
      </c>
      <c r="B1211" s="4" t="s">
        <v>23</v>
      </c>
      <c r="C1211" s="14" t="s">
        <v>508</v>
      </c>
      <c r="D1211" s="14" t="s">
        <v>592</v>
      </c>
      <c r="E1211" s="14" t="s">
        <v>593</v>
      </c>
      <c r="F1211" s="14" t="s">
        <v>594</v>
      </c>
      <c r="G1211" s="14" t="s">
        <v>595</v>
      </c>
      <c r="H1211" s="14" t="s">
        <v>596</v>
      </c>
      <c r="I1211" s="14" t="s">
        <v>597</v>
      </c>
      <c r="J1211" s="14" t="s">
        <v>598</v>
      </c>
      <c r="K1211" s="4" t="s">
        <v>481</v>
      </c>
    </row>
    <row r="1212" customFormat="false" ht="17.15" hidden="false" customHeight="false" outlineLevel="0" collapsed="false">
      <c r="A1212" s="5" t="s">
        <v>616</v>
      </c>
    </row>
    <row r="1213" customFormat="false" ht="17.15" hidden="false" customHeight="false" outlineLevel="0" collapsed="false">
      <c r="A1213" s="0" t="s">
        <v>617</v>
      </c>
      <c r="B1213" s="3" t="s">
        <v>33</v>
      </c>
      <c r="D1213" s="21" t="n">
        <f aca="false">(u_bw_26+u_rb_26+u_ru_26+u_hp_26)*1</f>
        <v>7.6</v>
      </c>
      <c r="E1213" s="21" t="n">
        <f aca="false">(u_bw_27+u_rb_27+u_ru_27+u_hp_27)*1*1</f>
        <v>9.7</v>
      </c>
      <c r="F1213" s="21" t="n">
        <f aca="false">(u_bw_28+u_rb_28+u_ru_28+u_hp_28)*um28_A*1</f>
        <v>9.5</v>
      </c>
      <c r="G1213" s="21" t="n">
        <f aca="false">(u_bw_28*(1+g29_bw)+u_rb_28*(1+g29_rb)+u_ru_28*(1+g29_ru)+u_hp_28*(1+g29_hp))*um29_A*1</f>
        <v>10.6</v>
      </c>
      <c r="K1213" s="7" t="s">
        <v>618</v>
      </c>
    </row>
    <row r="1214" customFormat="false" ht="17.15" hidden="false" customHeight="false" outlineLevel="0" collapsed="false">
      <c r="A1214" s="3" t="s">
        <v>619</v>
      </c>
      <c r="B1214" s="3" t="s">
        <v>33</v>
      </c>
      <c r="D1214" s="21" t="n">
        <f aca="false">(u_amd_26+u_tpu_26+u_trn_26+u_oth_26)*1</f>
        <v>7.6</v>
      </c>
      <c r="E1214" s="21" t="n">
        <f aca="false">(u_amd_27+u_tpu_27+u_trn_27+u_oth_27)*1*1</f>
        <v>14</v>
      </c>
      <c r="F1214" s="21" t="n">
        <f aca="false">(u_amd_28+u_tpu_28+u_trn_28+u_oth_28)*um28_A*1</f>
        <v>17</v>
      </c>
      <c r="G1214" s="21" t="n">
        <f aca="false">(u_amd_28*(1+g29_amd)+u_tpu_28*(1+g29_tpu)+u_trn_28*(1+g29_trn)+u_oth_28*(1+g29_oth))*um29_A*1</f>
        <v>19.55</v>
      </c>
      <c r="K1214" s="7" t="s">
        <v>620</v>
      </c>
    </row>
    <row r="1215" customFormat="false" ht="17.15" hidden="false" customHeight="false" outlineLevel="0" collapsed="false">
      <c r="A1215" s="3" t="s">
        <v>621</v>
      </c>
      <c r="B1215" s="0" t="s">
        <v>145</v>
      </c>
      <c r="D1215" s="19" t="n">
        <f aca="false">1</f>
        <v>1</v>
      </c>
      <c r="E1215" s="19" t="n">
        <f aca="false">D1215*(1+g_asp)</f>
        <v>1.18</v>
      </c>
      <c r="F1215" s="19" t="n">
        <f aca="false">E1215*(1+g_asp)</f>
        <v>1.3924</v>
      </c>
      <c r="G1215" s="19" t="n">
        <f aca="false">F1215*(1+g_asp)</f>
        <v>1.643032</v>
      </c>
      <c r="K1215" s="7" t="s">
        <v>622</v>
      </c>
    </row>
    <row r="1216" customFormat="false" ht="17.15" hidden="false" customHeight="false" outlineLevel="0" collapsed="false">
      <c r="A1216" s="0" t="s">
        <v>623</v>
      </c>
      <c r="B1216" s="0" t="s">
        <v>145</v>
      </c>
      <c r="D1216" s="18" t="n">
        <f aca="false">1</f>
        <v>1</v>
      </c>
      <c r="E1216" s="18" t="n">
        <f aca="false">ibpp_27</f>
        <v>1</v>
      </c>
      <c r="F1216" s="18" t="n">
        <f aca="false">ibpp_28</f>
        <v>0.95</v>
      </c>
      <c r="G1216" s="18" t="n">
        <f aca="false">ibpp_29</f>
        <v>0.9</v>
      </c>
      <c r="K1216" s="7" t="s">
        <v>624</v>
      </c>
    </row>
    <row r="1217" customFormat="false" ht="17.15" hidden="false" customHeight="false" outlineLevel="0" collapsed="false">
      <c r="A1217" s="3" t="s">
        <v>625</v>
      </c>
      <c r="B1217" s="0" t="s">
        <v>145</v>
      </c>
      <c r="D1217" s="18" t="n">
        <f aca="false">1</f>
        <v>1</v>
      </c>
      <c r="E1217" s="18" t="n">
        <f aca="false">1+carry</f>
        <v>1.05</v>
      </c>
      <c r="F1217" s="18" t="n">
        <f aca="false">1+carry</f>
        <v>1.05</v>
      </c>
      <c r="G1217" s="18" t="n">
        <f aca="false">1+carry</f>
        <v>1.05</v>
      </c>
      <c r="K1217" s="7" t="s">
        <v>626</v>
      </c>
    </row>
    <row r="1218" customFormat="false" ht="17.15" hidden="false" customHeight="false" outlineLevel="0" collapsed="false">
      <c r="A1218" s="3" t="s">
        <v>627</v>
      </c>
      <c r="B1218" s="0" t="s">
        <v>628</v>
      </c>
      <c r="D1218" s="23" t="n">
        <f aca="false">v26*D1215*D1216</f>
        <v>215.308596</v>
      </c>
      <c r="E1218" s="23" t="n">
        <f aca="false">v26*E1215*E1216</f>
        <v>254.06414328</v>
      </c>
      <c r="F1218" s="23" t="n">
        <f aca="false">v26*F1215*F1216</f>
        <v>284.80590461688</v>
      </c>
      <c r="G1218" s="23" t="n">
        <f aca="false">v26*G1215*G1216</f>
        <v>318.383021792765</v>
      </c>
      <c r="K1218" s="7" t="s">
        <v>629</v>
      </c>
    </row>
    <row r="1219" customFormat="false" ht="17.15" hidden="false" customHeight="false" outlineLevel="0" collapsed="false">
      <c r="A1219" s="3" t="s">
        <v>630</v>
      </c>
      <c r="B1219" s="0" t="s">
        <v>45</v>
      </c>
      <c r="D1219" s="20" t="n">
        <f aca="false">sh_nv_26</f>
        <v>0.25</v>
      </c>
      <c r="E1219" s="20" t="n">
        <f aca="false">sh_nv_27</f>
        <v>0.27</v>
      </c>
      <c r="F1219" s="20" t="n">
        <f aca="false">sh_nv_28</f>
        <v>0.29</v>
      </c>
      <c r="G1219" s="20" t="n">
        <f aca="false">sh_nv_29</f>
        <v>0.3</v>
      </c>
    </row>
    <row r="1220" customFormat="false" ht="17.15" hidden="false" customHeight="false" outlineLevel="0" collapsed="false">
      <c r="A1220" s="3" t="s">
        <v>631</v>
      </c>
      <c r="B1220" s="0" t="s">
        <v>45</v>
      </c>
      <c r="D1220" s="20" t="n">
        <f aca="false">sh_ot_26</f>
        <v>0.3</v>
      </c>
      <c r="E1220" s="20" t="n">
        <f aca="false">sh_ot_27</f>
        <v>0.31</v>
      </c>
      <c r="F1220" s="20" t="n">
        <f aca="false">sh_ot_28</f>
        <v>0.32</v>
      </c>
      <c r="G1220" s="20" t="n">
        <f aca="false">sh_ot_29</f>
        <v>0.33</v>
      </c>
    </row>
    <row r="1221" customFormat="false" ht="17.15" hidden="false" customHeight="false" outlineLevel="0" collapsed="false">
      <c r="A1221" s="3" t="s">
        <v>632</v>
      </c>
      <c r="B1221" s="0" t="s">
        <v>582</v>
      </c>
      <c r="D1221" s="22" t="n">
        <f aca="false">(D1213*D1218*D1219+D1214*D1218*v_ot*D1220)*D1217</f>
        <v>801.809211504</v>
      </c>
      <c r="E1221" s="22" t="n">
        <f aca="false">(E1213*E1218*E1219+E1214*E1218*v_ot*E1220)*E1217</f>
        <v>1624.8799315544</v>
      </c>
      <c r="F1221" s="22" t="n">
        <f aca="false">(F1213*F1218*F1219+F1214*F1218*v_ot*F1220)*F1217</f>
        <v>2125.32134231777</v>
      </c>
      <c r="G1221" s="22" t="n">
        <f aca="false">(G1213*G1218*G1219+G1214*G1218*v_ot*G1220)*G1217</f>
        <v>2788.4812844467</v>
      </c>
    </row>
    <row r="1222" customFormat="false" ht="15" hidden="false" customHeight="false" outlineLevel="0" collapsed="false">
      <c r="A1222" s="3" t="s">
        <v>633</v>
      </c>
      <c r="B1222" s="0" t="s">
        <v>303</v>
      </c>
      <c r="D1222" s="21" t="n">
        <f aca="false">D1221*fx/1000</f>
        <v>25.657894768128</v>
      </c>
      <c r="E1222" s="21" t="n">
        <f aca="false">E1221*fx/1000</f>
        <v>51.9961578097409</v>
      </c>
      <c r="F1222" s="21" t="n">
        <f aca="false">F1221*fx/1000</f>
        <v>68.0102829541688</v>
      </c>
      <c r="G1222" s="21" t="n">
        <f aca="false">G1221*fx/1000</f>
        <v>89.2314011022944</v>
      </c>
    </row>
    <row r="1223" customFormat="false" ht="17.15" hidden="false" customHeight="false" outlineLevel="0" collapsed="false">
      <c r="A1223" s="5" t="s">
        <v>634</v>
      </c>
    </row>
    <row r="1224" customFormat="false" ht="17.15" hidden="false" customHeight="false" outlineLevel="0" collapsed="false">
      <c r="A1224" s="0" t="s">
        <v>635</v>
      </c>
      <c r="B1224" s="0" t="s">
        <v>303</v>
      </c>
      <c r="D1224" s="21" t="n">
        <f aca="false">a26_abf*ai_abf</f>
        <v>74.83672875</v>
      </c>
      <c r="K1224" s="3" t="s">
        <v>636</v>
      </c>
    </row>
    <row r="1225" customFormat="false" ht="17.15" hidden="false" customHeight="false" outlineLevel="0" collapsed="false">
      <c r="A1225" s="3" t="s">
        <v>637</v>
      </c>
      <c r="B1225" s="0" t="s">
        <v>303</v>
      </c>
      <c r="D1225" s="21" t="n">
        <f aca="false">D1224-D1222</f>
        <v>49.178833981872</v>
      </c>
      <c r="E1225" s="21" t="n">
        <f aca="false">$D1225*(itc_27/itc_26)^el_o_hi*1*1*E1216*E1217</f>
        <v>89.9803662947543</v>
      </c>
      <c r="F1225" s="21" t="n">
        <f aca="false">$D1225*(itc_28/itc_26)^el_o_hi*um28_A*1*F1216*F1217</f>
        <v>103.338401435615</v>
      </c>
      <c r="G1225" s="21" t="n">
        <f aca="false">$D1225*(itc_29/itc_26)^el_o_hi*um29_A*1*G1216*G1217</f>
        <v>108.654531786953</v>
      </c>
      <c r="K1225" s="7" t="s">
        <v>638</v>
      </c>
    </row>
    <row r="1226" customFormat="false" ht="17.15" hidden="false" customHeight="false" outlineLevel="0" collapsed="false">
      <c r="A1226" s="3" t="s">
        <v>639</v>
      </c>
      <c r="B1226" s="0" t="s">
        <v>303</v>
      </c>
      <c r="D1226" s="21" t="n">
        <f aca="false">a26_abf-D1224</f>
        <v>24.94557625</v>
      </c>
      <c r="E1226" s="21" t="n">
        <f aca="false">D1226*(1+g_nai)</f>
        <v>25.6939435375</v>
      </c>
      <c r="F1226" s="21" t="n">
        <f aca="false">E1226*(1+g_nai)</f>
        <v>26.464761843625</v>
      </c>
      <c r="G1226" s="21" t="n">
        <f aca="false">F1226*(1+g_nai)</f>
        <v>27.2587046989338</v>
      </c>
    </row>
    <row r="1227" customFormat="false" ht="17.15" hidden="false" customHeight="false" outlineLevel="0" collapsed="false">
      <c r="A1227" s="0" t="s">
        <v>640</v>
      </c>
      <c r="B1227" s="0" t="s">
        <v>303</v>
      </c>
      <c r="D1227" s="21" t="n">
        <f aca="false">D1222+D1225+D1226</f>
        <v>99.782305</v>
      </c>
      <c r="E1227" s="21" t="n">
        <f aca="false">E1222+E1225+E1226</f>
        <v>167.670467641995</v>
      </c>
      <c r="F1227" s="21" t="n">
        <f aca="false">F1222+F1225+F1226</f>
        <v>197.813446233409</v>
      </c>
      <c r="G1227" s="21" t="n">
        <f aca="false">G1222+G1225+G1226</f>
        <v>225.144637588181</v>
      </c>
    </row>
    <row r="1228" customFormat="false" ht="17.15" hidden="false" customHeight="false" outlineLevel="0" collapsed="false">
      <c r="A1228" s="0" t="s">
        <v>641</v>
      </c>
      <c r="B1228" s="0" t="s">
        <v>303</v>
      </c>
      <c r="D1228" s="21" t="n">
        <f aca="false">a26_abf</f>
        <v>99.782305</v>
      </c>
      <c r="E1228" s="21" t="n">
        <f aca="false">$D1227*cap_27*(1+g_mix)^1*E1216*E1217</f>
        <v>148.513488204375</v>
      </c>
      <c r="F1228" s="21" t="n">
        <f aca="false">$D1227*cap_28*(1+g_mix)^2*F1216*F1217</f>
        <v>186.549442683384</v>
      </c>
      <c r="G1228" s="21" t="n">
        <f aca="false">$D1227*cap_29*(1+g_mix)^3*G1216*G1217</f>
        <v>218.314827660431</v>
      </c>
      <c r="K1228" s="7" t="s">
        <v>642</v>
      </c>
    </row>
    <row r="1229" customFormat="false" ht="17.15" hidden="false" customHeight="false" outlineLevel="0" collapsed="false">
      <c r="A1229" s="0" t="s">
        <v>643</v>
      </c>
      <c r="B1229" s="0" t="s">
        <v>303</v>
      </c>
      <c r="D1229" s="21" t="n">
        <f aca="false">a26_abf</f>
        <v>99.782305</v>
      </c>
      <c r="E1229" s="21" t="n">
        <f aca="false">MIN(E1227,E1228)</f>
        <v>148.513488204375</v>
      </c>
      <c r="F1229" s="21" t="n">
        <f aca="false">MIN(F1227,F1228)</f>
        <v>186.549442683384</v>
      </c>
      <c r="G1229" s="21" t="n">
        <f aca="false">MIN(G1227,G1228)</f>
        <v>218.314827660431</v>
      </c>
    </row>
    <row r="1230" customFormat="false" ht="17.15" hidden="false" customHeight="false" outlineLevel="0" collapsed="false">
      <c r="A1230" s="3" t="s">
        <v>644</v>
      </c>
      <c r="B1230" s="0" t="s">
        <v>45</v>
      </c>
      <c r="D1230" s="20" t="n">
        <f aca="false">D1229/D1227</f>
        <v>1</v>
      </c>
      <c r="E1230" s="20" t="n">
        <f aca="false">E1229/E1227</f>
        <v>0.885746251519238</v>
      </c>
      <c r="F1230" s="20" t="n">
        <f aca="false">F1229/F1227</f>
        <v>0.94305744243122</v>
      </c>
      <c r="G1230" s="20" t="n">
        <f aca="false">G1229/G1227</f>
        <v>0.969664789706241</v>
      </c>
    </row>
    <row r="1231" customFormat="false" ht="17.15" hidden="false" customHeight="false" outlineLevel="0" collapsed="false">
      <c r="A1231" s="0" t="s">
        <v>645</v>
      </c>
      <c r="B1231" s="0" t="s">
        <v>303</v>
      </c>
      <c r="D1231" s="21" t="n">
        <f aca="false">(D1222+D1225)*D1230</f>
        <v>74.83672875</v>
      </c>
      <c r="E1231" s="21" t="n">
        <f aca="false">(E1222+E1225)*E1230</f>
        <v>125.755174029287</v>
      </c>
      <c r="F1231" s="21" t="n">
        <f aca="false">(F1222+F1225)*F1230</f>
        <v>161.591652064584</v>
      </c>
      <c r="G1231" s="21" t="n">
        <f aca="false">(G1222+G1225)*G1230</f>
        <v>191.883021500875</v>
      </c>
    </row>
    <row r="1232" customFormat="false" ht="17.15" hidden="false" customHeight="false" outlineLevel="0" collapsed="false">
      <c r="A1232" s="3" t="s">
        <v>646</v>
      </c>
      <c r="B1232" s="0" t="s">
        <v>45</v>
      </c>
      <c r="D1232" s="20" t="n">
        <f aca="false">D1222/(D1222+D1225)</f>
        <v>0.342851634440636</v>
      </c>
      <c r="E1232" s="20" t="n">
        <f aca="false">E1222/(E1222+E1225)</f>
        <v>0.366230671850169</v>
      </c>
      <c r="F1232" s="20" t="n">
        <f aca="false">F1222/(F1222+F1225)</f>
        <v>0.396911614444959</v>
      </c>
      <c r="G1232" s="20" t="n">
        <f aca="false">G1222/(G1222+G1225)</f>
        <v>0.450923417341825</v>
      </c>
    </row>
    <row r="1233" customFormat="false" ht="17.15" hidden="false" customHeight="false" outlineLevel="0" collapsed="false">
      <c r="A1233" s="5" t="s">
        <v>647</v>
      </c>
    </row>
    <row r="1234" customFormat="false" ht="17.15" hidden="false" customHeight="false" outlineLevel="0" collapsed="false">
      <c r="A1234" s="0" t="s">
        <v>550</v>
      </c>
      <c r="B1234" s="0" t="s">
        <v>303</v>
      </c>
      <c r="D1234" s="21" t="n">
        <f aca="false">a26_bt</f>
        <v>16.944165</v>
      </c>
      <c r="E1234" s="21" t="n">
        <f aca="false">D1234*(1+g_bt)</f>
        <v>17.79137325</v>
      </c>
      <c r="F1234" s="21" t="n">
        <f aca="false">E1234*(1+g_bt)</f>
        <v>18.6809419125</v>
      </c>
      <c r="G1234" s="21" t="n">
        <f aca="false">F1234*(1+g_bt)</f>
        <v>19.614989008125</v>
      </c>
    </row>
    <row r="1235" customFormat="false" ht="17.15" hidden="false" customHeight="false" outlineLevel="0" collapsed="false">
      <c r="A1235" s="0" t="s">
        <v>648</v>
      </c>
      <c r="B1235" s="0" t="s">
        <v>303</v>
      </c>
      <c r="D1235" s="21" t="n">
        <f aca="false">a26_pcb*ai_pcb</f>
        <v>37.93610275</v>
      </c>
      <c r="E1235" s="21" t="n">
        <f aca="false">D1235*(1+g_pai_27)</f>
        <v>45.5233233</v>
      </c>
      <c r="F1235" s="21" t="n">
        <f aca="false">D1235*(1+g_pai_27)*(1+g_pai_28)*um28_A</f>
        <v>52.351821795</v>
      </c>
      <c r="G1235" s="21" t="n">
        <f aca="false">D1235*(1+g_pai_27)*(1+g_pai_28)*(1+g_pai_29)*um29_A</f>
        <v>57.5870039745</v>
      </c>
      <c r="K1235" s="3" t="s">
        <v>649</v>
      </c>
    </row>
    <row r="1236" customFormat="false" ht="17.15" hidden="false" customHeight="false" outlineLevel="0" collapsed="false">
      <c r="A1236" s="3" t="s">
        <v>650</v>
      </c>
      <c r="B1236" s="0" t="s">
        <v>303</v>
      </c>
      <c r="D1236" s="21" t="n">
        <f aca="false">a26_pcb*(1-ai_pcb)</f>
        <v>20.42713225</v>
      </c>
      <c r="E1236" s="21" t="n">
        <f aca="false">D1236*(1+g_pcbn)</f>
        <v>20.835674895</v>
      </c>
      <c r="F1236" s="21" t="n">
        <f aca="false">E1236*(1+g_pcbn)</f>
        <v>21.2523883929</v>
      </c>
      <c r="G1236" s="21" t="n">
        <f aca="false">F1236*(1+g_pcbn)</f>
        <v>21.677436160758</v>
      </c>
    </row>
    <row r="1237" customFormat="false" ht="15" hidden="false" customHeight="false" outlineLevel="0" collapsed="false">
      <c r="A1237" s="3" t="s">
        <v>552</v>
      </c>
      <c r="B1237" s="0" t="s">
        <v>303</v>
      </c>
      <c r="D1237" s="21" t="n">
        <f aca="false">a26_fpc</f>
        <v>13.178795</v>
      </c>
      <c r="E1237" s="21" t="n">
        <f aca="false">D1237*(1+g_fpc)</f>
        <v>13.178795</v>
      </c>
      <c r="F1237" s="21" t="n">
        <f aca="false">E1237*(1+g_fpc)</f>
        <v>13.178795</v>
      </c>
      <c r="G1237" s="21" t="n">
        <f aca="false">F1237*(1+g_fpc)</f>
        <v>13.178795</v>
      </c>
    </row>
    <row r="1238" customFormat="false" ht="17.15" hidden="false" customHeight="false" outlineLevel="0" collapsed="false">
      <c r="A1238" s="3" t="s">
        <v>651</v>
      </c>
      <c r="B1238" s="0" t="s">
        <v>303</v>
      </c>
      <c r="D1238" s="21" t="n">
        <f aca="false">D1229+D1234</f>
        <v>116.72647</v>
      </c>
      <c r="E1238" s="21" t="n">
        <f aca="false">E1229+E1234</f>
        <v>166.304861454375</v>
      </c>
      <c r="F1238" s="21" t="n">
        <f aca="false">F1229+F1234</f>
        <v>205.230384595884</v>
      </c>
      <c r="G1238" s="21" t="n">
        <f aca="false">G1229+G1234</f>
        <v>237.929816668556</v>
      </c>
      <c r="K1238" s="3" t="s">
        <v>652</v>
      </c>
    </row>
    <row r="1239" customFormat="false" ht="17.15" hidden="false" customHeight="false" outlineLevel="0" collapsed="false">
      <c r="A1239" s="0" t="s">
        <v>653</v>
      </c>
      <c r="B1239" s="0" t="s">
        <v>303</v>
      </c>
      <c r="D1239" s="21" t="n">
        <f aca="false">D1235+D1236</f>
        <v>58.363235</v>
      </c>
      <c r="E1239" s="21" t="n">
        <f aca="false">E1235+E1236</f>
        <v>66.358998195</v>
      </c>
      <c r="F1239" s="21" t="n">
        <f aca="false">F1235+F1236</f>
        <v>73.6042101879</v>
      </c>
      <c r="G1239" s="21" t="n">
        <f aca="false">G1235+G1236</f>
        <v>79.264440135258</v>
      </c>
      <c r="K1239" s="3" t="s">
        <v>654</v>
      </c>
    </row>
    <row r="1240" customFormat="false" ht="17.15" hidden="false" customHeight="false" outlineLevel="0" collapsed="false">
      <c r="A1240" s="3" t="s">
        <v>515</v>
      </c>
      <c r="B1240" s="0" t="s">
        <v>303</v>
      </c>
      <c r="C1240" s="23" t="n">
        <f aca="false">a25_rev</f>
        <v>131.241</v>
      </c>
      <c r="D1240" s="23" t="n">
        <f aca="false">D1238+D1239+D1237</f>
        <v>188.2685</v>
      </c>
      <c r="E1240" s="23" t="n">
        <f aca="false">E1238+E1239+E1237</f>
        <v>245.842654649375</v>
      </c>
      <c r="F1240" s="23" t="n">
        <f aca="false">F1238+F1239+F1237</f>
        <v>292.013389783784</v>
      </c>
      <c r="G1240" s="23" t="n">
        <f aca="false">G1238+G1239+G1237</f>
        <v>330.373051803814</v>
      </c>
      <c r="H1240" s="25" t="n">
        <f aca="false">G1240*(1+H1242)</f>
        <v>365.912972905286</v>
      </c>
      <c r="I1240" s="25" t="n">
        <f aca="false">H1240*(1+I1242)</f>
        <v>396.571928303815</v>
      </c>
      <c r="J1240" s="25" t="n">
        <f aca="false">I1240*(1+J1242)</f>
        <v>420.366244002044</v>
      </c>
      <c r="K1240" s="7" t="s">
        <v>655</v>
      </c>
    </row>
    <row r="1241" customFormat="false" ht="17.15" hidden="false" customHeight="false" outlineLevel="0" collapsed="false">
      <c r="A1241" s="3" t="s">
        <v>656</v>
      </c>
      <c r="B1241" s="0" t="s">
        <v>303</v>
      </c>
      <c r="D1241" s="19" t="n">
        <f aca="false">D1238+D1239+D1237-D1240</f>
        <v>0</v>
      </c>
      <c r="E1241" s="19" t="n">
        <f aca="false">E1238+E1239+E1237-E1240</f>
        <v>0</v>
      </c>
      <c r="F1241" s="19" t="n">
        <f aca="false">F1238+F1239+F1237-F1240</f>
        <v>0</v>
      </c>
      <c r="G1241" s="19" t="n">
        <f aca="false">G1238+G1239+G1237-G1240</f>
        <v>0</v>
      </c>
    </row>
    <row r="1242" customFormat="false" ht="15" hidden="false" customHeight="false" outlineLevel="0" collapsed="false">
      <c r="A1242" s="3" t="s">
        <v>657</v>
      </c>
      <c r="B1242" s="0" t="s">
        <v>45</v>
      </c>
      <c r="D1242" s="20" t="n">
        <f aca="false">D1240/C1240-1</f>
        <v>0.434525034097576</v>
      </c>
      <c r="E1242" s="20" t="n">
        <f aca="false">E1240/D1240-1</f>
        <v>0.30580875</v>
      </c>
      <c r="F1242" s="20" t="n">
        <f aca="false">F1240/E1240-1</f>
        <v>0.187806038786307</v>
      </c>
      <c r="G1242" s="20" t="n">
        <f aca="false">G1240/F1240-1</f>
        <v>0.131362681856584</v>
      </c>
      <c r="H1242" s="26" t="n">
        <f aca="false">$G1242+(fade_gA-$G1242)*1/3</f>
        <v>0.107575121237723</v>
      </c>
      <c r="I1242" s="26" t="n">
        <f aca="false">$G1242+(fade_gA-$G1242)*2/3</f>
        <v>0.0837875606188614</v>
      </c>
      <c r="J1242" s="26" t="n">
        <f aca="false">$G1242+(fade_gA-$G1242)*3/3</f>
        <v>0.06</v>
      </c>
    </row>
    <row r="1243" customFormat="false" ht="17.15" hidden="false" customHeight="false" outlineLevel="0" collapsed="false">
      <c r="A1243" s="0" t="s">
        <v>658</v>
      </c>
      <c r="B1243" s="0" t="s">
        <v>45</v>
      </c>
      <c r="D1243" s="20" t="n">
        <f aca="false">D1229/D1240</f>
        <v>0.53</v>
      </c>
      <c r="E1243" s="20" t="n">
        <f aca="false">E1229/E1240</f>
        <v>0.604099758100105</v>
      </c>
      <c r="F1243" s="20" t="n">
        <f aca="false">F1229/F1240</f>
        <v>0.638838660177574</v>
      </c>
      <c r="G1243" s="20" t="n">
        <f aca="false">G1229/G1240</f>
        <v>0.660813061078824</v>
      </c>
    </row>
    <row r="1244" customFormat="false" ht="17.15" hidden="false" customHeight="false" outlineLevel="0" collapsed="false">
      <c r="A1244" s="0" t="s">
        <v>659</v>
      </c>
      <c r="B1244" s="0" t="s">
        <v>45</v>
      </c>
      <c r="D1244" s="20" t="n">
        <f aca="false">(D1231+D1235)/D1240</f>
        <v>0.599</v>
      </c>
      <c r="E1244" s="20" t="n">
        <f aca="false">(E1231+E1235)/E1240</f>
        <v>0.696699673917725</v>
      </c>
      <c r="F1244" s="20" t="n">
        <f aca="false">(F1231+F1235)/F1240</f>
        <v>0.732649533701158</v>
      </c>
      <c r="G1244" s="20" t="n">
        <f aca="false">(G1231+G1235)/G1240</f>
        <v>0.755116145561165</v>
      </c>
      <c r="K1244" s="3" t="s">
        <v>660</v>
      </c>
    </row>
    <row r="1245" customFormat="false" ht="17.15" hidden="false" customHeight="false" outlineLevel="0" collapsed="false">
      <c r="A1245" s="5" t="s">
        <v>661</v>
      </c>
    </row>
    <row r="1246" customFormat="false" ht="15" hidden="false" customHeight="false" outlineLevel="0" collapsed="false">
      <c r="A1246" s="3" t="s">
        <v>662</v>
      </c>
      <c r="B1246" s="0" t="s">
        <v>303</v>
      </c>
      <c r="C1246" s="23" t="n">
        <f aca="false">a25_cx</f>
        <v>25.617</v>
      </c>
      <c r="D1246" s="23" t="n">
        <f aca="false">capex26</f>
        <v>53.7</v>
      </c>
      <c r="E1246" s="23" t="n">
        <f aca="false">cx27_A</f>
        <v>55</v>
      </c>
      <c r="F1246" s="23" t="n">
        <f aca="false">cx28_A</f>
        <v>50</v>
      </c>
      <c r="G1246" s="23" t="n">
        <f aca="false">cx29_A</f>
        <v>45</v>
      </c>
      <c r="H1246" s="25" t="n">
        <f aca="false">H1240*H1263</f>
        <v>46.7627442346397</v>
      </c>
      <c r="I1246" s="25" t="n">
        <f aca="false">I1240*I1263</f>
        <v>47.3448347556311</v>
      </c>
      <c r="J1246" s="25" t="n">
        <f aca="false">J1240*J1263</f>
        <v>46.6493163499198</v>
      </c>
    </row>
    <row r="1247" customFormat="false" ht="17.15" hidden="false" customHeight="false" outlineLevel="0" collapsed="false">
      <c r="A1247" s="3" t="s">
        <v>663</v>
      </c>
      <c r="B1247" s="0" t="s">
        <v>303</v>
      </c>
      <c r="C1247" s="23" t="n">
        <f aca="false">a25_da</f>
        <v>18.8</v>
      </c>
      <c r="D1247" s="23" t="n">
        <f aca="false">da26</f>
        <v>20.8</v>
      </c>
      <c r="E1247" s="23" t="n">
        <f aca="false">D1247*(1-1/life)+D1246/life</f>
        <v>24.9125</v>
      </c>
      <c r="F1247" s="23" t="n">
        <f aca="false">E1247*(1-1/life)+E1246/life</f>
        <v>28.6734375</v>
      </c>
      <c r="G1247" s="23" t="n">
        <f aca="false">F1247*(1-1/life)+F1246/life</f>
        <v>31.3392578125</v>
      </c>
      <c r="H1247" s="25" t="n">
        <f aca="false">H1240*H1248</f>
        <v>34.7105822711799</v>
      </c>
      <c r="I1247" s="25" t="n">
        <f aca="false">I1240*I1248</f>
        <v>37.6188972873424</v>
      </c>
      <c r="J1247" s="25" t="n">
        <f aca="false">J1240*J1248</f>
        <v>39.876031124583</v>
      </c>
      <c r="K1247" s="3" t="s">
        <v>664</v>
      </c>
    </row>
    <row r="1248" customFormat="false" ht="17.15" hidden="false" customHeight="false" outlineLevel="0" collapsed="false">
      <c r="A1248" s="3" t="s">
        <v>665</v>
      </c>
      <c r="B1248" s="0" t="s">
        <v>45</v>
      </c>
      <c r="C1248" s="20" t="n">
        <f aca="false">C1247/C1240</f>
        <v>0.143247917952469</v>
      </c>
      <c r="D1248" s="20" t="n">
        <f aca="false">D1247/D1240</f>
        <v>0.110480510547436</v>
      </c>
      <c r="E1248" s="20" t="n">
        <f aca="false">E1247/E1240</f>
        <v>0.101335140704247</v>
      </c>
      <c r="F1248" s="20" t="n">
        <f aca="false">F1247/F1240</f>
        <v>0.0981922011221153</v>
      </c>
      <c r="G1248" s="20" t="n">
        <f aca="false">G1247/G1240</f>
        <v>0.0948602122400414</v>
      </c>
      <c r="H1248" s="26" t="n">
        <f aca="false">$G1248</f>
        <v>0.0948602122400414</v>
      </c>
      <c r="I1248" s="26" t="n">
        <f aca="false">$G1248</f>
        <v>0.0948602122400414</v>
      </c>
      <c r="J1248" s="26" t="n">
        <f aca="false">$G1248</f>
        <v>0.0948602122400414</v>
      </c>
    </row>
    <row r="1249" customFormat="false" ht="17.15" hidden="false" customHeight="false" outlineLevel="0" collapsed="false">
      <c r="A1249" s="3" t="s">
        <v>666</v>
      </c>
      <c r="B1249" s="0" t="s">
        <v>303</v>
      </c>
      <c r="E1249" s="21" t="n">
        <f aca="false">E1231*(1-1/(E1216*E1217))</f>
        <v>5.98834162044226</v>
      </c>
      <c r="F1249" s="21" t="n">
        <f aca="false">F1231*(1-1/(F1216*F1217))</f>
        <v>-0.404991609184448</v>
      </c>
      <c r="G1249" s="21" t="n">
        <f aca="false">G1231*(1-1/(G1216*G1217))</f>
        <v>-11.1677949021673</v>
      </c>
      <c r="K1249" s="7" t="s">
        <v>667</v>
      </c>
    </row>
    <row r="1250" customFormat="false" ht="17.15" hidden="false" customHeight="false" outlineLevel="0" collapsed="false">
      <c r="A1250" s="3" t="s">
        <v>668</v>
      </c>
      <c r="B1250" s="0" t="s">
        <v>303</v>
      </c>
      <c r="C1250" s="21" t="n">
        <f aca="false">a25_gp</f>
        <v>18.292</v>
      </c>
      <c r="D1250" s="21" t="n">
        <f aca="false">a26_gp</f>
        <v>47.3329657</v>
      </c>
      <c r="E1250" s="21" t="n">
        <f aca="false">$D1250+ft_abf*(E1229-E1249-$D1229)+ft_oth*((E1240-E1229)-($D1240-$D1229))+E1249-(E1247-$D1247)</f>
        <v>72.7909709736586</v>
      </c>
      <c r="F1250" s="21" t="n">
        <f aca="false">$D1250+ft_abf*(F1229-F1249-$D1229)+ft_oth*((F1240-F1229)-($D1240-$D1229))+F1249-(F1247-$D1247)</f>
        <v>86.8850392621999</v>
      </c>
      <c r="G1250" s="21" t="n">
        <f aca="false">$D1250+ft_abf*(G1229-G1249-$D1229)+ft_oth*((G1240-G1229)-($D1240-$D1229))+G1249-(G1247-$D1247)</f>
        <v>96.3690790524777</v>
      </c>
      <c r="K1250" s="3" t="s">
        <v>669</v>
      </c>
    </row>
    <row r="1251" customFormat="false" ht="15" hidden="false" customHeight="false" outlineLevel="0" collapsed="false">
      <c r="A1251" s="3" t="s">
        <v>522</v>
      </c>
      <c r="B1251" s="0" t="s">
        <v>45</v>
      </c>
      <c r="C1251" s="13" t="n">
        <f aca="false">C1250/C1240</f>
        <v>0.139377176339711</v>
      </c>
      <c r="D1251" s="13" t="n">
        <f aca="false">D1250/D1240</f>
        <v>0.251412029627899</v>
      </c>
      <c r="E1251" s="13" t="n">
        <f aca="false">E1250/E1240</f>
        <v>0.296087638158132</v>
      </c>
      <c r="F1251" s="13" t="n">
        <f aca="false">F1250/F1240</f>
        <v>0.297537860597873</v>
      </c>
      <c r="G1251" s="13" t="n">
        <f aca="false">G1250/G1240</f>
        <v>0.291697759627515</v>
      </c>
    </row>
    <row r="1252" customFormat="false" ht="15" hidden="false" customHeight="false" outlineLevel="0" collapsed="false">
      <c r="A1252" s="3" t="s">
        <v>524</v>
      </c>
      <c r="B1252" s="0" t="s">
        <v>303</v>
      </c>
      <c r="C1252" s="21" t="n">
        <f aca="false">a25_opx</f>
        <v>11.618</v>
      </c>
      <c r="D1252" s="21" t="n">
        <f aca="false">a26_opx</f>
        <v>16.6539532</v>
      </c>
      <c r="E1252" s="21" t="n">
        <f aca="false">D1252*(1+phi*E1242)</f>
        <v>19.7097079663903</v>
      </c>
      <c r="F1252" s="21" t="n">
        <f aca="false">E1252*(1+phi*F1242)</f>
        <v>21.9306692736719</v>
      </c>
      <c r="G1252" s="21" t="n">
        <f aca="false">F1252*(1+phi*G1242)</f>
        <v>23.6591921920915</v>
      </c>
    </row>
    <row r="1253" customFormat="false" ht="15" hidden="false" customHeight="false" outlineLevel="0" collapsed="false">
      <c r="A1253" s="3" t="s">
        <v>527</v>
      </c>
      <c r="B1253" s="0" t="s">
        <v>303</v>
      </c>
      <c r="C1253" s="21" t="n">
        <f aca="false">C1250-C1252</f>
        <v>6.674</v>
      </c>
      <c r="D1253" s="21" t="n">
        <f aca="false">D1250-D1252</f>
        <v>30.6790125</v>
      </c>
      <c r="E1253" s="21" t="n">
        <f aca="false">E1250-E1252</f>
        <v>53.0812630072683</v>
      </c>
      <c r="F1253" s="21" t="n">
        <f aca="false">F1250-F1252</f>
        <v>64.954369988528</v>
      </c>
      <c r="G1253" s="21" t="n">
        <f aca="false">G1250-G1252</f>
        <v>72.7098868603862</v>
      </c>
    </row>
    <row r="1254" customFormat="false" ht="15" hidden="false" customHeight="false" outlineLevel="0" collapsed="false">
      <c r="A1254" s="3" t="s">
        <v>605</v>
      </c>
      <c r="B1254" s="0" t="s">
        <v>45</v>
      </c>
      <c r="C1254" s="13" t="n">
        <f aca="false">C1253/C1240</f>
        <v>0.0508530108731265</v>
      </c>
      <c r="D1254" s="13" t="n">
        <f aca="false">D1253/D1240</f>
        <v>0.162953507888999</v>
      </c>
      <c r="E1254" s="13" t="n">
        <f aca="false">E1253/E1240</f>
        <v>0.215915594805847</v>
      </c>
      <c r="F1254" s="13" t="n">
        <f aca="false">F1253/F1240</f>
        <v>0.222436272653875</v>
      </c>
      <c r="G1254" s="13" t="n">
        <f aca="false">G1253/G1240</f>
        <v>0.220084194105407</v>
      </c>
    </row>
    <row r="1255" customFormat="false" ht="17.15" hidden="false" customHeight="false" outlineLevel="0" collapsed="false">
      <c r="A1255" s="3" t="s">
        <v>670</v>
      </c>
      <c r="B1255" s="0" t="s">
        <v>303</v>
      </c>
      <c r="C1255" s="21" t="n">
        <f aca="false">a25_nonop</f>
        <v>-0.00100000000000033</v>
      </c>
      <c r="D1255" s="21" t="n">
        <f aca="false">a26_nonop</f>
        <v>14.466</v>
      </c>
      <c r="E1255" s="21" t="n">
        <f aca="false">nonop27</f>
        <v>2</v>
      </c>
      <c r="F1255" s="21" t="n">
        <f aca="false">nonop28</f>
        <v>2</v>
      </c>
      <c r="G1255" s="21" t="n">
        <f aca="false">nonop29</f>
        <v>2</v>
      </c>
      <c r="K1255" s="7" t="s">
        <v>671</v>
      </c>
    </row>
    <row r="1256" customFormat="false" ht="15" hidden="false" customHeight="false" outlineLevel="0" collapsed="false">
      <c r="A1256" s="3" t="s">
        <v>533</v>
      </c>
      <c r="B1256" s="0" t="s">
        <v>303</v>
      </c>
      <c r="C1256" s="21" t="n">
        <f aca="false">C1253+C1255</f>
        <v>6.673</v>
      </c>
      <c r="D1256" s="21" t="n">
        <f aca="false">D1253+D1255</f>
        <v>45.1450125</v>
      </c>
      <c r="E1256" s="21" t="n">
        <f aca="false">E1253+E1255</f>
        <v>55.0812630072683</v>
      </c>
      <c r="F1256" s="21" t="n">
        <f aca="false">F1253+F1255</f>
        <v>66.954369988528</v>
      </c>
      <c r="G1256" s="21" t="n">
        <f aca="false">G1253+G1255</f>
        <v>74.7098868603862</v>
      </c>
    </row>
    <row r="1257" customFormat="false" ht="15" hidden="false" customHeight="false" outlineLevel="0" collapsed="false">
      <c r="A1257" s="3" t="s">
        <v>537</v>
      </c>
      <c r="B1257" s="0" t="s">
        <v>303</v>
      </c>
      <c r="E1257" s="21" t="n">
        <f aca="false">E1256*tax</f>
        <v>9.9146273413083</v>
      </c>
      <c r="F1257" s="21" t="n">
        <f aca="false">F1256*tax</f>
        <v>12.051786597935</v>
      </c>
      <c r="G1257" s="21" t="n">
        <f aca="false">G1256*tax</f>
        <v>13.4477796348695</v>
      </c>
    </row>
    <row r="1258" customFormat="false" ht="15" hidden="false" customHeight="false" outlineLevel="0" collapsed="false">
      <c r="A1258" s="3" t="s">
        <v>535</v>
      </c>
      <c r="B1258" s="0" t="s">
        <v>303</v>
      </c>
      <c r="C1258" s="21" t="n">
        <f aca="false">a25_ni</f>
        <v>6.673</v>
      </c>
      <c r="D1258" s="21" t="n">
        <f aca="false">a26_ni</f>
        <v>37.23923025</v>
      </c>
      <c r="E1258" s="21" t="n">
        <f aca="false">E1256-E1257</f>
        <v>45.16663566596</v>
      </c>
      <c r="F1258" s="21" t="n">
        <f aca="false">F1256-F1257</f>
        <v>54.902583390593</v>
      </c>
      <c r="G1258" s="21" t="n">
        <f aca="false">G1256-G1257</f>
        <v>61.2621072255167</v>
      </c>
      <c r="H1258" s="30" t="n">
        <f aca="false">H1240*H1262</f>
        <v>66.3852441036125</v>
      </c>
      <c r="I1258" s="30" t="n">
        <f aca="false">I1240*I1262</f>
        <v>70.3574318072031</v>
      </c>
      <c r="J1258" s="30" t="n">
        <f aca="false">J1240*J1262</f>
        <v>72.8934035570402</v>
      </c>
    </row>
    <row r="1259" customFormat="false" ht="15" hidden="false" customHeight="false" outlineLevel="0" collapsed="false">
      <c r="A1259" s="3" t="s">
        <v>672</v>
      </c>
      <c r="B1259" s="3" t="s">
        <v>381</v>
      </c>
      <c r="C1259" s="29" t="n">
        <f aca="false">a25_sh</f>
        <v>1.52351598173516</v>
      </c>
      <c r="D1259" s="29" t="n">
        <f aca="false">a26_sh</f>
        <v>1.59236316568047</v>
      </c>
      <c r="E1259" s="29" t="n">
        <f aca="false">a26_shend*(1+sh_g)</f>
        <v>1.64</v>
      </c>
      <c r="F1259" s="29" t="n">
        <f aca="false">E1259*(1+sh_g)</f>
        <v>1.64</v>
      </c>
      <c r="G1259" s="29" t="n">
        <f aca="false">F1259*(1+sh_g)</f>
        <v>1.64</v>
      </c>
      <c r="H1259" s="31" t="n">
        <f aca="false">G1259*(1+sh_g)</f>
        <v>1.64</v>
      </c>
      <c r="I1259" s="31" t="n">
        <f aca="false">H1259*(1+sh_g)</f>
        <v>1.64</v>
      </c>
      <c r="J1259" s="31" t="n">
        <f aca="false">I1259*(1+sh_g)</f>
        <v>1.64</v>
      </c>
    </row>
    <row r="1260" customFormat="false" ht="17.15" hidden="false" customHeight="false" outlineLevel="0" collapsed="false">
      <c r="A1260" s="0" t="s">
        <v>540</v>
      </c>
      <c r="B1260" s="0" t="s">
        <v>387</v>
      </c>
      <c r="C1260" s="18" t="n">
        <f aca="false">C1258/C1259</f>
        <v>4.38</v>
      </c>
      <c r="D1260" s="18" t="n">
        <f aca="false">D1258/D1259</f>
        <v>23.3861414610695</v>
      </c>
      <c r="E1260" s="18" t="n">
        <f aca="false">E1258/E1259</f>
        <v>27.5406315036342</v>
      </c>
      <c r="F1260" s="18" t="n">
        <f aca="false">F1258/F1259</f>
        <v>33.477184994264</v>
      </c>
      <c r="G1260" s="18" t="n">
        <f aca="false">G1258/G1259</f>
        <v>37.3549434301931</v>
      </c>
      <c r="H1260" s="28" t="n">
        <f aca="false">H1258/H1259</f>
        <v>40.4788073802515</v>
      </c>
      <c r="I1260" s="28" t="n">
        <f aca="false">I1258/I1259</f>
        <v>42.9008730531726</v>
      </c>
      <c r="J1260" s="28" t="n">
        <f aca="false">J1258/J1259</f>
        <v>44.4471972908782</v>
      </c>
    </row>
    <row r="1261" customFormat="false" ht="17.15" hidden="false" customHeight="false" outlineLevel="0" collapsed="false">
      <c r="A1261" s="0" t="s">
        <v>673</v>
      </c>
      <c r="B1261" s="0" t="s">
        <v>45</v>
      </c>
      <c r="D1261" s="20" t="n">
        <f aca="false">D1260/C1260-1</f>
        <v>4.33930170344053</v>
      </c>
      <c r="E1261" s="20" t="n">
        <f aca="false">E1260/D1260-1</f>
        <v>0.17764752041206</v>
      </c>
      <c r="F1261" s="20" t="n">
        <f aca="false">F1260/E1260-1</f>
        <v>0.215556186133439</v>
      </c>
      <c r="G1261" s="20" t="n">
        <f aca="false">G1260/F1260-1</f>
        <v>0.115832870553289</v>
      </c>
      <c r="H1261" s="26" t="n">
        <f aca="false">H1260/G1260-1</f>
        <v>0.0836265207012332</v>
      </c>
      <c r="I1261" s="26" t="n">
        <f aca="false">I1260/H1260-1</f>
        <v>0.0598354010326585</v>
      </c>
      <c r="J1261" s="26" t="n">
        <f aca="false">J1260/I1260-1</f>
        <v>0.0360441204958462</v>
      </c>
    </row>
    <row r="1262" customFormat="false" ht="17.15" hidden="false" customHeight="false" outlineLevel="0" collapsed="false">
      <c r="A1262" s="3" t="s">
        <v>674</v>
      </c>
      <c r="B1262" s="0" t="s">
        <v>45</v>
      </c>
      <c r="C1262" s="13" t="n">
        <f aca="false">C1258/C1240</f>
        <v>0.0508453913030227</v>
      </c>
      <c r="D1262" s="13" t="n">
        <f aca="false">D1258/D1240</f>
        <v>0.197798517808343</v>
      </c>
      <c r="E1262" s="13" t="n">
        <f aca="false">E1258/E1240</f>
        <v>0.183721721238235</v>
      </c>
      <c r="F1262" s="13" t="n">
        <f aca="false">F1258/F1240</f>
        <v>0.188013924399989</v>
      </c>
      <c r="G1262" s="13" t="n">
        <f aca="false">G1258/G1240</f>
        <v>0.185433124436239</v>
      </c>
      <c r="H1262" s="27" t="n">
        <f aca="false">$G1262+(fade_mA-$G1262)*1/3</f>
        <v>0.181423587080078</v>
      </c>
      <c r="I1262" s="27" t="n">
        <f aca="false">$G1262+(fade_mA-$G1262)*2/3</f>
        <v>0.177414049723918</v>
      </c>
      <c r="J1262" s="27" t="n">
        <f aca="false">$G1262+(fade_mA-$G1262)*3/3</f>
        <v>0.173404512367757</v>
      </c>
    </row>
    <row r="1263" customFormat="false" ht="17.15" hidden="false" customHeight="false" outlineLevel="0" collapsed="false">
      <c r="A1263" s="3" t="s">
        <v>675</v>
      </c>
      <c r="B1263" s="0" t="s">
        <v>45</v>
      </c>
      <c r="C1263" s="20" t="n">
        <f aca="false">C1246/C1240</f>
        <v>0.195190527350447</v>
      </c>
      <c r="D1263" s="20" t="n">
        <f aca="false">D1246/D1240</f>
        <v>0.285230933480641</v>
      </c>
      <c r="E1263" s="20" t="n">
        <f aca="false">E1246/E1240</f>
        <v>0.223720330706817</v>
      </c>
      <c r="F1263" s="20" t="n">
        <f aca="false">F1246/F1240</f>
        <v>0.171225025116217</v>
      </c>
      <c r="G1263" s="20" t="n">
        <f aca="false">G1246/G1240</f>
        <v>0.136209656793443</v>
      </c>
      <c r="H1263" s="26" t="n">
        <f aca="false">$G1263+($G1248*(1+tp_g)^(life/2)-$G1263)*1/3</f>
        <v>0.127797448293105</v>
      </c>
      <c r="I1263" s="26" t="n">
        <f aca="false">$G1263+($G1248*(1+tp_g)^(life/2)-$G1263)*2/3</f>
        <v>0.119385239792767</v>
      </c>
      <c r="J1263" s="26" t="n">
        <f aca="false">$G1263+($G1248*(1+tp_g)^(life/2)-$G1263)*3/3</f>
        <v>0.110973031292429</v>
      </c>
      <c r="K1263" s="7" t="s">
        <v>676</v>
      </c>
    </row>
    <row r="1264" customFormat="false" ht="15" hidden="false" customHeight="false" outlineLevel="0" collapsed="false">
      <c r="A1264" s="3" t="s">
        <v>677</v>
      </c>
      <c r="B1264" s="0" t="s">
        <v>303</v>
      </c>
      <c r="E1264" s="21" t="n">
        <f aca="false">E1258+E1247-E1246</f>
        <v>15.0791356659601</v>
      </c>
      <c r="F1264" s="21" t="n">
        <f aca="false">F1258+F1247-F1246</f>
        <v>33.576020890593</v>
      </c>
      <c r="G1264" s="21" t="n">
        <f aca="false">G1258+G1247-G1246</f>
        <v>47.6013650380167</v>
      </c>
      <c r="H1264" s="30" t="n">
        <f aca="false">H1258+H1247-H1246</f>
        <v>54.3330821401527</v>
      </c>
      <c r="I1264" s="30" t="n">
        <f aca="false">I1258+I1247-I1246</f>
        <v>60.6314943389144</v>
      </c>
      <c r="J1264" s="30" t="n">
        <f aca="false">J1258+J1247-J1246</f>
        <v>66.1201183317033</v>
      </c>
      <c r="K1264" s="3" t="s">
        <v>678</v>
      </c>
    </row>
    <row r="1265" customFormat="false" ht="15" hidden="false" customHeight="false" outlineLevel="0" collapsed="false">
      <c r="A1265" s="3" t="s">
        <v>679</v>
      </c>
      <c r="B1265" s="0" t="s">
        <v>387</v>
      </c>
      <c r="E1265" s="18" t="n">
        <f aca="false">E1264/E1259</f>
        <v>9.19459491826833</v>
      </c>
      <c r="F1265" s="18" t="n">
        <f aca="false">F1264/F1259</f>
        <v>20.4731834698738</v>
      </c>
      <c r="G1265" s="18" t="n">
        <f aca="false">G1264/G1259</f>
        <v>29.0252225841565</v>
      </c>
      <c r="H1265" s="28" t="n">
        <f aca="false">H1264/H1259</f>
        <v>33.1299281342395</v>
      </c>
      <c r="I1265" s="28" t="n">
        <f aca="false">I1264/I1259</f>
        <v>36.9704233773868</v>
      </c>
      <c r="J1265" s="28" t="n">
        <f aca="false">J1264/J1259</f>
        <v>40.3171453242094</v>
      </c>
    </row>
    <row r="1268" customFormat="false" ht="17.15" hidden="false" customHeight="false" outlineLevel="0" collapsed="false">
      <c r="A1268" s="1" t="s">
        <v>1040</v>
      </c>
    </row>
    <row r="1269" customFormat="false" ht="17.15" hidden="false" customHeight="false" outlineLevel="0" collapsed="false">
      <c r="A1269" s="4" t="s">
        <v>22</v>
      </c>
      <c r="B1269" s="4" t="s">
        <v>23</v>
      </c>
      <c r="C1269" s="14" t="s">
        <v>508</v>
      </c>
      <c r="D1269" s="14" t="s">
        <v>592</v>
      </c>
      <c r="E1269" s="14" t="s">
        <v>593</v>
      </c>
      <c r="F1269" s="14" t="s">
        <v>594</v>
      </c>
      <c r="G1269" s="14" t="s">
        <v>595</v>
      </c>
      <c r="H1269" s="14" t="s">
        <v>596</v>
      </c>
      <c r="I1269" s="14" t="s">
        <v>597</v>
      </c>
      <c r="J1269" s="14" t="s">
        <v>598</v>
      </c>
      <c r="K1269" s="4" t="s">
        <v>481</v>
      </c>
    </row>
    <row r="1270" customFormat="false" ht="17.15" hidden="false" customHeight="false" outlineLevel="0" collapsed="false">
      <c r="A1270" s="5" t="s">
        <v>616</v>
      </c>
    </row>
    <row r="1271" customFormat="false" ht="17.15" hidden="false" customHeight="false" outlineLevel="0" collapsed="false">
      <c r="A1271" s="0" t="s">
        <v>617</v>
      </c>
      <c r="B1271" s="3" t="s">
        <v>33</v>
      </c>
      <c r="D1271" s="21" t="n">
        <f aca="false">(u_bw_26+u_rb_26+u_ru_26+u_hp_26)*1</f>
        <v>7.6</v>
      </c>
      <c r="E1271" s="21" t="n">
        <f aca="false">(u_bw_27+u_rb_27+u_ru_27+u_hp_27)*1*1</f>
        <v>9.7</v>
      </c>
      <c r="F1271" s="21" t="n">
        <f aca="false">(u_bw_28+u_rb_28+u_ru_28+u_hp_28)*um28_A*1</f>
        <v>9.5</v>
      </c>
      <c r="G1271" s="21" t="n">
        <f aca="false">(u_bw_28*(1+g29_bw)+u_rb_28*(1+g29_rb)+u_ru_28*(1+g29_ru)+u_hp_28*(1+g29_hp))*um29_A*1</f>
        <v>10.6</v>
      </c>
      <c r="K1271" s="7" t="s">
        <v>618</v>
      </c>
    </row>
    <row r="1272" customFormat="false" ht="17.15" hidden="false" customHeight="false" outlineLevel="0" collapsed="false">
      <c r="A1272" s="3" t="s">
        <v>619</v>
      </c>
      <c r="B1272" s="3" t="s">
        <v>33</v>
      </c>
      <c r="D1272" s="21" t="n">
        <f aca="false">(u_amd_26+u_tpu_26+u_trn_26+u_oth_26)*1</f>
        <v>7.6</v>
      </c>
      <c r="E1272" s="21" t="n">
        <f aca="false">(u_amd_27+u_tpu_27+u_trn_27+u_oth_27)*1*1</f>
        <v>14</v>
      </c>
      <c r="F1272" s="21" t="n">
        <f aca="false">(u_amd_28+u_tpu_28+u_trn_28+u_oth_28)*um28_A*1</f>
        <v>17</v>
      </c>
      <c r="G1272" s="21" t="n">
        <f aca="false">(u_amd_28*(1+g29_amd)+u_tpu_28*(1+g29_tpu)+u_trn_28*(1+g29_trn)+u_oth_28*(1+g29_oth))*um29_A*1</f>
        <v>19.55</v>
      </c>
      <c r="K1272" s="7" t="s">
        <v>620</v>
      </c>
    </row>
    <row r="1273" customFormat="false" ht="17.15" hidden="false" customHeight="false" outlineLevel="0" collapsed="false">
      <c r="A1273" s="3" t="s">
        <v>621</v>
      </c>
      <c r="B1273" s="0" t="s">
        <v>145</v>
      </c>
      <c r="D1273" s="19" t="n">
        <f aca="false">1</f>
        <v>1</v>
      </c>
      <c r="E1273" s="19" t="n">
        <f aca="false">D1273*(1+g_asp)</f>
        <v>1.18</v>
      </c>
      <c r="F1273" s="19" t="n">
        <f aca="false">E1273*(1+g_asp)</f>
        <v>1.3924</v>
      </c>
      <c r="G1273" s="19" t="n">
        <f aca="false">F1273*(1+g_asp)</f>
        <v>1.643032</v>
      </c>
      <c r="K1273" s="7" t="s">
        <v>622</v>
      </c>
    </row>
    <row r="1274" customFormat="false" ht="17.15" hidden="false" customHeight="false" outlineLevel="0" collapsed="false">
      <c r="A1274" s="0" t="s">
        <v>623</v>
      </c>
      <c r="B1274" s="0" t="s">
        <v>145</v>
      </c>
      <c r="D1274" s="18" t="n">
        <f aca="false">1</f>
        <v>1</v>
      </c>
      <c r="E1274" s="18" t="n">
        <f aca="false">ibpp_27</f>
        <v>1</v>
      </c>
      <c r="F1274" s="18" t="n">
        <f aca="false">ibpp_28</f>
        <v>0.95</v>
      </c>
      <c r="G1274" s="18" t="n">
        <f aca="false">ibpp_29</f>
        <v>0.9</v>
      </c>
      <c r="K1274" s="7" t="s">
        <v>624</v>
      </c>
    </row>
    <row r="1275" customFormat="false" ht="17.15" hidden="false" customHeight="false" outlineLevel="0" collapsed="false">
      <c r="A1275" s="3" t="s">
        <v>625</v>
      </c>
      <c r="B1275" s="0" t="s">
        <v>145</v>
      </c>
      <c r="D1275" s="18" t="n">
        <f aca="false">1</f>
        <v>1</v>
      </c>
      <c r="E1275" s="18" t="n">
        <f aca="false">1+carry</f>
        <v>1.05</v>
      </c>
      <c r="F1275" s="18" t="n">
        <f aca="false">1+carry</f>
        <v>1.05</v>
      </c>
      <c r="G1275" s="18" t="n">
        <f aca="false">1+carry</f>
        <v>1.05</v>
      </c>
      <c r="K1275" s="7" t="s">
        <v>626</v>
      </c>
    </row>
    <row r="1276" customFormat="false" ht="17.15" hidden="false" customHeight="false" outlineLevel="0" collapsed="false">
      <c r="A1276" s="3" t="s">
        <v>627</v>
      </c>
      <c r="B1276" s="0" t="s">
        <v>628</v>
      </c>
      <c r="D1276" s="23" t="n">
        <f aca="false">v26*D1273*D1274</f>
        <v>215.308596</v>
      </c>
      <c r="E1276" s="23" t="n">
        <f aca="false">v26*E1273*E1274</f>
        <v>254.06414328</v>
      </c>
      <c r="F1276" s="23" t="n">
        <f aca="false">v26*F1273*F1274</f>
        <v>284.80590461688</v>
      </c>
      <c r="G1276" s="23" t="n">
        <f aca="false">v26*G1273*G1274</f>
        <v>318.383021792765</v>
      </c>
      <c r="K1276" s="7" t="s">
        <v>629</v>
      </c>
    </row>
    <row r="1277" customFormat="false" ht="17.15" hidden="false" customHeight="false" outlineLevel="0" collapsed="false">
      <c r="A1277" s="3" t="s">
        <v>630</v>
      </c>
      <c r="B1277" s="0" t="s">
        <v>45</v>
      </c>
      <c r="D1277" s="20" t="n">
        <f aca="false">sh_nv_26</f>
        <v>0.25</v>
      </c>
      <c r="E1277" s="20" t="n">
        <f aca="false">sh_nv_27</f>
        <v>0.27</v>
      </c>
      <c r="F1277" s="20" t="n">
        <f aca="false">sh_nv_28</f>
        <v>0.29</v>
      </c>
      <c r="G1277" s="20" t="n">
        <f aca="false">sh_nv_29</f>
        <v>0.3</v>
      </c>
    </row>
    <row r="1278" customFormat="false" ht="17.15" hidden="false" customHeight="false" outlineLevel="0" collapsed="false">
      <c r="A1278" s="3" t="s">
        <v>631</v>
      </c>
      <c r="B1278" s="0" t="s">
        <v>45</v>
      </c>
      <c r="D1278" s="20" t="n">
        <f aca="false">sh_ot_26</f>
        <v>0.3</v>
      </c>
      <c r="E1278" s="20" t="n">
        <f aca="false">sh_ot_27</f>
        <v>0.31</v>
      </c>
      <c r="F1278" s="20" t="n">
        <f aca="false">sh_ot_28</f>
        <v>0.32</v>
      </c>
      <c r="G1278" s="20" t="n">
        <f aca="false">sh_ot_29</f>
        <v>0.33</v>
      </c>
    </row>
    <row r="1279" customFormat="false" ht="17.15" hidden="false" customHeight="false" outlineLevel="0" collapsed="false">
      <c r="A1279" s="3" t="s">
        <v>632</v>
      </c>
      <c r="B1279" s="0" t="s">
        <v>582</v>
      </c>
      <c r="D1279" s="22" t="n">
        <f aca="false">(D1271*D1276*D1277+D1272*D1276*v_ot*D1278)*D1275</f>
        <v>801.809211504</v>
      </c>
      <c r="E1279" s="22" t="n">
        <f aca="false">(E1271*E1276*E1277+E1272*E1276*v_ot*E1278)*E1275</f>
        <v>1624.8799315544</v>
      </c>
      <c r="F1279" s="22" t="n">
        <f aca="false">(F1271*F1276*F1277+F1272*F1276*v_ot*F1278)*F1275</f>
        <v>2125.32134231777</v>
      </c>
      <c r="G1279" s="22" t="n">
        <f aca="false">(G1271*G1276*G1277+G1272*G1276*v_ot*G1278)*G1275</f>
        <v>2788.4812844467</v>
      </c>
    </row>
    <row r="1280" customFormat="false" ht="15" hidden="false" customHeight="false" outlineLevel="0" collapsed="false">
      <c r="A1280" s="3" t="s">
        <v>633</v>
      </c>
      <c r="B1280" s="0" t="s">
        <v>303</v>
      </c>
      <c r="D1280" s="21" t="n">
        <f aca="false">D1279*fx/1000</f>
        <v>25.657894768128</v>
      </c>
      <c r="E1280" s="21" t="n">
        <f aca="false">E1279*fx/1000</f>
        <v>51.9961578097409</v>
      </c>
      <c r="F1280" s="21" t="n">
        <f aca="false">F1279*fx/1000</f>
        <v>68.0102829541688</v>
      </c>
      <c r="G1280" s="21" t="n">
        <f aca="false">G1279*fx/1000</f>
        <v>89.2314011022944</v>
      </c>
    </row>
    <row r="1281" customFormat="false" ht="17.15" hidden="false" customHeight="false" outlineLevel="0" collapsed="false">
      <c r="A1281" s="5" t="s">
        <v>634</v>
      </c>
    </row>
    <row r="1282" customFormat="false" ht="17.15" hidden="false" customHeight="false" outlineLevel="0" collapsed="false">
      <c r="A1282" s="0" t="s">
        <v>635</v>
      </c>
      <c r="B1282" s="0" t="s">
        <v>303</v>
      </c>
      <c r="D1282" s="21" t="n">
        <f aca="false">a26_abf*ai_abf</f>
        <v>74.83672875</v>
      </c>
      <c r="K1282" s="3" t="s">
        <v>636</v>
      </c>
    </row>
    <row r="1283" customFormat="false" ht="17.15" hidden="false" customHeight="false" outlineLevel="0" collapsed="false">
      <c r="A1283" s="3" t="s">
        <v>637</v>
      </c>
      <c r="B1283" s="0" t="s">
        <v>303</v>
      </c>
      <c r="D1283" s="21" t="n">
        <f aca="false">D1282-D1280</f>
        <v>49.178833981872</v>
      </c>
      <c r="E1283" s="21" t="n">
        <f aca="false">$D1283*(itc_27/itc_26)^el_o*1*1*E1274*E1275</f>
        <v>73.0642903440322</v>
      </c>
      <c r="F1283" s="21" t="n">
        <f aca="false">$D1283*(itc_28/itc_26)^el_o*um28_A*1*F1274*F1275</f>
        <v>78.1488805595188</v>
      </c>
      <c r="G1283" s="21" t="n">
        <f aca="false">$D1283*(itc_29/itc_26)^el_o*um29_A*1*G1274*G1275</f>
        <v>79.0193888474949</v>
      </c>
      <c r="K1283" s="7" t="s">
        <v>638</v>
      </c>
    </row>
    <row r="1284" customFormat="false" ht="17.15" hidden="false" customHeight="false" outlineLevel="0" collapsed="false">
      <c r="A1284" s="3" t="s">
        <v>639</v>
      </c>
      <c r="B1284" s="0" t="s">
        <v>303</v>
      </c>
      <c r="D1284" s="21" t="n">
        <f aca="false">a26_abf-D1282</f>
        <v>24.94557625</v>
      </c>
      <c r="E1284" s="21" t="n">
        <f aca="false">D1284*(1+g_nai)</f>
        <v>25.6939435375</v>
      </c>
      <c r="F1284" s="21" t="n">
        <f aca="false">E1284*(1+g_nai)</f>
        <v>26.464761843625</v>
      </c>
      <c r="G1284" s="21" t="n">
        <f aca="false">F1284*(1+g_nai)</f>
        <v>27.2587046989338</v>
      </c>
    </row>
    <row r="1285" customFormat="false" ht="17.15" hidden="false" customHeight="false" outlineLevel="0" collapsed="false">
      <c r="A1285" s="0" t="s">
        <v>640</v>
      </c>
      <c r="B1285" s="0" t="s">
        <v>303</v>
      </c>
      <c r="D1285" s="21" t="n">
        <f aca="false">D1280+D1283+D1284</f>
        <v>99.782305</v>
      </c>
      <c r="E1285" s="21" t="n">
        <f aca="false">E1280+E1283+E1284</f>
        <v>150.754391691273</v>
      </c>
      <c r="F1285" s="21" t="n">
        <f aca="false">F1280+F1283+F1284</f>
        <v>172.623925357313</v>
      </c>
      <c r="G1285" s="21" t="n">
        <f aca="false">G1280+G1283+G1284</f>
        <v>195.509494648723</v>
      </c>
    </row>
    <row r="1286" customFormat="false" ht="17.15" hidden="false" customHeight="false" outlineLevel="0" collapsed="false">
      <c r="A1286" s="0" t="s">
        <v>641</v>
      </c>
      <c r="B1286" s="0" t="s">
        <v>303</v>
      </c>
      <c r="D1286" s="21" t="n">
        <f aca="false">a26_abf</f>
        <v>99.782305</v>
      </c>
      <c r="E1286" s="21" t="n">
        <f aca="false">$D1285*cap_27*(1+g_mix)^1*E1274*E1275</f>
        <v>148.513488204375</v>
      </c>
      <c r="F1286" s="21" t="n">
        <f aca="false">$D1285*cap_28*(1+g_mix)^2*F1274*F1275</f>
        <v>186.549442683384</v>
      </c>
      <c r="G1286" s="21" t="n">
        <f aca="false">$D1285*cap_29*(1+g_mix)^3*G1274*G1275</f>
        <v>218.314827660431</v>
      </c>
      <c r="K1286" s="7" t="s">
        <v>642</v>
      </c>
    </row>
    <row r="1287" customFormat="false" ht="17.15" hidden="false" customHeight="false" outlineLevel="0" collapsed="false">
      <c r="A1287" s="0" t="s">
        <v>643</v>
      </c>
      <c r="B1287" s="0" t="s">
        <v>303</v>
      </c>
      <c r="D1287" s="21" t="n">
        <f aca="false">a26_abf</f>
        <v>99.782305</v>
      </c>
      <c r="E1287" s="21" t="n">
        <f aca="false">MIN(E1285,E1286)</f>
        <v>148.513488204375</v>
      </c>
      <c r="F1287" s="21" t="n">
        <f aca="false">MIN(F1285,F1286)</f>
        <v>172.623925357313</v>
      </c>
      <c r="G1287" s="21" t="n">
        <f aca="false">MIN(G1285,G1286)</f>
        <v>195.509494648723</v>
      </c>
    </row>
    <row r="1288" customFormat="false" ht="17.15" hidden="false" customHeight="false" outlineLevel="0" collapsed="false">
      <c r="A1288" s="3" t="s">
        <v>644</v>
      </c>
      <c r="B1288" s="0" t="s">
        <v>45</v>
      </c>
      <c r="D1288" s="20" t="n">
        <f aca="false">D1287/D1285</f>
        <v>1</v>
      </c>
      <c r="E1288" s="20" t="n">
        <f aca="false">E1287/E1285</f>
        <v>0.985135401617438</v>
      </c>
      <c r="F1288" s="20" t="n">
        <f aca="false">F1287/F1285</f>
        <v>1</v>
      </c>
      <c r="G1288" s="20" t="n">
        <f aca="false">G1287/G1285</f>
        <v>1</v>
      </c>
    </row>
    <row r="1289" customFormat="false" ht="17.15" hidden="false" customHeight="false" outlineLevel="0" collapsed="false">
      <c r="A1289" s="0" t="s">
        <v>645</v>
      </c>
      <c r="B1289" s="0" t="s">
        <v>303</v>
      </c>
      <c r="D1289" s="21" t="n">
        <f aca="false">(D1280+D1283)*D1288</f>
        <v>74.83672875</v>
      </c>
      <c r="E1289" s="21" t="n">
        <f aca="false">(E1280+E1283)*E1288</f>
        <v>123.201474818424</v>
      </c>
      <c r="F1289" s="21" t="n">
        <f aca="false">(F1280+F1283)*F1288</f>
        <v>146.159163513688</v>
      </c>
      <c r="G1289" s="21" t="n">
        <f aca="false">(G1280+G1283)*G1288</f>
        <v>168.250789949789</v>
      </c>
    </row>
    <row r="1290" customFormat="false" ht="17.15" hidden="false" customHeight="false" outlineLevel="0" collapsed="false">
      <c r="A1290" s="3" t="s">
        <v>646</v>
      </c>
      <c r="B1290" s="0" t="s">
        <v>45</v>
      </c>
      <c r="D1290" s="20" t="n">
        <f aca="false">D1280/(D1280+D1283)</f>
        <v>0.342851634440636</v>
      </c>
      <c r="E1290" s="20" t="n">
        <f aca="false">E1280/(E1280+E1283)</f>
        <v>0.41576820311572</v>
      </c>
      <c r="F1290" s="20" t="n">
        <f aca="false">F1280/(F1280+F1283)</f>
        <v>0.465316585831443</v>
      </c>
      <c r="G1290" s="20" t="n">
        <f aca="false">G1280/(G1280+G1283)</f>
        <v>0.530347590813235</v>
      </c>
    </row>
    <row r="1291" customFormat="false" ht="17.15" hidden="false" customHeight="false" outlineLevel="0" collapsed="false">
      <c r="A1291" s="5" t="s">
        <v>647</v>
      </c>
    </row>
    <row r="1292" customFormat="false" ht="17.15" hidden="false" customHeight="false" outlineLevel="0" collapsed="false">
      <c r="A1292" s="0" t="s">
        <v>550</v>
      </c>
      <c r="B1292" s="0" t="s">
        <v>303</v>
      </c>
      <c r="D1292" s="21" t="n">
        <f aca="false">a26_bt</f>
        <v>16.944165</v>
      </c>
      <c r="E1292" s="21" t="n">
        <f aca="false">D1292*(1+g_bt)</f>
        <v>17.79137325</v>
      </c>
      <c r="F1292" s="21" t="n">
        <f aca="false">E1292*(1+g_bt)</f>
        <v>18.6809419125</v>
      </c>
      <c r="G1292" s="21" t="n">
        <f aca="false">F1292*(1+g_bt)</f>
        <v>19.614989008125</v>
      </c>
    </row>
    <row r="1293" customFormat="false" ht="17.15" hidden="false" customHeight="false" outlineLevel="0" collapsed="false">
      <c r="A1293" s="0" t="s">
        <v>648</v>
      </c>
      <c r="B1293" s="0" t="s">
        <v>303</v>
      </c>
      <c r="D1293" s="21" t="n">
        <f aca="false">a26_pcb*ai_pcb</f>
        <v>37.93610275</v>
      </c>
      <c r="E1293" s="21" t="n">
        <f aca="false">D1293*(1+g_pai_27_lo)</f>
        <v>41.729713025</v>
      </c>
      <c r="F1293" s="21" t="n">
        <f aca="false">D1293*(1+g_pai_27_lo)*(1+g_pai_28_lo)*um28_A</f>
        <v>43.81619867625</v>
      </c>
      <c r="G1293" s="21" t="n">
        <f aca="false">D1293*(1+g_pai_27_lo)*(1+g_pai_28_lo)*(1+g_pai_29_lo)*um29_A</f>
        <v>43.81619867625</v>
      </c>
      <c r="K1293" s="3" t="s">
        <v>649</v>
      </c>
    </row>
    <row r="1294" customFormat="false" ht="17.15" hidden="false" customHeight="false" outlineLevel="0" collapsed="false">
      <c r="A1294" s="3" t="s">
        <v>650</v>
      </c>
      <c r="B1294" s="0" t="s">
        <v>303</v>
      </c>
      <c r="D1294" s="21" t="n">
        <f aca="false">a26_pcb*(1-ai_pcb)</f>
        <v>20.42713225</v>
      </c>
      <c r="E1294" s="21" t="n">
        <f aca="false">D1294*(1+g_pcbn)</f>
        <v>20.835674895</v>
      </c>
      <c r="F1294" s="21" t="n">
        <f aca="false">E1294*(1+g_pcbn)</f>
        <v>21.2523883929</v>
      </c>
      <c r="G1294" s="21" t="n">
        <f aca="false">F1294*(1+g_pcbn)</f>
        <v>21.677436160758</v>
      </c>
    </row>
    <row r="1295" customFormat="false" ht="15" hidden="false" customHeight="false" outlineLevel="0" collapsed="false">
      <c r="A1295" s="3" t="s">
        <v>552</v>
      </c>
      <c r="B1295" s="0" t="s">
        <v>303</v>
      </c>
      <c r="D1295" s="21" t="n">
        <f aca="false">a26_fpc</f>
        <v>13.178795</v>
      </c>
      <c r="E1295" s="21" t="n">
        <f aca="false">D1295*(1+g_fpc)</f>
        <v>13.178795</v>
      </c>
      <c r="F1295" s="21" t="n">
        <f aca="false">E1295*(1+g_fpc)</f>
        <v>13.178795</v>
      </c>
      <c r="G1295" s="21" t="n">
        <f aca="false">F1295*(1+g_fpc)</f>
        <v>13.178795</v>
      </c>
    </row>
    <row r="1296" customFormat="false" ht="17.15" hidden="false" customHeight="false" outlineLevel="0" collapsed="false">
      <c r="A1296" s="3" t="s">
        <v>651</v>
      </c>
      <c r="B1296" s="0" t="s">
        <v>303</v>
      </c>
      <c r="D1296" s="21" t="n">
        <f aca="false">D1287+D1292</f>
        <v>116.72647</v>
      </c>
      <c r="E1296" s="21" t="n">
        <f aca="false">E1287+E1292</f>
        <v>166.304861454375</v>
      </c>
      <c r="F1296" s="21" t="n">
        <f aca="false">F1287+F1292</f>
        <v>191.304867269813</v>
      </c>
      <c r="G1296" s="21" t="n">
        <f aca="false">G1287+G1292</f>
        <v>215.124483656848</v>
      </c>
      <c r="K1296" s="3" t="s">
        <v>652</v>
      </c>
    </row>
    <row r="1297" customFormat="false" ht="17.15" hidden="false" customHeight="false" outlineLevel="0" collapsed="false">
      <c r="A1297" s="0" t="s">
        <v>653</v>
      </c>
      <c r="B1297" s="0" t="s">
        <v>303</v>
      </c>
      <c r="D1297" s="21" t="n">
        <f aca="false">D1293+D1294</f>
        <v>58.363235</v>
      </c>
      <c r="E1297" s="21" t="n">
        <f aca="false">E1293+E1294</f>
        <v>62.56538792</v>
      </c>
      <c r="F1297" s="21" t="n">
        <f aca="false">F1293+F1294</f>
        <v>65.06858706915</v>
      </c>
      <c r="G1297" s="21" t="n">
        <f aca="false">G1293+G1294</f>
        <v>65.493634837008</v>
      </c>
      <c r="K1297" s="3" t="s">
        <v>654</v>
      </c>
    </row>
    <row r="1298" customFormat="false" ht="17.15" hidden="false" customHeight="false" outlineLevel="0" collapsed="false">
      <c r="A1298" s="3" t="s">
        <v>515</v>
      </c>
      <c r="B1298" s="0" t="s">
        <v>303</v>
      </c>
      <c r="C1298" s="23" t="n">
        <f aca="false">a25_rev</f>
        <v>131.241</v>
      </c>
      <c r="D1298" s="23" t="n">
        <f aca="false">D1296+D1297+D1295</f>
        <v>188.2685</v>
      </c>
      <c r="E1298" s="23" t="n">
        <f aca="false">E1296+E1297+E1295</f>
        <v>242.049044374375</v>
      </c>
      <c r="F1298" s="23" t="n">
        <f aca="false">F1296+F1297+F1295</f>
        <v>269.552249338963</v>
      </c>
      <c r="G1298" s="23" t="n">
        <f aca="false">G1296+G1297+G1295</f>
        <v>293.796913493856</v>
      </c>
      <c r="H1298" s="25" t="n">
        <f aca="false">G1298*(1+H1300)</f>
        <v>317.289739311808</v>
      </c>
      <c r="I1298" s="25" t="n">
        <f aca="false">H1298*(1+I1300)</f>
        <v>339.494120545605</v>
      </c>
      <c r="J1298" s="25" t="n">
        <f aca="false">I1298*(1+J1300)</f>
        <v>359.863767778341</v>
      </c>
      <c r="K1298" s="7" t="s">
        <v>655</v>
      </c>
    </row>
    <row r="1299" customFormat="false" ht="17.15" hidden="false" customHeight="false" outlineLevel="0" collapsed="false">
      <c r="A1299" s="3" t="s">
        <v>656</v>
      </c>
      <c r="B1299" s="0" t="s">
        <v>303</v>
      </c>
      <c r="D1299" s="19" t="n">
        <f aca="false">D1296+D1297+D1295-D1298</f>
        <v>0</v>
      </c>
      <c r="E1299" s="19" t="n">
        <f aca="false">E1296+E1297+E1295-E1298</f>
        <v>0</v>
      </c>
      <c r="F1299" s="19" t="n">
        <f aca="false">F1296+F1297+F1295-F1298</f>
        <v>0</v>
      </c>
      <c r="G1299" s="19" t="n">
        <f aca="false">G1296+G1297+G1295-G1298</f>
        <v>0</v>
      </c>
    </row>
    <row r="1300" customFormat="false" ht="15" hidden="false" customHeight="false" outlineLevel="0" collapsed="false">
      <c r="A1300" s="3" t="s">
        <v>657</v>
      </c>
      <c r="B1300" s="0" t="s">
        <v>45</v>
      </c>
      <c r="D1300" s="20" t="n">
        <f aca="false">D1298/C1298-1</f>
        <v>0.434525034097576</v>
      </c>
      <c r="E1300" s="20" t="n">
        <f aca="false">E1298/D1298-1</f>
        <v>0.28565875</v>
      </c>
      <c r="F1300" s="20" t="n">
        <f aca="false">F1298/E1298-1</f>
        <v>0.113626579421849</v>
      </c>
      <c r="G1300" s="20" t="n">
        <f aca="false">G1298/F1298-1</f>
        <v>0.0899442101275356</v>
      </c>
      <c r="H1300" s="26" t="n">
        <f aca="false">$G1300+(fade_gA-$G1300)*1/3</f>
        <v>0.0799628067516904</v>
      </c>
      <c r="I1300" s="26" t="n">
        <f aca="false">$G1300+(fade_gA-$G1300)*2/3</f>
        <v>0.0699814033758452</v>
      </c>
      <c r="J1300" s="26" t="n">
        <f aca="false">$G1300+(fade_gA-$G1300)*3/3</f>
        <v>0.06</v>
      </c>
    </row>
    <row r="1301" customFormat="false" ht="17.15" hidden="false" customHeight="false" outlineLevel="0" collapsed="false">
      <c r="A1301" s="0" t="s">
        <v>658</v>
      </c>
      <c r="B1301" s="0" t="s">
        <v>45</v>
      </c>
      <c r="D1301" s="20" t="n">
        <f aca="false">D1287/D1298</f>
        <v>0.53</v>
      </c>
      <c r="E1301" s="20" t="n">
        <f aca="false">E1287/E1298</f>
        <v>0.613567752718208</v>
      </c>
      <c r="F1301" s="20" t="n">
        <f aca="false">F1287/F1298</f>
        <v>0.640409886323143</v>
      </c>
      <c r="G1301" s="20" t="n">
        <f aca="false">G1287/G1298</f>
        <v>0.665457959798518</v>
      </c>
    </row>
    <row r="1302" customFormat="false" ht="17.15" hidden="false" customHeight="false" outlineLevel="0" collapsed="false">
      <c r="A1302" s="0" t="s">
        <v>659</v>
      </c>
      <c r="B1302" s="0" t="s">
        <v>45</v>
      </c>
      <c r="D1302" s="20" t="n">
        <f aca="false">(D1289+D1293)/D1298</f>
        <v>0.599</v>
      </c>
      <c r="E1302" s="20" t="n">
        <f aca="false">(E1289+E1293)/E1298</f>
        <v>0.68139574056044</v>
      </c>
      <c r="F1302" s="20" t="n">
        <f aca="false">(F1289+F1293)/F1298</f>
        <v>0.704781216464802</v>
      </c>
      <c r="G1302" s="20" t="n">
        <f aca="false">(G1289+G1293)/G1298</f>
        <v>0.721814896229242</v>
      </c>
      <c r="K1302" s="3" t="s">
        <v>660</v>
      </c>
    </row>
    <row r="1303" customFormat="false" ht="17.15" hidden="false" customHeight="false" outlineLevel="0" collapsed="false">
      <c r="A1303" s="5" t="s">
        <v>661</v>
      </c>
    </row>
    <row r="1304" customFormat="false" ht="15" hidden="false" customHeight="false" outlineLevel="0" collapsed="false">
      <c r="A1304" s="3" t="s">
        <v>662</v>
      </c>
      <c r="B1304" s="0" t="s">
        <v>303</v>
      </c>
      <c r="C1304" s="23" t="n">
        <f aca="false">a25_cx</f>
        <v>25.617</v>
      </c>
      <c r="D1304" s="23" t="n">
        <f aca="false">capex26</f>
        <v>53.7</v>
      </c>
      <c r="E1304" s="23" t="n">
        <f aca="false">cx27_A</f>
        <v>55</v>
      </c>
      <c r="F1304" s="23" t="n">
        <f aca="false">cx28_A</f>
        <v>50</v>
      </c>
      <c r="G1304" s="23" t="n">
        <f aca="false">cx29_A</f>
        <v>45</v>
      </c>
      <c r="H1304" s="25" t="n">
        <f aca="false">H1298*H1321</f>
        <v>45.5969293158342</v>
      </c>
      <c r="I1304" s="25" t="n">
        <f aca="false">I1298*I1321</f>
        <v>45.5764274576859</v>
      </c>
      <c r="J1304" s="25" t="n">
        <f aca="false">J1298*J1321</f>
        <v>44.9068878061695</v>
      </c>
    </row>
    <row r="1305" customFormat="false" ht="17.15" hidden="false" customHeight="false" outlineLevel="0" collapsed="false">
      <c r="A1305" s="3" t="s">
        <v>663</v>
      </c>
      <c r="B1305" s="0" t="s">
        <v>303</v>
      </c>
      <c r="C1305" s="23" t="n">
        <f aca="false">a25_da</f>
        <v>18.8</v>
      </c>
      <c r="D1305" s="23" t="n">
        <f aca="false">da26</f>
        <v>20.8</v>
      </c>
      <c r="E1305" s="23" t="n">
        <f aca="false">D1305*(1-1/life)+D1304/life</f>
        <v>24.9125</v>
      </c>
      <c r="F1305" s="23" t="n">
        <f aca="false">E1305*(1-1/life)+E1304/life</f>
        <v>28.6734375</v>
      </c>
      <c r="G1305" s="23" t="n">
        <f aca="false">F1305*(1-1/life)+F1304/life</f>
        <v>31.3392578125</v>
      </c>
      <c r="H1305" s="25" t="n">
        <f aca="false">H1298*H1306</f>
        <v>33.8452328287023</v>
      </c>
      <c r="I1305" s="25" t="n">
        <f aca="false">I1298*I1306</f>
        <v>36.2137697196372</v>
      </c>
      <c r="J1305" s="25" t="n">
        <f aca="false">J1298*J1306</f>
        <v>38.3865959028154</v>
      </c>
      <c r="K1305" s="3" t="s">
        <v>664</v>
      </c>
    </row>
    <row r="1306" customFormat="false" ht="17.15" hidden="false" customHeight="false" outlineLevel="0" collapsed="false">
      <c r="A1306" s="3" t="s">
        <v>665</v>
      </c>
      <c r="B1306" s="0" t="s">
        <v>45</v>
      </c>
      <c r="C1306" s="20" t="n">
        <f aca="false">C1305/C1298</f>
        <v>0.143247917952469</v>
      </c>
      <c r="D1306" s="20" t="n">
        <f aca="false">D1305/D1298</f>
        <v>0.110480510547436</v>
      </c>
      <c r="E1306" s="20" t="n">
        <f aca="false">E1305/E1298</f>
        <v>0.102923356150368</v>
      </c>
      <c r="F1306" s="20" t="n">
        <f aca="false">F1305/F1298</f>
        <v>0.106374321009442</v>
      </c>
      <c r="G1306" s="20" t="n">
        <f aca="false">G1305/G1298</f>
        <v>0.106669799351569</v>
      </c>
      <c r="H1306" s="26" t="n">
        <f aca="false">$G1306</f>
        <v>0.106669799351569</v>
      </c>
      <c r="I1306" s="26" t="n">
        <f aca="false">$G1306</f>
        <v>0.106669799351569</v>
      </c>
      <c r="J1306" s="26" t="n">
        <f aca="false">$G1306</f>
        <v>0.106669799351569</v>
      </c>
    </row>
    <row r="1307" customFormat="false" ht="17.15" hidden="false" customHeight="false" outlineLevel="0" collapsed="false">
      <c r="A1307" s="3" t="s">
        <v>666</v>
      </c>
      <c r="B1307" s="0" t="s">
        <v>303</v>
      </c>
      <c r="E1307" s="21" t="n">
        <f aca="false">E1289*(1-1/(E1274*E1275))</f>
        <v>5.86673689611544</v>
      </c>
      <c r="F1307" s="21" t="n">
        <f aca="false">F1289*(1-1/(F1274*F1275))</f>
        <v>-0.366313693016785</v>
      </c>
      <c r="G1307" s="21" t="n">
        <f aca="false">G1289*(1-1/(G1274*G1275))</f>
        <v>-9.7923740182417</v>
      </c>
      <c r="K1307" s="7" t="s">
        <v>667</v>
      </c>
    </row>
    <row r="1308" customFormat="false" ht="17.15" hidden="false" customHeight="false" outlineLevel="0" collapsed="false">
      <c r="A1308" s="3" t="s">
        <v>668</v>
      </c>
      <c r="B1308" s="0" t="s">
        <v>303</v>
      </c>
      <c r="C1308" s="21" t="n">
        <f aca="false">a25_gp</f>
        <v>18.292</v>
      </c>
      <c r="D1308" s="21" t="n">
        <f aca="false">a26_gp</f>
        <v>47.3329657</v>
      </c>
      <c r="E1308" s="21" t="n">
        <f aca="false">$D1308+ft_abf*(E1287-E1307-$D1287)+ft_oth*((E1298-E1287)-($D1298-$D1287))+E1307-(E1305-$D1305)</f>
        <v>71.7817660427452</v>
      </c>
      <c r="F1308" s="21" t="n">
        <f aca="false">$D1308+ft_abf*(F1287-F1307-$D1287)+ft_oth*((F1298-F1287)-($D1298-$D1287))+F1307-(F1305-$D1305)</f>
        <v>77.8077137775604</v>
      </c>
      <c r="G1308" s="21" t="n">
        <f aca="false">$D1308+ft_abf*(G1287-G1307-$D1287)+ft_oth*((G1298-G1287)-($D1298-$D1287))+G1307-(G1305-$D1305)</f>
        <v>82.2114216640239</v>
      </c>
      <c r="K1308" s="3" t="s">
        <v>669</v>
      </c>
    </row>
    <row r="1309" customFormat="false" ht="15" hidden="false" customHeight="false" outlineLevel="0" collapsed="false">
      <c r="A1309" s="3" t="s">
        <v>522</v>
      </c>
      <c r="B1309" s="0" t="s">
        <v>45</v>
      </c>
      <c r="C1309" s="13" t="n">
        <f aca="false">C1308/C1298</f>
        <v>0.139377176339711</v>
      </c>
      <c r="D1309" s="13" t="n">
        <f aca="false">D1308/D1298</f>
        <v>0.251412029627899</v>
      </c>
      <c r="E1309" s="13" t="n">
        <f aca="false">E1308/E1298</f>
        <v>0.296558766543697</v>
      </c>
      <c r="F1309" s="13" t="n">
        <f aca="false">F1308/F1298</f>
        <v>0.288655405281805</v>
      </c>
      <c r="G1309" s="13" t="n">
        <f aca="false">G1308/G1298</f>
        <v>0.279823980062824</v>
      </c>
    </row>
    <row r="1310" customFormat="false" ht="15" hidden="false" customHeight="false" outlineLevel="0" collapsed="false">
      <c r="A1310" s="3" t="s">
        <v>524</v>
      </c>
      <c r="B1310" s="0" t="s">
        <v>303</v>
      </c>
      <c r="C1310" s="21" t="n">
        <f aca="false">a25_opx</f>
        <v>11.618</v>
      </c>
      <c r="D1310" s="21" t="n">
        <f aca="false">a26_opx</f>
        <v>16.6539532</v>
      </c>
      <c r="E1310" s="21" t="n">
        <f aca="false">D1310*(1+phi*E1300)</f>
        <v>19.5083616722023</v>
      </c>
      <c r="F1310" s="21" t="n">
        <f aca="false">E1310*(1+phi*F1300)</f>
        <v>20.8383627163643</v>
      </c>
      <c r="G1310" s="21" t="n">
        <f aca="false">F1310*(1+phi*G1300)</f>
        <v>21.962936761289</v>
      </c>
    </row>
    <row r="1311" customFormat="false" ht="15" hidden="false" customHeight="false" outlineLevel="0" collapsed="false">
      <c r="A1311" s="3" t="s">
        <v>527</v>
      </c>
      <c r="B1311" s="0" t="s">
        <v>303</v>
      </c>
      <c r="C1311" s="21" t="n">
        <f aca="false">C1308-C1310</f>
        <v>6.674</v>
      </c>
      <c r="D1311" s="21" t="n">
        <f aca="false">D1308-D1310</f>
        <v>30.6790125</v>
      </c>
      <c r="E1311" s="21" t="n">
        <f aca="false">E1308-E1310</f>
        <v>52.2734043705429</v>
      </c>
      <c r="F1311" s="21" t="n">
        <f aca="false">F1308-F1310</f>
        <v>56.9693510611961</v>
      </c>
      <c r="G1311" s="21" t="n">
        <f aca="false">G1308-G1310</f>
        <v>60.248484902735</v>
      </c>
    </row>
    <row r="1312" customFormat="false" ht="15" hidden="false" customHeight="false" outlineLevel="0" collapsed="false">
      <c r="A1312" s="3" t="s">
        <v>605</v>
      </c>
      <c r="B1312" s="0" t="s">
        <v>45</v>
      </c>
      <c r="C1312" s="13" t="n">
        <f aca="false">C1311/C1298</f>
        <v>0.0508530108731265</v>
      </c>
      <c r="D1312" s="13" t="n">
        <f aca="false">D1311/D1298</f>
        <v>0.162953507888999</v>
      </c>
      <c r="E1312" s="13" t="n">
        <f aca="false">E1311/E1298</f>
        <v>0.215962035733932</v>
      </c>
      <c r="F1312" s="13" t="n">
        <f aca="false">F1311/F1298</f>
        <v>0.211348082610719</v>
      </c>
      <c r="G1312" s="13" t="n">
        <f aca="false">G1311/G1298</f>
        <v>0.205068474635268</v>
      </c>
    </row>
    <row r="1313" customFormat="false" ht="17.15" hidden="false" customHeight="false" outlineLevel="0" collapsed="false">
      <c r="A1313" s="3" t="s">
        <v>670</v>
      </c>
      <c r="B1313" s="0" t="s">
        <v>303</v>
      </c>
      <c r="C1313" s="21" t="n">
        <f aca="false">a25_nonop</f>
        <v>-0.00100000000000033</v>
      </c>
      <c r="D1313" s="21" t="n">
        <f aca="false">a26_nonop</f>
        <v>14.466</v>
      </c>
      <c r="E1313" s="21" t="n">
        <f aca="false">nonop27</f>
        <v>2</v>
      </c>
      <c r="F1313" s="21" t="n">
        <f aca="false">nonop28</f>
        <v>2</v>
      </c>
      <c r="G1313" s="21" t="n">
        <f aca="false">nonop29</f>
        <v>2</v>
      </c>
      <c r="K1313" s="7" t="s">
        <v>671</v>
      </c>
    </row>
    <row r="1314" customFormat="false" ht="15" hidden="false" customHeight="false" outlineLevel="0" collapsed="false">
      <c r="A1314" s="3" t="s">
        <v>533</v>
      </c>
      <c r="B1314" s="0" t="s">
        <v>303</v>
      </c>
      <c r="C1314" s="21" t="n">
        <f aca="false">C1311+C1313</f>
        <v>6.673</v>
      </c>
      <c r="D1314" s="21" t="n">
        <f aca="false">D1311+D1313</f>
        <v>45.1450125</v>
      </c>
      <c r="E1314" s="21" t="n">
        <f aca="false">E1311+E1313</f>
        <v>54.2734043705429</v>
      </c>
      <c r="F1314" s="21" t="n">
        <f aca="false">F1311+F1313</f>
        <v>58.9693510611961</v>
      </c>
      <c r="G1314" s="21" t="n">
        <f aca="false">G1311+G1313</f>
        <v>62.248484902735</v>
      </c>
    </row>
    <row r="1315" customFormat="false" ht="15" hidden="false" customHeight="false" outlineLevel="0" collapsed="false">
      <c r="A1315" s="3" t="s">
        <v>537</v>
      </c>
      <c r="B1315" s="0" t="s">
        <v>303</v>
      </c>
      <c r="E1315" s="21" t="n">
        <f aca="false">E1314*tax</f>
        <v>9.76921278669772</v>
      </c>
      <c r="F1315" s="21" t="n">
        <f aca="false">F1314*tax</f>
        <v>10.6144831910153</v>
      </c>
      <c r="G1315" s="21" t="n">
        <f aca="false">G1314*tax</f>
        <v>11.2047272824923</v>
      </c>
    </row>
    <row r="1316" customFormat="false" ht="15" hidden="false" customHeight="false" outlineLevel="0" collapsed="false">
      <c r="A1316" s="3" t="s">
        <v>535</v>
      </c>
      <c r="B1316" s="0" t="s">
        <v>303</v>
      </c>
      <c r="C1316" s="21" t="n">
        <f aca="false">a25_ni</f>
        <v>6.673</v>
      </c>
      <c r="D1316" s="21" t="n">
        <f aca="false">a26_ni</f>
        <v>37.23923025</v>
      </c>
      <c r="E1316" s="21" t="n">
        <f aca="false">E1314-E1315</f>
        <v>44.5041915838452</v>
      </c>
      <c r="F1316" s="21" t="n">
        <f aca="false">F1314-F1315</f>
        <v>48.3548678701808</v>
      </c>
      <c r="G1316" s="21" t="n">
        <f aca="false">G1314-G1315</f>
        <v>51.0437576202427</v>
      </c>
      <c r="H1316" s="30" t="n">
        <f aca="false">H1298*H1320</f>
        <v>55.0900640060258</v>
      </c>
      <c r="I1316" s="30" t="n">
        <f aca="false">I1298*I1320</f>
        <v>58.9075782110819</v>
      </c>
      <c r="J1316" s="30" t="n">
        <f aca="false">J1298*J1320</f>
        <v>62.4020011704271</v>
      </c>
    </row>
    <row r="1317" customFormat="false" ht="15" hidden="false" customHeight="false" outlineLevel="0" collapsed="false">
      <c r="A1317" s="3" t="s">
        <v>672</v>
      </c>
      <c r="B1317" s="3" t="s">
        <v>381</v>
      </c>
      <c r="C1317" s="29" t="n">
        <f aca="false">a25_sh</f>
        <v>1.52351598173516</v>
      </c>
      <c r="D1317" s="29" t="n">
        <f aca="false">a26_sh</f>
        <v>1.59236316568047</v>
      </c>
      <c r="E1317" s="29" t="n">
        <f aca="false">a26_shend*(1+sh_g)</f>
        <v>1.64</v>
      </c>
      <c r="F1317" s="29" t="n">
        <f aca="false">E1317*(1+sh_g)</f>
        <v>1.64</v>
      </c>
      <c r="G1317" s="29" t="n">
        <f aca="false">F1317*(1+sh_g)</f>
        <v>1.64</v>
      </c>
      <c r="H1317" s="31" t="n">
        <f aca="false">G1317*(1+sh_g)</f>
        <v>1.64</v>
      </c>
      <c r="I1317" s="31" t="n">
        <f aca="false">H1317*(1+sh_g)</f>
        <v>1.64</v>
      </c>
      <c r="J1317" s="31" t="n">
        <f aca="false">I1317*(1+sh_g)</f>
        <v>1.64</v>
      </c>
    </row>
    <row r="1318" customFormat="false" ht="17.15" hidden="false" customHeight="false" outlineLevel="0" collapsed="false">
      <c r="A1318" s="0" t="s">
        <v>540</v>
      </c>
      <c r="B1318" s="0" t="s">
        <v>387</v>
      </c>
      <c r="C1318" s="18" t="n">
        <f aca="false">C1316/C1317</f>
        <v>4.38</v>
      </c>
      <c r="D1318" s="18" t="n">
        <f aca="false">D1316/D1317</f>
        <v>23.3861414610695</v>
      </c>
      <c r="E1318" s="18" t="n">
        <f aca="false">E1316/E1317</f>
        <v>27.1367021852715</v>
      </c>
      <c r="F1318" s="18" t="n">
        <f aca="false">F1316/F1317</f>
        <v>29.4846755305981</v>
      </c>
      <c r="G1318" s="18" t="n">
        <f aca="false">G1316/G1317</f>
        <v>31.1242424513675</v>
      </c>
      <c r="H1318" s="28" t="n">
        <f aca="false">H1316/H1317</f>
        <v>33.5915024426987</v>
      </c>
      <c r="I1318" s="28" t="n">
        <f aca="false">I1316/I1317</f>
        <v>35.9192550067573</v>
      </c>
      <c r="J1318" s="28" t="n">
        <f aca="false">J1316/J1317</f>
        <v>38.0500007136751</v>
      </c>
    </row>
    <row r="1319" customFormat="false" ht="17.15" hidden="false" customHeight="false" outlineLevel="0" collapsed="false">
      <c r="A1319" s="0" t="s">
        <v>673</v>
      </c>
      <c r="B1319" s="0" t="s">
        <v>45</v>
      </c>
      <c r="D1319" s="20" t="n">
        <f aca="false">D1318/C1318-1</f>
        <v>4.33930170344053</v>
      </c>
      <c r="E1319" s="20" t="n">
        <f aca="false">E1318/D1318-1</f>
        <v>0.160375354371539</v>
      </c>
      <c r="F1319" s="20" t="n">
        <f aca="false">F1318/E1318-1</f>
        <v>0.0865239014415304</v>
      </c>
      <c r="G1319" s="20" t="n">
        <f aca="false">G1318/F1318-1</f>
        <v>0.0556074262736233</v>
      </c>
      <c r="H1319" s="26" t="n">
        <f aca="false">H1318/G1318-1</f>
        <v>0.0792713266896812</v>
      </c>
      <c r="I1319" s="26" t="n">
        <f aca="false">I1318/H1318-1</f>
        <v>0.069295875289572</v>
      </c>
      <c r="J1319" s="26" t="n">
        <f aca="false">J1318/I1318-1</f>
        <v>0.0593204315211142</v>
      </c>
    </row>
    <row r="1320" customFormat="false" ht="17.15" hidden="false" customHeight="false" outlineLevel="0" collapsed="false">
      <c r="A1320" s="3" t="s">
        <v>674</v>
      </c>
      <c r="B1320" s="0" t="s">
        <v>45</v>
      </c>
      <c r="C1320" s="13" t="n">
        <f aca="false">C1316/C1298</f>
        <v>0.0508453913030227</v>
      </c>
      <c r="D1320" s="13" t="n">
        <f aca="false">D1316/D1298</f>
        <v>0.197798517808343</v>
      </c>
      <c r="E1320" s="13" t="n">
        <f aca="false">E1316/E1298</f>
        <v>0.183864355667569</v>
      </c>
      <c r="F1320" s="13" t="n">
        <f aca="false">F1316/F1298</f>
        <v>0.179389591401163</v>
      </c>
      <c r="G1320" s="13" t="n">
        <f aca="false">G1316/G1298</f>
        <v>0.17373823643423</v>
      </c>
      <c r="H1320" s="27" t="n">
        <f aca="false">$G1320+(fade_mA-$G1320)*1/3</f>
        <v>0.173626995078739</v>
      </c>
      <c r="I1320" s="27" t="n">
        <f aca="false">$G1320+(fade_mA-$G1320)*2/3</f>
        <v>0.173515753723248</v>
      </c>
      <c r="J1320" s="27" t="n">
        <f aca="false">$G1320+(fade_mA-$G1320)*3/3</f>
        <v>0.173404512367757</v>
      </c>
    </row>
    <row r="1321" customFormat="false" ht="17.15" hidden="false" customHeight="false" outlineLevel="0" collapsed="false">
      <c r="A1321" s="3" t="s">
        <v>675</v>
      </c>
      <c r="B1321" s="0" t="s">
        <v>45</v>
      </c>
      <c r="C1321" s="20" t="n">
        <f aca="false">C1304/C1298</f>
        <v>0.195190527350447</v>
      </c>
      <c r="D1321" s="20" t="n">
        <f aca="false">D1304/D1298</f>
        <v>0.285230933480641</v>
      </c>
      <c r="E1321" s="20" t="n">
        <f aca="false">E1304/E1298</f>
        <v>0.227226676899959</v>
      </c>
      <c r="F1321" s="20" t="n">
        <f aca="false">F1304/F1298</f>
        <v>0.185492794523576</v>
      </c>
      <c r="G1321" s="20" t="n">
        <f aca="false">G1304/G1298</f>
        <v>0.153167027743268</v>
      </c>
      <c r="H1321" s="26" t="n">
        <f aca="false">$G1321+($G1306*(1+tp_g)^(life/2)-$G1321)*1/3</f>
        <v>0.143707544450484</v>
      </c>
      <c r="I1321" s="26" t="n">
        <f aca="false">$G1321+($G1306*(1+tp_g)^(life/2)-$G1321)*2/3</f>
        <v>0.1342480611577</v>
      </c>
      <c r="J1321" s="26" t="n">
        <f aca="false">$G1321+($G1306*(1+tp_g)^(life/2)-$G1321)*3/3</f>
        <v>0.124788577864916</v>
      </c>
      <c r="K1321" s="7" t="s">
        <v>676</v>
      </c>
    </row>
    <row r="1322" customFormat="false" ht="15" hidden="false" customHeight="false" outlineLevel="0" collapsed="false">
      <c r="A1322" s="3" t="s">
        <v>677</v>
      </c>
      <c r="B1322" s="0" t="s">
        <v>303</v>
      </c>
      <c r="E1322" s="21" t="n">
        <f aca="false">E1316+E1305-E1304</f>
        <v>14.4166915838452</v>
      </c>
      <c r="F1322" s="21" t="n">
        <f aca="false">F1316+F1305-F1304</f>
        <v>27.0283053701808</v>
      </c>
      <c r="G1322" s="21" t="n">
        <f aca="false">G1316+G1305-G1304</f>
        <v>37.3830154327427</v>
      </c>
      <c r="H1322" s="30" t="n">
        <f aca="false">H1316+H1305-H1304</f>
        <v>43.338367518894</v>
      </c>
      <c r="I1322" s="30" t="n">
        <f aca="false">I1316+I1305-I1304</f>
        <v>49.5449204730332</v>
      </c>
      <c r="J1322" s="30" t="n">
        <f aca="false">J1316+J1305-J1304</f>
        <v>55.881709267073</v>
      </c>
      <c r="K1322" s="3" t="s">
        <v>678</v>
      </c>
    </row>
    <row r="1323" customFormat="false" ht="15" hidden="false" customHeight="false" outlineLevel="0" collapsed="false">
      <c r="A1323" s="3" t="s">
        <v>679</v>
      </c>
      <c r="B1323" s="0" t="s">
        <v>387</v>
      </c>
      <c r="E1323" s="18" t="n">
        <f aca="false">E1322/E1317</f>
        <v>8.79066559990561</v>
      </c>
      <c r="F1323" s="18" t="n">
        <f aca="false">F1322/F1317</f>
        <v>16.4806740062078</v>
      </c>
      <c r="G1323" s="18" t="n">
        <f aca="false">G1322/G1317</f>
        <v>22.7945216053309</v>
      </c>
      <c r="H1323" s="28" t="n">
        <f aca="false">H1322/H1317</f>
        <v>26.4258338529841</v>
      </c>
      <c r="I1323" s="28" t="n">
        <f aca="false">I1322/I1317</f>
        <v>30.2103173616056</v>
      </c>
      <c r="J1323" s="28" t="n">
        <f aca="false">J1322/J1317</f>
        <v>34.0742129677274</v>
      </c>
    </row>
    <row r="1326" customFormat="false" ht="17.15" hidden="false" customHeight="false" outlineLevel="0" collapsed="false">
      <c r="A1326" s="1" t="s">
        <v>1041</v>
      </c>
    </row>
    <row r="1327" customFormat="false" ht="17.15" hidden="false" customHeight="false" outlineLevel="0" collapsed="false">
      <c r="A1327" s="4" t="s">
        <v>22</v>
      </c>
      <c r="B1327" s="4" t="s">
        <v>23</v>
      </c>
      <c r="C1327" s="14" t="s">
        <v>508</v>
      </c>
      <c r="D1327" s="14" t="s">
        <v>592</v>
      </c>
      <c r="E1327" s="14" t="s">
        <v>593</v>
      </c>
      <c r="F1327" s="14" t="s">
        <v>594</v>
      </c>
      <c r="G1327" s="14" t="s">
        <v>595</v>
      </c>
      <c r="H1327" s="14" t="s">
        <v>596</v>
      </c>
      <c r="I1327" s="14" t="s">
        <v>597</v>
      </c>
      <c r="J1327" s="14" t="s">
        <v>598</v>
      </c>
      <c r="K1327" s="4" t="s">
        <v>481</v>
      </c>
    </row>
    <row r="1328" customFormat="false" ht="17.15" hidden="false" customHeight="false" outlineLevel="0" collapsed="false">
      <c r="A1328" s="5" t="s">
        <v>616</v>
      </c>
    </row>
    <row r="1329" customFormat="false" ht="17.15" hidden="false" customHeight="false" outlineLevel="0" collapsed="false">
      <c r="A1329" s="0" t="s">
        <v>617</v>
      </c>
      <c r="B1329" s="3" t="s">
        <v>33</v>
      </c>
      <c r="D1329" s="21" t="n">
        <f aca="false">(u_bw_26+u_rb_26+u_ru_26+u_hp_26)*1</f>
        <v>7.6</v>
      </c>
      <c r="E1329" s="21" t="n">
        <f aca="false">(u_bw_27+u_rb_27+u_ru_27+u_hp_27)*1*1</f>
        <v>9.7</v>
      </c>
      <c r="F1329" s="21" t="n">
        <f aca="false">(u_bw_28+u_rb_28+u_ru_28+u_hp_28)*um28_A*1</f>
        <v>9.5</v>
      </c>
      <c r="G1329" s="21" t="n">
        <f aca="false">(u_bw_28*(1+g29_bw)+u_rb_28*(1+g29_rb)+u_ru_28*(1+g29_ru)+u_hp_28*(1+g29_hp))*um29_A*1</f>
        <v>10.6</v>
      </c>
      <c r="K1329" s="7" t="s">
        <v>618</v>
      </c>
    </row>
    <row r="1330" customFormat="false" ht="17.15" hidden="false" customHeight="false" outlineLevel="0" collapsed="false">
      <c r="A1330" s="3" t="s">
        <v>619</v>
      </c>
      <c r="B1330" s="3" t="s">
        <v>33</v>
      </c>
      <c r="D1330" s="21" t="n">
        <f aca="false">(u_amd_26+u_tpu_26+u_trn_26+u_oth_26)*1</f>
        <v>7.6</v>
      </c>
      <c r="E1330" s="21" t="n">
        <f aca="false">(u_amd_27+u_tpu_27+u_trn_27+u_oth_27)*1*1</f>
        <v>14</v>
      </c>
      <c r="F1330" s="21" t="n">
        <f aca="false">(u_amd_28+u_tpu_28+u_trn_28+u_oth_28)*um28_A*1</f>
        <v>17</v>
      </c>
      <c r="G1330" s="21" t="n">
        <f aca="false">(u_amd_28*(1+g29_amd)+u_tpu_28*(1+g29_tpu)+u_trn_28*(1+g29_trn)+u_oth_28*(1+g29_oth))*um29_A*1</f>
        <v>19.55</v>
      </c>
      <c r="K1330" s="7" t="s">
        <v>620</v>
      </c>
    </row>
    <row r="1331" customFormat="false" ht="17.15" hidden="false" customHeight="false" outlineLevel="0" collapsed="false">
      <c r="A1331" s="3" t="s">
        <v>621</v>
      </c>
      <c r="B1331" s="0" t="s">
        <v>145</v>
      </c>
      <c r="D1331" s="19" t="n">
        <f aca="false">1</f>
        <v>1</v>
      </c>
      <c r="E1331" s="19" t="n">
        <f aca="false">D1331*(1+g_asp)</f>
        <v>1.18</v>
      </c>
      <c r="F1331" s="19" t="n">
        <f aca="false">E1331*(1+g_asp)</f>
        <v>1.3924</v>
      </c>
      <c r="G1331" s="19" t="n">
        <f aca="false">F1331*(1+g_asp)</f>
        <v>1.643032</v>
      </c>
      <c r="K1331" s="7" t="s">
        <v>622</v>
      </c>
    </row>
    <row r="1332" customFormat="false" ht="17.15" hidden="false" customHeight="false" outlineLevel="0" collapsed="false">
      <c r="A1332" s="0" t="s">
        <v>623</v>
      </c>
      <c r="B1332" s="0" t="s">
        <v>145</v>
      </c>
      <c r="D1332" s="18" t="n">
        <f aca="false">1</f>
        <v>1</v>
      </c>
      <c r="E1332" s="18" t="n">
        <f aca="false">ibpp_27</f>
        <v>1</v>
      </c>
      <c r="F1332" s="18" t="n">
        <f aca="false">ibpp_28</f>
        <v>0.95</v>
      </c>
      <c r="G1332" s="18" t="n">
        <f aca="false">ibpp_29</f>
        <v>0.9</v>
      </c>
      <c r="K1332" s="7" t="s">
        <v>624</v>
      </c>
    </row>
    <row r="1333" customFormat="false" ht="17.15" hidden="false" customHeight="false" outlineLevel="0" collapsed="false">
      <c r="A1333" s="3" t="s">
        <v>625</v>
      </c>
      <c r="B1333" s="0" t="s">
        <v>145</v>
      </c>
      <c r="D1333" s="18" t="n">
        <f aca="false">1</f>
        <v>1</v>
      </c>
      <c r="E1333" s="18" t="n">
        <f aca="false">1+carry</f>
        <v>1.05</v>
      </c>
      <c r="F1333" s="18" t="n">
        <f aca="false">1+carry</f>
        <v>1.05</v>
      </c>
      <c r="G1333" s="18" t="n">
        <f aca="false">1+carry</f>
        <v>1.05</v>
      </c>
      <c r="K1333" s="7" t="s">
        <v>626</v>
      </c>
    </row>
    <row r="1334" customFormat="false" ht="17.15" hidden="false" customHeight="false" outlineLevel="0" collapsed="false">
      <c r="A1334" s="3" t="s">
        <v>627</v>
      </c>
      <c r="B1334" s="0" t="s">
        <v>628</v>
      </c>
      <c r="D1334" s="23" t="n">
        <f aca="false">v26*D1331*D1332</f>
        <v>215.308596</v>
      </c>
      <c r="E1334" s="23" t="n">
        <f aca="false">v26*E1331*E1332</f>
        <v>254.06414328</v>
      </c>
      <c r="F1334" s="23" t="n">
        <f aca="false">v26*F1331*F1332</f>
        <v>284.80590461688</v>
      </c>
      <c r="G1334" s="23" t="n">
        <f aca="false">v26*G1331*G1332</f>
        <v>318.383021792765</v>
      </c>
      <c r="K1334" s="7" t="s">
        <v>629</v>
      </c>
    </row>
    <row r="1335" customFormat="false" ht="17.15" hidden="false" customHeight="false" outlineLevel="0" collapsed="false">
      <c r="A1335" s="3" t="s">
        <v>630</v>
      </c>
      <c r="B1335" s="0" t="s">
        <v>45</v>
      </c>
      <c r="D1335" s="20" t="n">
        <f aca="false">sh_nv_26</f>
        <v>0.25</v>
      </c>
      <c r="E1335" s="20" t="n">
        <f aca="false">sh_nv_27</f>
        <v>0.27</v>
      </c>
      <c r="F1335" s="20" t="n">
        <f aca="false">sh_nv_28</f>
        <v>0.29</v>
      </c>
      <c r="G1335" s="20" t="n">
        <f aca="false">sh_nv_29</f>
        <v>0.3</v>
      </c>
    </row>
    <row r="1336" customFormat="false" ht="17.15" hidden="false" customHeight="false" outlineLevel="0" collapsed="false">
      <c r="A1336" s="3" t="s">
        <v>631</v>
      </c>
      <c r="B1336" s="0" t="s">
        <v>45</v>
      </c>
      <c r="D1336" s="20" t="n">
        <f aca="false">sh_ot_26</f>
        <v>0.3</v>
      </c>
      <c r="E1336" s="20" t="n">
        <f aca="false">sh_ot_27</f>
        <v>0.31</v>
      </c>
      <c r="F1336" s="20" t="n">
        <f aca="false">sh_ot_28</f>
        <v>0.32</v>
      </c>
      <c r="G1336" s="20" t="n">
        <f aca="false">sh_ot_29</f>
        <v>0.33</v>
      </c>
    </row>
    <row r="1337" customFormat="false" ht="17.15" hidden="false" customHeight="false" outlineLevel="0" collapsed="false">
      <c r="A1337" s="3" t="s">
        <v>632</v>
      </c>
      <c r="B1337" s="0" t="s">
        <v>582</v>
      </c>
      <c r="D1337" s="22" t="n">
        <f aca="false">(D1329*D1334*D1335+D1330*D1334*v_ot*D1336)*D1333</f>
        <v>801.809211504</v>
      </c>
      <c r="E1337" s="22" t="n">
        <f aca="false">(E1329*E1334*E1335+E1330*E1334*v_ot*E1336)*E1333</f>
        <v>1624.8799315544</v>
      </c>
      <c r="F1337" s="22" t="n">
        <f aca="false">(F1329*F1334*F1335+F1330*F1334*v_ot*F1336)*F1333</f>
        <v>2125.32134231777</v>
      </c>
      <c r="G1337" s="22" t="n">
        <f aca="false">(G1329*G1334*G1335+G1330*G1334*v_ot*G1336)*G1333</f>
        <v>2788.4812844467</v>
      </c>
    </row>
    <row r="1338" customFormat="false" ht="15" hidden="false" customHeight="false" outlineLevel="0" collapsed="false">
      <c r="A1338" s="3" t="s">
        <v>633</v>
      </c>
      <c r="B1338" s="0" t="s">
        <v>303</v>
      </c>
      <c r="D1338" s="21" t="n">
        <f aca="false">D1337*fx/1000</f>
        <v>25.657894768128</v>
      </c>
      <c r="E1338" s="21" t="n">
        <f aca="false">E1337*fx/1000</f>
        <v>51.9961578097409</v>
      </c>
      <c r="F1338" s="21" t="n">
        <f aca="false">F1337*fx/1000</f>
        <v>68.0102829541688</v>
      </c>
      <c r="G1338" s="21" t="n">
        <f aca="false">G1337*fx/1000</f>
        <v>89.2314011022944</v>
      </c>
    </row>
    <row r="1339" customFormat="false" ht="17.15" hidden="false" customHeight="false" outlineLevel="0" collapsed="false">
      <c r="A1339" s="5" t="s">
        <v>634</v>
      </c>
    </row>
    <row r="1340" customFormat="false" ht="17.15" hidden="false" customHeight="false" outlineLevel="0" collapsed="false">
      <c r="A1340" s="0" t="s">
        <v>635</v>
      </c>
      <c r="B1340" s="0" t="s">
        <v>303</v>
      </c>
      <c r="D1340" s="21" t="n">
        <f aca="false">a26_abf*ai_abf</f>
        <v>74.83672875</v>
      </c>
      <c r="K1340" s="3" t="s">
        <v>636</v>
      </c>
    </row>
    <row r="1341" customFormat="false" ht="17.15" hidden="false" customHeight="false" outlineLevel="0" collapsed="false">
      <c r="A1341" s="3" t="s">
        <v>637</v>
      </c>
      <c r="B1341" s="0" t="s">
        <v>303</v>
      </c>
      <c r="D1341" s="21" t="n">
        <f aca="false">D1340-D1338</f>
        <v>49.178833981872</v>
      </c>
      <c r="E1341" s="21" t="n">
        <f aca="false">$D1341*(itc_27/itc_26)^el_o*1*1*E1332*E1333</f>
        <v>73.0642903440322</v>
      </c>
      <c r="F1341" s="21" t="n">
        <f aca="false">$D1341*(itc_28/itc_26)^el_o*um28_A*1*F1332*F1333</f>
        <v>78.1488805595188</v>
      </c>
      <c r="G1341" s="21" t="n">
        <f aca="false">$D1341*(itc_29/itc_26)^el_o*um29_A*1*G1332*G1333</f>
        <v>79.0193888474949</v>
      </c>
      <c r="K1341" s="7" t="s">
        <v>638</v>
      </c>
    </row>
    <row r="1342" customFormat="false" ht="17.15" hidden="false" customHeight="false" outlineLevel="0" collapsed="false">
      <c r="A1342" s="3" t="s">
        <v>639</v>
      </c>
      <c r="B1342" s="0" t="s">
        <v>303</v>
      </c>
      <c r="D1342" s="21" t="n">
        <f aca="false">a26_abf-D1340</f>
        <v>24.94557625</v>
      </c>
      <c r="E1342" s="21" t="n">
        <f aca="false">D1342*(1+g_nai)</f>
        <v>25.6939435375</v>
      </c>
      <c r="F1342" s="21" t="n">
        <f aca="false">E1342*(1+g_nai)</f>
        <v>26.464761843625</v>
      </c>
      <c r="G1342" s="21" t="n">
        <f aca="false">F1342*(1+g_nai)</f>
        <v>27.2587046989338</v>
      </c>
    </row>
    <row r="1343" customFormat="false" ht="17.15" hidden="false" customHeight="false" outlineLevel="0" collapsed="false">
      <c r="A1343" s="0" t="s">
        <v>640</v>
      </c>
      <c r="B1343" s="0" t="s">
        <v>303</v>
      </c>
      <c r="D1343" s="21" t="n">
        <f aca="false">D1338+D1341+D1342</f>
        <v>99.782305</v>
      </c>
      <c r="E1343" s="21" t="n">
        <f aca="false">E1338+E1341+E1342</f>
        <v>150.754391691273</v>
      </c>
      <c r="F1343" s="21" t="n">
        <f aca="false">F1338+F1341+F1342</f>
        <v>172.623925357313</v>
      </c>
      <c r="G1343" s="21" t="n">
        <f aca="false">G1338+G1341+G1342</f>
        <v>195.509494648723</v>
      </c>
    </row>
    <row r="1344" customFormat="false" ht="17.15" hidden="false" customHeight="false" outlineLevel="0" collapsed="false">
      <c r="A1344" s="0" t="s">
        <v>641</v>
      </c>
      <c r="B1344" s="0" t="s">
        <v>303</v>
      </c>
      <c r="D1344" s="21" t="n">
        <f aca="false">a26_abf</f>
        <v>99.782305</v>
      </c>
      <c r="E1344" s="21" t="n">
        <f aca="false">$D1343*cap_27*(1+g_mix)^1*E1332*E1333</f>
        <v>148.513488204375</v>
      </c>
      <c r="F1344" s="21" t="n">
        <f aca="false">$D1343*cap_28*(1+g_mix)^2*F1332*F1333</f>
        <v>186.549442683384</v>
      </c>
      <c r="G1344" s="21" t="n">
        <f aca="false">$D1343*cap_29*(1+g_mix)^3*G1332*G1333</f>
        <v>218.314827660431</v>
      </c>
      <c r="K1344" s="7" t="s">
        <v>642</v>
      </c>
    </row>
    <row r="1345" customFormat="false" ht="17.15" hidden="false" customHeight="false" outlineLevel="0" collapsed="false">
      <c r="A1345" s="0" t="s">
        <v>643</v>
      </c>
      <c r="B1345" s="0" t="s">
        <v>303</v>
      </c>
      <c r="D1345" s="21" t="n">
        <f aca="false">a26_abf</f>
        <v>99.782305</v>
      </c>
      <c r="E1345" s="21" t="n">
        <f aca="false">MIN(E1343,E1344)</f>
        <v>148.513488204375</v>
      </c>
      <c r="F1345" s="21" t="n">
        <f aca="false">MIN(F1343,F1344)</f>
        <v>172.623925357313</v>
      </c>
      <c r="G1345" s="21" t="n">
        <f aca="false">MIN(G1343,G1344)</f>
        <v>195.509494648723</v>
      </c>
    </row>
    <row r="1346" customFormat="false" ht="17.15" hidden="false" customHeight="false" outlineLevel="0" collapsed="false">
      <c r="A1346" s="3" t="s">
        <v>644</v>
      </c>
      <c r="B1346" s="0" t="s">
        <v>45</v>
      </c>
      <c r="D1346" s="20" t="n">
        <f aca="false">D1345/D1343</f>
        <v>1</v>
      </c>
      <c r="E1346" s="20" t="n">
        <f aca="false">E1345/E1343</f>
        <v>0.985135401617438</v>
      </c>
      <c r="F1346" s="20" t="n">
        <f aca="false">F1345/F1343</f>
        <v>1</v>
      </c>
      <c r="G1346" s="20" t="n">
        <f aca="false">G1345/G1343</f>
        <v>1</v>
      </c>
    </row>
    <row r="1347" customFormat="false" ht="17.15" hidden="false" customHeight="false" outlineLevel="0" collapsed="false">
      <c r="A1347" s="0" t="s">
        <v>645</v>
      </c>
      <c r="B1347" s="0" t="s">
        <v>303</v>
      </c>
      <c r="D1347" s="21" t="n">
        <f aca="false">(D1338+D1341)*D1346</f>
        <v>74.83672875</v>
      </c>
      <c r="E1347" s="21" t="n">
        <f aca="false">(E1338+E1341)*E1346</f>
        <v>123.201474818424</v>
      </c>
      <c r="F1347" s="21" t="n">
        <f aca="false">(F1338+F1341)*F1346</f>
        <v>146.159163513688</v>
      </c>
      <c r="G1347" s="21" t="n">
        <f aca="false">(G1338+G1341)*G1346</f>
        <v>168.250789949789</v>
      </c>
    </row>
    <row r="1348" customFormat="false" ht="17.15" hidden="false" customHeight="false" outlineLevel="0" collapsed="false">
      <c r="A1348" s="3" t="s">
        <v>646</v>
      </c>
      <c r="B1348" s="0" t="s">
        <v>45</v>
      </c>
      <c r="D1348" s="20" t="n">
        <f aca="false">D1338/(D1338+D1341)</f>
        <v>0.342851634440636</v>
      </c>
      <c r="E1348" s="20" t="n">
        <f aca="false">E1338/(E1338+E1341)</f>
        <v>0.41576820311572</v>
      </c>
      <c r="F1348" s="20" t="n">
        <f aca="false">F1338/(F1338+F1341)</f>
        <v>0.465316585831443</v>
      </c>
      <c r="G1348" s="20" t="n">
        <f aca="false">G1338/(G1338+G1341)</f>
        <v>0.530347590813235</v>
      </c>
    </row>
    <row r="1349" customFormat="false" ht="17.15" hidden="false" customHeight="false" outlineLevel="0" collapsed="false">
      <c r="A1349" s="5" t="s">
        <v>647</v>
      </c>
    </row>
    <row r="1350" customFormat="false" ht="17.15" hidden="false" customHeight="false" outlineLevel="0" collapsed="false">
      <c r="A1350" s="0" t="s">
        <v>550</v>
      </c>
      <c r="B1350" s="0" t="s">
        <v>303</v>
      </c>
      <c r="D1350" s="21" t="n">
        <f aca="false">a26_bt</f>
        <v>16.944165</v>
      </c>
      <c r="E1350" s="21" t="n">
        <f aca="false">D1350*(1+g_bt)</f>
        <v>17.79137325</v>
      </c>
      <c r="F1350" s="21" t="n">
        <f aca="false">E1350*(1+g_bt)</f>
        <v>18.6809419125</v>
      </c>
      <c r="G1350" s="21" t="n">
        <f aca="false">F1350*(1+g_bt)</f>
        <v>19.614989008125</v>
      </c>
    </row>
    <row r="1351" customFormat="false" ht="17.15" hidden="false" customHeight="false" outlineLevel="0" collapsed="false">
      <c r="A1351" s="0" t="s">
        <v>648</v>
      </c>
      <c r="B1351" s="0" t="s">
        <v>303</v>
      </c>
      <c r="D1351" s="21" t="n">
        <f aca="false">a26_pcb*ai_pcb</f>
        <v>37.93610275</v>
      </c>
      <c r="E1351" s="21" t="n">
        <f aca="false">D1351*(1+g_pai_27_hi)</f>
        <v>49.316933575</v>
      </c>
      <c r="F1351" s="21" t="n">
        <f aca="false">D1351*(1+g_pai_27_hi)*(1+g_pai_28_hi)*um28_A</f>
        <v>61.64616696875</v>
      </c>
      <c r="G1351" s="21" t="n">
        <f aca="false">D1351*(1+g_pai_27_hi)*(1+g_pai_28_hi)*(1+g_pai_29_hi)*um29_A</f>
        <v>73.9754003625</v>
      </c>
      <c r="K1351" s="3" t="s">
        <v>649</v>
      </c>
    </row>
    <row r="1352" customFormat="false" ht="17.15" hidden="false" customHeight="false" outlineLevel="0" collapsed="false">
      <c r="A1352" s="3" t="s">
        <v>650</v>
      </c>
      <c r="B1352" s="0" t="s">
        <v>303</v>
      </c>
      <c r="D1352" s="21" t="n">
        <f aca="false">a26_pcb*(1-ai_pcb)</f>
        <v>20.42713225</v>
      </c>
      <c r="E1352" s="21" t="n">
        <f aca="false">D1352*(1+g_pcbn)</f>
        <v>20.835674895</v>
      </c>
      <c r="F1352" s="21" t="n">
        <f aca="false">E1352*(1+g_pcbn)</f>
        <v>21.2523883929</v>
      </c>
      <c r="G1352" s="21" t="n">
        <f aca="false">F1352*(1+g_pcbn)</f>
        <v>21.677436160758</v>
      </c>
    </row>
    <row r="1353" customFormat="false" ht="15" hidden="false" customHeight="false" outlineLevel="0" collapsed="false">
      <c r="A1353" s="3" t="s">
        <v>552</v>
      </c>
      <c r="B1353" s="0" t="s">
        <v>303</v>
      </c>
      <c r="D1353" s="21" t="n">
        <f aca="false">a26_fpc</f>
        <v>13.178795</v>
      </c>
      <c r="E1353" s="21" t="n">
        <f aca="false">D1353*(1+g_fpc)</f>
        <v>13.178795</v>
      </c>
      <c r="F1353" s="21" t="n">
        <f aca="false">E1353*(1+g_fpc)</f>
        <v>13.178795</v>
      </c>
      <c r="G1353" s="21" t="n">
        <f aca="false">F1353*(1+g_fpc)</f>
        <v>13.178795</v>
      </c>
    </row>
    <row r="1354" customFormat="false" ht="17.15" hidden="false" customHeight="false" outlineLevel="0" collapsed="false">
      <c r="A1354" s="3" t="s">
        <v>651</v>
      </c>
      <c r="B1354" s="0" t="s">
        <v>303</v>
      </c>
      <c r="D1354" s="21" t="n">
        <f aca="false">D1345+D1350</f>
        <v>116.72647</v>
      </c>
      <c r="E1354" s="21" t="n">
        <f aca="false">E1345+E1350</f>
        <v>166.304861454375</v>
      </c>
      <c r="F1354" s="21" t="n">
        <f aca="false">F1345+F1350</f>
        <v>191.304867269813</v>
      </c>
      <c r="G1354" s="21" t="n">
        <f aca="false">G1345+G1350</f>
        <v>215.124483656848</v>
      </c>
      <c r="K1354" s="3" t="s">
        <v>652</v>
      </c>
    </row>
    <row r="1355" customFormat="false" ht="17.15" hidden="false" customHeight="false" outlineLevel="0" collapsed="false">
      <c r="A1355" s="0" t="s">
        <v>653</v>
      </c>
      <c r="B1355" s="0" t="s">
        <v>303</v>
      </c>
      <c r="D1355" s="21" t="n">
        <f aca="false">D1351+D1352</f>
        <v>58.363235</v>
      </c>
      <c r="E1355" s="21" t="n">
        <f aca="false">E1351+E1352</f>
        <v>70.15260847</v>
      </c>
      <c r="F1355" s="21" t="n">
        <f aca="false">F1351+F1352</f>
        <v>82.89855536165</v>
      </c>
      <c r="G1355" s="21" t="n">
        <f aca="false">G1351+G1352</f>
        <v>95.652836523258</v>
      </c>
      <c r="K1355" s="3" t="s">
        <v>654</v>
      </c>
    </row>
    <row r="1356" customFormat="false" ht="17.15" hidden="false" customHeight="false" outlineLevel="0" collapsed="false">
      <c r="A1356" s="3" t="s">
        <v>515</v>
      </c>
      <c r="B1356" s="0" t="s">
        <v>303</v>
      </c>
      <c r="C1356" s="23" t="n">
        <f aca="false">a25_rev</f>
        <v>131.241</v>
      </c>
      <c r="D1356" s="23" t="n">
        <f aca="false">D1354+D1355+D1353</f>
        <v>188.2685</v>
      </c>
      <c r="E1356" s="23" t="n">
        <f aca="false">E1354+E1355+E1353</f>
        <v>249.636264924375</v>
      </c>
      <c r="F1356" s="23" t="n">
        <f aca="false">F1354+F1355+F1353</f>
        <v>287.382217631463</v>
      </c>
      <c r="G1356" s="23" t="n">
        <f aca="false">G1354+G1355+G1353</f>
        <v>323.956115180106</v>
      </c>
      <c r="H1356" s="25" t="n">
        <f aca="false">G1356*(1+H1358)</f>
        <v>357.920904167159</v>
      </c>
      <c r="I1356" s="25" t="n">
        <f aca="false">H1356*(1+I1358)</f>
        <v>387.421424496603</v>
      </c>
      <c r="J1356" s="25" t="n">
        <f aca="false">I1356*(1+J1358)</f>
        <v>410.666709966399</v>
      </c>
      <c r="K1356" s="7" t="s">
        <v>655</v>
      </c>
    </row>
    <row r="1357" customFormat="false" ht="17.15" hidden="false" customHeight="false" outlineLevel="0" collapsed="false">
      <c r="A1357" s="3" t="s">
        <v>656</v>
      </c>
      <c r="B1357" s="0" t="s">
        <v>303</v>
      </c>
      <c r="D1357" s="19" t="n">
        <f aca="false">D1354+D1355+D1353-D1356</f>
        <v>0</v>
      </c>
      <c r="E1357" s="19" t="n">
        <f aca="false">E1354+E1355+E1353-E1356</f>
        <v>0</v>
      </c>
      <c r="F1357" s="19" t="n">
        <f aca="false">F1354+F1355+F1353-F1356</f>
        <v>0</v>
      </c>
      <c r="G1357" s="19" t="n">
        <f aca="false">G1354+G1355+G1353-G1356</f>
        <v>0</v>
      </c>
    </row>
    <row r="1358" customFormat="false" ht="15" hidden="false" customHeight="false" outlineLevel="0" collapsed="false">
      <c r="A1358" s="3" t="s">
        <v>657</v>
      </c>
      <c r="B1358" s="0" t="s">
        <v>45</v>
      </c>
      <c r="D1358" s="20" t="n">
        <f aca="false">D1356/C1356-1</f>
        <v>0.434525034097576</v>
      </c>
      <c r="E1358" s="20" t="n">
        <f aca="false">E1356/D1356-1</f>
        <v>0.32595875</v>
      </c>
      <c r="F1358" s="20" t="n">
        <f aca="false">F1356/E1356-1</f>
        <v>0.151203803335715</v>
      </c>
      <c r="G1358" s="20" t="n">
        <f aca="false">G1356/F1356-1</f>
        <v>0.127265694621181</v>
      </c>
      <c r="H1358" s="26" t="n">
        <f aca="false">$G1358+(fade_gA-$G1358)*1/3</f>
        <v>0.104843796414121</v>
      </c>
      <c r="I1358" s="26" t="n">
        <f aca="false">$G1358+(fade_gA-$G1358)*2/3</f>
        <v>0.0824218982070603</v>
      </c>
      <c r="J1358" s="26" t="n">
        <f aca="false">$G1358+(fade_gA-$G1358)*3/3</f>
        <v>0.06</v>
      </c>
    </row>
    <row r="1359" customFormat="false" ht="17.15" hidden="false" customHeight="false" outlineLevel="0" collapsed="false">
      <c r="A1359" s="0" t="s">
        <v>658</v>
      </c>
      <c r="B1359" s="0" t="s">
        <v>45</v>
      </c>
      <c r="D1359" s="20" t="n">
        <f aca="false">D1345/D1356</f>
        <v>0.53</v>
      </c>
      <c r="E1359" s="20" t="n">
        <f aca="false">E1345/E1356</f>
        <v>0.594919525211474</v>
      </c>
      <c r="F1359" s="20" t="n">
        <f aca="false">F1345/F1356</f>
        <v>0.600677128807895</v>
      </c>
      <c r="G1359" s="20" t="n">
        <f aca="false">G1345/G1356</f>
        <v>0.603506109276647</v>
      </c>
    </row>
    <row r="1360" customFormat="false" ht="17.15" hidden="false" customHeight="false" outlineLevel="0" collapsed="false">
      <c r="A1360" s="0" t="s">
        <v>659</v>
      </c>
      <c r="B1360" s="0" t="s">
        <v>45</v>
      </c>
      <c r="D1360" s="20" t="n">
        <f aca="false">(D1347+D1351)/D1356</f>
        <v>0.599</v>
      </c>
      <c r="E1360" s="20" t="n">
        <f aca="false">(E1347+E1351)/E1356</f>
        <v>0.691079112426582</v>
      </c>
      <c r="F1360" s="20" t="n">
        <f aca="false">(F1347+F1351)/F1356</f>
        <v>0.723097386453208</v>
      </c>
      <c r="G1360" s="20" t="n">
        <f aca="false">(G1347+G1351)/G1356</f>
        <v>0.747712973955196</v>
      </c>
      <c r="K1360" s="3" t="s">
        <v>660</v>
      </c>
    </row>
    <row r="1361" customFormat="false" ht="17.15" hidden="false" customHeight="false" outlineLevel="0" collapsed="false">
      <c r="A1361" s="5" t="s">
        <v>661</v>
      </c>
    </row>
    <row r="1362" customFormat="false" ht="15" hidden="false" customHeight="false" outlineLevel="0" collapsed="false">
      <c r="A1362" s="3" t="s">
        <v>662</v>
      </c>
      <c r="B1362" s="0" t="s">
        <v>303</v>
      </c>
      <c r="C1362" s="23" t="n">
        <f aca="false">a25_cx</f>
        <v>25.617</v>
      </c>
      <c r="D1362" s="23" t="n">
        <f aca="false">capex26</f>
        <v>53.7</v>
      </c>
      <c r="E1362" s="23" t="n">
        <f aca="false">cx27_A</f>
        <v>55</v>
      </c>
      <c r="F1362" s="23" t="n">
        <f aca="false">cx28_A</f>
        <v>50</v>
      </c>
      <c r="G1362" s="23" t="n">
        <f aca="false">cx29_A</f>
        <v>45</v>
      </c>
      <c r="H1362" s="25" t="n">
        <f aca="false">H1356*H1379</f>
        <v>46.6474254253791</v>
      </c>
      <c r="I1362" s="25" t="n">
        <f aca="false">I1356*I1379</f>
        <v>47.1685691806632</v>
      </c>
      <c r="J1362" s="25" t="n">
        <f aca="false">J1356*J1379</f>
        <v>46.4756402010702</v>
      </c>
    </row>
    <row r="1363" customFormat="false" ht="17.15" hidden="false" customHeight="false" outlineLevel="0" collapsed="false">
      <c r="A1363" s="3" t="s">
        <v>663</v>
      </c>
      <c r="B1363" s="0" t="s">
        <v>303</v>
      </c>
      <c r="C1363" s="23" t="n">
        <f aca="false">a25_da</f>
        <v>18.8</v>
      </c>
      <c r="D1363" s="23" t="n">
        <f aca="false">da26</f>
        <v>20.8</v>
      </c>
      <c r="E1363" s="23" t="n">
        <f aca="false">D1363*(1-1/life)+D1362/life</f>
        <v>24.9125</v>
      </c>
      <c r="F1363" s="23" t="n">
        <f aca="false">E1363*(1-1/life)+E1362/life</f>
        <v>28.6734375</v>
      </c>
      <c r="G1363" s="23" t="n">
        <f aca="false">F1363*(1-1/life)+F1362/life</f>
        <v>31.3392578125</v>
      </c>
      <c r="H1363" s="25" t="n">
        <f aca="false">H1356*H1364</f>
        <v>34.6249845783634</v>
      </c>
      <c r="I1363" s="25" t="n">
        <f aca="false">I1356*I1364</f>
        <v>37.4788415327023</v>
      </c>
      <c r="J1363" s="25" t="n">
        <f aca="false">J1356*J1364</f>
        <v>39.7275720246644</v>
      </c>
      <c r="K1363" s="3" t="s">
        <v>664</v>
      </c>
    </row>
    <row r="1364" customFormat="false" ht="17.15" hidden="false" customHeight="false" outlineLevel="0" collapsed="false">
      <c r="A1364" s="3" t="s">
        <v>665</v>
      </c>
      <c r="B1364" s="0" t="s">
        <v>45</v>
      </c>
      <c r="C1364" s="20" t="n">
        <f aca="false">C1363/C1356</f>
        <v>0.143247917952469</v>
      </c>
      <c r="D1364" s="20" t="n">
        <f aca="false">D1363/D1356</f>
        <v>0.110480510547436</v>
      </c>
      <c r="E1364" s="20" t="n">
        <f aca="false">E1363/E1356</f>
        <v>0.099795196052733</v>
      </c>
      <c r="F1364" s="20" t="n">
        <f aca="false">F1363/F1356</f>
        <v>0.0997745710793097</v>
      </c>
      <c r="G1364" s="20" t="n">
        <f aca="false">G1363/G1356</f>
        <v>0.0967392073925713</v>
      </c>
      <c r="H1364" s="26" t="n">
        <f aca="false">$G1364</f>
        <v>0.0967392073925713</v>
      </c>
      <c r="I1364" s="26" t="n">
        <f aca="false">$G1364</f>
        <v>0.0967392073925713</v>
      </c>
      <c r="J1364" s="26" t="n">
        <f aca="false">$G1364</f>
        <v>0.0967392073925713</v>
      </c>
    </row>
    <row r="1365" customFormat="false" ht="17.15" hidden="false" customHeight="false" outlineLevel="0" collapsed="false">
      <c r="A1365" s="3" t="s">
        <v>666</v>
      </c>
      <c r="B1365" s="0" t="s">
        <v>303</v>
      </c>
      <c r="E1365" s="21" t="n">
        <f aca="false">E1347*(1-1/(E1332*E1333))</f>
        <v>5.86673689611544</v>
      </c>
      <c r="F1365" s="21" t="n">
        <f aca="false">F1347*(1-1/(F1332*F1333))</f>
        <v>-0.366313693016785</v>
      </c>
      <c r="G1365" s="21" t="n">
        <f aca="false">G1347*(1-1/(G1332*G1333))</f>
        <v>-9.7923740182417</v>
      </c>
      <c r="K1365" s="7" t="s">
        <v>667</v>
      </c>
    </row>
    <row r="1366" customFormat="false" ht="17.15" hidden="false" customHeight="false" outlineLevel="0" collapsed="false">
      <c r="A1366" s="3" t="s">
        <v>668</v>
      </c>
      <c r="B1366" s="0" t="s">
        <v>303</v>
      </c>
      <c r="C1366" s="21" t="n">
        <f aca="false">a25_gp</f>
        <v>18.292</v>
      </c>
      <c r="D1366" s="21" t="n">
        <f aca="false">a26_gp</f>
        <v>47.3329657</v>
      </c>
      <c r="E1366" s="21" t="n">
        <f aca="false">$D1366+ft_abf*(E1345-E1365-$D1345)+ft_oth*((E1356-E1345)-($D1356-$D1345))+E1365-(E1363-$D1363)</f>
        <v>73.6785711802452</v>
      </c>
      <c r="F1366" s="21" t="n">
        <f aca="false">$D1366+ft_abf*(F1345-F1365-$D1345)+ft_oth*((F1356-F1345)-($D1356-$D1345))+F1365-(F1363-$D1363)</f>
        <v>82.2652058506854</v>
      </c>
      <c r="G1366" s="21" t="n">
        <f aca="false">$D1366+ft_abf*(G1345-G1365-$D1345)+ft_oth*((G1356-G1345)-($D1356-$D1345))+G1365-(G1363-$D1363)</f>
        <v>89.7512220855865</v>
      </c>
      <c r="K1366" s="3" t="s">
        <v>669</v>
      </c>
    </row>
    <row r="1367" customFormat="false" ht="15" hidden="false" customHeight="false" outlineLevel="0" collapsed="false">
      <c r="A1367" s="3" t="s">
        <v>522</v>
      </c>
      <c r="B1367" s="0" t="s">
        <v>45</v>
      </c>
      <c r="C1367" s="13" t="n">
        <f aca="false">C1366/C1356</f>
        <v>0.139377176339711</v>
      </c>
      <c r="D1367" s="13" t="n">
        <f aca="false">D1366/D1356</f>
        <v>0.251412029627899</v>
      </c>
      <c r="E1367" s="13" t="n">
        <f aca="false">E1366/E1356</f>
        <v>0.295143701186867</v>
      </c>
      <c r="F1367" s="13" t="n">
        <f aca="false">F1366/F1356</f>
        <v>0.286257119625202</v>
      </c>
      <c r="G1367" s="13" t="n">
        <f aca="false">G1366/G1356</f>
        <v>0.277047469950331</v>
      </c>
    </row>
    <row r="1368" customFormat="false" ht="15" hidden="false" customHeight="false" outlineLevel="0" collapsed="false">
      <c r="A1368" s="3" t="s">
        <v>524</v>
      </c>
      <c r="B1368" s="0" t="s">
        <v>303</v>
      </c>
      <c r="C1368" s="21" t="n">
        <f aca="false">a25_opx</f>
        <v>11.618</v>
      </c>
      <c r="D1368" s="21" t="n">
        <f aca="false">a26_opx</f>
        <v>16.6539532</v>
      </c>
      <c r="E1368" s="21" t="n">
        <f aca="false">D1368*(1+phi*E1358)</f>
        <v>19.9110542605783</v>
      </c>
      <c r="F1368" s="21" t="n">
        <f aca="false">E1368*(1+phi*F1358)</f>
        <v>21.7174305401522</v>
      </c>
      <c r="G1368" s="21" t="n">
        <f aca="false">F1368*(1+phi*G1358)</f>
        <v>23.3757608700001</v>
      </c>
    </row>
    <row r="1369" customFormat="false" ht="15" hidden="false" customHeight="false" outlineLevel="0" collapsed="false">
      <c r="A1369" s="3" t="s">
        <v>527</v>
      </c>
      <c r="B1369" s="0" t="s">
        <v>303</v>
      </c>
      <c r="C1369" s="21" t="n">
        <f aca="false">C1366-C1368</f>
        <v>6.674</v>
      </c>
      <c r="D1369" s="21" t="n">
        <f aca="false">D1366-D1368</f>
        <v>30.6790125</v>
      </c>
      <c r="E1369" s="21" t="n">
        <f aca="false">E1366-E1368</f>
        <v>53.7675169196669</v>
      </c>
      <c r="F1369" s="21" t="n">
        <f aca="false">F1366-F1368</f>
        <v>60.5477753105332</v>
      </c>
      <c r="G1369" s="21" t="n">
        <f aca="false">G1366-G1368</f>
        <v>66.3754612155864</v>
      </c>
    </row>
    <row r="1370" customFormat="false" ht="15" hidden="false" customHeight="false" outlineLevel="0" collapsed="false">
      <c r="A1370" s="3" t="s">
        <v>605</v>
      </c>
      <c r="B1370" s="0" t="s">
        <v>45</v>
      </c>
      <c r="C1370" s="13" t="n">
        <f aca="false">C1369/C1356</f>
        <v>0.0508530108731265</v>
      </c>
      <c r="D1370" s="13" t="n">
        <f aca="false">D1369/D1356</f>
        <v>0.162953507888999</v>
      </c>
      <c r="E1370" s="13" t="n">
        <f aca="false">E1369/E1356</f>
        <v>0.215383437722701</v>
      </c>
      <c r="F1370" s="13" t="n">
        <f aca="false">F1369/F1356</f>
        <v>0.210687271500491</v>
      </c>
      <c r="G1370" s="13" t="n">
        <f aca="false">G1369/G1356</f>
        <v>0.204890286385501</v>
      </c>
    </row>
    <row r="1371" customFormat="false" ht="17.15" hidden="false" customHeight="false" outlineLevel="0" collapsed="false">
      <c r="A1371" s="3" t="s">
        <v>670</v>
      </c>
      <c r="B1371" s="0" t="s">
        <v>303</v>
      </c>
      <c r="C1371" s="21" t="n">
        <f aca="false">a25_nonop</f>
        <v>-0.00100000000000033</v>
      </c>
      <c r="D1371" s="21" t="n">
        <f aca="false">a26_nonop</f>
        <v>14.466</v>
      </c>
      <c r="E1371" s="21" t="n">
        <f aca="false">nonop27</f>
        <v>2</v>
      </c>
      <c r="F1371" s="21" t="n">
        <f aca="false">nonop28</f>
        <v>2</v>
      </c>
      <c r="G1371" s="21" t="n">
        <f aca="false">nonop29</f>
        <v>2</v>
      </c>
      <c r="K1371" s="7" t="s">
        <v>671</v>
      </c>
    </row>
    <row r="1372" customFormat="false" ht="15" hidden="false" customHeight="false" outlineLevel="0" collapsed="false">
      <c r="A1372" s="3" t="s">
        <v>533</v>
      </c>
      <c r="B1372" s="0" t="s">
        <v>303</v>
      </c>
      <c r="C1372" s="21" t="n">
        <f aca="false">C1369+C1371</f>
        <v>6.673</v>
      </c>
      <c r="D1372" s="21" t="n">
        <f aca="false">D1369+D1371</f>
        <v>45.1450125</v>
      </c>
      <c r="E1372" s="21" t="n">
        <f aca="false">E1369+E1371</f>
        <v>55.7675169196669</v>
      </c>
      <c r="F1372" s="21" t="n">
        <f aca="false">F1369+F1371</f>
        <v>62.5477753105332</v>
      </c>
      <c r="G1372" s="21" t="n">
        <f aca="false">G1369+G1371</f>
        <v>68.3754612155864</v>
      </c>
    </row>
    <row r="1373" customFormat="false" ht="15" hidden="false" customHeight="false" outlineLevel="0" collapsed="false">
      <c r="A1373" s="3" t="s">
        <v>537</v>
      </c>
      <c r="B1373" s="0" t="s">
        <v>303</v>
      </c>
      <c r="E1373" s="21" t="n">
        <f aca="false">E1372*tax</f>
        <v>10.03815304554</v>
      </c>
      <c r="F1373" s="21" t="n">
        <f aca="false">F1372*tax</f>
        <v>11.258599555896</v>
      </c>
      <c r="G1373" s="21" t="n">
        <f aca="false">G1372*tax</f>
        <v>12.3075830188055</v>
      </c>
    </row>
    <row r="1374" customFormat="false" ht="15" hidden="false" customHeight="false" outlineLevel="0" collapsed="false">
      <c r="A1374" s="3" t="s">
        <v>535</v>
      </c>
      <c r="B1374" s="0" t="s">
        <v>303</v>
      </c>
      <c r="C1374" s="21" t="n">
        <f aca="false">a25_ni</f>
        <v>6.673</v>
      </c>
      <c r="D1374" s="21" t="n">
        <f aca="false">a26_ni</f>
        <v>37.23923025</v>
      </c>
      <c r="E1374" s="21" t="n">
        <f aca="false">E1372-E1373</f>
        <v>45.7293638741269</v>
      </c>
      <c r="F1374" s="21" t="n">
        <f aca="false">F1372-F1373</f>
        <v>51.2891757546372</v>
      </c>
      <c r="G1374" s="21" t="n">
        <f aca="false">G1372-G1373</f>
        <v>56.0678781967808</v>
      </c>
      <c r="H1374" s="30" t="n">
        <f aca="false">H1356*H1378</f>
        <v>61.9858648869882</v>
      </c>
      <c r="I1374" s="30" t="n">
        <f aca="false">I1356*I1378</f>
        <v>67.1377403643178</v>
      </c>
      <c r="J1374" s="30" t="n">
        <f aca="false">J1356*J1378</f>
        <v>71.2114605873947</v>
      </c>
    </row>
    <row r="1375" customFormat="false" ht="15" hidden="false" customHeight="false" outlineLevel="0" collapsed="false">
      <c r="A1375" s="3" t="s">
        <v>672</v>
      </c>
      <c r="B1375" s="3" t="s">
        <v>381</v>
      </c>
      <c r="C1375" s="29" t="n">
        <f aca="false">a25_sh</f>
        <v>1.52351598173516</v>
      </c>
      <c r="D1375" s="29" t="n">
        <f aca="false">a26_sh</f>
        <v>1.59236316568047</v>
      </c>
      <c r="E1375" s="29" t="n">
        <f aca="false">a26_shend*(1+sh_g)</f>
        <v>1.64</v>
      </c>
      <c r="F1375" s="29" t="n">
        <f aca="false">E1375*(1+sh_g)</f>
        <v>1.64</v>
      </c>
      <c r="G1375" s="29" t="n">
        <f aca="false">F1375*(1+sh_g)</f>
        <v>1.64</v>
      </c>
      <c r="H1375" s="31" t="n">
        <f aca="false">G1375*(1+sh_g)</f>
        <v>1.64</v>
      </c>
      <c r="I1375" s="31" t="n">
        <f aca="false">H1375*(1+sh_g)</f>
        <v>1.64</v>
      </c>
      <c r="J1375" s="31" t="n">
        <f aca="false">I1375*(1+sh_g)</f>
        <v>1.64</v>
      </c>
    </row>
    <row r="1376" customFormat="false" ht="17.15" hidden="false" customHeight="false" outlineLevel="0" collapsed="false">
      <c r="A1376" s="0" t="s">
        <v>540</v>
      </c>
      <c r="B1376" s="0" t="s">
        <v>387</v>
      </c>
      <c r="C1376" s="18" t="n">
        <f aca="false">C1374/C1375</f>
        <v>4.38</v>
      </c>
      <c r="D1376" s="18" t="n">
        <f aca="false">D1374/D1375</f>
        <v>23.3861414610695</v>
      </c>
      <c r="E1376" s="18" t="n">
        <f aca="false">E1374/E1375</f>
        <v>27.8837584598335</v>
      </c>
      <c r="F1376" s="18" t="n">
        <f aca="false">F1374/F1375</f>
        <v>31.2738876552666</v>
      </c>
      <c r="G1376" s="18" t="n">
        <f aca="false">G1374/G1375</f>
        <v>34.1877306077932</v>
      </c>
      <c r="H1376" s="28" t="n">
        <f aca="false">H1374/H1375</f>
        <v>37.7962590774318</v>
      </c>
      <c r="I1376" s="28" t="n">
        <f aca="false">I1374/I1375</f>
        <v>40.9376465636084</v>
      </c>
      <c r="J1376" s="28" t="n">
        <f aca="false">J1374/J1375</f>
        <v>43.421622309387</v>
      </c>
    </row>
    <row r="1377" customFormat="false" ht="17.15" hidden="false" customHeight="false" outlineLevel="0" collapsed="false">
      <c r="A1377" s="0" t="s">
        <v>673</v>
      </c>
      <c r="B1377" s="0" t="s">
        <v>45</v>
      </c>
      <c r="D1377" s="20" t="n">
        <f aca="false">D1376/C1376-1</f>
        <v>4.33930170344053</v>
      </c>
      <c r="E1377" s="20" t="n">
        <f aca="false">E1376/D1376-1</f>
        <v>0.192319755110139</v>
      </c>
      <c r="F1377" s="20" t="n">
        <f aca="false">F1376/E1376-1</f>
        <v>0.121580783319315</v>
      </c>
      <c r="G1377" s="20" t="n">
        <f aca="false">G1376/F1376-1</f>
        <v>0.0931717535295262</v>
      </c>
      <c r="H1377" s="26" t="n">
        <f aca="false">H1376/G1376-1</f>
        <v>0.1055503949951</v>
      </c>
      <c r="I1377" s="26" t="n">
        <f aca="false">I1376/H1376-1</f>
        <v>0.0831137145012399</v>
      </c>
      <c r="J1377" s="26" t="n">
        <f aca="false">J1376/I1376-1</f>
        <v>0.060677052891134</v>
      </c>
    </row>
    <row r="1378" customFormat="false" ht="17.15" hidden="false" customHeight="false" outlineLevel="0" collapsed="false">
      <c r="A1378" s="3" t="s">
        <v>674</v>
      </c>
      <c r="B1378" s="0" t="s">
        <v>45</v>
      </c>
      <c r="C1378" s="13" t="n">
        <f aca="false">C1374/C1356</f>
        <v>0.0508453913030227</v>
      </c>
      <c r="D1378" s="13" t="n">
        <f aca="false">D1374/D1356</f>
        <v>0.197798517808343</v>
      </c>
      <c r="E1378" s="13" t="n">
        <f aca="false">E1374/E1356</f>
        <v>0.183183977247778</v>
      </c>
      <c r="F1378" s="13" t="n">
        <f aca="false">F1374/F1356</f>
        <v>0.178470248358965</v>
      </c>
      <c r="G1378" s="13" t="n">
        <f aca="false">G1374/G1356</f>
        <v>0.173072448919847</v>
      </c>
      <c r="H1378" s="27" t="n">
        <f aca="false">$G1378+(fade_mA-$G1378)*1/3</f>
        <v>0.173183136735817</v>
      </c>
      <c r="I1378" s="27" t="n">
        <f aca="false">$G1378+(fade_mA-$G1378)*2/3</f>
        <v>0.173293824551787</v>
      </c>
      <c r="J1378" s="27" t="n">
        <f aca="false">$G1378+(fade_mA-$G1378)*3/3</f>
        <v>0.173404512367757</v>
      </c>
    </row>
    <row r="1379" customFormat="false" ht="17.15" hidden="false" customHeight="false" outlineLevel="0" collapsed="false">
      <c r="A1379" s="3" t="s">
        <v>675</v>
      </c>
      <c r="B1379" s="0" t="s">
        <v>45</v>
      </c>
      <c r="C1379" s="20" t="n">
        <f aca="false">C1362/C1356</f>
        <v>0.195190527350447</v>
      </c>
      <c r="D1379" s="20" t="n">
        <f aca="false">D1362/D1356</f>
        <v>0.285230933480641</v>
      </c>
      <c r="E1379" s="20" t="n">
        <f aca="false">E1362/E1356</f>
        <v>0.220320553252396</v>
      </c>
      <c r="F1379" s="20" t="n">
        <f aca="false">F1362/F1356</f>
        <v>0.173984320992747</v>
      </c>
      <c r="G1379" s="20" t="n">
        <f aca="false">G1362/G1356</f>
        <v>0.138907703517132</v>
      </c>
      <c r="H1379" s="26" t="n">
        <f aca="false">$G1379+($G1364*(1+tp_g)^(life/2)-$G1379)*1/3</f>
        <v>0.130328865630026</v>
      </c>
      <c r="I1379" s="26" t="n">
        <f aca="false">$G1379+($G1364*(1+tp_g)^(life/2)-$G1379)*2/3</f>
        <v>0.121750027742921</v>
      </c>
      <c r="J1379" s="26" t="n">
        <f aca="false">$G1379+($G1364*(1+tp_g)^(life/2)-$G1379)*3/3</f>
        <v>0.113171189855815</v>
      </c>
      <c r="K1379" s="7" t="s">
        <v>676</v>
      </c>
    </row>
    <row r="1380" customFormat="false" ht="15" hidden="false" customHeight="false" outlineLevel="0" collapsed="false">
      <c r="A1380" s="3" t="s">
        <v>677</v>
      </c>
      <c r="B1380" s="0" t="s">
        <v>303</v>
      </c>
      <c r="E1380" s="21" t="n">
        <f aca="false">E1374+E1363-E1362</f>
        <v>15.6418638741269</v>
      </c>
      <c r="F1380" s="21" t="n">
        <f aca="false">F1374+F1363-F1362</f>
        <v>29.9626132546372</v>
      </c>
      <c r="G1380" s="21" t="n">
        <f aca="false">G1374+G1363-G1362</f>
        <v>42.4071360092808</v>
      </c>
      <c r="H1380" s="30" t="n">
        <f aca="false">H1374+H1363-H1362</f>
        <v>49.9634240399725</v>
      </c>
      <c r="I1380" s="30" t="n">
        <f aca="false">I1374+I1363-I1362</f>
        <v>57.4480127163569</v>
      </c>
      <c r="J1380" s="30" t="n">
        <f aca="false">J1374+J1363-J1362</f>
        <v>64.4633924109889</v>
      </c>
      <c r="K1380" s="3" t="s">
        <v>678</v>
      </c>
    </row>
    <row r="1381" customFormat="false" ht="15" hidden="false" customHeight="false" outlineLevel="0" collapsed="false">
      <c r="A1381" s="3" t="s">
        <v>679</v>
      </c>
      <c r="B1381" s="0" t="s">
        <v>387</v>
      </c>
      <c r="E1381" s="18" t="n">
        <f aca="false">E1380/E1375</f>
        <v>9.5377218744676</v>
      </c>
      <c r="F1381" s="18" t="n">
        <f aca="false">F1380/F1375</f>
        <v>18.2698861308763</v>
      </c>
      <c r="G1381" s="18" t="n">
        <f aca="false">G1380/G1375</f>
        <v>25.8580097617566</v>
      </c>
      <c r="H1381" s="28" t="n">
        <f aca="false">H1380/H1375</f>
        <v>30.4655024633979</v>
      </c>
      <c r="I1381" s="28" t="n">
        <f aca="false">I1380/I1375</f>
        <v>35.0292760465591</v>
      </c>
      <c r="J1381" s="28" t="n">
        <f aca="false">J1380/J1375</f>
        <v>39.3069465920664</v>
      </c>
    </row>
    <row r="1384" customFormat="false" ht="17.15" hidden="false" customHeight="false" outlineLevel="0" collapsed="false">
      <c r="A1384" s="1" t="s">
        <v>1042</v>
      </c>
    </row>
    <row r="1385" customFormat="false" ht="17.15" hidden="false" customHeight="false" outlineLevel="0" collapsed="false">
      <c r="A1385" s="4" t="s">
        <v>22</v>
      </c>
      <c r="B1385" s="4" t="s">
        <v>23</v>
      </c>
      <c r="C1385" s="14" t="s">
        <v>508</v>
      </c>
      <c r="D1385" s="14" t="s">
        <v>592</v>
      </c>
      <c r="E1385" s="14" t="s">
        <v>593</v>
      </c>
      <c r="F1385" s="14" t="s">
        <v>594</v>
      </c>
      <c r="G1385" s="14" t="s">
        <v>595</v>
      </c>
      <c r="H1385" s="14" t="s">
        <v>596</v>
      </c>
      <c r="I1385" s="14" t="s">
        <v>597</v>
      </c>
      <c r="J1385" s="14" t="s">
        <v>598</v>
      </c>
      <c r="K1385" s="4" t="s">
        <v>481</v>
      </c>
    </row>
    <row r="1386" customFormat="false" ht="17.15" hidden="false" customHeight="false" outlineLevel="0" collapsed="false">
      <c r="A1386" s="5" t="s">
        <v>616</v>
      </c>
    </row>
    <row r="1387" customFormat="false" ht="17.15" hidden="false" customHeight="false" outlineLevel="0" collapsed="false">
      <c r="A1387" s="0" t="s">
        <v>617</v>
      </c>
      <c r="B1387" s="3" t="s">
        <v>33</v>
      </c>
      <c r="D1387" s="21" t="n">
        <f aca="false">(u_bw_26+u_rb_26+u_ru_26+u_hp_26)*1</f>
        <v>7.6</v>
      </c>
      <c r="E1387" s="21" t="n">
        <f aca="false">(u_bw_27+u_rb_27+u_ru_27+u_hp_27)*1*1</f>
        <v>9.7</v>
      </c>
      <c r="F1387" s="21" t="n">
        <f aca="false">(u_bw_28+u_rb_28+u_ru_28+u_hp_28)*um28_A*1</f>
        <v>9.5</v>
      </c>
      <c r="G1387" s="21" t="n">
        <f aca="false">(u_bw_28*(1+g29_bw)+u_rb_28*(1+g29_rb)+u_ru_28*(1+g29_ru)+u_hp_28*(1+g29_hp))*um29_A*1</f>
        <v>10.6</v>
      </c>
      <c r="K1387" s="7" t="s">
        <v>618</v>
      </c>
    </row>
    <row r="1388" customFormat="false" ht="17.15" hidden="false" customHeight="false" outlineLevel="0" collapsed="false">
      <c r="A1388" s="3" t="s">
        <v>619</v>
      </c>
      <c r="B1388" s="3" t="s">
        <v>33</v>
      </c>
      <c r="D1388" s="21" t="n">
        <f aca="false">(u_amd_26+u_tpu_26+u_trn_26+u_oth_26)*1</f>
        <v>7.6</v>
      </c>
      <c r="E1388" s="21" t="n">
        <f aca="false">(u_amd_27+u_tpu_27+u_trn_27+u_oth_27)*1*1</f>
        <v>14</v>
      </c>
      <c r="F1388" s="21" t="n">
        <f aca="false">(u_amd_28+u_tpu_28+u_trn_28+u_oth_28)*um28_A*1</f>
        <v>17</v>
      </c>
      <c r="G1388" s="21" t="n">
        <f aca="false">(u_amd_28*(1+g29_amd)+u_tpu_28*(1+g29_tpu)+u_trn_28*(1+g29_trn)+u_oth_28*(1+g29_oth))*um29_A*1</f>
        <v>19.55</v>
      </c>
      <c r="K1388" s="7" t="s">
        <v>620</v>
      </c>
    </row>
    <row r="1389" customFormat="false" ht="17.15" hidden="false" customHeight="false" outlineLevel="0" collapsed="false">
      <c r="A1389" s="3" t="s">
        <v>621</v>
      </c>
      <c r="B1389" s="0" t="s">
        <v>145</v>
      </c>
      <c r="D1389" s="19" t="n">
        <f aca="false">1</f>
        <v>1</v>
      </c>
      <c r="E1389" s="19" t="n">
        <f aca="false">D1389*(1+g_asp)</f>
        <v>1.18</v>
      </c>
      <c r="F1389" s="19" t="n">
        <f aca="false">E1389*(1+g_asp)</f>
        <v>1.3924</v>
      </c>
      <c r="G1389" s="19" t="n">
        <f aca="false">F1389*(1+g_asp)</f>
        <v>1.643032</v>
      </c>
      <c r="K1389" s="7" t="s">
        <v>622</v>
      </c>
    </row>
    <row r="1390" customFormat="false" ht="17.15" hidden="false" customHeight="false" outlineLevel="0" collapsed="false">
      <c r="A1390" s="0" t="s">
        <v>623</v>
      </c>
      <c r="B1390" s="0" t="s">
        <v>145</v>
      </c>
      <c r="D1390" s="18" t="n">
        <f aca="false">1</f>
        <v>1</v>
      </c>
      <c r="E1390" s="18" t="n">
        <f aca="false">ibpp_27</f>
        <v>1</v>
      </c>
      <c r="F1390" s="18" t="n">
        <f aca="false">ibpp_28</f>
        <v>0.95</v>
      </c>
      <c r="G1390" s="18" t="n">
        <f aca="false">ibpp_29</f>
        <v>0.9</v>
      </c>
      <c r="K1390" s="7" t="s">
        <v>624</v>
      </c>
    </row>
    <row r="1391" customFormat="false" ht="17.15" hidden="false" customHeight="false" outlineLevel="0" collapsed="false">
      <c r="A1391" s="3" t="s">
        <v>625</v>
      </c>
      <c r="B1391" s="0" t="s">
        <v>145</v>
      </c>
      <c r="D1391" s="18" t="n">
        <f aca="false">1</f>
        <v>1</v>
      </c>
      <c r="E1391" s="18" t="n">
        <f aca="false">1+carry</f>
        <v>1.05</v>
      </c>
      <c r="F1391" s="18" t="n">
        <f aca="false">1+carry</f>
        <v>1.05</v>
      </c>
      <c r="G1391" s="18" t="n">
        <f aca="false">1+carry</f>
        <v>1.05</v>
      </c>
      <c r="K1391" s="7" t="s">
        <v>626</v>
      </c>
    </row>
    <row r="1392" customFormat="false" ht="17.15" hidden="false" customHeight="false" outlineLevel="0" collapsed="false">
      <c r="A1392" s="3" t="s">
        <v>627</v>
      </c>
      <c r="B1392" s="0" t="s">
        <v>628</v>
      </c>
      <c r="D1392" s="23" t="n">
        <f aca="false">v26*D1389*D1390</f>
        <v>215.308596</v>
      </c>
      <c r="E1392" s="23" t="n">
        <f aca="false">v26*E1389*E1390</f>
        <v>254.06414328</v>
      </c>
      <c r="F1392" s="23" t="n">
        <f aca="false">v26*F1389*F1390</f>
        <v>284.80590461688</v>
      </c>
      <c r="G1392" s="23" t="n">
        <f aca="false">v26*G1389*G1390</f>
        <v>318.383021792765</v>
      </c>
      <c r="K1392" s="7" t="s">
        <v>629</v>
      </c>
    </row>
    <row r="1393" customFormat="false" ht="17.15" hidden="false" customHeight="false" outlineLevel="0" collapsed="false">
      <c r="A1393" s="3" t="s">
        <v>630</v>
      </c>
      <c r="B1393" s="0" t="s">
        <v>45</v>
      </c>
      <c r="D1393" s="20" t="n">
        <f aca="false">sh_nv_26</f>
        <v>0.25</v>
      </c>
      <c r="E1393" s="20" t="n">
        <f aca="false">sh_nv_27</f>
        <v>0.27</v>
      </c>
      <c r="F1393" s="20" t="n">
        <f aca="false">sh_nv_28</f>
        <v>0.29</v>
      </c>
      <c r="G1393" s="20" t="n">
        <f aca="false">sh_nv_29</f>
        <v>0.3</v>
      </c>
    </row>
    <row r="1394" customFormat="false" ht="17.15" hidden="false" customHeight="false" outlineLevel="0" collapsed="false">
      <c r="A1394" s="3" t="s">
        <v>631</v>
      </c>
      <c r="B1394" s="0" t="s">
        <v>45</v>
      </c>
      <c r="D1394" s="20" t="n">
        <f aca="false">sh_ot_26</f>
        <v>0.3</v>
      </c>
      <c r="E1394" s="20" t="n">
        <f aca="false">sh_ot_27</f>
        <v>0.31</v>
      </c>
      <c r="F1394" s="20" t="n">
        <f aca="false">sh_ot_28</f>
        <v>0.32</v>
      </c>
      <c r="G1394" s="20" t="n">
        <f aca="false">sh_ot_29</f>
        <v>0.33</v>
      </c>
    </row>
    <row r="1395" customFormat="false" ht="17.15" hidden="false" customHeight="false" outlineLevel="0" collapsed="false">
      <c r="A1395" s="3" t="s">
        <v>632</v>
      </c>
      <c r="B1395" s="0" t="s">
        <v>582</v>
      </c>
      <c r="D1395" s="22" t="n">
        <f aca="false">(D1387*D1392*D1393+D1388*D1392*v_ot*D1394)*D1391</f>
        <v>801.809211504</v>
      </c>
      <c r="E1395" s="22" t="n">
        <f aca="false">(E1387*E1392*E1393+E1388*E1392*v_ot*E1394)*E1391</f>
        <v>1624.8799315544</v>
      </c>
      <c r="F1395" s="22" t="n">
        <f aca="false">(F1387*F1392*F1393+F1388*F1392*v_ot*F1394)*F1391</f>
        <v>2125.32134231777</v>
      </c>
      <c r="G1395" s="22" t="n">
        <f aca="false">(G1387*G1392*G1393+G1388*G1392*v_ot*G1394)*G1391</f>
        <v>2788.4812844467</v>
      </c>
    </row>
    <row r="1396" customFormat="false" ht="15" hidden="false" customHeight="false" outlineLevel="0" collapsed="false">
      <c r="A1396" s="3" t="s">
        <v>633</v>
      </c>
      <c r="B1396" s="0" t="s">
        <v>303</v>
      </c>
      <c r="D1396" s="21" t="n">
        <f aca="false">D1395*fx/1000</f>
        <v>25.657894768128</v>
      </c>
      <c r="E1396" s="21" t="n">
        <f aca="false">E1395*fx/1000</f>
        <v>51.9961578097409</v>
      </c>
      <c r="F1396" s="21" t="n">
        <f aca="false">F1395*fx/1000</f>
        <v>68.0102829541688</v>
      </c>
      <c r="G1396" s="21" t="n">
        <f aca="false">G1395*fx/1000</f>
        <v>89.2314011022944</v>
      </c>
    </row>
    <row r="1397" customFormat="false" ht="17.15" hidden="false" customHeight="false" outlineLevel="0" collapsed="false">
      <c r="A1397" s="5" t="s">
        <v>634</v>
      </c>
    </row>
    <row r="1398" customFormat="false" ht="17.15" hidden="false" customHeight="false" outlineLevel="0" collapsed="false">
      <c r="A1398" s="0" t="s">
        <v>635</v>
      </c>
      <c r="B1398" s="0" t="s">
        <v>303</v>
      </c>
      <c r="D1398" s="21" t="n">
        <f aca="false">a26_abf*ai_abf</f>
        <v>74.83672875</v>
      </c>
      <c r="K1398" s="3" t="s">
        <v>636</v>
      </c>
    </row>
    <row r="1399" customFormat="false" ht="17.15" hidden="false" customHeight="false" outlineLevel="0" collapsed="false">
      <c r="A1399" s="3" t="s">
        <v>637</v>
      </c>
      <c r="B1399" s="0" t="s">
        <v>303</v>
      </c>
      <c r="D1399" s="21" t="n">
        <f aca="false">D1398-D1396</f>
        <v>49.178833981872</v>
      </c>
      <c r="E1399" s="21" t="n">
        <f aca="false">$D1399*(itc_27/itc_26)^el_o*1*1*E1390*E1391</f>
        <v>73.0642903440322</v>
      </c>
      <c r="F1399" s="21" t="n">
        <f aca="false">$D1399*(itc_28/itc_26)^el_o*um28_A*1*F1390*F1391</f>
        <v>78.1488805595188</v>
      </c>
      <c r="G1399" s="21" t="n">
        <f aca="false">$D1399*(itc_29/itc_26)^el_o*um29_A*1*G1390*G1391</f>
        <v>79.0193888474949</v>
      </c>
      <c r="K1399" s="7" t="s">
        <v>638</v>
      </c>
    </row>
    <row r="1400" customFormat="false" ht="17.15" hidden="false" customHeight="false" outlineLevel="0" collapsed="false">
      <c r="A1400" s="3" t="s">
        <v>639</v>
      </c>
      <c r="B1400" s="0" t="s">
        <v>303</v>
      </c>
      <c r="D1400" s="21" t="n">
        <f aca="false">a26_abf-D1398</f>
        <v>24.94557625</v>
      </c>
      <c r="E1400" s="21" t="n">
        <f aca="false">D1400*(1+g_nai)</f>
        <v>25.6939435375</v>
      </c>
      <c r="F1400" s="21" t="n">
        <f aca="false">E1400*(1+g_nai)</f>
        <v>26.464761843625</v>
      </c>
      <c r="G1400" s="21" t="n">
        <f aca="false">F1400*(1+g_nai)</f>
        <v>27.2587046989338</v>
      </c>
    </row>
    <row r="1401" customFormat="false" ht="17.15" hidden="false" customHeight="false" outlineLevel="0" collapsed="false">
      <c r="A1401" s="0" t="s">
        <v>640</v>
      </c>
      <c r="B1401" s="0" t="s">
        <v>303</v>
      </c>
      <c r="D1401" s="21" t="n">
        <f aca="false">D1396+D1399+D1400</f>
        <v>99.782305</v>
      </c>
      <c r="E1401" s="21" t="n">
        <f aca="false">E1396+E1399+E1400</f>
        <v>150.754391691273</v>
      </c>
      <c r="F1401" s="21" t="n">
        <f aca="false">F1396+F1399+F1400</f>
        <v>172.623925357313</v>
      </c>
      <c r="G1401" s="21" t="n">
        <f aca="false">G1396+G1399+G1400</f>
        <v>195.509494648723</v>
      </c>
    </row>
    <row r="1402" customFormat="false" ht="17.15" hidden="false" customHeight="false" outlineLevel="0" collapsed="false">
      <c r="A1402" s="0" t="s">
        <v>641</v>
      </c>
      <c r="B1402" s="0" t="s">
        <v>303</v>
      </c>
      <c r="D1402" s="21" t="n">
        <f aca="false">a26_abf</f>
        <v>99.782305</v>
      </c>
      <c r="E1402" s="21" t="n">
        <f aca="false">$D1401*cap_27*(1+g_mix)^1*E1390*E1391</f>
        <v>148.513488204375</v>
      </c>
      <c r="F1402" s="21" t="n">
        <f aca="false">$D1401*cap_28*(1+g_mix)^2*F1390*F1391</f>
        <v>186.549442683384</v>
      </c>
      <c r="G1402" s="21" t="n">
        <f aca="false">$D1401*cap_29*(1+g_mix)^3*G1390*G1391</f>
        <v>218.314827660431</v>
      </c>
      <c r="K1402" s="7" t="s">
        <v>642</v>
      </c>
    </row>
    <row r="1403" customFormat="false" ht="17.15" hidden="false" customHeight="false" outlineLevel="0" collapsed="false">
      <c r="A1403" s="0" t="s">
        <v>643</v>
      </c>
      <c r="B1403" s="0" t="s">
        <v>303</v>
      </c>
      <c r="D1403" s="21" t="n">
        <f aca="false">a26_abf</f>
        <v>99.782305</v>
      </c>
      <c r="E1403" s="21" t="n">
        <f aca="false">MIN(E1401,E1402)</f>
        <v>148.513488204375</v>
      </c>
      <c r="F1403" s="21" t="n">
        <f aca="false">MIN(F1401,F1402)</f>
        <v>172.623925357313</v>
      </c>
      <c r="G1403" s="21" t="n">
        <f aca="false">MIN(G1401,G1402)</f>
        <v>195.509494648723</v>
      </c>
    </row>
    <row r="1404" customFormat="false" ht="17.15" hidden="false" customHeight="false" outlineLevel="0" collapsed="false">
      <c r="A1404" s="3" t="s">
        <v>644</v>
      </c>
      <c r="B1404" s="0" t="s">
        <v>45</v>
      </c>
      <c r="D1404" s="20" t="n">
        <f aca="false">D1403/D1401</f>
        <v>1</v>
      </c>
      <c r="E1404" s="20" t="n">
        <f aca="false">E1403/E1401</f>
        <v>0.985135401617438</v>
      </c>
      <c r="F1404" s="20" t="n">
        <f aca="false">F1403/F1401</f>
        <v>1</v>
      </c>
      <c r="G1404" s="20" t="n">
        <f aca="false">G1403/G1401</f>
        <v>1</v>
      </c>
    </row>
    <row r="1405" customFormat="false" ht="17.15" hidden="false" customHeight="false" outlineLevel="0" collapsed="false">
      <c r="A1405" s="0" t="s">
        <v>645</v>
      </c>
      <c r="B1405" s="0" t="s">
        <v>303</v>
      </c>
      <c r="D1405" s="21" t="n">
        <f aca="false">(D1396+D1399)*D1404</f>
        <v>74.83672875</v>
      </c>
      <c r="E1405" s="21" t="n">
        <f aca="false">(E1396+E1399)*E1404</f>
        <v>123.201474818424</v>
      </c>
      <c r="F1405" s="21" t="n">
        <f aca="false">(F1396+F1399)*F1404</f>
        <v>146.159163513688</v>
      </c>
      <c r="G1405" s="21" t="n">
        <f aca="false">(G1396+G1399)*G1404</f>
        <v>168.250789949789</v>
      </c>
    </row>
    <row r="1406" customFormat="false" ht="17.15" hidden="false" customHeight="false" outlineLevel="0" collapsed="false">
      <c r="A1406" s="3" t="s">
        <v>646</v>
      </c>
      <c r="B1406" s="0" t="s">
        <v>45</v>
      </c>
      <c r="D1406" s="20" t="n">
        <f aca="false">D1396/(D1396+D1399)</f>
        <v>0.342851634440636</v>
      </c>
      <c r="E1406" s="20" t="n">
        <f aca="false">E1396/(E1396+E1399)</f>
        <v>0.41576820311572</v>
      </c>
      <c r="F1406" s="20" t="n">
        <f aca="false">F1396/(F1396+F1399)</f>
        <v>0.465316585831443</v>
      </c>
      <c r="G1406" s="20" t="n">
        <f aca="false">G1396/(G1396+G1399)</f>
        <v>0.530347590813235</v>
      </c>
    </row>
    <row r="1407" customFormat="false" ht="17.15" hidden="false" customHeight="false" outlineLevel="0" collapsed="false">
      <c r="A1407" s="5" t="s">
        <v>647</v>
      </c>
    </row>
    <row r="1408" customFormat="false" ht="17.15" hidden="false" customHeight="false" outlineLevel="0" collapsed="false">
      <c r="A1408" s="0" t="s">
        <v>550</v>
      </c>
      <c r="B1408" s="0" t="s">
        <v>303</v>
      </c>
      <c r="D1408" s="21" t="n">
        <f aca="false">a26_bt</f>
        <v>16.944165</v>
      </c>
      <c r="E1408" s="21" t="n">
        <f aca="false">D1408*(1+g_bt)</f>
        <v>17.79137325</v>
      </c>
      <c r="F1408" s="21" t="n">
        <f aca="false">E1408*(1+g_bt)</f>
        <v>18.6809419125</v>
      </c>
      <c r="G1408" s="21" t="n">
        <f aca="false">F1408*(1+g_bt)</f>
        <v>19.614989008125</v>
      </c>
    </row>
    <row r="1409" customFormat="false" ht="17.15" hidden="false" customHeight="false" outlineLevel="0" collapsed="false">
      <c r="A1409" s="0" t="s">
        <v>648</v>
      </c>
      <c r="B1409" s="0" t="s">
        <v>303</v>
      </c>
      <c r="D1409" s="21" t="n">
        <f aca="false">a26_pcb*ai_pcb</f>
        <v>37.93610275</v>
      </c>
      <c r="E1409" s="21" t="n">
        <f aca="false">D1409*(1+g_pai_27)</f>
        <v>45.5233233</v>
      </c>
      <c r="F1409" s="21" t="n">
        <f aca="false">D1409*(1+g_pai_27)*(1+g_pai_28)*um28_A</f>
        <v>52.351821795</v>
      </c>
      <c r="G1409" s="21" t="n">
        <f aca="false">D1409*(1+g_pai_27)*(1+g_pai_28)*(1+g_pai_29)*um29_A</f>
        <v>57.5870039745</v>
      </c>
      <c r="K1409" s="3" t="s">
        <v>649</v>
      </c>
    </row>
    <row r="1410" customFormat="false" ht="17.15" hidden="false" customHeight="false" outlineLevel="0" collapsed="false">
      <c r="A1410" s="3" t="s">
        <v>650</v>
      </c>
      <c r="B1410" s="0" t="s">
        <v>303</v>
      </c>
      <c r="D1410" s="21" t="n">
        <f aca="false">a26_pcb*(1-ai_pcb)</f>
        <v>20.42713225</v>
      </c>
      <c r="E1410" s="21" t="n">
        <f aca="false">D1410*(1+g_pcbn)</f>
        <v>20.835674895</v>
      </c>
      <c r="F1410" s="21" t="n">
        <f aca="false">E1410*(1+g_pcbn)</f>
        <v>21.2523883929</v>
      </c>
      <c r="G1410" s="21" t="n">
        <f aca="false">F1410*(1+g_pcbn)</f>
        <v>21.677436160758</v>
      </c>
    </row>
    <row r="1411" customFormat="false" ht="15" hidden="false" customHeight="false" outlineLevel="0" collapsed="false">
      <c r="A1411" s="3" t="s">
        <v>552</v>
      </c>
      <c r="B1411" s="0" t="s">
        <v>303</v>
      </c>
      <c r="D1411" s="21" t="n">
        <f aca="false">a26_fpc</f>
        <v>13.178795</v>
      </c>
      <c r="E1411" s="21" t="n">
        <f aca="false">D1411*(1+g_fpc)</f>
        <v>13.178795</v>
      </c>
      <c r="F1411" s="21" t="n">
        <f aca="false">E1411*(1+g_fpc)</f>
        <v>13.178795</v>
      </c>
      <c r="G1411" s="21" t="n">
        <f aca="false">F1411*(1+g_fpc)</f>
        <v>13.178795</v>
      </c>
    </row>
    <row r="1412" customFormat="false" ht="17.15" hidden="false" customHeight="false" outlineLevel="0" collapsed="false">
      <c r="A1412" s="3" t="s">
        <v>651</v>
      </c>
      <c r="B1412" s="0" t="s">
        <v>303</v>
      </c>
      <c r="D1412" s="21" t="n">
        <f aca="false">D1403+D1408</f>
        <v>116.72647</v>
      </c>
      <c r="E1412" s="21" t="n">
        <f aca="false">E1403+E1408</f>
        <v>166.304861454375</v>
      </c>
      <c r="F1412" s="21" t="n">
        <f aca="false">F1403+F1408</f>
        <v>191.304867269813</v>
      </c>
      <c r="G1412" s="21" t="n">
        <f aca="false">G1403+G1408</f>
        <v>215.124483656848</v>
      </c>
      <c r="K1412" s="3" t="s">
        <v>652</v>
      </c>
    </row>
    <row r="1413" customFormat="false" ht="17.15" hidden="false" customHeight="false" outlineLevel="0" collapsed="false">
      <c r="A1413" s="0" t="s">
        <v>653</v>
      </c>
      <c r="B1413" s="0" t="s">
        <v>303</v>
      </c>
      <c r="D1413" s="21" t="n">
        <f aca="false">D1409+D1410</f>
        <v>58.363235</v>
      </c>
      <c r="E1413" s="21" t="n">
        <f aca="false">E1409+E1410</f>
        <v>66.358998195</v>
      </c>
      <c r="F1413" s="21" t="n">
        <f aca="false">F1409+F1410</f>
        <v>73.6042101879</v>
      </c>
      <c r="G1413" s="21" t="n">
        <f aca="false">G1409+G1410</f>
        <v>79.264440135258</v>
      </c>
      <c r="K1413" s="3" t="s">
        <v>654</v>
      </c>
    </row>
    <row r="1414" customFormat="false" ht="17.15" hidden="false" customHeight="false" outlineLevel="0" collapsed="false">
      <c r="A1414" s="3" t="s">
        <v>515</v>
      </c>
      <c r="B1414" s="0" t="s">
        <v>303</v>
      </c>
      <c r="C1414" s="23" t="n">
        <f aca="false">a25_rev</f>
        <v>131.241</v>
      </c>
      <c r="D1414" s="23" t="n">
        <f aca="false">D1412+D1413+D1411</f>
        <v>188.2685</v>
      </c>
      <c r="E1414" s="23" t="n">
        <f aca="false">E1412+E1413+E1411</f>
        <v>245.842654649375</v>
      </c>
      <c r="F1414" s="23" t="n">
        <f aca="false">F1412+F1413+F1411</f>
        <v>278.087872457713</v>
      </c>
      <c r="G1414" s="23" t="n">
        <f aca="false">G1412+G1413+G1411</f>
        <v>307.567718792106</v>
      </c>
      <c r="H1414" s="25" t="n">
        <f aca="false">G1414*(1+H1416)</f>
        <v>335.455725464882</v>
      </c>
      <c r="I1414" s="25" t="n">
        <f aca="false">H1414*(1+I1416)</f>
        <v>360.727741503264</v>
      </c>
      <c r="J1414" s="25" t="n">
        <f aca="false">I1414*(1+J1416)</f>
        <v>382.371405993459</v>
      </c>
      <c r="K1414" s="7" t="s">
        <v>655</v>
      </c>
    </row>
    <row r="1415" customFormat="false" ht="17.15" hidden="false" customHeight="false" outlineLevel="0" collapsed="false">
      <c r="A1415" s="3" t="s">
        <v>656</v>
      </c>
      <c r="B1415" s="0" t="s">
        <v>303</v>
      </c>
      <c r="D1415" s="19" t="n">
        <f aca="false">D1412+D1413+D1411-D1414</f>
        <v>0</v>
      </c>
      <c r="E1415" s="19" t="n">
        <f aca="false">E1412+E1413+E1411-E1414</f>
        <v>0</v>
      </c>
      <c r="F1415" s="19" t="n">
        <f aca="false">F1412+F1413+F1411-F1414</f>
        <v>0</v>
      </c>
      <c r="G1415" s="19" t="n">
        <f aca="false">G1412+G1413+G1411-G1414</f>
        <v>0</v>
      </c>
    </row>
    <row r="1416" customFormat="false" ht="15" hidden="false" customHeight="false" outlineLevel="0" collapsed="false">
      <c r="A1416" s="3" t="s">
        <v>657</v>
      </c>
      <c r="B1416" s="0" t="s">
        <v>45</v>
      </c>
      <c r="D1416" s="20" t="n">
        <f aca="false">D1414/C1414-1</f>
        <v>0.434525034097576</v>
      </c>
      <c r="E1416" s="20" t="n">
        <f aca="false">E1414/D1414-1</f>
        <v>0.30580875</v>
      </c>
      <c r="F1416" s="20" t="n">
        <f aca="false">F1414/E1414-1</f>
        <v>0.131162014396266</v>
      </c>
      <c r="G1416" s="20" t="n">
        <f aca="false">G1414/F1414-1</f>
        <v>0.106009104510217</v>
      </c>
      <c r="H1416" s="26" t="n">
        <f aca="false">$G1416+(fade_gA-$G1416)*1/3</f>
        <v>0.0906727363401445</v>
      </c>
      <c r="I1416" s="26" t="n">
        <f aca="false">$G1416+(fade_gA-$G1416)*2/3</f>
        <v>0.0753363681700722</v>
      </c>
      <c r="J1416" s="26" t="n">
        <f aca="false">$G1416+(fade_gA-$G1416)*3/3</f>
        <v>0.06</v>
      </c>
    </row>
    <row r="1417" customFormat="false" ht="17.15" hidden="false" customHeight="false" outlineLevel="0" collapsed="false">
      <c r="A1417" s="0" t="s">
        <v>658</v>
      </c>
      <c r="B1417" s="0" t="s">
        <v>45</v>
      </c>
      <c r="D1417" s="20" t="n">
        <f aca="false">D1403/D1414</f>
        <v>0.53</v>
      </c>
      <c r="E1417" s="20" t="n">
        <f aca="false">E1403/E1414</f>
        <v>0.604099758100105</v>
      </c>
      <c r="F1417" s="20" t="n">
        <f aca="false">F1403/F1414</f>
        <v>0.620753159178355</v>
      </c>
      <c r="G1417" s="20" t="n">
        <f aca="false">G1403/G1414</f>
        <v>0.635663246508889</v>
      </c>
    </row>
    <row r="1418" customFormat="false" ht="17.15" hidden="false" customHeight="false" outlineLevel="0" collapsed="false">
      <c r="A1418" s="0" t="s">
        <v>659</v>
      </c>
      <c r="B1418" s="0" t="s">
        <v>45</v>
      </c>
      <c r="D1418" s="20" t="n">
        <f aca="false">(D1405+D1409)/D1414</f>
        <v>0.599</v>
      </c>
      <c r="E1418" s="20" t="n">
        <f aca="false">(E1405+E1409)/E1414</f>
        <v>0.686312138790815</v>
      </c>
      <c r="F1418" s="20" t="n">
        <f aca="false">(F1405+F1409)/F1414</f>
        <v>0.713842655396179</v>
      </c>
      <c r="G1418" s="20" t="n">
        <f aca="false">(G1405+G1409)/G1414</f>
        <v>0.734270146461436</v>
      </c>
      <c r="K1418" s="3" t="s">
        <v>660</v>
      </c>
    </row>
    <row r="1419" customFormat="false" ht="17.15" hidden="false" customHeight="false" outlineLevel="0" collapsed="false">
      <c r="A1419" s="5" t="s">
        <v>661</v>
      </c>
    </row>
    <row r="1420" customFormat="false" ht="15" hidden="false" customHeight="false" outlineLevel="0" collapsed="false">
      <c r="A1420" s="3" t="s">
        <v>662</v>
      </c>
      <c r="B1420" s="0" t="s">
        <v>303</v>
      </c>
      <c r="C1420" s="23" t="n">
        <f aca="false">a25_cx</f>
        <v>25.617</v>
      </c>
      <c r="D1420" s="23" t="n">
        <f aca="false">capex26</f>
        <v>53.7</v>
      </c>
      <c r="E1420" s="23" t="n">
        <f aca="false">cx27_A</f>
        <v>55</v>
      </c>
      <c r="F1420" s="23" t="n">
        <f aca="false">cx28_A</f>
        <v>50</v>
      </c>
      <c r="G1420" s="23" t="n">
        <f aca="false">cx29_A</f>
        <v>45</v>
      </c>
      <c r="H1420" s="25" t="n">
        <f aca="false">H1414*H1437</f>
        <v>46.0491114644872</v>
      </c>
      <c r="I1420" s="25" t="n">
        <f aca="false">I1414*I1437</f>
        <v>46.2587658972454</v>
      </c>
      <c r="J1420" s="25" t="n">
        <f aca="false">J1414*J1437</f>
        <v>45.5792023656988</v>
      </c>
    </row>
    <row r="1421" customFormat="false" ht="17.15" hidden="false" customHeight="false" outlineLevel="0" collapsed="false">
      <c r="A1421" s="3" t="s">
        <v>663</v>
      </c>
      <c r="B1421" s="0" t="s">
        <v>303</v>
      </c>
      <c r="C1421" s="23" t="n">
        <f aca="false">a25_da</f>
        <v>18.8</v>
      </c>
      <c r="D1421" s="23" t="n">
        <f aca="false">da26</f>
        <v>20.8</v>
      </c>
      <c r="E1421" s="23" t="n">
        <f aca="false">D1421*(1-1/life)+D1420/life</f>
        <v>24.9125</v>
      </c>
      <c r="F1421" s="23" t="n">
        <f aca="false">E1421*(1-1/life)+E1420/life</f>
        <v>28.6734375</v>
      </c>
      <c r="G1421" s="23" t="n">
        <f aca="false">F1421*(1-1/life)+F1420/life</f>
        <v>31.3392578125</v>
      </c>
      <c r="H1421" s="25" t="n">
        <f aca="false">H1414*H1422</f>
        <v>34.1808740732286</v>
      </c>
      <c r="I1421" s="25" t="n">
        <f aca="false">I1414*I1422</f>
        <v>36.7559369867843</v>
      </c>
      <c r="J1421" s="25" t="n">
        <f aca="false">J1414*J1422</f>
        <v>38.9612932059913</v>
      </c>
      <c r="K1421" s="3" t="s">
        <v>664</v>
      </c>
    </row>
    <row r="1422" customFormat="false" ht="17.15" hidden="false" customHeight="false" outlineLevel="0" collapsed="false">
      <c r="A1422" s="3" t="s">
        <v>665</v>
      </c>
      <c r="B1422" s="0" t="s">
        <v>45</v>
      </c>
      <c r="C1422" s="20" t="n">
        <f aca="false">C1421/C1414</f>
        <v>0.143247917952469</v>
      </c>
      <c r="D1422" s="20" t="n">
        <f aca="false">D1421/D1414</f>
        <v>0.110480510547436</v>
      </c>
      <c r="E1422" s="20" t="n">
        <f aca="false">E1421/E1414</f>
        <v>0.101335140704247</v>
      </c>
      <c r="F1422" s="20" t="n">
        <f aca="false">F1421/F1414</f>
        <v>0.103109269910216</v>
      </c>
      <c r="G1422" s="20" t="n">
        <f aca="false">G1421/G1414</f>
        <v>0.101893846127861</v>
      </c>
      <c r="H1422" s="26" t="n">
        <f aca="false">$G1422</f>
        <v>0.101893846127861</v>
      </c>
      <c r="I1422" s="26" t="n">
        <f aca="false">$G1422</f>
        <v>0.101893846127861</v>
      </c>
      <c r="J1422" s="26" t="n">
        <f aca="false">$G1422</f>
        <v>0.101893846127861</v>
      </c>
    </row>
    <row r="1423" customFormat="false" ht="17.15" hidden="false" customHeight="false" outlineLevel="0" collapsed="false">
      <c r="A1423" s="3" t="s">
        <v>666</v>
      </c>
      <c r="B1423" s="0" t="s">
        <v>303</v>
      </c>
      <c r="E1423" s="21" t="n">
        <f aca="false">E1405*(1-1/(E1390*E1391))</f>
        <v>5.86673689611544</v>
      </c>
      <c r="F1423" s="21" t="n">
        <f aca="false">F1405*(1-1/(F1390*F1391))</f>
        <v>-0.366313693016785</v>
      </c>
      <c r="G1423" s="21" t="n">
        <f aca="false">G1405*(1-1/(G1390*G1391))</f>
        <v>-9.7923740182417</v>
      </c>
      <c r="K1423" s="7" t="s">
        <v>667</v>
      </c>
    </row>
    <row r="1424" customFormat="false" ht="17.15" hidden="false" customHeight="false" outlineLevel="0" collapsed="false">
      <c r="A1424" s="3" t="s">
        <v>668</v>
      </c>
      <c r="B1424" s="0" t="s">
        <v>303</v>
      </c>
      <c r="C1424" s="21" t="n">
        <f aca="false">a25_gp</f>
        <v>18.292</v>
      </c>
      <c r="D1424" s="21" t="n">
        <f aca="false">a26_gp</f>
        <v>47.3329657</v>
      </c>
      <c r="E1424" s="21" t="n">
        <f aca="false">$D1424+ft_abf*(E1403-E1423-$D1403)+ft_oth*((E1414-E1403)-($D1414-$D1403))+E1423-(E1421-$D1421)</f>
        <v>72.7301686114952</v>
      </c>
      <c r="F1424" s="21" t="n">
        <f aca="false">$D1424+ft_abf*(F1403-F1423-$D1403)+ft_oth*((F1414-F1403)-($D1414-$D1403))+F1423-(F1421-$D1421)</f>
        <v>79.9416195572479</v>
      </c>
      <c r="G1424" s="21" t="n">
        <f aca="false">$D1424+ft_abf*(G1403-G1423-$D1403)+ft_oth*((G1414-G1403)-($D1414-$D1403))+G1423-(G1421-$D1421)</f>
        <v>85.6541229885864</v>
      </c>
      <c r="K1424" s="3" t="s">
        <v>669</v>
      </c>
    </row>
    <row r="1425" customFormat="false" ht="15" hidden="false" customHeight="false" outlineLevel="0" collapsed="false">
      <c r="A1425" s="3" t="s">
        <v>522</v>
      </c>
      <c r="B1425" s="0" t="s">
        <v>45</v>
      </c>
      <c r="C1425" s="13" t="n">
        <f aca="false">C1424/C1414</f>
        <v>0.139377176339711</v>
      </c>
      <c r="D1425" s="13" t="n">
        <f aca="false">D1424/D1414</f>
        <v>0.251412029627899</v>
      </c>
      <c r="E1425" s="13" t="n">
        <f aca="false">E1424/E1414</f>
        <v>0.295840315893205</v>
      </c>
      <c r="F1425" s="13" t="n">
        <f aca="false">F1424/F1414</f>
        <v>0.287468917111458</v>
      </c>
      <c r="G1425" s="13" t="n">
        <f aca="false">G1424/G1414</f>
        <v>0.278488663650955</v>
      </c>
    </row>
    <row r="1426" customFormat="false" ht="15" hidden="false" customHeight="false" outlineLevel="0" collapsed="false">
      <c r="A1426" s="3" t="s">
        <v>524</v>
      </c>
      <c r="B1426" s="0" t="s">
        <v>303</v>
      </c>
      <c r="C1426" s="21" t="n">
        <f aca="false">a25_opx</f>
        <v>11.618</v>
      </c>
      <c r="D1426" s="21" t="n">
        <f aca="false">a26_opx</f>
        <v>16.6539532</v>
      </c>
      <c r="E1426" s="21" t="n">
        <f aca="false">D1426*(1+phi_hi*E1416)</f>
        <v>21.7468778106505</v>
      </c>
      <c r="F1426" s="21" t="n">
        <f aca="false">E1426*(1+phi_hi*F1416)</f>
        <v>24.5992421111249</v>
      </c>
      <c r="G1426" s="21" t="n">
        <f aca="false">F1426*(1+phi_hi*G1416)</f>
        <v>27.2069857389552</v>
      </c>
    </row>
    <row r="1427" customFormat="false" ht="15" hidden="false" customHeight="false" outlineLevel="0" collapsed="false">
      <c r="A1427" s="3" t="s">
        <v>527</v>
      </c>
      <c r="B1427" s="0" t="s">
        <v>303</v>
      </c>
      <c r="C1427" s="21" t="n">
        <f aca="false">C1424-C1426</f>
        <v>6.674</v>
      </c>
      <c r="D1427" s="21" t="n">
        <f aca="false">D1424-D1426</f>
        <v>30.6790125</v>
      </c>
      <c r="E1427" s="21" t="n">
        <f aca="false">E1424-E1426</f>
        <v>50.9832908008447</v>
      </c>
      <c r="F1427" s="21" t="n">
        <f aca="false">F1424-F1426</f>
        <v>55.342377446123</v>
      </c>
      <c r="G1427" s="21" t="n">
        <f aca="false">G1424-G1426</f>
        <v>58.4471372496312</v>
      </c>
    </row>
    <row r="1428" customFormat="false" ht="15" hidden="false" customHeight="false" outlineLevel="0" collapsed="false">
      <c r="A1428" s="3" t="s">
        <v>605</v>
      </c>
      <c r="B1428" s="0" t="s">
        <v>45</v>
      </c>
      <c r="C1428" s="13" t="n">
        <f aca="false">C1427/C1414</f>
        <v>0.0508530108731265</v>
      </c>
      <c r="D1428" s="13" t="n">
        <f aca="false">D1427/D1414</f>
        <v>0.162953507888999</v>
      </c>
      <c r="E1428" s="13" t="n">
        <f aca="false">E1427/E1414</f>
        <v>0.207381794154306</v>
      </c>
      <c r="F1428" s="13" t="n">
        <f aca="false">F1427/F1414</f>
        <v>0.199010395372559</v>
      </c>
      <c r="G1428" s="13" t="n">
        <f aca="false">G1427/G1414</f>
        <v>0.190030141912056</v>
      </c>
    </row>
    <row r="1429" customFormat="false" ht="17.15" hidden="false" customHeight="false" outlineLevel="0" collapsed="false">
      <c r="A1429" s="3" t="s">
        <v>670</v>
      </c>
      <c r="B1429" s="0" t="s">
        <v>303</v>
      </c>
      <c r="C1429" s="21" t="n">
        <f aca="false">a25_nonop</f>
        <v>-0.00100000000000033</v>
      </c>
      <c r="D1429" s="21" t="n">
        <f aca="false">a26_nonop</f>
        <v>14.466</v>
      </c>
      <c r="E1429" s="21" t="n">
        <f aca="false">nonop27</f>
        <v>2</v>
      </c>
      <c r="F1429" s="21" t="n">
        <f aca="false">nonop28</f>
        <v>2</v>
      </c>
      <c r="G1429" s="21" t="n">
        <f aca="false">nonop29</f>
        <v>2</v>
      </c>
      <c r="K1429" s="7" t="s">
        <v>671</v>
      </c>
    </row>
    <row r="1430" customFormat="false" ht="15" hidden="false" customHeight="false" outlineLevel="0" collapsed="false">
      <c r="A1430" s="3" t="s">
        <v>533</v>
      </c>
      <c r="B1430" s="0" t="s">
        <v>303</v>
      </c>
      <c r="C1430" s="21" t="n">
        <f aca="false">C1427+C1429</f>
        <v>6.673</v>
      </c>
      <c r="D1430" s="21" t="n">
        <f aca="false">D1427+D1429</f>
        <v>45.1450125</v>
      </c>
      <c r="E1430" s="21" t="n">
        <f aca="false">E1427+E1429</f>
        <v>52.9832908008447</v>
      </c>
      <c r="F1430" s="21" t="n">
        <f aca="false">F1427+F1429</f>
        <v>57.342377446123</v>
      </c>
      <c r="G1430" s="21" t="n">
        <f aca="false">G1427+G1429</f>
        <v>60.4471372496312</v>
      </c>
    </row>
    <row r="1431" customFormat="false" ht="15" hidden="false" customHeight="false" outlineLevel="0" collapsed="false">
      <c r="A1431" s="3" t="s">
        <v>537</v>
      </c>
      <c r="B1431" s="0" t="s">
        <v>303</v>
      </c>
      <c r="E1431" s="21" t="n">
        <f aca="false">E1430*tax</f>
        <v>9.53699234415205</v>
      </c>
      <c r="F1431" s="21" t="n">
        <f aca="false">F1430*tax</f>
        <v>10.3216279403021</v>
      </c>
      <c r="G1431" s="21" t="n">
        <f aca="false">G1430*tax</f>
        <v>10.8804847049336</v>
      </c>
    </row>
    <row r="1432" customFormat="false" ht="15" hidden="false" customHeight="false" outlineLevel="0" collapsed="false">
      <c r="A1432" s="3" t="s">
        <v>535</v>
      </c>
      <c r="B1432" s="0" t="s">
        <v>303</v>
      </c>
      <c r="C1432" s="21" t="n">
        <f aca="false">a25_ni</f>
        <v>6.673</v>
      </c>
      <c r="D1432" s="21" t="n">
        <f aca="false">a26_ni</f>
        <v>37.23923025</v>
      </c>
      <c r="E1432" s="21" t="n">
        <f aca="false">E1430-E1431</f>
        <v>43.4462984566927</v>
      </c>
      <c r="F1432" s="21" t="n">
        <f aca="false">F1430-F1431</f>
        <v>47.0207495058209</v>
      </c>
      <c r="G1432" s="21" t="n">
        <f aca="false">G1430-G1431</f>
        <v>49.5666525446976</v>
      </c>
      <c r="H1432" s="30" t="n">
        <f aca="false">H1414*H1436</f>
        <v>55.4305098731677</v>
      </c>
      <c r="I1432" s="30" t="n">
        <f aca="false">I1414*I1436</f>
        <v>61.0791306428617</v>
      </c>
      <c r="J1432" s="30" t="n">
        <f aca="false">J1414*J1436</f>
        <v>66.3049271996696</v>
      </c>
    </row>
    <row r="1433" customFormat="false" ht="15" hidden="false" customHeight="false" outlineLevel="0" collapsed="false">
      <c r="A1433" s="3" t="s">
        <v>672</v>
      </c>
      <c r="B1433" s="3" t="s">
        <v>381</v>
      </c>
      <c r="C1433" s="29" t="n">
        <f aca="false">a25_sh</f>
        <v>1.52351598173516</v>
      </c>
      <c r="D1433" s="29" t="n">
        <f aca="false">a26_sh</f>
        <v>1.59236316568047</v>
      </c>
      <c r="E1433" s="29" t="n">
        <f aca="false">a26_shend*(1+sh_g)</f>
        <v>1.64</v>
      </c>
      <c r="F1433" s="29" t="n">
        <f aca="false">E1433*(1+sh_g)</f>
        <v>1.64</v>
      </c>
      <c r="G1433" s="29" t="n">
        <f aca="false">F1433*(1+sh_g)</f>
        <v>1.64</v>
      </c>
      <c r="H1433" s="31" t="n">
        <f aca="false">G1433*(1+sh_g)</f>
        <v>1.64</v>
      </c>
      <c r="I1433" s="31" t="n">
        <f aca="false">H1433*(1+sh_g)</f>
        <v>1.64</v>
      </c>
      <c r="J1433" s="31" t="n">
        <f aca="false">I1433*(1+sh_g)</f>
        <v>1.64</v>
      </c>
    </row>
    <row r="1434" customFormat="false" ht="17.15" hidden="false" customHeight="false" outlineLevel="0" collapsed="false">
      <c r="A1434" s="0" t="s">
        <v>540</v>
      </c>
      <c r="B1434" s="0" t="s">
        <v>387</v>
      </c>
      <c r="C1434" s="18" t="n">
        <f aca="false">C1432/C1433</f>
        <v>4.38</v>
      </c>
      <c r="D1434" s="18" t="n">
        <f aca="false">D1432/D1433</f>
        <v>23.3861414610695</v>
      </c>
      <c r="E1434" s="18" t="n">
        <f aca="false">E1432/E1433</f>
        <v>26.4916454004224</v>
      </c>
      <c r="F1434" s="18" t="n">
        <f aca="false">F1432/F1433</f>
        <v>28.6711887230615</v>
      </c>
      <c r="G1434" s="18" t="n">
        <f aca="false">G1432/G1433</f>
        <v>30.2235686248156</v>
      </c>
      <c r="H1434" s="28" t="n">
        <f aca="false">H1432/H1433</f>
        <v>33.7990913860779</v>
      </c>
      <c r="I1434" s="28" t="n">
        <f aca="false">I1432/I1433</f>
        <v>37.2433723432083</v>
      </c>
      <c r="J1434" s="28" t="n">
        <f aca="false">J1432/J1433</f>
        <v>40.4298336583351</v>
      </c>
    </row>
    <row r="1435" customFormat="false" ht="17.15" hidden="false" customHeight="false" outlineLevel="0" collapsed="false">
      <c r="A1435" s="0" t="s">
        <v>673</v>
      </c>
      <c r="B1435" s="0" t="s">
        <v>45</v>
      </c>
      <c r="D1435" s="20" t="n">
        <f aca="false">D1434/C1434-1</f>
        <v>4.33930170344053</v>
      </c>
      <c r="E1435" s="20" t="n">
        <f aca="false">E1434/D1434-1</f>
        <v>0.132792489283559</v>
      </c>
      <c r="F1435" s="20" t="n">
        <f aca="false">F1434/E1434-1</f>
        <v>0.0822728558266301</v>
      </c>
      <c r="G1435" s="20" t="n">
        <f aca="false">G1434/F1434-1</f>
        <v>0.0541442462239254</v>
      </c>
      <c r="H1435" s="26" t="n">
        <f aca="false">H1434/G1434-1</f>
        <v>0.118302468039017</v>
      </c>
      <c r="I1435" s="26" t="n">
        <f aca="false">I1434/H1434-1</f>
        <v>0.10190454287032</v>
      </c>
      <c r="J1435" s="26" t="n">
        <f aca="false">J1434/I1434-1</f>
        <v>0.085557808400448</v>
      </c>
    </row>
    <row r="1436" customFormat="false" ht="17.15" hidden="false" customHeight="false" outlineLevel="0" collapsed="false">
      <c r="A1436" s="3" t="s">
        <v>674</v>
      </c>
      <c r="B1436" s="0" t="s">
        <v>45</v>
      </c>
      <c r="C1436" s="13" t="n">
        <f aca="false">C1432/C1414</f>
        <v>0.0508453913030227</v>
      </c>
      <c r="D1436" s="13" t="n">
        <f aca="false">D1432/D1414</f>
        <v>0.197798517808343</v>
      </c>
      <c r="E1436" s="13" t="n">
        <f aca="false">E1432/E1414</f>
        <v>0.17672400470397</v>
      </c>
      <c r="F1436" s="13" t="n">
        <f aca="false">F1432/F1414</f>
        <v>0.169085940678593</v>
      </c>
      <c r="G1436" s="13" t="n">
        <f aca="false">G1432/G1414</f>
        <v>0.161156875433345</v>
      </c>
      <c r="H1436" s="27" t="n">
        <f aca="false">$G1436+(fade_mA-$G1436)*1/3</f>
        <v>0.165239421078149</v>
      </c>
      <c r="I1436" s="27" t="n">
        <f aca="false">$G1436+(fade_mA-$G1436)*2/3</f>
        <v>0.169321966722953</v>
      </c>
      <c r="J1436" s="27" t="n">
        <f aca="false">$G1436+(fade_mA-$G1436)*3/3</f>
        <v>0.173404512367757</v>
      </c>
    </row>
    <row r="1437" customFormat="false" ht="17.15" hidden="false" customHeight="false" outlineLevel="0" collapsed="false">
      <c r="A1437" s="3" t="s">
        <v>675</v>
      </c>
      <c r="B1437" s="0" t="s">
        <v>45</v>
      </c>
      <c r="C1437" s="20" t="n">
        <f aca="false">C1420/C1414</f>
        <v>0.195190527350447</v>
      </c>
      <c r="D1437" s="20" t="n">
        <f aca="false">D1420/D1414</f>
        <v>0.285230933480641</v>
      </c>
      <c r="E1437" s="20" t="n">
        <f aca="false">E1420/E1414</f>
        <v>0.223720330706817</v>
      </c>
      <c r="F1437" s="20" t="n">
        <f aca="false">F1420/F1414</f>
        <v>0.179799282716305</v>
      </c>
      <c r="G1437" s="20" t="n">
        <f aca="false">G1420/G1414</f>
        <v>0.146309242649801</v>
      </c>
      <c r="H1437" s="26" t="n">
        <f aca="false">$G1437+($G1422*(1+tp_g)^(life/2)-$G1437)*1/3</f>
        <v>0.137273291134534</v>
      </c>
      <c r="I1437" s="26" t="n">
        <f aca="false">$G1437+($G1422*(1+tp_g)^(life/2)-$G1437)*2/3</f>
        <v>0.128237339619268</v>
      </c>
      <c r="J1437" s="26" t="n">
        <f aca="false">$G1437+($G1422*(1+tp_g)^(life/2)-$G1437)*3/3</f>
        <v>0.119201388104001</v>
      </c>
      <c r="K1437" s="7" t="s">
        <v>676</v>
      </c>
    </row>
    <row r="1438" customFormat="false" ht="15" hidden="false" customHeight="false" outlineLevel="0" collapsed="false">
      <c r="A1438" s="3" t="s">
        <v>677</v>
      </c>
      <c r="B1438" s="0" t="s">
        <v>303</v>
      </c>
      <c r="E1438" s="21" t="n">
        <f aca="false">E1432+E1421-E1420</f>
        <v>13.3587984566927</v>
      </c>
      <c r="F1438" s="21" t="n">
        <f aca="false">F1432+F1421-F1420</f>
        <v>25.6941870058209</v>
      </c>
      <c r="G1438" s="21" t="n">
        <f aca="false">G1432+G1421-G1420</f>
        <v>35.9059103571976</v>
      </c>
      <c r="H1438" s="30" t="n">
        <f aca="false">H1432+H1421-H1420</f>
        <v>43.5622724819092</v>
      </c>
      <c r="I1438" s="30" t="n">
        <f aca="false">I1432+I1421-I1420</f>
        <v>51.5763017324006</v>
      </c>
      <c r="J1438" s="30" t="n">
        <f aca="false">J1432+J1421-J1420</f>
        <v>59.6870180399621</v>
      </c>
      <c r="K1438" s="3" t="s">
        <v>678</v>
      </c>
    </row>
    <row r="1439" customFormat="false" ht="15" hidden="false" customHeight="false" outlineLevel="0" collapsed="false">
      <c r="A1439" s="3" t="s">
        <v>679</v>
      </c>
      <c r="B1439" s="0" t="s">
        <v>387</v>
      </c>
      <c r="E1439" s="18" t="n">
        <f aca="false">E1438/E1433</f>
        <v>8.14560881505651</v>
      </c>
      <c r="F1439" s="18" t="n">
        <f aca="false">F1438/F1433</f>
        <v>15.6671871986713</v>
      </c>
      <c r="G1439" s="18" t="n">
        <f aca="false">G1438/G1433</f>
        <v>21.893847778779</v>
      </c>
      <c r="H1439" s="28" t="n">
        <f aca="false">H1438/H1433</f>
        <v>26.5623612694568</v>
      </c>
      <c r="I1439" s="28" t="n">
        <f aca="false">I1438/I1433</f>
        <v>31.448964470976</v>
      </c>
      <c r="J1439" s="28" t="n">
        <f aca="false">J1438/J1433</f>
        <v>36.3945231950988</v>
      </c>
    </row>
    <row r="1442" customFormat="false" ht="17.15" hidden="false" customHeight="false" outlineLevel="0" collapsed="false">
      <c r="A1442" s="1" t="s">
        <v>1043</v>
      </c>
    </row>
    <row r="1443" customFormat="false" ht="17.15" hidden="false" customHeight="false" outlineLevel="0" collapsed="false">
      <c r="A1443" s="4" t="s">
        <v>22</v>
      </c>
      <c r="B1443" s="4" t="s">
        <v>23</v>
      </c>
      <c r="C1443" s="14" t="s">
        <v>508</v>
      </c>
      <c r="D1443" s="14" t="s">
        <v>592</v>
      </c>
      <c r="E1443" s="14" t="s">
        <v>593</v>
      </c>
      <c r="F1443" s="14" t="s">
        <v>594</v>
      </c>
      <c r="G1443" s="14" t="s">
        <v>595</v>
      </c>
      <c r="H1443" s="14" t="s">
        <v>596</v>
      </c>
      <c r="I1443" s="14" t="s">
        <v>597</v>
      </c>
      <c r="J1443" s="14" t="s">
        <v>598</v>
      </c>
      <c r="K1443" s="4" t="s">
        <v>481</v>
      </c>
    </row>
    <row r="1444" customFormat="false" ht="17.15" hidden="false" customHeight="false" outlineLevel="0" collapsed="false">
      <c r="A1444" s="5" t="s">
        <v>616</v>
      </c>
    </row>
    <row r="1445" customFormat="false" ht="17.15" hidden="false" customHeight="false" outlineLevel="0" collapsed="false">
      <c r="A1445" s="0" t="s">
        <v>617</v>
      </c>
      <c r="B1445" s="3" t="s">
        <v>33</v>
      </c>
      <c r="D1445" s="21" t="n">
        <f aca="false">(u_bw_26+u_rb_26+u_ru_26+u_hp_26)*1</f>
        <v>7.6</v>
      </c>
      <c r="E1445" s="21" t="n">
        <f aca="false">(u_bw_27+u_rb_27+u_ru_27+u_hp_27)*1*1</f>
        <v>9.7</v>
      </c>
      <c r="F1445" s="21" t="n">
        <f aca="false">(u_bw_28+u_rb_28+u_ru_28+u_hp_28)*um28_A*1</f>
        <v>9.5</v>
      </c>
      <c r="G1445" s="21" t="n">
        <f aca="false">(u_bw_28*(1+g29_bw)+u_rb_28*(1+g29_rb)+u_ru_28*(1+g29_ru)+u_hp_28*(1+g29_hp))*um29_A*1</f>
        <v>10.6</v>
      </c>
      <c r="K1445" s="7" t="s">
        <v>618</v>
      </c>
    </row>
    <row r="1446" customFormat="false" ht="17.15" hidden="false" customHeight="false" outlineLevel="0" collapsed="false">
      <c r="A1446" s="3" t="s">
        <v>619</v>
      </c>
      <c r="B1446" s="3" t="s">
        <v>33</v>
      </c>
      <c r="D1446" s="21" t="n">
        <f aca="false">(u_amd_26+u_tpu_26+u_trn_26+u_oth_26)*1</f>
        <v>7.6</v>
      </c>
      <c r="E1446" s="21" t="n">
        <f aca="false">(u_amd_27+u_tpu_27+u_trn_27+u_oth_27)*1*1</f>
        <v>14</v>
      </c>
      <c r="F1446" s="21" t="n">
        <f aca="false">(u_amd_28+u_tpu_28+u_trn_28+u_oth_28)*um28_A*1</f>
        <v>17</v>
      </c>
      <c r="G1446" s="21" t="n">
        <f aca="false">(u_amd_28*(1+g29_amd)+u_tpu_28*(1+g29_tpu)+u_trn_28*(1+g29_trn)+u_oth_28*(1+g29_oth))*um29_A*1</f>
        <v>19.55</v>
      </c>
      <c r="K1446" s="7" t="s">
        <v>620</v>
      </c>
    </row>
    <row r="1447" customFormat="false" ht="17.15" hidden="false" customHeight="false" outlineLevel="0" collapsed="false">
      <c r="A1447" s="3" t="s">
        <v>621</v>
      </c>
      <c r="B1447" s="0" t="s">
        <v>145</v>
      </c>
      <c r="D1447" s="19" t="n">
        <f aca="false">1</f>
        <v>1</v>
      </c>
      <c r="E1447" s="19" t="n">
        <f aca="false">D1447*(1+g_asp)</f>
        <v>1.18</v>
      </c>
      <c r="F1447" s="19" t="n">
        <f aca="false">E1447*(1+g_asp)</f>
        <v>1.3924</v>
      </c>
      <c r="G1447" s="19" t="n">
        <f aca="false">F1447*(1+g_asp)</f>
        <v>1.643032</v>
      </c>
      <c r="K1447" s="7" t="s">
        <v>622</v>
      </c>
    </row>
    <row r="1448" customFormat="false" ht="17.15" hidden="false" customHeight="false" outlineLevel="0" collapsed="false">
      <c r="A1448" s="0" t="s">
        <v>623</v>
      </c>
      <c r="B1448" s="0" t="s">
        <v>145</v>
      </c>
      <c r="D1448" s="18" t="n">
        <f aca="false">1</f>
        <v>1</v>
      </c>
      <c r="E1448" s="18" t="n">
        <f aca="false">ibpp_27</f>
        <v>1</v>
      </c>
      <c r="F1448" s="18" t="n">
        <f aca="false">ibpp_28</f>
        <v>0.95</v>
      </c>
      <c r="G1448" s="18" t="n">
        <f aca="false">ibpp_29</f>
        <v>0.9</v>
      </c>
      <c r="K1448" s="7" t="s">
        <v>624</v>
      </c>
    </row>
    <row r="1449" customFormat="false" ht="17.15" hidden="false" customHeight="false" outlineLevel="0" collapsed="false">
      <c r="A1449" s="3" t="s">
        <v>625</v>
      </c>
      <c r="B1449" s="0" t="s">
        <v>145</v>
      </c>
      <c r="D1449" s="18" t="n">
        <f aca="false">1</f>
        <v>1</v>
      </c>
      <c r="E1449" s="18" t="n">
        <f aca="false">1+carry</f>
        <v>1.05</v>
      </c>
      <c r="F1449" s="18" t="n">
        <f aca="false">1+carry</f>
        <v>1.05</v>
      </c>
      <c r="G1449" s="18" t="n">
        <f aca="false">1+carry</f>
        <v>1.05</v>
      </c>
      <c r="K1449" s="7" t="s">
        <v>626</v>
      </c>
    </row>
    <row r="1450" customFormat="false" ht="17.15" hidden="false" customHeight="false" outlineLevel="0" collapsed="false">
      <c r="A1450" s="3" t="s">
        <v>627</v>
      </c>
      <c r="B1450" s="0" t="s">
        <v>628</v>
      </c>
      <c r="D1450" s="23" t="n">
        <f aca="false">v26*D1447*D1448</f>
        <v>215.308596</v>
      </c>
      <c r="E1450" s="23" t="n">
        <f aca="false">v26*E1447*E1448</f>
        <v>254.06414328</v>
      </c>
      <c r="F1450" s="23" t="n">
        <f aca="false">v26*F1447*F1448</f>
        <v>284.80590461688</v>
      </c>
      <c r="G1450" s="23" t="n">
        <f aca="false">v26*G1447*G1448</f>
        <v>318.383021792765</v>
      </c>
      <c r="K1450" s="7" t="s">
        <v>629</v>
      </c>
    </row>
    <row r="1451" customFormat="false" ht="17.15" hidden="false" customHeight="false" outlineLevel="0" collapsed="false">
      <c r="A1451" s="3" t="s">
        <v>630</v>
      </c>
      <c r="B1451" s="0" t="s">
        <v>45</v>
      </c>
      <c r="D1451" s="20" t="n">
        <f aca="false">sh_nv_26</f>
        <v>0.25</v>
      </c>
      <c r="E1451" s="20" t="n">
        <f aca="false">sh_nv_27</f>
        <v>0.27</v>
      </c>
      <c r="F1451" s="20" t="n">
        <f aca="false">sh_nv_28</f>
        <v>0.29</v>
      </c>
      <c r="G1451" s="20" t="n">
        <f aca="false">sh_nv_29</f>
        <v>0.3</v>
      </c>
    </row>
    <row r="1452" customFormat="false" ht="17.15" hidden="false" customHeight="false" outlineLevel="0" collapsed="false">
      <c r="A1452" s="3" t="s">
        <v>631</v>
      </c>
      <c r="B1452" s="0" t="s">
        <v>45</v>
      </c>
      <c r="D1452" s="20" t="n">
        <f aca="false">sh_ot_26</f>
        <v>0.3</v>
      </c>
      <c r="E1452" s="20" t="n">
        <f aca="false">sh_ot_27</f>
        <v>0.31</v>
      </c>
      <c r="F1452" s="20" t="n">
        <f aca="false">sh_ot_28</f>
        <v>0.32</v>
      </c>
      <c r="G1452" s="20" t="n">
        <f aca="false">sh_ot_29</f>
        <v>0.33</v>
      </c>
    </row>
    <row r="1453" customFormat="false" ht="17.15" hidden="false" customHeight="false" outlineLevel="0" collapsed="false">
      <c r="A1453" s="3" t="s">
        <v>632</v>
      </c>
      <c r="B1453" s="0" t="s">
        <v>582</v>
      </c>
      <c r="D1453" s="22" t="n">
        <f aca="false">(D1445*D1450*D1451+D1446*D1450*v_ot*D1452)*D1449</f>
        <v>801.809211504</v>
      </c>
      <c r="E1453" s="22" t="n">
        <f aca="false">(E1445*E1450*E1451+E1446*E1450*v_ot*E1452)*E1449</f>
        <v>1624.8799315544</v>
      </c>
      <c r="F1453" s="22" t="n">
        <f aca="false">(F1445*F1450*F1451+F1446*F1450*v_ot*F1452)*F1449</f>
        <v>2125.32134231777</v>
      </c>
      <c r="G1453" s="22" t="n">
        <f aca="false">(G1445*G1450*G1451+G1446*G1450*v_ot*G1452)*G1449</f>
        <v>2788.4812844467</v>
      </c>
    </row>
    <row r="1454" customFormat="false" ht="15" hidden="false" customHeight="false" outlineLevel="0" collapsed="false">
      <c r="A1454" s="3" t="s">
        <v>633</v>
      </c>
      <c r="B1454" s="0" t="s">
        <v>303</v>
      </c>
      <c r="D1454" s="21" t="n">
        <f aca="false">D1453*fx/1000</f>
        <v>25.657894768128</v>
      </c>
      <c r="E1454" s="21" t="n">
        <f aca="false">E1453*fx/1000</f>
        <v>51.9961578097409</v>
      </c>
      <c r="F1454" s="21" t="n">
        <f aca="false">F1453*fx/1000</f>
        <v>68.0102829541688</v>
      </c>
      <c r="G1454" s="21" t="n">
        <f aca="false">G1453*fx/1000</f>
        <v>89.2314011022944</v>
      </c>
    </row>
    <row r="1455" customFormat="false" ht="17.15" hidden="false" customHeight="false" outlineLevel="0" collapsed="false">
      <c r="A1455" s="5" t="s">
        <v>634</v>
      </c>
    </row>
    <row r="1456" customFormat="false" ht="17.15" hidden="false" customHeight="false" outlineLevel="0" collapsed="false">
      <c r="A1456" s="0" t="s">
        <v>635</v>
      </c>
      <c r="B1456" s="0" t="s">
        <v>303</v>
      </c>
      <c r="D1456" s="21" t="n">
        <f aca="false">a26_abf*ai_abf</f>
        <v>74.83672875</v>
      </c>
      <c r="K1456" s="3" t="s">
        <v>636</v>
      </c>
    </row>
    <row r="1457" customFormat="false" ht="17.15" hidden="false" customHeight="false" outlineLevel="0" collapsed="false">
      <c r="A1457" s="3" t="s">
        <v>637</v>
      </c>
      <c r="B1457" s="0" t="s">
        <v>303</v>
      </c>
      <c r="D1457" s="21" t="n">
        <f aca="false">D1456-D1454</f>
        <v>49.178833981872</v>
      </c>
      <c r="E1457" s="21" t="n">
        <f aca="false">$D1457*(itc_27/itc_26)^el_o*1*1*E1448*E1449</f>
        <v>73.0642903440322</v>
      </c>
      <c r="F1457" s="21" t="n">
        <f aca="false">$D1457*(itc_28/itc_26)^el_o*um28_A*1*F1448*F1449</f>
        <v>78.1488805595188</v>
      </c>
      <c r="G1457" s="21" t="n">
        <f aca="false">$D1457*(itc_29/itc_26)^el_o*um29_A*1*G1448*G1449</f>
        <v>79.0193888474949</v>
      </c>
      <c r="K1457" s="7" t="s">
        <v>638</v>
      </c>
    </row>
    <row r="1458" customFormat="false" ht="17.15" hidden="false" customHeight="false" outlineLevel="0" collapsed="false">
      <c r="A1458" s="3" t="s">
        <v>639</v>
      </c>
      <c r="B1458" s="0" t="s">
        <v>303</v>
      </c>
      <c r="D1458" s="21" t="n">
        <f aca="false">a26_abf-D1456</f>
        <v>24.94557625</v>
      </c>
      <c r="E1458" s="21" t="n">
        <f aca="false">D1458*(1+g_nai)</f>
        <v>25.6939435375</v>
      </c>
      <c r="F1458" s="21" t="n">
        <f aca="false">E1458*(1+g_nai)</f>
        <v>26.464761843625</v>
      </c>
      <c r="G1458" s="21" t="n">
        <f aca="false">F1458*(1+g_nai)</f>
        <v>27.2587046989338</v>
      </c>
    </row>
    <row r="1459" customFormat="false" ht="17.15" hidden="false" customHeight="false" outlineLevel="0" collapsed="false">
      <c r="A1459" s="0" t="s">
        <v>640</v>
      </c>
      <c r="B1459" s="0" t="s">
        <v>303</v>
      </c>
      <c r="D1459" s="21" t="n">
        <f aca="false">D1454+D1457+D1458</f>
        <v>99.782305</v>
      </c>
      <c r="E1459" s="21" t="n">
        <f aca="false">E1454+E1457+E1458</f>
        <v>150.754391691273</v>
      </c>
      <c r="F1459" s="21" t="n">
        <f aca="false">F1454+F1457+F1458</f>
        <v>172.623925357313</v>
      </c>
      <c r="G1459" s="21" t="n">
        <f aca="false">G1454+G1457+G1458</f>
        <v>195.509494648723</v>
      </c>
    </row>
    <row r="1460" customFormat="false" ht="17.15" hidden="false" customHeight="false" outlineLevel="0" collapsed="false">
      <c r="A1460" s="0" t="s">
        <v>641</v>
      </c>
      <c r="B1460" s="0" t="s">
        <v>303</v>
      </c>
      <c r="D1460" s="21" t="n">
        <f aca="false">a26_abf</f>
        <v>99.782305</v>
      </c>
      <c r="E1460" s="21" t="n">
        <f aca="false">$D1459*cap_27*(1+g_mix)^1*E1448*E1449</f>
        <v>148.513488204375</v>
      </c>
      <c r="F1460" s="21" t="n">
        <f aca="false">$D1459*cap_28*(1+g_mix)^2*F1448*F1449</f>
        <v>186.549442683384</v>
      </c>
      <c r="G1460" s="21" t="n">
        <f aca="false">$D1459*cap_29*(1+g_mix)^3*G1448*G1449</f>
        <v>218.314827660431</v>
      </c>
      <c r="K1460" s="7" t="s">
        <v>642</v>
      </c>
    </row>
    <row r="1461" customFormat="false" ht="17.15" hidden="false" customHeight="false" outlineLevel="0" collapsed="false">
      <c r="A1461" s="0" t="s">
        <v>643</v>
      </c>
      <c r="B1461" s="0" t="s">
        <v>303</v>
      </c>
      <c r="D1461" s="21" t="n">
        <f aca="false">a26_abf</f>
        <v>99.782305</v>
      </c>
      <c r="E1461" s="21" t="n">
        <f aca="false">MIN(E1459,E1460)</f>
        <v>148.513488204375</v>
      </c>
      <c r="F1461" s="21" t="n">
        <f aca="false">MIN(F1459,F1460)</f>
        <v>172.623925357313</v>
      </c>
      <c r="G1461" s="21" t="n">
        <f aca="false">MIN(G1459,G1460)</f>
        <v>195.509494648723</v>
      </c>
    </row>
    <row r="1462" customFormat="false" ht="17.15" hidden="false" customHeight="false" outlineLevel="0" collapsed="false">
      <c r="A1462" s="3" t="s">
        <v>644</v>
      </c>
      <c r="B1462" s="0" t="s">
        <v>45</v>
      </c>
      <c r="D1462" s="20" t="n">
        <f aca="false">D1461/D1459</f>
        <v>1</v>
      </c>
      <c r="E1462" s="20" t="n">
        <f aca="false">E1461/E1459</f>
        <v>0.985135401617438</v>
      </c>
      <c r="F1462" s="20" t="n">
        <f aca="false">F1461/F1459</f>
        <v>1</v>
      </c>
      <c r="G1462" s="20" t="n">
        <f aca="false">G1461/G1459</f>
        <v>1</v>
      </c>
    </row>
    <row r="1463" customFormat="false" ht="17.15" hidden="false" customHeight="false" outlineLevel="0" collapsed="false">
      <c r="A1463" s="0" t="s">
        <v>645</v>
      </c>
      <c r="B1463" s="0" t="s">
        <v>303</v>
      </c>
      <c r="D1463" s="21" t="n">
        <f aca="false">(D1454+D1457)*D1462</f>
        <v>74.83672875</v>
      </c>
      <c r="E1463" s="21" t="n">
        <f aca="false">(E1454+E1457)*E1462</f>
        <v>123.201474818424</v>
      </c>
      <c r="F1463" s="21" t="n">
        <f aca="false">(F1454+F1457)*F1462</f>
        <v>146.159163513688</v>
      </c>
      <c r="G1463" s="21" t="n">
        <f aca="false">(G1454+G1457)*G1462</f>
        <v>168.250789949789</v>
      </c>
    </row>
    <row r="1464" customFormat="false" ht="17.15" hidden="false" customHeight="false" outlineLevel="0" collapsed="false">
      <c r="A1464" s="3" t="s">
        <v>646</v>
      </c>
      <c r="B1464" s="0" t="s">
        <v>45</v>
      </c>
      <c r="D1464" s="20" t="n">
        <f aca="false">D1454/(D1454+D1457)</f>
        <v>0.342851634440636</v>
      </c>
      <c r="E1464" s="20" t="n">
        <f aca="false">E1454/(E1454+E1457)</f>
        <v>0.41576820311572</v>
      </c>
      <c r="F1464" s="20" t="n">
        <f aca="false">F1454/(F1454+F1457)</f>
        <v>0.465316585831443</v>
      </c>
      <c r="G1464" s="20" t="n">
        <f aca="false">G1454/(G1454+G1457)</f>
        <v>0.530347590813235</v>
      </c>
    </row>
    <row r="1465" customFormat="false" ht="17.15" hidden="false" customHeight="false" outlineLevel="0" collapsed="false">
      <c r="A1465" s="5" t="s">
        <v>647</v>
      </c>
    </row>
    <row r="1466" customFormat="false" ht="17.15" hidden="false" customHeight="false" outlineLevel="0" collapsed="false">
      <c r="A1466" s="0" t="s">
        <v>550</v>
      </c>
      <c r="B1466" s="0" t="s">
        <v>303</v>
      </c>
      <c r="D1466" s="21" t="n">
        <f aca="false">a26_bt</f>
        <v>16.944165</v>
      </c>
      <c r="E1466" s="21" t="n">
        <f aca="false">D1466*(1+g_bt)</f>
        <v>17.79137325</v>
      </c>
      <c r="F1466" s="21" t="n">
        <f aca="false">E1466*(1+g_bt)</f>
        <v>18.6809419125</v>
      </c>
      <c r="G1466" s="21" t="n">
        <f aca="false">F1466*(1+g_bt)</f>
        <v>19.614989008125</v>
      </c>
    </row>
    <row r="1467" customFormat="false" ht="17.15" hidden="false" customHeight="false" outlineLevel="0" collapsed="false">
      <c r="A1467" s="0" t="s">
        <v>648</v>
      </c>
      <c r="B1467" s="0" t="s">
        <v>303</v>
      </c>
      <c r="D1467" s="21" t="n">
        <f aca="false">a26_pcb*ai_pcb</f>
        <v>37.93610275</v>
      </c>
      <c r="E1467" s="21" t="n">
        <f aca="false">D1467*(1+g_pai_27)</f>
        <v>45.5233233</v>
      </c>
      <c r="F1467" s="21" t="n">
        <f aca="false">D1467*(1+g_pai_27)*(1+g_pai_28)*um28_A</f>
        <v>52.351821795</v>
      </c>
      <c r="G1467" s="21" t="n">
        <f aca="false">D1467*(1+g_pai_27)*(1+g_pai_28)*(1+g_pai_29)*um29_A</f>
        <v>57.5870039745</v>
      </c>
      <c r="K1467" s="3" t="s">
        <v>649</v>
      </c>
    </row>
    <row r="1468" customFormat="false" ht="17.15" hidden="false" customHeight="false" outlineLevel="0" collapsed="false">
      <c r="A1468" s="3" t="s">
        <v>650</v>
      </c>
      <c r="B1468" s="0" t="s">
        <v>303</v>
      </c>
      <c r="D1468" s="21" t="n">
        <f aca="false">a26_pcb*(1-ai_pcb)</f>
        <v>20.42713225</v>
      </c>
      <c r="E1468" s="21" t="n">
        <f aca="false">D1468*(1+g_pcbn)</f>
        <v>20.835674895</v>
      </c>
      <c r="F1468" s="21" t="n">
        <f aca="false">E1468*(1+g_pcbn)</f>
        <v>21.2523883929</v>
      </c>
      <c r="G1468" s="21" t="n">
        <f aca="false">F1468*(1+g_pcbn)</f>
        <v>21.677436160758</v>
      </c>
    </row>
    <row r="1469" customFormat="false" ht="15" hidden="false" customHeight="false" outlineLevel="0" collapsed="false">
      <c r="A1469" s="3" t="s">
        <v>552</v>
      </c>
      <c r="B1469" s="0" t="s">
        <v>303</v>
      </c>
      <c r="D1469" s="21" t="n">
        <f aca="false">a26_fpc</f>
        <v>13.178795</v>
      </c>
      <c r="E1469" s="21" t="n">
        <f aca="false">D1469*(1+g_fpc)</f>
        <v>13.178795</v>
      </c>
      <c r="F1469" s="21" t="n">
        <f aca="false">E1469*(1+g_fpc)</f>
        <v>13.178795</v>
      </c>
      <c r="G1469" s="21" t="n">
        <f aca="false">F1469*(1+g_fpc)</f>
        <v>13.178795</v>
      </c>
    </row>
    <row r="1470" customFormat="false" ht="17.15" hidden="false" customHeight="false" outlineLevel="0" collapsed="false">
      <c r="A1470" s="3" t="s">
        <v>651</v>
      </c>
      <c r="B1470" s="0" t="s">
        <v>303</v>
      </c>
      <c r="D1470" s="21" t="n">
        <f aca="false">D1461+D1466</f>
        <v>116.72647</v>
      </c>
      <c r="E1470" s="21" t="n">
        <f aca="false">E1461+E1466</f>
        <v>166.304861454375</v>
      </c>
      <c r="F1470" s="21" t="n">
        <f aca="false">F1461+F1466</f>
        <v>191.304867269813</v>
      </c>
      <c r="G1470" s="21" t="n">
        <f aca="false">G1461+G1466</f>
        <v>215.124483656848</v>
      </c>
      <c r="K1470" s="3" t="s">
        <v>652</v>
      </c>
    </row>
    <row r="1471" customFormat="false" ht="17.15" hidden="false" customHeight="false" outlineLevel="0" collapsed="false">
      <c r="A1471" s="0" t="s">
        <v>653</v>
      </c>
      <c r="B1471" s="0" t="s">
        <v>303</v>
      </c>
      <c r="D1471" s="21" t="n">
        <f aca="false">D1467+D1468</f>
        <v>58.363235</v>
      </c>
      <c r="E1471" s="21" t="n">
        <f aca="false">E1467+E1468</f>
        <v>66.358998195</v>
      </c>
      <c r="F1471" s="21" t="n">
        <f aca="false">F1467+F1468</f>
        <v>73.6042101879</v>
      </c>
      <c r="G1471" s="21" t="n">
        <f aca="false">G1467+G1468</f>
        <v>79.264440135258</v>
      </c>
      <c r="K1471" s="3" t="s">
        <v>654</v>
      </c>
    </row>
    <row r="1472" customFormat="false" ht="17.15" hidden="false" customHeight="false" outlineLevel="0" collapsed="false">
      <c r="A1472" s="3" t="s">
        <v>515</v>
      </c>
      <c r="B1472" s="0" t="s">
        <v>303</v>
      </c>
      <c r="C1472" s="23" t="n">
        <f aca="false">a25_rev</f>
        <v>131.241</v>
      </c>
      <c r="D1472" s="23" t="n">
        <f aca="false">D1470+D1471+D1469</f>
        <v>188.2685</v>
      </c>
      <c r="E1472" s="23" t="n">
        <f aca="false">E1470+E1471+E1469</f>
        <v>245.842654649375</v>
      </c>
      <c r="F1472" s="23" t="n">
        <f aca="false">F1470+F1471+F1469</f>
        <v>278.087872457713</v>
      </c>
      <c r="G1472" s="23" t="n">
        <f aca="false">G1470+G1471+G1469</f>
        <v>307.567718792106</v>
      </c>
      <c r="H1472" s="25" t="n">
        <f aca="false">G1472*(1+H1474)</f>
        <v>335.455725464882</v>
      </c>
      <c r="I1472" s="25" t="n">
        <f aca="false">H1472*(1+I1474)</f>
        <v>360.727741503264</v>
      </c>
      <c r="J1472" s="25" t="n">
        <f aca="false">I1472*(1+J1474)</f>
        <v>382.371405993459</v>
      </c>
      <c r="K1472" s="7" t="s">
        <v>655</v>
      </c>
    </row>
    <row r="1473" customFormat="false" ht="17.15" hidden="false" customHeight="false" outlineLevel="0" collapsed="false">
      <c r="A1473" s="3" t="s">
        <v>656</v>
      </c>
      <c r="B1473" s="0" t="s">
        <v>303</v>
      </c>
      <c r="D1473" s="19" t="n">
        <f aca="false">D1470+D1471+D1469-D1472</f>
        <v>0</v>
      </c>
      <c r="E1473" s="19" t="n">
        <f aca="false">E1470+E1471+E1469-E1472</f>
        <v>0</v>
      </c>
      <c r="F1473" s="19" t="n">
        <f aca="false">F1470+F1471+F1469-F1472</f>
        <v>0</v>
      </c>
      <c r="G1473" s="19" t="n">
        <f aca="false">G1470+G1471+G1469-G1472</f>
        <v>0</v>
      </c>
    </row>
    <row r="1474" customFormat="false" ht="15" hidden="false" customHeight="false" outlineLevel="0" collapsed="false">
      <c r="A1474" s="3" t="s">
        <v>657</v>
      </c>
      <c r="B1474" s="0" t="s">
        <v>45</v>
      </c>
      <c r="D1474" s="20" t="n">
        <f aca="false">D1472/C1472-1</f>
        <v>0.434525034097576</v>
      </c>
      <c r="E1474" s="20" t="n">
        <f aca="false">E1472/D1472-1</f>
        <v>0.30580875</v>
      </c>
      <c r="F1474" s="20" t="n">
        <f aca="false">F1472/E1472-1</f>
        <v>0.131162014396266</v>
      </c>
      <c r="G1474" s="20" t="n">
        <f aca="false">G1472/F1472-1</f>
        <v>0.106009104510217</v>
      </c>
      <c r="H1474" s="26" t="n">
        <f aca="false">$G1474+(fade_gA-$G1474)*1/3</f>
        <v>0.0906727363401445</v>
      </c>
      <c r="I1474" s="26" t="n">
        <f aca="false">$G1474+(fade_gA-$G1474)*2/3</f>
        <v>0.0753363681700722</v>
      </c>
      <c r="J1474" s="26" t="n">
        <f aca="false">$G1474+(fade_gA-$G1474)*3/3</f>
        <v>0.06</v>
      </c>
    </row>
    <row r="1475" customFormat="false" ht="17.15" hidden="false" customHeight="false" outlineLevel="0" collapsed="false">
      <c r="A1475" s="0" t="s">
        <v>658</v>
      </c>
      <c r="B1475" s="0" t="s">
        <v>45</v>
      </c>
      <c r="D1475" s="20" t="n">
        <f aca="false">D1461/D1472</f>
        <v>0.53</v>
      </c>
      <c r="E1475" s="20" t="n">
        <f aca="false">E1461/E1472</f>
        <v>0.604099758100105</v>
      </c>
      <c r="F1475" s="20" t="n">
        <f aca="false">F1461/F1472</f>
        <v>0.620753159178355</v>
      </c>
      <c r="G1475" s="20" t="n">
        <f aca="false">G1461/G1472</f>
        <v>0.635663246508889</v>
      </c>
    </row>
    <row r="1476" customFormat="false" ht="17.15" hidden="false" customHeight="false" outlineLevel="0" collapsed="false">
      <c r="A1476" s="0" t="s">
        <v>659</v>
      </c>
      <c r="B1476" s="0" t="s">
        <v>45</v>
      </c>
      <c r="D1476" s="20" t="n">
        <f aca="false">(D1463+D1467)/D1472</f>
        <v>0.599</v>
      </c>
      <c r="E1476" s="20" t="n">
        <f aca="false">(E1463+E1467)/E1472</f>
        <v>0.686312138790815</v>
      </c>
      <c r="F1476" s="20" t="n">
        <f aca="false">(F1463+F1467)/F1472</f>
        <v>0.713842655396179</v>
      </c>
      <c r="G1476" s="20" t="n">
        <f aca="false">(G1463+G1467)/G1472</f>
        <v>0.734270146461436</v>
      </c>
      <c r="K1476" s="3" t="s">
        <v>660</v>
      </c>
    </row>
    <row r="1477" customFormat="false" ht="17.15" hidden="false" customHeight="false" outlineLevel="0" collapsed="false">
      <c r="A1477" s="5" t="s">
        <v>661</v>
      </c>
    </row>
    <row r="1478" customFormat="false" ht="15" hidden="false" customHeight="false" outlineLevel="0" collapsed="false">
      <c r="A1478" s="3" t="s">
        <v>662</v>
      </c>
      <c r="B1478" s="0" t="s">
        <v>303</v>
      </c>
      <c r="C1478" s="23" t="n">
        <f aca="false">a25_cx</f>
        <v>25.617</v>
      </c>
      <c r="D1478" s="23" t="n">
        <f aca="false">capex26</f>
        <v>53.7</v>
      </c>
      <c r="E1478" s="23" t="n">
        <f aca="false">cx27_A</f>
        <v>55</v>
      </c>
      <c r="F1478" s="23" t="n">
        <f aca="false">cx28_A</f>
        <v>50</v>
      </c>
      <c r="G1478" s="23" t="n">
        <f aca="false">cx29_A</f>
        <v>45</v>
      </c>
      <c r="H1478" s="25" t="n">
        <f aca="false">H1472*H1495</f>
        <v>46.0491114644872</v>
      </c>
      <c r="I1478" s="25" t="n">
        <f aca="false">I1472*I1495</f>
        <v>46.2587658972454</v>
      </c>
      <c r="J1478" s="25" t="n">
        <f aca="false">J1472*J1495</f>
        <v>45.5792023656988</v>
      </c>
    </row>
    <row r="1479" customFormat="false" ht="17.15" hidden="false" customHeight="false" outlineLevel="0" collapsed="false">
      <c r="A1479" s="3" t="s">
        <v>663</v>
      </c>
      <c r="B1479" s="0" t="s">
        <v>303</v>
      </c>
      <c r="C1479" s="23" t="n">
        <f aca="false">a25_da</f>
        <v>18.8</v>
      </c>
      <c r="D1479" s="23" t="n">
        <f aca="false">da26</f>
        <v>20.8</v>
      </c>
      <c r="E1479" s="23" t="n">
        <f aca="false">D1479*(1-1/life)+D1478/life</f>
        <v>24.9125</v>
      </c>
      <c r="F1479" s="23" t="n">
        <f aca="false">E1479*(1-1/life)+E1478/life</f>
        <v>28.6734375</v>
      </c>
      <c r="G1479" s="23" t="n">
        <f aca="false">F1479*(1-1/life)+F1478/life</f>
        <v>31.3392578125</v>
      </c>
      <c r="H1479" s="25" t="n">
        <f aca="false">H1472*H1480</f>
        <v>34.1808740732286</v>
      </c>
      <c r="I1479" s="25" t="n">
        <f aca="false">I1472*I1480</f>
        <v>36.7559369867843</v>
      </c>
      <c r="J1479" s="25" t="n">
        <f aca="false">J1472*J1480</f>
        <v>38.9612932059913</v>
      </c>
      <c r="K1479" s="3" t="s">
        <v>664</v>
      </c>
    </row>
    <row r="1480" customFormat="false" ht="17.15" hidden="false" customHeight="false" outlineLevel="0" collapsed="false">
      <c r="A1480" s="3" t="s">
        <v>665</v>
      </c>
      <c r="B1480" s="0" t="s">
        <v>45</v>
      </c>
      <c r="C1480" s="20" t="n">
        <f aca="false">C1479/C1472</f>
        <v>0.143247917952469</v>
      </c>
      <c r="D1480" s="20" t="n">
        <f aca="false">D1479/D1472</f>
        <v>0.110480510547436</v>
      </c>
      <c r="E1480" s="20" t="n">
        <f aca="false">E1479/E1472</f>
        <v>0.101335140704247</v>
      </c>
      <c r="F1480" s="20" t="n">
        <f aca="false">F1479/F1472</f>
        <v>0.103109269910216</v>
      </c>
      <c r="G1480" s="20" t="n">
        <f aca="false">G1479/G1472</f>
        <v>0.101893846127861</v>
      </c>
      <c r="H1480" s="26" t="n">
        <f aca="false">$G1480</f>
        <v>0.101893846127861</v>
      </c>
      <c r="I1480" s="26" t="n">
        <f aca="false">$G1480</f>
        <v>0.101893846127861</v>
      </c>
      <c r="J1480" s="26" t="n">
        <f aca="false">$G1480</f>
        <v>0.101893846127861</v>
      </c>
    </row>
    <row r="1481" customFormat="false" ht="17.15" hidden="false" customHeight="false" outlineLevel="0" collapsed="false">
      <c r="A1481" s="3" t="s">
        <v>666</v>
      </c>
      <c r="B1481" s="0" t="s">
        <v>303</v>
      </c>
      <c r="E1481" s="21" t="n">
        <f aca="false">E1463*(1-1/(E1448*E1449))</f>
        <v>5.86673689611544</v>
      </c>
      <c r="F1481" s="21" t="n">
        <f aca="false">F1463*(1-1/(F1448*F1449))</f>
        <v>-0.366313693016785</v>
      </c>
      <c r="G1481" s="21" t="n">
        <f aca="false">G1463*(1-1/(G1448*G1449))</f>
        <v>-9.7923740182417</v>
      </c>
      <c r="K1481" s="7" t="s">
        <v>667</v>
      </c>
    </row>
    <row r="1482" customFormat="false" ht="17.15" hidden="false" customHeight="false" outlineLevel="0" collapsed="false">
      <c r="A1482" s="3" t="s">
        <v>668</v>
      </c>
      <c r="B1482" s="0" t="s">
        <v>303</v>
      </c>
      <c r="C1482" s="21" t="n">
        <f aca="false">a25_gp</f>
        <v>18.292</v>
      </c>
      <c r="D1482" s="21" t="n">
        <f aca="false">a26_gp</f>
        <v>47.3329657</v>
      </c>
      <c r="E1482" s="21" t="n">
        <f aca="false">$D1482+ft_abf*(E1461-E1481-$D1461)+ft_oth*((E1472-E1461)-($D1472-$D1461))+E1481-(E1479-$D1479)</f>
        <v>72.7301686114952</v>
      </c>
      <c r="F1482" s="21" t="n">
        <f aca="false">$D1482+ft_abf*(F1461-F1481-$D1461)+ft_oth*((F1472-F1461)-($D1472-$D1461))+F1481-(F1479-$D1479)</f>
        <v>79.9416195572479</v>
      </c>
      <c r="G1482" s="21" t="n">
        <f aca="false">$D1482+ft_abf*(G1461-G1481-$D1461)+ft_oth*((G1472-G1461)-($D1472-$D1461))+G1481-(G1479-$D1479)</f>
        <v>85.6541229885864</v>
      </c>
      <c r="K1482" s="3" t="s">
        <v>669</v>
      </c>
    </row>
    <row r="1483" customFormat="false" ht="15" hidden="false" customHeight="false" outlineLevel="0" collapsed="false">
      <c r="A1483" s="3" t="s">
        <v>522</v>
      </c>
      <c r="B1483" s="0" t="s">
        <v>45</v>
      </c>
      <c r="C1483" s="13" t="n">
        <f aca="false">C1482/C1472</f>
        <v>0.139377176339711</v>
      </c>
      <c r="D1483" s="13" t="n">
        <f aca="false">D1482/D1472</f>
        <v>0.251412029627899</v>
      </c>
      <c r="E1483" s="13" t="n">
        <f aca="false">E1482/E1472</f>
        <v>0.295840315893205</v>
      </c>
      <c r="F1483" s="13" t="n">
        <f aca="false">F1482/F1472</f>
        <v>0.287468917111458</v>
      </c>
      <c r="G1483" s="13" t="n">
        <f aca="false">G1482/G1472</f>
        <v>0.278488663650955</v>
      </c>
    </row>
    <row r="1484" customFormat="false" ht="15" hidden="false" customHeight="false" outlineLevel="0" collapsed="false">
      <c r="A1484" s="3" t="s">
        <v>524</v>
      </c>
      <c r="B1484" s="0" t="s">
        <v>303</v>
      </c>
      <c r="C1484" s="21" t="n">
        <f aca="false">a25_opx</f>
        <v>11.618</v>
      </c>
      <c r="D1484" s="21" t="n">
        <f aca="false">a26_opx</f>
        <v>16.6539532</v>
      </c>
      <c r="E1484" s="21" t="n">
        <f aca="false">D1484*(1+phi*E1474)</f>
        <v>19.7097079663903</v>
      </c>
      <c r="F1484" s="21" t="n">
        <f aca="false">E1484*(1+phi*F1474)</f>
        <v>21.2608069664106</v>
      </c>
      <c r="G1484" s="21" t="n">
        <f aca="false">F1484*(1+phi*G1474)</f>
        <v>22.6131104310149</v>
      </c>
    </row>
    <row r="1485" customFormat="false" ht="15" hidden="false" customHeight="false" outlineLevel="0" collapsed="false">
      <c r="A1485" s="3" t="s">
        <v>527</v>
      </c>
      <c r="B1485" s="0" t="s">
        <v>303</v>
      </c>
      <c r="C1485" s="21" t="n">
        <f aca="false">C1482-C1484</f>
        <v>6.674</v>
      </c>
      <c r="D1485" s="21" t="n">
        <f aca="false">D1482-D1484</f>
        <v>30.6790125</v>
      </c>
      <c r="E1485" s="21" t="n">
        <f aca="false">E1482-E1484</f>
        <v>53.0204606451049</v>
      </c>
      <c r="F1485" s="21" t="n">
        <f aca="false">F1482-F1484</f>
        <v>58.6808125908373</v>
      </c>
      <c r="G1485" s="21" t="n">
        <f aca="false">G1482-G1484</f>
        <v>63.0410125575715</v>
      </c>
    </row>
    <row r="1486" customFormat="false" ht="15" hidden="false" customHeight="false" outlineLevel="0" collapsed="false">
      <c r="A1486" s="3" t="s">
        <v>605</v>
      </c>
      <c r="B1486" s="0" t="s">
        <v>45</v>
      </c>
      <c r="C1486" s="13" t="n">
        <f aca="false">C1485/C1472</f>
        <v>0.0508530108731265</v>
      </c>
      <c r="D1486" s="13" t="n">
        <f aca="false">D1485/D1472</f>
        <v>0.162953507888999</v>
      </c>
      <c r="E1486" s="13" t="n">
        <f aca="false">E1485/E1472</f>
        <v>0.215668272540921</v>
      </c>
      <c r="F1486" s="13" t="n">
        <f aca="false">F1485/F1472</f>
        <v>0.211015360260849</v>
      </c>
      <c r="G1486" s="13" t="n">
        <f aca="false">G1485/G1472</f>
        <v>0.204966284514997</v>
      </c>
    </row>
    <row r="1487" customFormat="false" ht="17.15" hidden="false" customHeight="false" outlineLevel="0" collapsed="false">
      <c r="A1487" s="3" t="s">
        <v>670</v>
      </c>
      <c r="B1487" s="0" t="s">
        <v>303</v>
      </c>
      <c r="C1487" s="21" t="n">
        <f aca="false">a25_nonop</f>
        <v>-0.00100000000000033</v>
      </c>
      <c r="D1487" s="21" t="n">
        <f aca="false">a26_nonop</f>
        <v>14.466</v>
      </c>
      <c r="E1487" s="21" t="n">
        <f aca="false">nonop27</f>
        <v>2</v>
      </c>
      <c r="F1487" s="21" t="n">
        <f aca="false">nonop28</f>
        <v>2</v>
      </c>
      <c r="G1487" s="21" t="n">
        <f aca="false">nonop29</f>
        <v>2</v>
      </c>
      <c r="K1487" s="7" t="s">
        <v>671</v>
      </c>
    </row>
    <row r="1488" customFormat="false" ht="15" hidden="false" customHeight="false" outlineLevel="0" collapsed="false">
      <c r="A1488" s="3" t="s">
        <v>533</v>
      </c>
      <c r="B1488" s="0" t="s">
        <v>303</v>
      </c>
      <c r="C1488" s="21" t="n">
        <f aca="false">C1485+C1487</f>
        <v>6.673</v>
      </c>
      <c r="D1488" s="21" t="n">
        <f aca="false">D1485+D1487</f>
        <v>45.1450125</v>
      </c>
      <c r="E1488" s="21" t="n">
        <f aca="false">E1485+E1487</f>
        <v>55.0204606451049</v>
      </c>
      <c r="F1488" s="21" t="n">
        <f aca="false">F1485+F1487</f>
        <v>60.6808125908373</v>
      </c>
      <c r="G1488" s="21" t="n">
        <f aca="false">G1485+G1487</f>
        <v>65.0410125575715</v>
      </c>
    </row>
    <row r="1489" customFormat="false" ht="15" hidden="false" customHeight="false" outlineLevel="0" collapsed="false">
      <c r="A1489" s="3" t="s">
        <v>537</v>
      </c>
      <c r="B1489" s="0" t="s">
        <v>303</v>
      </c>
      <c r="E1489" s="21" t="n">
        <f aca="false">E1488*tax_hi</f>
        <v>12.1045013419231</v>
      </c>
      <c r="F1489" s="21" t="n">
        <f aca="false">F1488*tax_hi</f>
        <v>13.3497787699842</v>
      </c>
      <c r="G1489" s="21" t="n">
        <f aca="false">G1488*tax_hi</f>
        <v>14.3090227626657</v>
      </c>
    </row>
    <row r="1490" customFormat="false" ht="15" hidden="false" customHeight="false" outlineLevel="0" collapsed="false">
      <c r="A1490" s="3" t="s">
        <v>535</v>
      </c>
      <c r="B1490" s="0" t="s">
        <v>303</v>
      </c>
      <c r="C1490" s="21" t="n">
        <f aca="false">a25_ni</f>
        <v>6.673</v>
      </c>
      <c r="D1490" s="21" t="n">
        <f aca="false">a26_ni</f>
        <v>37.23923025</v>
      </c>
      <c r="E1490" s="21" t="n">
        <f aca="false">E1488-E1489</f>
        <v>42.9159593031818</v>
      </c>
      <c r="F1490" s="21" t="n">
        <f aca="false">F1488-F1489</f>
        <v>47.3310338208531</v>
      </c>
      <c r="G1490" s="21" t="n">
        <f aca="false">G1488-G1489</f>
        <v>50.7319897949058</v>
      </c>
      <c r="H1490" s="30" t="n">
        <f aca="false">H1472*H1494</f>
        <v>56.2778442514635</v>
      </c>
      <c r="I1490" s="30" t="n">
        <f aca="false">I1472*I1494</f>
        <v>61.5347153793528</v>
      </c>
      <c r="J1490" s="30" t="n">
        <f aca="false">J1472*J1494</f>
        <v>66.3049271996696</v>
      </c>
    </row>
    <row r="1491" customFormat="false" ht="15" hidden="false" customHeight="false" outlineLevel="0" collapsed="false">
      <c r="A1491" s="3" t="s">
        <v>672</v>
      </c>
      <c r="B1491" s="3" t="s">
        <v>381</v>
      </c>
      <c r="C1491" s="29" t="n">
        <f aca="false">a25_sh</f>
        <v>1.52351598173516</v>
      </c>
      <c r="D1491" s="29" t="n">
        <f aca="false">a26_sh</f>
        <v>1.59236316568047</v>
      </c>
      <c r="E1491" s="29" t="n">
        <f aca="false">a26_shend*(1+sh_g)</f>
        <v>1.64</v>
      </c>
      <c r="F1491" s="29" t="n">
        <f aca="false">E1491*(1+sh_g)</f>
        <v>1.64</v>
      </c>
      <c r="G1491" s="29" t="n">
        <f aca="false">F1491*(1+sh_g)</f>
        <v>1.64</v>
      </c>
      <c r="H1491" s="31" t="n">
        <f aca="false">G1491*(1+sh_g)</f>
        <v>1.64</v>
      </c>
      <c r="I1491" s="31" t="n">
        <f aca="false">H1491*(1+sh_g)</f>
        <v>1.64</v>
      </c>
      <c r="J1491" s="31" t="n">
        <f aca="false">I1491*(1+sh_g)</f>
        <v>1.64</v>
      </c>
    </row>
    <row r="1492" customFormat="false" ht="17.15" hidden="false" customHeight="false" outlineLevel="0" collapsed="false">
      <c r="A1492" s="0" t="s">
        <v>540</v>
      </c>
      <c r="B1492" s="0" t="s">
        <v>387</v>
      </c>
      <c r="C1492" s="18" t="n">
        <f aca="false">C1490/C1491</f>
        <v>4.38</v>
      </c>
      <c r="D1492" s="18" t="n">
        <f aca="false">D1490/D1491</f>
        <v>23.3861414610695</v>
      </c>
      <c r="E1492" s="18" t="n">
        <f aca="false">E1490/E1491</f>
        <v>26.1682678677938</v>
      </c>
      <c r="F1492" s="18" t="n">
        <f aca="false">F1490/F1491</f>
        <v>28.8603864761299</v>
      </c>
      <c r="G1492" s="18" t="n">
        <f aca="false">G1490/G1491</f>
        <v>30.934140118845</v>
      </c>
      <c r="H1492" s="28" t="n">
        <f aca="false">H1490/H1491</f>
        <v>34.3157586899168</v>
      </c>
      <c r="I1492" s="28" t="n">
        <f aca="false">I1490/I1491</f>
        <v>37.5211679142395</v>
      </c>
      <c r="J1492" s="28" t="n">
        <f aca="false">J1490/J1491</f>
        <v>40.4298336583351</v>
      </c>
    </row>
    <row r="1493" customFormat="false" ht="17.15" hidden="false" customHeight="false" outlineLevel="0" collapsed="false">
      <c r="A1493" s="0" t="s">
        <v>673</v>
      </c>
      <c r="B1493" s="0" t="s">
        <v>45</v>
      </c>
      <c r="D1493" s="20" t="n">
        <f aca="false">D1492/C1492-1</f>
        <v>4.33930170344053</v>
      </c>
      <c r="E1493" s="20" t="n">
        <f aca="false">E1492/D1492-1</f>
        <v>0.118964747192505</v>
      </c>
      <c r="F1493" s="20" t="n">
        <f aca="false">F1492/E1492-1</f>
        <v>0.1028772183905</v>
      </c>
      <c r="G1493" s="20" t="n">
        <f aca="false">G1492/F1492-1</f>
        <v>0.0718546733402288</v>
      </c>
      <c r="H1493" s="26" t="n">
        <f aca="false">H1492/G1492-1</f>
        <v>0.109316714739121</v>
      </c>
      <c r="I1493" s="26" t="n">
        <f aca="false">I1492/H1492-1</f>
        <v>0.0934092483073845</v>
      </c>
      <c r="J1493" s="26" t="n">
        <f aca="false">J1492/I1492-1</f>
        <v>0.0775206611570249</v>
      </c>
    </row>
    <row r="1494" customFormat="false" ht="17.15" hidden="false" customHeight="false" outlineLevel="0" collapsed="false">
      <c r="A1494" s="3" t="s">
        <v>674</v>
      </c>
      <c r="B1494" s="0" t="s">
        <v>45</v>
      </c>
      <c r="C1494" s="13" t="n">
        <f aca="false">C1490/C1472</f>
        <v>0.0508453913030227</v>
      </c>
      <c r="D1494" s="13" t="n">
        <f aca="false">D1490/D1472</f>
        <v>0.197798517808343</v>
      </c>
      <c r="E1494" s="13" t="n">
        <f aca="false">E1490/E1472</f>
        <v>0.174566774689239</v>
      </c>
      <c r="F1494" s="13" t="n">
        <f aca="false">F1490/F1472</f>
        <v>0.170201718624211</v>
      </c>
      <c r="G1494" s="13" t="n">
        <f aca="false">G1490/G1472</f>
        <v>0.164945755666891</v>
      </c>
      <c r="H1494" s="27" t="n">
        <f aca="false">$G1494+(fade_mA-$G1494)*1/3</f>
        <v>0.167765341233847</v>
      </c>
      <c r="I1494" s="27" t="n">
        <f aca="false">$G1494+(fade_mA-$G1494)*2/3</f>
        <v>0.170584926800802</v>
      </c>
      <c r="J1494" s="27" t="n">
        <f aca="false">$G1494+(fade_mA-$G1494)*3/3</f>
        <v>0.173404512367757</v>
      </c>
    </row>
    <row r="1495" customFormat="false" ht="17.15" hidden="false" customHeight="false" outlineLevel="0" collapsed="false">
      <c r="A1495" s="3" t="s">
        <v>675</v>
      </c>
      <c r="B1495" s="0" t="s">
        <v>45</v>
      </c>
      <c r="C1495" s="20" t="n">
        <f aca="false">C1478/C1472</f>
        <v>0.195190527350447</v>
      </c>
      <c r="D1495" s="20" t="n">
        <f aca="false">D1478/D1472</f>
        <v>0.285230933480641</v>
      </c>
      <c r="E1495" s="20" t="n">
        <f aca="false">E1478/E1472</f>
        <v>0.223720330706817</v>
      </c>
      <c r="F1495" s="20" t="n">
        <f aca="false">F1478/F1472</f>
        <v>0.179799282716305</v>
      </c>
      <c r="G1495" s="20" t="n">
        <f aca="false">G1478/G1472</f>
        <v>0.146309242649801</v>
      </c>
      <c r="H1495" s="26" t="n">
        <f aca="false">$G1495+($G1480*(1+tp_g)^(life/2)-$G1495)*1/3</f>
        <v>0.137273291134534</v>
      </c>
      <c r="I1495" s="26" t="n">
        <f aca="false">$G1495+($G1480*(1+tp_g)^(life/2)-$G1495)*2/3</f>
        <v>0.128237339619268</v>
      </c>
      <c r="J1495" s="26" t="n">
        <f aca="false">$G1495+($G1480*(1+tp_g)^(life/2)-$G1495)*3/3</f>
        <v>0.119201388104001</v>
      </c>
      <c r="K1495" s="7" t="s">
        <v>676</v>
      </c>
    </row>
    <row r="1496" customFormat="false" ht="15" hidden="false" customHeight="false" outlineLevel="0" collapsed="false">
      <c r="A1496" s="3" t="s">
        <v>677</v>
      </c>
      <c r="B1496" s="0" t="s">
        <v>303</v>
      </c>
      <c r="E1496" s="21" t="n">
        <f aca="false">E1490+E1479-E1478</f>
        <v>12.8284593031818</v>
      </c>
      <c r="F1496" s="21" t="n">
        <f aca="false">F1490+F1479-F1478</f>
        <v>26.0044713208531</v>
      </c>
      <c r="G1496" s="21" t="n">
        <f aca="false">G1490+G1479-G1478</f>
        <v>37.0712476074058</v>
      </c>
      <c r="H1496" s="30" t="n">
        <f aca="false">H1490+H1479-H1478</f>
        <v>44.409606860205</v>
      </c>
      <c r="I1496" s="30" t="n">
        <f aca="false">I1490+I1479-I1478</f>
        <v>52.0318864688917</v>
      </c>
      <c r="J1496" s="30" t="n">
        <f aca="false">J1490+J1479-J1478</f>
        <v>59.6870180399621</v>
      </c>
      <c r="K1496" s="3" t="s">
        <v>678</v>
      </c>
    </row>
    <row r="1497" customFormat="false" ht="15" hidden="false" customHeight="false" outlineLevel="0" collapsed="false">
      <c r="A1497" s="3" t="s">
        <v>679</v>
      </c>
      <c r="B1497" s="0" t="s">
        <v>387</v>
      </c>
      <c r="E1497" s="18" t="n">
        <f aca="false">E1496/E1491</f>
        <v>7.82223128242795</v>
      </c>
      <c r="F1497" s="18" t="n">
        <f aca="false">F1496/F1491</f>
        <v>15.8563849517397</v>
      </c>
      <c r="G1497" s="18" t="n">
        <f aca="false">G1496/G1491</f>
        <v>22.6044192728084</v>
      </c>
      <c r="H1497" s="28" t="n">
        <f aca="false">H1496/H1491</f>
        <v>27.0790285732957</v>
      </c>
      <c r="I1497" s="28" t="n">
        <f aca="false">I1496/I1491</f>
        <v>31.7267600420071</v>
      </c>
      <c r="J1497" s="28" t="n">
        <f aca="false">J1496/J1491</f>
        <v>36.3945231950988</v>
      </c>
    </row>
    <row r="1500" customFormat="false" ht="17.15" hidden="false" customHeight="false" outlineLevel="0" collapsed="false">
      <c r="A1500" s="1" t="s">
        <v>1044</v>
      </c>
    </row>
    <row r="1501" customFormat="false" ht="17.15" hidden="false" customHeight="false" outlineLevel="0" collapsed="false">
      <c r="A1501" s="4" t="s">
        <v>22</v>
      </c>
      <c r="B1501" s="4" t="s">
        <v>23</v>
      </c>
      <c r="C1501" s="14" t="s">
        <v>508</v>
      </c>
      <c r="D1501" s="14" t="s">
        <v>592</v>
      </c>
      <c r="E1501" s="14" t="s">
        <v>593</v>
      </c>
      <c r="F1501" s="14" t="s">
        <v>594</v>
      </c>
      <c r="G1501" s="14" t="s">
        <v>595</v>
      </c>
      <c r="H1501" s="14" t="s">
        <v>596</v>
      </c>
      <c r="I1501" s="14" t="s">
        <v>597</v>
      </c>
      <c r="J1501" s="14" t="s">
        <v>598</v>
      </c>
      <c r="K1501" s="4" t="s">
        <v>481</v>
      </c>
    </row>
    <row r="1502" customFormat="false" ht="17.15" hidden="false" customHeight="false" outlineLevel="0" collapsed="false">
      <c r="A1502" s="5" t="s">
        <v>616</v>
      </c>
    </row>
    <row r="1503" customFormat="false" ht="17.15" hidden="false" customHeight="false" outlineLevel="0" collapsed="false">
      <c r="A1503" s="0" t="s">
        <v>617</v>
      </c>
      <c r="B1503" s="3" t="s">
        <v>33</v>
      </c>
      <c r="D1503" s="21" t="n">
        <f aca="false">(u_bw_26+u_rb_26+u_ru_26+u_hp_26)*1</f>
        <v>7.6</v>
      </c>
      <c r="E1503" s="21" t="n">
        <f aca="false">(u_bw_27+u_rb_27+u_ru_27+u_hp_27)*1*1</f>
        <v>9.7</v>
      </c>
      <c r="F1503" s="21" t="n">
        <f aca="false">(u_bw_28+u_rb_28+u_ru_28+u_hp_28)*um28_A*1</f>
        <v>9.5</v>
      </c>
      <c r="G1503" s="21" t="n">
        <f aca="false">(u_bw_28*(1+g29_bw)+u_rb_28*(1+g29_rb)+u_ru_28*(1+g29_ru)+u_hp_28*(1+g29_hp))*um29_A*1</f>
        <v>10.6</v>
      </c>
      <c r="K1503" s="7" t="s">
        <v>618</v>
      </c>
    </row>
    <row r="1504" customFormat="false" ht="17.15" hidden="false" customHeight="false" outlineLevel="0" collapsed="false">
      <c r="A1504" s="3" t="s">
        <v>619</v>
      </c>
      <c r="B1504" s="3" t="s">
        <v>33</v>
      </c>
      <c r="D1504" s="21" t="n">
        <f aca="false">(u_amd_26+u_tpu_26+u_trn_26+u_oth_26)*1</f>
        <v>7.6</v>
      </c>
      <c r="E1504" s="21" t="n">
        <f aca="false">(u_amd_27+u_tpu_27+u_trn_27+u_oth_27)*1*1</f>
        <v>14</v>
      </c>
      <c r="F1504" s="21" t="n">
        <f aca="false">(u_amd_28+u_tpu_28+u_trn_28+u_oth_28)*um28_A*1</f>
        <v>17</v>
      </c>
      <c r="G1504" s="21" t="n">
        <f aca="false">(u_amd_28*(1+g29_amd)+u_tpu_28*(1+g29_tpu)+u_trn_28*(1+g29_trn)+u_oth_28*(1+g29_oth))*um29_A*1</f>
        <v>19.55</v>
      </c>
      <c r="K1504" s="7" t="s">
        <v>620</v>
      </c>
    </row>
    <row r="1505" customFormat="false" ht="17.15" hidden="false" customHeight="false" outlineLevel="0" collapsed="false">
      <c r="A1505" s="3" t="s">
        <v>621</v>
      </c>
      <c r="B1505" s="0" t="s">
        <v>145</v>
      </c>
      <c r="D1505" s="19" t="n">
        <f aca="false">1</f>
        <v>1</v>
      </c>
      <c r="E1505" s="19" t="n">
        <f aca="false">D1505*(1+g_asp)</f>
        <v>1.18</v>
      </c>
      <c r="F1505" s="19" t="n">
        <f aca="false">E1505*(1+g_asp)</f>
        <v>1.3924</v>
      </c>
      <c r="G1505" s="19" t="n">
        <f aca="false">F1505*(1+g_asp)</f>
        <v>1.643032</v>
      </c>
      <c r="K1505" s="7" t="s">
        <v>622</v>
      </c>
    </row>
    <row r="1506" customFormat="false" ht="17.15" hidden="false" customHeight="false" outlineLevel="0" collapsed="false">
      <c r="A1506" s="0" t="s">
        <v>623</v>
      </c>
      <c r="B1506" s="0" t="s">
        <v>145</v>
      </c>
      <c r="D1506" s="18" t="n">
        <f aca="false">1</f>
        <v>1</v>
      </c>
      <c r="E1506" s="18" t="n">
        <f aca="false">ibpp_27</f>
        <v>1</v>
      </c>
      <c r="F1506" s="18" t="n">
        <f aca="false">ibpp_28</f>
        <v>0.95</v>
      </c>
      <c r="G1506" s="18" t="n">
        <f aca="false">ibpp_29</f>
        <v>0.9</v>
      </c>
      <c r="K1506" s="7" t="s">
        <v>624</v>
      </c>
    </row>
    <row r="1507" customFormat="false" ht="17.15" hidden="false" customHeight="false" outlineLevel="0" collapsed="false">
      <c r="A1507" s="3" t="s">
        <v>625</v>
      </c>
      <c r="B1507" s="0" t="s">
        <v>145</v>
      </c>
      <c r="D1507" s="18" t="n">
        <f aca="false">1</f>
        <v>1</v>
      </c>
      <c r="E1507" s="18" t="n">
        <f aca="false">1+carry</f>
        <v>1.05</v>
      </c>
      <c r="F1507" s="18" t="n">
        <f aca="false">1+carry</f>
        <v>1.05</v>
      </c>
      <c r="G1507" s="18" t="n">
        <f aca="false">1+carry</f>
        <v>1.05</v>
      </c>
      <c r="K1507" s="7" t="s">
        <v>626</v>
      </c>
    </row>
    <row r="1508" customFormat="false" ht="17.15" hidden="false" customHeight="false" outlineLevel="0" collapsed="false">
      <c r="A1508" s="3" t="s">
        <v>627</v>
      </c>
      <c r="B1508" s="0" t="s">
        <v>628</v>
      </c>
      <c r="D1508" s="23" t="n">
        <f aca="false">v26*D1505*D1506</f>
        <v>215.308596</v>
      </c>
      <c r="E1508" s="23" t="n">
        <f aca="false">v26*E1505*E1506</f>
        <v>254.06414328</v>
      </c>
      <c r="F1508" s="23" t="n">
        <f aca="false">v26*F1505*F1506</f>
        <v>284.80590461688</v>
      </c>
      <c r="G1508" s="23" t="n">
        <f aca="false">v26*G1505*G1506</f>
        <v>318.383021792765</v>
      </c>
      <c r="K1508" s="7" t="s">
        <v>629</v>
      </c>
    </row>
    <row r="1509" customFormat="false" ht="17.15" hidden="false" customHeight="false" outlineLevel="0" collapsed="false">
      <c r="A1509" s="3" t="s">
        <v>630</v>
      </c>
      <c r="B1509" s="0" t="s">
        <v>45</v>
      </c>
      <c r="D1509" s="20" t="n">
        <f aca="false">sh_nv_26</f>
        <v>0.25</v>
      </c>
      <c r="E1509" s="20" t="n">
        <f aca="false">sh_nv_27</f>
        <v>0.27</v>
      </c>
      <c r="F1509" s="20" t="n">
        <f aca="false">sh_nv_28</f>
        <v>0.29</v>
      </c>
      <c r="G1509" s="20" t="n">
        <f aca="false">sh_nv_29</f>
        <v>0.3</v>
      </c>
    </row>
    <row r="1510" customFormat="false" ht="17.15" hidden="false" customHeight="false" outlineLevel="0" collapsed="false">
      <c r="A1510" s="3" t="s">
        <v>631</v>
      </c>
      <c r="B1510" s="0" t="s">
        <v>45</v>
      </c>
      <c r="D1510" s="20" t="n">
        <f aca="false">sh_ot_26</f>
        <v>0.3</v>
      </c>
      <c r="E1510" s="20" t="n">
        <f aca="false">sh_ot_27</f>
        <v>0.31</v>
      </c>
      <c r="F1510" s="20" t="n">
        <f aca="false">sh_ot_28</f>
        <v>0.32</v>
      </c>
      <c r="G1510" s="20" t="n">
        <f aca="false">sh_ot_29</f>
        <v>0.33</v>
      </c>
    </row>
    <row r="1511" customFormat="false" ht="17.15" hidden="false" customHeight="false" outlineLevel="0" collapsed="false">
      <c r="A1511" s="3" t="s">
        <v>632</v>
      </c>
      <c r="B1511" s="0" t="s">
        <v>582</v>
      </c>
      <c r="D1511" s="22" t="n">
        <f aca="false">(D1503*D1508*D1509+D1504*D1508*v_ot*D1510)*D1507</f>
        <v>801.809211504</v>
      </c>
      <c r="E1511" s="22" t="n">
        <f aca="false">(E1503*E1508*E1509+E1504*E1508*v_ot*E1510)*E1507</f>
        <v>1624.8799315544</v>
      </c>
      <c r="F1511" s="22" t="n">
        <f aca="false">(F1503*F1508*F1509+F1504*F1508*v_ot*F1510)*F1507</f>
        <v>2125.32134231777</v>
      </c>
      <c r="G1511" s="22" t="n">
        <f aca="false">(G1503*G1508*G1509+G1504*G1508*v_ot*G1510)*G1507</f>
        <v>2788.4812844467</v>
      </c>
    </row>
    <row r="1512" customFormat="false" ht="15" hidden="false" customHeight="false" outlineLevel="0" collapsed="false">
      <c r="A1512" s="3" t="s">
        <v>633</v>
      </c>
      <c r="B1512" s="0" t="s">
        <v>303</v>
      </c>
      <c r="D1512" s="21" t="n">
        <f aca="false">D1511*fx/1000</f>
        <v>25.657894768128</v>
      </c>
      <c r="E1512" s="21" t="n">
        <f aca="false">E1511*fx/1000</f>
        <v>51.9961578097409</v>
      </c>
      <c r="F1512" s="21" t="n">
        <f aca="false">F1511*fx/1000</f>
        <v>68.0102829541688</v>
      </c>
      <c r="G1512" s="21" t="n">
        <f aca="false">G1511*fx/1000</f>
        <v>89.2314011022944</v>
      </c>
    </row>
    <row r="1513" customFormat="false" ht="17.15" hidden="false" customHeight="false" outlineLevel="0" collapsed="false">
      <c r="A1513" s="5" t="s">
        <v>634</v>
      </c>
    </row>
    <row r="1514" customFormat="false" ht="17.15" hidden="false" customHeight="false" outlineLevel="0" collapsed="false">
      <c r="A1514" s="0" t="s">
        <v>635</v>
      </c>
      <c r="B1514" s="0" t="s">
        <v>303</v>
      </c>
      <c r="D1514" s="21" t="n">
        <f aca="false">a26_abf*ai_abf</f>
        <v>74.83672875</v>
      </c>
      <c r="K1514" s="3" t="s">
        <v>636</v>
      </c>
    </row>
    <row r="1515" customFormat="false" ht="17.15" hidden="false" customHeight="false" outlineLevel="0" collapsed="false">
      <c r="A1515" s="3" t="s">
        <v>637</v>
      </c>
      <c r="B1515" s="0" t="s">
        <v>303</v>
      </c>
      <c r="D1515" s="21" t="n">
        <f aca="false">D1514-D1512</f>
        <v>49.178833981872</v>
      </c>
      <c r="E1515" s="21" t="n">
        <f aca="false">$D1515*(itc_27/itc_26)^el_o*1*1*E1506*E1507</f>
        <v>73.0642903440322</v>
      </c>
      <c r="F1515" s="21" t="n">
        <f aca="false">$D1515*(itc_28/itc_26)^el_o*um28_A*1*F1506*F1507</f>
        <v>78.1488805595188</v>
      </c>
      <c r="G1515" s="21" t="n">
        <f aca="false">$D1515*(itc_29/itc_26)^el_o*um29_A*1*G1506*G1507</f>
        <v>79.0193888474949</v>
      </c>
      <c r="K1515" s="7" t="s">
        <v>638</v>
      </c>
    </row>
    <row r="1516" customFormat="false" ht="17.15" hidden="false" customHeight="false" outlineLevel="0" collapsed="false">
      <c r="A1516" s="3" t="s">
        <v>639</v>
      </c>
      <c r="B1516" s="0" t="s">
        <v>303</v>
      </c>
      <c r="D1516" s="21" t="n">
        <f aca="false">a26_abf-D1514</f>
        <v>24.94557625</v>
      </c>
      <c r="E1516" s="21" t="n">
        <f aca="false">D1516*(1+g_nai)</f>
        <v>25.6939435375</v>
      </c>
      <c r="F1516" s="21" t="n">
        <f aca="false">E1516*(1+g_nai)</f>
        <v>26.464761843625</v>
      </c>
      <c r="G1516" s="21" t="n">
        <f aca="false">F1516*(1+g_nai)</f>
        <v>27.2587046989338</v>
      </c>
    </row>
    <row r="1517" customFormat="false" ht="17.15" hidden="false" customHeight="false" outlineLevel="0" collapsed="false">
      <c r="A1517" s="0" t="s">
        <v>640</v>
      </c>
      <c r="B1517" s="0" t="s">
        <v>303</v>
      </c>
      <c r="D1517" s="21" t="n">
        <f aca="false">D1512+D1515+D1516</f>
        <v>99.782305</v>
      </c>
      <c r="E1517" s="21" t="n">
        <f aca="false">E1512+E1515+E1516</f>
        <v>150.754391691273</v>
      </c>
      <c r="F1517" s="21" t="n">
        <f aca="false">F1512+F1515+F1516</f>
        <v>172.623925357313</v>
      </c>
      <c r="G1517" s="21" t="n">
        <f aca="false">G1512+G1515+G1516</f>
        <v>195.509494648723</v>
      </c>
    </row>
    <row r="1518" customFormat="false" ht="17.15" hidden="false" customHeight="false" outlineLevel="0" collapsed="false">
      <c r="A1518" s="0" t="s">
        <v>641</v>
      </c>
      <c r="B1518" s="0" t="s">
        <v>303</v>
      </c>
      <c r="D1518" s="21" t="n">
        <f aca="false">a26_abf</f>
        <v>99.782305</v>
      </c>
      <c r="E1518" s="21" t="n">
        <f aca="false">$D1517*cap_27*(1+g_mix)^1*E1506*E1507</f>
        <v>148.513488204375</v>
      </c>
      <c r="F1518" s="21" t="n">
        <f aca="false">$D1517*cap_28*(1+g_mix)^2*F1506*F1507</f>
        <v>186.549442683384</v>
      </c>
      <c r="G1518" s="21" t="n">
        <f aca="false">$D1517*cap_29*(1+g_mix)^3*G1506*G1507</f>
        <v>218.314827660431</v>
      </c>
      <c r="K1518" s="7" t="s">
        <v>642</v>
      </c>
    </row>
    <row r="1519" customFormat="false" ht="17.15" hidden="false" customHeight="false" outlineLevel="0" collapsed="false">
      <c r="A1519" s="0" t="s">
        <v>643</v>
      </c>
      <c r="B1519" s="0" t="s">
        <v>303</v>
      </c>
      <c r="D1519" s="21" t="n">
        <f aca="false">a26_abf</f>
        <v>99.782305</v>
      </c>
      <c r="E1519" s="21" t="n">
        <f aca="false">MIN(E1517,E1518)</f>
        <v>148.513488204375</v>
      </c>
      <c r="F1519" s="21" t="n">
        <f aca="false">MIN(F1517,F1518)</f>
        <v>172.623925357313</v>
      </c>
      <c r="G1519" s="21" t="n">
        <f aca="false">MIN(G1517,G1518)</f>
        <v>195.509494648723</v>
      </c>
    </row>
    <row r="1520" customFormat="false" ht="17.15" hidden="false" customHeight="false" outlineLevel="0" collapsed="false">
      <c r="A1520" s="3" t="s">
        <v>644</v>
      </c>
      <c r="B1520" s="0" t="s">
        <v>45</v>
      </c>
      <c r="D1520" s="20" t="n">
        <f aca="false">D1519/D1517</f>
        <v>1</v>
      </c>
      <c r="E1520" s="20" t="n">
        <f aca="false">E1519/E1517</f>
        <v>0.985135401617438</v>
      </c>
      <c r="F1520" s="20" t="n">
        <f aca="false">F1519/F1517</f>
        <v>1</v>
      </c>
      <c r="G1520" s="20" t="n">
        <f aca="false">G1519/G1517</f>
        <v>1</v>
      </c>
    </row>
    <row r="1521" customFormat="false" ht="17.15" hidden="false" customHeight="false" outlineLevel="0" collapsed="false">
      <c r="A1521" s="0" t="s">
        <v>645</v>
      </c>
      <c r="B1521" s="0" t="s">
        <v>303</v>
      </c>
      <c r="D1521" s="21" t="n">
        <f aca="false">(D1512+D1515)*D1520</f>
        <v>74.83672875</v>
      </c>
      <c r="E1521" s="21" t="n">
        <f aca="false">(E1512+E1515)*E1520</f>
        <v>123.201474818424</v>
      </c>
      <c r="F1521" s="21" t="n">
        <f aca="false">(F1512+F1515)*F1520</f>
        <v>146.159163513688</v>
      </c>
      <c r="G1521" s="21" t="n">
        <f aca="false">(G1512+G1515)*G1520</f>
        <v>168.250789949789</v>
      </c>
    </row>
    <row r="1522" customFormat="false" ht="17.15" hidden="false" customHeight="false" outlineLevel="0" collapsed="false">
      <c r="A1522" s="3" t="s">
        <v>646</v>
      </c>
      <c r="B1522" s="0" t="s">
        <v>45</v>
      </c>
      <c r="D1522" s="20" t="n">
        <f aca="false">D1512/(D1512+D1515)</f>
        <v>0.342851634440636</v>
      </c>
      <c r="E1522" s="20" t="n">
        <f aca="false">E1512/(E1512+E1515)</f>
        <v>0.41576820311572</v>
      </c>
      <c r="F1522" s="20" t="n">
        <f aca="false">F1512/(F1512+F1515)</f>
        <v>0.465316585831443</v>
      </c>
      <c r="G1522" s="20" t="n">
        <f aca="false">G1512/(G1512+G1515)</f>
        <v>0.530347590813235</v>
      </c>
    </row>
    <row r="1523" customFormat="false" ht="17.15" hidden="false" customHeight="false" outlineLevel="0" collapsed="false">
      <c r="A1523" s="5" t="s">
        <v>647</v>
      </c>
    </row>
    <row r="1524" customFormat="false" ht="17.15" hidden="false" customHeight="false" outlineLevel="0" collapsed="false">
      <c r="A1524" s="0" t="s">
        <v>550</v>
      </c>
      <c r="B1524" s="0" t="s">
        <v>303</v>
      </c>
      <c r="D1524" s="21" t="n">
        <f aca="false">a26_bt</f>
        <v>16.944165</v>
      </c>
      <c r="E1524" s="21" t="n">
        <f aca="false">D1524*(1+g_bt)</f>
        <v>17.79137325</v>
      </c>
      <c r="F1524" s="21" t="n">
        <f aca="false">E1524*(1+g_bt)</f>
        <v>18.6809419125</v>
      </c>
      <c r="G1524" s="21" t="n">
        <f aca="false">F1524*(1+g_bt)</f>
        <v>19.614989008125</v>
      </c>
    </row>
    <row r="1525" customFormat="false" ht="17.15" hidden="false" customHeight="false" outlineLevel="0" collapsed="false">
      <c r="A1525" s="0" t="s">
        <v>648</v>
      </c>
      <c r="B1525" s="0" t="s">
        <v>303</v>
      </c>
      <c r="D1525" s="21" t="n">
        <f aca="false">a26_pcb*ai_pcb</f>
        <v>37.93610275</v>
      </c>
      <c r="E1525" s="21" t="n">
        <f aca="false">D1525*(1+g_pai_27)</f>
        <v>45.5233233</v>
      </c>
      <c r="F1525" s="21" t="n">
        <f aca="false">D1525*(1+g_pai_27)*(1+g_pai_28)*um28_A</f>
        <v>52.351821795</v>
      </c>
      <c r="G1525" s="21" t="n">
        <f aca="false">D1525*(1+g_pai_27)*(1+g_pai_28)*(1+g_pai_29)*um29_A</f>
        <v>57.5870039745</v>
      </c>
      <c r="K1525" s="3" t="s">
        <v>649</v>
      </c>
    </row>
    <row r="1526" customFormat="false" ht="17.15" hidden="false" customHeight="false" outlineLevel="0" collapsed="false">
      <c r="A1526" s="3" t="s">
        <v>650</v>
      </c>
      <c r="B1526" s="0" t="s">
        <v>303</v>
      </c>
      <c r="D1526" s="21" t="n">
        <f aca="false">a26_pcb*(1-ai_pcb)</f>
        <v>20.42713225</v>
      </c>
      <c r="E1526" s="21" t="n">
        <f aca="false">D1526*(1+g_pcbn)</f>
        <v>20.835674895</v>
      </c>
      <c r="F1526" s="21" t="n">
        <f aca="false">E1526*(1+g_pcbn)</f>
        <v>21.2523883929</v>
      </c>
      <c r="G1526" s="21" t="n">
        <f aca="false">F1526*(1+g_pcbn)</f>
        <v>21.677436160758</v>
      </c>
    </row>
    <row r="1527" customFormat="false" ht="15" hidden="false" customHeight="false" outlineLevel="0" collapsed="false">
      <c r="A1527" s="3" t="s">
        <v>552</v>
      </c>
      <c r="B1527" s="0" t="s">
        <v>303</v>
      </c>
      <c r="D1527" s="21" t="n">
        <f aca="false">a26_fpc</f>
        <v>13.178795</v>
      </c>
      <c r="E1527" s="21" t="n">
        <f aca="false">D1527*(1+g_fpc)</f>
        <v>13.178795</v>
      </c>
      <c r="F1527" s="21" t="n">
        <f aca="false">E1527*(1+g_fpc)</f>
        <v>13.178795</v>
      </c>
      <c r="G1527" s="21" t="n">
        <f aca="false">F1527*(1+g_fpc)</f>
        <v>13.178795</v>
      </c>
    </row>
    <row r="1528" customFormat="false" ht="17.15" hidden="false" customHeight="false" outlineLevel="0" collapsed="false">
      <c r="A1528" s="3" t="s">
        <v>651</v>
      </c>
      <c r="B1528" s="0" t="s">
        <v>303</v>
      </c>
      <c r="D1528" s="21" t="n">
        <f aca="false">D1519+D1524</f>
        <v>116.72647</v>
      </c>
      <c r="E1528" s="21" t="n">
        <f aca="false">E1519+E1524</f>
        <v>166.304861454375</v>
      </c>
      <c r="F1528" s="21" t="n">
        <f aca="false">F1519+F1524</f>
        <v>191.304867269813</v>
      </c>
      <c r="G1528" s="21" t="n">
        <f aca="false">G1519+G1524</f>
        <v>215.124483656848</v>
      </c>
      <c r="K1528" s="3" t="s">
        <v>652</v>
      </c>
    </row>
    <row r="1529" customFormat="false" ht="17.15" hidden="false" customHeight="false" outlineLevel="0" collapsed="false">
      <c r="A1529" s="0" t="s">
        <v>653</v>
      </c>
      <c r="B1529" s="0" t="s">
        <v>303</v>
      </c>
      <c r="D1529" s="21" t="n">
        <f aca="false">D1525+D1526</f>
        <v>58.363235</v>
      </c>
      <c r="E1529" s="21" t="n">
        <f aca="false">E1525+E1526</f>
        <v>66.358998195</v>
      </c>
      <c r="F1529" s="21" t="n">
        <f aca="false">F1525+F1526</f>
        <v>73.6042101879</v>
      </c>
      <c r="G1529" s="21" t="n">
        <f aca="false">G1525+G1526</f>
        <v>79.264440135258</v>
      </c>
      <c r="K1529" s="3" t="s">
        <v>654</v>
      </c>
    </row>
    <row r="1530" customFormat="false" ht="17.15" hidden="false" customHeight="false" outlineLevel="0" collapsed="false">
      <c r="A1530" s="3" t="s">
        <v>515</v>
      </c>
      <c r="B1530" s="0" t="s">
        <v>303</v>
      </c>
      <c r="C1530" s="23" t="n">
        <f aca="false">a25_rev</f>
        <v>131.241</v>
      </c>
      <c r="D1530" s="23" t="n">
        <f aca="false">D1528+D1529+D1527</f>
        <v>188.2685</v>
      </c>
      <c r="E1530" s="23" t="n">
        <f aca="false">E1528+E1529+E1527</f>
        <v>245.842654649375</v>
      </c>
      <c r="F1530" s="23" t="n">
        <f aca="false">F1528+F1529+F1527</f>
        <v>278.087872457713</v>
      </c>
      <c r="G1530" s="23" t="n">
        <f aca="false">G1528+G1529+G1527</f>
        <v>307.567718792106</v>
      </c>
      <c r="H1530" s="25" t="n">
        <f aca="false">G1530*(1+H1532)</f>
        <v>335.455725464882</v>
      </c>
      <c r="I1530" s="25" t="n">
        <f aca="false">H1530*(1+I1532)</f>
        <v>360.727741503264</v>
      </c>
      <c r="J1530" s="25" t="n">
        <f aca="false">I1530*(1+J1532)</f>
        <v>382.371405993459</v>
      </c>
      <c r="K1530" s="7" t="s">
        <v>655</v>
      </c>
    </row>
    <row r="1531" customFormat="false" ht="17.15" hidden="false" customHeight="false" outlineLevel="0" collapsed="false">
      <c r="A1531" s="3" t="s">
        <v>656</v>
      </c>
      <c r="B1531" s="0" t="s">
        <v>303</v>
      </c>
      <c r="D1531" s="19" t="n">
        <f aca="false">D1528+D1529+D1527-D1530</f>
        <v>0</v>
      </c>
      <c r="E1531" s="19" t="n">
        <f aca="false">E1528+E1529+E1527-E1530</f>
        <v>0</v>
      </c>
      <c r="F1531" s="19" t="n">
        <f aca="false">F1528+F1529+F1527-F1530</f>
        <v>0</v>
      </c>
      <c r="G1531" s="19" t="n">
        <f aca="false">G1528+G1529+G1527-G1530</f>
        <v>0</v>
      </c>
    </row>
    <row r="1532" customFormat="false" ht="15" hidden="false" customHeight="false" outlineLevel="0" collapsed="false">
      <c r="A1532" s="3" t="s">
        <v>657</v>
      </c>
      <c r="B1532" s="0" t="s">
        <v>45</v>
      </c>
      <c r="D1532" s="20" t="n">
        <f aca="false">D1530/C1530-1</f>
        <v>0.434525034097576</v>
      </c>
      <c r="E1532" s="20" t="n">
        <f aca="false">E1530/D1530-1</f>
        <v>0.30580875</v>
      </c>
      <c r="F1532" s="20" t="n">
        <f aca="false">F1530/E1530-1</f>
        <v>0.131162014396266</v>
      </c>
      <c r="G1532" s="20" t="n">
        <f aca="false">G1530/F1530-1</f>
        <v>0.106009104510217</v>
      </c>
      <c r="H1532" s="26" t="n">
        <f aca="false">$G1532+(fade_gA-$G1532)*1/3</f>
        <v>0.0906727363401445</v>
      </c>
      <c r="I1532" s="26" t="n">
        <f aca="false">$G1532+(fade_gA-$G1532)*2/3</f>
        <v>0.0753363681700722</v>
      </c>
      <c r="J1532" s="26" t="n">
        <f aca="false">$G1532+(fade_gA-$G1532)*3/3</f>
        <v>0.06</v>
      </c>
    </row>
    <row r="1533" customFormat="false" ht="17.15" hidden="false" customHeight="false" outlineLevel="0" collapsed="false">
      <c r="A1533" s="0" t="s">
        <v>658</v>
      </c>
      <c r="B1533" s="0" t="s">
        <v>45</v>
      </c>
      <c r="D1533" s="20" t="n">
        <f aca="false">D1519/D1530</f>
        <v>0.53</v>
      </c>
      <c r="E1533" s="20" t="n">
        <f aca="false">E1519/E1530</f>
        <v>0.604099758100105</v>
      </c>
      <c r="F1533" s="20" t="n">
        <f aca="false">F1519/F1530</f>
        <v>0.620753159178355</v>
      </c>
      <c r="G1533" s="20" t="n">
        <f aca="false">G1519/G1530</f>
        <v>0.635663246508889</v>
      </c>
    </row>
    <row r="1534" customFormat="false" ht="17.15" hidden="false" customHeight="false" outlineLevel="0" collapsed="false">
      <c r="A1534" s="0" t="s">
        <v>659</v>
      </c>
      <c r="B1534" s="0" t="s">
        <v>45</v>
      </c>
      <c r="D1534" s="20" t="n">
        <f aca="false">(D1521+D1525)/D1530</f>
        <v>0.599</v>
      </c>
      <c r="E1534" s="20" t="n">
        <f aca="false">(E1521+E1525)/E1530</f>
        <v>0.686312138790815</v>
      </c>
      <c r="F1534" s="20" t="n">
        <f aca="false">(F1521+F1525)/F1530</f>
        <v>0.713842655396179</v>
      </c>
      <c r="G1534" s="20" t="n">
        <f aca="false">(G1521+G1525)/G1530</f>
        <v>0.734270146461436</v>
      </c>
      <c r="K1534" s="3" t="s">
        <v>660</v>
      </c>
    </row>
    <row r="1535" customFormat="false" ht="17.15" hidden="false" customHeight="false" outlineLevel="0" collapsed="false">
      <c r="A1535" s="5" t="s">
        <v>661</v>
      </c>
    </row>
    <row r="1536" customFormat="false" ht="15" hidden="false" customHeight="false" outlineLevel="0" collapsed="false">
      <c r="A1536" s="3" t="s">
        <v>662</v>
      </c>
      <c r="B1536" s="0" t="s">
        <v>303</v>
      </c>
      <c r="C1536" s="23" t="n">
        <f aca="false">a25_cx</f>
        <v>25.617</v>
      </c>
      <c r="D1536" s="23" t="n">
        <f aca="false">capex26</f>
        <v>53.7</v>
      </c>
      <c r="E1536" s="23" t="n">
        <f aca="false">cx27_A</f>
        <v>55</v>
      </c>
      <c r="F1536" s="23" t="n">
        <f aca="false">cx28_A</f>
        <v>50</v>
      </c>
      <c r="G1536" s="23" t="n">
        <f aca="false">cx29_A</f>
        <v>45</v>
      </c>
      <c r="H1536" s="25" t="n">
        <f aca="false">H1530*H1553</f>
        <v>46.0491114644872</v>
      </c>
      <c r="I1536" s="25" t="n">
        <f aca="false">I1530*I1553</f>
        <v>46.2587658972454</v>
      </c>
      <c r="J1536" s="25" t="n">
        <f aca="false">J1530*J1553</f>
        <v>45.5792023656988</v>
      </c>
    </row>
    <row r="1537" customFormat="false" ht="17.15" hidden="false" customHeight="false" outlineLevel="0" collapsed="false">
      <c r="A1537" s="3" t="s">
        <v>663</v>
      </c>
      <c r="B1537" s="0" t="s">
        <v>303</v>
      </c>
      <c r="C1537" s="23" t="n">
        <f aca="false">a25_da</f>
        <v>18.8</v>
      </c>
      <c r="D1537" s="23" t="n">
        <f aca="false">da26</f>
        <v>20.8</v>
      </c>
      <c r="E1537" s="23" t="n">
        <f aca="false">D1537*(1-1/life)+D1536/life</f>
        <v>24.9125</v>
      </c>
      <c r="F1537" s="23" t="n">
        <f aca="false">E1537*(1-1/life)+E1536/life</f>
        <v>28.6734375</v>
      </c>
      <c r="G1537" s="23" t="n">
        <f aca="false">F1537*(1-1/life)+F1536/life</f>
        <v>31.3392578125</v>
      </c>
      <c r="H1537" s="25" t="n">
        <f aca="false">H1530*H1538</f>
        <v>34.1808740732286</v>
      </c>
      <c r="I1537" s="25" t="n">
        <f aca="false">I1530*I1538</f>
        <v>36.7559369867843</v>
      </c>
      <c r="J1537" s="25" t="n">
        <f aca="false">J1530*J1538</f>
        <v>38.9612932059913</v>
      </c>
      <c r="K1537" s="3" t="s">
        <v>664</v>
      </c>
    </row>
    <row r="1538" customFormat="false" ht="17.15" hidden="false" customHeight="false" outlineLevel="0" collapsed="false">
      <c r="A1538" s="3" t="s">
        <v>665</v>
      </c>
      <c r="B1538" s="0" t="s">
        <v>45</v>
      </c>
      <c r="C1538" s="20" t="n">
        <f aca="false">C1537/C1530</f>
        <v>0.143247917952469</v>
      </c>
      <c r="D1538" s="20" t="n">
        <f aca="false">D1537/D1530</f>
        <v>0.110480510547436</v>
      </c>
      <c r="E1538" s="20" t="n">
        <f aca="false">E1537/E1530</f>
        <v>0.101335140704247</v>
      </c>
      <c r="F1538" s="20" t="n">
        <f aca="false">F1537/F1530</f>
        <v>0.103109269910216</v>
      </c>
      <c r="G1538" s="20" t="n">
        <f aca="false">G1537/G1530</f>
        <v>0.101893846127861</v>
      </c>
      <c r="H1538" s="26" t="n">
        <f aca="false">$G1538</f>
        <v>0.101893846127861</v>
      </c>
      <c r="I1538" s="26" t="n">
        <f aca="false">$G1538</f>
        <v>0.101893846127861</v>
      </c>
      <c r="J1538" s="26" t="n">
        <f aca="false">$G1538</f>
        <v>0.101893846127861</v>
      </c>
    </row>
    <row r="1539" customFormat="false" ht="17.15" hidden="false" customHeight="false" outlineLevel="0" collapsed="false">
      <c r="A1539" s="3" t="s">
        <v>666</v>
      </c>
      <c r="B1539" s="0" t="s">
        <v>303</v>
      </c>
      <c r="E1539" s="21" t="n">
        <f aca="false">E1521*(1-1/(E1506*E1507))</f>
        <v>5.86673689611544</v>
      </c>
      <c r="F1539" s="21" t="n">
        <f aca="false">F1521*(1-1/(F1506*F1507))</f>
        <v>-0.366313693016785</v>
      </c>
      <c r="G1539" s="21" t="n">
        <f aca="false">G1521*(1-1/(G1506*G1507))</f>
        <v>-9.7923740182417</v>
      </c>
      <c r="K1539" s="7" t="s">
        <v>667</v>
      </c>
    </row>
    <row r="1540" customFormat="false" ht="17.15" hidden="false" customHeight="false" outlineLevel="0" collapsed="false">
      <c r="A1540" s="3" t="s">
        <v>668</v>
      </c>
      <c r="B1540" s="0" t="s">
        <v>303</v>
      </c>
      <c r="C1540" s="21" t="n">
        <f aca="false">a25_gp</f>
        <v>18.292</v>
      </c>
      <c r="D1540" s="21" t="n">
        <f aca="false">a26_gp</f>
        <v>47.3329657</v>
      </c>
      <c r="E1540" s="21" t="n">
        <f aca="false">$D1540+ft_abf*(E1519-E1539-$D1519)+ft_oth*((E1530-E1519)-($D1530-$D1519))+E1539-(E1537-$D1537)</f>
        <v>72.7301686114952</v>
      </c>
      <c r="F1540" s="21" t="n">
        <f aca="false">$D1540+ft_abf*(F1519-F1539-$D1519)+ft_oth*((F1530-F1519)-($D1530-$D1519))+F1539-(F1537-$D1537)</f>
        <v>79.9416195572479</v>
      </c>
      <c r="G1540" s="21" t="n">
        <f aca="false">$D1540+ft_abf*(G1519-G1539-$D1519)+ft_oth*((G1530-G1519)-($D1530-$D1519))+G1539-(G1537-$D1537)</f>
        <v>85.6541229885864</v>
      </c>
      <c r="K1540" s="3" t="s">
        <v>669</v>
      </c>
    </row>
    <row r="1541" customFormat="false" ht="15" hidden="false" customHeight="false" outlineLevel="0" collapsed="false">
      <c r="A1541" s="3" t="s">
        <v>522</v>
      </c>
      <c r="B1541" s="0" t="s">
        <v>45</v>
      </c>
      <c r="C1541" s="13" t="n">
        <f aca="false">C1540/C1530</f>
        <v>0.139377176339711</v>
      </c>
      <c r="D1541" s="13" t="n">
        <f aca="false">D1540/D1530</f>
        <v>0.251412029627899</v>
      </c>
      <c r="E1541" s="13" t="n">
        <f aca="false">E1540/E1530</f>
        <v>0.295840315893205</v>
      </c>
      <c r="F1541" s="13" t="n">
        <f aca="false">F1540/F1530</f>
        <v>0.287468917111458</v>
      </c>
      <c r="G1541" s="13" t="n">
        <f aca="false">G1540/G1530</f>
        <v>0.278488663650955</v>
      </c>
    </row>
    <row r="1542" customFormat="false" ht="15" hidden="false" customHeight="false" outlineLevel="0" collapsed="false">
      <c r="A1542" s="3" t="s">
        <v>524</v>
      </c>
      <c r="B1542" s="0" t="s">
        <v>303</v>
      </c>
      <c r="C1542" s="21" t="n">
        <f aca="false">a25_opx</f>
        <v>11.618</v>
      </c>
      <c r="D1542" s="21" t="n">
        <f aca="false">a26_opx</f>
        <v>16.6539532</v>
      </c>
      <c r="E1542" s="21" t="n">
        <f aca="false">D1542*(1+phi*E1532)</f>
        <v>19.7097079663903</v>
      </c>
      <c r="F1542" s="21" t="n">
        <f aca="false">E1542*(1+phi*F1532)</f>
        <v>21.2608069664106</v>
      </c>
      <c r="G1542" s="21" t="n">
        <f aca="false">F1542*(1+phi*G1532)</f>
        <v>22.6131104310149</v>
      </c>
    </row>
    <row r="1543" customFormat="false" ht="15" hidden="false" customHeight="false" outlineLevel="0" collapsed="false">
      <c r="A1543" s="3" t="s">
        <v>527</v>
      </c>
      <c r="B1543" s="0" t="s">
        <v>303</v>
      </c>
      <c r="C1543" s="21" t="n">
        <f aca="false">C1540-C1542</f>
        <v>6.674</v>
      </c>
      <c r="D1543" s="21" t="n">
        <f aca="false">D1540-D1542</f>
        <v>30.6790125</v>
      </c>
      <c r="E1543" s="21" t="n">
        <f aca="false">E1540-E1542</f>
        <v>53.0204606451049</v>
      </c>
      <c r="F1543" s="21" t="n">
        <f aca="false">F1540-F1542</f>
        <v>58.6808125908373</v>
      </c>
      <c r="G1543" s="21" t="n">
        <f aca="false">G1540-G1542</f>
        <v>63.0410125575715</v>
      </c>
    </row>
    <row r="1544" customFormat="false" ht="15" hidden="false" customHeight="false" outlineLevel="0" collapsed="false">
      <c r="A1544" s="3" t="s">
        <v>605</v>
      </c>
      <c r="B1544" s="0" t="s">
        <v>45</v>
      </c>
      <c r="C1544" s="13" t="n">
        <f aca="false">C1543/C1530</f>
        <v>0.0508530108731265</v>
      </c>
      <c r="D1544" s="13" t="n">
        <f aca="false">D1543/D1530</f>
        <v>0.162953507888999</v>
      </c>
      <c r="E1544" s="13" t="n">
        <f aca="false">E1543/E1530</f>
        <v>0.215668272540921</v>
      </c>
      <c r="F1544" s="13" t="n">
        <f aca="false">F1543/F1530</f>
        <v>0.211015360260849</v>
      </c>
      <c r="G1544" s="13" t="n">
        <f aca="false">G1543/G1530</f>
        <v>0.204966284514997</v>
      </c>
    </row>
    <row r="1545" customFormat="false" ht="17.15" hidden="false" customHeight="false" outlineLevel="0" collapsed="false">
      <c r="A1545" s="3" t="s">
        <v>670</v>
      </c>
      <c r="B1545" s="0" t="s">
        <v>303</v>
      </c>
      <c r="C1545" s="21" t="n">
        <f aca="false">a25_nonop</f>
        <v>-0.00100000000000033</v>
      </c>
      <c r="D1545" s="21" t="n">
        <f aca="false">a26_nonop</f>
        <v>14.466</v>
      </c>
      <c r="E1545" s="21" t="n">
        <f aca="false">nonop27_lo</f>
        <v>0</v>
      </c>
      <c r="F1545" s="21" t="n">
        <f aca="false">nonop28_lo</f>
        <v>0</v>
      </c>
      <c r="G1545" s="21" t="n">
        <f aca="false">nonop29_lo</f>
        <v>0</v>
      </c>
      <c r="K1545" s="7" t="s">
        <v>671</v>
      </c>
    </row>
    <row r="1546" customFormat="false" ht="15" hidden="false" customHeight="false" outlineLevel="0" collapsed="false">
      <c r="A1546" s="3" t="s">
        <v>533</v>
      </c>
      <c r="B1546" s="0" t="s">
        <v>303</v>
      </c>
      <c r="C1546" s="21" t="n">
        <f aca="false">C1543+C1545</f>
        <v>6.673</v>
      </c>
      <c r="D1546" s="21" t="n">
        <f aca="false">D1543+D1545</f>
        <v>45.1450125</v>
      </c>
      <c r="E1546" s="21" t="n">
        <f aca="false">E1543+E1545</f>
        <v>53.0204606451049</v>
      </c>
      <c r="F1546" s="21" t="n">
        <f aca="false">F1543+F1545</f>
        <v>58.6808125908373</v>
      </c>
      <c r="G1546" s="21" t="n">
        <f aca="false">G1543+G1545</f>
        <v>63.0410125575715</v>
      </c>
    </row>
    <row r="1547" customFormat="false" ht="15" hidden="false" customHeight="false" outlineLevel="0" collapsed="false">
      <c r="A1547" s="3" t="s">
        <v>537</v>
      </c>
      <c r="B1547" s="0" t="s">
        <v>303</v>
      </c>
      <c r="E1547" s="21" t="n">
        <f aca="false">E1546*tax</f>
        <v>9.54368291611888</v>
      </c>
      <c r="F1547" s="21" t="n">
        <f aca="false">F1546*tax</f>
        <v>10.5625462663507</v>
      </c>
      <c r="G1547" s="21" t="n">
        <f aca="false">G1546*tax</f>
        <v>11.3473822603629</v>
      </c>
    </row>
    <row r="1548" customFormat="false" ht="15" hidden="false" customHeight="false" outlineLevel="0" collapsed="false">
      <c r="A1548" s="3" t="s">
        <v>535</v>
      </c>
      <c r="B1548" s="0" t="s">
        <v>303</v>
      </c>
      <c r="C1548" s="21" t="n">
        <f aca="false">a25_ni</f>
        <v>6.673</v>
      </c>
      <c r="D1548" s="21" t="n">
        <f aca="false">a26_ni</f>
        <v>37.23923025</v>
      </c>
      <c r="E1548" s="21" t="n">
        <f aca="false">E1546-E1547</f>
        <v>43.476777728986</v>
      </c>
      <c r="F1548" s="21" t="n">
        <f aca="false">F1546-F1547</f>
        <v>48.1182663244866</v>
      </c>
      <c r="G1548" s="21" t="n">
        <f aca="false">G1546-G1547</f>
        <v>51.6936302972087</v>
      </c>
      <c r="H1548" s="30" t="n">
        <f aca="false">H1530*H1552</f>
        <v>56.9770676368116</v>
      </c>
      <c r="I1548" s="30" t="n">
        <f aca="false">I1530*I1552</f>
        <v>61.9106655472227</v>
      </c>
      <c r="J1548" s="30" t="n">
        <f aca="false">J1530*J1552</f>
        <v>66.3049271996696</v>
      </c>
    </row>
    <row r="1549" customFormat="false" ht="15" hidden="false" customHeight="false" outlineLevel="0" collapsed="false">
      <c r="A1549" s="3" t="s">
        <v>672</v>
      </c>
      <c r="B1549" s="3" t="s">
        <v>381</v>
      </c>
      <c r="C1549" s="29" t="n">
        <f aca="false">a25_sh</f>
        <v>1.52351598173516</v>
      </c>
      <c r="D1549" s="29" t="n">
        <f aca="false">a26_sh</f>
        <v>1.59236316568047</v>
      </c>
      <c r="E1549" s="29" t="n">
        <f aca="false">a26_shend*(1+sh_g)</f>
        <v>1.64</v>
      </c>
      <c r="F1549" s="29" t="n">
        <f aca="false">E1549*(1+sh_g)</f>
        <v>1.64</v>
      </c>
      <c r="G1549" s="29" t="n">
        <f aca="false">F1549*(1+sh_g)</f>
        <v>1.64</v>
      </c>
      <c r="H1549" s="31" t="n">
        <f aca="false">G1549*(1+sh_g)</f>
        <v>1.64</v>
      </c>
      <c r="I1549" s="31" t="n">
        <f aca="false">H1549*(1+sh_g)</f>
        <v>1.64</v>
      </c>
      <c r="J1549" s="31" t="n">
        <f aca="false">I1549*(1+sh_g)</f>
        <v>1.64</v>
      </c>
    </row>
    <row r="1550" customFormat="false" ht="17.15" hidden="false" customHeight="false" outlineLevel="0" collapsed="false">
      <c r="A1550" s="0" t="s">
        <v>540</v>
      </c>
      <c r="B1550" s="0" t="s">
        <v>387</v>
      </c>
      <c r="C1550" s="18" t="n">
        <f aca="false">C1548/C1549</f>
        <v>4.38</v>
      </c>
      <c r="D1550" s="18" t="n">
        <f aca="false">D1548/D1549</f>
        <v>23.3861414610695</v>
      </c>
      <c r="E1550" s="18" t="n">
        <f aca="false">E1548/E1549</f>
        <v>26.5102303225525</v>
      </c>
      <c r="F1550" s="18" t="n">
        <f aca="false">F1548/F1549</f>
        <v>29.3404062954186</v>
      </c>
      <c r="G1550" s="18" t="n">
        <f aca="false">G1548/G1549</f>
        <v>31.5205062787858</v>
      </c>
      <c r="H1550" s="28" t="n">
        <f aca="false">H1548/H1549</f>
        <v>34.74211441269</v>
      </c>
      <c r="I1550" s="28" t="n">
        <f aca="false">I1548/I1549</f>
        <v>37.7504058214773</v>
      </c>
      <c r="J1550" s="28" t="n">
        <f aca="false">J1548/J1549</f>
        <v>40.4298336583351</v>
      </c>
    </row>
    <row r="1551" customFormat="false" ht="17.15" hidden="false" customHeight="false" outlineLevel="0" collapsed="false">
      <c r="A1551" s="0" t="s">
        <v>673</v>
      </c>
      <c r="B1551" s="0" t="s">
        <v>45</v>
      </c>
      <c r="D1551" s="20" t="n">
        <f aca="false">D1550/C1550-1</f>
        <v>4.33930170344053</v>
      </c>
      <c r="E1551" s="20" t="n">
        <f aca="false">E1550/D1550-1</f>
        <v>0.133587187381192</v>
      </c>
      <c r="F1551" s="20" t="n">
        <f aca="false">F1550/E1550-1</f>
        <v>0.106757879446205</v>
      </c>
      <c r="G1551" s="20" t="n">
        <f aca="false">G1550/F1550-1</f>
        <v>0.0743036739647174</v>
      </c>
      <c r="H1551" s="26" t="n">
        <f aca="false">H1550/G1550-1</f>
        <v>0.10220673822338</v>
      </c>
      <c r="I1551" s="26" t="n">
        <f aca="false">I1550/H1550-1</f>
        <v>0.0865891860539267</v>
      </c>
      <c r="J1551" s="26" t="n">
        <f aca="false">J1550/I1550-1</f>
        <v>0.0709774578193658</v>
      </c>
    </row>
    <row r="1552" customFormat="false" ht="17.15" hidden="false" customHeight="false" outlineLevel="0" collapsed="false">
      <c r="A1552" s="3" t="s">
        <v>674</v>
      </c>
      <c r="B1552" s="0" t="s">
        <v>45</v>
      </c>
      <c r="C1552" s="13" t="n">
        <f aca="false">C1548/C1530</f>
        <v>0.0508453913030227</v>
      </c>
      <c r="D1552" s="13" t="n">
        <f aca="false">D1548/D1530</f>
        <v>0.197798517808343</v>
      </c>
      <c r="E1552" s="13" t="n">
        <f aca="false">E1548/E1530</f>
        <v>0.176847983483555</v>
      </c>
      <c r="F1552" s="13" t="n">
        <f aca="false">F1548/F1530</f>
        <v>0.173032595413896</v>
      </c>
      <c r="G1552" s="13" t="n">
        <f aca="false">G1548/G1530</f>
        <v>0.168072353302298</v>
      </c>
      <c r="H1552" s="27" t="n">
        <f aca="false">$G1552+(fade_mA-$G1552)*1/3</f>
        <v>0.169849739657451</v>
      </c>
      <c r="I1552" s="27" t="n">
        <f aca="false">$G1552+(fade_mA-$G1552)*2/3</f>
        <v>0.171627126012604</v>
      </c>
      <c r="J1552" s="27" t="n">
        <f aca="false">$G1552+(fade_mA-$G1552)*3/3</f>
        <v>0.173404512367757</v>
      </c>
    </row>
    <row r="1553" customFormat="false" ht="17.15" hidden="false" customHeight="false" outlineLevel="0" collapsed="false">
      <c r="A1553" s="3" t="s">
        <v>675</v>
      </c>
      <c r="B1553" s="0" t="s">
        <v>45</v>
      </c>
      <c r="C1553" s="20" t="n">
        <f aca="false">C1536/C1530</f>
        <v>0.195190527350447</v>
      </c>
      <c r="D1553" s="20" t="n">
        <f aca="false">D1536/D1530</f>
        <v>0.285230933480641</v>
      </c>
      <c r="E1553" s="20" t="n">
        <f aca="false">E1536/E1530</f>
        <v>0.223720330706817</v>
      </c>
      <c r="F1553" s="20" t="n">
        <f aca="false">F1536/F1530</f>
        <v>0.179799282716305</v>
      </c>
      <c r="G1553" s="20" t="n">
        <f aca="false">G1536/G1530</f>
        <v>0.146309242649801</v>
      </c>
      <c r="H1553" s="26" t="n">
        <f aca="false">$G1553+($G1538*(1+tp_g)^(life/2)-$G1553)*1/3</f>
        <v>0.137273291134534</v>
      </c>
      <c r="I1553" s="26" t="n">
        <f aca="false">$G1553+($G1538*(1+tp_g)^(life/2)-$G1553)*2/3</f>
        <v>0.128237339619268</v>
      </c>
      <c r="J1553" s="26" t="n">
        <f aca="false">$G1553+($G1538*(1+tp_g)^(life/2)-$G1553)*3/3</f>
        <v>0.119201388104001</v>
      </c>
      <c r="K1553" s="7" t="s">
        <v>676</v>
      </c>
    </row>
    <row r="1554" customFormat="false" ht="15" hidden="false" customHeight="false" outlineLevel="0" collapsed="false">
      <c r="A1554" s="3" t="s">
        <v>677</v>
      </c>
      <c r="B1554" s="0" t="s">
        <v>303</v>
      </c>
      <c r="E1554" s="21" t="n">
        <f aca="false">E1548+E1537-E1536</f>
        <v>13.389277728986</v>
      </c>
      <c r="F1554" s="21" t="n">
        <f aca="false">F1548+F1537-F1536</f>
        <v>26.7917038244866</v>
      </c>
      <c r="G1554" s="21" t="n">
        <f aca="false">G1548+G1537-G1536</f>
        <v>38.0328881097087</v>
      </c>
      <c r="H1554" s="30" t="n">
        <f aca="false">H1548+H1537-H1536</f>
        <v>45.1088302455531</v>
      </c>
      <c r="I1554" s="30" t="n">
        <f aca="false">I1548+I1537-I1536</f>
        <v>52.4078366367616</v>
      </c>
      <c r="J1554" s="30" t="n">
        <f aca="false">J1548+J1537-J1536</f>
        <v>59.6870180399621</v>
      </c>
      <c r="K1554" s="3" t="s">
        <v>678</v>
      </c>
    </row>
    <row r="1555" customFormat="false" ht="15" hidden="false" customHeight="false" outlineLevel="0" collapsed="false">
      <c r="A1555" s="3" t="s">
        <v>679</v>
      </c>
      <c r="B1555" s="0" t="s">
        <v>387</v>
      </c>
      <c r="E1555" s="18" t="n">
        <f aca="false">E1554/E1549</f>
        <v>8.1641937371866</v>
      </c>
      <c r="F1555" s="18" t="n">
        <f aca="false">F1554/F1549</f>
        <v>16.3364047710284</v>
      </c>
      <c r="G1555" s="18" t="n">
        <f aca="false">G1554/G1549</f>
        <v>23.1907854327492</v>
      </c>
      <c r="H1555" s="28" t="n">
        <f aca="false">H1554/H1549</f>
        <v>27.5053842960689</v>
      </c>
      <c r="I1555" s="28" t="n">
        <f aca="false">I1554/I1549</f>
        <v>31.9559979492449</v>
      </c>
      <c r="J1555" s="28" t="n">
        <f aca="false">J1554/J1549</f>
        <v>36.3945231950988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1045</v>
      </c>
    </row>
    <row r="2" customFormat="false" ht="17.15" hidden="false" customHeight="false" outlineLevel="0" collapsed="false">
      <c r="A2" s="3" t="s">
        <v>1046</v>
      </c>
      <c r="B2" s="0" t="s">
        <v>1047</v>
      </c>
    </row>
    <row r="3" customFormat="false" ht="17.15" hidden="false" customHeight="false" outlineLevel="0" collapsed="false">
      <c r="A3" s="3" t="s">
        <v>1048</v>
      </c>
      <c r="B3" s="0" t="s">
        <v>1049</v>
      </c>
    </row>
    <row r="4" customFormat="false" ht="17.15" hidden="false" customHeight="false" outlineLevel="0" collapsed="false">
      <c r="A4" s="3" t="s">
        <v>1050</v>
      </c>
      <c r="B4" s="0" t="s">
        <v>1051</v>
      </c>
    </row>
    <row r="5" customFormat="false" ht="17.15" hidden="false" customHeight="false" outlineLevel="0" collapsed="false">
      <c r="A5" s="3" t="s">
        <v>1052</v>
      </c>
      <c r="B5" s="0" t="s">
        <v>1053</v>
      </c>
    </row>
    <row r="6" customFormat="false" ht="17.15" hidden="false" customHeight="false" outlineLevel="0" collapsed="false">
      <c r="A6" s="3" t="s">
        <v>1054</v>
      </c>
      <c r="B6" s="0" t="s">
        <v>1055</v>
      </c>
    </row>
    <row r="7" customFormat="false" ht="17.15" hidden="false" customHeight="false" outlineLevel="0" collapsed="false">
      <c r="A7" s="3" t="s">
        <v>1056</v>
      </c>
      <c r="B7" s="0" t="s">
        <v>1057</v>
      </c>
    </row>
    <row r="8" customFormat="false" ht="17.15" hidden="false" customHeight="false" outlineLevel="0" collapsed="false">
      <c r="A8" s="3" t="s">
        <v>1058</v>
      </c>
      <c r="B8" s="0" t="s">
        <v>1059</v>
      </c>
    </row>
    <row r="9" customFormat="false" ht="17.15" hidden="false" customHeight="false" outlineLevel="0" collapsed="false">
      <c r="A9" s="3" t="s">
        <v>1060</v>
      </c>
      <c r="B9" s="0" t="s">
        <v>1061</v>
      </c>
    </row>
    <row r="10" customFormat="false" ht="17.15" hidden="false" customHeight="false" outlineLevel="0" collapsed="false">
      <c r="A10" s="3" t="s">
        <v>1062</v>
      </c>
      <c r="B10" s="0" t="s">
        <v>1063</v>
      </c>
    </row>
    <row r="11" customFormat="false" ht="17.15" hidden="false" customHeight="false" outlineLevel="0" collapsed="false">
      <c r="A11" s="3" t="s">
        <v>1064</v>
      </c>
      <c r="B11" s="0" t="s">
        <v>1065</v>
      </c>
    </row>
    <row r="12" customFormat="false" ht="17.15" hidden="false" customHeight="false" outlineLevel="0" collapsed="false">
      <c r="A12" s="3" t="s">
        <v>1066</v>
      </c>
      <c r="B12" s="0" t="s">
        <v>1067</v>
      </c>
    </row>
    <row r="13" customFormat="false" ht="17.15" hidden="false" customHeight="false" outlineLevel="0" collapsed="false">
      <c r="A13" s="3" t="s">
        <v>1068</v>
      </c>
      <c r="B13" s="0" t="s">
        <v>1069</v>
      </c>
    </row>
    <row r="14" customFormat="false" ht="17.15" hidden="false" customHeight="false" outlineLevel="0" collapsed="false">
      <c r="A14" s="3" t="s">
        <v>1070</v>
      </c>
      <c r="B14" s="0" t="s">
        <v>1071</v>
      </c>
    </row>
    <row r="15" customFormat="false" ht="17.15" hidden="false" customHeight="false" outlineLevel="0" collapsed="false">
      <c r="A15" s="3" t="s">
        <v>1072</v>
      </c>
      <c r="B15" s="0" t="s">
        <v>1073</v>
      </c>
    </row>
    <row r="16" customFormat="false" ht="17.15" hidden="false" customHeight="false" outlineLevel="0" collapsed="false">
      <c r="A16" s="3" t="s">
        <v>1074</v>
      </c>
      <c r="B16" s="0" t="s">
        <v>1075</v>
      </c>
    </row>
    <row r="17" customFormat="false" ht="17.15" hidden="false" customHeight="false" outlineLevel="0" collapsed="false">
      <c r="A17" s="3" t="s">
        <v>1076</v>
      </c>
      <c r="B17" s="0" t="s">
        <v>1077</v>
      </c>
    </row>
    <row r="18" customFormat="false" ht="17.15" hidden="false" customHeight="false" outlineLevel="0" collapsed="false">
      <c r="A18" s="3" t="s">
        <v>1078</v>
      </c>
      <c r="B18" s="0" t="s">
        <v>1079</v>
      </c>
    </row>
    <row r="19" customFormat="false" ht="17.15" hidden="false" customHeight="false" outlineLevel="0" collapsed="false">
      <c r="A19" s="3" t="s">
        <v>1080</v>
      </c>
      <c r="B19" s="0" t="s">
        <v>1081</v>
      </c>
    </row>
    <row r="20" customFormat="false" ht="17.15" hidden="false" customHeight="false" outlineLevel="0" collapsed="false">
      <c r="A20" s="3" t="s">
        <v>1082</v>
      </c>
      <c r="B20" s="0" t="s">
        <v>1083</v>
      </c>
    </row>
    <row r="21" customFormat="false" ht="17.15" hidden="false" customHeight="false" outlineLevel="0" collapsed="false">
      <c r="A21" s="3" t="s">
        <v>1084</v>
      </c>
      <c r="B21" s="0" t="s">
        <v>1085</v>
      </c>
    </row>
    <row r="22" customFormat="false" ht="17.15" hidden="false" customHeight="false" outlineLevel="0" collapsed="false">
      <c r="A22" s="3" t="s">
        <v>1086</v>
      </c>
      <c r="B22" s="3" t="s">
        <v>1087</v>
      </c>
    </row>
    <row r="23" customFormat="false" ht="15" hidden="false" customHeight="false" outlineLevel="0" collapsed="false">
      <c r="A23" s="0" t="s">
        <v>1088</v>
      </c>
      <c r="B23" s="3" t="s">
        <v>1089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2026-10-30T00:25:39Z</dcterms:created>
  <dc:creator>openpyxl</dc:creator>
  <dc:description/>
  <dc:language>en-US</dc:language>
  <cp:lastModifiedBy/>
  <dcterms:modified xsi:type="dcterms:W3CDTF">2026-10-30T00:25:40Z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